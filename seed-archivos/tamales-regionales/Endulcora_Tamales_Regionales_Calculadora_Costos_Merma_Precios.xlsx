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1. Insumos" sheetId="2" state="visible" r:id="rId4"/>
    <sheet name="2. Recetas" sheetId="3" state="visible" r:id="rId5"/>
    <sheet name="3. Costeo y Precios" sheetId="4" state="visible" r:id="rId6"/>
    <sheet name="4. Producción y Merma" sheetId="5" state="visible" r:id="rId7"/>
    <sheet name="5. Ventas" sheetId="6" state="visible" r:id="rId8"/>
    <sheet name="6. Gastos Fijos" sheetId="7" state="visible" r:id="rId9"/>
    <sheet name="7. Tabler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<sst xmlns="http://schemas.openxmlformats.org/spreadsheetml/2006/main" count="2565" uniqueCount="625">
  <si>
    <t xml:space="preserve">TAMALES DE MÉXICO · Calculadora de Costos, Merma y Precios</t>
  </si>
  <si>
    <t xml:space="preserve">Endulcora · Estudio Gastronómico — herramienta complementaria del eBook «Tamales de México: Ruta Regional»</t>
  </si>
  <si>
    <t xml:space="preserve">CÓMO USAR ESTE ARCHIVO</t>
  </si>
  <si>
    <t xml:space="preserve">Orden de trabajo</t>
  </si>
  <si>
    <t xml:space="preserve">1) Actualiza precios en «1. Insumos» → 2) Revisa «3. Costeo y Precios» → 3) Registra cada producción en «4. Producción y Merma» → 4) Registra cada venta en «5. Ventas» → 5) Lee resultados en «7. Tablero».</t>
  </si>
  <si>
    <t xml:space="preserve">1. Insumos</t>
  </si>
  <si>
    <t xml:space="preserve">Catálogo con los 89 insumos que aparecen en las 51 recetas del libro, de todas las regiones del país. Escribe la presentación que compras y su precio; el costo por gramo, ml o pieza se calcula solo. Los precios vienen precargados como REFERENCIA orientativa (CDMX 2026) y debes reemplazarlos por los tuyos.</t>
  </si>
  <si>
    <t xml:space="preserve">2. Recetas</t>
  </si>
  <si>
    <t xml:space="preserve">Las 51 formulaciones del libro ya cargadas, con sus 498 líneas de ingredientes. Jala el costo del catálogo y calcula el costo de insumos DEL LOTE COMPLETO. No necesitas tocar esta hoja salvo que quieras ajustar gramajes.</t>
  </si>
  <si>
    <t xml:space="preserve">3. Costeo y Precios</t>
  </si>
  <si>
    <t xml:space="preserve">El corazón del archivo. Divide el costo del lote entre las piezas que rinde, suma empaque + energía + mano de obra + overhead, aplica la merma y calcula el precio de venta sugerido para los cuatro canales del libro. Edita solo las celdas azules.</t>
  </si>
  <si>
    <t xml:space="preserve">4. Producción y Merma</t>
  </si>
  <si>
    <t xml:space="preserve">Bitácora de cada lote: piezas buenas, piezas falladas, causa y costo real de lo que se perdió. Te dice si tu % de merma supuesto es el verdadero.</t>
  </si>
  <si>
    <t xml:space="preserve">5. Ventas</t>
  </si>
  <si>
    <t xml:space="preserve">Bitácora de ventas por pieza y canal, con comisiones de plataforma y utilidad neta automática.</t>
  </si>
  <si>
    <t xml:space="preserve">6. Gastos Fijos</t>
  </si>
  <si>
    <t xml:space="preserve">Renta, gas, publicidad y tu sueldo. De aquí salen el overhead por pieza, el costo por hora de mano de obra y el punto de equilibrio.</t>
  </si>
  <si>
    <t xml:space="preserve">7. Tablero</t>
  </si>
  <si>
    <t xml:space="preserve">Resumen del mes que elijas: ingresos, utilidad, margen, merma, ranking de recetas y avance hacia el punto de equilibrio.</t>
  </si>
  <si>
    <t xml:space="preserve">CÓDIGO DE COLORES</t>
  </si>
  <si>
    <t xml:space="preserve">Texto azul sobre fondo claro</t>
  </si>
  <si>
    <t xml:space="preserve">Celda que TÚ editas (dato de entrada). Es lo único que debes escribir.</t>
  </si>
  <si>
    <t xml:space="preserve">Texto negro</t>
  </si>
  <si>
    <t xml:space="preserve">Celda calculada por fórmula. No la sobreescribas o romperás el archivo.</t>
  </si>
  <si>
    <t xml:space="preserve">Fondo crema</t>
  </si>
  <si>
    <t xml:space="preserve">Encabezado o subtotal.</t>
  </si>
  <si>
    <t xml:space="preserve">IMPORTANTE</t>
  </si>
  <si>
    <t xml:space="preserve">Cada receta rinde lo suyo</t>
  </si>
  <si>
    <t xml:space="preserve">A diferencia de un recetario de una sola región, aquí el rendimiento varía de 8 piezas (mucbipollo yucateco) a 20 (tamalitos de dedo de Nuevo León). Los gramajes de la hoja «2. Recetas» son POR LOTE completo, tal como aparecen en el eBook, y la hoja de costeo divide entre las piezas reales de cada fórmula para darte el costo unitario. La columna «Piezas por lote» ya viene cargada receta por receta.</t>
  </si>
  <si>
    <t xml:space="preserve">Los precios son referencia</t>
  </si>
  <si>
    <t xml:space="preserve">Los precios precargados son orientativos y NO son una cotización. Reemplázalos con tus precios reales de compra antes de tomar cualquier decisión de venta.</t>
  </si>
  <si>
    <t xml:space="preserve">Sin promesa de resultados</t>
  </si>
  <si>
    <t xml:space="preserve">Esta herramienta calcula costos y precios sugeridos. No promete ingresos ni resultados de negocio garantizados.</t>
  </si>
  <si>
    <t xml:space="preserve">Créditos</t>
  </si>
  <si>
    <t xml:space="preserve">Recetas y contenido técnico: Chef Luis Alfonso Jiménez Cárdenas · Edición: Manuel Ramiro Justo Guzmán · Endulcora · Estudio Gastronómico · WhatsApp 56 6527 1901</t>
  </si>
  <si>
    <t xml:space="preserve">1 · CATÁLOGO DE INSUMOS</t>
  </si>
  <si>
    <t xml:space="preserve">Escribe la presentación que compras y su precio. El costo por unidad se recalcula solo y actualiza las 51 recetas.</t>
  </si>
  <si>
    <t xml:space="preserve">Categoría</t>
  </si>
  <si>
    <t xml:space="preserve">Insumo</t>
  </si>
  <si>
    <t xml:space="preserve">Unidad base</t>
  </si>
  <si>
    <t xml:space="preserve">Cantidad de la presentación</t>
  </si>
  <si>
    <t xml:space="preserve">Precio de compra (MXN)</t>
  </si>
  <si>
    <t xml:space="preserve">Costo por unidad (MXN)</t>
  </si>
  <si>
    <t xml:space="preserve">Proveedor</t>
  </si>
  <si>
    <t xml:space="preserve">Nota</t>
  </si>
  <si>
    <t xml:space="preserve">Caldos y fondos</t>
  </si>
  <si>
    <t xml:space="preserve">Agua</t>
  </si>
  <si>
    <t xml:space="preserve">ml</t>
  </si>
  <si>
    <t xml:space="preserve">Precio de referencia CDMX 2026 — actualízalo con tu precio real</t>
  </si>
  <si>
    <t xml:space="preserve">Caldo de cerdo</t>
  </si>
  <si>
    <t xml:space="preserve">Caldo de frijol</t>
  </si>
  <si>
    <t xml:space="preserve">Caldo de pescado o marisco</t>
  </si>
  <si>
    <t xml:space="preserve">Caldo de pollo</t>
  </si>
  <si>
    <t xml:space="preserve">Carnes</t>
  </si>
  <si>
    <t xml:space="preserve">Barbacoa de borrego</t>
  </si>
  <si>
    <t xml:space="preserve">g</t>
  </si>
  <si>
    <t xml:space="preserve">Carne molida de res</t>
  </si>
  <si>
    <t xml:space="preserve">Conejo</t>
  </si>
  <si>
    <t xml:space="preserve">Costilla de cerdo</t>
  </si>
  <si>
    <t xml:space="preserve">Falda de res</t>
  </si>
  <si>
    <t xml:space="preserve">Pollo de rancho</t>
  </si>
  <si>
    <t xml:space="preserve">Pulpa de cerdo</t>
  </si>
  <si>
    <t xml:space="preserve">Chiles secos</t>
  </si>
  <si>
    <t xml:space="preserve">Chile ancho seco</t>
  </si>
  <si>
    <t xml:space="preserve">pza</t>
  </si>
  <si>
    <t xml:space="preserve">Chile cascabel seco</t>
  </si>
  <si>
    <t xml:space="preserve">Chile chipotle seco</t>
  </si>
  <si>
    <t xml:space="preserve">Chile colorado / de la tierra seco (Anaheim)</t>
  </si>
  <si>
    <t xml:space="preserve">Chile costeño rojo</t>
  </si>
  <si>
    <t xml:space="preserve">Chile guajillo seco</t>
  </si>
  <si>
    <t xml:space="preserve">Chile pasado chihuahuense</t>
  </si>
  <si>
    <t xml:space="preserve">Chile pasilla oaxaqueño</t>
  </si>
  <si>
    <t xml:space="preserve">Chile piquín seco (Simojovel / amashito)</t>
  </si>
  <si>
    <t xml:space="preserve">Endulzantes</t>
  </si>
  <si>
    <t xml:space="preserve">Azúcar de caña</t>
  </si>
  <si>
    <t xml:space="preserve">Piloncillo</t>
  </si>
  <si>
    <t xml:space="preserve">Especias y secos</t>
  </si>
  <si>
    <t xml:space="preserve">Ajonjolí</t>
  </si>
  <si>
    <t xml:space="preserve">Canela en polvo</t>
  </si>
  <si>
    <t xml:space="preserve">Ceniza de olote cernida</t>
  </si>
  <si>
    <t xml:space="preserve">Clavo de olor</t>
  </si>
  <si>
    <t xml:space="preserve">Colorante vegetal comestible</t>
  </si>
  <si>
    <t xml:space="preserve">Comino molido</t>
  </si>
  <si>
    <t xml:space="preserve">Pasta de achiote artesanal</t>
  </si>
  <si>
    <t xml:space="preserve">Polvo para hornear</t>
  </si>
  <si>
    <t xml:space="preserve">Sal de grano</t>
  </si>
  <si>
    <t xml:space="preserve">Semilla de calabaza (pepita)</t>
  </si>
  <si>
    <t xml:space="preserve">Frescos</t>
  </si>
  <si>
    <t xml:space="preserve">Ajo</t>
  </si>
  <si>
    <t xml:space="preserve">Calabacita criolla</t>
  </si>
  <si>
    <t xml:space="preserve">Cebolla blanca</t>
  </si>
  <si>
    <t xml:space="preserve">Chilacayote tierno</t>
  </si>
  <si>
    <t xml:space="preserve">Chile Anaheim fresco</t>
  </si>
  <si>
    <t xml:space="preserve">Chile habanero fresco</t>
  </si>
  <si>
    <t xml:space="preserve">Chile jalapeño fresco</t>
  </si>
  <si>
    <t xml:space="preserve">Chile poblano fresco</t>
  </si>
  <si>
    <t xml:space="preserve">Chile serrano fresco</t>
  </si>
  <si>
    <t xml:space="preserve">Jitomate saladet</t>
  </si>
  <si>
    <t xml:space="preserve">Miltomate (tomate verde)</t>
  </si>
  <si>
    <t xml:space="preserve">Nopal tierno</t>
  </si>
  <si>
    <t xml:space="preserve">Papa</t>
  </si>
  <si>
    <t xml:space="preserve">Pimiento morrón rojo</t>
  </si>
  <si>
    <t xml:space="preserve">Frutas y frutos secos</t>
  </si>
  <si>
    <t xml:space="preserve">Aceituna verde sin hueso</t>
  </si>
  <si>
    <t xml:space="preserve">Almendra</t>
  </si>
  <si>
    <t xml:space="preserve">Pasitas</t>
  </si>
  <si>
    <t xml:space="preserve">Piña miel</t>
  </si>
  <si>
    <t xml:space="preserve">Plátano macho maduro</t>
  </si>
  <si>
    <t xml:space="preserve">Grasas</t>
  </si>
  <si>
    <t xml:space="preserve">Aceite de maíz</t>
  </si>
  <si>
    <t xml:space="preserve">Manteca de cerdo criollo lavada</t>
  </si>
  <si>
    <t xml:space="preserve">Mantequilla de rancho sin sal</t>
  </si>
  <si>
    <t xml:space="preserve">Hierbas</t>
  </si>
  <si>
    <t xml:space="preserve">Cilantro fresco</t>
  </si>
  <si>
    <t xml:space="preserve">Epazote fresco</t>
  </si>
  <si>
    <t xml:space="preserve">Hoja de laurel seca</t>
  </si>
  <si>
    <t xml:space="preserve">Orégano seco oaxaqueño</t>
  </si>
  <si>
    <t xml:space="preserve">Tomillo fresco</t>
  </si>
  <si>
    <t xml:space="preserve">Hojas y envoltura</t>
  </si>
  <si>
    <t xml:space="preserve">Hoja de acuyo (hoja santa) fresca</t>
  </si>
  <si>
    <t xml:space="preserve">Hoja de aguacate criollo</t>
  </si>
  <si>
    <t xml:space="preserve">Hoja verde de caña o de elote</t>
  </si>
  <si>
    <t xml:space="preserve">Totomoxtle (hoja de maíz seca)</t>
  </si>
  <si>
    <t xml:space="preserve">Lácteos</t>
  </si>
  <si>
    <t xml:space="preserve">Crema de rancho</t>
  </si>
  <si>
    <t xml:space="preserve">Huevo</t>
  </si>
  <si>
    <t xml:space="preserve">Leche entera</t>
  </si>
  <si>
    <t xml:space="preserve">Quesillo oaxaqueño artesanal</t>
  </si>
  <si>
    <t xml:space="preserve">Queso Cotija añejo</t>
  </si>
  <si>
    <t xml:space="preserve">Queso de cabra</t>
  </si>
  <si>
    <t xml:space="preserve">Queso fresco de aro oaxaqueño</t>
  </si>
  <si>
    <t xml:space="preserve">Queso menonita</t>
  </si>
  <si>
    <t xml:space="preserve">Líquidos y otros</t>
  </si>
  <si>
    <t xml:space="preserve">Extracto natural de vainilla</t>
  </si>
  <si>
    <t xml:space="preserve">Pulque natural</t>
  </si>
  <si>
    <t xml:space="preserve">Mariscos</t>
  </si>
  <si>
    <t xml:space="preserve">Camarón entero fresco mediano</t>
  </si>
  <si>
    <t xml:space="preserve">Camarón pacotilla</t>
  </si>
  <si>
    <t xml:space="preserve">Filete de pescado blanco</t>
  </si>
  <si>
    <t xml:space="preserve">Pulpo</t>
  </si>
  <si>
    <t xml:space="preserve">Tichinda (almeja de laguna)</t>
  </si>
  <si>
    <t xml:space="preserve">Maíz y masa</t>
  </si>
  <si>
    <t xml:space="preserve">Granos de elote tierno</t>
  </si>
  <si>
    <t xml:space="preserve">Masa de maíz nixtamalizado fresca de molino</t>
  </si>
  <si>
    <t xml:space="preserve">Moles y pastas</t>
  </si>
  <si>
    <t xml:space="preserve">Chocolate de metate oaxaqueño</t>
  </si>
  <si>
    <t xml:space="preserve">Frijol negro</t>
  </si>
  <si>
    <t xml:space="preserve">Pasta de mole negro oaxaqueño</t>
  </si>
  <si>
    <t xml:space="preserve">Preparación derivada de la misma receta (sin costo adicional)</t>
  </si>
  <si>
    <t xml:space="preserve">Salsa concentrada de chile colorado (base)</t>
  </si>
  <si>
    <t xml:space="preserve">Quelites y hongos</t>
  </si>
  <si>
    <t xml:space="preserve">Acelga fresca</t>
  </si>
  <si>
    <t xml:space="preserve">Hoja de chaya fresca</t>
  </si>
  <si>
    <t xml:space="preserve">Hoja de chepil (chipilín) fresca</t>
  </si>
  <si>
    <t xml:space="preserve">2 · RECETAS (LISTA DE MATERIALES)</t>
  </si>
  <si>
    <t xml:space="preserve">Las 51 formulaciones del eBook. Las cantidades son POR LOTE completo, según el rendimiento de cada receta. Ajusta la columna «Cantidad» solo si modificas la receta original.</t>
  </si>
  <si>
    <t xml:space="preserve">Nº</t>
  </si>
  <si>
    <t xml:space="preserve">Receta</t>
  </si>
  <si>
    <t xml:space="preserve">Cantidad</t>
  </si>
  <si>
    <t xml:space="preserve">Unidad</t>
  </si>
  <si>
    <t xml:space="preserve">Costo del ingrediente (MXN)</t>
  </si>
  <si>
    <t xml:space="preserve">Como aparece en el eBook</t>
  </si>
  <si>
    <t xml:space="preserve">Baja California: Tamal Estilo Tijuana de Carne de Res Adobada en Hoja de Maíz</t>
  </si>
  <si>
    <t xml:space="preserve">Masa de maíz nixtamalizado de molienda media</t>
  </si>
  <si>
    <t xml:space="preserve">Manteca de cerdo criollo</t>
  </si>
  <si>
    <t xml:space="preserve">Caldo de res concentrado (tibio y desgrasado)</t>
  </si>
  <si>
    <t xml:space="preserve">Adobo colado de la carne (para teñir y sazonar la masa)</t>
  </si>
  <si>
    <t xml:space="preserve">Sal fina</t>
  </si>
  <si>
    <t xml:space="preserve">Falda o pescuezo de res cocido suave con ajo y cebolla, deshebrado fino</t>
  </si>
  <si>
    <t xml:space="preserve">Chiles anchos desvenados y tostados</t>
  </si>
  <si>
    <t xml:space="preserve">Chiles guajillos tostados</t>
  </si>
  <si>
    <t xml:space="preserve">Dientes de ajo asados</t>
  </si>
  <si>
    <t xml:space="preserve">Cebolla blanca asada</t>
  </si>
  <si>
    <t xml:space="preserve">Orégano seco</t>
  </si>
  <si>
    <t xml:space="preserve">Pizca de comino molido</t>
  </si>
  <si>
    <t xml:space="preserve">Hojas de totomoxtle remojadas en agua tibia</t>
  </si>
  <si>
    <t xml:space="preserve">Baja California Sur: Tamal Sudcaliforniano de Res, Cerdo, Aceitunas y Pasas</t>
  </si>
  <si>
    <t xml:space="preserve">Masa de maíz nixtamalizado fresca</t>
  </si>
  <si>
    <t xml:space="preserve">Manteca de cerdo</t>
  </si>
  <si>
    <t xml:space="preserve">Caldo mixto de res y cerdo tibio</t>
  </si>
  <si>
    <t xml:space="preserve">Falda de res cocida y deshebrada</t>
  </si>
  <si>
    <t xml:space="preserve">Pierna de cerdo cocida y deshebrada</t>
  </si>
  <si>
    <t xml:space="preserve">Chiles anchos y 2 chiles pasilla tostados y licuados con 2 dientes de ajo y 1/4 cebolla</t>
  </si>
  <si>
    <t xml:space="preserve">Aceitunas verdes enteras sin hueso</t>
  </si>
  <si>
    <t xml:space="preserve">Pasitas negras</t>
  </si>
  <si>
    <t xml:space="preserve">Papa grande cocida al dente y cortada en 14 bastones</t>
  </si>
  <si>
    <t xml:space="preserve">Sonora: Tamal de Chile Colorado con Puerco Deshebrado</t>
  </si>
  <si>
    <t xml:space="preserve">Masa de maíz nixtamalizado de textura fina</t>
  </si>
  <si>
    <t xml:space="preserve">Caldo de cocción del cerdo tibio</t>
  </si>
  <si>
    <t xml:space="preserve">Salsa de chile colorado concentrada</t>
  </si>
  <si>
    <t xml:space="preserve">Espaldilla o pierna de cerdo cocida con ajo y cebolla, deshebrada</t>
  </si>
  <si>
    <t xml:space="preserve">Chiles de la tierra (chile colorado de Sonora o chile Anaheim seco) desvenados</t>
  </si>
  <si>
    <t xml:space="preserve">Chiles anchos</t>
  </si>
  <si>
    <t xml:space="preserve">Orégano sonorense</t>
  </si>
  <si>
    <t xml:space="preserve">Aceitunas verdes</t>
  </si>
  <si>
    <t xml:space="preserve">Chiles verdes Anaheim tatemados, limpios y cortados en rajas</t>
  </si>
  <si>
    <t xml:space="preserve">Chihuahua: Tamal Norteño de Chile Pasado con Queso Menonita y Res</t>
  </si>
  <si>
    <t xml:space="preserve">Caldo de res tibio</t>
  </si>
  <si>
    <t xml:space="preserve">Chiles pasados chihuahuenses (chiles verdes asados, pelados y deshidratados al sol)</t>
  </si>
  <si>
    <t xml:space="preserve">Tomates rojos (jitomates) asados</t>
  </si>
  <si>
    <t xml:space="preserve">Cebolla y 2 dientes de ajo asados</t>
  </si>
  <si>
    <t xml:space="preserve">Queso menonita artesanal cortado en 14 bastones de 25 g</t>
  </si>
  <si>
    <t xml:space="preserve">Coahuila: Tamal de Costilla de Puerco en Salsa Verde de Tomatillo y Serrano</t>
  </si>
  <si>
    <t xml:space="preserve">Caldo de costilla de cerdo tibio</t>
  </si>
  <si>
    <t xml:space="preserve">Sal de grano molida</t>
  </si>
  <si>
    <t xml:space="preserve">Costilla de cerdo cocida suave y deshuesada en bocados pequeños</t>
  </si>
  <si>
    <t xml:space="preserve">Tomatillo verde (de cáscara) cocido</t>
  </si>
  <si>
    <t xml:space="preserve">Chiles serranos verdes cocidos</t>
  </si>
  <si>
    <t xml:space="preserve">Dientes de ajo y 1/4 cebolla</t>
  </si>
  <si>
    <t xml:space="preserve">Rama de cilantro fresco</t>
  </si>
  <si>
    <t xml:space="preserve">Nuevo León: Tamal Norteño "De Dedo" de Picadillo Ranchero con Chile Ancho</t>
  </si>
  <si>
    <t xml:space="preserve">Masa de maíz nixtamalizado fresca de textura fina</t>
  </si>
  <si>
    <t xml:space="preserve">Caldo de res concentrado tibio</t>
  </si>
  <si>
    <t xml:space="preserve">Salsa de chile ancho colada (para teñir la masa)</t>
  </si>
  <si>
    <t xml:space="preserve">Carne de res molida o picada finamente a cuchillo</t>
  </si>
  <si>
    <t xml:space="preserve">Dientes de ajo y 1/4 cebolla asados</t>
  </si>
  <si>
    <t xml:space="preserve">Pizca de comino molido y 1 pizca de orégano</t>
  </si>
  <si>
    <t xml:space="preserve">Papa pequeña cocida en cubos diminutos (5 mm)</t>
  </si>
  <si>
    <t xml:space="preserve">Tamaulipas: Tamal de Puerco en Salsa de Chile Cascabel y Comino</t>
  </si>
  <si>
    <t xml:space="preserve">Caldo de cerdo tibio</t>
  </si>
  <si>
    <t xml:space="preserve">Pulpa o pierna de cerdo cocida y deshebrada</t>
  </si>
  <si>
    <t xml:space="preserve">Chiles cascabel tostados y desvenados</t>
  </si>
  <si>
    <t xml:space="preserve">Comino entero tostado y molido en molcajete</t>
  </si>
  <si>
    <t xml:space="preserve">Sinaloa: Tamal Barbón de Escuinapa (Camarones Enteros con Barbas)</t>
  </si>
  <si>
    <t xml:space="preserve">Manteca de cerdo (o manteca vegetal)</t>
  </si>
  <si>
    <t xml:space="preserve">Caldo concentrado de cabezas de camarón tibio</t>
  </si>
  <si>
    <t xml:space="preserve">Salsa de chile guajillo (para dar color rojizo a la masa)</t>
  </si>
  <si>
    <t xml:space="preserve">Camarones medianos enteros y frescos con cabeza y barbas largas (lavados)</t>
  </si>
  <si>
    <t xml:space="preserve">Dientes de ajo asados y 1/4 cebolla</t>
  </si>
  <si>
    <t xml:space="preserve">Pizca de orégano y comino</t>
  </si>
  <si>
    <t xml:space="preserve">Sinaloa / Sonora: Tamal Tonto de Masa con Chile Colorado (Para Caldos)</t>
  </si>
  <si>
    <t xml:space="preserve">Manteca de cerdo criollo de alta calidad</t>
  </si>
  <si>
    <t xml:space="preserve">Caldo de res o cerdo concentrado tibio</t>
  </si>
  <si>
    <t xml:space="preserve">Salsa concentrada de chile colorado (guajillo/Anaheim seco con ajo y comino)</t>
  </si>
  <si>
    <t xml:space="preserve">Michoacán: Corundas Michoacanas Triangulares en Hoja de Caña</t>
  </si>
  <si>
    <t xml:space="preserve">Masa de maíz nixtamalizado con ceniza (molienda quebrada/martajada)</t>
  </si>
  <si>
    <t xml:space="preserve">Manteca de cerdo (o manteca vegetal de calidad)</t>
  </si>
  <si>
    <t xml:space="preserve">Caldo de cerdo o agua tibia</t>
  </si>
  <si>
    <t xml:space="preserve">Hojas verdes largas de caña de maíz (limpias y flexibles)</t>
  </si>
  <si>
    <t xml:space="preserve">Salsa roja de jitomate cocida con chile perón (o chile manzano) y rajas</t>
  </si>
  <si>
    <t xml:space="preserve">Crema ácida de rancho</t>
  </si>
  <si>
    <t xml:space="preserve">Queso Cotija añejo rallado</t>
  </si>
  <si>
    <t xml:space="preserve">Michoacán: Uchepos Tradicionales de Elote Tierno con Mantequilla</t>
  </si>
  <si>
    <t xml:space="preserve">Granos de elote tierno crudo recién desgranado (maíz lechoso criollo)</t>
  </si>
  <si>
    <t xml:space="preserve">Mantequilla de rancho sin sal derretida (o manteca de cerdo lavada)</t>
  </si>
  <si>
    <t xml:space="preserve">Azúcar de caña o piloncillo claro rallado</t>
  </si>
  <si>
    <t xml:space="preserve">Leche entera fresca o nata de rancho</t>
  </si>
  <si>
    <t xml:space="preserve">Hojas verdes frescas de elote (lavadas y escurridas)</t>
  </si>
  <si>
    <t xml:space="preserve">Queso Cotija añejo de Michoacán rallado fino</t>
  </si>
  <si>
    <t xml:space="preserve">Salsa verde cocida de tomatillo con chile serrano y cilantro</t>
  </si>
  <si>
    <t xml:space="preserve">Jalisco: Tamal Tapatío de Lomo de Cerdo en Mole Dulce de Chile Ancho</t>
  </si>
  <si>
    <t xml:space="preserve">Caldo de lomo de cerdo tibio</t>
  </si>
  <si>
    <t xml:space="preserve">Lomo o pulpa de cerdo cocido con laurel, ajo y sal, deshebrado grueso</t>
  </si>
  <si>
    <t xml:space="preserve">Chiles pasilla tostados</t>
  </si>
  <si>
    <t xml:space="preserve">Chocolate de metate oaxaqueño/jalisciense con canela</t>
  </si>
  <si>
    <t xml:space="preserve">Piloncillo rallado</t>
  </si>
  <si>
    <t xml:space="preserve">Ajonjolí tostado</t>
  </si>
  <si>
    <t xml:space="preserve">Pizca de clavo de olor y pimienta gorda</t>
  </si>
  <si>
    <t xml:space="preserve">Jalisco: Tamal de Costilla de Cerdo al Chile Jalapeño Rojo (Los Altos)</t>
  </si>
  <si>
    <t xml:space="preserve">Costilla de cerdo cargada (cocida suave con cebolla y sal, deshuesada y troceada en bocados)</t>
  </si>
  <si>
    <t xml:space="preserve">Chiles jalapeños rojos maduros (asados al comal)</t>
  </si>
  <si>
    <t xml:space="preserve">Pizca de orégano seco de monte</t>
  </si>
  <si>
    <t xml:space="preserve">Guanajuato: Tamal Muerto de Maíz Azul con Piloncillo, Canela y Ceniza de Olote</t>
  </si>
  <si>
    <t xml:space="preserve">Masa de maíz azul nixtamalizado fresca</t>
  </si>
  <si>
    <t xml:space="preserve">Manteca de cerdo lavada o manteca vegetal</t>
  </si>
  <si>
    <t xml:space="preserve">Ceniza cernida de olote de maíz quemado (o cal viva tradicional para fijar color)</t>
  </si>
  <si>
    <t xml:space="preserve">Piloncillo oscuro disuelto en 220 ml de infusión de canela tibia</t>
  </si>
  <si>
    <t xml:space="preserve">Pasta de frijol negro cocido sin sal, refrito con 60 g de piloncillo rallado y canela en polvo</t>
  </si>
  <si>
    <t xml:space="preserve">Guanajuato: Tamal de Acelgas con Queso Fresco y Salsa Verde de Tomatillo</t>
  </si>
  <si>
    <t xml:space="preserve">Manteca de cerdo o mantequilla de rancho</t>
  </si>
  <si>
    <t xml:space="preserve">Caldo de verduras tibio</t>
  </si>
  <si>
    <t xml:space="preserve">Hojas de acelga fresca limpias, sin tallo grueso y finamente picadas</t>
  </si>
  <si>
    <t xml:space="preserve">Queso fresco ranchero o queso panela artesanal (en 14 bastones de 25 g)</t>
  </si>
  <si>
    <t xml:space="preserve">Tomatillo verde cocido con 3 chiles verdes serranos, 1 diente de ajo y 1/4 cebolla</t>
  </si>
  <si>
    <t xml:space="preserve">Rama de cilantro fresco picado</t>
  </si>
  <si>
    <t xml:space="preserve">Aceite o manteca</t>
  </si>
  <si>
    <t xml:space="preserve">Querétaro: Tamal de Queso de Cabra Serrano con Rajas de Chile Cuaresmeño</t>
  </si>
  <si>
    <t xml:space="preserve">Masa de maíz nixtamalizado blanca fresca</t>
  </si>
  <si>
    <t xml:space="preserve">Mantequilla de rancho o manteca de cerdo</t>
  </si>
  <si>
    <t xml:space="preserve">Caldo de verduras aromático tibio</t>
  </si>
  <si>
    <t xml:space="preserve">Queso de cabra fresco artesanal desmoronado (o queso fresco de pasta blanda serrano)</t>
  </si>
  <si>
    <t xml:space="preserve">Chiles cuaresmeños (jalapeños) tatemados, desvenados y cortados en rajas</t>
  </si>
  <si>
    <t xml:space="preserve">Cebolla blanca fileteada</t>
  </si>
  <si>
    <t xml:space="preserve">Dientes de ajo picados</t>
  </si>
  <si>
    <t xml:space="preserve">Rama de epazote fresco picado</t>
  </si>
  <si>
    <t xml:space="preserve">Aguascalientes: Tamal de Calabacitas con Queso de Cuadro y Crema de Rancho</t>
  </si>
  <si>
    <t xml:space="preserve">Manteca de cerdo o mantequilla</t>
  </si>
  <si>
    <t xml:space="preserve">Caldo de verduras o agua tibia</t>
  </si>
  <si>
    <t xml:space="preserve">Calabacitas criollas tiernas cortadas en cubos pequeños (escalfadas 2 min)</t>
  </si>
  <si>
    <t xml:space="preserve">Tomates rojos (jitomates) asados y picados</t>
  </si>
  <si>
    <t xml:space="preserve">Cebolla y 1 diente de ajo picados</t>
  </si>
  <si>
    <t xml:space="preserve">Queso fresco de cuadro oaxaqueño/hidrocálido desmoronado</t>
  </si>
  <si>
    <t xml:space="preserve">Crema de rancho espesa</t>
  </si>
  <si>
    <t xml:space="preserve">Chiles poblanos o poblanos verdes en rajas pequeñas</t>
  </si>
  <si>
    <t xml:space="preserve">Mantequilla o manteca</t>
  </si>
  <si>
    <t xml:space="preserve">Zacatecas: Tamal de Chile Colorado Zacatecano con Pierna de Cerdo Deshebrada</t>
  </si>
  <si>
    <t xml:space="preserve">Caldo de cocción de cerdo tibio</t>
  </si>
  <si>
    <t xml:space="preserve">Salsa concentrada de chile colorado</t>
  </si>
  <si>
    <t xml:space="preserve">Pierna o espaldilla de cerdo cocida suave y deshebrada gruesa</t>
  </si>
  <si>
    <t xml:space="preserve">Chiles guajillos y 3 chiles anchos desvenados y tostados</t>
  </si>
  <si>
    <t xml:space="preserve">Pizca de comino, 2 clavos de olor y 1 pizca de orégano</t>
  </si>
  <si>
    <t xml:space="preserve">San Luis Potosí: Zacahuil Huasteco Tradicional de Masa Martajada (Porción Individual Estandarizada)</t>
  </si>
  <si>
    <t xml:space="preserve">Masa de maíz nixtamalizado martajada gruesa (granos semi-quebrados)</t>
  </si>
  <si>
    <t xml:space="preserve">Manteca de cerdo criollo (sin batir a punto de nieve)</t>
  </si>
  <si>
    <t xml:space="preserve">Caldo de carne concentrado tibio</t>
  </si>
  <si>
    <t xml:space="preserve">Chiles anchos y 4 chiles guajillos licuados en crudo con 3 dientes de ajo y 1/4 cebolla (adobo de masa)</t>
  </si>
  <si>
    <t xml:space="preserve">Pulpa de cerdo en trozos medianos crudos</t>
  </si>
  <si>
    <t xml:space="preserve">Pollo de rancho en trozos crudos deshuesados</t>
  </si>
  <si>
    <t xml:space="preserve">Hojas de papatla o plátano soasadas y alambre/mecate de henequén para atar</t>
  </si>
  <si>
    <t xml:space="preserve">San Luis Potosí: Tamal de Muerto de Maíz Morado con Chile Cascabel y Queso</t>
  </si>
  <si>
    <t xml:space="preserve">Masa de maíz morado o negro nixtamalizado fresca</t>
  </si>
  <si>
    <t xml:space="preserve">Caldo de verduras o agua tibia con ceniza de olote cernida (10 g)</t>
  </si>
  <si>
    <t xml:space="preserve">Queso de rancho potosino (queso fresco de pasta firme) cortado en 14 bastones de 25 g</t>
  </si>
  <si>
    <t xml:space="preserve">Veracruz: Tamal de Cazuela Jarocho de Pollo en Acuyo y Salsa de Guajillo</t>
  </si>
  <si>
    <t xml:space="preserve">Caldo concentrado de pollo tibio</t>
  </si>
  <si>
    <t xml:space="preserve">Pechuga de pollo de rancho cocida y deshebrada gruesa</t>
  </si>
  <si>
    <t xml:space="preserve">Chiles guajillos y 2 chiles anchos tostados y desvenados</t>
  </si>
  <si>
    <t xml:space="preserve">Pizca de comino y 2 pimientas gordas</t>
  </si>
  <si>
    <t xml:space="preserve">Hojas grandes de acuyo (hoja santa) limpias y partidas a la mitad</t>
  </si>
  <si>
    <t xml:space="preserve">Veracruz: Tamal de Masa Colada de Sotavento con Cerdo y Salsa de Jitomate</t>
  </si>
  <si>
    <t xml:space="preserve">Caldo de cerdo colado y desgrasado</t>
  </si>
  <si>
    <t xml:space="preserve">Pierna o espaldilla de cerdo cocida suave y picada en cubos finos</t>
  </si>
  <si>
    <t xml:space="preserve">Jitomates maduros asados y licuados con 2 dientes de ajo y 1/4 cebolla</t>
  </si>
  <si>
    <t xml:space="preserve">Chiles jalapeños o serranos en rajas finas</t>
  </si>
  <si>
    <t xml:space="preserve">Hojas de acuyo picadas finamente</t>
  </si>
  <si>
    <t xml:space="preserve">Veracruz: Tamal de Mariscos y Pescado al Chileajo en Hoja de Plátano</t>
  </si>
  <si>
    <t xml:space="preserve">Manteca de cerdo o aceite de maíz</t>
  </si>
  <si>
    <t xml:space="preserve">Caldo concentrado de cabezas de camarón y pescado tibio</t>
  </si>
  <si>
    <t xml:space="preserve">Filete de robalo o mero cortado en 12 trozos</t>
  </si>
  <si>
    <t xml:space="preserve">Camarón pacotilla limpio</t>
  </si>
  <si>
    <t xml:space="preserve">Chiles guajillos y 2 chiles chipotles secos tostados y remojados</t>
  </si>
  <si>
    <t xml:space="preserve">Hojas de epazote fresco</t>
  </si>
  <si>
    <t xml:space="preserve">Veracruz: Tamal de Frijol con Pipián de Cilantro y Hoja Santa (Papantla)</t>
  </si>
  <si>
    <t xml:space="preserve">Caldo de cocción de frijol o verduras tibio</t>
  </si>
  <si>
    <t xml:space="preserve">Pasta de frijol negro o frijol gordo refrito muy seco con ajo y manteca</t>
  </si>
  <si>
    <t xml:space="preserve">Semillas de calabaza (pepitas) peladas y tostadas al comal</t>
  </si>
  <si>
    <t xml:space="preserve">Manojo abundante de cilantro fresco</t>
  </si>
  <si>
    <t xml:space="preserve">Hojas de hoja santa (acuyo) picadas</t>
  </si>
  <si>
    <t xml:space="preserve">Chiles verdes serranos</t>
  </si>
  <si>
    <t xml:space="preserve">Hidalgo: Tamal de Xojol Huasteco de Piloncillo, Canela y Masa Martajada</t>
  </si>
  <si>
    <t xml:space="preserve">Masa de maíz nixtamalizado martajada gruesa (quebrada)</t>
  </si>
  <si>
    <t xml:space="preserve">Manteca de cerdo criollo lavada (o manteca de rancho)</t>
  </si>
  <si>
    <t xml:space="preserve">Piloncillo oscuro rallado fino o picado en trozos pequeños</t>
  </si>
  <si>
    <t xml:space="preserve">Canela Ceilán en polvo recién molida</t>
  </si>
  <si>
    <t xml:space="preserve">Clavos de olor molidos</t>
  </si>
  <si>
    <t xml:space="preserve">Hidalgo: Tamal de Conejo al Pulque y Chile Guajillo (Valle del Mezquital)</t>
  </si>
  <si>
    <t xml:space="preserve">Caldo concentrado de conejo tibio</t>
  </si>
  <si>
    <t xml:space="preserve">Pulque blanco natural (sin curar)</t>
  </si>
  <si>
    <t xml:space="preserve">Carne de conejo cocida suave y deshebrada gruesa</t>
  </si>
  <si>
    <t xml:space="preserve">Cebolla asada</t>
  </si>
  <si>
    <t xml:space="preserve">Rama de mejorana y 2 hojas de laurel</t>
  </si>
  <si>
    <t xml:space="preserve">Hidalgo: Tamal de Barbacoa de Borrego en Hoja de Maguey y Salsa Borracha</t>
  </si>
  <si>
    <t xml:space="preserve">Grasa superficial del consomé de barbacoa</t>
  </si>
  <si>
    <t xml:space="preserve">Barbacoa de borrego deshebrada tradicional (cocida en horno de tierra)</t>
  </si>
  <si>
    <t xml:space="preserve">Chiles pasilla tostados y licuados con 2 jitomates asados, 1 diente de ajo y 50 ml de pulque</t>
  </si>
  <si>
    <t xml:space="preserve">Pizca de orégano de monte</t>
  </si>
  <si>
    <t xml:space="preserve">Ciudad de México: Tamal Verde Clásico de Pollo con Tomatillo y Chile Cuaresmeño</t>
  </si>
  <si>
    <t xml:space="preserve">Caldo de pollo sazonado tibio</t>
  </si>
  <si>
    <t xml:space="preserve">Pechuga de pollo cocida y deshebrada</t>
  </si>
  <si>
    <t xml:space="preserve">Tomate verde (tomatillo de cáscara) cocido</t>
  </si>
  <si>
    <t xml:space="preserve">Chiles cuaresmeños (jalapeños verdes) o serranos cocidos</t>
  </si>
  <si>
    <t xml:space="preserve">Manojo de cilantro fresco</t>
  </si>
  <si>
    <t xml:space="preserve">Ciudad de México: Tamal Dulce Rosa con Pasitas y Esencia de Vainilla</t>
  </si>
  <si>
    <t xml:space="preserve">Manteca de cerdo lavada en agua helada (o manteca vegetal)</t>
  </si>
  <si>
    <t xml:space="preserve">Azúcar de caña estándar</t>
  </si>
  <si>
    <t xml:space="preserve">Infusión tibia de canela y anís</t>
  </si>
  <si>
    <t xml:space="preserve">Colorante vegetal comestible rosa/rojo tradicional</t>
  </si>
  <si>
    <t xml:space="preserve">Pasitas negras enteras</t>
  </si>
  <si>
    <t xml:space="preserve">Estado de México: Tamal de Ollita / Chuchuluco de Ocoyoacac (Pasilla y Cerdo)</t>
  </si>
  <si>
    <t xml:space="preserve">Masa de maíz nixtamalizado fresca de molienda fina</t>
  </si>
  <si>
    <t xml:space="preserve">Pulpa de cerdo cocida cortada en 12 cubos de 25 g</t>
  </si>
  <si>
    <t xml:space="preserve">Chiles pasilla mexicanos tostados y desvenados</t>
  </si>
  <si>
    <t xml:space="preserve">Tomates verdes (miltomates) asados</t>
  </si>
  <si>
    <t xml:space="preserve">Rama de epazote</t>
  </si>
  <si>
    <t xml:space="preserve">Puebla: Tamal de Mole Poblano Artesanal con Pollo y Ajonjolí</t>
  </si>
  <si>
    <t xml:space="preserve">Pechuga de pollo cocida y deshebrada en hebras gruesas</t>
  </si>
  <si>
    <t xml:space="preserve">Pasta de Mole Poblano tradicional artesanal</t>
  </si>
  <si>
    <t xml:space="preserve">Chocolate de metate con canela</t>
  </si>
  <si>
    <t xml:space="preserve">Ajonjolí blanco tostado en comal</t>
  </si>
  <si>
    <t xml:space="preserve">Puebla: Tamal de Pipián Verde con Cerdo y Chilacayote (Sierra Norte)</t>
  </si>
  <si>
    <t xml:space="preserve">Carne de cerdo (espalda o falda) cocida suave y picada</t>
  </si>
  <si>
    <t xml:space="preserve">Semillas de calabaza (pepitas verdes) tostadas ligeramente</t>
  </si>
  <si>
    <t xml:space="preserve">Chiles serranos o poblanos verdes asados</t>
  </si>
  <si>
    <t xml:space="preserve">Manojo de epazote y hojas de lechuga orejona (para color y frescura)</t>
  </si>
  <si>
    <t xml:space="preserve">Chilacayote tierno cocido al dente y cortado en cubitos</t>
  </si>
  <si>
    <t xml:space="preserve">Tlaxcala: Tamal Tatemado de Frijol con Hojas de Aguacate Criollo</t>
  </si>
  <si>
    <t xml:space="preserve">Manteca de cerdo criollo (o manteca de rancho)</t>
  </si>
  <si>
    <t xml:space="preserve">Caldo de frijol colado o agua tibia</t>
  </si>
  <si>
    <t xml:space="preserve">Frijol negro cocido y escurrido</t>
  </si>
  <si>
    <t xml:space="preserve">Hojas de aguacate criollo seco (tostadas al comal y pulverizadas)</t>
  </si>
  <si>
    <t xml:space="preserve">Chiles serranos secos o chiles chipotles tostados</t>
  </si>
  <si>
    <t xml:space="preserve">Diente de ajo asado</t>
  </si>
  <si>
    <t xml:space="preserve">Tlaxcala: Tamal de Masa con Epazote, Chile Verde y Nopales de Milpa</t>
  </si>
  <si>
    <t xml:space="preserve">Hojas de epazote fresco finamente picadas</t>
  </si>
  <si>
    <t xml:space="preserve">Nopales tiernos cocidos al dente en tiras (bien escurridos)</t>
  </si>
  <si>
    <t xml:space="preserve">Chiles verdes serranos picados finamente</t>
  </si>
  <si>
    <t xml:space="preserve">Cebolla blanca picada</t>
  </si>
  <si>
    <t xml:space="preserve">Queso fresco de aro o panela en 14 tiras</t>
  </si>
  <si>
    <t xml:space="preserve">Morelos: Tamal de Frijol con Manteca y Flor de Tzompantle (Colorín)</t>
  </si>
  <si>
    <t xml:space="preserve">Caldo de frijol o agua tibia</t>
  </si>
  <si>
    <t xml:space="preserve">Frijoles negros o bayos quebrados/refritos espesos</t>
  </si>
  <si>
    <t xml:space="preserve">Chiles guajillos y 2 chiles morita tostados y licuados con 2 jitomates y 1 diente de ajo</t>
  </si>
  <si>
    <t xml:space="preserve">Guerrero: Tamal de Ayocote con Salsa de Chile Chipotle y Manteca</t>
  </si>
  <si>
    <t xml:space="preserve">Caldo de cocción de los ayocotes (tibio)</t>
  </si>
  <si>
    <t xml:space="preserve">Frijoles ayocotes morados o negros cocidos al dente con epazote (escurridos)</t>
  </si>
  <si>
    <t xml:space="preserve">Chiles chipotles secos (mora) tostados y desvenados</t>
  </si>
  <si>
    <t xml:space="preserve">Hojas de aguacate criollo tostadas</t>
  </si>
  <si>
    <t xml:space="preserve">Guerrero: Tamal Costeño de Tichindas con Chile Costeño en Hoja de Plátano</t>
  </si>
  <si>
    <t xml:space="preserve">Jugo filtrado de tichindas tibio</t>
  </si>
  <si>
    <t xml:space="preserve">Chiles costeños rojos tostados</t>
  </si>
  <si>
    <t xml:space="preserve">Jitomates asados al comal</t>
  </si>
  <si>
    <t xml:space="preserve">Manojo de epazote fresco picado</t>
  </si>
  <si>
    <t xml:space="preserve">Guerrero: Tamal Nejo de Maíz con Ceniza de Leña y Mole Verde de Pipián</t>
  </si>
  <si>
    <t xml:space="preserve">Maíz criollo nixtamalizado con ceniza de leña cernida (sin cal, molienda fina y tersa)</t>
  </si>
  <si>
    <t xml:space="preserve">Agua tibia</t>
  </si>
  <si>
    <t xml:space="preserve">Semillas de calabaza tostadas y molidas con epazote, chile verde y miltomate frito en manteca</t>
  </si>
  <si>
    <t xml:space="preserve">Queso fresco de aro desmoronado</t>
  </si>
  <si>
    <t xml:space="preserve">Oaxaca: Tamal de Mole Negro Tradicional con Pollo en Hoja de Plátano</t>
  </si>
  <si>
    <t xml:space="preserve">Caldo de pollo de rancho concentrado tibio</t>
  </si>
  <si>
    <t xml:space="preserve">Pasta de Mole Negro Oaxaqueño auténtico (con chilhuacle negro y chocolate de metate)</t>
  </si>
  <si>
    <t xml:space="preserve">Oaxaca: Tamal de Chepil con Queso Fresco de Aro y Salsa Roja Martajada</t>
  </si>
  <si>
    <t xml:space="preserve">Manteca de cerdo criollo (o mantequilla de rancho)</t>
  </si>
  <si>
    <t xml:space="preserve">Hojas frescas de chepil (chipilín) lavadas, despalilladas y secas</t>
  </si>
  <si>
    <t xml:space="preserve">Queso fresco de aro oaxaqueño cortado en 12 bastones de 25 g</t>
  </si>
  <si>
    <t xml:space="preserve">Jitomates asados al comal martajados con 3 chiles serranos y 1 diente de ajo</t>
  </si>
  <si>
    <t xml:space="preserve">Chiapas: Tamal Chiapaneco de Fiesta con Cerdo, Mole, Ciruela Pasa y Plátano Macho</t>
  </si>
  <si>
    <t xml:space="preserve">Caldo concentrado de cerdo tibio</t>
  </si>
  <si>
    <t xml:space="preserve">Pierna o lomo de cerdo cocido y cortado en trozos medianos</t>
  </si>
  <si>
    <t xml:space="preserve">Chiles anchos tostados y desvenados</t>
  </si>
  <si>
    <t xml:space="preserve">Clavos de olor, 2 pimientas gordas y 1 raja de canela</t>
  </si>
  <si>
    <t xml:space="preserve">Ciruelas pasas enteras sin hueso</t>
  </si>
  <si>
    <t xml:space="preserve">Plátano macho maduro cortado en 12 rebanadas y frito en manteca</t>
  </si>
  <si>
    <t xml:space="preserve">Huevos cocidos duros (cortados en cuartos)</t>
  </si>
  <si>
    <t xml:space="preserve">Pimiento morrón rojo asado y cortado en 12 tiras</t>
  </si>
  <si>
    <t xml:space="preserve">Chiapas: Tamal de Bola de San Cristóbal de Las Casas (Costilla en Chile Simojovel)</t>
  </si>
  <si>
    <t xml:space="preserve">Costilla de cerdo cargada (cocida suave con sal y ajo, cortada en 12 trozos con huesito)</t>
  </si>
  <si>
    <t xml:space="preserve">Chiles Simojovel secos (chile piquín seco chiapaneco) tostados al comal</t>
  </si>
  <si>
    <t xml:space="preserve">Chiles anchos tostados</t>
  </si>
  <si>
    <t xml:space="preserve">Pizca de tomillo y orégano seco</t>
  </si>
  <si>
    <t xml:space="preserve">Chiapas: Tamal de Chipilín con Camarón Seco y Queso Crema de Cuadro</t>
  </si>
  <si>
    <t xml:space="preserve">Caldo colado de camarón tibio</t>
  </si>
  <si>
    <t xml:space="preserve">Hojas frescas de chipilín (limpias y secas)</t>
  </si>
  <si>
    <t xml:space="preserve">Camarón seco chiapaneco (remojado en agua tibia 15 min, escurrido y salteado en 15 ml de manteca)</t>
  </si>
  <si>
    <t xml:space="preserve">Queso crema de cuadro chiapaneco artesanal cortado en 12 bastones de 25 g</t>
  </si>
  <si>
    <t xml:space="preserve">Tomates rojos (jitomates) asados y martajados con 1 chile verde para salsear</t>
  </si>
  <si>
    <t xml:space="preserve">Tabasco: Tamal de Manea / Caminito con Res y Cerdo Salpicada en Masa Martajada</t>
  </si>
  <si>
    <t xml:space="preserve">Masa de maíz nixtamalizado martajada (molienda quebrada/media)</t>
  </si>
  <si>
    <t xml:space="preserve">Carne de res (falda) cocida y deshebrada fina</t>
  </si>
  <si>
    <t xml:space="preserve">Carne de cerdo (pierna) cocida y deshebrada fina</t>
  </si>
  <si>
    <t xml:space="preserve">Manojo de cilantro cimarrón (cilantro de hoja ancha) picado fino</t>
  </si>
  <si>
    <t xml:space="preserve">Manojo de epazote y cebollín picados</t>
  </si>
  <si>
    <t xml:space="preserve">Jitomates y 1/4 cebolla licuados y fritos en 20 ml de manteca (recaudo tabasqueño)</t>
  </si>
  <si>
    <t xml:space="preserve">Tabasco: Tamal de Masa Colada de Pejelagarto al Chileamash en Hoja de To</t>
  </si>
  <si>
    <t xml:space="preserve">Caldo colado ligero de pescado tibio</t>
  </si>
  <si>
    <t xml:space="preserve">Carne limpia de pejelagarto asado a la leña y deshebrado (sin espinas ni piel dura)</t>
  </si>
  <si>
    <t xml:space="preserve">Jitomates maduros asados y picados</t>
  </si>
  <si>
    <t xml:space="preserve">Chiles amashito (chile amash / piquín verde tabasqueño) machacados</t>
  </si>
  <si>
    <t xml:space="preserve">Cebolla blanca y 2 dientes de ajo picados</t>
  </si>
  <si>
    <t xml:space="preserve">Rama de epazote y cilantro de monte picados</t>
  </si>
  <si>
    <t xml:space="preserve">Tabasco: Tamal de Chipilín con Queso de Hebra Tabasqueño en Hoja de Plátano</t>
  </si>
  <si>
    <t xml:space="preserve">Hojas frescas de chipilín (lavadas y secas)</t>
  </si>
  <si>
    <t xml:space="preserve">Queso de hebra artesanal tabasqueño (tipo quesillo local) en 12 bastones de 30 g</t>
  </si>
  <si>
    <t xml:space="preserve">Jitomates maduros asados y licuados con 1/4 cebolla, 1 diente de ajo y 1 chile amashito</t>
  </si>
  <si>
    <t xml:space="preserve">Campeche: Tamal Colado Campechano de Pollo en Achiote con Pasas y Almendras</t>
  </si>
  <si>
    <t xml:space="preserve">Caldo concentrado de pollo colado y desgrasado</t>
  </si>
  <si>
    <t xml:space="preserve">Pechuga o muslo de pollo cocido en caldo aromático con recado rojo, deshebrado grueso</t>
  </si>
  <si>
    <t xml:space="preserve">Pasta de recado rojo artesanal (achiote)</t>
  </si>
  <si>
    <t xml:space="preserve">Aceitunas verdes sin hueso</t>
  </si>
  <si>
    <t xml:space="preserve">Almendras tostadas</t>
  </si>
  <si>
    <t xml:space="preserve">Campeche: Tamal de Cazón Guisado con Epazote y Chiltomate en Hoja de Plátano</t>
  </si>
  <si>
    <t xml:space="preserve">Caldo de pescado tibio</t>
  </si>
  <si>
    <t xml:space="preserve">Cebolla morada y 2 dientes de ajo picados</t>
  </si>
  <si>
    <t xml:space="preserve">Manojo abundante de epazote fresco picado</t>
  </si>
  <si>
    <t xml:space="preserve">Chile habanero entero tatemado (para aromatizar el sofrito sin reventar)</t>
  </si>
  <si>
    <t xml:space="preserve">Yucatán: Mucbipollo (Pib) Tradicional Enterrado con Pollo, Cerdo, Xpelón y Kol</t>
  </si>
  <si>
    <t xml:space="preserve">Masa de maíz nixtamalizado de molienda quebrada/media</t>
  </si>
  <si>
    <t xml:space="preserve">Manteca de cerdo criollo lavada (preferiblemente coloreada con achiote)</t>
  </si>
  <si>
    <t xml:space="preserve">Frijoles xpelón tiernos (frijol negro nuevo yucateco, lavados y crudos)</t>
  </si>
  <si>
    <t xml:space="preserve">Caldo del guisado tibio</t>
  </si>
  <si>
    <t xml:space="preserve">Pollo en trozos pequeños cocido con recado de pib (achiote, orégano yucateco, ajo y naranja agria)</t>
  </si>
  <si>
    <t xml:space="preserve">Espaldilla de cerdo en trozos pequeños cocida con el mismo recado</t>
  </si>
  <si>
    <t xml:space="preserve">Tomates rebanados (para colocar sobre la carne)</t>
  </si>
  <si>
    <t xml:space="preserve">Yucatán: Tamal de Brazo de Reina (Dzotobilchay) con Chaya, Pepita y Huevo Duro</t>
  </si>
  <si>
    <t xml:space="preserve">Manteca de cerdo criollo (o manteca vegetal)</t>
  </si>
  <si>
    <t xml:space="preserve">Hojas de chaya fresca limpias, despalilladas, hervidas 5 min y finamente picadas</t>
  </si>
  <si>
    <t xml:space="preserve">Semillas de calabaza gruesas (pepita menuda yucateca) tostadas y molidas en polvo fino</t>
  </si>
  <si>
    <t xml:space="preserve">Huevos cocidos duros (cortados a lo largo)</t>
  </si>
  <si>
    <t xml:space="preserve">Salsa chiltomate (jitomates asados cocidos con cebolla morada, epazote y chile habanero entero)</t>
  </si>
  <si>
    <t xml:space="preserve">Quintana Roo: Tamal Caribeño de Mariscos en Achiote y Habanero Tatemado</t>
  </si>
  <si>
    <t xml:space="preserve">Pasta de recado rojo artesanal (disuelta en 30 ml de caldo para teñir la masa)</t>
  </si>
  <si>
    <t xml:space="preserve">Camarón pacotilla limpio troceado</t>
  </si>
  <si>
    <t xml:space="preserve">Pulpa de pulpo o calamar cocido troceado</t>
  </si>
  <si>
    <t xml:space="preserve">Pasta de recado rojo (achiote) disuelta en 40 ml de jugo de naranja agria</t>
  </si>
  <si>
    <t xml:space="preserve">Chiles habaneros tatemados al comal y finamente picados</t>
  </si>
  <si>
    <t xml:space="preserve">Cebolla morada picada</t>
  </si>
  <si>
    <t xml:space="preserve">Rama de orégano fresco de la península</t>
  </si>
  <si>
    <t xml:space="preserve">Aceite de coco neutro o manteca</t>
  </si>
  <si>
    <t xml:space="preserve">3 · COSTEO Y PRECIO DE VENTA POR RECETA</t>
  </si>
  <si>
    <t xml:space="preserve">Edita solo las celdas azules: piezas por lote, empaque, energía, minutos de trabajo y % de merma. Todo lo demás se calcula.</t>
  </si>
  <si>
    <t xml:space="preserve">PARÁMETROS GLOBALES · márgenes recomendados por canal (Cap. 15.3 del eBook)</t>
  </si>
  <si>
    <t xml:space="preserve">Margen objetivo — Menudeo por pieza</t>
  </si>
  <si>
    <t xml:space="preserve">Rango del libro: 45 % – 55 %</t>
  </si>
  <si>
    <t xml:space="preserve">Margen objetivo — Docena por encargo</t>
  </si>
  <si>
    <t xml:space="preserve">Rango del libro: 38 % – 48 %</t>
  </si>
  <si>
    <t xml:space="preserve">Margen objetivo — Evento y banquete</t>
  </si>
  <si>
    <t xml:space="preserve">Rango del libro: 50 % – 62 %</t>
  </si>
  <si>
    <t xml:space="preserve">Margen objetivo — Mayoreo / reventa</t>
  </si>
  <si>
    <t xml:space="preserve">Rango del libro: 25 % – 35 %</t>
  </si>
  <si>
    <t xml:space="preserve">Costo de mano de obra por hora (viene de Gastos Fijos)</t>
  </si>
  <si>
    <t xml:space="preserve">Overhead por pieza (viene de Gastos Fijos)</t>
  </si>
  <si>
    <t xml:space="preserve">% de merma por defecto</t>
  </si>
  <si>
    <t xml:space="preserve">Principiante 15–25 % · Intermedio 8–15 % · Avanzado 3–8 %</t>
  </si>
  <si>
    <t xml:space="preserve">Piezas por lote</t>
  </si>
  <si>
    <t xml:space="preserve">Costo de insumos del lote</t>
  </si>
  <si>
    <t xml:space="preserve">Costo de insumos por pieza</t>
  </si>
  <si>
    <t xml:space="preserve">Empaque</t>
  </si>
  <si>
    <t xml:space="preserve">Energía y consumibles</t>
  </si>
  <si>
    <t xml:space="preserve">Minutos por pieza</t>
  </si>
  <si>
    <t xml:space="preserve">Mano de obra</t>
  </si>
  <si>
    <t xml:space="preserve">Overhead</t>
  </si>
  <si>
    <t xml:space="preserve">COSTO BASE</t>
  </si>
  <si>
    <t xml:space="preserve">% Merma</t>
  </si>
  <si>
    <t xml:space="preserve">COSTO TOTAL UNITARIO</t>
  </si>
  <si>
    <t xml:space="preserve">PVP Menudeo</t>
  </si>
  <si>
    <t xml:space="preserve">Utilidad Menudeo</t>
  </si>
  <si>
    <t xml:space="preserve">PVP Docena</t>
  </si>
  <si>
    <t xml:space="preserve">Utilidad Docena</t>
  </si>
  <si>
    <t xml:space="preserve">PVP Evento</t>
  </si>
  <si>
    <t xml:space="preserve">Utilidad Evento</t>
  </si>
  <si>
    <t xml:space="preserve">PVP Mayoreo</t>
  </si>
  <si>
    <t xml:space="preserve">Utilidad Mayoreo</t>
  </si>
  <si>
    <t xml:space="preserve">Margen real Menudeo</t>
  </si>
  <si>
    <t xml:space="preserve">4 · BITÁCORA DE PRODUCCIÓN Y MERMA</t>
  </si>
  <si>
    <t xml:space="preserve">Registra cada lote. La hoja calcula tu merma real y cuánto dinero se fue a la basura.</t>
  </si>
  <si>
    <t xml:space="preserve">Piezas buenas acumuladas</t>
  </si>
  <si>
    <t xml:space="preserve">Piezas falladas acumuladas</t>
  </si>
  <si>
    <t xml:space="preserve">% de merma real acumulada</t>
  </si>
  <si>
    <t xml:space="preserve">Costo acumulado de la merma</t>
  </si>
  <si>
    <t xml:space="preserve">Fecha</t>
  </si>
  <si>
    <t xml:space="preserve">Lote</t>
  </si>
  <si>
    <t xml:space="preserve">Nº receta</t>
  </si>
  <si>
    <t xml:space="preserve">Piezas planeadas</t>
  </si>
  <si>
    <t xml:space="preserve">Piezas buenas</t>
  </si>
  <si>
    <t xml:space="preserve">Piezas falladas</t>
  </si>
  <si>
    <t xml:space="preserve">% merma real</t>
  </si>
  <si>
    <t xml:space="preserve">Causa principal</t>
  </si>
  <si>
    <t xml:space="preserve">Costo unitario</t>
  </si>
  <si>
    <t xml:space="preserve">Costo de la merma</t>
  </si>
  <si>
    <t xml:space="preserve">Notas</t>
  </si>
  <si>
    <t xml:space="preserve">L-2608-01</t>
  </si>
  <si>
    <t xml:space="preserve">Tamal abierto en la vaporera</t>
  </si>
  <si>
    <t xml:space="preserve">L-2608-02</t>
  </si>
  <si>
    <t xml:space="preserve">Masa cruda al centro</t>
  </si>
  <si>
    <t xml:space="preserve">5 · BITÁCORA DE VENTAS</t>
  </si>
  <si>
    <t xml:space="preserve">Una línea por venta. La utilidad neta descuenta el costo real y la comisión de plataforma.</t>
  </si>
  <si>
    <t xml:space="preserve">Piezas vendidas acumuladas</t>
  </si>
  <si>
    <t xml:space="preserve">Ingreso total acumulado</t>
  </si>
  <si>
    <t xml:space="preserve">Utilidad neta total acumulada</t>
  </si>
  <si>
    <t xml:space="preserve">Margen neto promedio</t>
  </si>
  <si>
    <t xml:space="preserve">Canal</t>
  </si>
  <si>
    <t xml:space="preserve">Piezas</t>
  </si>
  <si>
    <t xml:space="preserve">Precio unitario</t>
  </si>
  <si>
    <t xml:space="preserve">Ingreso</t>
  </si>
  <si>
    <t xml:space="preserve">Costo total</t>
  </si>
  <si>
    <t xml:space="preserve">Comisión %</t>
  </si>
  <si>
    <t xml:space="preserve">Comisión $</t>
  </si>
  <si>
    <t xml:space="preserve">Utilidad neta</t>
  </si>
  <si>
    <t xml:space="preserve">Margen %</t>
  </si>
  <si>
    <t xml:space="preserve">Cliente / Notas</t>
  </si>
  <si>
    <t xml:space="preserve">Menudeo por pieza</t>
  </si>
  <si>
    <t xml:space="preserve">Docena por encargo</t>
  </si>
  <si>
    <t xml:space="preserve">Evento y banquete</t>
  </si>
  <si>
    <t xml:space="preserve">6 · GASTOS FIJOS, MANO DE OBRA Y PUNTO DE EQUILIBRIO</t>
  </si>
  <si>
    <t xml:space="preserve">De aquí salen el overhead por pieza y el costo por hora que usa la hoja de costeo.</t>
  </si>
  <si>
    <t xml:space="preserve">A · GASTOS FIJOS MENSUALES (MXN)</t>
  </si>
  <si>
    <t xml:space="preserve">Renta del espacio de producción</t>
  </si>
  <si>
    <t xml:space="preserve">Gas de la vaporera y servicios</t>
  </si>
  <si>
    <t xml:space="preserve">Internet y telefonía</t>
  </si>
  <si>
    <t xml:space="preserve">Publicidad y anuncios pagados</t>
  </si>
  <si>
    <t xml:space="preserve">Papelería, limpieza y consumibles generales</t>
  </si>
  <si>
    <t xml:space="preserve">Suscripciones y software (diseño, facturación)</t>
  </si>
  <si>
    <t xml:space="preserve">Transporte y repartos</t>
  </si>
  <si>
    <t xml:space="preserve">Depreciación de equipo (vaporera, congelador)</t>
  </si>
  <si>
    <t xml:space="preserve">Sueldos fijos de terceros</t>
  </si>
  <si>
    <t xml:space="preserve">Otros gastos fijos</t>
  </si>
  <si>
    <t xml:space="preserve">TOTAL DE GASTOS FIJOS AL MES</t>
  </si>
  <si>
    <t xml:space="preserve">B · OVERHEAD POR PIEZA</t>
  </si>
  <si>
    <t xml:space="preserve">Piezas que produces al mes (estimado)</t>
  </si>
  <si>
    <t xml:space="preserve">Overhead prorrateado por pieza</t>
  </si>
  <si>
    <t xml:space="preserve">Se enlaza automáticamente a la hoja «3. Costeo y Precios».</t>
  </si>
  <si>
    <t xml:space="preserve">C · COSTO DE TU MANO DE OBRA</t>
  </si>
  <si>
    <t xml:space="preserve">Sueldo mensual que quieres cobrarte (MXN)</t>
  </si>
  <si>
    <t xml:space="preserve">Horas de trabajo al mes</t>
  </si>
  <si>
    <t xml:space="preserve">Costo de mano de obra por hora</t>
  </si>
  <si>
    <t xml:space="preserve">D · PUNTO DE EQUILIBRIO</t>
  </si>
  <si>
    <t xml:space="preserve">Precio de venta promedio por pieza</t>
  </si>
  <si>
    <t xml:space="preserve">Promedio del PVP sugerido del canal Menudeo por pieza.</t>
  </si>
  <si>
    <t xml:space="preserve">Costo total unitario promedio</t>
  </si>
  <si>
    <t xml:space="preserve">Margen de contribución por pieza</t>
  </si>
  <si>
    <t xml:space="preserve">PIEZAS QUE DEBES VENDER AL MES PARA NO PERDER</t>
  </si>
  <si>
    <t xml:space="preserve">Ingreso mensual de equilibrio</t>
  </si>
  <si>
    <t xml:space="preserve">7 · TABLERO DEL MES</t>
  </si>
  <si>
    <t xml:space="preserve">Escribe cualquier día del mes que quieras analizar y todo el tablero se actualiza.</t>
  </si>
  <si>
    <t xml:space="preserve">Mes a analizar (escribe cualquier fecha de ese mes)</t>
  </si>
  <si>
    <t xml:space="preserve">Inicio del periodo</t>
  </si>
  <si>
    <t xml:space="preserve">Fin del periodo (exclusivo)</t>
  </si>
  <si>
    <t xml:space="preserve">PRODUCCIÓN Y MERMA DEL MES</t>
  </si>
  <si>
    <t xml:space="preserve">Piezas vendidas</t>
  </si>
  <si>
    <t xml:space="preserve">Piezas buenas producidas</t>
  </si>
  <si>
    <t xml:space="preserve">Ingreso del mes</t>
  </si>
  <si>
    <t xml:space="preserve">Costo de producto vendido</t>
  </si>
  <si>
    <t xml:space="preserve">% de merma del mes</t>
  </si>
  <si>
    <t xml:space="preserve">Utilidad neta del mes</t>
  </si>
  <si>
    <t xml:space="preserve">Dinero perdido en merma</t>
  </si>
  <si>
    <t xml:space="preserve">Margen neto</t>
  </si>
  <si>
    <t xml:space="preserve">Merma como % del ingreso</t>
  </si>
  <si>
    <t xml:space="preserve">Ticket promedio por pieza</t>
  </si>
  <si>
    <t xml:space="preserve">Punto de equilibrio (piezas)</t>
  </si>
  <si>
    <t xml:space="preserve">Avance al punto de equilibrio</t>
  </si>
  <si>
    <t xml:space="preserve">Utilidad después de gastos fijos</t>
  </si>
  <si>
    <t xml:space="preserve">VENTAS POR CANAL</t>
  </si>
  <si>
    <t xml:space="preserve">Mayoreo / reventa</t>
  </si>
  <si>
    <t xml:space="preserve">Temporada</t>
  </si>
  <si>
    <t xml:space="preserve">Venta en línea</t>
  </si>
  <si>
    <t xml:space="preserve">DESEMPEÑO POR RECETA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</si>
</sst>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\$#,##0.00"/>
    <numFmt numFmtId="167" formatCode="\$#,##0.0000"/>
    <numFmt numFmtId="168" formatCode="0.0%"/>
    <numFmt numFmtId="169" formatCode="#,##0"/>
    <numFmt numFmtId="170" formatCode="\$#,##0"/>
    <numFmt numFmtId="171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E1454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11"/>
      <color rgb="FF7A2E7E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9"/>
      <color rgb="FF2A133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B03A2E"/>
      <name val="Arial"/>
      <family val="0"/>
      <charset val="1"/>
    </font>
    <font>
      <sz val="8"/>
      <color rgb="FF6B5470"/>
      <name val="Arial"/>
      <family val="0"/>
      <charset val="1"/>
    </font>
    <font>
      <sz val="10"/>
      <color rgb="FF2A133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9C9C9C"/>
      <name val="Arial"/>
      <family val="0"/>
      <charset val="1"/>
    </font>
    <font>
      <b val="true"/>
      <sz val="9"/>
      <color rgb="FF4E145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b val="true"/>
      <sz val="12"/>
      <color rgb="FF4E145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E1454"/>
        <bgColor rgb="FF2A1330"/>
      </patternFill>
    </fill>
    <fill>
      <patternFill patternType="solid">
        <fgColor rgb="FFFFFDF5"/>
        <bgColor rgb="FFFFFFFF"/>
      </patternFill>
    </fill>
    <fill>
      <patternFill patternType="solid">
        <fgColor rgb="FFF0E3D2"/>
        <bgColor rgb="FFE7DCC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DC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DF5"/>
      <rgbColor rgb="FFCCFFFF"/>
      <rgbColor rgb="FF4E1454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3D2"/>
      <rgbColor rgb="FFFFFF99"/>
      <rgbColor rgb="FF99CCFF"/>
      <rgbColor rgb="FFFF99CC"/>
      <rgbColor rgb="FFCC99FF"/>
      <rgbColor rgb="FFE7DCCB"/>
      <rgbColor rgb="FF3366FF"/>
      <rgbColor rgb="FF33CCCC"/>
      <rgbColor rgb="FF99CC00"/>
      <rgbColor rgb="FFFFCC00"/>
      <rgbColor rgb="FFFF9900"/>
      <rgbColor rgb="FFFF6600"/>
      <rgbColor rgb="FF6B5470"/>
      <rgbColor rgb="FF9C9C9C"/>
      <rgbColor rgb="FF003366"/>
      <rgbColor rgb="FF339966"/>
      <rgbColor rgb="FF003300"/>
      <rgbColor rgb="FF333300"/>
      <rgbColor rgb="FFB03A2E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2" customFormat="false" ht="30" hidden="false" customHeight="true" outlineLevel="0" collapsed="false">
      <c r="B12" s="4" t="s">
        <v>17</v>
      </c>
      <c r="C12" s="5" t="s">
        <v>18</v>
      </c>
    </row>
    <row r="13" customFormat="false" ht="15" hidden="false" customHeight="false" outlineLevel="0" collapsed="false">
      <c r="B13" s="3" t="s">
        <v>19</v>
      </c>
    </row>
    <row r="14" customFormat="false" ht="30" hidden="false" customHeight="true" outlineLevel="0" collapsed="false">
      <c r="B14" s="4" t="s">
        <v>20</v>
      </c>
      <c r="C14" s="5" t="s">
        <v>21</v>
      </c>
    </row>
    <row r="15" customFormat="false" ht="30" hidden="false" customHeight="true" outlineLevel="0" collapsed="false">
      <c r="B15" s="4" t="s">
        <v>22</v>
      </c>
      <c r="C15" s="5" t="s">
        <v>23</v>
      </c>
    </row>
    <row r="16" customFormat="false" ht="30" hidden="false" customHeight="true" outlineLevel="0" collapsed="false">
      <c r="B16" s="4" t="s">
        <v>24</v>
      </c>
      <c r="C16" s="5" t="s">
        <v>25</v>
      </c>
    </row>
    <row r="17" customFormat="false" ht="15" hidden="false" customHeight="false" outlineLevel="0" collapsed="false">
      <c r="B17" s="3" t="s">
        <v>26</v>
      </c>
    </row>
    <row r="18" customFormat="false" ht="30" hidden="false" customHeight="true" outlineLevel="0" collapsed="false">
      <c r="B18" s="4" t="s">
        <v>27</v>
      </c>
      <c r="C18" s="5" t="s">
        <v>28</v>
      </c>
    </row>
    <row r="19" customFormat="false" ht="30" hidden="false" customHeight="true" outlineLevel="0" collapsed="false">
      <c r="B19" s="4" t="s">
        <v>29</v>
      </c>
      <c r="C19" s="5" t="s">
        <v>30</v>
      </c>
    </row>
    <row r="20" customFormat="false" ht="30" hidden="false" customHeight="true" outlineLevel="0" collapsed="false">
      <c r="B20" s="4" t="s">
        <v>31</v>
      </c>
      <c r="C20" s="5" t="s">
        <v>32</v>
      </c>
    </row>
    <row r="21" customFormat="false" ht="30" hidden="false" customHeight="true" outlineLevel="0" collapsed="false">
      <c r="B21" s="4" t="s">
        <v>33</v>
      </c>
      <c r="C21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27.75" hidden="false" customHeight="true" outlineLevel="0" collapsed="false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/>
      <c r="I4" s="6" t="s">
        <v>44</v>
      </c>
    </row>
    <row r="5" customFormat="false" ht="15" hidden="false" customHeight="false" outlineLevel="0" collapsed="false">
      <c r="A5" s="7" t="s">
        <v>45</v>
      </c>
      <c r="B5" s="7" t="s">
        <v>46</v>
      </c>
      <c r="C5" s="7" t="s">
        <v>47</v>
      </c>
      <c r="D5" s="8" t="n">
        <v>1000</v>
      </c>
      <c r="E5" s="9" t="n">
        <v>1</v>
      </c>
      <c r="F5" s="10" t="n">
        <f aca="false">IFERROR(E5/D5,0)</f>
        <v>0.001</v>
      </c>
      <c r="G5" s="11"/>
      <c r="I5" s="12" t="s">
        <v>48</v>
      </c>
    </row>
    <row r="6" customFormat="false" ht="15" hidden="false" customHeight="false" outlineLevel="0" collapsed="false">
      <c r="A6" s="7" t="s">
        <v>45</v>
      </c>
      <c r="B6" s="7" t="s">
        <v>49</v>
      </c>
      <c r="C6" s="7" t="s">
        <v>47</v>
      </c>
      <c r="D6" s="8" t="n">
        <v>1000</v>
      </c>
      <c r="E6" s="9" t="n">
        <v>32</v>
      </c>
      <c r="F6" s="10" t="n">
        <f aca="false">IFERROR(E6/D6,0)</f>
        <v>0.032</v>
      </c>
      <c r="G6" s="11"/>
    </row>
    <row r="7" customFormat="false" ht="15" hidden="false" customHeight="false" outlineLevel="0" collapsed="false">
      <c r="A7" s="7" t="s">
        <v>45</v>
      </c>
      <c r="B7" s="7" t="s">
        <v>50</v>
      </c>
      <c r="C7" s="7" t="s">
        <v>47</v>
      </c>
      <c r="D7" s="8" t="n">
        <v>1000</v>
      </c>
      <c r="E7" s="9" t="n">
        <v>18</v>
      </c>
      <c r="F7" s="10" t="n">
        <f aca="false">IFERROR(E7/D7,0)</f>
        <v>0.018</v>
      </c>
      <c r="G7" s="11"/>
    </row>
    <row r="8" customFormat="false" ht="15" hidden="false" customHeight="false" outlineLevel="0" collapsed="false">
      <c r="A8" s="7" t="s">
        <v>45</v>
      </c>
      <c r="B8" s="7" t="s">
        <v>51</v>
      </c>
      <c r="C8" s="7" t="s">
        <v>47</v>
      </c>
      <c r="D8" s="8" t="n">
        <v>1000</v>
      </c>
      <c r="E8" s="9" t="n">
        <v>38</v>
      </c>
      <c r="F8" s="10" t="n">
        <f aca="false">IFERROR(E8/D8,0)</f>
        <v>0.038</v>
      </c>
      <c r="G8" s="11"/>
    </row>
    <row r="9" customFormat="false" ht="15" hidden="false" customHeight="false" outlineLevel="0" collapsed="false">
      <c r="A9" s="7" t="s">
        <v>45</v>
      </c>
      <c r="B9" s="7" t="s">
        <v>52</v>
      </c>
      <c r="C9" s="7" t="s">
        <v>47</v>
      </c>
      <c r="D9" s="8" t="n">
        <v>1000</v>
      </c>
      <c r="E9" s="9" t="n">
        <v>30</v>
      </c>
      <c r="F9" s="10" t="n">
        <f aca="false">IFERROR(E9/D9,0)</f>
        <v>0.03</v>
      </c>
      <c r="G9" s="11"/>
    </row>
    <row r="10" customFormat="false" ht="15" hidden="false" customHeight="false" outlineLevel="0" collapsed="false">
      <c r="A10" s="7" t="s">
        <v>53</v>
      </c>
      <c r="B10" s="7" t="s">
        <v>54</v>
      </c>
      <c r="C10" s="7" t="s">
        <v>55</v>
      </c>
      <c r="D10" s="8" t="n">
        <v>1000</v>
      </c>
      <c r="E10" s="9" t="n">
        <v>420</v>
      </c>
      <c r="F10" s="10" t="n">
        <f aca="false">IFERROR(E10/D10,0)</f>
        <v>0.42</v>
      </c>
      <c r="G10" s="11"/>
    </row>
    <row r="11" customFormat="false" ht="15" hidden="false" customHeight="false" outlineLevel="0" collapsed="false">
      <c r="A11" s="7" t="s">
        <v>53</v>
      </c>
      <c r="B11" s="7" t="s">
        <v>56</v>
      </c>
      <c r="C11" s="7" t="s">
        <v>55</v>
      </c>
      <c r="D11" s="8" t="n">
        <v>1000</v>
      </c>
      <c r="E11" s="9" t="n">
        <v>190</v>
      </c>
      <c r="F11" s="10" t="n">
        <f aca="false">IFERROR(E11/D11,0)</f>
        <v>0.19</v>
      </c>
      <c r="G11" s="11"/>
    </row>
    <row r="12" customFormat="false" ht="15" hidden="false" customHeight="false" outlineLevel="0" collapsed="false">
      <c r="A12" s="7" t="s">
        <v>53</v>
      </c>
      <c r="B12" s="7" t="s">
        <v>57</v>
      </c>
      <c r="C12" s="7" t="s">
        <v>55</v>
      </c>
      <c r="D12" s="8" t="n">
        <v>1000</v>
      </c>
      <c r="E12" s="9" t="n">
        <v>290</v>
      </c>
      <c r="F12" s="10" t="n">
        <f aca="false">IFERROR(E12/D12,0)</f>
        <v>0.29</v>
      </c>
      <c r="G12" s="11"/>
    </row>
    <row r="13" customFormat="false" ht="15" hidden="false" customHeight="false" outlineLevel="0" collapsed="false">
      <c r="A13" s="7" t="s">
        <v>53</v>
      </c>
      <c r="B13" s="7" t="s">
        <v>58</v>
      </c>
      <c r="C13" s="7" t="s">
        <v>55</v>
      </c>
      <c r="D13" s="8" t="n">
        <v>1000</v>
      </c>
      <c r="E13" s="9" t="n">
        <v>175</v>
      </c>
      <c r="F13" s="10" t="n">
        <f aca="false">IFERROR(E13/D13,0)</f>
        <v>0.175</v>
      </c>
      <c r="G13" s="11"/>
    </row>
    <row r="14" customFormat="false" ht="15" hidden="false" customHeight="false" outlineLevel="0" collapsed="false">
      <c r="A14" s="7" t="s">
        <v>53</v>
      </c>
      <c r="B14" s="7" t="s">
        <v>59</v>
      </c>
      <c r="C14" s="7" t="s">
        <v>55</v>
      </c>
      <c r="D14" s="8" t="n">
        <v>1000</v>
      </c>
      <c r="E14" s="9" t="n">
        <v>210</v>
      </c>
      <c r="F14" s="10" t="n">
        <f aca="false">IFERROR(E14/D14,0)</f>
        <v>0.21</v>
      </c>
      <c r="G14" s="11"/>
    </row>
    <row r="15" customFormat="false" ht="15" hidden="false" customHeight="false" outlineLevel="0" collapsed="false">
      <c r="A15" s="7" t="s">
        <v>53</v>
      </c>
      <c r="B15" s="7" t="s">
        <v>60</v>
      </c>
      <c r="C15" s="7" t="s">
        <v>55</v>
      </c>
      <c r="D15" s="8" t="n">
        <v>1000</v>
      </c>
      <c r="E15" s="9" t="n">
        <v>165</v>
      </c>
      <c r="F15" s="10" t="n">
        <f aca="false">IFERROR(E15/D15,0)</f>
        <v>0.165</v>
      </c>
      <c r="G15" s="11"/>
    </row>
    <row r="16" customFormat="false" ht="15" hidden="false" customHeight="false" outlineLevel="0" collapsed="false">
      <c r="A16" s="7" t="s">
        <v>53</v>
      </c>
      <c r="B16" s="7" t="s">
        <v>61</v>
      </c>
      <c r="C16" s="7" t="s">
        <v>55</v>
      </c>
      <c r="D16" s="8" t="n">
        <v>1000</v>
      </c>
      <c r="E16" s="9" t="n">
        <v>185</v>
      </c>
      <c r="F16" s="10" t="n">
        <f aca="false">IFERROR(E16/D16,0)</f>
        <v>0.185</v>
      </c>
      <c r="G16" s="11"/>
    </row>
    <row r="17" customFormat="false" ht="15" hidden="false" customHeight="false" outlineLevel="0" collapsed="false">
      <c r="A17" s="7" t="s">
        <v>62</v>
      </c>
      <c r="B17" s="7" t="s">
        <v>63</v>
      </c>
      <c r="C17" s="7" t="s">
        <v>64</v>
      </c>
      <c r="D17" s="8" t="n">
        <v>30</v>
      </c>
      <c r="E17" s="9" t="n">
        <v>70</v>
      </c>
      <c r="F17" s="10" t="n">
        <f aca="false">IFERROR(E17/D17,0)</f>
        <v>2.33333333333333</v>
      </c>
      <c r="G17" s="11"/>
    </row>
    <row r="18" customFormat="false" ht="15" hidden="false" customHeight="false" outlineLevel="0" collapsed="false">
      <c r="A18" s="7" t="s">
        <v>62</v>
      </c>
      <c r="B18" s="7" t="s">
        <v>65</v>
      </c>
      <c r="C18" s="7" t="s">
        <v>64</v>
      </c>
      <c r="D18" s="8" t="n">
        <v>40</v>
      </c>
      <c r="E18" s="9" t="n">
        <v>65</v>
      </c>
      <c r="F18" s="10" t="n">
        <f aca="false">IFERROR(E18/D18,0)</f>
        <v>1.625</v>
      </c>
      <c r="G18" s="11"/>
    </row>
    <row r="19" customFormat="false" ht="15" hidden="false" customHeight="false" outlineLevel="0" collapsed="false">
      <c r="A19" s="7" t="s">
        <v>62</v>
      </c>
      <c r="B19" s="7" t="s">
        <v>66</v>
      </c>
      <c r="C19" s="7" t="s">
        <v>64</v>
      </c>
      <c r="D19" s="8" t="n">
        <v>30</v>
      </c>
      <c r="E19" s="9" t="n">
        <v>75</v>
      </c>
      <c r="F19" s="10" t="n">
        <f aca="false">IFERROR(E19/D19,0)</f>
        <v>2.5</v>
      </c>
      <c r="G19" s="11"/>
    </row>
    <row r="20" customFormat="false" ht="15" hidden="false" customHeight="false" outlineLevel="0" collapsed="false">
      <c r="A20" s="7" t="s">
        <v>62</v>
      </c>
      <c r="B20" s="7" t="s">
        <v>67</v>
      </c>
      <c r="C20" s="7" t="s">
        <v>64</v>
      </c>
      <c r="D20" s="8" t="n">
        <v>40</v>
      </c>
      <c r="E20" s="9" t="n">
        <v>55</v>
      </c>
      <c r="F20" s="10" t="n">
        <f aca="false">IFERROR(E20/D20,0)</f>
        <v>1.375</v>
      </c>
      <c r="G20" s="11"/>
    </row>
    <row r="21" customFormat="false" ht="15" hidden="false" customHeight="false" outlineLevel="0" collapsed="false">
      <c r="A21" s="7" t="s">
        <v>62</v>
      </c>
      <c r="B21" s="7" t="s">
        <v>68</v>
      </c>
      <c r="C21" s="7" t="s">
        <v>64</v>
      </c>
      <c r="D21" s="8" t="n">
        <v>50</v>
      </c>
      <c r="E21" s="9" t="n">
        <v>70</v>
      </c>
      <c r="F21" s="10" t="n">
        <f aca="false">IFERROR(E21/D21,0)</f>
        <v>1.4</v>
      </c>
      <c r="G21" s="11"/>
    </row>
    <row r="22" customFormat="false" ht="15" hidden="false" customHeight="false" outlineLevel="0" collapsed="false">
      <c r="A22" s="7" t="s">
        <v>62</v>
      </c>
      <c r="B22" s="7" t="s">
        <v>69</v>
      </c>
      <c r="C22" s="7" t="s">
        <v>64</v>
      </c>
      <c r="D22" s="8" t="n">
        <v>40</v>
      </c>
      <c r="E22" s="9" t="n">
        <v>60</v>
      </c>
      <c r="F22" s="10" t="n">
        <f aca="false">IFERROR(E22/D22,0)</f>
        <v>1.5</v>
      </c>
      <c r="G22" s="11"/>
    </row>
    <row r="23" customFormat="false" ht="15" hidden="false" customHeight="false" outlineLevel="0" collapsed="false">
      <c r="A23" s="7" t="s">
        <v>62</v>
      </c>
      <c r="B23" s="7" t="s">
        <v>70</v>
      </c>
      <c r="C23" s="7" t="s">
        <v>64</v>
      </c>
      <c r="D23" s="8" t="n">
        <v>30</v>
      </c>
      <c r="E23" s="9" t="n">
        <v>95</v>
      </c>
      <c r="F23" s="10" t="n">
        <f aca="false">IFERROR(E23/D23,0)</f>
        <v>3.16666666666667</v>
      </c>
      <c r="G23" s="11"/>
    </row>
    <row r="24" customFormat="false" ht="15" hidden="false" customHeight="false" outlineLevel="0" collapsed="false">
      <c r="A24" s="7" t="s">
        <v>62</v>
      </c>
      <c r="B24" s="7" t="s">
        <v>71</v>
      </c>
      <c r="C24" s="7" t="s">
        <v>64</v>
      </c>
      <c r="D24" s="8" t="n">
        <v>30</v>
      </c>
      <c r="E24" s="9" t="n">
        <v>150</v>
      </c>
      <c r="F24" s="10" t="n">
        <f aca="false">IFERROR(E24/D24,0)</f>
        <v>5</v>
      </c>
      <c r="G24" s="11"/>
    </row>
    <row r="25" customFormat="false" ht="15" hidden="false" customHeight="false" outlineLevel="0" collapsed="false">
      <c r="A25" s="7" t="s">
        <v>62</v>
      </c>
      <c r="B25" s="7" t="s">
        <v>72</v>
      </c>
      <c r="C25" s="7" t="s">
        <v>55</v>
      </c>
      <c r="D25" s="8" t="n">
        <v>100</v>
      </c>
      <c r="E25" s="9" t="n">
        <v>120</v>
      </c>
      <c r="F25" s="10" t="n">
        <f aca="false">IFERROR(E25/D25,0)</f>
        <v>1.2</v>
      </c>
      <c r="G25" s="11"/>
    </row>
    <row r="26" customFormat="false" ht="15" hidden="false" customHeight="false" outlineLevel="0" collapsed="false">
      <c r="A26" s="7" t="s">
        <v>73</v>
      </c>
      <c r="B26" s="7" t="s">
        <v>74</v>
      </c>
      <c r="C26" s="7" t="s">
        <v>55</v>
      </c>
      <c r="D26" s="8" t="n">
        <v>1000</v>
      </c>
      <c r="E26" s="9" t="n">
        <v>32</v>
      </c>
      <c r="F26" s="10" t="n">
        <f aca="false">IFERROR(E26/D26,0)</f>
        <v>0.032</v>
      </c>
      <c r="G26" s="11"/>
    </row>
    <row r="27" customFormat="false" ht="15" hidden="false" customHeight="false" outlineLevel="0" collapsed="false">
      <c r="A27" s="7" t="s">
        <v>73</v>
      </c>
      <c r="B27" s="7" t="s">
        <v>75</v>
      </c>
      <c r="C27" s="7" t="s">
        <v>55</v>
      </c>
      <c r="D27" s="8" t="n">
        <v>1000</v>
      </c>
      <c r="E27" s="9" t="n">
        <v>55</v>
      </c>
      <c r="F27" s="10" t="n">
        <f aca="false">IFERROR(E27/D27,0)</f>
        <v>0.055</v>
      </c>
      <c r="G27" s="11"/>
    </row>
    <row r="28" customFormat="false" ht="15" hidden="false" customHeight="false" outlineLevel="0" collapsed="false">
      <c r="A28" s="7" t="s">
        <v>76</v>
      </c>
      <c r="B28" s="7" t="s">
        <v>77</v>
      </c>
      <c r="C28" s="7" t="s">
        <v>55</v>
      </c>
      <c r="D28" s="8" t="n">
        <v>250</v>
      </c>
      <c r="E28" s="9" t="n">
        <v>55</v>
      </c>
      <c r="F28" s="10" t="n">
        <f aca="false">IFERROR(E28/D28,0)</f>
        <v>0.22</v>
      </c>
      <c r="G28" s="11"/>
    </row>
    <row r="29" customFormat="false" ht="15" hidden="false" customHeight="false" outlineLevel="0" collapsed="false">
      <c r="A29" s="7" t="s">
        <v>76</v>
      </c>
      <c r="B29" s="7" t="s">
        <v>78</v>
      </c>
      <c r="C29" s="7" t="s">
        <v>55</v>
      </c>
      <c r="D29" s="8" t="n">
        <v>100</v>
      </c>
      <c r="E29" s="9" t="n">
        <v>45</v>
      </c>
      <c r="F29" s="10" t="n">
        <f aca="false">IFERROR(E29/D29,0)</f>
        <v>0.45</v>
      </c>
      <c r="G29" s="11"/>
    </row>
    <row r="30" customFormat="false" ht="15" hidden="false" customHeight="false" outlineLevel="0" collapsed="false">
      <c r="A30" s="7" t="s">
        <v>76</v>
      </c>
      <c r="B30" s="7" t="s">
        <v>79</v>
      </c>
      <c r="C30" s="7" t="s">
        <v>55</v>
      </c>
      <c r="D30" s="8" t="n">
        <v>250</v>
      </c>
      <c r="E30" s="9" t="n">
        <v>25</v>
      </c>
      <c r="F30" s="10" t="n">
        <f aca="false">IFERROR(E30/D30,0)</f>
        <v>0.1</v>
      </c>
      <c r="G30" s="11"/>
    </row>
    <row r="31" customFormat="false" ht="15" hidden="false" customHeight="false" outlineLevel="0" collapsed="false">
      <c r="A31" s="7" t="s">
        <v>76</v>
      </c>
      <c r="B31" s="7" t="s">
        <v>80</v>
      </c>
      <c r="C31" s="7" t="s">
        <v>64</v>
      </c>
      <c r="D31" s="8" t="n">
        <v>200</v>
      </c>
      <c r="E31" s="9" t="n">
        <v>45</v>
      </c>
      <c r="F31" s="10" t="n">
        <f aca="false">IFERROR(E31/D31,0)</f>
        <v>0.225</v>
      </c>
      <c r="G31" s="11"/>
    </row>
    <row r="32" customFormat="false" ht="15" hidden="false" customHeight="false" outlineLevel="0" collapsed="false">
      <c r="A32" s="7" t="s">
        <v>76</v>
      </c>
      <c r="B32" s="7" t="s">
        <v>81</v>
      </c>
      <c r="C32" s="7" t="s">
        <v>47</v>
      </c>
      <c r="D32" s="8" t="n">
        <v>30</v>
      </c>
      <c r="E32" s="9" t="n">
        <v>55</v>
      </c>
      <c r="F32" s="10" t="n">
        <f aca="false">IFERROR(E32/D32,0)</f>
        <v>1.83333333333333</v>
      </c>
      <c r="G32" s="11"/>
    </row>
    <row r="33" customFormat="false" ht="15" hidden="false" customHeight="false" outlineLevel="0" collapsed="false">
      <c r="A33" s="7" t="s">
        <v>76</v>
      </c>
      <c r="B33" s="7" t="s">
        <v>82</v>
      </c>
      <c r="C33" s="7" t="s">
        <v>55</v>
      </c>
      <c r="D33" s="8" t="n">
        <v>100</v>
      </c>
      <c r="E33" s="9" t="n">
        <v>40</v>
      </c>
      <c r="F33" s="10" t="n">
        <f aca="false">IFERROR(E33/D33,0)</f>
        <v>0.4</v>
      </c>
      <c r="G33" s="11"/>
    </row>
    <row r="34" customFormat="false" ht="15" hidden="false" customHeight="false" outlineLevel="0" collapsed="false">
      <c r="A34" s="7" t="s">
        <v>76</v>
      </c>
      <c r="B34" s="7" t="s">
        <v>83</v>
      </c>
      <c r="C34" s="7" t="s">
        <v>55</v>
      </c>
      <c r="D34" s="8" t="n">
        <v>200</v>
      </c>
      <c r="E34" s="9" t="n">
        <v>55</v>
      </c>
      <c r="F34" s="10" t="n">
        <f aca="false">IFERROR(E34/D34,0)</f>
        <v>0.275</v>
      </c>
      <c r="G34" s="11"/>
    </row>
    <row r="35" customFormat="false" ht="15" hidden="false" customHeight="false" outlineLevel="0" collapsed="false">
      <c r="A35" s="7" t="s">
        <v>76</v>
      </c>
      <c r="B35" s="7" t="s">
        <v>84</v>
      </c>
      <c r="C35" s="7" t="s">
        <v>55</v>
      </c>
      <c r="D35" s="8" t="n">
        <v>200</v>
      </c>
      <c r="E35" s="9" t="n">
        <v>35</v>
      </c>
      <c r="F35" s="10" t="n">
        <f aca="false">IFERROR(E35/D35,0)</f>
        <v>0.175</v>
      </c>
      <c r="G35" s="11"/>
    </row>
    <row r="36" customFormat="false" ht="15" hidden="false" customHeight="false" outlineLevel="0" collapsed="false">
      <c r="A36" s="7" t="s">
        <v>76</v>
      </c>
      <c r="B36" s="7" t="s">
        <v>85</v>
      </c>
      <c r="C36" s="7" t="s">
        <v>55</v>
      </c>
      <c r="D36" s="8" t="n">
        <v>1000</v>
      </c>
      <c r="E36" s="9" t="n">
        <v>25</v>
      </c>
      <c r="F36" s="10" t="n">
        <f aca="false">IFERROR(E36/D36,0)</f>
        <v>0.025</v>
      </c>
      <c r="G36" s="11"/>
    </row>
    <row r="37" customFormat="false" ht="15" hidden="false" customHeight="false" outlineLevel="0" collapsed="false">
      <c r="A37" s="7" t="s">
        <v>76</v>
      </c>
      <c r="B37" s="7" t="s">
        <v>86</v>
      </c>
      <c r="C37" s="7" t="s">
        <v>55</v>
      </c>
      <c r="D37" s="8" t="n">
        <v>250</v>
      </c>
      <c r="E37" s="9" t="n">
        <v>85</v>
      </c>
      <c r="F37" s="10" t="n">
        <f aca="false">IFERROR(E37/D37,0)</f>
        <v>0.34</v>
      </c>
      <c r="G37" s="11"/>
    </row>
    <row r="38" customFormat="false" ht="15" hidden="false" customHeight="false" outlineLevel="0" collapsed="false">
      <c r="A38" s="7" t="s">
        <v>87</v>
      </c>
      <c r="B38" s="7" t="s">
        <v>88</v>
      </c>
      <c r="C38" s="7" t="s">
        <v>64</v>
      </c>
      <c r="D38" s="8" t="n">
        <v>40</v>
      </c>
      <c r="E38" s="9" t="n">
        <v>35</v>
      </c>
      <c r="F38" s="10" t="n">
        <f aca="false">IFERROR(E38/D38,0)</f>
        <v>0.875</v>
      </c>
      <c r="G38" s="11"/>
    </row>
    <row r="39" customFormat="false" ht="15" hidden="false" customHeight="false" outlineLevel="0" collapsed="false">
      <c r="A39" s="7" t="s">
        <v>87</v>
      </c>
      <c r="B39" s="7" t="s">
        <v>89</v>
      </c>
      <c r="C39" s="7" t="s">
        <v>55</v>
      </c>
      <c r="D39" s="8" t="n">
        <v>1000</v>
      </c>
      <c r="E39" s="9" t="n">
        <v>30</v>
      </c>
      <c r="F39" s="10" t="n">
        <f aca="false">IFERROR(E39/D39,0)</f>
        <v>0.03</v>
      </c>
      <c r="G39" s="11"/>
    </row>
    <row r="40" customFormat="false" ht="15" hidden="false" customHeight="false" outlineLevel="0" collapsed="false">
      <c r="A40" s="7" t="s">
        <v>87</v>
      </c>
      <c r="B40" s="7" t="s">
        <v>90</v>
      </c>
      <c r="C40" s="7" t="s">
        <v>64</v>
      </c>
      <c r="D40" s="8" t="n">
        <v>8</v>
      </c>
      <c r="E40" s="9" t="n">
        <v>30</v>
      </c>
      <c r="F40" s="10" t="n">
        <f aca="false">IFERROR(E40/D40,0)</f>
        <v>3.75</v>
      </c>
      <c r="G40" s="11"/>
    </row>
    <row r="41" customFormat="false" ht="15" hidden="false" customHeight="false" outlineLevel="0" collapsed="false">
      <c r="A41" s="7" t="s">
        <v>87</v>
      </c>
      <c r="B41" s="7" t="s">
        <v>91</v>
      </c>
      <c r="C41" s="7" t="s">
        <v>55</v>
      </c>
      <c r="D41" s="8" t="n">
        <v>1000</v>
      </c>
      <c r="E41" s="9" t="n">
        <v>28</v>
      </c>
      <c r="F41" s="10" t="n">
        <f aca="false">IFERROR(E41/D41,0)</f>
        <v>0.028</v>
      </c>
      <c r="G41" s="11"/>
    </row>
    <row r="42" customFormat="false" ht="15" hidden="false" customHeight="false" outlineLevel="0" collapsed="false">
      <c r="A42" s="7" t="s">
        <v>87</v>
      </c>
      <c r="B42" s="7" t="s">
        <v>92</v>
      </c>
      <c r="C42" s="7" t="s">
        <v>64</v>
      </c>
      <c r="D42" s="8" t="n">
        <v>10</v>
      </c>
      <c r="E42" s="9" t="n">
        <v>30</v>
      </c>
      <c r="F42" s="10" t="n">
        <f aca="false">IFERROR(E42/D42,0)</f>
        <v>3</v>
      </c>
      <c r="G42" s="11"/>
    </row>
    <row r="43" customFormat="false" ht="15" hidden="false" customHeight="false" outlineLevel="0" collapsed="false">
      <c r="A43" s="7" t="s">
        <v>87</v>
      </c>
      <c r="B43" s="7" t="s">
        <v>93</v>
      </c>
      <c r="C43" s="7" t="s">
        <v>64</v>
      </c>
      <c r="D43" s="8" t="n">
        <v>25</v>
      </c>
      <c r="E43" s="9" t="n">
        <v>25</v>
      </c>
      <c r="F43" s="10" t="n">
        <f aca="false">IFERROR(E43/D43,0)</f>
        <v>1</v>
      </c>
      <c r="G43" s="11"/>
    </row>
    <row r="44" customFormat="false" ht="15" hidden="false" customHeight="false" outlineLevel="0" collapsed="false">
      <c r="A44" s="7" t="s">
        <v>87</v>
      </c>
      <c r="B44" s="7" t="s">
        <v>94</v>
      </c>
      <c r="C44" s="7" t="s">
        <v>64</v>
      </c>
      <c r="D44" s="8" t="n">
        <v>20</v>
      </c>
      <c r="E44" s="9" t="n">
        <v>22</v>
      </c>
      <c r="F44" s="10" t="n">
        <f aca="false">IFERROR(E44/D44,0)</f>
        <v>1.1</v>
      </c>
      <c r="G44" s="11"/>
    </row>
    <row r="45" customFormat="false" ht="15" hidden="false" customHeight="false" outlineLevel="0" collapsed="false">
      <c r="A45" s="7" t="s">
        <v>87</v>
      </c>
      <c r="B45" s="7" t="s">
        <v>95</v>
      </c>
      <c r="C45" s="7" t="s">
        <v>64</v>
      </c>
      <c r="D45" s="8" t="n">
        <v>10</v>
      </c>
      <c r="E45" s="9" t="n">
        <v>35</v>
      </c>
      <c r="F45" s="10" t="n">
        <f aca="false">IFERROR(E45/D45,0)</f>
        <v>3.5</v>
      </c>
      <c r="G45" s="11"/>
    </row>
    <row r="46" customFormat="false" ht="15" hidden="false" customHeight="false" outlineLevel="0" collapsed="false">
      <c r="A46" s="7" t="s">
        <v>87</v>
      </c>
      <c r="B46" s="7" t="s">
        <v>96</v>
      </c>
      <c r="C46" s="7" t="s">
        <v>64</v>
      </c>
      <c r="D46" s="8" t="n">
        <v>30</v>
      </c>
      <c r="E46" s="9" t="n">
        <v>25</v>
      </c>
      <c r="F46" s="10" t="n">
        <f aca="false">IFERROR(E46/D46,0)</f>
        <v>0.833333333333333</v>
      </c>
      <c r="G46" s="11"/>
    </row>
    <row r="47" customFormat="false" ht="15" hidden="false" customHeight="false" outlineLevel="0" collapsed="false">
      <c r="A47" s="7" t="s">
        <v>87</v>
      </c>
      <c r="B47" s="7" t="s">
        <v>97</v>
      </c>
      <c r="C47" s="7" t="s">
        <v>64</v>
      </c>
      <c r="D47" s="8" t="n">
        <v>12</v>
      </c>
      <c r="E47" s="9" t="n">
        <v>35</v>
      </c>
      <c r="F47" s="10" t="n">
        <f aca="false">IFERROR(E47/D47,0)</f>
        <v>2.91666666666667</v>
      </c>
      <c r="G47" s="11"/>
    </row>
    <row r="48" customFormat="false" ht="15" hidden="false" customHeight="false" outlineLevel="0" collapsed="false">
      <c r="A48" s="7" t="s">
        <v>87</v>
      </c>
      <c r="B48" s="7" t="s">
        <v>98</v>
      </c>
      <c r="C48" s="7" t="s">
        <v>55</v>
      </c>
      <c r="D48" s="8" t="n">
        <v>1000</v>
      </c>
      <c r="E48" s="9" t="n">
        <v>40</v>
      </c>
      <c r="F48" s="10" t="n">
        <f aca="false">IFERROR(E48/D48,0)</f>
        <v>0.04</v>
      </c>
      <c r="G48" s="11"/>
    </row>
    <row r="49" customFormat="false" ht="15" hidden="false" customHeight="false" outlineLevel="0" collapsed="false">
      <c r="A49" s="7" t="s">
        <v>87</v>
      </c>
      <c r="B49" s="7" t="s">
        <v>99</v>
      </c>
      <c r="C49" s="7" t="s">
        <v>55</v>
      </c>
      <c r="D49" s="8" t="n">
        <v>1000</v>
      </c>
      <c r="E49" s="9" t="n">
        <v>30</v>
      </c>
      <c r="F49" s="10" t="n">
        <f aca="false">IFERROR(E49/D49,0)</f>
        <v>0.03</v>
      </c>
      <c r="G49" s="11"/>
    </row>
    <row r="50" customFormat="false" ht="15" hidden="false" customHeight="false" outlineLevel="0" collapsed="false">
      <c r="A50" s="7" t="s">
        <v>87</v>
      </c>
      <c r="B50" s="7" t="s">
        <v>100</v>
      </c>
      <c r="C50" s="7" t="s">
        <v>55</v>
      </c>
      <c r="D50" s="8" t="n">
        <v>1000</v>
      </c>
      <c r="E50" s="9" t="n">
        <v>35</v>
      </c>
      <c r="F50" s="10" t="n">
        <f aca="false">IFERROR(E50/D50,0)</f>
        <v>0.035</v>
      </c>
      <c r="G50" s="11"/>
    </row>
    <row r="51" customFormat="false" ht="15" hidden="false" customHeight="false" outlineLevel="0" collapsed="false">
      <c r="A51" s="7" t="s">
        <v>87</v>
      </c>
      <c r="B51" s="7" t="s">
        <v>101</v>
      </c>
      <c r="C51" s="7" t="s">
        <v>64</v>
      </c>
      <c r="D51" s="8" t="n">
        <v>4</v>
      </c>
      <c r="E51" s="9" t="n">
        <v>45</v>
      </c>
      <c r="F51" s="10" t="n">
        <f aca="false">IFERROR(E51/D51,0)</f>
        <v>11.25</v>
      </c>
      <c r="G51" s="11"/>
    </row>
    <row r="52" customFormat="false" ht="15" hidden="false" customHeight="false" outlineLevel="0" collapsed="false">
      <c r="A52" s="7" t="s">
        <v>102</v>
      </c>
      <c r="B52" s="7" t="s">
        <v>103</v>
      </c>
      <c r="C52" s="7" t="s">
        <v>55</v>
      </c>
      <c r="D52" s="8" t="n">
        <v>250</v>
      </c>
      <c r="E52" s="9" t="n">
        <v>75</v>
      </c>
      <c r="F52" s="10" t="n">
        <f aca="false">IFERROR(E52/D52,0)</f>
        <v>0.3</v>
      </c>
      <c r="G52" s="11"/>
    </row>
    <row r="53" customFormat="false" ht="15" hidden="false" customHeight="false" outlineLevel="0" collapsed="false">
      <c r="A53" s="7" t="s">
        <v>102</v>
      </c>
      <c r="B53" s="7" t="s">
        <v>104</v>
      </c>
      <c r="C53" s="7" t="s">
        <v>55</v>
      </c>
      <c r="D53" s="8" t="n">
        <v>250</v>
      </c>
      <c r="E53" s="9" t="n">
        <v>130</v>
      </c>
      <c r="F53" s="10" t="n">
        <f aca="false">IFERROR(E53/D53,0)</f>
        <v>0.52</v>
      </c>
      <c r="G53" s="11"/>
    </row>
    <row r="54" customFormat="false" ht="15" hidden="false" customHeight="false" outlineLevel="0" collapsed="false">
      <c r="A54" s="7" t="s">
        <v>102</v>
      </c>
      <c r="B54" s="7" t="s">
        <v>105</v>
      </c>
      <c r="C54" s="7" t="s">
        <v>55</v>
      </c>
      <c r="D54" s="8" t="n">
        <v>250</v>
      </c>
      <c r="E54" s="9" t="n">
        <v>55</v>
      </c>
      <c r="F54" s="10" t="n">
        <f aca="false">IFERROR(E54/D54,0)</f>
        <v>0.22</v>
      </c>
      <c r="G54" s="11"/>
    </row>
    <row r="55" customFormat="false" ht="15" hidden="false" customHeight="false" outlineLevel="0" collapsed="false">
      <c r="A55" s="7" t="s">
        <v>102</v>
      </c>
      <c r="B55" s="7" t="s">
        <v>106</v>
      </c>
      <c r="C55" s="7" t="s">
        <v>64</v>
      </c>
      <c r="D55" s="8" t="n">
        <v>1</v>
      </c>
      <c r="E55" s="9" t="n">
        <v>45</v>
      </c>
      <c r="F55" s="10" t="n">
        <f aca="false">IFERROR(E55/D55,0)</f>
        <v>45</v>
      </c>
      <c r="G55" s="11"/>
    </row>
    <row r="56" customFormat="false" ht="15" hidden="false" customHeight="false" outlineLevel="0" collapsed="false">
      <c r="A56" s="7" t="s">
        <v>102</v>
      </c>
      <c r="B56" s="7" t="s">
        <v>107</v>
      </c>
      <c r="C56" s="7" t="s">
        <v>64</v>
      </c>
      <c r="D56" s="8" t="n">
        <v>6</v>
      </c>
      <c r="E56" s="9" t="n">
        <v>35</v>
      </c>
      <c r="F56" s="10" t="n">
        <f aca="false">IFERROR(E56/D56,0)</f>
        <v>5.83333333333333</v>
      </c>
      <c r="G56" s="11"/>
    </row>
    <row r="57" customFormat="false" ht="15" hidden="false" customHeight="false" outlineLevel="0" collapsed="false">
      <c r="A57" s="7" t="s">
        <v>108</v>
      </c>
      <c r="B57" s="7" t="s">
        <v>109</v>
      </c>
      <c r="C57" s="7" t="s">
        <v>47</v>
      </c>
      <c r="D57" s="8" t="n">
        <v>1000</v>
      </c>
      <c r="E57" s="9" t="n">
        <v>65</v>
      </c>
      <c r="F57" s="10" t="n">
        <f aca="false">IFERROR(E57/D57,0)</f>
        <v>0.065</v>
      </c>
      <c r="G57" s="11"/>
    </row>
    <row r="58" customFormat="false" ht="15" hidden="false" customHeight="false" outlineLevel="0" collapsed="false">
      <c r="A58" s="7" t="s">
        <v>108</v>
      </c>
      <c r="B58" s="7" t="s">
        <v>110</v>
      </c>
      <c r="C58" s="7" t="s">
        <v>55</v>
      </c>
      <c r="D58" s="8" t="n">
        <v>1000</v>
      </c>
      <c r="E58" s="9" t="n">
        <v>145</v>
      </c>
      <c r="F58" s="10" t="n">
        <f aca="false">IFERROR(E58/D58,0)</f>
        <v>0.145</v>
      </c>
      <c r="G58" s="11"/>
    </row>
    <row r="59" customFormat="false" ht="15" hidden="false" customHeight="false" outlineLevel="0" collapsed="false">
      <c r="A59" s="7" t="s">
        <v>108</v>
      </c>
      <c r="B59" s="7" t="s">
        <v>111</v>
      </c>
      <c r="C59" s="7" t="s">
        <v>55</v>
      </c>
      <c r="D59" s="8" t="n">
        <v>1000</v>
      </c>
      <c r="E59" s="9" t="n">
        <v>260</v>
      </c>
      <c r="F59" s="10" t="n">
        <f aca="false">IFERROR(E59/D59,0)</f>
        <v>0.26</v>
      </c>
      <c r="G59" s="11"/>
    </row>
    <row r="60" customFormat="false" ht="15" hidden="false" customHeight="false" outlineLevel="0" collapsed="false">
      <c r="A60" s="7" t="s">
        <v>112</v>
      </c>
      <c r="B60" s="7" t="s">
        <v>113</v>
      </c>
      <c r="C60" s="7" t="s">
        <v>64</v>
      </c>
      <c r="D60" s="8" t="n">
        <v>10</v>
      </c>
      <c r="E60" s="9" t="n">
        <v>18</v>
      </c>
      <c r="F60" s="10" t="n">
        <f aca="false">IFERROR(E60/D60,0)</f>
        <v>1.8</v>
      </c>
      <c r="G60" s="11"/>
    </row>
    <row r="61" customFormat="false" ht="15" hidden="false" customHeight="false" outlineLevel="0" collapsed="false">
      <c r="A61" s="7" t="s">
        <v>112</v>
      </c>
      <c r="B61" s="7" t="s">
        <v>114</v>
      </c>
      <c r="C61" s="7" t="s">
        <v>64</v>
      </c>
      <c r="D61" s="8" t="n">
        <v>10</v>
      </c>
      <c r="E61" s="9" t="n">
        <v>20</v>
      </c>
      <c r="F61" s="10" t="n">
        <f aca="false">IFERROR(E61/D61,0)</f>
        <v>2</v>
      </c>
      <c r="G61" s="11"/>
    </row>
    <row r="62" customFormat="false" ht="15" hidden="false" customHeight="false" outlineLevel="0" collapsed="false">
      <c r="A62" s="7" t="s">
        <v>112</v>
      </c>
      <c r="B62" s="7" t="s">
        <v>115</v>
      </c>
      <c r="C62" s="7" t="s">
        <v>64</v>
      </c>
      <c r="D62" s="8" t="n">
        <v>50</v>
      </c>
      <c r="E62" s="9" t="n">
        <v>25</v>
      </c>
      <c r="F62" s="10" t="n">
        <f aca="false">IFERROR(E62/D62,0)</f>
        <v>0.5</v>
      </c>
      <c r="G62" s="11"/>
    </row>
    <row r="63" customFormat="false" ht="15" hidden="false" customHeight="false" outlineLevel="0" collapsed="false">
      <c r="A63" s="7" t="s">
        <v>112</v>
      </c>
      <c r="B63" s="7" t="s">
        <v>116</v>
      </c>
      <c r="C63" s="7" t="s">
        <v>55</v>
      </c>
      <c r="D63" s="8" t="n">
        <v>100</v>
      </c>
      <c r="E63" s="9" t="n">
        <v>60</v>
      </c>
      <c r="F63" s="10" t="n">
        <f aca="false">IFERROR(E63/D63,0)</f>
        <v>0.6</v>
      </c>
      <c r="G63" s="11"/>
    </row>
    <row r="64" customFormat="false" ht="15" hidden="false" customHeight="false" outlineLevel="0" collapsed="false">
      <c r="A64" s="7" t="s">
        <v>112</v>
      </c>
      <c r="B64" s="7" t="s">
        <v>117</v>
      </c>
      <c r="C64" s="7" t="s">
        <v>64</v>
      </c>
      <c r="D64" s="8" t="n">
        <v>10</v>
      </c>
      <c r="E64" s="9" t="n">
        <v>30</v>
      </c>
      <c r="F64" s="10" t="n">
        <f aca="false">IFERROR(E64/D64,0)</f>
        <v>3</v>
      </c>
      <c r="G64" s="11"/>
    </row>
    <row r="65" customFormat="false" ht="15" hidden="false" customHeight="false" outlineLevel="0" collapsed="false">
      <c r="A65" s="7" t="s">
        <v>118</v>
      </c>
      <c r="B65" s="7" t="s">
        <v>119</v>
      </c>
      <c r="C65" s="7" t="s">
        <v>64</v>
      </c>
      <c r="D65" s="8" t="n">
        <v>20</v>
      </c>
      <c r="E65" s="9" t="n">
        <v>40</v>
      </c>
      <c r="F65" s="10" t="n">
        <f aca="false">IFERROR(E65/D65,0)</f>
        <v>2</v>
      </c>
      <c r="G65" s="11"/>
    </row>
    <row r="66" customFormat="false" ht="15" hidden="false" customHeight="false" outlineLevel="0" collapsed="false">
      <c r="A66" s="7" t="s">
        <v>118</v>
      </c>
      <c r="B66" s="7" t="s">
        <v>120</v>
      </c>
      <c r="C66" s="7" t="s">
        <v>64</v>
      </c>
      <c r="D66" s="8" t="n">
        <v>50</v>
      </c>
      <c r="E66" s="9" t="n">
        <v>45</v>
      </c>
      <c r="F66" s="10" t="n">
        <f aca="false">IFERROR(E66/D66,0)</f>
        <v>0.9</v>
      </c>
      <c r="G66" s="11"/>
    </row>
    <row r="67" customFormat="false" ht="15" hidden="false" customHeight="false" outlineLevel="0" collapsed="false">
      <c r="A67" s="7" t="s">
        <v>118</v>
      </c>
      <c r="B67" s="7" t="s">
        <v>121</v>
      </c>
      <c r="C67" s="7" t="s">
        <v>64</v>
      </c>
      <c r="D67" s="8" t="n">
        <v>50</v>
      </c>
      <c r="E67" s="9" t="n">
        <v>40</v>
      </c>
      <c r="F67" s="10" t="n">
        <f aca="false">IFERROR(E67/D67,0)</f>
        <v>0.8</v>
      </c>
      <c r="G67" s="11"/>
    </row>
    <row r="68" customFormat="false" ht="15" hidden="false" customHeight="false" outlineLevel="0" collapsed="false">
      <c r="A68" s="7" t="s">
        <v>118</v>
      </c>
      <c r="B68" s="7" t="s">
        <v>122</v>
      </c>
      <c r="C68" s="7" t="s">
        <v>64</v>
      </c>
      <c r="D68" s="8" t="n">
        <v>100</v>
      </c>
      <c r="E68" s="9" t="n">
        <v>55</v>
      </c>
      <c r="F68" s="10" t="n">
        <f aca="false">IFERROR(E68/D68,0)</f>
        <v>0.55</v>
      </c>
      <c r="G68" s="11"/>
    </row>
    <row r="69" customFormat="false" ht="15" hidden="false" customHeight="false" outlineLevel="0" collapsed="false">
      <c r="A69" s="7" t="s">
        <v>123</v>
      </c>
      <c r="B69" s="7" t="s">
        <v>124</v>
      </c>
      <c r="C69" s="7" t="s">
        <v>47</v>
      </c>
      <c r="D69" s="8" t="n">
        <v>500</v>
      </c>
      <c r="E69" s="9" t="n">
        <v>75</v>
      </c>
      <c r="F69" s="10" t="n">
        <f aca="false">IFERROR(E69/D69,0)</f>
        <v>0.15</v>
      </c>
      <c r="G69" s="11"/>
    </row>
    <row r="70" customFormat="false" ht="15" hidden="false" customHeight="false" outlineLevel="0" collapsed="false">
      <c r="A70" s="7" t="s">
        <v>123</v>
      </c>
      <c r="B70" s="7" t="s">
        <v>125</v>
      </c>
      <c r="C70" s="7" t="s">
        <v>64</v>
      </c>
      <c r="D70" s="8" t="n">
        <v>12</v>
      </c>
      <c r="E70" s="9" t="n">
        <v>45</v>
      </c>
      <c r="F70" s="10" t="n">
        <f aca="false">IFERROR(E70/D70,0)</f>
        <v>3.75</v>
      </c>
      <c r="G70" s="11"/>
    </row>
    <row r="71" customFormat="false" ht="15" hidden="false" customHeight="false" outlineLevel="0" collapsed="false">
      <c r="A71" s="7" t="s">
        <v>123</v>
      </c>
      <c r="B71" s="7" t="s">
        <v>126</v>
      </c>
      <c r="C71" s="7" t="s">
        <v>47</v>
      </c>
      <c r="D71" s="8" t="n">
        <v>1000</v>
      </c>
      <c r="E71" s="9" t="n">
        <v>28</v>
      </c>
      <c r="F71" s="10" t="n">
        <f aca="false">IFERROR(E71/D71,0)</f>
        <v>0.028</v>
      </c>
      <c r="G71" s="11"/>
    </row>
    <row r="72" customFormat="false" ht="15" hidden="false" customHeight="false" outlineLevel="0" collapsed="false">
      <c r="A72" s="7" t="s">
        <v>123</v>
      </c>
      <c r="B72" s="7" t="s">
        <v>127</v>
      </c>
      <c r="C72" s="7" t="s">
        <v>55</v>
      </c>
      <c r="D72" s="8" t="n">
        <v>1000</v>
      </c>
      <c r="E72" s="9" t="n">
        <v>240</v>
      </c>
      <c r="F72" s="10" t="n">
        <f aca="false">IFERROR(E72/D72,0)</f>
        <v>0.24</v>
      </c>
      <c r="G72" s="11"/>
    </row>
    <row r="73" customFormat="false" ht="15" hidden="false" customHeight="false" outlineLevel="0" collapsed="false">
      <c r="A73" s="7" t="s">
        <v>123</v>
      </c>
      <c r="B73" s="7" t="s">
        <v>128</v>
      </c>
      <c r="C73" s="7" t="s">
        <v>55</v>
      </c>
      <c r="D73" s="8" t="n">
        <v>500</v>
      </c>
      <c r="E73" s="9" t="n">
        <v>165</v>
      </c>
      <c r="F73" s="10" t="n">
        <f aca="false">IFERROR(E73/D73,0)</f>
        <v>0.33</v>
      </c>
      <c r="G73" s="11"/>
    </row>
    <row r="74" customFormat="false" ht="15" hidden="false" customHeight="false" outlineLevel="0" collapsed="false">
      <c r="A74" s="7" t="s">
        <v>123</v>
      </c>
      <c r="B74" s="7" t="s">
        <v>129</v>
      </c>
      <c r="C74" s="7" t="s">
        <v>55</v>
      </c>
      <c r="D74" s="8" t="n">
        <v>250</v>
      </c>
      <c r="E74" s="9" t="n">
        <v>150</v>
      </c>
      <c r="F74" s="10" t="n">
        <f aca="false">IFERROR(E74/D74,0)</f>
        <v>0.6</v>
      </c>
      <c r="G74" s="11"/>
    </row>
    <row r="75" customFormat="false" ht="15" hidden="false" customHeight="false" outlineLevel="0" collapsed="false">
      <c r="A75" s="7" t="s">
        <v>123</v>
      </c>
      <c r="B75" s="7" t="s">
        <v>130</v>
      </c>
      <c r="C75" s="7" t="s">
        <v>55</v>
      </c>
      <c r="D75" s="8" t="n">
        <v>1000</v>
      </c>
      <c r="E75" s="9" t="n">
        <v>180</v>
      </c>
      <c r="F75" s="10" t="n">
        <f aca="false">IFERROR(E75/D75,0)</f>
        <v>0.18</v>
      </c>
      <c r="G75" s="11"/>
    </row>
    <row r="76" customFormat="false" ht="15" hidden="false" customHeight="false" outlineLevel="0" collapsed="false">
      <c r="A76" s="7" t="s">
        <v>123</v>
      </c>
      <c r="B76" s="7" t="s">
        <v>131</v>
      </c>
      <c r="C76" s="7" t="s">
        <v>55</v>
      </c>
      <c r="D76" s="8" t="n">
        <v>1000</v>
      </c>
      <c r="E76" s="9" t="n">
        <v>210</v>
      </c>
      <c r="F76" s="10" t="n">
        <f aca="false">IFERROR(E76/D76,0)</f>
        <v>0.21</v>
      </c>
      <c r="G76" s="11"/>
    </row>
    <row r="77" customFormat="false" ht="15" hidden="false" customHeight="false" outlineLevel="0" collapsed="false">
      <c r="A77" s="7" t="s">
        <v>132</v>
      </c>
      <c r="B77" s="7" t="s">
        <v>133</v>
      </c>
      <c r="C77" s="7" t="s">
        <v>47</v>
      </c>
      <c r="D77" s="8" t="n">
        <v>60</v>
      </c>
      <c r="E77" s="9" t="n">
        <v>190</v>
      </c>
      <c r="F77" s="10" t="n">
        <f aca="false">IFERROR(E77/D77,0)</f>
        <v>3.16666666666667</v>
      </c>
      <c r="G77" s="11"/>
    </row>
    <row r="78" customFormat="false" ht="15" hidden="false" customHeight="false" outlineLevel="0" collapsed="false">
      <c r="A78" s="7" t="s">
        <v>132</v>
      </c>
      <c r="B78" s="7" t="s">
        <v>134</v>
      </c>
      <c r="C78" s="7" t="s">
        <v>47</v>
      </c>
      <c r="D78" s="8" t="n">
        <v>1000</v>
      </c>
      <c r="E78" s="9" t="n">
        <v>60</v>
      </c>
      <c r="F78" s="10" t="n">
        <f aca="false">IFERROR(E78/D78,0)</f>
        <v>0.06</v>
      </c>
      <c r="G78" s="11"/>
    </row>
    <row r="79" customFormat="false" ht="15" hidden="false" customHeight="false" outlineLevel="0" collapsed="false">
      <c r="A79" s="7" t="s">
        <v>135</v>
      </c>
      <c r="B79" s="7" t="s">
        <v>136</v>
      </c>
      <c r="C79" s="7" t="s">
        <v>55</v>
      </c>
      <c r="D79" s="8" t="n">
        <v>1000</v>
      </c>
      <c r="E79" s="9" t="n">
        <v>290</v>
      </c>
      <c r="F79" s="10" t="n">
        <f aca="false">IFERROR(E79/D79,0)</f>
        <v>0.29</v>
      </c>
      <c r="G79" s="11"/>
    </row>
    <row r="80" customFormat="false" ht="15" hidden="false" customHeight="false" outlineLevel="0" collapsed="false">
      <c r="A80" s="7" t="s">
        <v>135</v>
      </c>
      <c r="B80" s="7" t="s">
        <v>137</v>
      </c>
      <c r="C80" s="7" t="s">
        <v>55</v>
      </c>
      <c r="D80" s="8" t="n">
        <v>1000</v>
      </c>
      <c r="E80" s="9" t="n">
        <v>320</v>
      </c>
      <c r="F80" s="10" t="n">
        <f aca="false">IFERROR(E80/D80,0)</f>
        <v>0.32</v>
      </c>
      <c r="G80" s="11"/>
    </row>
    <row r="81" customFormat="false" ht="15" hidden="false" customHeight="false" outlineLevel="0" collapsed="false">
      <c r="A81" s="7" t="s">
        <v>135</v>
      </c>
      <c r="B81" s="7" t="s">
        <v>138</v>
      </c>
      <c r="C81" s="7" t="s">
        <v>55</v>
      </c>
      <c r="D81" s="8" t="n">
        <v>1000</v>
      </c>
      <c r="E81" s="9" t="n">
        <v>260</v>
      </c>
      <c r="F81" s="10" t="n">
        <f aca="false">IFERROR(E81/D81,0)</f>
        <v>0.26</v>
      </c>
      <c r="G81" s="11"/>
    </row>
    <row r="82" customFormat="false" ht="15" hidden="false" customHeight="false" outlineLevel="0" collapsed="false">
      <c r="A82" s="7" t="s">
        <v>135</v>
      </c>
      <c r="B82" s="7" t="s">
        <v>139</v>
      </c>
      <c r="C82" s="7" t="s">
        <v>55</v>
      </c>
      <c r="D82" s="8" t="n">
        <v>1000</v>
      </c>
      <c r="E82" s="9" t="n">
        <v>380</v>
      </c>
      <c r="F82" s="10" t="n">
        <f aca="false">IFERROR(E82/D82,0)</f>
        <v>0.38</v>
      </c>
      <c r="G82" s="11"/>
    </row>
    <row r="83" customFormat="false" ht="15" hidden="false" customHeight="false" outlineLevel="0" collapsed="false">
      <c r="A83" s="7" t="s">
        <v>135</v>
      </c>
      <c r="B83" s="7" t="s">
        <v>140</v>
      </c>
      <c r="C83" s="7" t="s">
        <v>55</v>
      </c>
      <c r="D83" s="8" t="n">
        <v>1000</v>
      </c>
      <c r="E83" s="9" t="n">
        <v>180</v>
      </c>
      <c r="F83" s="10" t="n">
        <f aca="false">IFERROR(E83/D83,0)</f>
        <v>0.18</v>
      </c>
      <c r="G83" s="11"/>
    </row>
    <row r="84" customFormat="false" ht="15" hidden="false" customHeight="false" outlineLevel="0" collapsed="false">
      <c r="A84" s="7" t="s">
        <v>141</v>
      </c>
      <c r="B84" s="7" t="s">
        <v>142</v>
      </c>
      <c r="C84" s="7" t="s">
        <v>55</v>
      </c>
      <c r="D84" s="8" t="n">
        <v>1000</v>
      </c>
      <c r="E84" s="9" t="n">
        <v>45</v>
      </c>
      <c r="F84" s="10" t="n">
        <f aca="false">IFERROR(E84/D84,0)</f>
        <v>0.045</v>
      </c>
      <c r="G84" s="11"/>
    </row>
    <row r="85" customFormat="false" ht="15" hidden="false" customHeight="false" outlineLevel="0" collapsed="false">
      <c r="A85" s="7" t="s">
        <v>141</v>
      </c>
      <c r="B85" s="7" t="s">
        <v>143</v>
      </c>
      <c r="C85" s="7" t="s">
        <v>55</v>
      </c>
      <c r="D85" s="8" t="n">
        <v>1000</v>
      </c>
      <c r="E85" s="9" t="n">
        <v>32</v>
      </c>
      <c r="F85" s="10" t="n">
        <f aca="false">IFERROR(E85/D85,0)</f>
        <v>0.032</v>
      </c>
      <c r="G85" s="11"/>
    </row>
    <row r="86" customFormat="false" ht="15" hidden="false" customHeight="false" outlineLevel="0" collapsed="false">
      <c r="A86" s="7" t="s">
        <v>144</v>
      </c>
      <c r="B86" s="7" t="s">
        <v>145</v>
      </c>
      <c r="C86" s="7" t="s">
        <v>55</v>
      </c>
      <c r="D86" s="8" t="n">
        <v>500</v>
      </c>
      <c r="E86" s="9" t="n">
        <v>160</v>
      </c>
      <c r="F86" s="10" t="n">
        <f aca="false">IFERROR(E86/D86,0)</f>
        <v>0.32</v>
      </c>
      <c r="G86" s="11"/>
    </row>
    <row r="87" customFormat="false" ht="15" hidden="false" customHeight="false" outlineLevel="0" collapsed="false">
      <c r="A87" s="7" t="s">
        <v>144</v>
      </c>
      <c r="B87" s="7" t="s">
        <v>146</v>
      </c>
      <c r="C87" s="7" t="s">
        <v>55</v>
      </c>
      <c r="D87" s="8" t="n">
        <v>1000</v>
      </c>
      <c r="E87" s="9" t="n">
        <v>55</v>
      </c>
      <c r="F87" s="10" t="n">
        <f aca="false">IFERROR(E87/D87,0)</f>
        <v>0.055</v>
      </c>
      <c r="G87" s="11"/>
    </row>
    <row r="88" customFormat="false" ht="15" hidden="false" customHeight="false" outlineLevel="0" collapsed="false">
      <c r="A88" s="7" t="s">
        <v>144</v>
      </c>
      <c r="B88" s="7" t="s">
        <v>147</v>
      </c>
      <c r="C88" s="7" t="s">
        <v>55</v>
      </c>
      <c r="D88" s="8" t="n">
        <v>500</v>
      </c>
      <c r="E88" s="9" t="n">
        <v>220</v>
      </c>
      <c r="F88" s="10" t="n">
        <f aca="false">IFERROR(E88/D88,0)</f>
        <v>0.44</v>
      </c>
      <c r="G88" s="11"/>
    </row>
    <row r="89" customFormat="false" ht="15" hidden="false" customHeight="false" outlineLevel="0" collapsed="false">
      <c r="A89" s="7" t="s">
        <v>144</v>
      </c>
      <c r="B89" s="7" t="s">
        <v>148</v>
      </c>
      <c r="C89" s="7" t="s">
        <v>47</v>
      </c>
      <c r="D89" s="8" t="n">
        <v>1000</v>
      </c>
      <c r="E89" s="9" t="n">
        <v>0</v>
      </c>
      <c r="F89" s="10" t="n">
        <f aca="false">IFERROR(E89/D89,0)</f>
        <v>0</v>
      </c>
      <c r="G89" s="11"/>
    </row>
    <row r="90" customFormat="false" ht="15" hidden="false" customHeight="false" outlineLevel="0" collapsed="false">
      <c r="A90" s="7" t="s">
        <v>144</v>
      </c>
      <c r="B90" s="7" t="s">
        <v>149</v>
      </c>
      <c r="C90" s="7" t="s">
        <v>47</v>
      </c>
      <c r="D90" s="8" t="n">
        <v>500</v>
      </c>
      <c r="E90" s="9" t="n">
        <v>55</v>
      </c>
      <c r="F90" s="10" t="n">
        <f aca="false">IFERROR(E90/D90,0)</f>
        <v>0.11</v>
      </c>
      <c r="G90" s="11"/>
    </row>
    <row r="91" customFormat="false" ht="15" hidden="false" customHeight="false" outlineLevel="0" collapsed="false">
      <c r="A91" s="7" t="s">
        <v>150</v>
      </c>
      <c r="B91" s="7" t="s">
        <v>151</v>
      </c>
      <c r="C91" s="7" t="s">
        <v>55</v>
      </c>
      <c r="D91" s="8" t="n">
        <v>500</v>
      </c>
      <c r="E91" s="9" t="n">
        <v>30</v>
      </c>
      <c r="F91" s="10" t="n">
        <f aca="false">IFERROR(E91/D91,0)</f>
        <v>0.06</v>
      </c>
      <c r="G91" s="11"/>
    </row>
    <row r="92" customFormat="false" ht="15" hidden="false" customHeight="false" outlineLevel="0" collapsed="false">
      <c r="A92" s="7" t="s">
        <v>150</v>
      </c>
      <c r="B92" s="7" t="s">
        <v>152</v>
      </c>
      <c r="C92" s="7" t="s">
        <v>55</v>
      </c>
      <c r="D92" s="8" t="n">
        <v>250</v>
      </c>
      <c r="E92" s="9" t="n">
        <v>45</v>
      </c>
      <c r="F92" s="10" t="n">
        <f aca="false">IFERROR(E92/D92,0)</f>
        <v>0.18</v>
      </c>
      <c r="G92" s="11"/>
    </row>
    <row r="93" customFormat="false" ht="15" hidden="false" customHeight="false" outlineLevel="0" collapsed="false">
      <c r="A93" s="7" t="s">
        <v>150</v>
      </c>
      <c r="B93" s="7" t="s">
        <v>153</v>
      </c>
      <c r="C93" s="7" t="s">
        <v>55</v>
      </c>
      <c r="D93" s="8" t="n">
        <v>250</v>
      </c>
      <c r="E93" s="9" t="n">
        <v>55</v>
      </c>
      <c r="F93" s="10" t="n">
        <f aca="false">IFERROR(E93/D93,0)</f>
        <v>0.22</v>
      </c>
      <c r="G9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27.75" hidden="false" customHeight="true" outlineLevel="0" collapsed="false">
      <c r="A4" s="6" t="s">
        <v>156</v>
      </c>
      <c r="B4" s="6" t="s">
        <v>157</v>
      </c>
      <c r="C4" s="6" t="s">
        <v>38</v>
      </c>
      <c r="D4" s="6" t="s">
        <v>158</v>
      </c>
      <c r="E4" s="6" t="s">
        <v>159</v>
      </c>
      <c r="F4" s="6" t="s">
        <v>42</v>
      </c>
      <c r="G4" s="6" t="s">
        <v>160</v>
      </c>
      <c r="H4" s="6" t="s">
        <v>161</v>
      </c>
    </row>
    <row r="5" customFormat="false" ht="15" hidden="false" customHeight="false" outlineLevel="0" collapsed="false">
      <c r="A5" s="7" t="n">
        <v>1</v>
      </c>
      <c r="B5" s="7" t="s">
        <v>162</v>
      </c>
      <c r="C5" s="7" t="s">
        <v>143</v>
      </c>
      <c r="D5" s="8" t="n">
        <v>1000</v>
      </c>
      <c r="E5" s="7" t="s">
        <v>55</v>
      </c>
      <c r="F5" s="10" t="n">
        <f aca="false">IFERROR(INDEX('1. Insumos'!$F$5:$F$93,MATCH($C5,'1. Insumos'!$B$5:$B$93,0)),0)</f>
        <v>0.032</v>
      </c>
      <c r="G5" s="13" t="n">
        <f aca="false">D5*F5</f>
        <v>32</v>
      </c>
      <c r="H5" s="14" t="s">
        <v>163</v>
      </c>
    </row>
    <row r="6" customFormat="false" ht="15" hidden="false" customHeight="false" outlineLevel="0" collapsed="false">
      <c r="A6" s="7" t="n">
        <v>1</v>
      </c>
      <c r="B6" s="7" t="s">
        <v>162</v>
      </c>
      <c r="C6" s="7" t="s">
        <v>110</v>
      </c>
      <c r="D6" s="8" t="n">
        <v>270</v>
      </c>
      <c r="E6" s="7" t="s">
        <v>55</v>
      </c>
      <c r="F6" s="10" t="n">
        <f aca="false">IFERROR(INDEX('1. Insumos'!$F$5:$F$93,MATCH($C6,'1. Insumos'!$B$5:$B$93,0)),0)</f>
        <v>0.145</v>
      </c>
      <c r="G6" s="13" t="n">
        <f aca="false">D6*F6</f>
        <v>39.15</v>
      </c>
      <c r="H6" s="14" t="s">
        <v>164</v>
      </c>
    </row>
    <row r="7" customFormat="false" ht="15" hidden="false" customHeight="false" outlineLevel="0" collapsed="false">
      <c r="A7" s="7" t="n">
        <v>1</v>
      </c>
      <c r="B7" s="7" t="s">
        <v>162</v>
      </c>
      <c r="C7" s="7" t="s">
        <v>52</v>
      </c>
      <c r="D7" s="8" t="n">
        <v>250</v>
      </c>
      <c r="E7" s="7" t="s">
        <v>47</v>
      </c>
      <c r="F7" s="10" t="n">
        <f aca="false">IFERROR(INDEX('1. Insumos'!$F$5:$F$93,MATCH($C7,'1. Insumos'!$B$5:$B$93,0)),0)</f>
        <v>0.03</v>
      </c>
      <c r="G7" s="13" t="n">
        <f aca="false">D7*F7</f>
        <v>7.5</v>
      </c>
      <c r="H7" s="14" t="s">
        <v>165</v>
      </c>
    </row>
    <row r="8" customFormat="false" ht="15" hidden="false" customHeight="false" outlineLevel="0" collapsed="false">
      <c r="A8" s="7" t="n">
        <v>1</v>
      </c>
      <c r="B8" s="7" t="s">
        <v>162</v>
      </c>
      <c r="C8" s="7" t="s">
        <v>148</v>
      </c>
      <c r="D8" s="8" t="n">
        <v>50</v>
      </c>
      <c r="E8" s="7" t="s">
        <v>47</v>
      </c>
      <c r="F8" s="10" t="n">
        <f aca="false">IFERROR(INDEX('1. Insumos'!$F$5:$F$93,MATCH($C8,'1. Insumos'!$B$5:$B$93,0)),0)</f>
        <v>0</v>
      </c>
      <c r="G8" s="13" t="n">
        <f aca="false">D8*F8</f>
        <v>0</v>
      </c>
      <c r="H8" s="14" t="s">
        <v>166</v>
      </c>
    </row>
    <row r="9" customFormat="false" ht="15" hidden="false" customHeight="false" outlineLevel="0" collapsed="false">
      <c r="A9" s="7" t="n">
        <v>1</v>
      </c>
      <c r="B9" s="7" t="s">
        <v>162</v>
      </c>
      <c r="C9" s="7" t="s">
        <v>85</v>
      </c>
      <c r="D9" s="8" t="n">
        <v>16</v>
      </c>
      <c r="E9" s="7" t="s">
        <v>55</v>
      </c>
      <c r="F9" s="10" t="n">
        <f aca="false">IFERROR(INDEX('1. Insumos'!$F$5:$F$93,MATCH($C9,'1. Insumos'!$B$5:$B$93,0)),0)</f>
        <v>0.025</v>
      </c>
      <c r="G9" s="13" t="n">
        <f aca="false">D9*F9</f>
        <v>0.4</v>
      </c>
      <c r="H9" s="14" t="s">
        <v>167</v>
      </c>
    </row>
    <row r="10" customFormat="false" ht="15" hidden="false" customHeight="false" outlineLevel="0" collapsed="false">
      <c r="A10" s="7" t="n">
        <v>1</v>
      </c>
      <c r="B10" s="7" t="s">
        <v>162</v>
      </c>
      <c r="C10" s="7" t="s">
        <v>84</v>
      </c>
      <c r="D10" s="8" t="n">
        <v>5</v>
      </c>
      <c r="E10" s="7" t="s">
        <v>55</v>
      </c>
      <c r="F10" s="10" t="n">
        <f aca="false">IFERROR(INDEX('1. Insumos'!$F$5:$F$93,MATCH($C10,'1. Insumos'!$B$5:$B$93,0)),0)</f>
        <v>0.175</v>
      </c>
      <c r="G10" s="13" t="n">
        <f aca="false">D10*F10</f>
        <v>0.875</v>
      </c>
      <c r="H10" s="14" t="s">
        <v>84</v>
      </c>
    </row>
    <row r="11" customFormat="false" ht="15" hidden="false" customHeight="false" outlineLevel="0" collapsed="false">
      <c r="A11" s="7" t="n">
        <v>1</v>
      </c>
      <c r="B11" s="7" t="s">
        <v>162</v>
      </c>
      <c r="C11" s="7" t="s">
        <v>59</v>
      </c>
      <c r="D11" s="8" t="n">
        <v>500</v>
      </c>
      <c r="E11" s="7" t="s">
        <v>55</v>
      </c>
      <c r="F11" s="10" t="n">
        <f aca="false">IFERROR(INDEX('1. Insumos'!$F$5:$F$93,MATCH($C11,'1. Insumos'!$B$5:$B$93,0)),0)</f>
        <v>0.21</v>
      </c>
      <c r="G11" s="13" t="n">
        <f aca="false">D11*F11</f>
        <v>105</v>
      </c>
      <c r="H11" s="14" t="s">
        <v>168</v>
      </c>
    </row>
    <row r="12" customFormat="false" ht="15" hidden="false" customHeight="false" outlineLevel="0" collapsed="false">
      <c r="A12" s="7" t="n">
        <v>1</v>
      </c>
      <c r="B12" s="7" t="s">
        <v>162</v>
      </c>
      <c r="C12" s="7" t="s">
        <v>63</v>
      </c>
      <c r="D12" s="8" t="n">
        <v>5</v>
      </c>
      <c r="E12" s="7" t="s">
        <v>64</v>
      </c>
      <c r="F12" s="10" t="n">
        <f aca="false">IFERROR(INDEX('1. Insumos'!$F$5:$F$93,MATCH($C12,'1. Insumos'!$B$5:$B$93,0)),0)</f>
        <v>2.33333333333333</v>
      </c>
      <c r="G12" s="13" t="n">
        <f aca="false">D12*F12</f>
        <v>11.6666666666667</v>
      </c>
      <c r="H12" s="14" t="s">
        <v>169</v>
      </c>
    </row>
    <row r="13" customFormat="false" ht="15" hidden="false" customHeight="false" outlineLevel="0" collapsed="false">
      <c r="A13" s="7" t="n">
        <v>1</v>
      </c>
      <c r="B13" s="7" t="s">
        <v>162</v>
      </c>
      <c r="C13" s="7" t="s">
        <v>69</v>
      </c>
      <c r="D13" s="8" t="n">
        <v>3</v>
      </c>
      <c r="E13" s="7" t="s">
        <v>64</v>
      </c>
      <c r="F13" s="10" t="n">
        <f aca="false">IFERROR(INDEX('1. Insumos'!$F$5:$F$93,MATCH($C13,'1. Insumos'!$B$5:$B$93,0)),0)</f>
        <v>1.5</v>
      </c>
      <c r="G13" s="13" t="n">
        <f aca="false">D13*F13</f>
        <v>4.5</v>
      </c>
      <c r="H13" s="14" t="s">
        <v>170</v>
      </c>
    </row>
    <row r="14" customFormat="false" ht="15" hidden="false" customHeight="false" outlineLevel="0" collapsed="false">
      <c r="A14" s="7" t="n">
        <v>1</v>
      </c>
      <c r="B14" s="7" t="s">
        <v>162</v>
      </c>
      <c r="C14" s="7" t="s">
        <v>88</v>
      </c>
      <c r="D14" s="8" t="n">
        <v>3</v>
      </c>
      <c r="E14" s="7" t="s">
        <v>64</v>
      </c>
      <c r="F14" s="10" t="n">
        <f aca="false">IFERROR(INDEX('1. Insumos'!$F$5:$F$93,MATCH($C14,'1. Insumos'!$B$5:$B$93,0)),0)</f>
        <v>0.875</v>
      </c>
      <c r="G14" s="13" t="n">
        <f aca="false">D14*F14</f>
        <v>2.625</v>
      </c>
      <c r="H14" s="14" t="s">
        <v>171</v>
      </c>
    </row>
    <row r="15" customFormat="false" ht="15" hidden="false" customHeight="false" outlineLevel="0" collapsed="false">
      <c r="A15" s="7" t="n">
        <v>1</v>
      </c>
      <c r="B15" s="7" t="s">
        <v>162</v>
      </c>
      <c r="C15" s="7" t="s">
        <v>90</v>
      </c>
      <c r="D15" s="8" t="n">
        <v>0.25</v>
      </c>
      <c r="E15" s="7" t="s">
        <v>64</v>
      </c>
      <c r="F15" s="10" t="n">
        <f aca="false">IFERROR(INDEX('1. Insumos'!$F$5:$F$93,MATCH($C15,'1. Insumos'!$B$5:$B$93,0)),0)</f>
        <v>3.75</v>
      </c>
      <c r="G15" s="13" t="n">
        <f aca="false">D15*F15</f>
        <v>0.9375</v>
      </c>
      <c r="H15" s="14" t="s">
        <v>172</v>
      </c>
    </row>
    <row r="16" customFormat="false" ht="15" hidden="false" customHeight="false" outlineLevel="0" collapsed="false">
      <c r="A16" s="7" t="n">
        <v>1</v>
      </c>
      <c r="B16" s="7" t="s">
        <v>162</v>
      </c>
      <c r="C16" s="7" t="s">
        <v>116</v>
      </c>
      <c r="D16" s="8" t="n">
        <v>2</v>
      </c>
      <c r="E16" s="7" t="s">
        <v>55</v>
      </c>
      <c r="F16" s="10" t="n">
        <f aca="false">IFERROR(INDEX('1. Insumos'!$F$5:$F$93,MATCH($C16,'1. Insumos'!$B$5:$B$93,0)),0)</f>
        <v>0.6</v>
      </c>
      <c r="G16" s="13" t="n">
        <f aca="false">D16*F16</f>
        <v>1.2</v>
      </c>
      <c r="H16" s="14" t="s">
        <v>173</v>
      </c>
    </row>
    <row r="17" customFormat="false" ht="15" hidden="false" customHeight="false" outlineLevel="0" collapsed="false">
      <c r="A17" s="7" t="n">
        <v>1</v>
      </c>
      <c r="B17" s="7" t="s">
        <v>162</v>
      </c>
      <c r="C17" s="7" t="s">
        <v>82</v>
      </c>
      <c r="D17" s="8" t="n">
        <v>1</v>
      </c>
      <c r="E17" s="7" t="s">
        <v>55</v>
      </c>
      <c r="F17" s="10" t="n">
        <f aca="false">IFERROR(INDEX('1. Insumos'!$F$5:$F$93,MATCH($C17,'1. Insumos'!$B$5:$B$93,0)),0)</f>
        <v>0.4</v>
      </c>
      <c r="G17" s="13" t="n">
        <f aca="false">D17*F17</f>
        <v>0.4</v>
      </c>
      <c r="H17" s="14" t="s">
        <v>174</v>
      </c>
    </row>
    <row r="18" customFormat="false" ht="15" hidden="false" customHeight="false" outlineLevel="0" collapsed="false">
      <c r="A18" s="7" t="n">
        <v>1</v>
      </c>
      <c r="B18" s="7" t="s">
        <v>162</v>
      </c>
      <c r="C18" s="7" t="s">
        <v>122</v>
      </c>
      <c r="D18" s="8" t="n">
        <v>20</v>
      </c>
      <c r="E18" s="7" t="s">
        <v>64</v>
      </c>
      <c r="F18" s="10" t="n">
        <f aca="false">IFERROR(INDEX('1. Insumos'!$F$5:$F$93,MATCH($C18,'1. Insumos'!$B$5:$B$93,0)),0)</f>
        <v>0.55</v>
      </c>
      <c r="G18" s="13" t="n">
        <f aca="false">D18*F18</f>
        <v>11</v>
      </c>
      <c r="H18" s="14" t="s">
        <v>175</v>
      </c>
    </row>
    <row r="19" customFormat="false" ht="15" hidden="false" customHeight="false" outlineLevel="0" collapsed="false">
      <c r="A19" s="7" t="n">
        <v>2</v>
      </c>
      <c r="B19" s="7" t="s">
        <v>176</v>
      </c>
      <c r="C19" s="7" t="s">
        <v>143</v>
      </c>
      <c r="D19" s="8" t="n">
        <v>1000</v>
      </c>
      <c r="E19" s="7" t="s">
        <v>55</v>
      </c>
      <c r="F19" s="10" t="n">
        <f aca="false">IFERROR(INDEX('1. Insumos'!$F$5:$F$93,MATCH($C19,'1. Insumos'!$B$5:$B$93,0)),0)</f>
        <v>0.032</v>
      </c>
      <c r="G19" s="13" t="n">
        <f aca="false">D19*F19</f>
        <v>32</v>
      </c>
      <c r="H19" s="14" t="s">
        <v>177</v>
      </c>
    </row>
    <row r="20" customFormat="false" ht="15" hidden="false" customHeight="false" outlineLevel="0" collapsed="false">
      <c r="A20" s="7" t="n">
        <v>2</v>
      </c>
      <c r="B20" s="7" t="s">
        <v>176</v>
      </c>
      <c r="C20" s="7" t="s">
        <v>110</v>
      </c>
      <c r="D20" s="8" t="n">
        <v>270</v>
      </c>
      <c r="E20" s="7" t="s">
        <v>55</v>
      </c>
      <c r="F20" s="10" t="n">
        <f aca="false">IFERROR(INDEX('1. Insumos'!$F$5:$F$93,MATCH($C20,'1. Insumos'!$B$5:$B$93,0)),0)</f>
        <v>0.145</v>
      </c>
      <c r="G20" s="13" t="n">
        <f aca="false">D20*F20</f>
        <v>39.15</v>
      </c>
      <c r="H20" s="14" t="s">
        <v>178</v>
      </c>
    </row>
    <row r="21" customFormat="false" ht="15" hidden="false" customHeight="false" outlineLevel="0" collapsed="false">
      <c r="A21" s="7" t="n">
        <v>2</v>
      </c>
      <c r="B21" s="7" t="s">
        <v>176</v>
      </c>
      <c r="C21" s="7" t="s">
        <v>49</v>
      </c>
      <c r="D21" s="8" t="n">
        <v>260</v>
      </c>
      <c r="E21" s="7" t="s">
        <v>47</v>
      </c>
      <c r="F21" s="10" t="n">
        <f aca="false">IFERROR(INDEX('1. Insumos'!$F$5:$F$93,MATCH($C21,'1. Insumos'!$B$5:$B$93,0)),0)</f>
        <v>0.032</v>
      </c>
      <c r="G21" s="13" t="n">
        <f aca="false">D21*F21</f>
        <v>8.32</v>
      </c>
      <c r="H21" s="14" t="s">
        <v>179</v>
      </c>
    </row>
    <row r="22" customFormat="false" ht="15" hidden="false" customHeight="false" outlineLevel="0" collapsed="false">
      <c r="A22" s="7" t="n">
        <v>2</v>
      </c>
      <c r="B22" s="7" t="s">
        <v>176</v>
      </c>
      <c r="C22" s="7" t="s">
        <v>85</v>
      </c>
      <c r="D22" s="8" t="n">
        <v>16</v>
      </c>
      <c r="E22" s="7" t="s">
        <v>55</v>
      </c>
      <c r="F22" s="10" t="n">
        <f aca="false">IFERROR(INDEX('1. Insumos'!$F$5:$F$93,MATCH($C22,'1. Insumos'!$B$5:$B$93,0)),0)</f>
        <v>0.025</v>
      </c>
      <c r="G22" s="13" t="n">
        <f aca="false">D22*F22</f>
        <v>0.4</v>
      </c>
      <c r="H22" s="14" t="s">
        <v>167</v>
      </c>
    </row>
    <row r="23" customFormat="false" ht="15" hidden="false" customHeight="false" outlineLevel="0" collapsed="false">
      <c r="A23" s="7" t="n">
        <v>2</v>
      </c>
      <c r="B23" s="7" t="s">
        <v>176</v>
      </c>
      <c r="C23" s="7" t="s">
        <v>84</v>
      </c>
      <c r="D23" s="8" t="n">
        <v>5</v>
      </c>
      <c r="E23" s="7" t="s">
        <v>55</v>
      </c>
      <c r="F23" s="10" t="n">
        <f aca="false">IFERROR(INDEX('1. Insumos'!$F$5:$F$93,MATCH($C23,'1. Insumos'!$B$5:$B$93,0)),0)</f>
        <v>0.175</v>
      </c>
      <c r="G23" s="13" t="n">
        <f aca="false">D23*F23</f>
        <v>0.875</v>
      </c>
      <c r="H23" s="14" t="s">
        <v>84</v>
      </c>
    </row>
    <row r="24" customFormat="false" ht="15" hidden="false" customHeight="false" outlineLevel="0" collapsed="false">
      <c r="A24" s="7" t="n">
        <v>2</v>
      </c>
      <c r="B24" s="7" t="s">
        <v>176</v>
      </c>
      <c r="C24" s="7" t="s">
        <v>59</v>
      </c>
      <c r="D24" s="8" t="n">
        <v>250</v>
      </c>
      <c r="E24" s="7" t="s">
        <v>55</v>
      </c>
      <c r="F24" s="10" t="n">
        <f aca="false">IFERROR(INDEX('1. Insumos'!$F$5:$F$93,MATCH($C24,'1. Insumos'!$B$5:$B$93,0)),0)</f>
        <v>0.21</v>
      </c>
      <c r="G24" s="13" t="n">
        <f aca="false">D24*F24</f>
        <v>52.5</v>
      </c>
      <c r="H24" s="14" t="s">
        <v>180</v>
      </c>
    </row>
    <row r="25" customFormat="false" ht="15" hidden="false" customHeight="false" outlineLevel="0" collapsed="false">
      <c r="A25" s="7" t="n">
        <v>2</v>
      </c>
      <c r="B25" s="7" t="s">
        <v>176</v>
      </c>
      <c r="C25" s="7" t="s">
        <v>61</v>
      </c>
      <c r="D25" s="8" t="n">
        <v>250</v>
      </c>
      <c r="E25" s="7" t="s">
        <v>55</v>
      </c>
      <c r="F25" s="10" t="n">
        <f aca="false">IFERROR(INDEX('1. Insumos'!$F$5:$F$93,MATCH($C25,'1. Insumos'!$B$5:$B$93,0)),0)</f>
        <v>0.185</v>
      </c>
      <c r="G25" s="13" t="n">
        <f aca="false">D25*F25</f>
        <v>46.25</v>
      </c>
      <c r="H25" s="14" t="s">
        <v>181</v>
      </c>
    </row>
    <row r="26" customFormat="false" ht="15" hidden="false" customHeight="false" outlineLevel="0" collapsed="false">
      <c r="A26" s="7" t="n">
        <v>2</v>
      </c>
      <c r="B26" s="7" t="s">
        <v>176</v>
      </c>
      <c r="C26" s="7" t="s">
        <v>63</v>
      </c>
      <c r="D26" s="8" t="n">
        <v>4</v>
      </c>
      <c r="E26" s="7" t="s">
        <v>64</v>
      </c>
      <c r="F26" s="10" t="n">
        <f aca="false">IFERROR(INDEX('1. Insumos'!$F$5:$F$93,MATCH($C26,'1. Insumos'!$B$5:$B$93,0)),0)</f>
        <v>2.33333333333333</v>
      </c>
      <c r="G26" s="13" t="n">
        <f aca="false">D26*F26</f>
        <v>9.33333333333333</v>
      </c>
      <c r="H26" s="14" t="s">
        <v>182</v>
      </c>
    </row>
    <row r="27" customFormat="false" ht="15" hidden="false" customHeight="false" outlineLevel="0" collapsed="false">
      <c r="A27" s="7" t="n">
        <v>2</v>
      </c>
      <c r="B27" s="7" t="s">
        <v>176</v>
      </c>
      <c r="C27" s="7" t="s">
        <v>103</v>
      </c>
      <c r="D27" s="8" t="n">
        <v>280</v>
      </c>
      <c r="E27" s="7" t="s">
        <v>55</v>
      </c>
      <c r="F27" s="10" t="n">
        <f aca="false">IFERROR(INDEX('1. Insumos'!$F$5:$F$93,MATCH($C27,'1. Insumos'!$B$5:$B$93,0)),0)</f>
        <v>0.3</v>
      </c>
      <c r="G27" s="13" t="n">
        <f aca="false">D27*F27</f>
        <v>84</v>
      </c>
      <c r="H27" s="14" t="s">
        <v>183</v>
      </c>
    </row>
    <row r="28" customFormat="false" ht="15" hidden="false" customHeight="false" outlineLevel="0" collapsed="false">
      <c r="A28" s="7" t="n">
        <v>2</v>
      </c>
      <c r="B28" s="7" t="s">
        <v>176</v>
      </c>
      <c r="C28" s="7" t="s">
        <v>105</v>
      </c>
      <c r="D28" s="8" t="n">
        <v>40</v>
      </c>
      <c r="E28" s="7" t="s">
        <v>55</v>
      </c>
      <c r="F28" s="10" t="n">
        <f aca="false">IFERROR(INDEX('1. Insumos'!$F$5:$F$93,MATCH($C28,'1. Insumos'!$B$5:$B$93,0)),0)</f>
        <v>0.22</v>
      </c>
      <c r="G28" s="13" t="n">
        <f aca="false">D28*F28</f>
        <v>8.8</v>
      </c>
      <c r="H28" s="14" t="s">
        <v>184</v>
      </c>
    </row>
    <row r="29" customFormat="false" ht="15" hidden="false" customHeight="false" outlineLevel="0" collapsed="false">
      <c r="A29" s="7" t="n">
        <v>2</v>
      </c>
      <c r="B29" s="7" t="s">
        <v>176</v>
      </c>
      <c r="C29" s="7" t="s">
        <v>100</v>
      </c>
      <c r="D29" s="8" t="n">
        <v>150</v>
      </c>
      <c r="E29" s="7" t="s">
        <v>55</v>
      </c>
      <c r="F29" s="10" t="n">
        <f aca="false">IFERROR(INDEX('1. Insumos'!$F$5:$F$93,MATCH($C29,'1. Insumos'!$B$5:$B$93,0)),0)</f>
        <v>0.035</v>
      </c>
      <c r="G29" s="13" t="n">
        <f aca="false">D29*F29</f>
        <v>5.25</v>
      </c>
      <c r="H29" s="14" t="s">
        <v>185</v>
      </c>
    </row>
    <row r="30" customFormat="false" ht="15" hidden="false" customHeight="false" outlineLevel="0" collapsed="false">
      <c r="A30" s="7" t="n">
        <v>3</v>
      </c>
      <c r="B30" s="7" t="s">
        <v>186</v>
      </c>
      <c r="C30" s="7" t="s">
        <v>143</v>
      </c>
      <c r="D30" s="8" t="n">
        <v>1000</v>
      </c>
      <c r="E30" s="7" t="s">
        <v>55</v>
      </c>
      <c r="F30" s="10" t="n">
        <f aca="false">IFERROR(INDEX('1. Insumos'!$F$5:$F$93,MATCH($C30,'1. Insumos'!$B$5:$B$93,0)),0)</f>
        <v>0.032</v>
      </c>
      <c r="G30" s="13" t="n">
        <f aca="false">D30*F30</f>
        <v>32</v>
      </c>
      <c r="H30" s="14" t="s">
        <v>187</v>
      </c>
    </row>
    <row r="31" customFormat="false" ht="15" hidden="false" customHeight="false" outlineLevel="0" collapsed="false">
      <c r="A31" s="7" t="n">
        <v>3</v>
      </c>
      <c r="B31" s="7" t="s">
        <v>186</v>
      </c>
      <c r="C31" s="7" t="s">
        <v>110</v>
      </c>
      <c r="D31" s="8" t="n">
        <v>285</v>
      </c>
      <c r="E31" s="7" t="s">
        <v>55</v>
      </c>
      <c r="F31" s="10" t="n">
        <f aca="false">IFERROR(INDEX('1. Insumos'!$F$5:$F$93,MATCH($C31,'1. Insumos'!$B$5:$B$93,0)),0)</f>
        <v>0.145</v>
      </c>
      <c r="G31" s="13" t="n">
        <f aca="false">D31*F31</f>
        <v>41.325</v>
      </c>
      <c r="H31" s="14" t="s">
        <v>164</v>
      </c>
    </row>
    <row r="32" customFormat="false" ht="15" hidden="false" customHeight="false" outlineLevel="0" collapsed="false">
      <c r="A32" s="7" t="n">
        <v>3</v>
      </c>
      <c r="B32" s="7" t="s">
        <v>186</v>
      </c>
      <c r="C32" s="7" t="s">
        <v>49</v>
      </c>
      <c r="D32" s="8" t="n">
        <v>200</v>
      </c>
      <c r="E32" s="7" t="s">
        <v>47</v>
      </c>
      <c r="F32" s="10" t="n">
        <f aca="false">IFERROR(INDEX('1. Insumos'!$F$5:$F$93,MATCH($C32,'1. Insumos'!$B$5:$B$93,0)),0)</f>
        <v>0.032</v>
      </c>
      <c r="G32" s="13" t="n">
        <f aca="false">D32*F32</f>
        <v>6.4</v>
      </c>
      <c r="H32" s="14" t="s">
        <v>188</v>
      </c>
    </row>
    <row r="33" customFormat="false" ht="15" hidden="false" customHeight="false" outlineLevel="0" collapsed="false">
      <c r="A33" s="7" t="n">
        <v>3</v>
      </c>
      <c r="B33" s="7" t="s">
        <v>186</v>
      </c>
      <c r="C33" s="7" t="s">
        <v>148</v>
      </c>
      <c r="D33" s="8" t="n">
        <v>80</v>
      </c>
      <c r="E33" s="7" t="s">
        <v>47</v>
      </c>
      <c r="F33" s="10" t="n">
        <f aca="false">IFERROR(INDEX('1. Insumos'!$F$5:$F$93,MATCH($C33,'1. Insumos'!$B$5:$B$93,0)),0)</f>
        <v>0</v>
      </c>
      <c r="G33" s="13" t="n">
        <f aca="false">D33*F33</f>
        <v>0</v>
      </c>
      <c r="H33" s="14" t="s">
        <v>189</v>
      </c>
    </row>
    <row r="34" customFormat="false" ht="15" hidden="false" customHeight="false" outlineLevel="0" collapsed="false">
      <c r="A34" s="7" t="n">
        <v>3</v>
      </c>
      <c r="B34" s="7" t="s">
        <v>186</v>
      </c>
      <c r="C34" s="7" t="s">
        <v>85</v>
      </c>
      <c r="D34" s="8" t="n">
        <v>16</v>
      </c>
      <c r="E34" s="7" t="s">
        <v>55</v>
      </c>
      <c r="F34" s="10" t="n">
        <f aca="false">IFERROR(INDEX('1. Insumos'!$F$5:$F$93,MATCH($C34,'1. Insumos'!$B$5:$B$93,0)),0)</f>
        <v>0.025</v>
      </c>
      <c r="G34" s="13" t="n">
        <f aca="false">D34*F34</f>
        <v>0.4</v>
      </c>
      <c r="H34" s="14" t="s">
        <v>167</v>
      </c>
    </row>
    <row r="35" customFormat="false" ht="15" hidden="false" customHeight="false" outlineLevel="0" collapsed="false">
      <c r="A35" s="7" t="n">
        <v>3</v>
      </c>
      <c r="B35" s="7" t="s">
        <v>186</v>
      </c>
      <c r="C35" s="7" t="s">
        <v>84</v>
      </c>
      <c r="D35" s="8" t="n">
        <v>5</v>
      </c>
      <c r="E35" s="7" t="s">
        <v>55</v>
      </c>
      <c r="F35" s="10" t="n">
        <f aca="false">IFERROR(INDEX('1. Insumos'!$F$5:$F$93,MATCH($C35,'1. Insumos'!$B$5:$B$93,0)),0)</f>
        <v>0.175</v>
      </c>
      <c r="G35" s="13" t="n">
        <f aca="false">D35*F35</f>
        <v>0.875</v>
      </c>
      <c r="H35" s="14" t="s">
        <v>84</v>
      </c>
    </row>
    <row r="36" customFormat="false" ht="15" hidden="false" customHeight="false" outlineLevel="0" collapsed="false">
      <c r="A36" s="7" t="n">
        <v>3</v>
      </c>
      <c r="B36" s="7" t="s">
        <v>186</v>
      </c>
      <c r="C36" s="7" t="s">
        <v>61</v>
      </c>
      <c r="D36" s="8" t="n">
        <v>500</v>
      </c>
      <c r="E36" s="7" t="s">
        <v>55</v>
      </c>
      <c r="F36" s="10" t="n">
        <f aca="false">IFERROR(INDEX('1. Insumos'!$F$5:$F$93,MATCH($C36,'1. Insumos'!$B$5:$B$93,0)),0)</f>
        <v>0.185</v>
      </c>
      <c r="G36" s="13" t="n">
        <f aca="false">D36*F36</f>
        <v>92.5</v>
      </c>
      <c r="H36" s="14" t="s">
        <v>190</v>
      </c>
    </row>
    <row r="37" customFormat="false" ht="15" hidden="false" customHeight="false" outlineLevel="0" collapsed="false">
      <c r="A37" s="7" t="n">
        <v>3</v>
      </c>
      <c r="B37" s="7" t="s">
        <v>186</v>
      </c>
      <c r="C37" s="7" t="s">
        <v>67</v>
      </c>
      <c r="D37" s="8" t="n">
        <v>8</v>
      </c>
      <c r="E37" s="7" t="s">
        <v>64</v>
      </c>
      <c r="F37" s="10" t="n">
        <f aca="false">IFERROR(INDEX('1. Insumos'!$F$5:$F$93,MATCH($C37,'1. Insumos'!$B$5:$B$93,0)),0)</f>
        <v>1.375</v>
      </c>
      <c r="G37" s="13" t="n">
        <f aca="false">D37*F37</f>
        <v>11</v>
      </c>
      <c r="H37" s="14" t="s">
        <v>191</v>
      </c>
    </row>
    <row r="38" customFormat="false" ht="15" hidden="false" customHeight="false" outlineLevel="0" collapsed="false">
      <c r="A38" s="7" t="n">
        <v>3</v>
      </c>
      <c r="B38" s="7" t="s">
        <v>186</v>
      </c>
      <c r="C38" s="7" t="s">
        <v>63</v>
      </c>
      <c r="D38" s="8" t="n">
        <v>2</v>
      </c>
      <c r="E38" s="7" t="s">
        <v>64</v>
      </c>
      <c r="F38" s="10" t="n">
        <f aca="false">IFERROR(INDEX('1. Insumos'!$F$5:$F$93,MATCH($C38,'1. Insumos'!$B$5:$B$93,0)),0)</f>
        <v>2.33333333333333</v>
      </c>
      <c r="G38" s="13" t="n">
        <f aca="false">D38*F38</f>
        <v>4.66666666666667</v>
      </c>
      <c r="H38" s="14" t="s">
        <v>192</v>
      </c>
    </row>
    <row r="39" customFormat="false" ht="15" hidden="false" customHeight="false" outlineLevel="0" collapsed="false">
      <c r="A39" s="7" t="n">
        <v>3</v>
      </c>
      <c r="B39" s="7" t="s">
        <v>186</v>
      </c>
      <c r="C39" s="7" t="s">
        <v>88</v>
      </c>
      <c r="D39" s="8" t="n">
        <v>3</v>
      </c>
      <c r="E39" s="7" t="s">
        <v>64</v>
      </c>
      <c r="F39" s="10" t="n">
        <f aca="false">IFERROR(INDEX('1. Insumos'!$F$5:$F$93,MATCH($C39,'1. Insumos'!$B$5:$B$93,0)),0)</f>
        <v>0.875</v>
      </c>
      <c r="G39" s="13" t="n">
        <f aca="false">D39*F39</f>
        <v>2.625</v>
      </c>
      <c r="H39" s="14" t="s">
        <v>171</v>
      </c>
    </row>
    <row r="40" customFormat="false" ht="15" hidden="false" customHeight="false" outlineLevel="0" collapsed="false">
      <c r="A40" s="7" t="n">
        <v>3</v>
      </c>
      <c r="B40" s="7" t="s">
        <v>186</v>
      </c>
      <c r="C40" s="7" t="s">
        <v>116</v>
      </c>
      <c r="D40" s="8" t="n">
        <v>2</v>
      </c>
      <c r="E40" s="7" t="s">
        <v>55</v>
      </c>
      <c r="F40" s="10" t="n">
        <f aca="false">IFERROR(INDEX('1. Insumos'!$F$5:$F$93,MATCH($C40,'1. Insumos'!$B$5:$B$93,0)),0)</f>
        <v>0.6</v>
      </c>
      <c r="G40" s="13" t="n">
        <f aca="false">D40*F40</f>
        <v>1.2</v>
      </c>
      <c r="H40" s="14" t="s">
        <v>193</v>
      </c>
    </row>
    <row r="41" customFormat="false" ht="15" hidden="false" customHeight="false" outlineLevel="0" collapsed="false">
      <c r="A41" s="7" t="n">
        <v>3</v>
      </c>
      <c r="B41" s="7" t="s">
        <v>186</v>
      </c>
      <c r="C41" s="7" t="s">
        <v>103</v>
      </c>
      <c r="D41" s="8" t="n">
        <v>300</v>
      </c>
      <c r="E41" s="7" t="s">
        <v>55</v>
      </c>
      <c r="F41" s="10" t="n">
        <f aca="false">IFERROR(INDEX('1. Insumos'!$F$5:$F$93,MATCH($C41,'1. Insumos'!$B$5:$B$93,0)),0)</f>
        <v>0.3</v>
      </c>
      <c r="G41" s="13" t="n">
        <f aca="false">D41*F41</f>
        <v>90</v>
      </c>
      <c r="H41" s="14" t="s">
        <v>194</v>
      </c>
    </row>
    <row r="42" customFormat="false" ht="15" hidden="false" customHeight="false" outlineLevel="0" collapsed="false">
      <c r="A42" s="7" t="n">
        <v>3</v>
      </c>
      <c r="B42" s="7" t="s">
        <v>186</v>
      </c>
      <c r="C42" s="7" t="s">
        <v>92</v>
      </c>
      <c r="D42" s="8" t="n">
        <v>2</v>
      </c>
      <c r="E42" s="7" t="s">
        <v>64</v>
      </c>
      <c r="F42" s="10" t="n">
        <f aca="false">IFERROR(INDEX('1. Insumos'!$F$5:$F$93,MATCH($C42,'1. Insumos'!$B$5:$B$93,0)),0)</f>
        <v>3</v>
      </c>
      <c r="G42" s="13" t="n">
        <f aca="false">D42*F42</f>
        <v>6</v>
      </c>
      <c r="H42" s="14" t="s">
        <v>195</v>
      </c>
    </row>
    <row r="43" customFormat="false" ht="15" hidden="false" customHeight="false" outlineLevel="0" collapsed="false">
      <c r="A43" s="7" t="n">
        <v>4</v>
      </c>
      <c r="B43" s="7" t="s">
        <v>196</v>
      </c>
      <c r="C43" s="7" t="s">
        <v>143</v>
      </c>
      <c r="D43" s="8" t="n">
        <v>1000</v>
      </c>
      <c r="E43" s="7" t="s">
        <v>55</v>
      </c>
      <c r="F43" s="10" t="n">
        <f aca="false">IFERROR(INDEX('1. Insumos'!$F$5:$F$93,MATCH($C43,'1. Insumos'!$B$5:$B$93,0)),0)</f>
        <v>0.032</v>
      </c>
      <c r="G43" s="13" t="n">
        <f aca="false">D43*F43</f>
        <v>32</v>
      </c>
      <c r="H43" s="14" t="s">
        <v>177</v>
      </c>
    </row>
    <row r="44" customFormat="false" ht="15" hidden="false" customHeight="false" outlineLevel="0" collapsed="false">
      <c r="A44" s="7" t="n">
        <v>4</v>
      </c>
      <c r="B44" s="7" t="s">
        <v>196</v>
      </c>
      <c r="C44" s="7" t="s">
        <v>110</v>
      </c>
      <c r="D44" s="8" t="n">
        <v>270</v>
      </c>
      <c r="E44" s="7" t="s">
        <v>55</v>
      </c>
      <c r="F44" s="10" t="n">
        <f aca="false">IFERROR(INDEX('1. Insumos'!$F$5:$F$93,MATCH($C44,'1. Insumos'!$B$5:$B$93,0)),0)</f>
        <v>0.145</v>
      </c>
      <c r="G44" s="13" t="n">
        <f aca="false">D44*F44</f>
        <v>39.15</v>
      </c>
      <c r="H44" s="14" t="s">
        <v>178</v>
      </c>
    </row>
    <row r="45" customFormat="false" ht="15" hidden="false" customHeight="false" outlineLevel="0" collapsed="false">
      <c r="A45" s="7" t="n">
        <v>4</v>
      </c>
      <c r="B45" s="7" t="s">
        <v>196</v>
      </c>
      <c r="C45" s="7" t="s">
        <v>52</v>
      </c>
      <c r="D45" s="8" t="n">
        <v>260</v>
      </c>
      <c r="E45" s="7" t="s">
        <v>47</v>
      </c>
      <c r="F45" s="10" t="n">
        <f aca="false">IFERROR(INDEX('1. Insumos'!$F$5:$F$93,MATCH($C45,'1. Insumos'!$B$5:$B$93,0)),0)</f>
        <v>0.03</v>
      </c>
      <c r="G45" s="13" t="n">
        <f aca="false">D45*F45</f>
        <v>7.8</v>
      </c>
      <c r="H45" s="14" t="s">
        <v>197</v>
      </c>
    </row>
    <row r="46" customFormat="false" ht="15" hidden="false" customHeight="false" outlineLevel="0" collapsed="false">
      <c r="A46" s="7" t="n">
        <v>4</v>
      </c>
      <c r="B46" s="7" t="s">
        <v>196</v>
      </c>
      <c r="C46" s="7" t="s">
        <v>85</v>
      </c>
      <c r="D46" s="8" t="n">
        <v>16</v>
      </c>
      <c r="E46" s="7" t="s">
        <v>55</v>
      </c>
      <c r="F46" s="10" t="n">
        <f aca="false">IFERROR(INDEX('1. Insumos'!$F$5:$F$93,MATCH($C46,'1. Insumos'!$B$5:$B$93,0)),0)</f>
        <v>0.025</v>
      </c>
      <c r="G46" s="13" t="n">
        <f aca="false">D46*F46</f>
        <v>0.4</v>
      </c>
      <c r="H46" s="14" t="s">
        <v>167</v>
      </c>
    </row>
    <row r="47" customFormat="false" ht="15" hidden="false" customHeight="false" outlineLevel="0" collapsed="false">
      <c r="A47" s="7" t="n">
        <v>4</v>
      </c>
      <c r="B47" s="7" t="s">
        <v>196</v>
      </c>
      <c r="C47" s="7" t="s">
        <v>84</v>
      </c>
      <c r="D47" s="8" t="n">
        <v>5</v>
      </c>
      <c r="E47" s="7" t="s">
        <v>55</v>
      </c>
      <c r="F47" s="10" t="n">
        <f aca="false">IFERROR(INDEX('1. Insumos'!$F$5:$F$93,MATCH($C47,'1. Insumos'!$B$5:$B$93,0)),0)</f>
        <v>0.175</v>
      </c>
      <c r="G47" s="13" t="n">
        <f aca="false">D47*F47</f>
        <v>0.875</v>
      </c>
      <c r="H47" s="14" t="s">
        <v>84</v>
      </c>
    </row>
    <row r="48" customFormat="false" ht="15" hidden="false" customHeight="false" outlineLevel="0" collapsed="false">
      <c r="A48" s="7" t="n">
        <v>4</v>
      </c>
      <c r="B48" s="7" t="s">
        <v>196</v>
      </c>
      <c r="C48" s="7" t="s">
        <v>59</v>
      </c>
      <c r="D48" s="8" t="n">
        <v>400</v>
      </c>
      <c r="E48" s="7" t="s">
        <v>55</v>
      </c>
      <c r="F48" s="10" t="n">
        <f aca="false">IFERROR(INDEX('1. Insumos'!$F$5:$F$93,MATCH($C48,'1. Insumos'!$B$5:$B$93,0)),0)</f>
        <v>0.21</v>
      </c>
      <c r="G48" s="13" t="n">
        <f aca="false">D48*F48</f>
        <v>84</v>
      </c>
      <c r="H48" s="14" t="s">
        <v>180</v>
      </c>
    </row>
    <row r="49" customFormat="false" ht="15" hidden="false" customHeight="false" outlineLevel="0" collapsed="false">
      <c r="A49" s="7" t="n">
        <v>4</v>
      </c>
      <c r="B49" s="7" t="s">
        <v>196</v>
      </c>
      <c r="C49" s="7" t="s">
        <v>70</v>
      </c>
      <c r="D49" s="8" t="n">
        <v>8</v>
      </c>
      <c r="E49" s="7" t="s">
        <v>64</v>
      </c>
      <c r="F49" s="10" t="n">
        <f aca="false">IFERROR(INDEX('1. Insumos'!$F$5:$F$93,MATCH($C49,'1. Insumos'!$B$5:$B$93,0)),0)</f>
        <v>3.16666666666667</v>
      </c>
      <c r="G49" s="13" t="n">
        <f aca="false">D49*F49</f>
        <v>25.3333333333333</v>
      </c>
      <c r="H49" s="14" t="s">
        <v>198</v>
      </c>
    </row>
    <row r="50" customFormat="false" ht="15" hidden="false" customHeight="false" outlineLevel="0" collapsed="false">
      <c r="A50" s="7" t="n">
        <v>4</v>
      </c>
      <c r="B50" s="7" t="s">
        <v>196</v>
      </c>
      <c r="C50" s="7" t="s">
        <v>97</v>
      </c>
      <c r="D50" s="8" t="n">
        <v>3</v>
      </c>
      <c r="E50" s="7" t="s">
        <v>64</v>
      </c>
      <c r="F50" s="10" t="n">
        <f aca="false">IFERROR(INDEX('1. Insumos'!$F$5:$F$93,MATCH($C50,'1. Insumos'!$B$5:$B$93,0)),0)</f>
        <v>2.91666666666667</v>
      </c>
      <c r="G50" s="13" t="n">
        <f aca="false">D50*F50</f>
        <v>8.75</v>
      </c>
      <c r="H50" s="14" t="s">
        <v>199</v>
      </c>
    </row>
    <row r="51" customFormat="false" ht="15" hidden="false" customHeight="false" outlineLevel="0" collapsed="false">
      <c r="A51" s="7" t="n">
        <v>4</v>
      </c>
      <c r="B51" s="7" t="s">
        <v>196</v>
      </c>
      <c r="C51" s="7" t="s">
        <v>90</v>
      </c>
      <c r="D51" s="8" t="n">
        <v>0.5</v>
      </c>
      <c r="E51" s="7" t="s">
        <v>64</v>
      </c>
      <c r="F51" s="10" t="n">
        <f aca="false">IFERROR(INDEX('1. Insumos'!$F$5:$F$93,MATCH($C51,'1. Insumos'!$B$5:$B$93,0)),0)</f>
        <v>3.75</v>
      </c>
      <c r="G51" s="13" t="n">
        <f aca="false">D51*F51</f>
        <v>1.875</v>
      </c>
      <c r="H51" s="14" t="s">
        <v>200</v>
      </c>
    </row>
    <row r="52" customFormat="false" ht="15" hidden="false" customHeight="false" outlineLevel="0" collapsed="false">
      <c r="A52" s="7" t="n">
        <v>4</v>
      </c>
      <c r="B52" s="7" t="s">
        <v>196</v>
      </c>
      <c r="C52" s="7" t="s">
        <v>131</v>
      </c>
      <c r="D52" s="8" t="n">
        <v>350</v>
      </c>
      <c r="E52" s="7" t="s">
        <v>55</v>
      </c>
      <c r="F52" s="10" t="n">
        <f aca="false">IFERROR(INDEX('1. Insumos'!$F$5:$F$93,MATCH($C52,'1. Insumos'!$B$5:$B$93,0)),0)</f>
        <v>0.21</v>
      </c>
      <c r="G52" s="13" t="n">
        <f aca="false">D52*F52</f>
        <v>73.5</v>
      </c>
      <c r="H52" s="14" t="s">
        <v>201</v>
      </c>
    </row>
    <row r="53" customFormat="false" ht="15" hidden="false" customHeight="false" outlineLevel="0" collapsed="false">
      <c r="A53" s="7" t="n">
        <v>5</v>
      </c>
      <c r="B53" s="7" t="s">
        <v>202</v>
      </c>
      <c r="C53" s="7" t="s">
        <v>143</v>
      </c>
      <c r="D53" s="8" t="n">
        <v>1000</v>
      </c>
      <c r="E53" s="7" t="s">
        <v>55</v>
      </c>
      <c r="F53" s="10" t="n">
        <f aca="false">IFERROR(INDEX('1. Insumos'!$F$5:$F$93,MATCH($C53,'1. Insumos'!$B$5:$B$93,0)),0)</f>
        <v>0.032</v>
      </c>
      <c r="G53" s="13" t="n">
        <f aca="false">D53*F53</f>
        <v>32</v>
      </c>
      <c r="H53" s="14" t="s">
        <v>177</v>
      </c>
    </row>
    <row r="54" customFormat="false" ht="15" hidden="false" customHeight="false" outlineLevel="0" collapsed="false">
      <c r="A54" s="7" t="n">
        <v>5</v>
      </c>
      <c r="B54" s="7" t="s">
        <v>202</v>
      </c>
      <c r="C54" s="7" t="s">
        <v>110</v>
      </c>
      <c r="D54" s="8" t="n">
        <v>270</v>
      </c>
      <c r="E54" s="7" t="s">
        <v>55</v>
      </c>
      <c r="F54" s="10" t="n">
        <f aca="false">IFERROR(INDEX('1. Insumos'!$F$5:$F$93,MATCH($C54,'1. Insumos'!$B$5:$B$93,0)),0)</f>
        <v>0.145</v>
      </c>
      <c r="G54" s="13" t="n">
        <f aca="false">D54*F54</f>
        <v>39.15</v>
      </c>
      <c r="H54" s="14" t="s">
        <v>164</v>
      </c>
    </row>
    <row r="55" customFormat="false" ht="15" hidden="false" customHeight="false" outlineLevel="0" collapsed="false">
      <c r="A55" s="7" t="n">
        <v>5</v>
      </c>
      <c r="B55" s="7" t="s">
        <v>202</v>
      </c>
      <c r="C55" s="7" t="s">
        <v>49</v>
      </c>
      <c r="D55" s="8" t="n">
        <v>250</v>
      </c>
      <c r="E55" s="7" t="s">
        <v>47</v>
      </c>
      <c r="F55" s="10" t="n">
        <f aca="false">IFERROR(INDEX('1. Insumos'!$F$5:$F$93,MATCH($C55,'1. Insumos'!$B$5:$B$93,0)),0)</f>
        <v>0.032</v>
      </c>
      <c r="G55" s="13" t="n">
        <f aca="false">D55*F55</f>
        <v>8</v>
      </c>
      <c r="H55" s="14" t="s">
        <v>203</v>
      </c>
    </row>
    <row r="56" customFormat="false" ht="15" hidden="false" customHeight="false" outlineLevel="0" collapsed="false">
      <c r="A56" s="7" t="n">
        <v>5</v>
      </c>
      <c r="B56" s="7" t="s">
        <v>202</v>
      </c>
      <c r="C56" s="7" t="s">
        <v>85</v>
      </c>
      <c r="D56" s="8" t="n">
        <v>16</v>
      </c>
      <c r="E56" s="7" t="s">
        <v>55</v>
      </c>
      <c r="F56" s="10" t="n">
        <f aca="false">IFERROR(INDEX('1. Insumos'!$F$5:$F$93,MATCH($C56,'1. Insumos'!$B$5:$B$93,0)),0)</f>
        <v>0.025</v>
      </c>
      <c r="G56" s="13" t="n">
        <f aca="false">D56*F56</f>
        <v>0.4</v>
      </c>
      <c r="H56" s="14" t="s">
        <v>204</v>
      </c>
    </row>
    <row r="57" customFormat="false" ht="15" hidden="false" customHeight="false" outlineLevel="0" collapsed="false">
      <c r="A57" s="7" t="n">
        <v>5</v>
      </c>
      <c r="B57" s="7" t="s">
        <v>202</v>
      </c>
      <c r="C57" s="7" t="s">
        <v>84</v>
      </c>
      <c r="D57" s="8" t="n">
        <v>5</v>
      </c>
      <c r="E57" s="7" t="s">
        <v>55</v>
      </c>
      <c r="F57" s="10" t="n">
        <f aca="false">IFERROR(INDEX('1. Insumos'!$F$5:$F$93,MATCH($C57,'1. Insumos'!$B$5:$B$93,0)),0)</f>
        <v>0.175</v>
      </c>
      <c r="G57" s="13" t="n">
        <f aca="false">D57*F57</f>
        <v>0.875</v>
      </c>
      <c r="H57" s="14" t="s">
        <v>84</v>
      </c>
    </row>
    <row r="58" customFormat="false" ht="15" hidden="false" customHeight="false" outlineLevel="0" collapsed="false">
      <c r="A58" s="7" t="n">
        <v>5</v>
      </c>
      <c r="B58" s="7" t="s">
        <v>202</v>
      </c>
      <c r="C58" s="7" t="s">
        <v>58</v>
      </c>
      <c r="D58" s="8" t="n">
        <v>500</v>
      </c>
      <c r="E58" s="7" t="s">
        <v>55</v>
      </c>
      <c r="F58" s="10" t="n">
        <f aca="false">IFERROR(INDEX('1. Insumos'!$F$5:$F$93,MATCH($C58,'1. Insumos'!$B$5:$B$93,0)),0)</f>
        <v>0.175</v>
      </c>
      <c r="G58" s="13" t="n">
        <f aca="false">D58*F58</f>
        <v>87.5</v>
      </c>
      <c r="H58" s="14" t="s">
        <v>205</v>
      </c>
    </row>
    <row r="59" customFormat="false" ht="15" hidden="false" customHeight="false" outlineLevel="0" collapsed="false">
      <c r="A59" s="7" t="n">
        <v>5</v>
      </c>
      <c r="B59" s="7" t="s">
        <v>202</v>
      </c>
      <c r="C59" s="7" t="s">
        <v>98</v>
      </c>
      <c r="D59" s="8" t="n">
        <v>400</v>
      </c>
      <c r="E59" s="7" t="s">
        <v>55</v>
      </c>
      <c r="F59" s="10" t="n">
        <f aca="false">IFERROR(INDEX('1. Insumos'!$F$5:$F$93,MATCH($C59,'1. Insumos'!$B$5:$B$93,0)),0)</f>
        <v>0.04</v>
      </c>
      <c r="G59" s="13" t="n">
        <f aca="false">D59*F59</f>
        <v>16</v>
      </c>
      <c r="H59" s="14" t="s">
        <v>206</v>
      </c>
    </row>
    <row r="60" customFormat="false" ht="15" hidden="false" customHeight="false" outlineLevel="0" collapsed="false">
      <c r="A60" s="7" t="n">
        <v>5</v>
      </c>
      <c r="B60" s="7" t="s">
        <v>202</v>
      </c>
      <c r="C60" s="7" t="s">
        <v>96</v>
      </c>
      <c r="D60" s="8" t="n">
        <v>4</v>
      </c>
      <c r="E60" s="7" t="s">
        <v>64</v>
      </c>
      <c r="F60" s="10" t="n">
        <f aca="false">IFERROR(INDEX('1. Insumos'!$F$5:$F$93,MATCH($C60,'1. Insumos'!$B$5:$B$93,0)),0)</f>
        <v>0.833333333333333</v>
      </c>
      <c r="G60" s="13" t="n">
        <f aca="false">D60*F60</f>
        <v>3.33333333333333</v>
      </c>
      <c r="H60" s="14" t="s">
        <v>207</v>
      </c>
    </row>
    <row r="61" customFormat="false" ht="15" hidden="false" customHeight="false" outlineLevel="0" collapsed="false">
      <c r="A61" s="7" t="n">
        <v>5</v>
      </c>
      <c r="B61" s="7" t="s">
        <v>202</v>
      </c>
      <c r="C61" s="7" t="s">
        <v>88</v>
      </c>
      <c r="D61" s="8" t="n">
        <v>2</v>
      </c>
      <c r="E61" s="7" t="s">
        <v>64</v>
      </c>
      <c r="F61" s="10" t="n">
        <f aca="false">IFERROR(INDEX('1. Insumos'!$F$5:$F$93,MATCH($C61,'1. Insumos'!$B$5:$B$93,0)),0)</f>
        <v>0.875</v>
      </c>
      <c r="G61" s="13" t="n">
        <f aca="false">D61*F61</f>
        <v>1.75</v>
      </c>
      <c r="H61" s="14" t="s">
        <v>208</v>
      </c>
    </row>
    <row r="62" customFormat="false" ht="15" hidden="false" customHeight="false" outlineLevel="0" collapsed="false">
      <c r="A62" s="7" t="n">
        <v>5</v>
      </c>
      <c r="B62" s="7" t="s">
        <v>202</v>
      </c>
      <c r="C62" s="7" t="s">
        <v>113</v>
      </c>
      <c r="D62" s="8" t="n">
        <v>1</v>
      </c>
      <c r="E62" s="7" t="s">
        <v>64</v>
      </c>
      <c r="F62" s="10" t="n">
        <f aca="false">IFERROR(INDEX('1. Insumos'!$F$5:$F$93,MATCH($C62,'1. Insumos'!$B$5:$B$93,0)),0)</f>
        <v>1.8</v>
      </c>
      <c r="G62" s="13" t="n">
        <f aca="false">D62*F62</f>
        <v>1.8</v>
      </c>
      <c r="H62" s="14" t="s">
        <v>209</v>
      </c>
    </row>
    <row r="63" customFormat="false" ht="15" hidden="false" customHeight="false" outlineLevel="0" collapsed="false">
      <c r="A63" s="7" t="n">
        <v>6</v>
      </c>
      <c r="B63" s="7" t="s">
        <v>210</v>
      </c>
      <c r="C63" s="7" t="s">
        <v>143</v>
      </c>
      <c r="D63" s="8" t="n">
        <v>1000</v>
      </c>
      <c r="E63" s="7" t="s">
        <v>55</v>
      </c>
      <c r="F63" s="10" t="n">
        <f aca="false">IFERROR(INDEX('1. Insumos'!$F$5:$F$93,MATCH($C63,'1. Insumos'!$B$5:$B$93,0)),0)</f>
        <v>0.032</v>
      </c>
      <c r="G63" s="13" t="n">
        <f aca="false">D63*F63</f>
        <v>32</v>
      </c>
      <c r="H63" s="14" t="s">
        <v>211</v>
      </c>
    </row>
    <row r="64" customFormat="false" ht="15" hidden="false" customHeight="false" outlineLevel="0" collapsed="false">
      <c r="A64" s="7" t="n">
        <v>6</v>
      </c>
      <c r="B64" s="7" t="s">
        <v>210</v>
      </c>
      <c r="C64" s="7" t="s">
        <v>110</v>
      </c>
      <c r="D64" s="8" t="n">
        <v>280</v>
      </c>
      <c r="E64" s="7" t="s">
        <v>55</v>
      </c>
      <c r="F64" s="10" t="n">
        <f aca="false">IFERROR(INDEX('1. Insumos'!$F$5:$F$93,MATCH($C64,'1. Insumos'!$B$5:$B$93,0)),0)</f>
        <v>0.145</v>
      </c>
      <c r="G64" s="13" t="n">
        <f aca="false">D64*F64</f>
        <v>40.6</v>
      </c>
      <c r="H64" s="14" t="s">
        <v>164</v>
      </c>
    </row>
    <row r="65" customFormat="false" ht="15" hidden="false" customHeight="false" outlineLevel="0" collapsed="false">
      <c r="A65" s="7" t="n">
        <v>6</v>
      </c>
      <c r="B65" s="7" t="s">
        <v>210</v>
      </c>
      <c r="C65" s="7" t="s">
        <v>52</v>
      </c>
      <c r="D65" s="8" t="n">
        <v>220</v>
      </c>
      <c r="E65" s="7" t="s">
        <v>47</v>
      </c>
      <c r="F65" s="10" t="n">
        <f aca="false">IFERROR(INDEX('1. Insumos'!$F$5:$F$93,MATCH($C65,'1. Insumos'!$B$5:$B$93,0)),0)</f>
        <v>0.03</v>
      </c>
      <c r="G65" s="13" t="n">
        <f aca="false">D65*F65</f>
        <v>6.6</v>
      </c>
      <c r="H65" s="14" t="s">
        <v>212</v>
      </c>
    </row>
    <row r="66" customFormat="false" ht="15" hidden="false" customHeight="false" outlineLevel="0" collapsed="false">
      <c r="A66" s="7" t="n">
        <v>6</v>
      </c>
      <c r="B66" s="7" t="s">
        <v>210</v>
      </c>
      <c r="C66" s="7" t="s">
        <v>63</v>
      </c>
      <c r="D66" s="8" t="n">
        <v>7</v>
      </c>
      <c r="E66" s="7" t="s">
        <v>64</v>
      </c>
      <c r="F66" s="10" t="n">
        <f aca="false">IFERROR(INDEX('1. Insumos'!$F$5:$F$93,MATCH($C66,'1. Insumos'!$B$5:$B$93,0)),0)</f>
        <v>2.33333333333333</v>
      </c>
      <c r="G66" s="13" t="n">
        <f aca="false">D66*F66</f>
        <v>16.3333333333333</v>
      </c>
      <c r="H66" s="14" t="s">
        <v>213</v>
      </c>
    </row>
    <row r="67" customFormat="false" ht="15" hidden="false" customHeight="false" outlineLevel="0" collapsed="false">
      <c r="A67" s="7" t="n">
        <v>6</v>
      </c>
      <c r="B67" s="7" t="s">
        <v>210</v>
      </c>
      <c r="C67" s="7" t="s">
        <v>85</v>
      </c>
      <c r="D67" s="8" t="n">
        <v>16</v>
      </c>
      <c r="E67" s="7" t="s">
        <v>55</v>
      </c>
      <c r="F67" s="10" t="n">
        <f aca="false">IFERROR(INDEX('1. Insumos'!$F$5:$F$93,MATCH($C67,'1. Insumos'!$B$5:$B$93,0)),0)</f>
        <v>0.025</v>
      </c>
      <c r="G67" s="13" t="n">
        <f aca="false">D67*F67</f>
        <v>0.4</v>
      </c>
      <c r="H67" s="14" t="s">
        <v>167</v>
      </c>
    </row>
    <row r="68" customFormat="false" ht="15" hidden="false" customHeight="false" outlineLevel="0" collapsed="false">
      <c r="A68" s="7" t="n">
        <v>6</v>
      </c>
      <c r="B68" s="7" t="s">
        <v>210</v>
      </c>
      <c r="C68" s="7" t="s">
        <v>84</v>
      </c>
      <c r="D68" s="8" t="n">
        <v>5</v>
      </c>
      <c r="E68" s="7" t="s">
        <v>55</v>
      </c>
      <c r="F68" s="10" t="n">
        <f aca="false">IFERROR(INDEX('1. Insumos'!$F$5:$F$93,MATCH($C68,'1. Insumos'!$B$5:$B$93,0)),0)</f>
        <v>0.175</v>
      </c>
      <c r="G68" s="13" t="n">
        <f aca="false">D68*F68</f>
        <v>0.875</v>
      </c>
      <c r="H68" s="14" t="s">
        <v>84</v>
      </c>
    </row>
    <row r="69" customFormat="false" ht="15" hidden="false" customHeight="false" outlineLevel="0" collapsed="false">
      <c r="A69" s="7" t="n">
        <v>6</v>
      </c>
      <c r="B69" s="7" t="s">
        <v>210</v>
      </c>
      <c r="C69" s="7" t="s">
        <v>56</v>
      </c>
      <c r="D69" s="8" t="n">
        <v>400</v>
      </c>
      <c r="E69" s="7" t="s">
        <v>55</v>
      </c>
      <c r="F69" s="10" t="n">
        <f aca="false">IFERROR(INDEX('1. Insumos'!$F$5:$F$93,MATCH($C69,'1. Insumos'!$B$5:$B$93,0)),0)</f>
        <v>0.19</v>
      </c>
      <c r="G69" s="13" t="n">
        <f aca="false">D69*F69</f>
        <v>76</v>
      </c>
      <c r="H69" s="14" t="s">
        <v>214</v>
      </c>
    </row>
    <row r="70" customFormat="false" ht="15" hidden="false" customHeight="false" outlineLevel="0" collapsed="false">
      <c r="A70" s="7" t="n">
        <v>6</v>
      </c>
      <c r="B70" s="7" t="s">
        <v>210</v>
      </c>
      <c r="C70" s="7" t="s">
        <v>88</v>
      </c>
      <c r="D70" s="8" t="n">
        <v>2</v>
      </c>
      <c r="E70" s="7" t="s">
        <v>64</v>
      </c>
      <c r="F70" s="10" t="n">
        <f aca="false">IFERROR(INDEX('1. Insumos'!$F$5:$F$93,MATCH($C70,'1. Insumos'!$B$5:$B$93,0)),0)</f>
        <v>0.875</v>
      </c>
      <c r="G70" s="13" t="n">
        <f aca="false">D70*F70</f>
        <v>1.75</v>
      </c>
      <c r="H70" s="14" t="s">
        <v>215</v>
      </c>
    </row>
    <row r="71" customFormat="false" ht="15" hidden="false" customHeight="false" outlineLevel="0" collapsed="false">
      <c r="A71" s="7" t="n">
        <v>6</v>
      </c>
      <c r="B71" s="7" t="s">
        <v>210</v>
      </c>
      <c r="C71" s="7" t="s">
        <v>82</v>
      </c>
      <c r="D71" s="8" t="n">
        <v>1</v>
      </c>
      <c r="E71" s="7" t="s">
        <v>55</v>
      </c>
      <c r="F71" s="10" t="n">
        <f aca="false">IFERROR(INDEX('1. Insumos'!$F$5:$F$93,MATCH($C71,'1. Insumos'!$B$5:$B$93,0)),0)</f>
        <v>0.4</v>
      </c>
      <c r="G71" s="13" t="n">
        <f aca="false">D71*F71</f>
        <v>0.4</v>
      </c>
      <c r="H71" s="14" t="s">
        <v>216</v>
      </c>
    </row>
    <row r="72" customFormat="false" ht="15" hidden="false" customHeight="false" outlineLevel="0" collapsed="false">
      <c r="A72" s="7" t="n">
        <v>6</v>
      </c>
      <c r="B72" s="7" t="s">
        <v>210</v>
      </c>
      <c r="C72" s="7" t="s">
        <v>100</v>
      </c>
      <c r="D72" s="8" t="n">
        <v>150</v>
      </c>
      <c r="E72" s="7" t="s">
        <v>55</v>
      </c>
      <c r="F72" s="10" t="n">
        <f aca="false">IFERROR(INDEX('1. Insumos'!$F$5:$F$93,MATCH($C72,'1. Insumos'!$B$5:$B$93,0)),0)</f>
        <v>0.035</v>
      </c>
      <c r="G72" s="13" t="n">
        <f aca="false">D72*F72</f>
        <v>5.25</v>
      </c>
      <c r="H72" s="14" t="s">
        <v>217</v>
      </c>
    </row>
    <row r="73" customFormat="false" ht="15" hidden="false" customHeight="false" outlineLevel="0" collapsed="false">
      <c r="A73" s="7" t="n">
        <v>7</v>
      </c>
      <c r="B73" s="7" t="s">
        <v>218</v>
      </c>
      <c r="C73" s="7" t="s">
        <v>143</v>
      </c>
      <c r="D73" s="8" t="n">
        <v>1000</v>
      </c>
      <c r="E73" s="7" t="s">
        <v>55</v>
      </c>
      <c r="F73" s="10" t="n">
        <f aca="false">IFERROR(INDEX('1. Insumos'!$F$5:$F$93,MATCH($C73,'1. Insumos'!$B$5:$B$93,0)),0)</f>
        <v>0.032</v>
      </c>
      <c r="G73" s="13" t="n">
        <f aca="false">D73*F73</f>
        <v>32</v>
      </c>
      <c r="H73" s="14" t="s">
        <v>177</v>
      </c>
    </row>
    <row r="74" customFormat="false" ht="15" hidden="false" customHeight="false" outlineLevel="0" collapsed="false">
      <c r="A74" s="7" t="n">
        <v>7</v>
      </c>
      <c r="B74" s="7" t="s">
        <v>218</v>
      </c>
      <c r="C74" s="7" t="s">
        <v>110</v>
      </c>
      <c r="D74" s="8" t="n">
        <v>270</v>
      </c>
      <c r="E74" s="7" t="s">
        <v>55</v>
      </c>
      <c r="F74" s="10" t="n">
        <f aca="false">IFERROR(INDEX('1. Insumos'!$F$5:$F$93,MATCH($C74,'1. Insumos'!$B$5:$B$93,0)),0)</f>
        <v>0.145</v>
      </c>
      <c r="G74" s="13" t="n">
        <f aca="false">D74*F74</f>
        <v>39.15</v>
      </c>
      <c r="H74" s="14" t="s">
        <v>178</v>
      </c>
    </row>
    <row r="75" customFormat="false" ht="15" hidden="false" customHeight="false" outlineLevel="0" collapsed="false">
      <c r="A75" s="7" t="n">
        <v>7</v>
      </c>
      <c r="B75" s="7" t="s">
        <v>218</v>
      </c>
      <c r="C75" s="7" t="s">
        <v>49</v>
      </c>
      <c r="D75" s="8" t="n">
        <v>250</v>
      </c>
      <c r="E75" s="7" t="s">
        <v>47</v>
      </c>
      <c r="F75" s="10" t="n">
        <f aca="false">IFERROR(INDEX('1. Insumos'!$F$5:$F$93,MATCH($C75,'1. Insumos'!$B$5:$B$93,0)),0)</f>
        <v>0.032</v>
      </c>
      <c r="G75" s="13" t="n">
        <f aca="false">D75*F75</f>
        <v>8</v>
      </c>
      <c r="H75" s="14" t="s">
        <v>219</v>
      </c>
    </row>
    <row r="76" customFormat="false" ht="15" hidden="false" customHeight="false" outlineLevel="0" collapsed="false">
      <c r="A76" s="7" t="n">
        <v>7</v>
      </c>
      <c r="B76" s="7" t="s">
        <v>218</v>
      </c>
      <c r="C76" s="7" t="s">
        <v>85</v>
      </c>
      <c r="D76" s="8" t="n">
        <v>16</v>
      </c>
      <c r="E76" s="7" t="s">
        <v>55</v>
      </c>
      <c r="F76" s="10" t="n">
        <f aca="false">IFERROR(INDEX('1. Insumos'!$F$5:$F$93,MATCH($C76,'1. Insumos'!$B$5:$B$93,0)),0)</f>
        <v>0.025</v>
      </c>
      <c r="G76" s="13" t="n">
        <f aca="false">D76*F76</f>
        <v>0.4</v>
      </c>
      <c r="H76" s="14" t="s">
        <v>204</v>
      </c>
    </row>
    <row r="77" customFormat="false" ht="15" hidden="false" customHeight="false" outlineLevel="0" collapsed="false">
      <c r="A77" s="7" t="n">
        <v>7</v>
      </c>
      <c r="B77" s="7" t="s">
        <v>218</v>
      </c>
      <c r="C77" s="7" t="s">
        <v>84</v>
      </c>
      <c r="D77" s="8" t="n">
        <v>5</v>
      </c>
      <c r="E77" s="7" t="s">
        <v>55</v>
      </c>
      <c r="F77" s="10" t="n">
        <f aca="false">IFERROR(INDEX('1. Insumos'!$F$5:$F$93,MATCH($C77,'1. Insumos'!$B$5:$B$93,0)),0)</f>
        <v>0.175</v>
      </c>
      <c r="G77" s="13" t="n">
        <f aca="false">D77*F77</f>
        <v>0.875</v>
      </c>
      <c r="H77" s="14" t="s">
        <v>84</v>
      </c>
    </row>
    <row r="78" customFormat="false" ht="15" hidden="false" customHeight="false" outlineLevel="0" collapsed="false">
      <c r="A78" s="7" t="n">
        <v>7</v>
      </c>
      <c r="B78" s="7" t="s">
        <v>218</v>
      </c>
      <c r="C78" s="7" t="s">
        <v>61</v>
      </c>
      <c r="D78" s="8" t="n">
        <v>500</v>
      </c>
      <c r="E78" s="7" t="s">
        <v>55</v>
      </c>
      <c r="F78" s="10" t="n">
        <f aca="false">IFERROR(INDEX('1. Insumos'!$F$5:$F$93,MATCH($C78,'1. Insumos'!$B$5:$B$93,0)),0)</f>
        <v>0.185</v>
      </c>
      <c r="G78" s="13" t="n">
        <f aca="false">D78*F78</f>
        <v>92.5</v>
      </c>
      <c r="H78" s="14" t="s">
        <v>220</v>
      </c>
    </row>
    <row r="79" customFormat="false" ht="15" hidden="false" customHeight="false" outlineLevel="0" collapsed="false">
      <c r="A79" s="7" t="n">
        <v>7</v>
      </c>
      <c r="B79" s="7" t="s">
        <v>218</v>
      </c>
      <c r="C79" s="7" t="s">
        <v>65</v>
      </c>
      <c r="D79" s="8" t="n">
        <v>8</v>
      </c>
      <c r="E79" s="7" t="s">
        <v>64</v>
      </c>
      <c r="F79" s="10" t="n">
        <f aca="false">IFERROR(INDEX('1. Insumos'!$F$5:$F$93,MATCH($C79,'1. Insumos'!$B$5:$B$93,0)),0)</f>
        <v>1.625</v>
      </c>
      <c r="G79" s="13" t="n">
        <f aca="false">D79*F79</f>
        <v>13</v>
      </c>
      <c r="H79" s="14" t="s">
        <v>221</v>
      </c>
    </row>
    <row r="80" customFormat="false" ht="15" hidden="false" customHeight="false" outlineLevel="0" collapsed="false">
      <c r="A80" s="7" t="n">
        <v>7</v>
      </c>
      <c r="B80" s="7" t="s">
        <v>218</v>
      </c>
      <c r="C80" s="7" t="s">
        <v>97</v>
      </c>
      <c r="D80" s="8" t="n">
        <v>3</v>
      </c>
      <c r="E80" s="7" t="s">
        <v>64</v>
      </c>
      <c r="F80" s="10" t="n">
        <f aca="false">IFERROR(INDEX('1. Insumos'!$F$5:$F$93,MATCH($C80,'1. Insumos'!$B$5:$B$93,0)),0)</f>
        <v>2.91666666666667</v>
      </c>
      <c r="G80" s="13" t="n">
        <f aca="false">D80*F80</f>
        <v>8.75</v>
      </c>
      <c r="H80" s="14" t="s">
        <v>199</v>
      </c>
    </row>
    <row r="81" customFormat="false" ht="15" hidden="false" customHeight="false" outlineLevel="0" collapsed="false">
      <c r="A81" s="7" t="n">
        <v>7</v>
      </c>
      <c r="B81" s="7" t="s">
        <v>218</v>
      </c>
      <c r="C81" s="7" t="s">
        <v>88</v>
      </c>
      <c r="D81" s="8" t="n">
        <v>2</v>
      </c>
      <c r="E81" s="7" t="s">
        <v>64</v>
      </c>
      <c r="F81" s="10" t="n">
        <f aca="false">IFERROR(INDEX('1. Insumos'!$F$5:$F$93,MATCH($C81,'1. Insumos'!$B$5:$B$93,0)),0)</f>
        <v>0.875</v>
      </c>
      <c r="G81" s="13" t="n">
        <f aca="false">D81*F81</f>
        <v>1.75</v>
      </c>
      <c r="H81" s="14" t="s">
        <v>171</v>
      </c>
    </row>
    <row r="82" customFormat="false" ht="15" hidden="false" customHeight="false" outlineLevel="0" collapsed="false">
      <c r="A82" s="7" t="n">
        <v>7</v>
      </c>
      <c r="B82" s="7" t="s">
        <v>218</v>
      </c>
      <c r="C82" s="7" t="s">
        <v>82</v>
      </c>
      <c r="D82" s="8" t="n">
        <v>2</v>
      </c>
      <c r="E82" s="7" t="s">
        <v>55</v>
      </c>
      <c r="F82" s="10" t="n">
        <f aca="false">IFERROR(INDEX('1. Insumos'!$F$5:$F$93,MATCH($C82,'1. Insumos'!$B$5:$B$93,0)),0)</f>
        <v>0.4</v>
      </c>
      <c r="G82" s="13" t="n">
        <f aca="false">D82*F82</f>
        <v>0.8</v>
      </c>
      <c r="H82" s="14" t="s">
        <v>222</v>
      </c>
    </row>
    <row r="83" customFormat="false" ht="15" hidden="false" customHeight="false" outlineLevel="0" collapsed="false">
      <c r="A83" s="7" t="n">
        <v>8</v>
      </c>
      <c r="B83" s="7" t="s">
        <v>223</v>
      </c>
      <c r="C83" s="7" t="s">
        <v>143</v>
      </c>
      <c r="D83" s="8" t="n">
        <v>1000</v>
      </c>
      <c r="E83" s="7" t="s">
        <v>55</v>
      </c>
      <c r="F83" s="10" t="n">
        <f aca="false">IFERROR(INDEX('1. Insumos'!$F$5:$F$93,MATCH($C83,'1. Insumos'!$B$5:$B$93,0)),0)</f>
        <v>0.032</v>
      </c>
      <c r="G83" s="13" t="n">
        <f aca="false">D83*F83</f>
        <v>32</v>
      </c>
      <c r="H83" s="14" t="s">
        <v>177</v>
      </c>
    </row>
    <row r="84" customFormat="false" ht="15" hidden="false" customHeight="false" outlineLevel="0" collapsed="false">
      <c r="A84" s="7" t="n">
        <v>8</v>
      </c>
      <c r="B84" s="7" t="s">
        <v>223</v>
      </c>
      <c r="C84" s="7" t="s">
        <v>110</v>
      </c>
      <c r="D84" s="8" t="n">
        <v>260</v>
      </c>
      <c r="E84" s="7" t="s">
        <v>55</v>
      </c>
      <c r="F84" s="10" t="n">
        <f aca="false">IFERROR(INDEX('1. Insumos'!$F$5:$F$93,MATCH($C84,'1. Insumos'!$B$5:$B$93,0)),0)</f>
        <v>0.145</v>
      </c>
      <c r="G84" s="13" t="n">
        <f aca="false">D84*F84</f>
        <v>37.7</v>
      </c>
      <c r="H84" s="14" t="s">
        <v>224</v>
      </c>
    </row>
    <row r="85" customFormat="false" ht="15" hidden="false" customHeight="false" outlineLevel="0" collapsed="false">
      <c r="A85" s="7" t="n">
        <v>8</v>
      </c>
      <c r="B85" s="7" t="s">
        <v>223</v>
      </c>
      <c r="C85" s="7" t="s">
        <v>51</v>
      </c>
      <c r="D85" s="8" t="n">
        <v>250</v>
      </c>
      <c r="E85" s="7" t="s">
        <v>47</v>
      </c>
      <c r="F85" s="10" t="n">
        <f aca="false">IFERROR(INDEX('1. Insumos'!$F$5:$F$93,MATCH($C85,'1. Insumos'!$B$5:$B$93,0)),0)</f>
        <v>0.038</v>
      </c>
      <c r="G85" s="13" t="n">
        <f aca="false">D85*F85</f>
        <v>9.5</v>
      </c>
      <c r="H85" s="14" t="s">
        <v>225</v>
      </c>
    </row>
    <row r="86" customFormat="false" ht="15" hidden="false" customHeight="false" outlineLevel="0" collapsed="false">
      <c r="A86" s="7" t="n">
        <v>8</v>
      </c>
      <c r="B86" s="7" t="s">
        <v>223</v>
      </c>
      <c r="C86" s="7" t="s">
        <v>69</v>
      </c>
      <c r="D86" s="8" t="n">
        <v>8.5</v>
      </c>
      <c r="E86" s="7" t="s">
        <v>64</v>
      </c>
      <c r="F86" s="10" t="n">
        <f aca="false">IFERROR(INDEX('1. Insumos'!$F$5:$F$93,MATCH($C86,'1. Insumos'!$B$5:$B$93,0)),0)</f>
        <v>1.5</v>
      </c>
      <c r="G86" s="13" t="n">
        <f aca="false">D86*F86</f>
        <v>12.75</v>
      </c>
      <c r="H86" s="14" t="s">
        <v>226</v>
      </c>
    </row>
    <row r="87" customFormat="false" ht="15" hidden="false" customHeight="false" outlineLevel="0" collapsed="false">
      <c r="A87" s="7" t="n">
        <v>8</v>
      </c>
      <c r="B87" s="7" t="s">
        <v>223</v>
      </c>
      <c r="C87" s="7" t="s">
        <v>85</v>
      </c>
      <c r="D87" s="8" t="n">
        <v>16</v>
      </c>
      <c r="E87" s="7" t="s">
        <v>55</v>
      </c>
      <c r="F87" s="10" t="n">
        <f aca="false">IFERROR(INDEX('1. Insumos'!$F$5:$F$93,MATCH($C87,'1. Insumos'!$B$5:$B$93,0)),0)</f>
        <v>0.025</v>
      </c>
      <c r="G87" s="13" t="n">
        <f aca="false">D87*F87</f>
        <v>0.4</v>
      </c>
      <c r="H87" s="14" t="s">
        <v>167</v>
      </c>
    </row>
    <row r="88" customFormat="false" ht="15" hidden="false" customHeight="false" outlineLevel="0" collapsed="false">
      <c r="A88" s="7" t="n">
        <v>8</v>
      </c>
      <c r="B88" s="7" t="s">
        <v>223</v>
      </c>
      <c r="C88" s="7" t="s">
        <v>84</v>
      </c>
      <c r="D88" s="8" t="n">
        <v>5</v>
      </c>
      <c r="E88" s="7" t="s">
        <v>55</v>
      </c>
      <c r="F88" s="10" t="n">
        <f aca="false">IFERROR(INDEX('1. Insumos'!$F$5:$F$93,MATCH($C88,'1. Insumos'!$B$5:$B$93,0)),0)</f>
        <v>0.175</v>
      </c>
      <c r="G88" s="13" t="n">
        <f aca="false">D88*F88</f>
        <v>0.875</v>
      </c>
      <c r="H88" s="14" t="s">
        <v>84</v>
      </c>
    </row>
    <row r="89" customFormat="false" ht="15" hidden="false" customHeight="false" outlineLevel="0" collapsed="false">
      <c r="A89" s="7" t="n">
        <v>8</v>
      </c>
      <c r="B89" s="7" t="s">
        <v>223</v>
      </c>
      <c r="C89" s="7" t="s">
        <v>136</v>
      </c>
      <c r="D89" s="8" t="n">
        <v>600</v>
      </c>
      <c r="E89" s="7" t="s">
        <v>55</v>
      </c>
      <c r="F89" s="10" t="n">
        <f aca="false">IFERROR(INDEX('1. Insumos'!$F$5:$F$93,MATCH($C89,'1. Insumos'!$B$5:$B$93,0)),0)</f>
        <v>0.29</v>
      </c>
      <c r="G89" s="13" t="n">
        <f aca="false">D89*F89</f>
        <v>174</v>
      </c>
      <c r="H89" s="14" t="s">
        <v>227</v>
      </c>
    </row>
    <row r="90" customFormat="false" ht="15" hidden="false" customHeight="false" outlineLevel="0" collapsed="false">
      <c r="A90" s="7" t="n">
        <v>8</v>
      </c>
      <c r="B90" s="7" t="s">
        <v>223</v>
      </c>
      <c r="C90" s="7" t="s">
        <v>88</v>
      </c>
      <c r="D90" s="8" t="n">
        <v>2</v>
      </c>
      <c r="E90" s="7" t="s">
        <v>64</v>
      </c>
      <c r="F90" s="10" t="n">
        <f aca="false">IFERROR(INDEX('1. Insumos'!$F$5:$F$93,MATCH($C90,'1. Insumos'!$B$5:$B$93,0)),0)</f>
        <v>0.875</v>
      </c>
      <c r="G90" s="13" t="n">
        <f aca="false">D90*F90</f>
        <v>1.75</v>
      </c>
      <c r="H90" s="14" t="s">
        <v>228</v>
      </c>
    </row>
    <row r="91" customFormat="false" ht="15" hidden="false" customHeight="false" outlineLevel="0" collapsed="false">
      <c r="A91" s="7" t="n">
        <v>8</v>
      </c>
      <c r="B91" s="7" t="s">
        <v>223</v>
      </c>
      <c r="C91" s="7" t="s">
        <v>116</v>
      </c>
      <c r="D91" s="8" t="n">
        <v>20</v>
      </c>
      <c r="E91" s="7" t="s">
        <v>55</v>
      </c>
      <c r="F91" s="10" t="n">
        <f aca="false">IFERROR(INDEX('1. Insumos'!$F$5:$F$93,MATCH($C91,'1. Insumos'!$B$5:$B$93,0)),0)</f>
        <v>0.6</v>
      </c>
      <c r="G91" s="13" t="n">
        <f aca="false">D91*F91</f>
        <v>12</v>
      </c>
      <c r="H91" s="14" t="s">
        <v>229</v>
      </c>
    </row>
    <row r="92" customFormat="false" ht="15" hidden="false" customHeight="false" outlineLevel="0" collapsed="false">
      <c r="A92" s="7" t="n">
        <v>9</v>
      </c>
      <c r="B92" s="7" t="s">
        <v>230</v>
      </c>
      <c r="C92" s="7" t="s">
        <v>143</v>
      </c>
      <c r="D92" s="8" t="n">
        <v>1000</v>
      </c>
      <c r="E92" s="7" t="s">
        <v>55</v>
      </c>
      <c r="F92" s="10" t="n">
        <f aca="false">IFERROR(INDEX('1. Insumos'!$F$5:$F$93,MATCH($C92,'1. Insumos'!$B$5:$B$93,0)),0)</f>
        <v>0.032</v>
      </c>
      <c r="G92" s="13" t="n">
        <f aca="false">D92*F92</f>
        <v>32</v>
      </c>
      <c r="H92" s="14" t="s">
        <v>163</v>
      </c>
    </row>
    <row r="93" customFormat="false" ht="15" hidden="false" customHeight="false" outlineLevel="0" collapsed="false">
      <c r="A93" s="7" t="n">
        <v>9</v>
      </c>
      <c r="B93" s="7" t="s">
        <v>230</v>
      </c>
      <c r="C93" s="7" t="s">
        <v>110</v>
      </c>
      <c r="D93" s="8" t="n">
        <v>280</v>
      </c>
      <c r="E93" s="7" t="s">
        <v>55</v>
      </c>
      <c r="F93" s="10" t="n">
        <f aca="false">IFERROR(INDEX('1. Insumos'!$F$5:$F$93,MATCH($C93,'1. Insumos'!$B$5:$B$93,0)),0)</f>
        <v>0.145</v>
      </c>
      <c r="G93" s="13" t="n">
        <f aca="false">D93*F93</f>
        <v>40.6</v>
      </c>
      <c r="H93" s="14" t="s">
        <v>231</v>
      </c>
    </row>
    <row r="94" customFormat="false" ht="15" hidden="false" customHeight="false" outlineLevel="0" collapsed="false">
      <c r="A94" s="7" t="n">
        <v>9</v>
      </c>
      <c r="B94" s="7" t="s">
        <v>230</v>
      </c>
      <c r="C94" s="7" t="s">
        <v>52</v>
      </c>
      <c r="D94" s="8" t="n">
        <v>220</v>
      </c>
      <c r="E94" s="7" t="s">
        <v>47</v>
      </c>
      <c r="F94" s="10" t="n">
        <f aca="false">IFERROR(INDEX('1. Insumos'!$F$5:$F$93,MATCH($C94,'1. Insumos'!$B$5:$B$93,0)),0)</f>
        <v>0.03</v>
      </c>
      <c r="G94" s="13" t="n">
        <f aca="false">D94*F94</f>
        <v>6.6</v>
      </c>
      <c r="H94" s="14" t="s">
        <v>232</v>
      </c>
    </row>
    <row r="95" customFormat="false" ht="15" hidden="false" customHeight="false" outlineLevel="0" collapsed="false">
      <c r="A95" s="7" t="n">
        <v>9</v>
      </c>
      <c r="B95" s="7" t="s">
        <v>230</v>
      </c>
      <c r="C95" s="7" t="s">
        <v>149</v>
      </c>
      <c r="D95" s="8" t="n">
        <v>80</v>
      </c>
      <c r="E95" s="7" t="s">
        <v>47</v>
      </c>
      <c r="F95" s="10" t="n">
        <f aca="false">IFERROR(INDEX('1. Insumos'!$F$5:$F$93,MATCH($C95,'1. Insumos'!$B$5:$B$93,0)),0)</f>
        <v>0.11</v>
      </c>
      <c r="G95" s="13" t="n">
        <f aca="false">D95*F95</f>
        <v>8.8</v>
      </c>
      <c r="H95" s="14" t="s">
        <v>233</v>
      </c>
    </row>
    <row r="96" customFormat="false" ht="15" hidden="false" customHeight="false" outlineLevel="0" collapsed="false">
      <c r="A96" s="7" t="n">
        <v>9</v>
      </c>
      <c r="B96" s="7" t="s">
        <v>230</v>
      </c>
      <c r="C96" s="7" t="s">
        <v>85</v>
      </c>
      <c r="D96" s="8" t="n">
        <v>18</v>
      </c>
      <c r="E96" s="7" t="s">
        <v>55</v>
      </c>
      <c r="F96" s="10" t="n">
        <f aca="false">IFERROR(INDEX('1. Insumos'!$F$5:$F$93,MATCH($C96,'1. Insumos'!$B$5:$B$93,0)),0)</f>
        <v>0.025</v>
      </c>
      <c r="G96" s="13" t="n">
        <f aca="false">D96*F96</f>
        <v>0.45</v>
      </c>
      <c r="H96" s="14" t="s">
        <v>204</v>
      </c>
    </row>
    <row r="97" customFormat="false" ht="15" hidden="false" customHeight="false" outlineLevel="0" collapsed="false">
      <c r="A97" s="7" t="n">
        <v>9</v>
      </c>
      <c r="B97" s="7" t="s">
        <v>230</v>
      </c>
      <c r="C97" s="7" t="s">
        <v>84</v>
      </c>
      <c r="D97" s="8" t="n">
        <v>6</v>
      </c>
      <c r="E97" s="7" t="s">
        <v>55</v>
      </c>
      <c r="F97" s="10" t="n">
        <f aca="false">IFERROR(INDEX('1. Insumos'!$F$5:$F$93,MATCH($C97,'1. Insumos'!$B$5:$B$93,0)),0)</f>
        <v>0.175</v>
      </c>
      <c r="G97" s="13" t="n">
        <f aca="false">D97*F97</f>
        <v>1.05</v>
      </c>
      <c r="H97" s="14" t="s">
        <v>84</v>
      </c>
    </row>
    <row r="98" customFormat="false" ht="15" hidden="false" customHeight="false" outlineLevel="0" collapsed="false">
      <c r="A98" s="7" t="n">
        <v>10</v>
      </c>
      <c r="B98" s="7" t="s">
        <v>234</v>
      </c>
      <c r="C98" s="7" t="s">
        <v>143</v>
      </c>
      <c r="D98" s="8" t="n">
        <v>1000</v>
      </c>
      <c r="E98" s="7" t="s">
        <v>55</v>
      </c>
      <c r="F98" s="10" t="n">
        <f aca="false">IFERROR(INDEX('1. Insumos'!$F$5:$F$93,MATCH($C98,'1. Insumos'!$B$5:$B$93,0)),0)</f>
        <v>0.032</v>
      </c>
      <c r="G98" s="13" t="n">
        <f aca="false">D98*F98</f>
        <v>32</v>
      </c>
      <c r="H98" s="14" t="s">
        <v>235</v>
      </c>
    </row>
    <row r="99" customFormat="false" ht="15" hidden="false" customHeight="false" outlineLevel="0" collapsed="false">
      <c r="A99" s="7" t="n">
        <v>10</v>
      </c>
      <c r="B99" s="7" t="s">
        <v>234</v>
      </c>
      <c r="C99" s="7" t="s">
        <v>110</v>
      </c>
      <c r="D99" s="8" t="n">
        <v>250</v>
      </c>
      <c r="E99" s="7" t="s">
        <v>55</v>
      </c>
      <c r="F99" s="10" t="n">
        <f aca="false">IFERROR(INDEX('1. Insumos'!$F$5:$F$93,MATCH($C99,'1. Insumos'!$B$5:$B$93,0)),0)</f>
        <v>0.145</v>
      </c>
      <c r="G99" s="13" t="n">
        <f aca="false">D99*F99</f>
        <v>36.25</v>
      </c>
      <c r="H99" s="14" t="s">
        <v>236</v>
      </c>
    </row>
    <row r="100" customFormat="false" ht="15" hidden="false" customHeight="false" outlineLevel="0" collapsed="false">
      <c r="A100" s="7" t="n">
        <v>10</v>
      </c>
      <c r="B100" s="7" t="s">
        <v>234</v>
      </c>
      <c r="C100" s="7" t="s">
        <v>49</v>
      </c>
      <c r="D100" s="8" t="n">
        <v>250</v>
      </c>
      <c r="E100" s="7" t="s">
        <v>47</v>
      </c>
      <c r="F100" s="10" t="n">
        <f aca="false">IFERROR(INDEX('1. Insumos'!$F$5:$F$93,MATCH($C100,'1. Insumos'!$B$5:$B$93,0)),0)</f>
        <v>0.032</v>
      </c>
      <c r="G100" s="13" t="n">
        <f aca="false">D100*F100</f>
        <v>8</v>
      </c>
      <c r="H100" s="14" t="s">
        <v>237</v>
      </c>
    </row>
    <row r="101" customFormat="false" ht="15" hidden="false" customHeight="false" outlineLevel="0" collapsed="false">
      <c r="A101" s="7" t="n">
        <v>10</v>
      </c>
      <c r="B101" s="7" t="s">
        <v>234</v>
      </c>
      <c r="C101" s="7" t="s">
        <v>85</v>
      </c>
      <c r="D101" s="8" t="n">
        <v>18</v>
      </c>
      <c r="E101" s="7" t="s">
        <v>55</v>
      </c>
      <c r="F101" s="10" t="n">
        <f aca="false">IFERROR(INDEX('1. Insumos'!$F$5:$F$93,MATCH($C101,'1. Insumos'!$B$5:$B$93,0)),0)</f>
        <v>0.025</v>
      </c>
      <c r="G101" s="13" t="n">
        <f aca="false">D101*F101</f>
        <v>0.45</v>
      </c>
      <c r="H101" s="14" t="s">
        <v>167</v>
      </c>
    </row>
    <row r="102" customFormat="false" ht="15" hidden="false" customHeight="false" outlineLevel="0" collapsed="false">
      <c r="A102" s="7" t="n">
        <v>10</v>
      </c>
      <c r="B102" s="7" t="s">
        <v>234</v>
      </c>
      <c r="C102" s="7" t="s">
        <v>84</v>
      </c>
      <c r="D102" s="8" t="n">
        <v>6</v>
      </c>
      <c r="E102" s="7" t="s">
        <v>55</v>
      </c>
      <c r="F102" s="10" t="n">
        <f aca="false">IFERROR(INDEX('1. Insumos'!$F$5:$F$93,MATCH($C102,'1. Insumos'!$B$5:$B$93,0)),0)</f>
        <v>0.175</v>
      </c>
      <c r="G102" s="13" t="n">
        <f aca="false">D102*F102</f>
        <v>1.05</v>
      </c>
      <c r="H102" s="14" t="s">
        <v>84</v>
      </c>
    </row>
    <row r="103" customFormat="false" ht="15" hidden="false" customHeight="false" outlineLevel="0" collapsed="false">
      <c r="A103" s="7" t="n">
        <v>10</v>
      </c>
      <c r="B103" s="7" t="s">
        <v>234</v>
      </c>
      <c r="C103" s="7" t="s">
        <v>121</v>
      </c>
      <c r="D103" s="8" t="n">
        <v>16</v>
      </c>
      <c r="E103" s="7" t="s">
        <v>64</v>
      </c>
      <c r="F103" s="10" t="n">
        <f aca="false">IFERROR(INDEX('1. Insumos'!$F$5:$F$93,MATCH($C103,'1. Insumos'!$B$5:$B$93,0)),0)</f>
        <v>0.8</v>
      </c>
      <c r="G103" s="13" t="n">
        <f aca="false">D103*F103</f>
        <v>12.8</v>
      </c>
      <c r="H103" s="14" t="s">
        <v>238</v>
      </c>
    </row>
    <row r="104" customFormat="false" ht="15" hidden="false" customHeight="false" outlineLevel="0" collapsed="false">
      <c r="A104" s="7" t="n">
        <v>10</v>
      </c>
      <c r="B104" s="7" t="s">
        <v>234</v>
      </c>
      <c r="C104" s="7" t="s">
        <v>97</v>
      </c>
      <c r="D104" s="8" t="n">
        <v>3.33</v>
      </c>
      <c r="E104" s="7" t="s">
        <v>64</v>
      </c>
      <c r="F104" s="10" t="n">
        <f aca="false">IFERROR(INDEX('1. Insumos'!$F$5:$F$93,MATCH($C104,'1. Insumos'!$B$5:$B$93,0)),0)</f>
        <v>2.91666666666667</v>
      </c>
      <c r="G104" s="13" t="n">
        <f aca="false">D104*F104</f>
        <v>9.7125</v>
      </c>
      <c r="H104" s="14" t="s">
        <v>239</v>
      </c>
    </row>
    <row r="105" customFormat="false" ht="15" hidden="false" customHeight="false" outlineLevel="0" collapsed="false">
      <c r="A105" s="7" t="n">
        <v>10</v>
      </c>
      <c r="B105" s="7" t="s">
        <v>234</v>
      </c>
      <c r="C105" s="7" t="s">
        <v>124</v>
      </c>
      <c r="D105" s="8" t="n">
        <v>200</v>
      </c>
      <c r="E105" s="7" t="s">
        <v>47</v>
      </c>
      <c r="F105" s="10" t="n">
        <f aca="false">IFERROR(INDEX('1. Insumos'!$F$5:$F$93,MATCH($C105,'1. Insumos'!$B$5:$B$93,0)),0)</f>
        <v>0.15</v>
      </c>
      <c r="G105" s="13" t="n">
        <f aca="false">D105*F105</f>
        <v>30</v>
      </c>
      <c r="H105" s="14" t="s">
        <v>240</v>
      </c>
    </row>
    <row r="106" customFormat="false" ht="15" hidden="false" customHeight="false" outlineLevel="0" collapsed="false">
      <c r="A106" s="7" t="n">
        <v>10</v>
      </c>
      <c r="B106" s="7" t="s">
        <v>234</v>
      </c>
      <c r="C106" s="7" t="s">
        <v>128</v>
      </c>
      <c r="D106" s="8" t="n">
        <v>150</v>
      </c>
      <c r="E106" s="7" t="s">
        <v>55</v>
      </c>
      <c r="F106" s="10" t="n">
        <f aca="false">IFERROR(INDEX('1. Insumos'!$F$5:$F$93,MATCH($C106,'1. Insumos'!$B$5:$B$93,0)),0)</f>
        <v>0.33</v>
      </c>
      <c r="G106" s="13" t="n">
        <f aca="false">D106*F106</f>
        <v>49.5</v>
      </c>
      <c r="H106" s="14" t="s">
        <v>241</v>
      </c>
    </row>
    <row r="107" customFormat="false" ht="15" hidden="false" customHeight="false" outlineLevel="0" collapsed="false">
      <c r="A107" s="7" t="n">
        <v>11</v>
      </c>
      <c r="B107" s="7" t="s">
        <v>242</v>
      </c>
      <c r="C107" s="7" t="s">
        <v>142</v>
      </c>
      <c r="D107" s="8" t="n">
        <v>1200</v>
      </c>
      <c r="E107" s="7" t="s">
        <v>55</v>
      </c>
      <c r="F107" s="10" t="n">
        <f aca="false">IFERROR(INDEX('1. Insumos'!$F$5:$F$93,MATCH($C107,'1. Insumos'!$B$5:$B$93,0)),0)</f>
        <v>0.045</v>
      </c>
      <c r="G107" s="13" t="n">
        <f aca="false">D107*F107</f>
        <v>54</v>
      </c>
      <c r="H107" s="14" t="s">
        <v>243</v>
      </c>
    </row>
    <row r="108" customFormat="false" ht="15" hidden="false" customHeight="false" outlineLevel="0" collapsed="false">
      <c r="A108" s="7" t="n">
        <v>11</v>
      </c>
      <c r="B108" s="7" t="s">
        <v>242</v>
      </c>
      <c r="C108" s="7" t="s">
        <v>111</v>
      </c>
      <c r="D108" s="8" t="n">
        <v>180</v>
      </c>
      <c r="E108" s="7" t="s">
        <v>55</v>
      </c>
      <c r="F108" s="10" t="n">
        <f aca="false">IFERROR(INDEX('1. Insumos'!$F$5:$F$93,MATCH($C108,'1. Insumos'!$B$5:$B$93,0)),0)</f>
        <v>0.26</v>
      </c>
      <c r="G108" s="13" t="n">
        <f aca="false">D108*F108</f>
        <v>46.8</v>
      </c>
      <c r="H108" s="14" t="s">
        <v>244</v>
      </c>
    </row>
    <row r="109" customFormat="false" ht="15" hidden="false" customHeight="false" outlineLevel="0" collapsed="false">
      <c r="A109" s="7" t="n">
        <v>11</v>
      </c>
      <c r="B109" s="7" t="s">
        <v>242</v>
      </c>
      <c r="C109" s="7" t="s">
        <v>74</v>
      </c>
      <c r="D109" s="8" t="n">
        <v>100</v>
      </c>
      <c r="E109" s="7" t="s">
        <v>55</v>
      </c>
      <c r="F109" s="10" t="n">
        <f aca="false">IFERROR(INDEX('1. Insumos'!$F$5:$F$93,MATCH($C109,'1. Insumos'!$B$5:$B$93,0)),0)</f>
        <v>0.032</v>
      </c>
      <c r="G109" s="13" t="n">
        <f aca="false">D109*F109</f>
        <v>3.2</v>
      </c>
      <c r="H109" s="14" t="s">
        <v>245</v>
      </c>
    </row>
    <row r="110" customFormat="false" ht="15" hidden="false" customHeight="false" outlineLevel="0" collapsed="false">
      <c r="A110" s="7" t="n">
        <v>11</v>
      </c>
      <c r="B110" s="7" t="s">
        <v>242</v>
      </c>
      <c r="C110" s="7" t="s">
        <v>126</v>
      </c>
      <c r="D110" s="8" t="n">
        <v>80</v>
      </c>
      <c r="E110" s="7" t="s">
        <v>47</v>
      </c>
      <c r="F110" s="10" t="n">
        <f aca="false">IFERROR(INDEX('1. Insumos'!$F$5:$F$93,MATCH($C110,'1. Insumos'!$B$5:$B$93,0)),0)</f>
        <v>0.028</v>
      </c>
      <c r="G110" s="13" t="n">
        <f aca="false">D110*F110</f>
        <v>2.24</v>
      </c>
      <c r="H110" s="14" t="s">
        <v>246</v>
      </c>
    </row>
    <row r="111" customFormat="false" ht="15" hidden="false" customHeight="false" outlineLevel="0" collapsed="false">
      <c r="A111" s="7" t="n">
        <v>11</v>
      </c>
      <c r="B111" s="7" t="s">
        <v>242</v>
      </c>
      <c r="C111" s="7" t="s">
        <v>85</v>
      </c>
      <c r="D111" s="8" t="n">
        <v>6</v>
      </c>
      <c r="E111" s="7" t="s">
        <v>55</v>
      </c>
      <c r="F111" s="10" t="n">
        <f aca="false">IFERROR(INDEX('1. Insumos'!$F$5:$F$93,MATCH($C111,'1. Insumos'!$B$5:$B$93,0)),0)</f>
        <v>0.025</v>
      </c>
      <c r="G111" s="13" t="n">
        <f aca="false">D111*F111</f>
        <v>0.15</v>
      </c>
      <c r="H111" s="14" t="s">
        <v>167</v>
      </c>
    </row>
    <row r="112" customFormat="false" ht="15" hidden="false" customHeight="false" outlineLevel="0" collapsed="false">
      <c r="A112" s="7" t="n">
        <v>11</v>
      </c>
      <c r="B112" s="7" t="s">
        <v>242</v>
      </c>
      <c r="C112" s="7" t="s">
        <v>121</v>
      </c>
      <c r="D112" s="8" t="n">
        <v>18</v>
      </c>
      <c r="E112" s="7" t="s">
        <v>64</v>
      </c>
      <c r="F112" s="10" t="n">
        <f aca="false">IFERROR(INDEX('1. Insumos'!$F$5:$F$93,MATCH($C112,'1. Insumos'!$B$5:$B$93,0)),0)</f>
        <v>0.8</v>
      </c>
      <c r="G112" s="13" t="n">
        <f aca="false">D112*F112</f>
        <v>14.4</v>
      </c>
      <c r="H112" s="14" t="s">
        <v>247</v>
      </c>
    </row>
    <row r="113" customFormat="false" ht="15" hidden="false" customHeight="false" outlineLevel="0" collapsed="false">
      <c r="A113" s="7" t="n">
        <v>11</v>
      </c>
      <c r="B113" s="7" t="s">
        <v>242</v>
      </c>
      <c r="C113" s="7" t="s">
        <v>124</v>
      </c>
      <c r="D113" s="8" t="n">
        <v>200</v>
      </c>
      <c r="E113" s="7" t="s">
        <v>47</v>
      </c>
      <c r="F113" s="10" t="n">
        <f aca="false">IFERROR(INDEX('1. Insumos'!$F$5:$F$93,MATCH($C113,'1. Insumos'!$B$5:$B$93,0)),0)</f>
        <v>0.15</v>
      </c>
      <c r="G113" s="13" t="n">
        <f aca="false">D113*F113</f>
        <v>30</v>
      </c>
      <c r="H113" s="14" t="s">
        <v>240</v>
      </c>
    </row>
    <row r="114" customFormat="false" ht="15" hidden="false" customHeight="false" outlineLevel="0" collapsed="false">
      <c r="A114" s="7" t="n">
        <v>11</v>
      </c>
      <c r="B114" s="7" t="s">
        <v>242</v>
      </c>
      <c r="C114" s="7" t="s">
        <v>128</v>
      </c>
      <c r="D114" s="8" t="n">
        <v>150</v>
      </c>
      <c r="E114" s="7" t="s">
        <v>55</v>
      </c>
      <c r="F114" s="10" t="n">
        <f aca="false">IFERROR(INDEX('1. Insumos'!$F$5:$F$93,MATCH($C114,'1. Insumos'!$B$5:$B$93,0)),0)</f>
        <v>0.33</v>
      </c>
      <c r="G114" s="13" t="n">
        <f aca="false">D114*F114</f>
        <v>49.5</v>
      </c>
      <c r="H114" s="14" t="s">
        <v>248</v>
      </c>
    </row>
    <row r="115" customFormat="false" ht="15" hidden="false" customHeight="false" outlineLevel="0" collapsed="false">
      <c r="A115" s="7" t="n">
        <v>11</v>
      </c>
      <c r="B115" s="7" t="s">
        <v>242</v>
      </c>
      <c r="C115" s="7" t="s">
        <v>98</v>
      </c>
      <c r="D115" s="8" t="n">
        <v>300</v>
      </c>
      <c r="E115" s="7" t="s">
        <v>55</v>
      </c>
      <c r="F115" s="10" t="n">
        <f aca="false">IFERROR(INDEX('1. Insumos'!$F$5:$F$93,MATCH($C115,'1. Insumos'!$B$5:$B$93,0)),0)</f>
        <v>0.04</v>
      </c>
      <c r="G115" s="13" t="n">
        <f aca="false">D115*F115</f>
        <v>12</v>
      </c>
      <c r="H115" s="14" t="s">
        <v>249</v>
      </c>
    </row>
    <row r="116" customFormat="false" ht="15" hidden="false" customHeight="false" outlineLevel="0" collapsed="false">
      <c r="A116" s="7" t="n">
        <v>12</v>
      </c>
      <c r="B116" s="7" t="s">
        <v>250</v>
      </c>
      <c r="C116" s="7" t="s">
        <v>143</v>
      </c>
      <c r="D116" s="8" t="n">
        <v>1000</v>
      </c>
      <c r="E116" s="7" t="s">
        <v>55</v>
      </c>
      <c r="F116" s="10" t="n">
        <f aca="false">IFERROR(INDEX('1. Insumos'!$F$5:$F$93,MATCH($C116,'1. Insumos'!$B$5:$B$93,0)),0)</f>
        <v>0.032</v>
      </c>
      <c r="G116" s="13" t="n">
        <f aca="false">D116*F116</f>
        <v>32</v>
      </c>
      <c r="H116" s="14" t="s">
        <v>177</v>
      </c>
    </row>
    <row r="117" customFormat="false" ht="15" hidden="false" customHeight="false" outlineLevel="0" collapsed="false">
      <c r="A117" s="7" t="n">
        <v>12</v>
      </c>
      <c r="B117" s="7" t="s">
        <v>250</v>
      </c>
      <c r="C117" s="7" t="s">
        <v>110</v>
      </c>
      <c r="D117" s="8" t="n">
        <v>275</v>
      </c>
      <c r="E117" s="7" t="s">
        <v>55</v>
      </c>
      <c r="F117" s="10" t="n">
        <f aca="false">IFERROR(INDEX('1. Insumos'!$F$5:$F$93,MATCH($C117,'1. Insumos'!$B$5:$B$93,0)),0)</f>
        <v>0.145</v>
      </c>
      <c r="G117" s="13" t="n">
        <f aca="false">D117*F117</f>
        <v>39.875</v>
      </c>
      <c r="H117" s="14" t="s">
        <v>164</v>
      </c>
    </row>
    <row r="118" customFormat="false" ht="15" hidden="false" customHeight="false" outlineLevel="0" collapsed="false">
      <c r="A118" s="7" t="n">
        <v>12</v>
      </c>
      <c r="B118" s="7" t="s">
        <v>250</v>
      </c>
      <c r="C118" s="7" t="s">
        <v>49</v>
      </c>
      <c r="D118" s="8" t="n">
        <v>260</v>
      </c>
      <c r="E118" s="7" t="s">
        <v>47</v>
      </c>
      <c r="F118" s="10" t="n">
        <f aca="false">IFERROR(INDEX('1. Insumos'!$F$5:$F$93,MATCH($C118,'1. Insumos'!$B$5:$B$93,0)),0)</f>
        <v>0.032</v>
      </c>
      <c r="G118" s="13" t="n">
        <f aca="false">D118*F118</f>
        <v>8.32</v>
      </c>
      <c r="H118" s="14" t="s">
        <v>251</v>
      </c>
    </row>
    <row r="119" customFormat="false" ht="15" hidden="false" customHeight="false" outlineLevel="0" collapsed="false">
      <c r="A119" s="7" t="n">
        <v>12</v>
      </c>
      <c r="B119" s="7" t="s">
        <v>250</v>
      </c>
      <c r="C119" s="7" t="s">
        <v>85</v>
      </c>
      <c r="D119" s="8" t="n">
        <v>16</v>
      </c>
      <c r="E119" s="7" t="s">
        <v>55</v>
      </c>
      <c r="F119" s="10" t="n">
        <f aca="false">IFERROR(INDEX('1. Insumos'!$F$5:$F$93,MATCH($C119,'1. Insumos'!$B$5:$B$93,0)),0)</f>
        <v>0.025</v>
      </c>
      <c r="G119" s="13" t="n">
        <f aca="false">D119*F119</f>
        <v>0.4</v>
      </c>
      <c r="H119" s="14" t="s">
        <v>167</v>
      </c>
    </row>
    <row r="120" customFormat="false" ht="15" hidden="false" customHeight="false" outlineLevel="0" collapsed="false">
      <c r="A120" s="7" t="n">
        <v>12</v>
      </c>
      <c r="B120" s="7" t="s">
        <v>250</v>
      </c>
      <c r="C120" s="7" t="s">
        <v>84</v>
      </c>
      <c r="D120" s="8" t="n">
        <v>5</v>
      </c>
      <c r="E120" s="7" t="s">
        <v>55</v>
      </c>
      <c r="F120" s="10" t="n">
        <f aca="false">IFERROR(INDEX('1. Insumos'!$F$5:$F$93,MATCH($C120,'1. Insumos'!$B$5:$B$93,0)),0)</f>
        <v>0.175</v>
      </c>
      <c r="G120" s="13" t="n">
        <f aca="false">D120*F120</f>
        <v>0.875</v>
      </c>
      <c r="H120" s="14" t="s">
        <v>84</v>
      </c>
    </row>
    <row r="121" customFormat="false" ht="15" hidden="false" customHeight="false" outlineLevel="0" collapsed="false">
      <c r="A121" s="7" t="n">
        <v>12</v>
      </c>
      <c r="B121" s="7" t="s">
        <v>250</v>
      </c>
      <c r="C121" s="7" t="s">
        <v>61</v>
      </c>
      <c r="D121" s="8" t="n">
        <v>500</v>
      </c>
      <c r="E121" s="7" t="s">
        <v>55</v>
      </c>
      <c r="F121" s="10" t="n">
        <f aca="false">IFERROR(INDEX('1. Insumos'!$F$5:$F$93,MATCH($C121,'1. Insumos'!$B$5:$B$93,0)),0)</f>
        <v>0.185</v>
      </c>
      <c r="G121" s="13" t="n">
        <f aca="false">D121*F121</f>
        <v>92.5</v>
      </c>
      <c r="H121" s="14" t="s">
        <v>252</v>
      </c>
    </row>
    <row r="122" customFormat="false" ht="15" hidden="false" customHeight="false" outlineLevel="0" collapsed="false">
      <c r="A122" s="7" t="n">
        <v>12</v>
      </c>
      <c r="B122" s="7" t="s">
        <v>250</v>
      </c>
      <c r="C122" s="7" t="s">
        <v>63</v>
      </c>
      <c r="D122" s="8" t="n">
        <v>6</v>
      </c>
      <c r="E122" s="7" t="s">
        <v>64</v>
      </c>
      <c r="F122" s="10" t="n">
        <f aca="false">IFERROR(INDEX('1. Insumos'!$F$5:$F$93,MATCH($C122,'1. Insumos'!$B$5:$B$93,0)),0)</f>
        <v>2.33333333333333</v>
      </c>
      <c r="G122" s="13" t="n">
        <f aca="false">D122*F122</f>
        <v>14</v>
      </c>
      <c r="H122" s="14" t="s">
        <v>169</v>
      </c>
    </row>
    <row r="123" customFormat="false" ht="15" hidden="false" customHeight="false" outlineLevel="0" collapsed="false">
      <c r="A123" s="7" t="n">
        <v>12</v>
      </c>
      <c r="B123" s="7" t="s">
        <v>250</v>
      </c>
      <c r="C123" s="7" t="s">
        <v>71</v>
      </c>
      <c r="D123" s="8" t="n">
        <v>2</v>
      </c>
      <c r="E123" s="7" t="s">
        <v>64</v>
      </c>
      <c r="F123" s="10" t="n">
        <f aca="false">IFERROR(INDEX('1. Insumos'!$F$5:$F$93,MATCH($C123,'1. Insumos'!$B$5:$B$93,0)),0)</f>
        <v>5</v>
      </c>
      <c r="G123" s="13" t="n">
        <f aca="false">D123*F123</f>
        <v>10</v>
      </c>
      <c r="H123" s="14" t="s">
        <v>253</v>
      </c>
    </row>
    <row r="124" customFormat="false" ht="15" hidden="false" customHeight="false" outlineLevel="0" collapsed="false">
      <c r="A124" s="7" t="n">
        <v>12</v>
      </c>
      <c r="B124" s="7" t="s">
        <v>250</v>
      </c>
      <c r="C124" s="7" t="s">
        <v>97</v>
      </c>
      <c r="D124" s="8" t="n">
        <v>3</v>
      </c>
      <c r="E124" s="7" t="s">
        <v>64</v>
      </c>
      <c r="F124" s="10" t="n">
        <f aca="false">IFERROR(INDEX('1. Insumos'!$F$5:$F$93,MATCH($C124,'1. Insumos'!$B$5:$B$93,0)),0)</f>
        <v>2.91666666666667</v>
      </c>
      <c r="G124" s="13" t="n">
        <f aca="false">D124*F124</f>
        <v>8.75</v>
      </c>
      <c r="H124" s="14" t="s">
        <v>199</v>
      </c>
    </row>
    <row r="125" customFormat="false" ht="15" hidden="false" customHeight="false" outlineLevel="0" collapsed="false">
      <c r="A125" s="7" t="n">
        <v>12</v>
      </c>
      <c r="B125" s="7" t="s">
        <v>250</v>
      </c>
      <c r="C125" s="7" t="s">
        <v>88</v>
      </c>
      <c r="D125" s="8" t="n">
        <v>2</v>
      </c>
      <c r="E125" s="7" t="s">
        <v>64</v>
      </c>
      <c r="F125" s="10" t="n">
        <f aca="false">IFERROR(INDEX('1. Insumos'!$F$5:$F$93,MATCH($C125,'1. Insumos'!$B$5:$B$93,0)),0)</f>
        <v>0.875</v>
      </c>
      <c r="G125" s="13" t="n">
        <f aca="false">D125*F125</f>
        <v>1.75</v>
      </c>
      <c r="H125" s="14" t="s">
        <v>215</v>
      </c>
    </row>
    <row r="126" customFormat="false" ht="15" hidden="false" customHeight="false" outlineLevel="0" collapsed="false">
      <c r="A126" s="7" t="n">
        <v>12</v>
      </c>
      <c r="B126" s="7" t="s">
        <v>250</v>
      </c>
      <c r="C126" s="7" t="s">
        <v>145</v>
      </c>
      <c r="D126" s="8" t="n">
        <v>40</v>
      </c>
      <c r="E126" s="7" t="s">
        <v>55</v>
      </c>
      <c r="F126" s="10" t="n">
        <f aca="false">IFERROR(INDEX('1. Insumos'!$F$5:$F$93,MATCH($C126,'1. Insumos'!$B$5:$B$93,0)),0)</f>
        <v>0.32</v>
      </c>
      <c r="G126" s="13" t="n">
        <f aca="false">D126*F126</f>
        <v>12.8</v>
      </c>
      <c r="H126" s="14" t="s">
        <v>254</v>
      </c>
    </row>
    <row r="127" customFormat="false" ht="15" hidden="false" customHeight="false" outlineLevel="0" collapsed="false">
      <c r="A127" s="7" t="n">
        <v>12</v>
      </c>
      <c r="B127" s="7" t="s">
        <v>250</v>
      </c>
      <c r="C127" s="7" t="s">
        <v>75</v>
      </c>
      <c r="D127" s="8" t="n">
        <v>25</v>
      </c>
      <c r="E127" s="7" t="s">
        <v>55</v>
      </c>
      <c r="F127" s="10" t="n">
        <f aca="false">IFERROR(INDEX('1. Insumos'!$F$5:$F$93,MATCH($C127,'1. Insumos'!$B$5:$B$93,0)),0)</f>
        <v>0.055</v>
      </c>
      <c r="G127" s="13" t="n">
        <f aca="false">D127*F127</f>
        <v>1.375</v>
      </c>
      <c r="H127" s="14" t="s">
        <v>255</v>
      </c>
    </row>
    <row r="128" customFormat="false" ht="15" hidden="false" customHeight="false" outlineLevel="0" collapsed="false">
      <c r="A128" s="7" t="n">
        <v>12</v>
      </c>
      <c r="B128" s="7" t="s">
        <v>250</v>
      </c>
      <c r="C128" s="7" t="s">
        <v>77</v>
      </c>
      <c r="D128" s="8" t="n">
        <v>20</v>
      </c>
      <c r="E128" s="7" t="s">
        <v>55</v>
      </c>
      <c r="F128" s="10" t="n">
        <f aca="false">IFERROR(INDEX('1. Insumos'!$F$5:$F$93,MATCH($C128,'1. Insumos'!$B$5:$B$93,0)),0)</f>
        <v>0.22</v>
      </c>
      <c r="G128" s="13" t="n">
        <f aca="false">D128*F128</f>
        <v>4.4</v>
      </c>
      <c r="H128" s="14" t="s">
        <v>256</v>
      </c>
    </row>
    <row r="129" customFormat="false" ht="15" hidden="false" customHeight="false" outlineLevel="0" collapsed="false">
      <c r="A129" s="7" t="n">
        <v>12</v>
      </c>
      <c r="B129" s="7" t="s">
        <v>250</v>
      </c>
      <c r="C129" s="7" t="s">
        <v>80</v>
      </c>
      <c r="D129" s="8" t="n">
        <v>1</v>
      </c>
      <c r="E129" s="7" t="s">
        <v>64</v>
      </c>
      <c r="F129" s="10" t="n">
        <f aca="false">IFERROR(INDEX('1. Insumos'!$F$5:$F$93,MATCH($C129,'1. Insumos'!$B$5:$B$93,0)),0)</f>
        <v>0.225</v>
      </c>
      <c r="G129" s="13" t="n">
        <f aca="false">D129*F129</f>
        <v>0.225</v>
      </c>
      <c r="H129" s="14" t="s">
        <v>257</v>
      </c>
    </row>
    <row r="130" customFormat="false" ht="15" hidden="false" customHeight="false" outlineLevel="0" collapsed="false">
      <c r="A130" s="7" t="n">
        <v>13</v>
      </c>
      <c r="B130" s="7" t="s">
        <v>258</v>
      </c>
      <c r="C130" s="7" t="s">
        <v>143</v>
      </c>
      <c r="D130" s="8" t="n">
        <v>1000</v>
      </c>
      <c r="E130" s="7" t="s">
        <v>55</v>
      </c>
      <c r="F130" s="10" t="n">
        <f aca="false">IFERROR(INDEX('1. Insumos'!$F$5:$F$93,MATCH($C130,'1. Insumos'!$B$5:$B$93,0)),0)</f>
        <v>0.032</v>
      </c>
      <c r="G130" s="13" t="n">
        <f aca="false">D130*F130</f>
        <v>32</v>
      </c>
      <c r="H130" s="14" t="s">
        <v>177</v>
      </c>
    </row>
    <row r="131" customFormat="false" ht="15" hidden="false" customHeight="false" outlineLevel="0" collapsed="false">
      <c r="A131" s="7" t="n">
        <v>13</v>
      </c>
      <c r="B131" s="7" t="s">
        <v>258</v>
      </c>
      <c r="C131" s="7" t="s">
        <v>110</v>
      </c>
      <c r="D131" s="8" t="n">
        <v>270</v>
      </c>
      <c r="E131" s="7" t="s">
        <v>55</v>
      </c>
      <c r="F131" s="10" t="n">
        <f aca="false">IFERROR(INDEX('1. Insumos'!$F$5:$F$93,MATCH($C131,'1. Insumos'!$B$5:$B$93,0)),0)</f>
        <v>0.145</v>
      </c>
      <c r="G131" s="13" t="n">
        <f aca="false">D131*F131</f>
        <v>39.15</v>
      </c>
      <c r="H131" s="14" t="s">
        <v>164</v>
      </c>
    </row>
    <row r="132" customFormat="false" ht="15" hidden="false" customHeight="false" outlineLevel="0" collapsed="false">
      <c r="A132" s="7" t="n">
        <v>13</v>
      </c>
      <c r="B132" s="7" t="s">
        <v>258</v>
      </c>
      <c r="C132" s="7" t="s">
        <v>49</v>
      </c>
      <c r="D132" s="8" t="n">
        <v>260</v>
      </c>
      <c r="E132" s="7" t="s">
        <v>47</v>
      </c>
      <c r="F132" s="10" t="n">
        <f aca="false">IFERROR(INDEX('1. Insumos'!$F$5:$F$93,MATCH($C132,'1. Insumos'!$B$5:$B$93,0)),0)</f>
        <v>0.032</v>
      </c>
      <c r="G132" s="13" t="n">
        <f aca="false">D132*F132</f>
        <v>8.32</v>
      </c>
      <c r="H132" s="14" t="s">
        <v>203</v>
      </c>
    </row>
    <row r="133" customFormat="false" ht="15" hidden="false" customHeight="false" outlineLevel="0" collapsed="false">
      <c r="A133" s="7" t="n">
        <v>13</v>
      </c>
      <c r="B133" s="7" t="s">
        <v>258</v>
      </c>
      <c r="C133" s="7" t="s">
        <v>85</v>
      </c>
      <c r="D133" s="8" t="n">
        <v>16</v>
      </c>
      <c r="E133" s="7" t="s">
        <v>55</v>
      </c>
      <c r="F133" s="10" t="n">
        <f aca="false">IFERROR(INDEX('1. Insumos'!$F$5:$F$93,MATCH($C133,'1. Insumos'!$B$5:$B$93,0)),0)</f>
        <v>0.025</v>
      </c>
      <c r="G133" s="13" t="n">
        <f aca="false">D133*F133</f>
        <v>0.4</v>
      </c>
      <c r="H133" s="14" t="s">
        <v>204</v>
      </c>
    </row>
    <row r="134" customFormat="false" ht="15" hidden="false" customHeight="false" outlineLevel="0" collapsed="false">
      <c r="A134" s="7" t="n">
        <v>13</v>
      </c>
      <c r="B134" s="7" t="s">
        <v>258</v>
      </c>
      <c r="C134" s="7" t="s">
        <v>84</v>
      </c>
      <c r="D134" s="8" t="n">
        <v>5</v>
      </c>
      <c r="E134" s="7" t="s">
        <v>55</v>
      </c>
      <c r="F134" s="10" t="n">
        <f aca="false">IFERROR(INDEX('1. Insumos'!$F$5:$F$93,MATCH($C134,'1. Insumos'!$B$5:$B$93,0)),0)</f>
        <v>0.175</v>
      </c>
      <c r="G134" s="13" t="n">
        <f aca="false">D134*F134</f>
        <v>0.875</v>
      </c>
      <c r="H134" s="14" t="s">
        <v>84</v>
      </c>
    </row>
    <row r="135" customFormat="false" ht="15" hidden="false" customHeight="false" outlineLevel="0" collapsed="false">
      <c r="A135" s="7" t="n">
        <v>13</v>
      </c>
      <c r="B135" s="7" t="s">
        <v>258</v>
      </c>
      <c r="C135" s="7" t="s">
        <v>58</v>
      </c>
      <c r="D135" s="8" t="n">
        <v>550</v>
      </c>
      <c r="E135" s="7" t="s">
        <v>55</v>
      </c>
      <c r="F135" s="10" t="n">
        <f aca="false">IFERROR(INDEX('1. Insumos'!$F$5:$F$93,MATCH($C135,'1. Insumos'!$B$5:$B$93,0)),0)</f>
        <v>0.175</v>
      </c>
      <c r="G135" s="13" t="n">
        <f aca="false">D135*F135</f>
        <v>96.25</v>
      </c>
      <c r="H135" s="14" t="s">
        <v>259</v>
      </c>
    </row>
    <row r="136" customFormat="false" ht="15" hidden="false" customHeight="false" outlineLevel="0" collapsed="false">
      <c r="A136" s="7" t="n">
        <v>13</v>
      </c>
      <c r="B136" s="7" t="s">
        <v>258</v>
      </c>
      <c r="C136" s="7" t="s">
        <v>94</v>
      </c>
      <c r="D136" s="8" t="n">
        <v>6</v>
      </c>
      <c r="E136" s="7" t="s">
        <v>64</v>
      </c>
      <c r="F136" s="10" t="n">
        <f aca="false">IFERROR(INDEX('1. Insumos'!$F$5:$F$93,MATCH($C136,'1. Insumos'!$B$5:$B$93,0)),0)</f>
        <v>1.1</v>
      </c>
      <c r="G136" s="13" t="n">
        <f aca="false">D136*F136</f>
        <v>6.6</v>
      </c>
      <c r="H136" s="14" t="s">
        <v>260</v>
      </c>
    </row>
    <row r="137" customFormat="false" ht="15" hidden="false" customHeight="false" outlineLevel="0" collapsed="false">
      <c r="A137" s="7" t="n">
        <v>13</v>
      </c>
      <c r="B137" s="7" t="s">
        <v>258</v>
      </c>
      <c r="C137" s="7" t="s">
        <v>97</v>
      </c>
      <c r="D137" s="8" t="n">
        <v>4</v>
      </c>
      <c r="E137" s="7" t="s">
        <v>64</v>
      </c>
      <c r="F137" s="10" t="n">
        <f aca="false">IFERROR(INDEX('1. Insumos'!$F$5:$F$93,MATCH($C137,'1. Insumos'!$B$5:$B$93,0)),0)</f>
        <v>2.91666666666667</v>
      </c>
      <c r="G137" s="13" t="n">
        <f aca="false">D137*F137</f>
        <v>11.6666666666667</v>
      </c>
      <c r="H137" s="14" t="s">
        <v>199</v>
      </c>
    </row>
    <row r="138" customFormat="false" ht="15" hidden="false" customHeight="false" outlineLevel="0" collapsed="false">
      <c r="A138" s="7" t="n">
        <v>13</v>
      </c>
      <c r="B138" s="7" t="s">
        <v>258</v>
      </c>
      <c r="C138" s="7" t="s">
        <v>88</v>
      </c>
      <c r="D138" s="8" t="n">
        <v>3</v>
      </c>
      <c r="E138" s="7" t="s">
        <v>64</v>
      </c>
      <c r="F138" s="10" t="n">
        <f aca="false">IFERROR(INDEX('1. Insumos'!$F$5:$F$93,MATCH($C138,'1. Insumos'!$B$5:$B$93,0)),0)</f>
        <v>0.875</v>
      </c>
      <c r="G138" s="13" t="n">
        <f aca="false">D138*F138</f>
        <v>2.625</v>
      </c>
      <c r="H138" s="14" t="s">
        <v>171</v>
      </c>
    </row>
    <row r="139" customFormat="false" ht="15" hidden="false" customHeight="false" outlineLevel="0" collapsed="false">
      <c r="A139" s="7" t="n">
        <v>13</v>
      </c>
      <c r="B139" s="7" t="s">
        <v>258</v>
      </c>
      <c r="C139" s="7" t="s">
        <v>116</v>
      </c>
      <c r="D139" s="8" t="n">
        <v>20</v>
      </c>
      <c r="E139" s="7" t="s">
        <v>55</v>
      </c>
      <c r="F139" s="10" t="n">
        <f aca="false">IFERROR(INDEX('1. Insumos'!$F$5:$F$93,MATCH($C139,'1. Insumos'!$B$5:$B$93,0)),0)</f>
        <v>0.6</v>
      </c>
      <c r="G139" s="13" t="n">
        <f aca="false">D139*F139</f>
        <v>12</v>
      </c>
      <c r="H139" s="14" t="s">
        <v>261</v>
      </c>
    </row>
    <row r="140" customFormat="false" ht="15" hidden="false" customHeight="false" outlineLevel="0" collapsed="false">
      <c r="A140" s="7" t="n">
        <v>14</v>
      </c>
      <c r="B140" s="7" t="s">
        <v>262</v>
      </c>
      <c r="C140" s="7" t="s">
        <v>143</v>
      </c>
      <c r="D140" s="8" t="n">
        <v>1000</v>
      </c>
      <c r="E140" s="7" t="s">
        <v>55</v>
      </c>
      <c r="F140" s="10" t="n">
        <f aca="false">IFERROR(INDEX('1. Insumos'!$F$5:$F$93,MATCH($C140,'1. Insumos'!$B$5:$B$93,0)),0)</f>
        <v>0.032</v>
      </c>
      <c r="G140" s="13" t="n">
        <f aca="false">D140*F140</f>
        <v>32</v>
      </c>
      <c r="H140" s="14" t="s">
        <v>263</v>
      </c>
    </row>
    <row r="141" customFormat="false" ht="15" hidden="false" customHeight="false" outlineLevel="0" collapsed="false">
      <c r="A141" s="7" t="n">
        <v>14</v>
      </c>
      <c r="B141" s="7" t="s">
        <v>262</v>
      </c>
      <c r="C141" s="7" t="s">
        <v>110</v>
      </c>
      <c r="D141" s="8" t="n">
        <v>250</v>
      </c>
      <c r="E141" s="7" t="s">
        <v>55</v>
      </c>
      <c r="F141" s="10" t="n">
        <f aca="false">IFERROR(INDEX('1. Insumos'!$F$5:$F$93,MATCH($C141,'1. Insumos'!$B$5:$B$93,0)),0)</f>
        <v>0.145</v>
      </c>
      <c r="G141" s="13" t="n">
        <f aca="false">D141*F141</f>
        <v>36.25</v>
      </c>
      <c r="H141" s="14" t="s">
        <v>264</v>
      </c>
    </row>
    <row r="142" customFormat="false" ht="15" hidden="false" customHeight="false" outlineLevel="0" collapsed="false">
      <c r="A142" s="7" t="n">
        <v>14</v>
      </c>
      <c r="B142" s="7" t="s">
        <v>262</v>
      </c>
      <c r="C142" s="7" t="s">
        <v>79</v>
      </c>
      <c r="D142" s="8" t="n">
        <v>15</v>
      </c>
      <c r="E142" s="7" t="s">
        <v>55</v>
      </c>
      <c r="F142" s="10" t="n">
        <f aca="false">IFERROR(INDEX('1. Insumos'!$F$5:$F$93,MATCH($C142,'1. Insumos'!$B$5:$B$93,0)),0)</f>
        <v>0.1</v>
      </c>
      <c r="G142" s="13" t="n">
        <f aca="false">D142*F142</f>
        <v>1.5</v>
      </c>
      <c r="H142" s="14" t="s">
        <v>265</v>
      </c>
    </row>
    <row r="143" customFormat="false" ht="15" hidden="false" customHeight="false" outlineLevel="0" collapsed="false">
      <c r="A143" s="7" t="n">
        <v>14</v>
      </c>
      <c r="B143" s="7" t="s">
        <v>262</v>
      </c>
      <c r="C143" s="7" t="s">
        <v>75</v>
      </c>
      <c r="D143" s="8" t="n">
        <v>140</v>
      </c>
      <c r="E143" s="7" t="s">
        <v>55</v>
      </c>
      <c r="F143" s="10" t="n">
        <f aca="false">IFERROR(INDEX('1. Insumos'!$F$5:$F$93,MATCH($C143,'1. Insumos'!$B$5:$B$93,0)),0)</f>
        <v>0.055</v>
      </c>
      <c r="G143" s="13" t="n">
        <f aca="false">D143*F143</f>
        <v>7.7</v>
      </c>
      <c r="H143" s="14" t="s">
        <v>266</v>
      </c>
    </row>
    <row r="144" customFormat="false" ht="15" hidden="false" customHeight="false" outlineLevel="0" collapsed="false">
      <c r="A144" s="7" t="n">
        <v>14</v>
      </c>
      <c r="B144" s="7" t="s">
        <v>262</v>
      </c>
      <c r="C144" s="7" t="s">
        <v>85</v>
      </c>
      <c r="D144" s="8" t="n">
        <v>4</v>
      </c>
      <c r="E144" s="7" t="s">
        <v>55</v>
      </c>
      <c r="F144" s="10" t="n">
        <f aca="false">IFERROR(INDEX('1. Insumos'!$F$5:$F$93,MATCH($C144,'1. Insumos'!$B$5:$B$93,0)),0)</f>
        <v>0.025</v>
      </c>
      <c r="G144" s="13" t="n">
        <f aca="false">D144*F144</f>
        <v>0.1</v>
      </c>
      <c r="H144" s="14" t="s">
        <v>167</v>
      </c>
    </row>
    <row r="145" customFormat="false" ht="15" hidden="false" customHeight="false" outlineLevel="0" collapsed="false">
      <c r="A145" s="7" t="n">
        <v>14</v>
      </c>
      <c r="B145" s="7" t="s">
        <v>262</v>
      </c>
      <c r="C145" s="7" t="s">
        <v>84</v>
      </c>
      <c r="D145" s="8" t="n">
        <v>6</v>
      </c>
      <c r="E145" s="7" t="s">
        <v>55</v>
      </c>
      <c r="F145" s="10" t="n">
        <f aca="false">IFERROR(INDEX('1. Insumos'!$F$5:$F$93,MATCH($C145,'1. Insumos'!$B$5:$B$93,0)),0)</f>
        <v>0.175</v>
      </c>
      <c r="G145" s="13" t="n">
        <f aca="false">D145*F145</f>
        <v>1.05</v>
      </c>
      <c r="H145" s="14" t="s">
        <v>84</v>
      </c>
    </row>
    <row r="146" customFormat="false" ht="15" hidden="false" customHeight="false" outlineLevel="0" collapsed="false">
      <c r="A146" s="7" t="n">
        <v>14</v>
      </c>
      <c r="B146" s="7" t="s">
        <v>262</v>
      </c>
      <c r="C146" s="7" t="s">
        <v>146</v>
      </c>
      <c r="D146" s="8" t="n">
        <v>350</v>
      </c>
      <c r="E146" s="7" t="s">
        <v>55</v>
      </c>
      <c r="F146" s="10" t="n">
        <f aca="false">IFERROR(INDEX('1. Insumos'!$F$5:$F$93,MATCH($C146,'1. Insumos'!$B$5:$B$93,0)),0)</f>
        <v>0.055</v>
      </c>
      <c r="G146" s="13" t="n">
        <f aca="false">D146*F146</f>
        <v>19.25</v>
      </c>
      <c r="H146" s="14" t="s">
        <v>267</v>
      </c>
    </row>
    <row r="147" customFormat="false" ht="15" hidden="false" customHeight="false" outlineLevel="0" collapsed="false">
      <c r="A147" s="7" t="n">
        <v>15</v>
      </c>
      <c r="B147" s="7" t="s">
        <v>268</v>
      </c>
      <c r="C147" s="7" t="s">
        <v>143</v>
      </c>
      <c r="D147" s="8" t="n">
        <v>1000</v>
      </c>
      <c r="E147" s="7" t="s">
        <v>55</v>
      </c>
      <c r="F147" s="10" t="n">
        <f aca="false">IFERROR(INDEX('1. Insumos'!$F$5:$F$93,MATCH($C147,'1. Insumos'!$B$5:$B$93,0)),0)</f>
        <v>0.032</v>
      </c>
      <c r="G147" s="13" t="n">
        <f aca="false">D147*F147</f>
        <v>32</v>
      </c>
      <c r="H147" s="14" t="s">
        <v>177</v>
      </c>
    </row>
    <row r="148" customFormat="false" ht="15" hidden="false" customHeight="false" outlineLevel="0" collapsed="false">
      <c r="A148" s="7" t="n">
        <v>15</v>
      </c>
      <c r="B148" s="7" t="s">
        <v>268</v>
      </c>
      <c r="C148" s="7" t="s">
        <v>110</v>
      </c>
      <c r="D148" s="8" t="n">
        <v>230</v>
      </c>
      <c r="E148" s="7" t="s">
        <v>55</v>
      </c>
      <c r="F148" s="10" t="n">
        <f aca="false">IFERROR(INDEX('1. Insumos'!$F$5:$F$93,MATCH($C148,'1. Insumos'!$B$5:$B$93,0)),0)</f>
        <v>0.145</v>
      </c>
      <c r="G148" s="13" t="n">
        <f aca="false">D148*F148</f>
        <v>33.35</v>
      </c>
      <c r="H148" s="14" t="s">
        <v>269</v>
      </c>
    </row>
    <row r="149" customFormat="false" ht="15" hidden="false" customHeight="false" outlineLevel="0" collapsed="false">
      <c r="A149" s="7" t="n">
        <v>15</v>
      </c>
      <c r="B149" s="7" t="s">
        <v>268</v>
      </c>
      <c r="C149" s="7" t="s">
        <v>52</v>
      </c>
      <c r="D149" s="8" t="n">
        <v>250</v>
      </c>
      <c r="E149" s="7" t="s">
        <v>47</v>
      </c>
      <c r="F149" s="10" t="n">
        <f aca="false">IFERROR(INDEX('1. Insumos'!$F$5:$F$93,MATCH($C149,'1. Insumos'!$B$5:$B$93,0)),0)</f>
        <v>0.03</v>
      </c>
      <c r="G149" s="13" t="n">
        <f aca="false">D149*F149</f>
        <v>7.5</v>
      </c>
      <c r="H149" s="14" t="s">
        <v>270</v>
      </c>
    </row>
    <row r="150" customFormat="false" ht="15" hidden="false" customHeight="false" outlineLevel="0" collapsed="false">
      <c r="A150" s="7" t="n">
        <v>15</v>
      </c>
      <c r="B150" s="7" t="s">
        <v>268</v>
      </c>
      <c r="C150" s="7" t="s">
        <v>151</v>
      </c>
      <c r="D150" s="8" t="n">
        <v>150</v>
      </c>
      <c r="E150" s="7" t="s">
        <v>55</v>
      </c>
      <c r="F150" s="10" t="n">
        <f aca="false">IFERROR(INDEX('1. Insumos'!$F$5:$F$93,MATCH($C150,'1. Insumos'!$B$5:$B$93,0)),0)</f>
        <v>0.06</v>
      </c>
      <c r="G150" s="13" t="n">
        <f aca="false">D150*F150</f>
        <v>9</v>
      </c>
      <c r="H150" s="14" t="s">
        <v>271</v>
      </c>
    </row>
    <row r="151" customFormat="false" ht="15" hidden="false" customHeight="false" outlineLevel="0" collapsed="false">
      <c r="A151" s="7" t="n">
        <v>15</v>
      </c>
      <c r="B151" s="7" t="s">
        <v>268</v>
      </c>
      <c r="C151" s="7" t="s">
        <v>85</v>
      </c>
      <c r="D151" s="8" t="n">
        <v>15</v>
      </c>
      <c r="E151" s="7" t="s">
        <v>55</v>
      </c>
      <c r="F151" s="10" t="n">
        <f aca="false">IFERROR(INDEX('1. Insumos'!$F$5:$F$93,MATCH($C151,'1. Insumos'!$B$5:$B$93,0)),0)</f>
        <v>0.025</v>
      </c>
      <c r="G151" s="13" t="n">
        <f aca="false">D151*F151</f>
        <v>0.375</v>
      </c>
      <c r="H151" s="14" t="s">
        <v>167</v>
      </c>
    </row>
    <row r="152" customFormat="false" ht="15" hidden="false" customHeight="false" outlineLevel="0" collapsed="false">
      <c r="A152" s="7" t="n">
        <v>15</v>
      </c>
      <c r="B152" s="7" t="s">
        <v>268</v>
      </c>
      <c r="C152" s="7" t="s">
        <v>84</v>
      </c>
      <c r="D152" s="8" t="n">
        <v>5</v>
      </c>
      <c r="E152" s="7" t="s">
        <v>55</v>
      </c>
      <c r="F152" s="10" t="n">
        <f aca="false">IFERROR(INDEX('1. Insumos'!$F$5:$F$93,MATCH($C152,'1. Insumos'!$B$5:$B$93,0)),0)</f>
        <v>0.175</v>
      </c>
      <c r="G152" s="13" t="n">
        <f aca="false">D152*F152</f>
        <v>0.875</v>
      </c>
      <c r="H152" s="14" t="s">
        <v>84</v>
      </c>
    </row>
    <row r="153" customFormat="false" ht="15" hidden="false" customHeight="false" outlineLevel="0" collapsed="false">
      <c r="A153" s="7" t="n">
        <v>15</v>
      </c>
      <c r="B153" s="7" t="s">
        <v>268</v>
      </c>
      <c r="C153" s="7" t="s">
        <v>130</v>
      </c>
      <c r="D153" s="8" t="n">
        <v>350</v>
      </c>
      <c r="E153" s="7" t="s">
        <v>55</v>
      </c>
      <c r="F153" s="10" t="n">
        <f aca="false">IFERROR(INDEX('1. Insumos'!$F$5:$F$93,MATCH($C153,'1. Insumos'!$B$5:$B$93,0)),0)</f>
        <v>0.18</v>
      </c>
      <c r="G153" s="13" t="n">
        <f aca="false">D153*F153</f>
        <v>63</v>
      </c>
      <c r="H153" s="14" t="s">
        <v>272</v>
      </c>
    </row>
    <row r="154" customFormat="false" ht="15" hidden="false" customHeight="false" outlineLevel="0" collapsed="false">
      <c r="A154" s="7" t="n">
        <v>15</v>
      </c>
      <c r="B154" s="7" t="s">
        <v>268</v>
      </c>
      <c r="C154" s="7" t="s">
        <v>98</v>
      </c>
      <c r="D154" s="8" t="n">
        <v>350</v>
      </c>
      <c r="E154" s="7" t="s">
        <v>55</v>
      </c>
      <c r="F154" s="10" t="n">
        <f aca="false">IFERROR(INDEX('1. Insumos'!$F$5:$F$93,MATCH($C154,'1. Insumos'!$B$5:$B$93,0)),0)</f>
        <v>0.04</v>
      </c>
      <c r="G154" s="13" t="n">
        <f aca="false">D154*F154</f>
        <v>14</v>
      </c>
      <c r="H154" s="14" t="s">
        <v>273</v>
      </c>
    </row>
    <row r="155" customFormat="false" ht="15" hidden="false" customHeight="false" outlineLevel="0" collapsed="false">
      <c r="A155" s="7" t="n">
        <v>15</v>
      </c>
      <c r="B155" s="7" t="s">
        <v>268</v>
      </c>
      <c r="C155" s="7" t="s">
        <v>113</v>
      </c>
      <c r="D155" s="8" t="n">
        <v>1</v>
      </c>
      <c r="E155" s="7" t="s">
        <v>64</v>
      </c>
      <c r="F155" s="10" t="n">
        <f aca="false">IFERROR(INDEX('1. Insumos'!$F$5:$F$93,MATCH($C155,'1. Insumos'!$B$5:$B$93,0)),0)</f>
        <v>1.8</v>
      </c>
      <c r="G155" s="13" t="n">
        <f aca="false">D155*F155</f>
        <v>1.8</v>
      </c>
      <c r="H155" s="14" t="s">
        <v>274</v>
      </c>
    </row>
    <row r="156" customFormat="false" ht="15" hidden="false" customHeight="false" outlineLevel="0" collapsed="false">
      <c r="A156" s="7" t="n">
        <v>15</v>
      </c>
      <c r="B156" s="7" t="s">
        <v>268</v>
      </c>
      <c r="C156" s="7" t="s">
        <v>109</v>
      </c>
      <c r="D156" s="8" t="n">
        <v>15</v>
      </c>
      <c r="E156" s="7" t="s">
        <v>47</v>
      </c>
      <c r="F156" s="10" t="n">
        <f aca="false">IFERROR(INDEX('1. Insumos'!$F$5:$F$93,MATCH($C156,'1. Insumos'!$B$5:$B$93,0)),0)</f>
        <v>0.065</v>
      </c>
      <c r="G156" s="13" t="n">
        <f aca="false">D156*F156</f>
        <v>0.975</v>
      </c>
      <c r="H156" s="14" t="s">
        <v>275</v>
      </c>
    </row>
    <row r="157" customFormat="false" ht="15" hidden="false" customHeight="false" outlineLevel="0" collapsed="false">
      <c r="A157" s="7" t="n">
        <v>16</v>
      </c>
      <c r="B157" s="7" t="s">
        <v>276</v>
      </c>
      <c r="C157" s="7" t="s">
        <v>143</v>
      </c>
      <c r="D157" s="8" t="n">
        <v>1000</v>
      </c>
      <c r="E157" s="7" t="s">
        <v>55</v>
      </c>
      <c r="F157" s="10" t="n">
        <f aca="false">IFERROR(INDEX('1. Insumos'!$F$5:$F$93,MATCH($C157,'1. Insumos'!$B$5:$B$93,0)),0)</f>
        <v>0.032</v>
      </c>
      <c r="G157" s="13" t="n">
        <f aca="false">D157*F157</f>
        <v>32</v>
      </c>
      <c r="H157" s="14" t="s">
        <v>277</v>
      </c>
    </row>
    <row r="158" customFormat="false" ht="15" hidden="false" customHeight="false" outlineLevel="0" collapsed="false">
      <c r="A158" s="7" t="n">
        <v>16</v>
      </c>
      <c r="B158" s="7" t="s">
        <v>276</v>
      </c>
      <c r="C158" s="7" t="s">
        <v>111</v>
      </c>
      <c r="D158" s="8" t="n">
        <v>260</v>
      </c>
      <c r="E158" s="7" t="s">
        <v>55</v>
      </c>
      <c r="F158" s="10" t="n">
        <f aca="false">IFERROR(INDEX('1. Insumos'!$F$5:$F$93,MATCH($C158,'1. Insumos'!$B$5:$B$93,0)),0)</f>
        <v>0.26</v>
      </c>
      <c r="G158" s="13" t="n">
        <f aca="false">D158*F158</f>
        <v>67.6</v>
      </c>
      <c r="H158" s="14" t="s">
        <v>278</v>
      </c>
    </row>
    <row r="159" customFormat="false" ht="15" hidden="false" customHeight="false" outlineLevel="0" collapsed="false">
      <c r="A159" s="7" t="n">
        <v>16</v>
      </c>
      <c r="B159" s="7" t="s">
        <v>276</v>
      </c>
      <c r="C159" s="7" t="s">
        <v>52</v>
      </c>
      <c r="D159" s="8" t="n">
        <v>250</v>
      </c>
      <c r="E159" s="7" t="s">
        <v>47</v>
      </c>
      <c r="F159" s="10" t="n">
        <f aca="false">IFERROR(INDEX('1. Insumos'!$F$5:$F$93,MATCH($C159,'1. Insumos'!$B$5:$B$93,0)),0)</f>
        <v>0.03</v>
      </c>
      <c r="G159" s="13" t="n">
        <f aca="false">D159*F159</f>
        <v>7.5</v>
      </c>
      <c r="H159" s="14" t="s">
        <v>279</v>
      </c>
    </row>
    <row r="160" customFormat="false" ht="15" hidden="false" customHeight="false" outlineLevel="0" collapsed="false">
      <c r="A160" s="7" t="n">
        <v>16</v>
      </c>
      <c r="B160" s="7" t="s">
        <v>276</v>
      </c>
      <c r="C160" s="7" t="s">
        <v>85</v>
      </c>
      <c r="D160" s="8" t="n">
        <v>17</v>
      </c>
      <c r="E160" s="7" t="s">
        <v>55</v>
      </c>
      <c r="F160" s="10" t="n">
        <f aca="false">IFERROR(INDEX('1. Insumos'!$F$5:$F$93,MATCH($C160,'1. Insumos'!$B$5:$B$93,0)),0)</f>
        <v>0.025</v>
      </c>
      <c r="G160" s="13" t="n">
        <f aca="false">D160*F160</f>
        <v>0.425</v>
      </c>
      <c r="H160" s="14" t="s">
        <v>167</v>
      </c>
    </row>
    <row r="161" customFormat="false" ht="15" hidden="false" customHeight="false" outlineLevel="0" collapsed="false">
      <c r="A161" s="7" t="n">
        <v>16</v>
      </c>
      <c r="B161" s="7" t="s">
        <v>276</v>
      </c>
      <c r="C161" s="7" t="s">
        <v>84</v>
      </c>
      <c r="D161" s="8" t="n">
        <v>5</v>
      </c>
      <c r="E161" s="7" t="s">
        <v>55</v>
      </c>
      <c r="F161" s="10" t="n">
        <f aca="false">IFERROR(INDEX('1. Insumos'!$F$5:$F$93,MATCH($C161,'1. Insumos'!$B$5:$B$93,0)),0)</f>
        <v>0.175</v>
      </c>
      <c r="G161" s="13" t="n">
        <f aca="false">D161*F161</f>
        <v>0.875</v>
      </c>
      <c r="H161" s="14" t="s">
        <v>84</v>
      </c>
    </row>
    <row r="162" customFormat="false" ht="15" hidden="false" customHeight="false" outlineLevel="0" collapsed="false">
      <c r="A162" s="7" t="n">
        <v>16</v>
      </c>
      <c r="B162" s="7" t="s">
        <v>276</v>
      </c>
      <c r="C162" s="7" t="s">
        <v>129</v>
      </c>
      <c r="D162" s="8" t="n">
        <v>350</v>
      </c>
      <c r="E162" s="7" t="s">
        <v>55</v>
      </c>
      <c r="F162" s="10" t="n">
        <f aca="false">IFERROR(INDEX('1. Insumos'!$F$5:$F$93,MATCH($C162,'1. Insumos'!$B$5:$B$93,0)),0)</f>
        <v>0.6</v>
      </c>
      <c r="G162" s="13" t="n">
        <f aca="false">D162*F162</f>
        <v>210</v>
      </c>
      <c r="H162" s="14" t="s">
        <v>280</v>
      </c>
    </row>
    <row r="163" customFormat="false" ht="15" hidden="false" customHeight="false" outlineLevel="0" collapsed="false">
      <c r="A163" s="7" t="n">
        <v>16</v>
      </c>
      <c r="B163" s="7" t="s">
        <v>276</v>
      </c>
      <c r="C163" s="7" t="s">
        <v>94</v>
      </c>
      <c r="D163" s="8" t="n">
        <v>5</v>
      </c>
      <c r="E163" s="7" t="s">
        <v>64</v>
      </c>
      <c r="F163" s="10" t="n">
        <f aca="false">IFERROR(INDEX('1. Insumos'!$F$5:$F$93,MATCH($C163,'1. Insumos'!$B$5:$B$93,0)),0)</f>
        <v>1.1</v>
      </c>
      <c r="G163" s="13" t="n">
        <f aca="false">D163*F163</f>
        <v>5.5</v>
      </c>
      <c r="H163" s="14" t="s">
        <v>281</v>
      </c>
    </row>
    <row r="164" customFormat="false" ht="15" hidden="false" customHeight="false" outlineLevel="0" collapsed="false">
      <c r="A164" s="7" t="n">
        <v>16</v>
      </c>
      <c r="B164" s="7" t="s">
        <v>276</v>
      </c>
      <c r="C164" s="7" t="s">
        <v>90</v>
      </c>
      <c r="D164" s="8" t="n">
        <v>1</v>
      </c>
      <c r="E164" s="7" t="s">
        <v>64</v>
      </c>
      <c r="F164" s="10" t="n">
        <f aca="false">IFERROR(INDEX('1. Insumos'!$F$5:$F$93,MATCH($C164,'1. Insumos'!$B$5:$B$93,0)),0)</f>
        <v>3.75</v>
      </c>
      <c r="G164" s="13" t="n">
        <f aca="false">D164*F164</f>
        <v>3.75</v>
      </c>
      <c r="H164" s="14" t="s">
        <v>282</v>
      </c>
    </row>
    <row r="165" customFormat="false" ht="15" hidden="false" customHeight="false" outlineLevel="0" collapsed="false">
      <c r="A165" s="7" t="n">
        <v>16</v>
      </c>
      <c r="B165" s="7" t="s">
        <v>276</v>
      </c>
      <c r="C165" s="7" t="s">
        <v>88</v>
      </c>
      <c r="D165" s="8" t="n">
        <v>2</v>
      </c>
      <c r="E165" s="7" t="s">
        <v>64</v>
      </c>
      <c r="F165" s="10" t="n">
        <f aca="false">IFERROR(INDEX('1. Insumos'!$F$5:$F$93,MATCH($C165,'1. Insumos'!$B$5:$B$93,0)),0)</f>
        <v>0.875</v>
      </c>
      <c r="G165" s="13" t="n">
        <f aca="false">D165*F165</f>
        <v>1.75</v>
      </c>
      <c r="H165" s="14" t="s">
        <v>283</v>
      </c>
    </row>
    <row r="166" customFormat="false" ht="15" hidden="false" customHeight="false" outlineLevel="0" collapsed="false">
      <c r="A166" s="7" t="n">
        <v>16</v>
      </c>
      <c r="B166" s="7" t="s">
        <v>276</v>
      </c>
      <c r="C166" s="7" t="s">
        <v>114</v>
      </c>
      <c r="D166" s="8" t="n">
        <v>1</v>
      </c>
      <c r="E166" s="7" t="s">
        <v>64</v>
      </c>
      <c r="F166" s="10" t="n">
        <f aca="false">IFERROR(INDEX('1. Insumos'!$F$5:$F$93,MATCH($C166,'1. Insumos'!$B$5:$B$93,0)),0)</f>
        <v>2</v>
      </c>
      <c r="G166" s="13" t="n">
        <f aca="false">D166*F166</f>
        <v>2</v>
      </c>
      <c r="H166" s="14" t="s">
        <v>284</v>
      </c>
    </row>
    <row r="167" customFormat="false" ht="15" hidden="false" customHeight="false" outlineLevel="0" collapsed="false">
      <c r="A167" s="7" t="n">
        <v>17</v>
      </c>
      <c r="B167" s="7" t="s">
        <v>285</v>
      </c>
      <c r="C167" s="7" t="s">
        <v>143</v>
      </c>
      <c r="D167" s="8" t="n">
        <v>1000</v>
      </c>
      <c r="E167" s="7" t="s">
        <v>55</v>
      </c>
      <c r="F167" s="10" t="n">
        <f aca="false">IFERROR(INDEX('1. Insumos'!$F$5:$F$93,MATCH($C167,'1. Insumos'!$B$5:$B$93,0)),0)</f>
        <v>0.032</v>
      </c>
      <c r="G167" s="13" t="n">
        <f aca="false">D167*F167</f>
        <v>32</v>
      </c>
      <c r="H167" s="14" t="s">
        <v>177</v>
      </c>
    </row>
    <row r="168" customFormat="false" ht="15" hidden="false" customHeight="false" outlineLevel="0" collapsed="false">
      <c r="A168" s="7" t="n">
        <v>17</v>
      </c>
      <c r="B168" s="7" t="s">
        <v>285</v>
      </c>
      <c r="C168" s="7" t="s">
        <v>110</v>
      </c>
      <c r="D168" s="8" t="n">
        <v>240</v>
      </c>
      <c r="E168" s="7" t="s">
        <v>55</v>
      </c>
      <c r="F168" s="10" t="n">
        <f aca="false">IFERROR(INDEX('1. Insumos'!$F$5:$F$93,MATCH($C168,'1. Insumos'!$B$5:$B$93,0)),0)</f>
        <v>0.145</v>
      </c>
      <c r="G168" s="13" t="n">
        <f aca="false">D168*F168</f>
        <v>34.8</v>
      </c>
      <c r="H168" s="14" t="s">
        <v>286</v>
      </c>
    </row>
    <row r="169" customFormat="false" ht="15" hidden="false" customHeight="false" outlineLevel="0" collapsed="false">
      <c r="A169" s="7" t="n">
        <v>17</v>
      </c>
      <c r="B169" s="7" t="s">
        <v>285</v>
      </c>
      <c r="C169" s="7" t="s">
        <v>52</v>
      </c>
      <c r="D169" s="8" t="n">
        <v>250</v>
      </c>
      <c r="E169" s="7" t="s">
        <v>47</v>
      </c>
      <c r="F169" s="10" t="n">
        <f aca="false">IFERROR(INDEX('1. Insumos'!$F$5:$F$93,MATCH($C169,'1. Insumos'!$B$5:$B$93,0)),0)</f>
        <v>0.03</v>
      </c>
      <c r="G169" s="13" t="n">
        <f aca="false">D169*F169</f>
        <v>7.5</v>
      </c>
      <c r="H169" s="14" t="s">
        <v>287</v>
      </c>
    </row>
    <row r="170" customFormat="false" ht="15" hidden="false" customHeight="false" outlineLevel="0" collapsed="false">
      <c r="A170" s="7" t="n">
        <v>17</v>
      </c>
      <c r="B170" s="7" t="s">
        <v>285</v>
      </c>
      <c r="C170" s="7" t="s">
        <v>85</v>
      </c>
      <c r="D170" s="8" t="n">
        <v>15</v>
      </c>
      <c r="E170" s="7" t="s">
        <v>55</v>
      </c>
      <c r="F170" s="10" t="n">
        <f aca="false">IFERROR(INDEX('1. Insumos'!$F$5:$F$93,MATCH($C170,'1. Insumos'!$B$5:$B$93,0)),0)</f>
        <v>0.025</v>
      </c>
      <c r="G170" s="13" t="n">
        <f aca="false">D170*F170</f>
        <v>0.375</v>
      </c>
      <c r="H170" s="14" t="s">
        <v>167</v>
      </c>
    </row>
    <row r="171" customFormat="false" ht="15" hidden="false" customHeight="false" outlineLevel="0" collapsed="false">
      <c r="A171" s="7" t="n">
        <v>17</v>
      </c>
      <c r="B171" s="7" t="s">
        <v>285</v>
      </c>
      <c r="C171" s="7" t="s">
        <v>84</v>
      </c>
      <c r="D171" s="8" t="n">
        <v>5</v>
      </c>
      <c r="E171" s="7" t="s">
        <v>55</v>
      </c>
      <c r="F171" s="10" t="n">
        <f aca="false">IFERROR(INDEX('1. Insumos'!$F$5:$F$93,MATCH($C171,'1. Insumos'!$B$5:$B$93,0)),0)</f>
        <v>0.175</v>
      </c>
      <c r="G171" s="13" t="n">
        <f aca="false">D171*F171</f>
        <v>0.875</v>
      </c>
      <c r="H171" s="14" t="s">
        <v>84</v>
      </c>
    </row>
    <row r="172" customFormat="false" ht="15" hidden="false" customHeight="false" outlineLevel="0" collapsed="false">
      <c r="A172" s="7" t="n">
        <v>17</v>
      </c>
      <c r="B172" s="7" t="s">
        <v>285</v>
      </c>
      <c r="C172" s="7" t="s">
        <v>89</v>
      </c>
      <c r="D172" s="8" t="n">
        <v>400</v>
      </c>
      <c r="E172" s="7" t="s">
        <v>55</v>
      </c>
      <c r="F172" s="10" t="n">
        <f aca="false">IFERROR(INDEX('1. Insumos'!$F$5:$F$93,MATCH($C172,'1. Insumos'!$B$5:$B$93,0)),0)</f>
        <v>0.03</v>
      </c>
      <c r="G172" s="13" t="n">
        <f aca="false">D172*F172</f>
        <v>12</v>
      </c>
      <c r="H172" s="14" t="s">
        <v>288</v>
      </c>
    </row>
    <row r="173" customFormat="false" ht="15" hidden="false" customHeight="false" outlineLevel="0" collapsed="false">
      <c r="A173" s="7" t="n">
        <v>17</v>
      </c>
      <c r="B173" s="7" t="s">
        <v>285</v>
      </c>
      <c r="C173" s="7" t="s">
        <v>97</v>
      </c>
      <c r="D173" s="8" t="n">
        <v>3</v>
      </c>
      <c r="E173" s="7" t="s">
        <v>64</v>
      </c>
      <c r="F173" s="10" t="n">
        <f aca="false">IFERROR(INDEX('1. Insumos'!$F$5:$F$93,MATCH($C173,'1. Insumos'!$B$5:$B$93,0)),0)</f>
        <v>2.91666666666667</v>
      </c>
      <c r="G173" s="13" t="n">
        <f aca="false">D173*F173</f>
        <v>8.75</v>
      </c>
      <c r="H173" s="14" t="s">
        <v>289</v>
      </c>
    </row>
    <row r="174" customFormat="false" ht="15" hidden="false" customHeight="false" outlineLevel="0" collapsed="false">
      <c r="A174" s="7" t="n">
        <v>17</v>
      </c>
      <c r="B174" s="7" t="s">
        <v>285</v>
      </c>
      <c r="C174" s="7" t="s">
        <v>90</v>
      </c>
      <c r="D174" s="8" t="n">
        <v>0.5</v>
      </c>
      <c r="E174" s="7" t="s">
        <v>64</v>
      </c>
      <c r="F174" s="10" t="n">
        <f aca="false">IFERROR(INDEX('1. Insumos'!$F$5:$F$93,MATCH($C174,'1. Insumos'!$B$5:$B$93,0)),0)</f>
        <v>3.75</v>
      </c>
      <c r="G174" s="13" t="n">
        <f aca="false">D174*F174</f>
        <v>1.875</v>
      </c>
      <c r="H174" s="14" t="s">
        <v>290</v>
      </c>
    </row>
    <row r="175" customFormat="false" ht="15" hidden="false" customHeight="false" outlineLevel="0" collapsed="false">
      <c r="A175" s="7" t="n">
        <v>17</v>
      </c>
      <c r="B175" s="7" t="s">
        <v>285</v>
      </c>
      <c r="C175" s="7" t="s">
        <v>130</v>
      </c>
      <c r="D175" s="8" t="n">
        <v>350</v>
      </c>
      <c r="E175" s="7" t="s">
        <v>55</v>
      </c>
      <c r="F175" s="10" t="n">
        <f aca="false">IFERROR(INDEX('1. Insumos'!$F$5:$F$93,MATCH($C175,'1. Insumos'!$B$5:$B$93,0)),0)</f>
        <v>0.18</v>
      </c>
      <c r="G175" s="13" t="n">
        <f aca="false">D175*F175</f>
        <v>63</v>
      </c>
      <c r="H175" s="14" t="s">
        <v>291</v>
      </c>
    </row>
    <row r="176" customFormat="false" ht="15" hidden="false" customHeight="false" outlineLevel="0" collapsed="false">
      <c r="A176" s="7" t="n">
        <v>17</v>
      </c>
      <c r="B176" s="7" t="s">
        <v>285</v>
      </c>
      <c r="C176" s="7" t="s">
        <v>124</v>
      </c>
      <c r="D176" s="8" t="n">
        <v>80</v>
      </c>
      <c r="E176" s="7" t="s">
        <v>47</v>
      </c>
      <c r="F176" s="10" t="n">
        <f aca="false">IFERROR(INDEX('1. Insumos'!$F$5:$F$93,MATCH($C176,'1. Insumos'!$B$5:$B$93,0)),0)</f>
        <v>0.15</v>
      </c>
      <c r="G176" s="13" t="n">
        <f aca="false">D176*F176</f>
        <v>12</v>
      </c>
      <c r="H176" s="14" t="s">
        <v>292</v>
      </c>
    </row>
    <row r="177" customFormat="false" ht="15" hidden="false" customHeight="false" outlineLevel="0" collapsed="false">
      <c r="A177" s="7" t="n">
        <v>17</v>
      </c>
      <c r="B177" s="7" t="s">
        <v>285</v>
      </c>
      <c r="C177" s="7" t="s">
        <v>95</v>
      </c>
      <c r="D177" s="8" t="n">
        <v>2</v>
      </c>
      <c r="E177" s="7" t="s">
        <v>64</v>
      </c>
      <c r="F177" s="10" t="n">
        <f aca="false">IFERROR(INDEX('1. Insumos'!$F$5:$F$93,MATCH($C177,'1. Insumos'!$B$5:$B$93,0)),0)</f>
        <v>3.5</v>
      </c>
      <c r="G177" s="13" t="n">
        <f aca="false">D177*F177</f>
        <v>7</v>
      </c>
      <c r="H177" s="14" t="s">
        <v>293</v>
      </c>
    </row>
    <row r="178" customFormat="false" ht="15" hidden="false" customHeight="false" outlineLevel="0" collapsed="false">
      <c r="A178" s="7" t="n">
        <v>17</v>
      </c>
      <c r="B178" s="7" t="s">
        <v>285</v>
      </c>
      <c r="C178" s="7" t="s">
        <v>111</v>
      </c>
      <c r="D178" s="8" t="n">
        <v>20</v>
      </c>
      <c r="E178" s="7" t="s">
        <v>55</v>
      </c>
      <c r="F178" s="10" t="n">
        <f aca="false">IFERROR(INDEX('1. Insumos'!$F$5:$F$93,MATCH($C178,'1. Insumos'!$B$5:$B$93,0)),0)</f>
        <v>0.26</v>
      </c>
      <c r="G178" s="13" t="n">
        <f aca="false">D178*F178</f>
        <v>5.2</v>
      </c>
      <c r="H178" s="14" t="s">
        <v>294</v>
      </c>
    </row>
    <row r="179" customFormat="false" ht="15" hidden="false" customHeight="false" outlineLevel="0" collapsed="false">
      <c r="A179" s="7" t="n">
        <v>18</v>
      </c>
      <c r="B179" s="7" t="s">
        <v>295</v>
      </c>
      <c r="C179" s="7" t="s">
        <v>143</v>
      </c>
      <c r="D179" s="8" t="n">
        <v>1000</v>
      </c>
      <c r="E179" s="7" t="s">
        <v>55</v>
      </c>
      <c r="F179" s="10" t="n">
        <f aca="false">IFERROR(INDEX('1. Insumos'!$F$5:$F$93,MATCH($C179,'1. Insumos'!$B$5:$B$93,0)),0)</f>
        <v>0.032</v>
      </c>
      <c r="G179" s="13" t="n">
        <f aca="false">D179*F179</f>
        <v>32</v>
      </c>
      <c r="H179" s="14" t="s">
        <v>163</v>
      </c>
    </row>
    <row r="180" customFormat="false" ht="15" hidden="false" customHeight="false" outlineLevel="0" collapsed="false">
      <c r="A180" s="7" t="n">
        <v>18</v>
      </c>
      <c r="B180" s="7" t="s">
        <v>295</v>
      </c>
      <c r="C180" s="7" t="s">
        <v>110</v>
      </c>
      <c r="D180" s="8" t="n">
        <v>275</v>
      </c>
      <c r="E180" s="7" t="s">
        <v>55</v>
      </c>
      <c r="F180" s="10" t="n">
        <f aca="false">IFERROR(INDEX('1. Insumos'!$F$5:$F$93,MATCH($C180,'1. Insumos'!$B$5:$B$93,0)),0)</f>
        <v>0.145</v>
      </c>
      <c r="G180" s="13" t="n">
        <f aca="false">D180*F180</f>
        <v>39.875</v>
      </c>
      <c r="H180" s="14" t="s">
        <v>164</v>
      </c>
    </row>
    <row r="181" customFormat="false" ht="15" hidden="false" customHeight="false" outlineLevel="0" collapsed="false">
      <c r="A181" s="7" t="n">
        <v>18</v>
      </c>
      <c r="B181" s="7" t="s">
        <v>295</v>
      </c>
      <c r="C181" s="7" t="s">
        <v>49</v>
      </c>
      <c r="D181" s="8" t="n">
        <v>200</v>
      </c>
      <c r="E181" s="7" t="s">
        <v>47</v>
      </c>
      <c r="F181" s="10" t="n">
        <f aca="false">IFERROR(INDEX('1. Insumos'!$F$5:$F$93,MATCH($C181,'1. Insumos'!$B$5:$B$93,0)),0)</f>
        <v>0.032</v>
      </c>
      <c r="G181" s="13" t="n">
        <f aca="false">D181*F181</f>
        <v>6.4</v>
      </c>
      <c r="H181" s="14" t="s">
        <v>296</v>
      </c>
    </row>
    <row r="182" customFormat="false" ht="15" hidden="false" customHeight="false" outlineLevel="0" collapsed="false">
      <c r="A182" s="7" t="n">
        <v>18</v>
      </c>
      <c r="B182" s="7" t="s">
        <v>295</v>
      </c>
      <c r="C182" s="7" t="s">
        <v>148</v>
      </c>
      <c r="D182" s="8" t="n">
        <v>60</v>
      </c>
      <c r="E182" s="7" t="s">
        <v>47</v>
      </c>
      <c r="F182" s="10" t="n">
        <f aca="false">IFERROR(INDEX('1. Insumos'!$F$5:$F$93,MATCH($C182,'1. Insumos'!$B$5:$B$93,0)),0)</f>
        <v>0</v>
      </c>
      <c r="G182" s="13" t="n">
        <f aca="false">D182*F182</f>
        <v>0</v>
      </c>
      <c r="H182" s="14" t="s">
        <v>297</v>
      </c>
    </row>
    <row r="183" customFormat="false" ht="15" hidden="false" customHeight="false" outlineLevel="0" collapsed="false">
      <c r="A183" s="7" t="n">
        <v>18</v>
      </c>
      <c r="B183" s="7" t="s">
        <v>295</v>
      </c>
      <c r="C183" s="7" t="s">
        <v>85</v>
      </c>
      <c r="D183" s="8" t="n">
        <v>16</v>
      </c>
      <c r="E183" s="7" t="s">
        <v>55</v>
      </c>
      <c r="F183" s="10" t="n">
        <f aca="false">IFERROR(INDEX('1. Insumos'!$F$5:$F$93,MATCH($C183,'1. Insumos'!$B$5:$B$93,0)),0)</f>
        <v>0.025</v>
      </c>
      <c r="G183" s="13" t="n">
        <f aca="false">D183*F183</f>
        <v>0.4</v>
      </c>
      <c r="H183" s="14" t="s">
        <v>167</v>
      </c>
    </row>
    <row r="184" customFormat="false" ht="15" hidden="false" customHeight="false" outlineLevel="0" collapsed="false">
      <c r="A184" s="7" t="n">
        <v>18</v>
      </c>
      <c r="B184" s="7" t="s">
        <v>295</v>
      </c>
      <c r="C184" s="7" t="s">
        <v>84</v>
      </c>
      <c r="D184" s="8" t="n">
        <v>5</v>
      </c>
      <c r="E184" s="7" t="s">
        <v>55</v>
      </c>
      <c r="F184" s="10" t="n">
        <f aca="false">IFERROR(INDEX('1. Insumos'!$F$5:$F$93,MATCH($C184,'1. Insumos'!$B$5:$B$93,0)),0)</f>
        <v>0.175</v>
      </c>
      <c r="G184" s="13" t="n">
        <f aca="false">D184*F184</f>
        <v>0.875</v>
      </c>
      <c r="H184" s="14" t="s">
        <v>84</v>
      </c>
    </row>
    <row r="185" customFormat="false" ht="15" hidden="false" customHeight="false" outlineLevel="0" collapsed="false">
      <c r="A185" s="7" t="n">
        <v>18</v>
      </c>
      <c r="B185" s="7" t="s">
        <v>295</v>
      </c>
      <c r="C185" s="7" t="s">
        <v>61</v>
      </c>
      <c r="D185" s="8" t="n">
        <v>550</v>
      </c>
      <c r="E185" s="7" t="s">
        <v>55</v>
      </c>
      <c r="F185" s="10" t="n">
        <f aca="false">IFERROR(INDEX('1. Insumos'!$F$5:$F$93,MATCH($C185,'1. Insumos'!$B$5:$B$93,0)),0)</f>
        <v>0.185</v>
      </c>
      <c r="G185" s="13" t="n">
        <f aca="false">D185*F185</f>
        <v>101.75</v>
      </c>
      <c r="H185" s="14" t="s">
        <v>298</v>
      </c>
    </row>
    <row r="186" customFormat="false" ht="15" hidden="false" customHeight="false" outlineLevel="0" collapsed="false">
      <c r="A186" s="7" t="n">
        <v>18</v>
      </c>
      <c r="B186" s="7" t="s">
        <v>295</v>
      </c>
      <c r="C186" s="7" t="s">
        <v>69</v>
      </c>
      <c r="D186" s="8" t="n">
        <v>6</v>
      </c>
      <c r="E186" s="7" t="s">
        <v>64</v>
      </c>
      <c r="F186" s="10" t="n">
        <f aca="false">IFERROR(INDEX('1. Insumos'!$F$5:$F$93,MATCH($C186,'1. Insumos'!$B$5:$B$93,0)),0)</f>
        <v>1.5</v>
      </c>
      <c r="G186" s="13" t="n">
        <f aca="false">D186*F186</f>
        <v>9</v>
      </c>
      <c r="H186" s="14" t="s">
        <v>299</v>
      </c>
    </row>
    <row r="187" customFormat="false" ht="15" hidden="false" customHeight="false" outlineLevel="0" collapsed="false">
      <c r="A187" s="7" t="n">
        <v>18</v>
      </c>
      <c r="B187" s="7" t="s">
        <v>295</v>
      </c>
      <c r="C187" s="7" t="s">
        <v>88</v>
      </c>
      <c r="D187" s="8" t="n">
        <v>3</v>
      </c>
      <c r="E187" s="7" t="s">
        <v>64</v>
      </c>
      <c r="F187" s="10" t="n">
        <f aca="false">IFERROR(INDEX('1. Insumos'!$F$5:$F$93,MATCH($C187,'1. Insumos'!$B$5:$B$93,0)),0)</f>
        <v>0.875</v>
      </c>
      <c r="G187" s="13" t="n">
        <f aca="false">D187*F187</f>
        <v>2.625</v>
      </c>
      <c r="H187" s="14" t="s">
        <v>171</v>
      </c>
    </row>
    <row r="188" customFormat="false" ht="15" hidden="false" customHeight="false" outlineLevel="0" collapsed="false">
      <c r="A188" s="7" t="n">
        <v>18</v>
      </c>
      <c r="B188" s="7" t="s">
        <v>295</v>
      </c>
      <c r="C188" s="7" t="s">
        <v>82</v>
      </c>
      <c r="D188" s="8" t="n">
        <v>1</v>
      </c>
      <c r="E188" s="7" t="s">
        <v>55</v>
      </c>
      <c r="F188" s="10" t="n">
        <f aca="false">IFERROR(INDEX('1. Insumos'!$F$5:$F$93,MATCH($C188,'1. Insumos'!$B$5:$B$93,0)),0)</f>
        <v>0.4</v>
      </c>
      <c r="G188" s="13" t="n">
        <f aca="false">D188*F188</f>
        <v>0.4</v>
      </c>
      <c r="H188" s="14" t="s">
        <v>300</v>
      </c>
    </row>
    <row r="189" customFormat="false" ht="15" hidden="false" customHeight="false" outlineLevel="0" collapsed="false">
      <c r="A189" s="7" t="n">
        <v>19</v>
      </c>
      <c r="B189" s="7" t="s">
        <v>301</v>
      </c>
      <c r="C189" s="7" t="s">
        <v>143</v>
      </c>
      <c r="D189" s="8" t="n">
        <v>800</v>
      </c>
      <c r="E189" s="7" t="s">
        <v>55</v>
      </c>
      <c r="F189" s="10" t="n">
        <f aca="false">IFERROR(INDEX('1. Insumos'!$F$5:$F$93,MATCH($C189,'1. Insumos'!$B$5:$B$93,0)),0)</f>
        <v>0.032</v>
      </c>
      <c r="G189" s="13" t="n">
        <f aca="false">D189*F189</f>
        <v>25.6</v>
      </c>
      <c r="H189" s="14" t="s">
        <v>302</v>
      </c>
    </row>
    <row r="190" customFormat="false" ht="15" hidden="false" customHeight="false" outlineLevel="0" collapsed="false">
      <c r="A190" s="7" t="n">
        <v>19</v>
      </c>
      <c r="B190" s="7" t="s">
        <v>301</v>
      </c>
      <c r="C190" s="7" t="s">
        <v>110</v>
      </c>
      <c r="D190" s="8" t="n">
        <v>250</v>
      </c>
      <c r="E190" s="7" t="s">
        <v>55</v>
      </c>
      <c r="F190" s="10" t="n">
        <f aca="false">IFERROR(INDEX('1. Insumos'!$F$5:$F$93,MATCH($C190,'1. Insumos'!$B$5:$B$93,0)),0)</f>
        <v>0.145</v>
      </c>
      <c r="G190" s="13" t="n">
        <f aca="false">D190*F190</f>
        <v>36.25</v>
      </c>
      <c r="H190" s="14" t="s">
        <v>303</v>
      </c>
    </row>
    <row r="191" customFormat="false" ht="15" hidden="false" customHeight="false" outlineLevel="0" collapsed="false">
      <c r="A191" s="7" t="n">
        <v>19</v>
      </c>
      <c r="B191" s="7" t="s">
        <v>301</v>
      </c>
      <c r="C191" s="7" t="s">
        <v>52</v>
      </c>
      <c r="D191" s="8" t="n">
        <v>350</v>
      </c>
      <c r="E191" s="7" t="s">
        <v>47</v>
      </c>
      <c r="F191" s="10" t="n">
        <f aca="false">IFERROR(INDEX('1. Insumos'!$F$5:$F$93,MATCH($C191,'1. Insumos'!$B$5:$B$93,0)),0)</f>
        <v>0.03</v>
      </c>
      <c r="G191" s="13" t="n">
        <f aca="false">D191*F191</f>
        <v>10.5</v>
      </c>
      <c r="H191" s="14" t="s">
        <v>304</v>
      </c>
    </row>
    <row r="192" customFormat="false" ht="15" hidden="false" customHeight="false" outlineLevel="0" collapsed="false">
      <c r="A192" s="7" t="n">
        <v>19</v>
      </c>
      <c r="B192" s="7" t="s">
        <v>301</v>
      </c>
      <c r="C192" s="7" t="s">
        <v>85</v>
      </c>
      <c r="D192" s="8" t="n">
        <v>18</v>
      </c>
      <c r="E192" s="7" t="s">
        <v>55</v>
      </c>
      <c r="F192" s="10" t="n">
        <f aca="false">IFERROR(INDEX('1. Insumos'!$F$5:$F$93,MATCH($C192,'1. Insumos'!$B$5:$B$93,0)),0)</f>
        <v>0.025</v>
      </c>
      <c r="G192" s="13" t="n">
        <f aca="false">D192*F192</f>
        <v>0.45</v>
      </c>
      <c r="H192" s="14" t="s">
        <v>204</v>
      </c>
    </row>
    <row r="193" customFormat="false" ht="15" hidden="false" customHeight="false" outlineLevel="0" collapsed="false">
      <c r="A193" s="7" t="n">
        <v>19</v>
      </c>
      <c r="B193" s="7" t="s">
        <v>301</v>
      </c>
      <c r="C193" s="7" t="s">
        <v>63</v>
      </c>
      <c r="D193" s="8" t="n">
        <v>8</v>
      </c>
      <c r="E193" s="7" t="s">
        <v>64</v>
      </c>
      <c r="F193" s="10" t="n">
        <f aca="false">IFERROR(INDEX('1. Insumos'!$F$5:$F$93,MATCH($C193,'1. Insumos'!$B$5:$B$93,0)),0)</f>
        <v>2.33333333333333</v>
      </c>
      <c r="G193" s="13" t="n">
        <f aca="false">D193*F193</f>
        <v>18.6666666666667</v>
      </c>
      <c r="H193" s="14" t="s">
        <v>305</v>
      </c>
    </row>
    <row r="194" customFormat="false" ht="15" hidden="false" customHeight="false" outlineLevel="0" collapsed="false">
      <c r="A194" s="7" t="n">
        <v>19</v>
      </c>
      <c r="B194" s="7" t="s">
        <v>301</v>
      </c>
      <c r="C194" s="7" t="s">
        <v>61</v>
      </c>
      <c r="D194" s="8" t="n">
        <v>500</v>
      </c>
      <c r="E194" s="7" t="s">
        <v>55</v>
      </c>
      <c r="F194" s="10" t="n">
        <f aca="false">IFERROR(INDEX('1. Insumos'!$F$5:$F$93,MATCH($C194,'1. Insumos'!$B$5:$B$93,0)),0)</f>
        <v>0.185</v>
      </c>
      <c r="G194" s="13" t="n">
        <f aca="false">D194*F194</f>
        <v>92.5</v>
      </c>
      <c r="H194" s="14" t="s">
        <v>306</v>
      </c>
    </row>
    <row r="195" customFormat="false" ht="15" hidden="false" customHeight="false" outlineLevel="0" collapsed="false">
      <c r="A195" s="7" t="n">
        <v>19</v>
      </c>
      <c r="B195" s="7" t="s">
        <v>301</v>
      </c>
      <c r="C195" s="7" t="s">
        <v>60</v>
      </c>
      <c r="D195" s="8" t="n">
        <v>400</v>
      </c>
      <c r="E195" s="7" t="s">
        <v>55</v>
      </c>
      <c r="F195" s="10" t="n">
        <f aca="false">IFERROR(INDEX('1. Insumos'!$F$5:$F$93,MATCH($C195,'1. Insumos'!$B$5:$B$93,0)),0)</f>
        <v>0.165</v>
      </c>
      <c r="G195" s="13" t="n">
        <f aca="false">D195*F195</f>
        <v>66</v>
      </c>
      <c r="H195" s="14" t="s">
        <v>307</v>
      </c>
    </row>
    <row r="196" customFormat="false" ht="15" hidden="false" customHeight="false" outlineLevel="0" collapsed="false">
      <c r="A196" s="7" t="n">
        <v>19</v>
      </c>
      <c r="B196" s="7" t="s">
        <v>301</v>
      </c>
      <c r="C196" s="7" t="s">
        <v>100</v>
      </c>
      <c r="D196" s="8" t="n">
        <v>150</v>
      </c>
      <c r="E196" s="7" t="s">
        <v>55</v>
      </c>
      <c r="F196" s="10" t="n">
        <f aca="false">IFERROR(INDEX('1. Insumos'!$F$5:$F$93,MATCH($C196,'1. Insumos'!$B$5:$B$93,0)),0)</f>
        <v>0.035</v>
      </c>
      <c r="G196" s="13" t="n">
        <f aca="false">D196*F196</f>
        <v>5.25</v>
      </c>
      <c r="H196" s="14" t="s">
        <v>308</v>
      </c>
    </row>
    <row r="197" customFormat="false" ht="15" hidden="false" customHeight="false" outlineLevel="0" collapsed="false">
      <c r="A197" s="7" t="n">
        <v>20</v>
      </c>
      <c r="B197" s="7" t="s">
        <v>309</v>
      </c>
      <c r="C197" s="7" t="s">
        <v>143</v>
      </c>
      <c r="D197" s="8" t="n">
        <v>1000</v>
      </c>
      <c r="E197" s="7" t="s">
        <v>55</v>
      </c>
      <c r="F197" s="10" t="n">
        <f aca="false">IFERROR(INDEX('1. Insumos'!$F$5:$F$93,MATCH($C197,'1. Insumos'!$B$5:$B$93,0)),0)</f>
        <v>0.032</v>
      </c>
      <c r="G197" s="13" t="n">
        <f aca="false">D197*F197</f>
        <v>32</v>
      </c>
      <c r="H197" s="14" t="s">
        <v>310</v>
      </c>
    </row>
    <row r="198" customFormat="false" ht="15" hidden="false" customHeight="false" outlineLevel="0" collapsed="false">
      <c r="A198" s="7" t="n">
        <v>20</v>
      </c>
      <c r="B198" s="7" t="s">
        <v>309</v>
      </c>
      <c r="C198" s="7" t="s">
        <v>110</v>
      </c>
      <c r="D198" s="8" t="n">
        <v>260</v>
      </c>
      <c r="E198" s="7" t="s">
        <v>55</v>
      </c>
      <c r="F198" s="10" t="n">
        <f aca="false">IFERROR(INDEX('1. Insumos'!$F$5:$F$93,MATCH($C198,'1. Insumos'!$B$5:$B$93,0)),0)</f>
        <v>0.145</v>
      </c>
      <c r="G198" s="13" t="n">
        <f aca="false">D198*F198</f>
        <v>37.7</v>
      </c>
      <c r="H198" s="14" t="s">
        <v>178</v>
      </c>
    </row>
    <row r="199" customFormat="false" ht="15" hidden="false" customHeight="false" outlineLevel="0" collapsed="false">
      <c r="A199" s="7" t="n">
        <v>20</v>
      </c>
      <c r="B199" s="7" t="s">
        <v>309</v>
      </c>
      <c r="C199" s="7" t="s">
        <v>52</v>
      </c>
      <c r="D199" s="8" t="n">
        <v>250</v>
      </c>
      <c r="E199" s="7" t="s">
        <v>47</v>
      </c>
      <c r="F199" s="10" t="n">
        <f aca="false">IFERROR(INDEX('1. Insumos'!$F$5:$F$93,MATCH($C199,'1. Insumos'!$B$5:$B$93,0)),0)</f>
        <v>0.03</v>
      </c>
      <c r="G199" s="13" t="n">
        <f aca="false">D199*F199</f>
        <v>7.5</v>
      </c>
      <c r="H199" s="14" t="s">
        <v>311</v>
      </c>
    </row>
    <row r="200" customFormat="false" ht="15" hidden="false" customHeight="false" outlineLevel="0" collapsed="false">
      <c r="A200" s="7" t="n">
        <v>20</v>
      </c>
      <c r="B200" s="7" t="s">
        <v>309</v>
      </c>
      <c r="C200" s="7" t="s">
        <v>85</v>
      </c>
      <c r="D200" s="8" t="n">
        <v>15</v>
      </c>
      <c r="E200" s="7" t="s">
        <v>55</v>
      </c>
      <c r="F200" s="10" t="n">
        <f aca="false">IFERROR(INDEX('1. Insumos'!$F$5:$F$93,MATCH($C200,'1. Insumos'!$B$5:$B$93,0)),0)</f>
        <v>0.025</v>
      </c>
      <c r="G200" s="13" t="n">
        <f aca="false">D200*F200</f>
        <v>0.375</v>
      </c>
      <c r="H200" s="14" t="s">
        <v>167</v>
      </c>
    </row>
    <row r="201" customFormat="false" ht="15" hidden="false" customHeight="false" outlineLevel="0" collapsed="false">
      <c r="A201" s="7" t="n">
        <v>20</v>
      </c>
      <c r="B201" s="7" t="s">
        <v>309</v>
      </c>
      <c r="C201" s="7" t="s">
        <v>84</v>
      </c>
      <c r="D201" s="8" t="n">
        <v>5</v>
      </c>
      <c r="E201" s="7" t="s">
        <v>55</v>
      </c>
      <c r="F201" s="10" t="n">
        <f aca="false">IFERROR(INDEX('1. Insumos'!$F$5:$F$93,MATCH($C201,'1. Insumos'!$B$5:$B$93,0)),0)</f>
        <v>0.175</v>
      </c>
      <c r="G201" s="13" t="n">
        <f aca="false">D201*F201</f>
        <v>0.875</v>
      </c>
      <c r="H201" s="14" t="s">
        <v>84</v>
      </c>
    </row>
    <row r="202" customFormat="false" ht="15" hidden="false" customHeight="false" outlineLevel="0" collapsed="false">
      <c r="A202" s="7" t="n">
        <v>20</v>
      </c>
      <c r="B202" s="7" t="s">
        <v>309</v>
      </c>
      <c r="C202" s="7" t="s">
        <v>130</v>
      </c>
      <c r="D202" s="8" t="n">
        <v>350</v>
      </c>
      <c r="E202" s="7" t="s">
        <v>55</v>
      </c>
      <c r="F202" s="10" t="n">
        <f aca="false">IFERROR(INDEX('1. Insumos'!$F$5:$F$93,MATCH($C202,'1. Insumos'!$B$5:$B$93,0)),0)</f>
        <v>0.18</v>
      </c>
      <c r="G202" s="13" t="n">
        <f aca="false">D202*F202</f>
        <v>63</v>
      </c>
      <c r="H202" s="14" t="s">
        <v>312</v>
      </c>
    </row>
    <row r="203" customFormat="false" ht="15" hidden="false" customHeight="false" outlineLevel="0" collapsed="false">
      <c r="A203" s="7" t="n">
        <v>20</v>
      </c>
      <c r="B203" s="7" t="s">
        <v>309</v>
      </c>
      <c r="C203" s="7" t="s">
        <v>65</v>
      </c>
      <c r="D203" s="8" t="n">
        <v>8</v>
      </c>
      <c r="E203" s="7" t="s">
        <v>64</v>
      </c>
      <c r="F203" s="10" t="n">
        <f aca="false">IFERROR(INDEX('1. Insumos'!$F$5:$F$93,MATCH($C203,'1. Insumos'!$B$5:$B$93,0)),0)</f>
        <v>1.625</v>
      </c>
      <c r="G203" s="13" t="n">
        <f aca="false">D203*F203</f>
        <v>13</v>
      </c>
      <c r="H203" s="14" t="s">
        <v>221</v>
      </c>
    </row>
    <row r="204" customFormat="false" ht="15" hidden="false" customHeight="false" outlineLevel="0" collapsed="false">
      <c r="A204" s="7" t="n">
        <v>20</v>
      </c>
      <c r="B204" s="7" t="s">
        <v>309</v>
      </c>
      <c r="C204" s="7" t="s">
        <v>97</v>
      </c>
      <c r="D204" s="8" t="n">
        <v>3</v>
      </c>
      <c r="E204" s="7" t="s">
        <v>64</v>
      </c>
      <c r="F204" s="10" t="n">
        <f aca="false">IFERROR(INDEX('1. Insumos'!$F$5:$F$93,MATCH($C204,'1. Insumos'!$B$5:$B$93,0)),0)</f>
        <v>2.91666666666667</v>
      </c>
      <c r="G204" s="13" t="n">
        <f aca="false">D204*F204</f>
        <v>8.75</v>
      </c>
      <c r="H204" s="14" t="s">
        <v>199</v>
      </c>
    </row>
    <row r="205" customFormat="false" ht="15" hidden="false" customHeight="false" outlineLevel="0" collapsed="false">
      <c r="A205" s="7" t="n">
        <v>20</v>
      </c>
      <c r="B205" s="7" t="s">
        <v>309</v>
      </c>
      <c r="C205" s="7" t="s">
        <v>88</v>
      </c>
      <c r="D205" s="8" t="n">
        <v>2</v>
      </c>
      <c r="E205" s="7" t="s">
        <v>64</v>
      </c>
      <c r="F205" s="10" t="n">
        <f aca="false">IFERROR(INDEX('1. Insumos'!$F$5:$F$93,MATCH($C205,'1. Insumos'!$B$5:$B$93,0)),0)</f>
        <v>0.875</v>
      </c>
      <c r="G205" s="13" t="n">
        <f aca="false">D205*F205</f>
        <v>1.75</v>
      </c>
      <c r="H205" s="14" t="s">
        <v>171</v>
      </c>
    </row>
    <row r="206" customFormat="false" ht="15" hidden="false" customHeight="false" outlineLevel="0" collapsed="false">
      <c r="A206" s="7" t="n">
        <v>20</v>
      </c>
      <c r="B206" s="7" t="s">
        <v>309</v>
      </c>
      <c r="C206" s="7" t="s">
        <v>82</v>
      </c>
      <c r="D206" s="8" t="n">
        <v>1</v>
      </c>
      <c r="E206" s="7" t="s">
        <v>55</v>
      </c>
      <c r="F206" s="10" t="n">
        <f aca="false">IFERROR(INDEX('1. Insumos'!$F$5:$F$93,MATCH($C206,'1. Insumos'!$B$5:$B$93,0)),0)</f>
        <v>0.4</v>
      </c>
      <c r="G206" s="13" t="n">
        <f aca="false">D206*F206</f>
        <v>0.4</v>
      </c>
      <c r="H206" s="14" t="s">
        <v>174</v>
      </c>
    </row>
    <row r="207" customFormat="false" ht="15" hidden="false" customHeight="false" outlineLevel="0" collapsed="false">
      <c r="A207" s="7" t="n">
        <v>21</v>
      </c>
      <c r="B207" s="7" t="s">
        <v>313</v>
      </c>
      <c r="C207" s="7" t="s">
        <v>143</v>
      </c>
      <c r="D207" s="8" t="n">
        <v>1000</v>
      </c>
      <c r="E207" s="7" t="s">
        <v>55</v>
      </c>
      <c r="F207" s="10" t="n">
        <f aca="false">IFERROR(INDEX('1. Insumos'!$F$5:$F$93,MATCH($C207,'1. Insumos'!$B$5:$B$93,0)),0)</f>
        <v>0.032</v>
      </c>
      <c r="G207" s="13" t="n">
        <f aca="false">D207*F207</f>
        <v>32</v>
      </c>
      <c r="H207" s="14" t="s">
        <v>177</v>
      </c>
    </row>
    <row r="208" customFormat="false" ht="15" hidden="false" customHeight="false" outlineLevel="0" collapsed="false">
      <c r="A208" s="7" t="n">
        <v>21</v>
      </c>
      <c r="B208" s="7" t="s">
        <v>313</v>
      </c>
      <c r="C208" s="7" t="s">
        <v>110</v>
      </c>
      <c r="D208" s="8" t="n">
        <v>265</v>
      </c>
      <c r="E208" s="7" t="s">
        <v>55</v>
      </c>
      <c r="F208" s="10" t="n">
        <f aca="false">IFERROR(INDEX('1. Insumos'!$F$5:$F$93,MATCH($C208,'1. Insumos'!$B$5:$B$93,0)),0)</f>
        <v>0.145</v>
      </c>
      <c r="G208" s="13" t="n">
        <f aca="false">D208*F208</f>
        <v>38.425</v>
      </c>
      <c r="H208" s="14" t="s">
        <v>164</v>
      </c>
    </row>
    <row r="209" customFormat="false" ht="15" hidden="false" customHeight="false" outlineLevel="0" collapsed="false">
      <c r="A209" s="7" t="n">
        <v>21</v>
      </c>
      <c r="B209" s="7" t="s">
        <v>313</v>
      </c>
      <c r="C209" s="7" t="s">
        <v>52</v>
      </c>
      <c r="D209" s="8" t="n">
        <v>260</v>
      </c>
      <c r="E209" s="7" t="s">
        <v>47</v>
      </c>
      <c r="F209" s="10" t="n">
        <f aca="false">IFERROR(INDEX('1. Insumos'!$F$5:$F$93,MATCH($C209,'1. Insumos'!$B$5:$B$93,0)),0)</f>
        <v>0.03</v>
      </c>
      <c r="G209" s="13" t="n">
        <f aca="false">D209*F209</f>
        <v>7.8</v>
      </c>
      <c r="H209" s="14" t="s">
        <v>314</v>
      </c>
    </row>
    <row r="210" customFormat="false" ht="15" hidden="false" customHeight="false" outlineLevel="0" collapsed="false">
      <c r="A210" s="7" t="n">
        <v>21</v>
      </c>
      <c r="B210" s="7" t="s">
        <v>313</v>
      </c>
      <c r="C210" s="7" t="s">
        <v>85</v>
      </c>
      <c r="D210" s="8" t="n">
        <v>15</v>
      </c>
      <c r="E210" s="7" t="s">
        <v>55</v>
      </c>
      <c r="F210" s="10" t="n">
        <f aca="false">IFERROR(INDEX('1. Insumos'!$F$5:$F$93,MATCH($C210,'1. Insumos'!$B$5:$B$93,0)),0)</f>
        <v>0.025</v>
      </c>
      <c r="G210" s="13" t="n">
        <f aca="false">D210*F210</f>
        <v>0.375</v>
      </c>
      <c r="H210" s="14" t="s">
        <v>204</v>
      </c>
    </row>
    <row r="211" customFormat="false" ht="15" hidden="false" customHeight="false" outlineLevel="0" collapsed="false">
      <c r="A211" s="7" t="n">
        <v>21</v>
      </c>
      <c r="B211" s="7" t="s">
        <v>313</v>
      </c>
      <c r="C211" s="7" t="s">
        <v>84</v>
      </c>
      <c r="D211" s="8" t="n">
        <v>5</v>
      </c>
      <c r="E211" s="7" t="s">
        <v>55</v>
      </c>
      <c r="F211" s="10" t="n">
        <f aca="false">IFERROR(INDEX('1. Insumos'!$F$5:$F$93,MATCH($C211,'1. Insumos'!$B$5:$B$93,0)),0)</f>
        <v>0.175</v>
      </c>
      <c r="G211" s="13" t="n">
        <f aca="false">D211*F211</f>
        <v>0.875</v>
      </c>
      <c r="H211" s="14" t="s">
        <v>84</v>
      </c>
    </row>
    <row r="212" customFormat="false" ht="15" hidden="false" customHeight="false" outlineLevel="0" collapsed="false">
      <c r="A212" s="7" t="n">
        <v>21</v>
      </c>
      <c r="B212" s="7" t="s">
        <v>313</v>
      </c>
      <c r="C212" s="7" t="s">
        <v>60</v>
      </c>
      <c r="D212" s="8" t="n">
        <v>450</v>
      </c>
      <c r="E212" s="7" t="s">
        <v>55</v>
      </c>
      <c r="F212" s="10" t="n">
        <f aca="false">IFERROR(INDEX('1. Insumos'!$F$5:$F$93,MATCH($C212,'1. Insumos'!$B$5:$B$93,0)),0)</f>
        <v>0.165</v>
      </c>
      <c r="G212" s="13" t="n">
        <f aca="false">D212*F212</f>
        <v>74.25</v>
      </c>
      <c r="H212" s="14" t="s">
        <v>315</v>
      </c>
    </row>
    <row r="213" customFormat="false" ht="15" hidden="false" customHeight="false" outlineLevel="0" collapsed="false">
      <c r="A213" s="7" t="n">
        <v>21</v>
      </c>
      <c r="B213" s="7" t="s">
        <v>313</v>
      </c>
      <c r="C213" s="7" t="s">
        <v>69</v>
      </c>
      <c r="D213" s="8" t="n">
        <v>6</v>
      </c>
      <c r="E213" s="7" t="s">
        <v>64</v>
      </c>
      <c r="F213" s="10" t="n">
        <f aca="false">IFERROR(INDEX('1. Insumos'!$F$5:$F$93,MATCH($C213,'1. Insumos'!$B$5:$B$93,0)),0)</f>
        <v>1.5</v>
      </c>
      <c r="G213" s="13" t="n">
        <f aca="false">D213*F213</f>
        <v>9</v>
      </c>
      <c r="H213" s="14" t="s">
        <v>316</v>
      </c>
    </row>
    <row r="214" customFormat="false" ht="15" hidden="false" customHeight="false" outlineLevel="0" collapsed="false">
      <c r="A214" s="7" t="n">
        <v>21</v>
      </c>
      <c r="B214" s="7" t="s">
        <v>313</v>
      </c>
      <c r="C214" s="7" t="s">
        <v>97</v>
      </c>
      <c r="D214" s="8" t="n">
        <v>3</v>
      </c>
      <c r="E214" s="7" t="s">
        <v>64</v>
      </c>
      <c r="F214" s="10" t="n">
        <f aca="false">IFERROR(INDEX('1. Insumos'!$F$5:$F$93,MATCH($C214,'1. Insumos'!$B$5:$B$93,0)),0)</f>
        <v>2.91666666666667</v>
      </c>
      <c r="G214" s="13" t="n">
        <f aca="false">D214*F214</f>
        <v>8.75</v>
      </c>
      <c r="H214" s="14" t="s">
        <v>199</v>
      </c>
    </row>
    <row r="215" customFormat="false" ht="15" hidden="false" customHeight="false" outlineLevel="0" collapsed="false">
      <c r="A215" s="7" t="n">
        <v>21</v>
      </c>
      <c r="B215" s="7" t="s">
        <v>313</v>
      </c>
      <c r="C215" s="7" t="s">
        <v>88</v>
      </c>
      <c r="D215" s="8" t="n">
        <v>2</v>
      </c>
      <c r="E215" s="7" t="s">
        <v>64</v>
      </c>
      <c r="F215" s="10" t="n">
        <f aca="false">IFERROR(INDEX('1. Insumos'!$F$5:$F$93,MATCH($C215,'1. Insumos'!$B$5:$B$93,0)),0)</f>
        <v>0.875</v>
      </c>
      <c r="G215" s="13" t="n">
        <f aca="false">D215*F215</f>
        <v>1.75</v>
      </c>
      <c r="H215" s="14" t="s">
        <v>215</v>
      </c>
    </row>
    <row r="216" customFormat="false" ht="15" hidden="false" customHeight="false" outlineLevel="0" collapsed="false">
      <c r="A216" s="7" t="n">
        <v>21</v>
      </c>
      <c r="B216" s="7" t="s">
        <v>313</v>
      </c>
      <c r="C216" s="7" t="s">
        <v>82</v>
      </c>
      <c r="D216" s="8" t="n">
        <v>1</v>
      </c>
      <c r="E216" s="7" t="s">
        <v>55</v>
      </c>
      <c r="F216" s="10" t="n">
        <f aca="false">IFERROR(INDEX('1. Insumos'!$F$5:$F$93,MATCH($C216,'1. Insumos'!$B$5:$B$93,0)),0)</f>
        <v>0.4</v>
      </c>
      <c r="G216" s="13" t="n">
        <f aca="false">D216*F216</f>
        <v>0.4</v>
      </c>
      <c r="H216" s="14" t="s">
        <v>317</v>
      </c>
    </row>
    <row r="217" customFormat="false" ht="15" hidden="false" customHeight="false" outlineLevel="0" collapsed="false">
      <c r="A217" s="7" t="n">
        <v>21</v>
      </c>
      <c r="B217" s="7" t="s">
        <v>313</v>
      </c>
      <c r="C217" s="7" t="s">
        <v>119</v>
      </c>
      <c r="D217" s="8" t="n">
        <v>6</v>
      </c>
      <c r="E217" s="7" t="s">
        <v>64</v>
      </c>
      <c r="F217" s="10" t="n">
        <f aca="false">IFERROR(INDEX('1. Insumos'!$F$5:$F$93,MATCH($C217,'1. Insumos'!$B$5:$B$93,0)),0)</f>
        <v>2</v>
      </c>
      <c r="G217" s="13" t="n">
        <f aca="false">D217*F217</f>
        <v>12</v>
      </c>
      <c r="H217" s="14" t="s">
        <v>318</v>
      </c>
    </row>
    <row r="218" customFormat="false" ht="15" hidden="false" customHeight="false" outlineLevel="0" collapsed="false">
      <c r="A218" s="7" t="n">
        <v>22</v>
      </c>
      <c r="B218" s="7" t="s">
        <v>319</v>
      </c>
      <c r="C218" s="7" t="s">
        <v>143</v>
      </c>
      <c r="D218" s="8" t="n">
        <v>600</v>
      </c>
      <c r="E218" s="7" t="s">
        <v>55</v>
      </c>
      <c r="F218" s="10" t="n">
        <f aca="false">IFERROR(INDEX('1. Insumos'!$F$5:$F$93,MATCH($C218,'1. Insumos'!$B$5:$B$93,0)),0)</f>
        <v>0.032</v>
      </c>
      <c r="G218" s="13" t="n">
        <f aca="false">D218*F218</f>
        <v>19.2</v>
      </c>
      <c r="H218" s="14" t="s">
        <v>177</v>
      </c>
    </row>
    <row r="219" customFormat="false" ht="15" hidden="false" customHeight="false" outlineLevel="0" collapsed="false">
      <c r="A219" s="7" t="n">
        <v>22</v>
      </c>
      <c r="B219" s="7" t="s">
        <v>319</v>
      </c>
      <c r="C219" s="7" t="s">
        <v>49</v>
      </c>
      <c r="D219" s="8" t="n">
        <v>1200</v>
      </c>
      <c r="E219" s="7" t="s">
        <v>47</v>
      </c>
      <c r="F219" s="10" t="n">
        <f aca="false">IFERROR(INDEX('1. Insumos'!$F$5:$F$93,MATCH($C219,'1. Insumos'!$B$5:$B$93,0)),0)</f>
        <v>0.032</v>
      </c>
      <c r="G219" s="13" t="n">
        <f aca="false">D219*F219</f>
        <v>38.4</v>
      </c>
      <c r="H219" s="14" t="s">
        <v>320</v>
      </c>
    </row>
    <row r="220" customFormat="false" ht="15" hidden="false" customHeight="false" outlineLevel="0" collapsed="false">
      <c r="A220" s="7" t="n">
        <v>22</v>
      </c>
      <c r="B220" s="7" t="s">
        <v>319</v>
      </c>
      <c r="C220" s="7" t="s">
        <v>110</v>
      </c>
      <c r="D220" s="8" t="n">
        <v>240</v>
      </c>
      <c r="E220" s="7" t="s">
        <v>55</v>
      </c>
      <c r="F220" s="10" t="n">
        <f aca="false">IFERROR(INDEX('1. Insumos'!$F$5:$F$93,MATCH($C220,'1. Insumos'!$B$5:$B$93,0)),0)</f>
        <v>0.145</v>
      </c>
      <c r="G220" s="13" t="n">
        <f aca="false">D220*F220</f>
        <v>34.8</v>
      </c>
      <c r="H220" s="14" t="s">
        <v>164</v>
      </c>
    </row>
    <row r="221" customFormat="false" ht="15" hidden="false" customHeight="false" outlineLevel="0" collapsed="false">
      <c r="A221" s="7" t="n">
        <v>22</v>
      </c>
      <c r="B221" s="7" t="s">
        <v>319</v>
      </c>
      <c r="C221" s="7" t="s">
        <v>85</v>
      </c>
      <c r="D221" s="8" t="n">
        <v>16</v>
      </c>
      <c r="E221" s="7" t="s">
        <v>55</v>
      </c>
      <c r="F221" s="10" t="n">
        <f aca="false">IFERROR(INDEX('1. Insumos'!$F$5:$F$93,MATCH($C221,'1. Insumos'!$B$5:$B$93,0)),0)</f>
        <v>0.025</v>
      </c>
      <c r="G221" s="13" t="n">
        <f aca="false">D221*F221</f>
        <v>0.4</v>
      </c>
      <c r="H221" s="14" t="s">
        <v>167</v>
      </c>
    </row>
    <row r="222" customFormat="false" ht="15" hidden="false" customHeight="false" outlineLevel="0" collapsed="false">
      <c r="A222" s="7" t="n">
        <v>22</v>
      </c>
      <c r="B222" s="7" t="s">
        <v>319</v>
      </c>
      <c r="C222" s="7" t="s">
        <v>61</v>
      </c>
      <c r="D222" s="8" t="n">
        <v>450</v>
      </c>
      <c r="E222" s="7" t="s">
        <v>55</v>
      </c>
      <c r="F222" s="10" t="n">
        <f aca="false">IFERROR(INDEX('1. Insumos'!$F$5:$F$93,MATCH($C222,'1. Insumos'!$B$5:$B$93,0)),0)</f>
        <v>0.185</v>
      </c>
      <c r="G222" s="13" t="n">
        <f aca="false">D222*F222</f>
        <v>83.25</v>
      </c>
      <c r="H222" s="14" t="s">
        <v>321</v>
      </c>
    </row>
    <row r="223" customFormat="false" ht="15" hidden="false" customHeight="false" outlineLevel="0" collapsed="false">
      <c r="A223" s="7" t="n">
        <v>22</v>
      </c>
      <c r="B223" s="7" t="s">
        <v>319</v>
      </c>
      <c r="C223" s="7" t="s">
        <v>97</v>
      </c>
      <c r="D223" s="8" t="n">
        <v>4</v>
      </c>
      <c r="E223" s="7" t="s">
        <v>64</v>
      </c>
      <c r="F223" s="10" t="n">
        <f aca="false">IFERROR(INDEX('1. Insumos'!$F$5:$F$93,MATCH($C223,'1. Insumos'!$B$5:$B$93,0)),0)</f>
        <v>2.91666666666667</v>
      </c>
      <c r="G223" s="13" t="n">
        <f aca="false">D223*F223</f>
        <v>11.6666666666667</v>
      </c>
      <c r="H223" s="14" t="s">
        <v>322</v>
      </c>
    </row>
    <row r="224" customFormat="false" ht="15" hidden="false" customHeight="false" outlineLevel="0" collapsed="false">
      <c r="A224" s="7" t="n">
        <v>22</v>
      </c>
      <c r="B224" s="7" t="s">
        <v>319</v>
      </c>
      <c r="C224" s="7" t="s">
        <v>94</v>
      </c>
      <c r="D224" s="8" t="n">
        <v>2</v>
      </c>
      <c r="E224" s="7" t="s">
        <v>64</v>
      </c>
      <c r="F224" s="10" t="n">
        <f aca="false">IFERROR(INDEX('1. Insumos'!$F$5:$F$93,MATCH($C224,'1. Insumos'!$B$5:$B$93,0)),0)</f>
        <v>1.1</v>
      </c>
      <c r="G224" s="13" t="n">
        <f aca="false">D224*F224</f>
        <v>2.2</v>
      </c>
      <c r="H224" s="14" t="s">
        <v>323</v>
      </c>
    </row>
    <row r="225" customFormat="false" ht="15" hidden="false" customHeight="false" outlineLevel="0" collapsed="false">
      <c r="A225" s="7" t="n">
        <v>22</v>
      </c>
      <c r="B225" s="7" t="s">
        <v>319</v>
      </c>
      <c r="C225" s="7" t="s">
        <v>119</v>
      </c>
      <c r="D225" s="8" t="n">
        <v>2</v>
      </c>
      <c r="E225" s="7" t="s">
        <v>64</v>
      </c>
      <c r="F225" s="10" t="n">
        <f aca="false">IFERROR(INDEX('1. Insumos'!$F$5:$F$93,MATCH($C225,'1. Insumos'!$B$5:$B$93,0)),0)</f>
        <v>2</v>
      </c>
      <c r="G225" s="13" t="n">
        <f aca="false">D225*F225</f>
        <v>4</v>
      </c>
      <c r="H225" s="14" t="s">
        <v>324</v>
      </c>
    </row>
    <row r="226" customFormat="false" ht="15" hidden="false" customHeight="false" outlineLevel="0" collapsed="false">
      <c r="A226" s="7" t="n">
        <v>23</v>
      </c>
      <c r="B226" s="7" t="s">
        <v>325</v>
      </c>
      <c r="C226" s="7" t="s">
        <v>143</v>
      </c>
      <c r="D226" s="8" t="n">
        <v>1000</v>
      </c>
      <c r="E226" s="7" t="s">
        <v>55</v>
      </c>
      <c r="F226" s="10" t="n">
        <f aca="false">IFERROR(INDEX('1. Insumos'!$F$5:$F$93,MATCH($C226,'1. Insumos'!$B$5:$B$93,0)),0)</f>
        <v>0.032</v>
      </c>
      <c r="G226" s="13" t="n">
        <f aca="false">D226*F226</f>
        <v>32</v>
      </c>
      <c r="H226" s="14" t="s">
        <v>177</v>
      </c>
    </row>
    <row r="227" customFormat="false" ht="15" hidden="false" customHeight="false" outlineLevel="0" collapsed="false">
      <c r="A227" s="7" t="n">
        <v>23</v>
      </c>
      <c r="B227" s="7" t="s">
        <v>325</v>
      </c>
      <c r="C227" s="7" t="s">
        <v>110</v>
      </c>
      <c r="D227" s="8" t="n">
        <v>255</v>
      </c>
      <c r="E227" s="7" t="s">
        <v>55</v>
      </c>
      <c r="F227" s="10" t="n">
        <f aca="false">IFERROR(INDEX('1. Insumos'!$F$5:$F$93,MATCH($C227,'1. Insumos'!$B$5:$B$93,0)),0)</f>
        <v>0.145</v>
      </c>
      <c r="G227" s="13" t="n">
        <f aca="false">D227*F227</f>
        <v>36.975</v>
      </c>
      <c r="H227" s="14" t="s">
        <v>326</v>
      </c>
    </row>
    <row r="228" customFormat="false" ht="15" hidden="false" customHeight="false" outlineLevel="0" collapsed="false">
      <c r="A228" s="7" t="n">
        <v>23</v>
      </c>
      <c r="B228" s="7" t="s">
        <v>325</v>
      </c>
      <c r="C228" s="7" t="s">
        <v>51</v>
      </c>
      <c r="D228" s="8" t="n">
        <v>260</v>
      </c>
      <c r="E228" s="7" t="s">
        <v>47</v>
      </c>
      <c r="F228" s="10" t="n">
        <f aca="false">IFERROR(INDEX('1. Insumos'!$F$5:$F$93,MATCH($C228,'1. Insumos'!$B$5:$B$93,0)),0)</f>
        <v>0.038</v>
      </c>
      <c r="G228" s="13" t="n">
        <f aca="false">D228*F228</f>
        <v>9.88</v>
      </c>
      <c r="H228" s="14" t="s">
        <v>327</v>
      </c>
    </row>
    <row r="229" customFormat="false" ht="15" hidden="false" customHeight="false" outlineLevel="0" collapsed="false">
      <c r="A229" s="7" t="n">
        <v>23</v>
      </c>
      <c r="B229" s="7" t="s">
        <v>325</v>
      </c>
      <c r="C229" s="7" t="s">
        <v>85</v>
      </c>
      <c r="D229" s="8" t="n">
        <v>15</v>
      </c>
      <c r="E229" s="7" t="s">
        <v>55</v>
      </c>
      <c r="F229" s="10" t="n">
        <f aca="false">IFERROR(INDEX('1. Insumos'!$F$5:$F$93,MATCH($C229,'1. Insumos'!$B$5:$B$93,0)),0)</f>
        <v>0.025</v>
      </c>
      <c r="G229" s="13" t="n">
        <f aca="false">D229*F229</f>
        <v>0.375</v>
      </c>
      <c r="H229" s="14" t="s">
        <v>85</v>
      </c>
    </row>
    <row r="230" customFormat="false" ht="15" hidden="false" customHeight="false" outlineLevel="0" collapsed="false">
      <c r="A230" s="7" t="n">
        <v>23</v>
      </c>
      <c r="B230" s="7" t="s">
        <v>325</v>
      </c>
      <c r="C230" s="7" t="s">
        <v>84</v>
      </c>
      <c r="D230" s="8" t="n">
        <v>5</v>
      </c>
      <c r="E230" s="7" t="s">
        <v>55</v>
      </c>
      <c r="F230" s="10" t="n">
        <f aca="false">IFERROR(INDEX('1. Insumos'!$F$5:$F$93,MATCH($C230,'1. Insumos'!$B$5:$B$93,0)),0)</f>
        <v>0.175</v>
      </c>
      <c r="G230" s="13" t="n">
        <f aca="false">D230*F230</f>
        <v>0.875</v>
      </c>
      <c r="H230" s="14" t="s">
        <v>84</v>
      </c>
    </row>
    <row r="231" customFormat="false" ht="15" hidden="false" customHeight="false" outlineLevel="0" collapsed="false">
      <c r="A231" s="7" t="n">
        <v>23</v>
      </c>
      <c r="B231" s="7" t="s">
        <v>325</v>
      </c>
      <c r="C231" s="7" t="s">
        <v>138</v>
      </c>
      <c r="D231" s="8" t="n">
        <v>300</v>
      </c>
      <c r="E231" s="7" t="s">
        <v>55</v>
      </c>
      <c r="F231" s="10" t="n">
        <f aca="false">IFERROR(INDEX('1. Insumos'!$F$5:$F$93,MATCH($C231,'1. Insumos'!$B$5:$B$93,0)),0)</f>
        <v>0.26</v>
      </c>
      <c r="G231" s="13" t="n">
        <f aca="false">D231*F231</f>
        <v>78</v>
      </c>
      <c r="H231" s="14" t="s">
        <v>328</v>
      </c>
    </row>
    <row r="232" customFormat="false" ht="15" hidden="false" customHeight="false" outlineLevel="0" collapsed="false">
      <c r="A232" s="7" t="n">
        <v>23</v>
      </c>
      <c r="B232" s="7" t="s">
        <v>325</v>
      </c>
      <c r="C232" s="7" t="s">
        <v>137</v>
      </c>
      <c r="D232" s="8" t="n">
        <v>250</v>
      </c>
      <c r="E232" s="7" t="s">
        <v>55</v>
      </c>
      <c r="F232" s="10" t="n">
        <f aca="false">IFERROR(INDEX('1. Insumos'!$F$5:$F$93,MATCH($C232,'1. Insumos'!$B$5:$B$93,0)),0)</f>
        <v>0.32</v>
      </c>
      <c r="G232" s="13" t="n">
        <f aca="false">D232*F232</f>
        <v>80</v>
      </c>
      <c r="H232" s="14" t="s">
        <v>329</v>
      </c>
    </row>
    <row r="233" customFormat="false" ht="15" hidden="false" customHeight="false" outlineLevel="0" collapsed="false">
      <c r="A233" s="7" t="n">
        <v>23</v>
      </c>
      <c r="B233" s="7" t="s">
        <v>325</v>
      </c>
      <c r="C233" s="7" t="s">
        <v>69</v>
      </c>
      <c r="D233" s="8" t="n">
        <v>6</v>
      </c>
      <c r="E233" s="7" t="s">
        <v>64</v>
      </c>
      <c r="F233" s="10" t="n">
        <f aca="false">IFERROR(INDEX('1. Insumos'!$F$5:$F$93,MATCH($C233,'1. Insumos'!$B$5:$B$93,0)),0)</f>
        <v>1.5</v>
      </c>
      <c r="G233" s="13" t="n">
        <f aca="false">D233*F233</f>
        <v>9</v>
      </c>
      <c r="H233" s="14" t="s">
        <v>330</v>
      </c>
    </row>
    <row r="234" customFormat="false" ht="15" hidden="false" customHeight="false" outlineLevel="0" collapsed="false">
      <c r="A234" s="7" t="n">
        <v>23</v>
      </c>
      <c r="B234" s="7" t="s">
        <v>325</v>
      </c>
      <c r="C234" s="7" t="s">
        <v>88</v>
      </c>
      <c r="D234" s="8" t="n">
        <v>5</v>
      </c>
      <c r="E234" s="7" t="s">
        <v>64</v>
      </c>
      <c r="F234" s="10" t="n">
        <f aca="false">IFERROR(INDEX('1. Insumos'!$F$5:$F$93,MATCH($C234,'1. Insumos'!$B$5:$B$93,0)),0)</f>
        <v>0.875</v>
      </c>
      <c r="G234" s="13" t="n">
        <f aca="false">D234*F234</f>
        <v>4.375</v>
      </c>
      <c r="H234" s="14" t="s">
        <v>171</v>
      </c>
    </row>
    <row r="235" customFormat="false" ht="15" hidden="false" customHeight="false" outlineLevel="0" collapsed="false">
      <c r="A235" s="7" t="n">
        <v>23</v>
      </c>
      <c r="B235" s="7" t="s">
        <v>325</v>
      </c>
      <c r="C235" s="7" t="s">
        <v>97</v>
      </c>
      <c r="D235" s="8" t="n">
        <v>3</v>
      </c>
      <c r="E235" s="7" t="s">
        <v>64</v>
      </c>
      <c r="F235" s="10" t="n">
        <f aca="false">IFERROR(INDEX('1. Insumos'!$F$5:$F$93,MATCH($C235,'1. Insumos'!$B$5:$B$93,0)),0)</f>
        <v>2.91666666666667</v>
      </c>
      <c r="G235" s="13" t="n">
        <f aca="false">D235*F235</f>
        <v>8.75</v>
      </c>
      <c r="H235" s="14" t="s">
        <v>199</v>
      </c>
    </row>
    <row r="236" customFormat="false" ht="15" hidden="false" customHeight="false" outlineLevel="0" collapsed="false">
      <c r="A236" s="7" t="n">
        <v>23</v>
      </c>
      <c r="B236" s="7" t="s">
        <v>325</v>
      </c>
      <c r="C236" s="7" t="s">
        <v>114</v>
      </c>
      <c r="D236" s="8" t="n">
        <v>12</v>
      </c>
      <c r="E236" s="7" t="s">
        <v>64</v>
      </c>
      <c r="F236" s="10" t="n">
        <f aca="false">IFERROR(INDEX('1. Insumos'!$F$5:$F$93,MATCH($C236,'1. Insumos'!$B$5:$B$93,0)),0)</f>
        <v>2</v>
      </c>
      <c r="G236" s="13" t="n">
        <f aca="false">D236*F236</f>
        <v>24</v>
      </c>
      <c r="H236" s="14" t="s">
        <v>331</v>
      </c>
    </row>
    <row r="237" customFormat="false" ht="15" hidden="false" customHeight="false" outlineLevel="0" collapsed="false">
      <c r="A237" s="7" t="n">
        <v>24</v>
      </c>
      <c r="B237" s="7" t="s">
        <v>332</v>
      </c>
      <c r="C237" s="7" t="s">
        <v>143</v>
      </c>
      <c r="D237" s="8" t="n">
        <v>1000</v>
      </c>
      <c r="E237" s="7" t="s">
        <v>55</v>
      </c>
      <c r="F237" s="10" t="n">
        <f aca="false">IFERROR(INDEX('1. Insumos'!$F$5:$F$93,MATCH($C237,'1. Insumos'!$B$5:$B$93,0)),0)</f>
        <v>0.032</v>
      </c>
      <c r="G237" s="13" t="n">
        <f aca="false">D237*F237</f>
        <v>32</v>
      </c>
      <c r="H237" s="14" t="s">
        <v>177</v>
      </c>
    </row>
    <row r="238" customFormat="false" ht="15" hidden="false" customHeight="false" outlineLevel="0" collapsed="false">
      <c r="A238" s="7" t="n">
        <v>24</v>
      </c>
      <c r="B238" s="7" t="s">
        <v>332</v>
      </c>
      <c r="C238" s="7" t="s">
        <v>110</v>
      </c>
      <c r="D238" s="8" t="n">
        <v>260</v>
      </c>
      <c r="E238" s="7" t="s">
        <v>55</v>
      </c>
      <c r="F238" s="10" t="n">
        <f aca="false">IFERROR(INDEX('1. Insumos'!$F$5:$F$93,MATCH($C238,'1. Insumos'!$B$5:$B$93,0)),0)</f>
        <v>0.145</v>
      </c>
      <c r="G238" s="13" t="n">
        <f aca="false">D238*F238</f>
        <v>37.7</v>
      </c>
      <c r="H238" s="14" t="s">
        <v>164</v>
      </c>
    </row>
    <row r="239" customFormat="false" ht="15" hidden="false" customHeight="false" outlineLevel="0" collapsed="false">
      <c r="A239" s="7" t="n">
        <v>24</v>
      </c>
      <c r="B239" s="7" t="s">
        <v>332</v>
      </c>
      <c r="C239" s="7" t="s">
        <v>50</v>
      </c>
      <c r="D239" s="8" t="n">
        <v>250</v>
      </c>
      <c r="E239" s="7" t="s">
        <v>47</v>
      </c>
      <c r="F239" s="10" t="n">
        <f aca="false">IFERROR(INDEX('1. Insumos'!$F$5:$F$93,MATCH($C239,'1. Insumos'!$B$5:$B$93,0)),0)</f>
        <v>0.018</v>
      </c>
      <c r="G239" s="13" t="n">
        <f aca="false">D239*F239</f>
        <v>4.5</v>
      </c>
      <c r="H239" s="14" t="s">
        <v>333</v>
      </c>
    </row>
    <row r="240" customFormat="false" ht="15" hidden="false" customHeight="false" outlineLevel="0" collapsed="false">
      <c r="A240" s="7" t="n">
        <v>24</v>
      </c>
      <c r="B240" s="7" t="s">
        <v>332</v>
      </c>
      <c r="C240" s="7" t="s">
        <v>85</v>
      </c>
      <c r="D240" s="8" t="n">
        <v>15</v>
      </c>
      <c r="E240" s="7" t="s">
        <v>55</v>
      </c>
      <c r="F240" s="10" t="n">
        <f aca="false">IFERROR(INDEX('1. Insumos'!$F$5:$F$93,MATCH($C240,'1. Insumos'!$B$5:$B$93,0)),0)</f>
        <v>0.025</v>
      </c>
      <c r="G240" s="13" t="n">
        <f aca="false">D240*F240</f>
        <v>0.375</v>
      </c>
      <c r="H240" s="14" t="s">
        <v>167</v>
      </c>
    </row>
    <row r="241" customFormat="false" ht="15" hidden="false" customHeight="false" outlineLevel="0" collapsed="false">
      <c r="A241" s="7" t="n">
        <v>24</v>
      </c>
      <c r="B241" s="7" t="s">
        <v>332</v>
      </c>
      <c r="C241" s="7" t="s">
        <v>84</v>
      </c>
      <c r="D241" s="8" t="n">
        <v>5</v>
      </c>
      <c r="E241" s="7" t="s">
        <v>55</v>
      </c>
      <c r="F241" s="10" t="n">
        <f aca="false">IFERROR(INDEX('1. Insumos'!$F$5:$F$93,MATCH($C241,'1. Insumos'!$B$5:$B$93,0)),0)</f>
        <v>0.175</v>
      </c>
      <c r="G241" s="13" t="n">
        <f aca="false">D241*F241</f>
        <v>0.875</v>
      </c>
      <c r="H241" s="14" t="s">
        <v>84</v>
      </c>
    </row>
    <row r="242" customFormat="false" ht="15" hidden="false" customHeight="false" outlineLevel="0" collapsed="false">
      <c r="A242" s="7" t="n">
        <v>24</v>
      </c>
      <c r="B242" s="7" t="s">
        <v>332</v>
      </c>
      <c r="C242" s="7" t="s">
        <v>146</v>
      </c>
      <c r="D242" s="8" t="n">
        <v>450</v>
      </c>
      <c r="E242" s="7" t="s">
        <v>55</v>
      </c>
      <c r="F242" s="10" t="n">
        <f aca="false">IFERROR(INDEX('1. Insumos'!$F$5:$F$93,MATCH($C242,'1. Insumos'!$B$5:$B$93,0)),0)</f>
        <v>0.055</v>
      </c>
      <c r="G242" s="13" t="n">
        <f aca="false">D242*F242</f>
        <v>24.75</v>
      </c>
      <c r="H242" s="14" t="s">
        <v>334</v>
      </c>
    </row>
    <row r="243" customFormat="false" ht="15" hidden="false" customHeight="false" outlineLevel="0" collapsed="false">
      <c r="A243" s="7" t="n">
        <v>24</v>
      </c>
      <c r="B243" s="7" t="s">
        <v>332</v>
      </c>
      <c r="C243" s="7" t="s">
        <v>86</v>
      </c>
      <c r="D243" s="8" t="n">
        <v>150</v>
      </c>
      <c r="E243" s="7" t="s">
        <v>55</v>
      </c>
      <c r="F243" s="10" t="n">
        <f aca="false">IFERROR(INDEX('1. Insumos'!$F$5:$F$93,MATCH($C243,'1. Insumos'!$B$5:$B$93,0)),0)</f>
        <v>0.34</v>
      </c>
      <c r="G243" s="13" t="n">
        <f aca="false">D243*F243</f>
        <v>51</v>
      </c>
      <c r="H243" s="14" t="s">
        <v>335</v>
      </c>
    </row>
    <row r="244" customFormat="false" ht="15" hidden="false" customHeight="false" outlineLevel="0" collapsed="false">
      <c r="A244" s="7" t="n">
        <v>24</v>
      </c>
      <c r="B244" s="7" t="s">
        <v>332</v>
      </c>
      <c r="C244" s="7" t="s">
        <v>113</v>
      </c>
      <c r="D244" s="8" t="n">
        <v>1</v>
      </c>
      <c r="E244" s="7" t="s">
        <v>64</v>
      </c>
      <c r="F244" s="10" t="n">
        <f aca="false">IFERROR(INDEX('1. Insumos'!$F$5:$F$93,MATCH($C244,'1. Insumos'!$B$5:$B$93,0)),0)</f>
        <v>1.8</v>
      </c>
      <c r="G244" s="13" t="n">
        <f aca="false">D244*F244</f>
        <v>1.8</v>
      </c>
      <c r="H244" s="14" t="s">
        <v>336</v>
      </c>
    </row>
    <row r="245" customFormat="false" ht="15" hidden="false" customHeight="false" outlineLevel="0" collapsed="false">
      <c r="A245" s="7" t="n">
        <v>24</v>
      </c>
      <c r="B245" s="7" t="s">
        <v>332</v>
      </c>
      <c r="C245" s="7" t="s">
        <v>119</v>
      </c>
      <c r="D245" s="8" t="n">
        <v>2</v>
      </c>
      <c r="E245" s="7" t="s">
        <v>64</v>
      </c>
      <c r="F245" s="10" t="n">
        <f aca="false">IFERROR(INDEX('1. Insumos'!$F$5:$F$93,MATCH($C245,'1. Insumos'!$B$5:$B$93,0)),0)</f>
        <v>2</v>
      </c>
      <c r="G245" s="13" t="n">
        <f aca="false">D245*F245</f>
        <v>4</v>
      </c>
      <c r="H245" s="14" t="s">
        <v>337</v>
      </c>
    </row>
    <row r="246" customFormat="false" ht="15" hidden="false" customHeight="false" outlineLevel="0" collapsed="false">
      <c r="A246" s="7" t="n">
        <v>24</v>
      </c>
      <c r="B246" s="7" t="s">
        <v>332</v>
      </c>
      <c r="C246" s="7" t="s">
        <v>96</v>
      </c>
      <c r="D246" s="8" t="n">
        <v>3</v>
      </c>
      <c r="E246" s="7" t="s">
        <v>64</v>
      </c>
      <c r="F246" s="10" t="n">
        <f aca="false">IFERROR(INDEX('1. Insumos'!$F$5:$F$93,MATCH($C246,'1. Insumos'!$B$5:$B$93,0)),0)</f>
        <v>0.833333333333333</v>
      </c>
      <c r="G246" s="13" t="n">
        <f aca="false">D246*F246</f>
        <v>2.5</v>
      </c>
      <c r="H246" s="14" t="s">
        <v>338</v>
      </c>
    </row>
    <row r="247" customFormat="false" ht="15" hidden="false" customHeight="false" outlineLevel="0" collapsed="false">
      <c r="A247" s="7" t="n">
        <v>25</v>
      </c>
      <c r="B247" s="7" t="s">
        <v>339</v>
      </c>
      <c r="C247" s="7" t="s">
        <v>143</v>
      </c>
      <c r="D247" s="8" t="n">
        <v>1000</v>
      </c>
      <c r="E247" s="7" t="s">
        <v>55</v>
      </c>
      <c r="F247" s="10" t="n">
        <f aca="false">IFERROR(INDEX('1. Insumos'!$F$5:$F$93,MATCH($C247,'1. Insumos'!$B$5:$B$93,0)),0)</f>
        <v>0.032</v>
      </c>
      <c r="G247" s="13" t="n">
        <f aca="false">D247*F247</f>
        <v>32</v>
      </c>
      <c r="H247" s="14" t="s">
        <v>340</v>
      </c>
    </row>
    <row r="248" customFormat="false" ht="15" hidden="false" customHeight="false" outlineLevel="0" collapsed="false">
      <c r="A248" s="7" t="n">
        <v>25</v>
      </c>
      <c r="B248" s="7" t="s">
        <v>339</v>
      </c>
      <c r="C248" s="7" t="s">
        <v>110</v>
      </c>
      <c r="D248" s="8" t="n">
        <v>220</v>
      </c>
      <c r="E248" s="7" t="s">
        <v>55</v>
      </c>
      <c r="F248" s="10" t="n">
        <f aca="false">IFERROR(INDEX('1. Insumos'!$F$5:$F$93,MATCH($C248,'1. Insumos'!$B$5:$B$93,0)),0)</f>
        <v>0.145</v>
      </c>
      <c r="G248" s="13" t="n">
        <f aca="false">D248*F248</f>
        <v>31.9</v>
      </c>
      <c r="H248" s="14" t="s">
        <v>341</v>
      </c>
    </row>
    <row r="249" customFormat="false" ht="15" hidden="false" customHeight="false" outlineLevel="0" collapsed="false">
      <c r="A249" s="7" t="n">
        <v>25</v>
      </c>
      <c r="B249" s="7" t="s">
        <v>339</v>
      </c>
      <c r="C249" s="7" t="s">
        <v>75</v>
      </c>
      <c r="D249" s="8" t="n">
        <v>280</v>
      </c>
      <c r="E249" s="7" t="s">
        <v>55</v>
      </c>
      <c r="F249" s="10" t="n">
        <f aca="false">IFERROR(INDEX('1. Insumos'!$F$5:$F$93,MATCH($C249,'1. Insumos'!$B$5:$B$93,0)),0)</f>
        <v>0.055</v>
      </c>
      <c r="G249" s="13" t="n">
        <f aca="false">D249*F249</f>
        <v>15.4</v>
      </c>
      <c r="H249" s="14" t="s">
        <v>342</v>
      </c>
    </row>
    <row r="250" customFormat="false" ht="15" hidden="false" customHeight="false" outlineLevel="0" collapsed="false">
      <c r="A250" s="7" t="n">
        <v>25</v>
      </c>
      <c r="B250" s="7" t="s">
        <v>339</v>
      </c>
      <c r="C250" s="7" t="s">
        <v>78</v>
      </c>
      <c r="D250" s="8" t="n">
        <v>186</v>
      </c>
      <c r="E250" s="7" t="s">
        <v>55</v>
      </c>
      <c r="F250" s="10" t="n">
        <f aca="false">IFERROR(INDEX('1. Insumos'!$F$5:$F$93,MATCH($C250,'1. Insumos'!$B$5:$B$93,0)),0)</f>
        <v>0.45</v>
      </c>
      <c r="G250" s="13" t="n">
        <f aca="false">D250*F250</f>
        <v>83.7</v>
      </c>
      <c r="H250" s="14" t="s">
        <v>343</v>
      </c>
    </row>
    <row r="251" customFormat="false" ht="15" hidden="false" customHeight="false" outlineLevel="0" collapsed="false">
      <c r="A251" s="7" t="n">
        <v>25</v>
      </c>
      <c r="B251" s="7" t="s">
        <v>339</v>
      </c>
      <c r="C251" s="7" t="s">
        <v>80</v>
      </c>
      <c r="D251" s="8" t="n">
        <v>4</v>
      </c>
      <c r="E251" s="7" t="s">
        <v>64</v>
      </c>
      <c r="F251" s="10" t="n">
        <f aca="false">IFERROR(INDEX('1. Insumos'!$F$5:$F$93,MATCH($C251,'1. Insumos'!$B$5:$B$93,0)),0)</f>
        <v>0.225</v>
      </c>
      <c r="G251" s="13" t="n">
        <f aca="false">D251*F251</f>
        <v>0.9</v>
      </c>
      <c r="H251" s="14" t="s">
        <v>344</v>
      </c>
    </row>
    <row r="252" customFormat="false" ht="15" hidden="false" customHeight="false" outlineLevel="0" collapsed="false">
      <c r="A252" s="7" t="n">
        <v>25</v>
      </c>
      <c r="B252" s="7" t="s">
        <v>339</v>
      </c>
      <c r="C252" s="7" t="s">
        <v>85</v>
      </c>
      <c r="D252" s="8" t="n">
        <v>5</v>
      </c>
      <c r="E252" s="7" t="s">
        <v>55</v>
      </c>
      <c r="F252" s="10" t="n">
        <f aca="false">IFERROR(INDEX('1. Insumos'!$F$5:$F$93,MATCH($C252,'1. Insumos'!$B$5:$B$93,0)),0)</f>
        <v>0.025</v>
      </c>
      <c r="G252" s="13" t="n">
        <f aca="false">D252*F252</f>
        <v>0.125</v>
      </c>
      <c r="H252" s="14" t="s">
        <v>167</v>
      </c>
    </row>
    <row r="253" customFormat="false" ht="15" hidden="false" customHeight="false" outlineLevel="0" collapsed="false">
      <c r="A253" s="7" t="n">
        <v>25</v>
      </c>
      <c r="B253" s="7" t="s">
        <v>339</v>
      </c>
      <c r="C253" s="7" t="s">
        <v>84</v>
      </c>
      <c r="D253" s="8" t="n">
        <v>6</v>
      </c>
      <c r="E253" s="7" t="s">
        <v>55</v>
      </c>
      <c r="F253" s="10" t="n">
        <f aca="false">IFERROR(INDEX('1. Insumos'!$F$5:$F$93,MATCH($C253,'1. Insumos'!$B$5:$B$93,0)),0)</f>
        <v>0.175</v>
      </c>
      <c r="G253" s="13" t="n">
        <f aca="false">D253*F253</f>
        <v>1.05</v>
      </c>
      <c r="H253" s="14" t="s">
        <v>84</v>
      </c>
    </row>
    <row r="254" customFormat="false" ht="15" hidden="false" customHeight="false" outlineLevel="0" collapsed="false">
      <c r="A254" s="7" t="n">
        <v>26</v>
      </c>
      <c r="B254" s="7" t="s">
        <v>345</v>
      </c>
      <c r="C254" s="7" t="s">
        <v>143</v>
      </c>
      <c r="D254" s="8" t="n">
        <v>1000</v>
      </c>
      <c r="E254" s="7" t="s">
        <v>55</v>
      </c>
      <c r="F254" s="10" t="n">
        <f aca="false">IFERROR(INDEX('1. Insumos'!$F$5:$F$93,MATCH($C254,'1. Insumos'!$B$5:$B$93,0)),0)</f>
        <v>0.032</v>
      </c>
      <c r="G254" s="13" t="n">
        <f aca="false">D254*F254</f>
        <v>32</v>
      </c>
      <c r="H254" s="14" t="s">
        <v>277</v>
      </c>
    </row>
    <row r="255" customFormat="false" ht="15" hidden="false" customHeight="false" outlineLevel="0" collapsed="false">
      <c r="A255" s="7" t="n">
        <v>26</v>
      </c>
      <c r="B255" s="7" t="s">
        <v>345</v>
      </c>
      <c r="C255" s="7" t="s">
        <v>110</v>
      </c>
      <c r="D255" s="8" t="n">
        <v>275</v>
      </c>
      <c r="E255" s="7" t="s">
        <v>55</v>
      </c>
      <c r="F255" s="10" t="n">
        <f aca="false">IFERROR(INDEX('1. Insumos'!$F$5:$F$93,MATCH($C255,'1. Insumos'!$B$5:$B$93,0)),0)</f>
        <v>0.145</v>
      </c>
      <c r="G255" s="13" t="n">
        <f aca="false">D255*F255</f>
        <v>39.875</v>
      </c>
      <c r="H255" s="14" t="s">
        <v>164</v>
      </c>
    </row>
    <row r="256" customFormat="false" ht="15" hidden="false" customHeight="false" outlineLevel="0" collapsed="false">
      <c r="A256" s="7" t="n">
        <v>26</v>
      </c>
      <c r="B256" s="7" t="s">
        <v>345</v>
      </c>
      <c r="C256" s="7" t="s">
        <v>52</v>
      </c>
      <c r="D256" s="8" t="n">
        <v>180</v>
      </c>
      <c r="E256" s="7" t="s">
        <v>47</v>
      </c>
      <c r="F256" s="10" t="n">
        <f aca="false">IFERROR(INDEX('1. Insumos'!$F$5:$F$93,MATCH($C256,'1. Insumos'!$B$5:$B$93,0)),0)</f>
        <v>0.03</v>
      </c>
      <c r="G256" s="13" t="n">
        <f aca="false">D256*F256</f>
        <v>5.4</v>
      </c>
      <c r="H256" s="14" t="s">
        <v>346</v>
      </c>
    </row>
    <row r="257" customFormat="false" ht="15" hidden="false" customHeight="false" outlineLevel="0" collapsed="false">
      <c r="A257" s="7" t="n">
        <v>26</v>
      </c>
      <c r="B257" s="7" t="s">
        <v>345</v>
      </c>
      <c r="C257" s="7" t="s">
        <v>134</v>
      </c>
      <c r="D257" s="8" t="n">
        <v>140</v>
      </c>
      <c r="E257" s="7" t="s">
        <v>47</v>
      </c>
      <c r="F257" s="10" t="n">
        <f aca="false">IFERROR(INDEX('1. Insumos'!$F$5:$F$93,MATCH($C257,'1. Insumos'!$B$5:$B$93,0)),0)</f>
        <v>0.06</v>
      </c>
      <c r="G257" s="13" t="n">
        <f aca="false">D257*F257</f>
        <v>8.4</v>
      </c>
      <c r="H257" s="14" t="s">
        <v>347</v>
      </c>
    </row>
    <row r="258" customFormat="false" ht="15" hidden="false" customHeight="false" outlineLevel="0" collapsed="false">
      <c r="A258" s="7" t="n">
        <v>26</v>
      </c>
      <c r="B258" s="7" t="s">
        <v>345</v>
      </c>
      <c r="C258" s="7" t="s">
        <v>85</v>
      </c>
      <c r="D258" s="8" t="n">
        <v>16</v>
      </c>
      <c r="E258" s="7" t="s">
        <v>55</v>
      </c>
      <c r="F258" s="10" t="n">
        <f aca="false">IFERROR(INDEX('1. Insumos'!$F$5:$F$93,MATCH($C258,'1. Insumos'!$B$5:$B$93,0)),0)</f>
        <v>0.025</v>
      </c>
      <c r="G258" s="13" t="n">
        <f aca="false">D258*F258</f>
        <v>0.4</v>
      </c>
      <c r="H258" s="14" t="s">
        <v>167</v>
      </c>
    </row>
    <row r="259" customFormat="false" ht="15" hidden="false" customHeight="false" outlineLevel="0" collapsed="false">
      <c r="A259" s="7" t="n">
        <v>26</v>
      </c>
      <c r="B259" s="7" t="s">
        <v>345</v>
      </c>
      <c r="C259" s="7" t="s">
        <v>84</v>
      </c>
      <c r="D259" s="8" t="n">
        <v>5</v>
      </c>
      <c r="E259" s="7" t="s">
        <v>55</v>
      </c>
      <c r="F259" s="10" t="n">
        <f aca="false">IFERROR(INDEX('1. Insumos'!$F$5:$F$93,MATCH($C259,'1. Insumos'!$B$5:$B$93,0)),0)</f>
        <v>0.175</v>
      </c>
      <c r="G259" s="13" t="n">
        <f aca="false">D259*F259</f>
        <v>0.875</v>
      </c>
      <c r="H259" s="14" t="s">
        <v>84</v>
      </c>
    </row>
    <row r="260" customFormat="false" ht="15" hidden="false" customHeight="false" outlineLevel="0" collapsed="false">
      <c r="A260" s="7" t="n">
        <v>26</v>
      </c>
      <c r="B260" s="7" t="s">
        <v>345</v>
      </c>
      <c r="C260" s="7" t="s">
        <v>57</v>
      </c>
      <c r="D260" s="8" t="n">
        <v>500</v>
      </c>
      <c r="E260" s="7" t="s">
        <v>55</v>
      </c>
      <c r="F260" s="10" t="n">
        <f aca="false">IFERROR(INDEX('1. Insumos'!$F$5:$F$93,MATCH($C260,'1. Insumos'!$B$5:$B$93,0)),0)</f>
        <v>0.29</v>
      </c>
      <c r="G260" s="13" t="n">
        <f aca="false">D260*F260</f>
        <v>145</v>
      </c>
      <c r="H260" s="14" t="s">
        <v>348</v>
      </c>
    </row>
    <row r="261" customFormat="false" ht="15" hidden="false" customHeight="false" outlineLevel="0" collapsed="false">
      <c r="A261" s="7" t="n">
        <v>26</v>
      </c>
      <c r="B261" s="7" t="s">
        <v>345</v>
      </c>
      <c r="C261" s="7" t="s">
        <v>69</v>
      </c>
      <c r="D261" s="8" t="n">
        <v>6</v>
      </c>
      <c r="E261" s="7" t="s">
        <v>64</v>
      </c>
      <c r="F261" s="10" t="n">
        <f aca="false">IFERROR(INDEX('1. Insumos'!$F$5:$F$93,MATCH($C261,'1. Insumos'!$B$5:$B$93,0)),0)</f>
        <v>1.5</v>
      </c>
      <c r="G261" s="13" t="n">
        <f aca="false">D261*F261</f>
        <v>9</v>
      </c>
      <c r="H261" s="14" t="s">
        <v>316</v>
      </c>
    </row>
    <row r="262" customFormat="false" ht="15" hidden="false" customHeight="false" outlineLevel="0" collapsed="false">
      <c r="A262" s="7" t="n">
        <v>26</v>
      </c>
      <c r="B262" s="7" t="s">
        <v>345</v>
      </c>
      <c r="C262" s="7" t="s">
        <v>97</v>
      </c>
      <c r="D262" s="8" t="n">
        <v>3</v>
      </c>
      <c r="E262" s="7" t="s">
        <v>64</v>
      </c>
      <c r="F262" s="10" t="n">
        <f aca="false">IFERROR(INDEX('1. Insumos'!$F$5:$F$93,MATCH($C262,'1. Insumos'!$B$5:$B$93,0)),0)</f>
        <v>2.91666666666667</v>
      </c>
      <c r="G262" s="13" t="n">
        <f aca="false">D262*F262</f>
        <v>8.75</v>
      </c>
      <c r="H262" s="14" t="s">
        <v>199</v>
      </c>
    </row>
    <row r="263" customFormat="false" ht="15" hidden="false" customHeight="false" outlineLevel="0" collapsed="false">
      <c r="A263" s="7" t="n">
        <v>26</v>
      </c>
      <c r="B263" s="7" t="s">
        <v>345</v>
      </c>
      <c r="C263" s="7" t="s">
        <v>88</v>
      </c>
      <c r="D263" s="8" t="n">
        <v>2</v>
      </c>
      <c r="E263" s="7" t="s">
        <v>64</v>
      </c>
      <c r="F263" s="10" t="n">
        <f aca="false">IFERROR(INDEX('1. Insumos'!$F$5:$F$93,MATCH($C263,'1. Insumos'!$B$5:$B$93,0)),0)</f>
        <v>0.875</v>
      </c>
      <c r="G263" s="13" t="n">
        <f aca="false">D263*F263</f>
        <v>1.75</v>
      </c>
      <c r="H263" s="14" t="s">
        <v>171</v>
      </c>
    </row>
    <row r="264" customFormat="false" ht="15" hidden="false" customHeight="false" outlineLevel="0" collapsed="false">
      <c r="A264" s="7" t="n">
        <v>26</v>
      </c>
      <c r="B264" s="7" t="s">
        <v>345</v>
      </c>
      <c r="C264" s="7" t="s">
        <v>90</v>
      </c>
      <c r="D264" s="8" t="n">
        <v>0.25</v>
      </c>
      <c r="E264" s="7" t="s">
        <v>64</v>
      </c>
      <c r="F264" s="10" t="n">
        <f aca="false">IFERROR(INDEX('1. Insumos'!$F$5:$F$93,MATCH($C264,'1. Insumos'!$B$5:$B$93,0)),0)</f>
        <v>3.75</v>
      </c>
      <c r="G264" s="13" t="n">
        <f aca="false">D264*F264</f>
        <v>0.9375</v>
      </c>
      <c r="H264" s="14" t="s">
        <v>349</v>
      </c>
    </row>
    <row r="265" customFormat="false" ht="15" hidden="false" customHeight="false" outlineLevel="0" collapsed="false">
      <c r="A265" s="7" t="n">
        <v>26</v>
      </c>
      <c r="B265" s="7" t="s">
        <v>345</v>
      </c>
      <c r="C265" s="7" t="s">
        <v>115</v>
      </c>
      <c r="D265" s="8" t="n">
        <v>1</v>
      </c>
      <c r="E265" s="7" t="s">
        <v>64</v>
      </c>
      <c r="F265" s="10" t="n">
        <f aca="false">IFERROR(INDEX('1. Insumos'!$F$5:$F$93,MATCH($C265,'1. Insumos'!$B$5:$B$93,0)),0)</f>
        <v>0.5</v>
      </c>
      <c r="G265" s="13" t="n">
        <f aca="false">D265*F265</f>
        <v>0.5</v>
      </c>
      <c r="H265" s="14" t="s">
        <v>350</v>
      </c>
    </row>
    <row r="266" customFormat="false" ht="15" hidden="false" customHeight="false" outlineLevel="0" collapsed="false">
      <c r="A266" s="7" t="n">
        <v>27</v>
      </c>
      <c r="B266" s="7" t="s">
        <v>351</v>
      </c>
      <c r="C266" s="7" t="s">
        <v>143</v>
      </c>
      <c r="D266" s="8" t="n">
        <v>1000</v>
      </c>
      <c r="E266" s="7" t="s">
        <v>55</v>
      </c>
      <c r="F266" s="10" t="n">
        <f aca="false">IFERROR(INDEX('1. Insumos'!$F$5:$F$93,MATCH($C266,'1. Insumos'!$B$5:$B$93,0)),0)</f>
        <v>0.032</v>
      </c>
      <c r="G266" s="13" t="n">
        <f aca="false">D266*F266</f>
        <v>32</v>
      </c>
      <c r="H266" s="14" t="s">
        <v>177</v>
      </c>
    </row>
    <row r="267" customFormat="false" ht="15" hidden="false" customHeight="false" outlineLevel="0" collapsed="false">
      <c r="A267" s="7" t="n">
        <v>27</v>
      </c>
      <c r="B267" s="7" t="s">
        <v>351</v>
      </c>
      <c r="C267" s="7" t="s">
        <v>110</v>
      </c>
      <c r="D267" s="8" t="n">
        <v>240</v>
      </c>
      <c r="E267" s="7" t="s">
        <v>55</v>
      </c>
      <c r="F267" s="10" t="n">
        <f aca="false">IFERROR(INDEX('1. Insumos'!$F$5:$F$93,MATCH($C267,'1. Insumos'!$B$5:$B$93,0)),0)</f>
        <v>0.145</v>
      </c>
      <c r="G267" s="13" t="n">
        <f aca="false">D267*F267</f>
        <v>34.8</v>
      </c>
      <c r="H267" s="14" t="s">
        <v>178</v>
      </c>
    </row>
    <row r="268" customFormat="false" ht="15" hidden="false" customHeight="false" outlineLevel="0" collapsed="false">
      <c r="A268" s="7" t="n">
        <v>27</v>
      </c>
      <c r="B268" s="7" t="s">
        <v>351</v>
      </c>
      <c r="C268" s="7" t="s">
        <v>52</v>
      </c>
      <c r="D268" s="8" t="n">
        <v>280</v>
      </c>
      <c r="E268" s="7" t="s">
        <v>47</v>
      </c>
      <c r="F268" s="10" t="n">
        <f aca="false">IFERROR(INDEX('1. Insumos'!$F$5:$F$93,MATCH($C268,'1. Insumos'!$B$5:$B$93,0)),0)</f>
        <v>0.03</v>
      </c>
      <c r="G268" s="13" t="n">
        <f aca="false">D268*F268</f>
        <v>8.4</v>
      </c>
      <c r="H268" s="14" t="s">
        <v>352</v>
      </c>
    </row>
    <row r="269" customFormat="false" ht="15" hidden="false" customHeight="false" outlineLevel="0" collapsed="false">
      <c r="A269" s="7" t="n">
        <v>27</v>
      </c>
      <c r="B269" s="7" t="s">
        <v>351</v>
      </c>
      <c r="C269" s="7" t="s">
        <v>85</v>
      </c>
      <c r="D269" s="8" t="n">
        <v>16</v>
      </c>
      <c r="E269" s="7" t="s">
        <v>55</v>
      </c>
      <c r="F269" s="10" t="n">
        <f aca="false">IFERROR(INDEX('1. Insumos'!$F$5:$F$93,MATCH($C269,'1. Insumos'!$B$5:$B$93,0)),0)</f>
        <v>0.025</v>
      </c>
      <c r="G269" s="13" t="n">
        <f aca="false">D269*F269</f>
        <v>0.4</v>
      </c>
      <c r="H269" s="14" t="s">
        <v>167</v>
      </c>
    </row>
    <row r="270" customFormat="false" ht="15" hidden="false" customHeight="false" outlineLevel="0" collapsed="false">
      <c r="A270" s="7" t="n">
        <v>27</v>
      </c>
      <c r="B270" s="7" t="s">
        <v>351</v>
      </c>
      <c r="C270" s="7" t="s">
        <v>84</v>
      </c>
      <c r="D270" s="8" t="n">
        <v>5</v>
      </c>
      <c r="E270" s="7" t="s">
        <v>55</v>
      </c>
      <c r="F270" s="10" t="n">
        <f aca="false">IFERROR(INDEX('1. Insumos'!$F$5:$F$93,MATCH($C270,'1. Insumos'!$B$5:$B$93,0)),0)</f>
        <v>0.175</v>
      </c>
      <c r="G270" s="13" t="n">
        <f aca="false">D270*F270</f>
        <v>0.875</v>
      </c>
      <c r="H270" s="14" t="s">
        <v>84</v>
      </c>
    </row>
    <row r="271" customFormat="false" ht="15" hidden="false" customHeight="false" outlineLevel="0" collapsed="false">
      <c r="A271" s="7" t="n">
        <v>27</v>
      </c>
      <c r="B271" s="7" t="s">
        <v>351</v>
      </c>
      <c r="C271" s="7" t="s">
        <v>54</v>
      </c>
      <c r="D271" s="8" t="n">
        <v>550</v>
      </c>
      <c r="E271" s="7" t="s">
        <v>55</v>
      </c>
      <c r="F271" s="10" t="n">
        <f aca="false">IFERROR(INDEX('1. Insumos'!$F$5:$F$93,MATCH($C271,'1. Insumos'!$B$5:$B$93,0)),0)</f>
        <v>0.42</v>
      </c>
      <c r="G271" s="13" t="n">
        <f aca="false">D271*F271</f>
        <v>231</v>
      </c>
      <c r="H271" s="14" t="s">
        <v>353</v>
      </c>
    </row>
    <row r="272" customFormat="false" ht="15" hidden="false" customHeight="false" outlineLevel="0" collapsed="false">
      <c r="A272" s="7" t="n">
        <v>27</v>
      </c>
      <c r="B272" s="7" t="s">
        <v>351</v>
      </c>
      <c r="C272" s="7" t="s">
        <v>71</v>
      </c>
      <c r="D272" s="8" t="n">
        <v>5</v>
      </c>
      <c r="E272" s="7" t="s">
        <v>64</v>
      </c>
      <c r="F272" s="10" t="n">
        <f aca="false">IFERROR(INDEX('1. Insumos'!$F$5:$F$93,MATCH($C272,'1. Insumos'!$B$5:$B$93,0)),0)</f>
        <v>5</v>
      </c>
      <c r="G272" s="13" t="n">
        <f aca="false">D272*F272</f>
        <v>25</v>
      </c>
      <c r="H272" s="14" t="s">
        <v>354</v>
      </c>
    </row>
    <row r="273" customFormat="false" ht="15" hidden="false" customHeight="false" outlineLevel="0" collapsed="false">
      <c r="A273" s="7" t="n">
        <v>27</v>
      </c>
      <c r="B273" s="7" t="s">
        <v>351</v>
      </c>
      <c r="C273" s="7" t="s">
        <v>116</v>
      </c>
      <c r="D273" s="8" t="n">
        <v>20</v>
      </c>
      <c r="E273" s="7" t="s">
        <v>55</v>
      </c>
      <c r="F273" s="10" t="n">
        <f aca="false">IFERROR(INDEX('1. Insumos'!$F$5:$F$93,MATCH($C273,'1. Insumos'!$B$5:$B$93,0)),0)</f>
        <v>0.6</v>
      </c>
      <c r="G273" s="13" t="n">
        <f aca="false">D273*F273</f>
        <v>12</v>
      </c>
      <c r="H273" s="14" t="s">
        <v>355</v>
      </c>
    </row>
    <row r="274" customFormat="false" ht="15" hidden="false" customHeight="false" outlineLevel="0" collapsed="false">
      <c r="A274" s="7" t="n">
        <v>28</v>
      </c>
      <c r="B274" s="7" t="s">
        <v>356</v>
      </c>
      <c r="C274" s="7" t="s">
        <v>143</v>
      </c>
      <c r="D274" s="8" t="n">
        <v>1000</v>
      </c>
      <c r="E274" s="7" t="s">
        <v>55</v>
      </c>
      <c r="F274" s="10" t="n">
        <f aca="false">IFERROR(INDEX('1. Insumos'!$F$5:$F$93,MATCH($C274,'1. Insumos'!$B$5:$B$93,0)),0)</f>
        <v>0.032</v>
      </c>
      <c r="G274" s="13" t="n">
        <f aca="false">D274*F274</f>
        <v>32</v>
      </c>
      <c r="H274" s="14" t="s">
        <v>277</v>
      </c>
    </row>
    <row r="275" customFormat="false" ht="15" hidden="false" customHeight="false" outlineLevel="0" collapsed="false">
      <c r="A275" s="7" t="n">
        <v>28</v>
      </c>
      <c r="B275" s="7" t="s">
        <v>356</v>
      </c>
      <c r="C275" s="7" t="s">
        <v>110</v>
      </c>
      <c r="D275" s="8" t="n">
        <v>285</v>
      </c>
      <c r="E275" s="7" t="s">
        <v>55</v>
      </c>
      <c r="F275" s="10" t="n">
        <f aca="false">IFERROR(INDEX('1. Insumos'!$F$5:$F$93,MATCH($C275,'1. Insumos'!$B$5:$B$93,0)),0)</f>
        <v>0.145</v>
      </c>
      <c r="G275" s="13" t="n">
        <f aca="false">D275*F275</f>
        <v>41.325</v>
      </c>
      <c r="H275" s="14" t="s">
        <v>164</v>
      </c>
    </row>
    <row r="276" customFormat="false" ht="15" hidden="false" customHeight="false" outlineLevel="0" collapsed="false">
      <c r="A276" s="7" t="n">
        <v>28</v>
      </c>
      <c r="B276" s="7" t="s">
        <v>356</v>
      </c>
      <c r="C276" s="7" t="s">
        <v>52</v>
      </c>
      <c r="D276" s="8" t="n">
        <v>260</v>
      </c>
      <c r="E276" s="7" t="s">
        <v>47</v>
      </c>
      <c r="F276" s="10" t="n">
        <f aca="false">IFERROR(INDEX('1. Insumos'!$F$5:$F$93,MATCH($C276,'1. Insumos'!$B$5:$B$93,0)),0)</f>
        <v>0.03</v>
      </c>
      <c r="G276" s="13" t="n">
        <f aca="false">D276*F276</f>
        <v>7.8</v>
      </c>
      <c r="H276" s="14" t="s">
        <v>357</v>
      </c>
    </row>
    <row r="277" customFormat="false" ht="15" hidden="false" customHeight="false" outlineLevel="0" collapsed="false">
      <c r="A277" s="7" t="n">
        <v>28</v>
      </c>
      <c r="B277" s="7" t="s">
        <v>356</v>
      </c>
      <c r="C277" s="7" t="s">
        <v>85</v>
      </c>
      <c r="D277" s="8" t="n">
        <v>16</v>
      </c>
      <c r="E277" s="7" t="s">
        <v>55</v>
      </c>
      <c r="F277" s="10" t="n">
        <f aca="false">IFERROR(INDEX('1. Insumos'!$F$5:$F$93,MATCH($C277,'1. Insumos'!$B$5:$B$93,0)),0)</f>
        <v>0.025</v>
      </c>
      <c r="G277" s="13" t="n">
        <f aca="false">D277*F277</f>
        <v>0.4</v>
      </c>
      <c r="H277" s="14" t="s">
        <v>167</v>
      </c>
    </row>
    <row r="278" customFormat="false" ht="15" hidden="false" customHeight="false" outlineLevel="0" collapsed="false">
      <c r="A278" s="7" t="n">
        <v>28</v>
      </c>
      <c r="B278" s="7" t="s">
        <v>356</v>
      </c>
      <c r="C278" s="7" t="s">
        <v>84</v>
      </c>
      <c r="D278" s="8" t="n">
        <v>6</v>
      </c>
      <c r="E278" s="7" t="s">
        <v>55</v>
      </c>
      <c r="F278" s="10" t="n">
        <f aca="false">IFERROR(INDEX('1. Insumos'!$F$5:$F$93,MATCH($C278,'1. Insumos'!$B$5:$B$93,0)),0)</f>
        <v>0.175</v>
      </c>
      <c r="G278" s="13" t="n">
        <f aca="false">D278*F278</f>
        <v>1.05</v>
      </c>
      <c r="H278" s="14" t="s">
        <v>84</v>
      </c>
    </row>
    <row r="279" customFormat="false" ht="15" hidden="false" customHeight="false" outlineLevel="0" collapsed="false">
      <c r="A279" s="7" t="n">
        <v>28</v>
      </c>
      <c r="B279" s="7" t="s">
        <v>356</v>
      </c>
      <c r="C279" s="7" t="s">
        <v>60</v>
      </c>
      <c r="D279" s="8" t="n">
        <v>500</v>
      </c>
      <c r="E279" s="7" t="s">
        <v>55</v>
      </c>
      <c r="F279" s="10" t="n">
        <f aca="false">IFERROR(INDEX('1. Insumos'!$F$5:$F$93,MATCH($C279,'1. Insumos'!$B$5:$B$93,0)),0)</f>
        <v>0.165</v>
      </c>
      <c r="G279" s="13" t="n">
        <f aca="false">D279*F279</f>
        <v>82.5</v>
      </c>
      <c r="H279" s="14" t="s">
        <v>358</v>
      </c>
    </row>
    <row r="280" customFormat="false" ht="15" hidden="false" customHeight="false" outlineLevel="0" collapsed="false">
      <c r="A280" s="7" t="n">
        <v>28</v>
      </c>
      <c r="B280" s="7" t="s">
        <v>356</v>
      </c>
      <c r="C280" s="7" t="s">
        <v>98</v>
      </c>
      <c r="D280" s="8" t="n">
        <v>600</v>
      </c>
      <c r="E280" s="7" t="s">
        <v>55</v>
      </c>
      <c r="F280" s="10" t="n">
        <f aca="false">IFERROR(INDEX('1. Insumos'!$F$5:$F$93,MATCH($C280,'1. Insumos'!$B$5:$B$93,0)),0)</f>
        <v>0.04</v>
      </c>
      <c r="G280" s="13" t="n">
        <f aca="false">D280*F280</f>
        <v>24</v>
      </c>
      <c r="H280" s="14" t="s">
        <v>359</v>
      </c>
    </row>
    <row r="281" customFormat="false" ht="15" hidden="false" customHeight="false" outlineLevel="0" collapsed="false">
      <c r="A281" s="7" t="n">
        <v>28</v>
      </c>
      <c r="B281" s="7" t="s">
        <v>356</v>
      </c>
      <c r="C281" s="7" t="s">
        <v>94</v>
      </c>
      <c r="D281" s="8" t="n">
        <v>4</v>
      </c>
      <c r="E281" s="7" t="s">
        <v>64</v>
      </c>
      <c r="F281" s="10" t="n">
        <f aca="false">IFERROR(INDEX('1. Insumos'!$F$5:$F$93,MATCH($C281,'1. Insumos'!$B$5:$B$93,0)),0)</f>
        <v>1.1</v>
      </c>
      <c r="G281" s="13" t="n">
        <f aca="false">D281*F281</f>
        <v>4.4</v>
      </c>
      <c r="H281" s="14" t="s">
        <v>360</v>
      </c>
    </row>
    <row r="282" customFormat="false" ht="15" hidden="false" customHeight="false" outlineLevel="0" collapsed="false">
      <c r="A282" s="7" t="n">
        <v>28</v>
      </c>
      <c r="B282" s="7" t="s">
        <v>356</v>
      </c>
      <c r="C282" s="7" t="s">
        <v>88</v>
      </c>
      <c r="D282" s="8" t="n">
        <v>2</v>
      </c>
      <c r="E282" s="7" t="s">
        <v>64</v>
      </c>
      <c r="F282" s="10" t="n">
        <f aca="false">IFERROR(INDEX('1. Insumos'!$F$5:$F$93,MATCH($C282,'1. Insumos'!$B$5:$B$93,0)),0)</f>
        <v>0.875</v>
      </c>
      <c r="G282" s="13" t="n">
        <f aca="false">D282*F282</f>
        <v>1.75</v>
      </c>
      <c r="H282" s="14" t="s">
        <v>208</v>
      </c>
    </row>
    <row r="283" customFormat="false" ht="15" hidden="false" customHeight="false" outlineLevel="0" collapsed="false">
      <c r="A283" s="7" t="n">
        <v>28</v>
      </c>
      <c r="B283" s="7" t="s">
        <v>356</v>
      </c>
      <c r="C283" s="7" t="s">
        <v>113</v>
      </c>
      <c r="D283" s="8" t="n">
        <v>1</v>
      </c>
      <c r="E283" s="7" t="s">
        <v>64</v>
      </c>
      <c r="F283" s="10" t="n">
        <f aca="false">IFERROR(INDEX('1. Insumos'!$F$5:$F$93,MATCH($C283,'1. Insumos'!$B$5:$B$93,0)),0)</f>
        <v>1.8</v>
      </c>
      <c r="G283" s="13" t="n">
        <f aca="false">D283*F283</f>
        <v>1.8</v>
      </c>
      <c r="H283" s="14" t="s">
        <v>361</v>
      </c>
    </row>
    <row r="284" customFormat="false" ht="15" hidden="false" customHeight="false" outlineLevel="0" collapsed="false">
      <c r="A284" s="7" t="n">
        <v>29</v>
      </c>
      <c r="B284" s="7" t="s">
        <v>362</v>
      </c>
      <c r="C284" s="7" t="s">
        <v>143</v>
      </c>
      <c r="D284" s="8" t="n">
        <v>1000</v>
      </c>
      <c r="E284" s="7" t="s">
        <v>55</v>
      </c>
      <c r="F284" s="10" t="n">
        <f aca="false">IFERROR(INDEX('1. Insumos'!$F$5:$F$93,MATCH($C284,'1. Insumos'!$B$5:$B$93,0)),0)</f>
        <v>0.032</v>
      </c>
      <c r="G284" s="13" t="n">
        <f aca="false">D284*F284</f>
        <v>32</v>
      </c>
      <c r="H284" s="14" t="s">
        <v>177</v>
      </c>
    </row>
    <row r="285" customFormat="false" ht="15" hidden="false" customHeight="false" outlineLevel="0" collapsed="false">
      <c r="A285" s="7" t="n">
        <v>29</v>
      </c>
      <c r="B285" s="7" t="s">
        <v>362</v>
      </c>
      <c r="C285" s="7" t="s">
        <v>110</v>
      </c>
      <c r="D285" s="8" t="n">
        <v>240</v>
      </c>
      <c r="E285" s="7" t="s">
        <v>55</v>
      </c>
      <c r="F285" s="10" t="n">
        <f aca="false">IFERROR(INDEX('1. Insumos'!$F$5:$F$93,MATCH($C285,'1. Insumos'!$B$5:$B$93,0)),0)</f>
        <v>0.145</v>
      </c>
      <c r="G285" s="13" t="n">
        <f aca="false">D285*F285</f>
        <v>34.8</v>
      </c>
      <c r="H285" s="14" t="s">
        <v>363</v>
      </c>
    </row>
    <row r="286" customFormat="false" ht="15" hidden="false" customHeight="false" outlineLevel="0" collapsed="false">
      <c r="A286" s="7" t="n">
        <v>29</v>
      </c>
      <c r="B286" s="7" t="s">
        <v>362</v>
      </c>
      <c r="C286" s="7" t="s">
        <v>74</v>
      </c>
      <c r="D286" s="8" t="n">
        <v>180</v>
      </c>
      <c r="E286" s="7" t="s">
        <v>55</v>
      </c>
      <c r="F286" s="10" t="n">
        <f aca="false">IFERROR(INDEX('1. Insumos'!$F$5:$F$93,MATCH($C286,'1. Insumos'!$B$5:$B$93,0)),0)</f>
        <v>0.032</v>
      </c>
      <c r="G286" s="13" t="n">
        <f aca="false">D286*F286</f>
        <v>5.76</v>
      </c>
      <c r="H286" s="14" t="s">
        <v>364</v>
      </c>
    </row>
    <row r="287" customFormat="false" ht="15" hidden="false" customHeight="false" outlineLevel="0" collapsed="false">
      <c r="A287" s="7" t="n">
        <v>29</v>
      </c>
      <c r="B287" s="7" t="s">
        <v>362</v>
      </c>
      <c r="C287" s="7" t="s">
        <v>78</v>
      </c>
      <c r="D287" s="8" t="n">
        <v>220</v>
      </c>
      <c r="E287" s="7" t="s">
        <v>55</v>
      </c>
      <c r="F287" s="10" t="n">
        <f aca="false">IFERROR(INDEX('1. Insumos'!$F$5:$F$93,MATCH($C287,'1. Insumos'!$B$5:$B$93,0)),0)</f>
        <v>0.45</v>
      </c>
      <c r="G287" s="13" t="n">
        <f aca="false">D287*F287</f>
        <v>99</v>
      </c>
      <c r="H287" s="14" t="s">
        <v>365</v>
      </c>
    </row>
    <row r="288" customFormat="false" ht="15" hidden="false" customHeight="false" outlineLevel="0" collapsed="false">
      <c r="A288" s="7" t="n">
        <v>29</v>
      </c>
      <c r="B288" s="7" t="s">
        <v>362</v>
      </c>
      <c r="C288" s="7" t="s">
        <v>133</v>
      </c>
      <c r="D288" s="8" t="n">
        <v>15</v>
      </c>
      <c r="E288" s="7" t="s">
        <v>47</v>
      </c>
      <c r="F288" s="10" t="n">
        <f aca="false">IFERROR(INDEX('1. Insumos'!$F$5:$F$93,MATCH($C288,'1. Insumos'!$B$5:$B$93,0)),0)</f>
        <v>3.16666666666667</v>
      </c>
      <c r="G288" s="13" t="n">
        <f aca="false">D288*F288</f>
        <v>47.5</v>
      </c>
      <c r="H288" s="14" t="s">
        <v>133</v>
      </c>
    </row>
    <row r="289" customFormat="false" ht="15" hidden="false" customHeight="false" outlineLevel="0" collapsed="false">
      <c r="A289" s="7" t="n">
        <v>29</v>
      </c>
      <c r="B289" s="7" t="s">
        <v>362</v>
      </c>
      <c r="C289" s="7" t="s">
        <v>81</v>
      </c>
      <c r="D289" s="8" t="n">
        <v>2</v>
      </c>
      <c r="E289" s="7" t="s">
        <v>47</v>
      </c>
      <c r="F289" s="10" t="n">
        <f aca="false">IFERROR(INDEX('1. Insumos'!$F$5:$F$93,MATCH($C289,'1. Insumos'!$B$5:$B$93,0)),0)</f>
        <v>1.83333333333333</v>
      </c>
      <c r="G289" s="13" t="n">
        <f aca="false">D289*F289</f>
        <v>3.66666666666667</v>
      </c>
      <c r="H289" s="14" t="s">
        <v>366</v>
      </c>
    </row>
    <row r="290" customFormat="false" ht="15" hidden="false" customHeight="false" outlineLevel="0" collapsed="false">
      <c r="A290" s="7" t="n">
        <v>29</v>
      </c>
      <c r="B290" s="7" t="s">
        <v>362</v>
      </c>
      <c r="C290" s="7" t="s">
        <v>105</v>
      </c>
      <c r="D290" s="8" t="n">
        <v>150</v>
      </c>
      <c r="E290" s="7" t="s">
        <v>55</v>
      </c>
      <c r="F290" s="10" t="n">
        <f aca="false">IFERROR(INDEX('1. Insumos'!$F$5:$F$93,MATCH($C290,'1. Insumos'!$B$5:$B$93,0)),0)</f>
        <v>0.22</v>
      </c>
      <c r="G290" s="13" t="n">
        <f aca="false">D290*F290</f>
        <v>33</v>
      </c>
      <c r="H290" s="14" t="s">
        <v>367</v>
      </c>
    </row>
    <row r="291" customFormat="false" ht="15" hidden="false" customHeight="false" outlineLevel="0" collapsed="false">
      <c r="A291" s="7" t="n">
        <v>29</v>
      </c>
      <c r="B291" s="7" t="s">
        <v>362</v>
      </c>
      <c r="C291" s="7" t="s">
        <v>85</v>
      </c>
      <c r="D291" s="8" t="n">
        <v>4</v>
      </c>
      <c r="E291" s="7" t="s">
        <v>55</v>
      </c>
      <c r="F291" s="10" t="n">
        <f aca="false">IFERROR(INDEX('1. Insumos'!$F$5:$F$93,MATCH($C291,'1. Insumos'!$B$5:$B$93,0)),0)</f>
        <v>0.025</v>
      </c>
      <c r="G291" s="13" t="n">
        <f aca="false">D291*F291</f>
        <v>0.1</v>
      </c>
      <c r="H291" s="14" t="s">
        <v>167</v>
      </c>
    </row>
    <row r="292" customFormat="false" ht="15" hidden="false" customHeight="false" outlineLevel="0" collapsed="false">
      <c r="A292" s="7" t="n">
        <v>29</v>
      </c>
      <c r="B292" s="7" t="s">
        <v>362</v>
      </c>
      <c r="C292" s="7" t="s">
        <v>84</v>
      </c>
      <c r="D292" s="8" t="n">
        <v>6</v>
      </c>
      <c r="E292" s="7" t="s">
        <v>55</v>
      </c>
      <c r="F292" s="10" t="n">
        <f aca="false">IFERROR(INDEX('1. Insumos'!$F$5:$F$93,MATCH($C292,'1. Insumos'!$B$5:$B$93,0)),0)</f>
        <v>0.175</v>
      </c>
      <c r="G292" s="13" t="n">
        <f aca="false">D292*F292</f>
        <v>1.05</v>
      </c>
      <c r="H292" s="14" t="s">
        <v>84</v>
      </c>
    </row>
    <row r="293" customFormat="false" ht="15" hidden="false" customHeight="false" outlineLevel="0" collapsed="false">
      <c r="A293" s="7" t="n">
        <v>30</v>
      </c>
      <c r="B293" s="7" t="s">
        <v>368</v>
      </c>
      <c r="C293" s="7" t="s">
        <v>143</v>
      </c>
      <c r="D293" s="8" t="n">
        <v>1000</v>
      </c>
      <c r="E293" s="7" t="s">
        <v>55</v>
      </c>
      <c r="F293" s="10" t="n">
        <f aca="false">IFERROR(INDEX('1. Insumos'!$F$5:$F$93,MATCH($C293,'1. Insumos'!$B$5:$B$93,0)),0)</f>
        <v>0.032</v>
      </c>
      <c r="G293" s="13" t="n">
        <f aca="false">D293*F293</f>
        <v>32</v>
      </c>
      <c r="H293" s="14" t="s">
        <v>369</v>
      </c>
    </row>
    <row r="294" customFormat="false" ht="15" hidden="false" customHeight="false" outlineLevel="0" collapsed="false">
      <c r="A294" s="7" t="n">
        <v>30</v>
      </c>
      <c r="B294" s="7" t="s">
        <v>368</v>
      </c>
      <c r="C294" s="7" t="s">
        <v>110</v>
      </c>
      <c r="D294" s="8" t="n">
        <v>260</v>
      </c>
      <c r="E294" s="7" t="s">
        <v>55</v>
      </c>
      <c r="F294" s="10" t="n">
        <f aca="false">IFERROR(INDEX('1. Insumos'!$F$5:$F$93,MATCH($C294,'1. Insumos'!$B$5:$B$93,0)),0)</f>
        <v>0.145</v>
      </c>
      <c r="G294" s="13" t="n">
        <f aca="false">D294*F294</f>
        <v>37.7</v>
      </c>
      <c r="H294" s="14" t="s">
        <v>164</v>
      </c>
    </row>
    <row r="295" customFormat="false" ht="15" hidden="false" customHeight="false" outlineLevel="0" collapsed="false">
      <c r="A295" s="7" t="n">
        <v>30</v>
      </c>
      <c r="B295" s="7" t="s">
        <v>368</v>
      </c>
      <c r="C295" s="7" t="s">
        <v>49</v>
      </c>
      <c r="D295" s="8" t="n">
        <v>480</v>
      </c>
      <c r="E295" s="7" t="s">
        <v>47</v>
      </c>
      <c r="F295" s="10" t="n">
        <f aca="false">IFERROR(INDEX('1. Insumos'!$F$5:$F$93,MATCH($C295,'1. Insumos'!$B$5:$B$93,0)),0)</f>
        <v>0.032</v>
      </c>
      <c r="G295" s="13" t="n">
        <f aca="false">D295*F295</f>
        <v>15.36</v>
      </c>
      <c r="H295" s="14" t="s">
        <v>219</v>
      </c>
    </row>
    <row r="296" customFormat="false" ht="15" hidden="false" customHeight="false" outlineLevel="0" collapsed="false">
      <c r="A296" s="7" t="n">
        <v>30</v>
      </c>
      <c r="B296" s="7" t="s">
        <v>368</v>
      </c>
      <c r="C296" s="7" t="s">
        <v>85</v>
      </c>
      <c r="D296" s="8" t="n">
        <v>16</v>
      </c>
      <c r="E296" s="7" t="s">
        <v>55</v>
      </c>
      <c r="F296" s="10" t="n">
        <f aca="false">IFERROR(INDEX('1. Insumos'!$F$5:$F$93,MATCH($C296,'1. Insumos'!$B$5:$B$93,0)),0)</f>
        <v>0.025</v>
      </c>
      <c r="G296" s="13" t="n">
        <f aca="false">D296*F296</f>
        <v>0.4</v>
      </c>
      <c r="H296" s="14" t="s">
        <v>167</v>
      </c>
    </row>
    <row r="297" customFormat="false" ht="15" hidden="false" customHeight="false" outlineLevel="0" collapsed="false">
      <c r="A297" s="7" t="n">
        <v>30</v>
      </c>
      <c r="B297" s="7" t="s">
        <v>368</v>
      </c>
      <c r="C297" s="7" t="s">
        <v>84</v>
      </c>
      <c r="D297" s="8" t="n">
        <v>4</v>
      </c>
      <c r="E297" s="7" t="s">
        <v>55</v>
      </c>
      <c r="F297" s="10" t="n">
        <f aca="false">IFERROR(INDEX('1. Insumos'!$F$5:$F$93,MATCH($C297,'1. Insumos'!$B$5:$B$93,0)),0)</f>
        <v>0.175</v>
      </c>
      <c r="G297" s="13" t="n">
        <f aca="false">D297*F297</f>
        <v>0.7</v>
      </c>
      <c r="H297" s="14" t="s">
        <v>84</v>
      </c>
    </row>
    <row r="298" customFormat="false" ht="15" hidden="false" customHeight="false" outlineLevel="0" collapsed="false">
      <c r="A298" s="7" t="n">
        <v>30</v>
      </c>
      <c r="B298" s="7" t="s">
        <v>368</v>
      </c>
      <c r="C298" s="7" t="s">
        <v>61</v>
      </c>
      <c r="D298" s="8" t="n">
        <v>350</v>
      </c>
      <c r="E298" s="7" t="s">
        <v>55</v>
      </c>
      <c r="F298" s="10" t="n">
        <f aca="false">IFERROR(INDEX('1. Insumos'!$F$5:$F$93,MATCH($C298,'1. Insumos'!$B$5:$B$93,0)),0)</f>
        <v>0.185</v>
      </c>
      <c r="G298" s="13" t="n">
        <f aca="false">D298*F298</f>
        <v>64.75</v>
      </c>
      <c r="H298" s="14" t="s">
        <v>370</v>
      </c>
    </row>
    <row r="299" customFormat="false" ht="15" hidden="false" customHeight="false" outlineLevel="0" collapsed="false">
      <c r="A299" s="7" t="n">
        <v>30</v>
      </c>
      <c r="B299" s="7" t="s">
        <v>368</v>
      </c>
      <c r="C299" s="7" t="s">
        <v>71</v>
      </c>
      <c r="D299" s="8" t="n">
        <v>6</v>
      </c>
      <c r="E299" s="7" t="s">
        <v>64</v>
      </c>
      <c r="F299" s="10" t="n">
        <f aca="false">IFERROR(INDEX('1. Insumos'!$F$5:$F$93,MATCH($C299,'1. Insumos'!$B$5:$B$93,0)),0)</f>
        <v>5</v>
      </c>
      <c r="G299" s="13" t="n">
        <f aca="false">D299*F299</f>
        <v>30</v>
      </c>
      <c r="H299" s="14" t="s">
        <v>371</v>
      </c>
    </row>
    <row r="300" customFormat="false" ht="15" hidden="false" customHeight="false" outlineLevel="0" collapsed="false">
      <c r="A300" s="7" t="n">
        <v>30</v>
      </c>
      <c r="B300" s="7" t="s">
        <v>368</v>
      </c>
      <c r="C300" s="7" t="s">
        <v>98</v>
      </c>
      <c r="D300" s="8" t="n">
        <v>100</v>
      </c>
      <c r="E300" s="7" t="s">
        <v>55</v>
      </c>
      <c r="F300" s="10" t="n">
        <f aca="false">IFERROR(INDEX('1. Insumos'!$F$5:$F$93,MATCH($C300,'1. Insumos'!$B$5:$B$93,0)),0)</f>
        <v>0.04</v>
      </c>
      <c r="G300" s="13" t="n">
        <f aca="false">D300*F300</f>
        <v>4</v>
      </c>
      <c r="H300" s="14" t="s">
        <v>372</v>
      </c>
    </row>
    <row r="301" customFormat="false" ht="15" hidden="false" customHeight="false" outlineLevel="0" collapsed="false">
      <c r="A301" s="7" t="n">
        <v>30</v>
      </c>
      <c r="B301" s="7" t="s">
        <v>368</v>
      </c>
      <c r="C301" s="7" t="s">
        <v>88</v>
      </c>
      <c r="D301" s="8" t="n">
        <v>2</v>
      </c>
      <c r="E301" s="7" t="s">
        <v>64</v>
      </c>
      <c r="F301" s="10" t="n">
        <f aca="false">IFERROR(INDEX('1. Insumos'!$F$5:$F$93,MATCH($C301,'1. Insumos'!$B$5:$B$93,0)),0)</f>
        <v>0.875</v>
      </c>
      <c r="G301" s="13" t="n">
        <f aca="false">D301*F301</f>
        <v>1.75</v>
      </c>
      <c r="H301" s="14" t="s">
        <v>171</v>
      </c>
    </row>
    <row r="302" customFormat="false" ht="15" hidden="false" customHeight="false" outlineLevel="0" collapsed="false">
      <c r="A302" s="7" t="n">
        <v>30</v>
      </c>
      <c r="B302" s="7" t="s">
        <v>368</v>
      </c>
      <c r="C302" s="7" t="s">
        <v>114</v>
      </c>
      <c r="D302" s="8" t="n">
        <v>1</v>
      </c>
      <c r="E302" s="7" t="s">
        <v>64</v>
      </c>
      <c r="F302" s="10" t="n">
        <f aca="false">IFERROR(INDEX('1. Insumos'!$F$5:$F$93,MATCH($C302,'1. Insumos'!$B$5:$B$93,0)),0)</f>
        <v>2</v>
      </c>
      <c r="G302" s="13" t="n">
        <f aca="false">D302*F302</f>
        <v>2</v>
      </c>
      <c r="H302" s="14" t="s">
        <v>373</v>
      </c>
    </row>
    <row r="303" customFormat="false" ht="15" hidden="false" customHeight="false" outlineLevel="0" collapsed="false">
      <c r="A303" s="7" t="n">
        <v>31</v>
      </c>
      <c r="B303" s="7" t="s">
        <v>374</v>
      </c>
      <c r="C303" s="7" t="s">
        <v>143</v>
      </c>
      <c r="D303" s="8" t="n">
        <v>1000</v>
      </c>
      <c r="E303" s="7" t="s">
        <v>55</v>
      </c>
      <c r="F303" s="10" t="n">
        <f aca="false">IFERROR(INDEX('1. Insumos'!$F$5:$F$93,MATCH($C303,'1. Insumos'!$B$5:$B$93,0)),0)</f>
        <v>0.032</v>
      </c>
      <c r="G303" s="13" t="n">
        <f aca="false">D303*F303</f>
        <v>32</v>
      </c>
      <c r="H303" s="14" t="s">
        <v>277</v>
      </c>
    </row>
    <row r="304" customFormat="false" ht="15" hidden="false" customHeight="false" outlineLevel="0" collapsed="false">
      <c r="A304" s="7" t="n">
        <v>31</v>
      </c>
      <c r="B304" s="7" t="s">
        <v>374</v>
      </c>
      <c r="C304" s="7" t="s">
        <v>110</v>
      </c>
      <c r="D304" s="8" t="n">
        <v>270</v>
      </c>
      <c r="E304" s="7" t="s">
        <v>55</v>
      </c>
      <c r="F304" s="10" t="n">
        <f aca="false">IFERROR(INDEX('1. Insumos'!$F$5:$F$93,MATCH($C304,'1. Insumos'!$B$5:$B$93,0)),0)</f>
        <v>0.145</v>
      </c>
      <c r="G304" s="13" t="n">
        <f aca="false">D304*F304</f>
        <v>39.15</v>
      </c>
      <c r="H304" s="14" t="s">
        <v>164</v>
      </c>
    </row>
    <row r="305" customFormat="false" ht="15" hidden="false" customHeight="false" outlineLevel="0" collapsed="false">
      <c r="A305" s="7" t="n">
        <v>31</v>
      </c>
      <c r="B305" s="7" t="s">
        <v>374</v>
      </c>
      <c r="C305" s="7" t="s">
        <v>52</v>
      </c>
      <c r="D305" s="8" t="n">
        <v>510</v>
      </c>
      <c r="E305" s="7" t="s">
        <v>47</v>
      </c>
      <c r="F305" s="10" t="n">
        <f aca="false">IFERROR(INDEX('1. Insumos'!$F$5:$F$93,MATCH($C305,'1. Insumos'!$B$5:$B$93,0)),0)</f>
        <v>0.03</v>
      </c>
      <c r="G305" s="13" t="n">
        <f aca="false">D305*F305</f>
        <v>15.3</v>
      </c>
      <c r="H305" s="14" t="s">
        <v>357</v>
      </c>
    </row>
    <row r="306" customFormat="false" ht="15" hidden="false" customHeight="false" outlineLevel="0" collapsed="false">
      <c r="A306" s="7" t="n">
        <v>31</v>
      </c>
      <c r="B306" s="7" t="s">
        <v>374</v>
      </c>
      <c r="C306" s="7" t="s">
        <v>85</v>
      </c>
      <c r="D306" s="8" t="n">
        <v>16</v>
      </c>
      <c r="E306" s="7" t="s">
        <v>55</v>
      </c>
      <c r="F306" s="10" t="n">
        <f aca="false">IFERROR(INDEX('1. Insumos'!$F$5:$F$93,MATCH($C306,'1. Insumos'!$B$5:$B$93,0)),0)</f>
        <v>0.025</v>
      </c>
      <c r="G306" s="13" t="n">
        <f aca="false">D306*F306</f>
        <v>0.4</v>
      </c>
      <c r="H306" s="14" t="s">
        <v>204</v>
      </c>
    </row>
    <row r="307" customFormat="false" ht="15" hidden="false" customHeight="false" outlineLevel="0" collapsed="false">
      <c r="A307" s="7" t="n">
        <v>31</v>
      </c>
      <c r="B307" s="7" t="s">
        <v>374</v>
      </c>
      <c r="C307" s="7" t="s">
        <v>84</v>
      </c>
      <c r="D307" s="8" t="n">
        <v>5</v>
      </c>
      <c r="E307" s="7" t="s">
        <v>55</v>
      </c>
      <c r="F307" s="10" t="n">
        <f aca="false">IFERROR(INDEX('1. Insumos'!$F$5:$F$93,MATCH($C307,'1. Insumos'!$B$5:$B$93,0)),0)</f>
        <v>0.175</v>
      </c>
      <c r="G307" s="13" t="n">
        <f aca="false">D307*F307</f>
        <v>0.875</v>
      </c>
      <c r="H307" s="14" t="s">
        <v>84</v>
      </c>
    </row>
    <row r="308" customFormat="false" ht="15" hidden="false" customHeight="false" outlineLevel="0" collapsed="false">
      <c r="A308" s="7" t="n">
        <v>31</v>
      </c>
      <c r="B308" s="7" t="s">
        <v>374</v>
      </c>
      <c r="C308" s="7" t="s">
        <v>60</v>
      </c>
      <c r="D308" s="8" t="n">
        <v>500</v>
      </c>
      <c r="E308" s="7" t="s">
        <v>55</v>
      </c>
      <c r="F308" s="10" t="n">
        <f aca="false">IFERROR(INDEX('1. Insumos'!$F$5:$F$93,MATCH($C308,'1. Insumos'!$B$5:$B$93,0)),0)</f>
        <v>0.165</v>
      </c>
      <c r="G308" s="13" t="n">
        <f aca="false">D308*F308</f>
        <v>82.5</v>
      </c>
      <c r="H308" s="14" t="s">
        <v>375</v>
      </c>
    </row>
    <row r="309" customFormat="false" ht="15" hidden="false" customHeight="false" outlineLevel="0" collapsed="false">
      <c r="A309" s="7" t="n">
        <v>31</v>
      </c>
      <c r="B309" s="7" t="s">
        <v>374</v>
      </c>
      <c r="C309" s="7" t="s">
        <v>95</v>
      </c>
      <c r="D309" s="8" t="n">
        <v>3.89</v>
      </c>
      <c r="E309" s="7" t="s">
        <v>64</v>
      </c>
      <c r="F309" s="10" t="n">
        <f aca="false">IFERROR(INDEX('1. Insumos'!$F$5:$F$93,MATCH($C309,'1. Insumos'!$B$5:$B$93,0)),0)</f>
        <v>3.5</v>
      </c>
      <c r="G309" s="13" t="n">
        <f aca="false">D309*F309</f>
        <v>13.615</v>
      </c>
      <c r="H309" s="14" t="s">
        <v>376</v>
      </c>
    </row>
    <row r="310" customFormat="false" ht="15" hidden="false" customHeight="false" outlineLevel="0" collapsed="false">
      <c r="A310" s="7" t="n">
        <v>31</v>
      </c>
      <c r="B310" s="7" t="s">
        <v>374</v>
      </c>
      <c r="C310" s="7" t="s">
        <v>145</v>
      </c>
      <c r="D310" s="8" t="n">
        <v>20</v>
      </c>
      <c r="E310" s="7" t="s">
        <v>55</v>
      </c>
      <c r="F310" s="10" t="n">
        <f aca="false">IFERROR(INDEX('1. Insumos'!$F$5:$F$93,MATCH($C310,'1. Insumos'!$B$5:$B$93,0)),0)</f>
        <v>0.32</v>
      </c>
      <c r="G310" s="13" t="n">
        <f aca="false">D310*F310</f>
        <v>6.4</v>
      </c>
      <c r="H310" s="14" t="s">
        <v>377</v>
      </c>
    </row>
    <row r="311" customFormat="false" ht="15" hidden="false" customHeight="false" outlineLevel="0" collapsed="false">
      <c r="A311" s="7" t="n">
        <v>31</v>
      </c>
      <c r="B311" s="7" t="s">
        <v>374</v>
      </c>
      <c r="C311" s="7" t="s">
        <v>77</v>
      </c>
      <c r="D311" s="8" t="n">
        <v>20</v>
      </c>
      <c r="E311" s="7" t="s">
        <v>55</v>
      </c>
      <c r="F311" s="10" t="n">
        <f aca="false">IFERROR(INDEX('1. Insumos'!$F$5:$F$93,MATCH($C311,'1. Insumos'!$B$5:$B$93,0)),0)</f>
        <v>0.22</v>
      </c>
      <c r="G311" s="13" t="n">
        <f aca="false">D311*F311</f>
        <v>4.4</v>
      </c>
      <c r="H311" s="14" t="s">
        <v>378</v>
      </c>
    </row>
    <row r="312" customFormat="false" ht="15" hidden="false" customHeight="false" outlineLevel="0" collapsed="false">
      <c r="A312" s="7" t="n">
        <v>32</v>
      </c>
      <c r="B312" s="7" t="s">
        <v>379</v>
      </c>
      <c r="C312" s="7" t="s">
        <v>143</v>
      </c>
      <c r="D312" s="8" t="n">
        <v>1000</v>
      </c>
      <c r="E312" s="7" t="s">
        <v>55</v>
      </c>
      <c r="F312" s="10" t="n">
        <f aca="false">IFERROR(INDEX('1. Insumos'!$F$5:$F$93,MATCH($C312,'1. Insumos'!$B$5:$B$93,0)),0)</f>
        <v>0.032</v>
      </c>
      <c r="G312" s="13" t="n">
        <f aca="false">D312*F312</f>
        <v>32</v>
      </c>
      <c r="H312" s="14" t="s">
        <v>177</v>
      </c>
    </row>
    <row r="313" customFormat="false" ht="15" hidden="false" customHeight="false" outlineLevel="0" collapsed="false">
      <c r="A313" s="7" t="n">
        <v>32</v>
      </c>
      <c r="B313" s="7" t="s">
        <v>379</v>
      </c>
      <c r="C313" s="7" t="s">
        <v>110</v>
      </c>
      <c r="D313" s="8" t="n">
        <v>265</v>
      </c>
      <c r="E313" s="7" t="s">
        <v>55</v>
      </c>
      <c r="F313" s="10" t="n">
        <f aca="false">IFERROR(INDEX('1. Insumos'!$F$5:$F$93,MATCH($C313,'1. Insumos'!$B$5:$B$93,0)),0)</f>
        <v>0.145</v>
      </c>
      <c r="G313" s="13" t="n">
        <f aca="false">D313*F313</f>
        <v>38.425</v>
      </c>
      <c r="H313" s="14" t="s">
        <v>164</v>
      </c>
    </row>
    <row r="314" customFormat="false" ht="15" hidden="false" customHeight="false" outlineLevel="0" collapsed="false">
      <c r="A314" s="7" t="n">
        <v>32</v>
      </c>
      <c r="B314" s="7" t="s">
        <v>379</v>
      </c>
      <c r="C314" s="7" t="s">
        <v>49</v>
      </c>
      <c r="D314" s="8" t="n">
        <v>250</v>
      </c>
      <c r="E314" s="7" t="s">
        <v>47</v>
      </c>
      <c r="F314" s="10" t="n">
        <f aca="false">IFERROR(INDEX('1. Insumos'!$F$5:$F$93,MATCH($C314,'1. Insumos'!$B$5:$B$93,0)),0)</f>
        <v>0.032</v>
      </c>
      <c r="G314" s="13" t="n">
        <f aca="false">D314*F314</f>
        <v>8</v>
      </c>
      <c r="H314" s="14" t="s">
        <v>219</v>
      </c>
    </row>
    <row r="315" customFormat="false" ht="15" hidden="false" customHeight="false" outlineLevel="0" collapsed="false">
      <c r="A315" s="7" t="n">
        <v>32</v>
      </c>
      <c r="B315" s="7" t="s">
        <v>379</v>
      </c>
      <c r="C315" s="7" t="s">
        <v>85</v>
      </c>
      <c r="D315" s="8" t="n">
        <v>15</v>
      </c>
      <c r="E315" s="7" t="s">
        <v>55</v>
      </c>
      <c r="F315" s="10" t="n">
        <f aca="false">IFERROR(INDEX('1. Insumos'!$F$5:$F$93,MATCH($C315,'1. Insumos'!$B$5:$B$93,0)),0)</f>
        <v>0.025</v>
      </c>
      <c r="G315" s="13" t="n">
        <f aca="false">D315*F315</f>
        <v>0.375</v>
      </c>
      <c r="H315" s="14" t="s">
        <v>167</v>
      </c>
    </row>
    <row r="316" customFormat="false" ht="15" hidden="false" customHeight="false" outlineLevel="0" collapsed="false">
      <c r="A316" s="7" t="n">
        <v>32</v>
      </c>
      <c r="B316" s="7" t="s">
        <v>379</v>
      </c>
      <c r="C316" s="7" t="s">
        <v>84</v>
      </c>
      <c r="D316" s="8" t="n">
        <v>5</v>
      </c>
      <c r="E316" s="7" t="s">
        <v>55</v>
      </c>
      <c r="F316" s="10" t="n">
        <f aca="false">IFERROR(INDEX('1. Insumos'!$F$5:$F$93,MATCH($C316,'1. Insumos'!$B$5:$B$93,0)),0)</f>
        <v>0.175</v>
      </c>
      <c r="G316" s="13" t="n">
        <f aca="false">D316*F316</f>
        <v>0.875</v>
      </c>
      <c r="H316" s="14" t="s">
        <v>84</v>
      </c>
    </row>
    <row r="317" customFormat="false" ht="15" hidden="false" customHeight="false" outlineLevel="0" collapsed="false">
      <c r="A317" s="7" t="n">
        <v>32</v>
      </c>
      <c r="B317" s="7" t="s">
        <v>379</v>
      </c>
      <c r="C317" s="7" t="s">
        <v>61</v>
      </c>
      <c r="D317" s="8" t="n">
        <v>450</v>
      </c>
      <c r="E317" s="7" t="s">
        <v>55</v>
      </c>
      <c r="F317" s="10" t="n">
        <f aca="false">IFERROR(INDEX('1. Insumos'!$F$5:$F$93,MATCH($C317,'1. Insumos'!$B$5:$B$93,0)),0)</f>
        <v>0.185</v>
      </c>
      <c r="G317" s="13" t="n">
        <f aca="false">D317*F317</f>
        <v>83.25</v>
      </c>
      <c r="H317" s="14" t="s">
        <v>380</v>
      </c>
    </row>
    <row r="318" customFormat="false" ht="15" hidden="false" customHeight="false" outlineLevel="0" collapsed="false">
      <c r="A318" s="7" t="n">
        <v>32</v>
      </c>
      <c r="B318" s="7" t="s">
        <v>379</v>
      </c>
      <c r="C318" s="7" t="s">
        <v>86</v>
      </c>
      <c r="D318" s="8" t="n">
        <v>200</v>
      </c>
      <c r="E318" s="7" t="s">
        <v>55</v>
      </c>
      <c r="F318" s="10" t="n">
        <f aca="false">IFERROR(INDEX('1. Insumos'!$F$5:$F$93,MATCH($C318,'1. Insumos'!$B$5:$B$93,0)),0)</f>
        <v>0.34</v>
      </c>
      <c r="G318" s="13" t="n">
        <f aca="false">D318*F318</f>
        <v>68</v>
      </c>
      <c r="H318" s="14" t="s">
        <v>381</v>
      </c>
    </row>
    <row r="319" customFormat="false" ht="15" hidden="false" customHeight="false" outlineLevel="0" collapsed="false">
      <c r="A319" s="7" t="n">
        <v>32</v>
      </c>
      <c r="B319" s="7" t="s">
        <v>379</v>
      </c>
      <c r="C319" s="7" t="s">
        <v>98</v>
      </c>
      <c r="D319" s="8" t="n">
        <v>350</v>
      </c>
      <c r="E319" s="7" t="s">
        <v>55</v>
      </c>
      <c r="F319" s="10" t="n">
        <f aca="false">IFERROR(INDEX('1. Insumos'!$F$5:$F$93,MATCH($C319,'1. Insumos'!$B$5:$B$93,0)),0)</f>
        <v>0.04</v>
      </c>
      <c r="G319" s="13" t="n">
        <f aca="false">D319*F319</f>
        <v>14</v>
      </c>
      <c r="H319" s="14" t="s">
        <v>372</v>
      </c>
    </row>
    <row r="320" customFormat="false" ht="15" hidden="false" customHeight="false" outlineLevel="0" collapsed="false">
      <c r="A320" s="7" t="n">
        <v>32</v>
      </c>
      <c r="B320" s="7" t="s">
        <v>379</v>
      </c>
      <c r="C320" s="7" t="s">
        <v>96</v>
      </c>
      <c r="D320" s="8" t="n">
        <v>3</v>
      </c>
      <c r="E320" s="7" t="s">
        <v>64</v>
      </c>
      <c r="F320" s="10" t="n">
        <f aca="false">IFERROR(INDEX('1. Insumos'!$F$5:$F$93,MATCH($C320,'1. Insumos'!$B$5:$B$93,0)),0)</f>
        <v>0.833333333333333</v>
      </c>
      <c r="G320" s="13" t="n">
        <f aca="false">D320*F320</f>
        <v>2.5</v>
      </c>
      <c r="H320" s="14" t="s">
        <v>382</v>
      </c>
    </row>
    <row r="321" customFormat="false" ht="15" hidden="false" customHeight="false" outlineLevel="0" collapsed="false">
      <c r="A321" s="7" t="n">
        <v>32</v>
      </c>
      <c r="B321" s="7" t="s">
        <v>379</v>
      </c>
      <c r="C321" s="7" t="s">
        <v>114</v>
      </c>
      <c r="D321" s="8" t="n">
        <v>1</v>
      </c>
      <c r="E321" s="7" t="s">
        <v>64</v>
      </c>
      <c r="F321" s="10" t="n">
        <f aca="false">IFERROR(INDEX('1. Insumos'!$F$5:$F$93,MATCH($C321,'1. Insumos'!$B$5:$B$93,0)),0)</f>
        <v>2</v>
      </c>
      <c r="G321" s="13" t="n">
        <f aca="false">D321*F321</f>
        <v>2</v>
      </c>
      <c r="H321" s="14" t="s">
        <v>383</v>
      </c>
    </row>
    <row r="322" customFormat="false" ht="15" hidden="false" customHeight="false" outlineLevel="0" collapsed="false">
      <c r="A322" s="7" t="n">
        <v>32</v>
      </c>
      <c r="B322" s="7" t="s">
        <v>379</v>
      </c>
      <c r="C322" s="7" t="s">
        <v>91</v>
      </c>
      <c r="D322" s="8" t="n">
        <v>250</v>
      </c>
      <c r="E322" s="7" t="s">
        <v>55</v>
      </c>
      <c r="F322" s="10" t="n">
        <f aca="false">IFERROR(INDEX('1. Insumos'!$F$5:$F$93,MATCH($C322,'1. Insumos'!$B$5:$B$93,0)),0)</f>
        <v>0.028</v>
      </c>
      <c r="G322" s="13" t="n">
        <f aca="false">D322*F322</f>
        <v>7</v>
      </c>
      <c r="H322" s="14" t="s">
        <v>384</v>
      </c>
    </row>
    <row r="323" customFormat="false" ht="15" hidden="false" customHeight="false" outlineLevel="0" collapsed="false">
      <c r="A323" s="7" t="n">
        <v>33</v>
      </c>
      <c r="B323" s="7" t="s">
        <v>385</v>
      </c>
      <c r="C323" s="7" t="s">
        <v>143</v>
      </c>
      <c r="D323" s="8" t="n">
        <v>1000</v>
      </c>
      <c r="E323" s="7" t="s">
        <v>55</v>
      </c>
      <c r="F323" s="10" t="n">
        <f aca="false">IFERROR(INDEX('1. Insumos'!$F$5:$F$93,MATCH($C323,'1. Insumos'!$B$5:$B$93,0)),0)</f>
        <v>0.032</v>
      </c>
      <c r="G323" s="13" t="n">
        <f aca="false">D323*F323</f>
        <v>32</v>
      </c>
      <c r="H323" s="14" t="s">
        <v>177</v>
      </c>
    </row>
    <row r="324" customFormat="false" ht="15" hidden="false" customHeight="false" outlineLevel="0" collapsed="false">
      <c r="A324" s="7" t="n">
        <v>33</v>
      </c>
      <c r="B324" s="7" t="s">
        <v>385</v>
      </c>
      <c r="C324" s="7" t="s">
        <v>110</v>
      </c>
      <c r="D324" s="8" t="n">
        <v>280</v>
      </c>
      <c r="E324" s="7" t="s">
        <v>55</v>
      </c>
      <c r="F324" s="10" t="n">
        <f aca="false">IFERROR(INDEX('1. Insumos'!$F$5:$F$93,MATCH($C324,'1. Insumos'!$B$5:$B$93,0)),0)</f>
        <v>0.145</v>
      </c>
      <c r="G324" s="13" t="n">
        <f aca="false">D324*F324</f>
        <v>40.6</v>
      </c>
      <c r="H324" s="14" t="s">
        <v>386</v>
      </c>
    </row>
    <row r="325" customFormat="false" ht="15" hidden="false" customHeight="false" outlineLevel="0" collapsed="false">
      <c r="A325" s="7" t="n">
        <v>33</v>
      </c>
      <c r="B325" s="7" t="s">
        <v>385</v>
      </c>
      <c r="C325" s="7" t="s">
        <v>50</v>
      </c>
      <c r="D325" s="8" t="n">
        <v>250</v>
      </c>
      <c r="E325" s="7" t="s">
        <v>47</v>
      </c>
      <c r="F325" s="10" t="n">
        <f aca="false">IFERROR(INDEX('1. Insumos'!$F$5:$F$93,MATCH($C325,'1. Insumos'!$B$5:$B$93,0)),0)</f>
        <v>0.018</v>
      </c>
      <c r="G325" s="13" t="n">
        <f aca="false">D325*F325</f>
        <v>4.5</v>
      </c>
      <c r="H325" s="14" t="s">
        <v>387</v>
      </c>
    </row>
    <row r="326" customFormat="false" ht="15" hidden="false" customHeight="false" outlineLevel="0" collapsed="false">
      <c r="A326" s="7" t="n">
        <v>33</v>
      </c>
      <c r="B326" s="7" t="s">
        <v>385</v>
      </c>
      <c r="C326" s="7" t="s">
        <v>85</v>
      </c>
      <c r="D326" s="8" t="n">
        <v>16</v>
      </c>
      <c r="E326" s="7" t="s">
        <v>55</v>
      </c>
      <c r="F326" s="10" t="n">
        <f aca="false">IFERROR(INDEX('1. Insumos'!$F$5:$F$93,MATCH($C326,'1. Insumos'!$B$5:$B$93,0)),0)</f>
        <v>0.025</v>
      </c>
      <c r="G326" s="13" t="n">
        <f aca="false">D326*F326</f>
        <v>0.4</v>
      </c>
      <c r="H326" s="14" t="s">
        <v>85</v>
      </c>
    </row>
    <row r="327" customFormat="false" ht="15" hidden="false" customHeight="false" outlineLevel="0" collapsed="false">
      <c r="A327" s="7" t="n">
        <v>33</v>
      </c>
      <c r="B327" s="7" t="s">
        <v>385</v>
      </c>
      <c r="C327" s="7" t="s">
        <v>84</v>
      </c>
      <c r="D327" s="8" t="n">
        <v>5</v>
      </c>
      <c r="E327" s="7" t="s">
        <v>55</v>
      </c>
      <c r="F327" s="10" t="n">
        <f aca="false">IFERROR(INDEX('1. Insumos'!$F$5:$F$93,MATCH($C327,'1. Insumos'!$B$5:$B$93,0)),0)</f>
        <v>0.175</v>
      </c>
      <c r="G327" s="13" t="n">
        <f aca="false">D327*F327</f>
        <v>0.875</v>
      </c>
      <c r="H327" s="14" t="s">
        <v>84</v>
      </c>
    </row>
    <row r="328" customFormat="false" ht="15" hidden="false" customHeight="false" outlineLevel="0" collapsed="false">
      <c r="A328" s="7" t="n">
        <v>33</v>
      </c>
      <c r="B328" s="7" t="s">
        <v>385</v>
      </c>
      <c r="C328" s="7" t="s">
        <v>146</v>
      </c>
      <c r="D328" s="8" t="n">
        <v>500</v>
      </c>
      <c r="E328" s="7" t="s">
        <v>55</v>
      </c>
      <c r="F328" s="10" t="n">
        <f aca="false">IFERROR(INDEX('1. Insumos'!$F$5:$F$93,MATCH($C328,'1. Insumos'!$B$5:$B$93,0)),0)</f>
        <v>0.055</v>
      </c>
      <c r="G328" s="13" t="n">
        <f aca="false">D328*F328</f>
        <v>27.5</v>
      </c>
      <c r="H328" s="14" t="s">
        <v>388</v>
      </c>
    </row>
    <row r="329" customFormat="false" ht="15" hidden="false" customHeight="false" outlineLevel="0" collapsed="false">
      <c r="A329" s="7" t="n">
        <v>33</v>
      </c>
      <c r="B329" s="7" t="s">
        <v>385</v>
      </c>
      <c r="C329" s="7" t="s">
        <v>120</v>
      </c>
      <c r="D329" s="8" t="n">
        <v>6</v>
      </c>
      <c r="E329" s="7" t="s">
        <v>64</v>
      </c>
      <c r="F329" s="10" t="n">
        <f aca="false">IFERROR(INDEX('1. Insumos'!$F$5:$F$93,MATCH($C329,'1. Insumos'!$B$5:$B$93,0)),0)</f>
        <v>0.9</v>
      </c>
      <c r="G329" s="13" t="n">
        <f aca="false">D329*F329</f>
        <v>5.4</v>
      </c>
      <c r="H329" s="14" t="s">
        <v>389</v>
      </c>
    </row>
    <row r="330" customFormat="false" ht="15" hidden="false" customHeight="false" outlineLevel="0" collapsed="false">
      <c r="A330" s="7" t="n">
        <v>33</v>
      </c>
      <c r="B330" s="7" t="s">
        <v>385</v>
      </c>
      <c r="C330" s="7" t="s">
        <v>96</v>
      </c>
      <c r="D330" s="8" t="n">
        <v>3</v>
      </c>
      <c r="E330" s="7" t="s">
        <v>64</v>
      </c>
      <c r="F330" s="10" t="n">
        <f aca="false">IFERROR(INDEX('1. Insumos'!$F$5:$F$93,MATCH($C330,'1. Insumos'!$B$5:$B$93,0)),0)</f>
        <v>0.833333333333333</v>
      </c>
      <c r="G330" s="13" t="n">
        <f aca="false">D330*F330</f>
        <v>2.5</v>
      </c>
      <c r="H330" s="14" t="s">
        <v>390</v>
      </c>
    </row>
    <row r="331" customFormat="false" ht="15" hidden="false" customHeight="false" outlineLevel="0" collapsed="false">
      <c r="A331" s="7" t="n">
        <v>33</v>
      </c>
      <c r="B331" s="7" t="s">
        <v>385</v>
      </c>
      <c r="C331" s="7" t="s">
        <v>88</v>
      </c>
      <c r="D331" s="8" t="n">
        <v>1</v>
      </c>
      <c r="E331" s="7" t="s">
        <v>64</v>
      </c>
      <c r="F331" s="10" t="n">
        <f aca="false">IFERROR(INDEX('1. Insumos'!$F$5:$F$93,MATCH($C331,'1. Insumos'!$B$5:$B$93,0)),0)</f>
        <v>0.875</v>
      </c>
      <c r="G331" s="13" t="n">
        <f aca="false">D331*F331</f>
        <v>0.875</v>
      </c>
      <c r="H331" s="14" t="s">
        <v>391</v>
      </c>
    </row>
    <row r="332" customFormat="false" ht="15" hidden="false" customHeight="false" outlineLevel="0" collapsed="false">
      <c r="A332" s="7" t="n">
        <v>34</v>
      </c>
      <c r="B332" s="7" t="s">
        <v>392</v>
      </c>
      <c r="C332" s="7" t="s">
        <v>143</v>
      </c>
      <c r="D332" s="8" t="n">
        <v>1000</v>
      </c>
      <c r="E332" s="7" t="s">
        <v>55</v>
      </c>
      <c r="F332" s="10" t="n">
        <f aca="false">IFERROR(INDEX('1. Insumos'!$F$5:$F$93,MATCH($C332,'1. Insumos'!$B$5:$B$93,0)),0)</f>
        <v>0.032</v>
      </c>
      <c r="G332" s="13" t="n">
        <f aca="false">D332*F332</f>
        <v>32</v>
      </c>
      <c r="H332" s="14" t="s">
        <v>177</v>
      </c>
    </row>
    <row r="333" customFormat="false" ht="15" hidden="false" customHeight="false" outlineLevel="0" collapsed="false">
      <c r="A333" s="7" t="n">
        <v>34</v>
      </c>
      <c r="B333" s="7" t="s">
        <v>392</v>
      </c>
      <c r="C333" s="7" t="s">
        <v>110</v>
      </c>
      <c r="D333" s="8" t="n">
        <v>250</v>
      </c>
      <c r="E333" s="7" t="s">
        <v>55</v>
      </c>
      <c r="F333" s="10" t="n">
        <f aca="false">IFERROR(INDEX('1. Insumos'!$F$5:$F$93,MATCH($C333,'1. Insumos'!$B$5:$B$93,0)),0)</f>
        <v>0.145</v>
      </c>
      <c r="G333" s="13" t="n">
        <f aca="false">D333*F333</f>
        <v>36.25</v>
      </c>
      <c r="H333" s="14" t="s">
        <v>269</v>
      </c>
    </row>
    <row r="334" customFormat="false" ht="15" hidden="false" customHeight="false" outlineLevel="0" collapsed="false">
      <c r="A334" s="7" t="n">
        <v>34</v>
      </c>
      <c r="B334" s="7" t="s">
        <v>392</v>
      </c>
      <c r="C334" s="7" t="s">
        <v>52</v>
      </c>
      <c r="D334" s="8" t="n">
        <v>250</v>
      </c>
      <c r="E334" s="7" t="s">
        <v>47</v>
      </c>
      <c r="F334" s="10" t="n">
        <f aca="false">IFERROR(INDEX('1. Insumos'!$F$5:$F$93,MATCH($C334,'1. Insumos'!$B$5:$B$93,0)),0)</f>
        <v>0.03</v>
      </c>
      <c r="G334" s="13" t="n">
        <f aca="false">D334*F334</f>
        <v>7.5</v>
      </c>
      <c r="H334" s="14" t="s">
        <v>270</v>
      </c>
    </row>
    <row r="335" customFormat="false" ht="15" hidden="false" customHeight="false" outlineLevel="0" collapsed="false">
      <c r="A335" s="7" t="n">
        <v>34</v>
      </c>
      <c r="B335" s="7" t="s">
        <v>392</v>
      </c>
      <c r="C335" s="7" t="s">
        <v>114</v>
      </c>
      <c r="D335" s="8" t="n">
        <v>2</v>
      </c>
      <c r="E335" s="7" t="s">
        <v>64</v>
      </c>
      <c r="F335" s="10" t="n">
        <f aca="false">IFERROR(INDEX('1. Insumos'!$F$5:$F$93,MATCH($C335,'1. Insumos'!$B$5:$B$93,0)),0)</f>
        <v>2</v>
      </c>
      <c r="G335" s="13" t="n">
        <f aca="false">D335*F335</f>
        <v>4</v>
      </c>
      <c r="H335" s="14" t="s">
        <v>393</v>
      </c>
    </row>
    <row r="336" customFormat="false" ht="15" hidden="false" customHeight="false" outlineLevel="0" collapsed="false">
      <c r="A336" s="7" t="n">
        <v>34</v>
      </c>
      <c r="B336" s="7" t="s">
        <v>392</v>
      </c>
      <c r="C336" s="7" t="s">
        <v>85</v>
      </c>
      <c r="D336" s="8" t="n">
        <v>17</v>
      </c>
      <c r="E336" s="7" t="s">
        <v>55</v>
      </c>
      <c r="F336" s="10" t="n">
        <f aca="false">IFERROR(INDEX('1. Insumos'!$F$5:$F$93,MATCH($C336,'1. Insumos'!$B$5:$B$93,0)),0)</f>
        <v>0.025</v>
      </c>
      <c r="G336" s="13" t="n">
        <f aca="false">D336*F336</f>
        <v>0.425</v>
      </c>
      <c r="H336" s="14" t="s">
        <v>167</v>
      </c>
    </row>
    <row r="337" customFormat="false" ht="15" hidden="false" customHeight="false" outlineLevel="0" collapsed="false">
      <c r="A337" s="7" t="n">
        <v>34</v>
      </c>
      <c r="B337" s="7" t="s">
        <v>392</v>
      </c>
      <c r="C337" s="7" t="s">
        <v>84</v>
      </c>
      <c r="D337" s="8" t="n">
        <v>5</v>
      </c>
      <c r="E337" s="7" t="s">
        <v>55</v>
      </c>
      <c r="F337" s="10" t="n">
        <f aca="false">IFERROR(INDEX('1. Insumos'!$F$5:$F$93,MATCH($C337,'1. Insumos'!$B$5:$B$93,0)),0)</f>
        <v>0.175</v>
      </c>
      <c r="G337" s="13" t="n">
        <f aca="false">D337*F337</f>
        <v>0.875</v>
      </c>
      <c r="H337" s="14" t="s">
        <v>84</v>
      </c>
    </row>
    <row r="338" customFormat="false" ht="15" hidden="false" customHeight="false" outlineLevel="0" collapsed="false">
      <c r="A338" s="7" t="n">
        <v>34</v>
      </c>
      <c r="B338" s="7" t="s">
        <v>392</v>
      </c>
      <c r="C338" s="7" t="s">
        <v>99</v>
      </c>
      <c r="D338" s="8" t="n">
        <v>350</v>
      </c>
      <c r="E338" s="7" t="s">
        <v>55</v>
      </c>
      <c r="F338" s="10" t="n">
        <f aca="false">IFERROR(INDEX('1. Insumos'!$F$5:$F$93,MATCH($C338,'1. Insumos'!$B$5:$B$93,0)),0)</f>
        <v>0.03</v>
      </c>
      <c r="G338" s="13" t="n">
        <f aca="false">D338*F338</f>
        <v>10.5</v>
      </c>
      <c r="H338" s="14" t="s">
        <v>394</v>
      </c>
    </row>
    <row r="339" customFormat="false" ht="15" hidden="false" customHeight="false" outlineLevel="0" collapsed="false">
      <c r="A339" s="7" t="n">
        <v>34</v>
      </c>
      <c r="B339" s="7" t="s">
        <v>392</v>
      </c>
      <c r="C339" s="7" t="s">
        <v>96</v>
      </c>
      <c r="D339" s="8" t="n">
        <v>4</v>
      </c>
      <c r="E339" s="7" t="s">
        <v>64</v>
      </c>
      <c r="F339" s="10" t="n">
        <f aca="false">IFERROR(INDEX('1. Insumos'!$F$5:$F$93,MATCH($C339,'1. Insumos'!$B$5:$B$93,0)),0)</f>
        <v>0.833333333333333</v>
      </c>
      <c r="G339" s="13" t="n">
        <f aca="false">D339*F339</f>
        <v>3.33333333333333</v>
      </c>
      <c r="H339" s="14" t="s">
        <v>395</v>
      </c>
    </row>
    <row r="340" customFormat="false" ht="15" hidden="false" customHeight="false" outlineLevel="0" collapsed="false">
      <c r="A340" s="7" t="n">
        <v>34</v>
      </c>
      <c r="B340" s="7" t="s">
        <v>392</v>
      </c>
      <c r="C340" s="7" t="s">
        <v>90</v>
      </c>
      <c r="D340" s="8" t="n">
        <v>0.5</v>
      </c>
      <c r="E340" s="7" t="s">
        <v>64</v>
      </c>
      <c r="F340" s="10" t="n">
        <f aca="false">IFERROR(INDEX('1. Insumos'!$F$5:$F$93,MATCH($C340,'1. Insumos'!$B$5:$B$93,0)),0)</f>
        <v>3.75</v>
      </c>
      <c r="G340" s="13" t="n">
        <f aca="false">D340*F340</f>
        <v>1.875</v>
      </c>
      <c r="H340" s="14" t="s">
        <v>396</v>
      </c>
    </row>
    <row r="341" customFormat="false" ht="15" hidden="false" customHeight="false" outlineLevel="0" collapsed="false">
      <c r="A341" s="7" t="n">
        <v>34</v>
      </c>
      <c r="B341" s="7" t="s">
        <v>392</v>
      </c>
      <c r="C341" s="7" t="s">
        <v>130</v>
      </c>
      <c r="D341" s="8" t="n">
        <v>300</v>
      </c>
      <c r="E341" s="7" t="s">
        <v>55</v>
      </c>
      <c r="F341" s="10" t="n">
        <f aca="false">IFERROR(INDEX('1. Insumos'!$F$5:$F$93,MATCH($C341,'1. Insumos'!$B$5:$B$93,0)),0)</f>
        <v>0.18</v>
      </c>
      <c r="G341" s="13" t="n">
        <f aca="false">D341*F341</f>
        <v>54</v>
      </c>
      <c r="H341" s="14" t="s">
        <v>397</v>
      </c>
    </row>
    <row r="342" customFormat="false" ht="15" hidden="false" customHeight="false" outlineLevel="0" collapsed="false">
      <c r="A342" s="7" t="n">
        <v>35</v>
      </c>
      <c r="B342" s="7" t="s">
        <v>398</v>
      </c>
      <c r="C342" s="7" t="s">
        <v>143</v>
      </c>
      <c r="D342" s="8" t="n">
        <v>1000</v>
      </c>
      <c r="E342" s="7" t="s">
        <v>55</v>
      </c>
      <c r="F342" s="10" t="n">
        <f aca="false">IFERROR(INDEX('1. Insumos'!$F$5:$F$93,MATCH($C342,'1. Insumos'!$B$5:$B$93,0)),0)</f>
        <v>0.032</v>
      </c>
      <c r="G342" s="13" t="n">
        <f aca="false">D342*F342</f>
        <v>32</v>
      </c>
      <c r="H342" s="14" t="s">
        <v>177</v>
      </c>
    </row>
    <row r="343" customFormat="false" ht="15" hidden="false" customHeight="false" outlineLevel="0" collapsed="false">
      <c r="A343" s="7" t="n">
        <v>35</v>
      </c>
      <c r="B343" s="7" t="s">
        <v>398</v>
      </c>
      <c r="C343" s="7" t="s">
        <v>110</v>
      </c>
      <c r="D343" s="8" t="n">
        <v>275</v>
      </c>
      <c r="E343" s="7" t="s">
        <v>55</v>
      </c>
      <c r="F343" s="10" t="n">
        <f aca="false">IFERROR(INDEX('1. Insumos'!$F$5:$F$93,MATCH($C343,'1. Insumos'!$B$5:$B$93,0)),0)</f>
        <v>0.145</v>
      </c>
      <c r="G343" s="13" t="n">
        <f aca="false">D343*F343</f>
        <v>39.875</v>
      </c>
      <c r="H343" s="14" t="s">
        <v>164</v>
      </c>
    </row>
    <row r="344" customFormat="false" ht="15" hidden="false" customHeight="false" outlineLevel="0" collapsed="false">
      <c r="A344" s="7" t="n">
        <v>35</v>
      </c>
      <c r="B344" s="7" t="s">
        <v>398</v>
      </c>
      <c r="C344" s="7" t="s">
        <v>50</v>
      </c>
      <c r="D344" s="8" t="n">
        <v>250</v>
      </c>
      <c r="E344" s="7" t="s">
        <v>47</v>
      </c>
      <c r="F344" s="10" t="n">
        <f aca="false">IFERROR(INDEX('1. Insumos'!$F$5:$F$93,MATCH($C344,'1. Insumos'!$B$5:$B$93,0)),0)</f>
        <v>0.018</v>
      </c>
      <c r="G344" s="13" t="n">
        <f aca="false">D344*F344</f>
        <v>4.5</v>
      </c>
      <c r="H344" s="14" t="s">
        <v>399</v>
      </c>
    </row>
    <row r="345" customFormat="false" ht="15" hidden="false" customHeight="false" outlineLevel="0" collapsed="false">
      <c r="A345" s="7" t="n">
        <v>35</v>
      </c>
      <c r="B345" s="7" t="s">
        <v>398</v>
      </c>
      <c r="C345" s="7" t="s">
        <v>85</v>
      </c>
      <c r="D345" s="8" t="n">
        <v>316</v>
      </c>
      <c r="E345" s="7" t="s">
        <v>55</v>
      </c>
      <c r="F345" s="10" t="n">
        <f aca="false">IFERROR(INDEX('1. Insumos'!$F$5:$F$93,MATCH($C345,'1. Insumos'!$B$5:$B$93,0)),0)</f>
        <v>0.025</v>
      </c>
      <c r="G345" s="13" t="n">
        <f aca="false">D345*F345</f>
        <v>7.9</v>
      </c>
      <c r="H345" s="14" t="s">
        <v>167</v>
      </c>
    </row>
    <row r="346" customFormat="false" ht="15" hidden="false" customHeight="false" outlineLevel="0" collapsed="false">
      <c r="A346" s="7" t="n">
        <v>35</v>
      </c>
      <c r="B346" s="7" t="s">
        <v>398</v>
      </c>
      <c r="C346" s="7" t="s">
        <v>84</v>
      </c>
      <c r="D346" s="8" t="n">
        <v>5</v>
      </c>
      <c r="E346" s="7" t="s">
        <v>55</v>
      </c>
      <c r="F346" s="10" t="n">
        <f aca="false">IFERROR(INDEX('1. Insumos'!$F$5:$F$93,MATCH($C346,'1. Insumos'!$B$5:$B$93,0)),0)</f>
        <v>0.175</v>
      </c>
      <c r="G346" s="13" t="n">
        <f aca="false">D346*F346</f>
        <v>0.875</v>
      </c>
      <c r="H346" s="14" t="s">
        <v>84</v>
      </c>
    </row>
    <row r="347" customFormat="false" ht="15" hidden="false" customHeight="false" outlineLevel="0" collapsed="false">
      <c r="A347" s="7" t="n">
        <v>35</v>
      </c>
      <c r="B347" s="7" t="s">
        <v>398</v>
      </c>
      <c r="C347" s="7" t="s">
        <v>146</v>
      </c>
      <c r="D347" s="8" t="n">
        <v>250</v>
      </c>
      <c r="E347" s="7" t="s">
        <v>55</v>
      </c>
      <c r="F347" s="10" t="n">
        <f aca="false">IFERROR(INDEX('1. Insumos'!$F$5:$F$93,MATCH($C347,'1. Insumos'!$B$5:$B$93,0)),0)</f>
        <v>0.055</v>
      </c>
      <c r="G347" s="13" t="n">
        <f aca="false">D347*F347</f>
        <v>13.75</v>
      </c>
      <c r="H347" s="14" t="s">
        <v>400</v>
      </c>
    </row>
    <row r="348" customFormat="false" ht="15" hidden="false" customHeight="false" outlineLevel="0" collapsed="false">
      <c r="A348" s="7" t="n">
        <v>35</v>
      </c>
      <c r="B348" s="7" t="s">
        <v>398</v>
      </c>
      <c r="C348" s="7" t="s">
        <v>69</v>
      </c>
      <c r="D348" s="8" t="n">
        <v>4</v>
      </c>
      <c r="E348" s="7" t="s">
        <v>64</v>
      </c>
      <c r="F348" s="10" t="n">
        <f aca="false">IFERROR(INDEX('1. Insumos'!$F$5:$F$93,MATCH($C348,'1. Insumos'!$B$5:$B$93,0)),0)</f>
        <v>1.5</v>
      </c>
      <c r="G348" s="13" t="n">
        <f aca="false">D348*F348</f>
        <v>6</v>
      </c>
      <c r="H348" s="14" t="s">
        <v>401</v>
      </c>
    </row>
    <row r="349" customFormat="false" ht="15" hidden="false" customHeight="false" outlineLevel="0" collapsed="false">
      <c r="A349" s="7" t="n">
        <v>36</v>
      </c>
      <c r="B349" s="7" t="s">
        <v>402</v>
      </c>
      <c r="C349" s="7" t="s">
        <v>143</v>
      </c>
      <c r="D349" s="8" t="n">
        <v>1000</v>
      </c>
      <c r="E349" s="7" t="s">
        <v>55</v>
      </c>
      <c r="F349" s="10" t="n">
        <f aca="false">IFERROR(INDEX('1. Insumos'!$F$5:$F$93,MATCH($C349,'1. Insumos'!$B$5:$B$93,0)),0)</f>
        <v>0.032</v>
      </c>
      <c r="G349" s="13" t="n">
        <f aca="false">D349*F349</f>
        <v>32</v>
      </c>
      <c r="H349" s="14" t="s">
        <v>277</v>
      </c>
    </row>
    <row r="350" customFormat="false" ht="15" hidden="false" customHeight="false" outlineLevel="0" collapsed="false">
      <c r="A350" s="7" t="n">
        <v>36</v>
      </c>
      <c r="B350" s="7" t="s">
        <v>402</v>
      </c>
      <c r="C350" s="7" t="s">
        <v>110</v>
      </c>
      <c r="D350" s="8" t="n">
        <v>280</v>
      </c>
      <c r="E350" s="7" t="s">
        <v>55</v>
      </c>
      <c r="F350" s="10" t="n">
        <f aca="false">IFERROR(INDEX('1. Insumos'!$F$5:$F$93,MATCH($C350,'1. Insumos'!$B$5:$B$93,0)),0)</f>
        <v>0.145</v>
      </c>
      <c r="G350" s="13" t="n">
        <f aca="false">D350*F350</f>
        <v>40.6</v>
      </c>
      <c r="H350" s="14" t="s">
        <v>164</v>
      </c>
    </row>
    <row r="351" customFormat="false" ht="15" hidden="false" customHeight="false" outlineLevel="0" collapsed="false">
      <c r="A351" s="7" t="n">
        <v>36</v>
      </c>
      <c r="B351" s="7" t="s">
        <v>402</v>
      </c>
      <c r="C351" s="7" t="s">
        <v>52</v>
      </c>
      <c r="D351" s="8" t="n">
        <v>260</v>
      </c>
      <c r="E351" s="7" t="s">
        <v>47</v>
      </c>
      <c r="F351" s="10" t="n">
        <f aca="false">IFERROR(INDEX('1. Insumos'!$F$5:$F$93,MATCH($C351,'1. Insumos'!$B$5:$B$93,0)),0)</f>
        <v>0.03</v>
      </c>
      <c r="G351" s="13" t="n">
        <f aca="false">D351*F351</f>
        <v>7.8</v>
      </c>
      <c r="H351" s="14" t="s">
        <v>403</v>
      </c>
    </row>
    <row r="352" customFormat="false" ht="15" hidden="false" customHeight="false" outlineLevel="0" collapsed="false">
      <c r="A352" s="7" t="n">
        <v>36</v>
      </c>
      <c r="B352" s="7" t="s">
        <v>402</v>
      </c>
      <c r="C352" s="7" t="s">
        <v>85</v>
      </c>
      <c r="D352" s="8" t="n">
        <v>16</v>
      </c>
      <c r="E352" s="7" t="s">
        <v>55</v>
      </c>
      <c r="F352" s="10" t="n">
        <f aca="false">IFERROR(INDEX('1. Insumos'!$F$5:$F$93,MATCH($C352,'1. Insumos'!$B$5:$B$93,0)),0)</f>
        <v>0.025</v>
      </c>
      <c r="G352" s="13" t="n">
        <f aca="false">D352*F352</f>
        <v>0.4</v>
      </c>
      <c r="H352" s="14" t="s">
        <v>204</v>
      </c>
    </row>
    <row r="353" customFormat="false" ht="15" hidden="false" customHeight="false" outlineLevel="0" collapsed="false">
      <c r="A353" s="7" t="n">
        <v>36</v>
      </c>
      <c r="B353" s="7" t="s">
        <v>402</v>
      </c>
      <c r="C353" s="7" t="s">
        <v>84</v>
      </c>
      <c r="D353" s="8" t="n">
        <v>5</v>
      </c>
      <c r="E353" s="7" t="s">
        <v>55</v>
      </c>
      <c r="F353" s="10" t="n">
        <f aca="false">IFERROR(INDEX('1. Insumos'!$F$5:$F$93,MATCH($C353,'1. Insumos'!$B$5:$B$93,0)),0)</f>
        <v>0.175</v>
      </c>
      <c r="G353" s="13" t="n">
        <f aca="false">D353*F353</f>
        <v>0.875</v>
      </c>
      <c r="H353" s="14" t="s">
        <v>84</v>
      </c>
    </row>
    <row r="354" customFormat="false" ht="15" hidden="false" customHeight="false" outlineLevel="0" collapsed="false">
      <c r="A354" s="7" t="n">
        <v>36</v>
      </c>
      <c r="B354" s="7" t="s">
        <v>402</v>
      </c>
      <c r="C354" s="7" t="s">
        <v>146</v>
      </c>
      <c r="D354" s="8" t="n">
        <v>450</v>
      </c>
      <c r="E354" s="7" t="s">
        <v>55</v>
      </c>
      <c r="F354" s="10" t="n">
        <f aca="false">IFERROR(INDEX('1. Insumos'!$F$5:$F$93,MATCH($C354,'1. Insumos'!$B$5:$B$93,0)),0)</f>
        <v>0.055</v>
      </c>
      <c r="G354" s="13" t="n">
        <f aca="false">D354*F354</f>
        <v>24.75</v>
      </c>
      <c r="H354" s="14" t="s">
        <v>404</v>
      </c>
    </row>
    <row r="355" customFormat="false" ht="15" hidden="false" customHeight="false" outlineLevel="0" collapsed="false">
      <c r="A355" s="7" t="n">
        <v>36</v>
      </c>
      <c r="B355" s="7" t="s">
        <v>402</v>
      </c>
      <c r="C355" s="7" t="s">
        <v>66</v>
      </c>
      <c r="D355" s="8" t="n">
        <v>5</v>
      </c>
      <c r="E355" s="7" t="s">
        <v>64</v>
      </c>
      <c r="F355" s="10" t="n">
        <f aca="false">IFERROR(INDEX('1. Insumos'!$F$5:$F$93,MATCH($C355,'1. Insumos'!$B$5:$B$93,0)),0)</f>
        <v>2.5</v>
      </c>
      <c r="G355" s="13" t="n">
        <f aca="false">D355*F355</f>
        <v>12.5</v>
      </c>
      <c r="H355" s="14" t="s">
        <v>405</v>
      </c>
    </row>
    <row r="356" customFormat="false" ht="15" hidden="false" customHeight="false" outlineLevel="0" collapsed="false">
      <c r="A356" s="7" t="n">
        <v>36</v>
      </c>
      <c r="B356" s="7" t="s">
        <v>402</v>
      </c>
      <c r="C356" s="7" t="s">
        <v>97</v>
      </c>
      <c r="D356" s="8" t="n">
        <v>3</v>
      </c>
      <c r="E356" s="7" t="s">
        <v>64</v>
      </c>
      <c r="F356" s="10" t="n">
        <f aca="false">IFERROR(INDEX('1. Insumos'!$F$5:$F$93,MATCH($C356,'1. Insumos'!$B$5:$B$93,0)),0)</f>
        <v>2.91666666666667</v>
      </c>
      <c r="G356" s="13" t="n">
        <f aca="false">D356*F356</f>
        <v>8.75</v>
      </c>
      <c r="H356" s="14" t="s">
        <v>199</v>
      </c>
    </row>
    <row r="357" customFormat="false" ht="15" hidden="false" customHeight="false" outlineLevel="0" collapsed="false">
      <c r="A357" s="7" t="n">
        <v>36</v>
      </c>
      <c r="B357" s="7" t="s">
        <v>402</v>
      </c>
      <c r="C357" s="7" t="s">
        <v>88</v>
      </c>
      <c r="D357" s="8" t="n">
        <v>2</v>
      </c>
      <c r="E357" s="7" t="s">
        <v>64</v>
      </c>
      <c r="F357" s="10" t="n">
        <f aca="false">IFERROR(INDEX('1. Insumos'!$F$5:$F$93,MATCH($C357,'1. Insumos'!$B$5:$B$93,0)),0)</f>
        <v>0.875</v>
      </c>
      <c r="G357" s="13" t="n">
        <f aca="false">D357*F357</f>
        <v>1.75</v>
      </c>
      <c r="H357" s="14" t="s">
        <v>228</v>
      </c>
    </row>
    <row r="358" customFormat="false" ht="15" hidden="false" customHeight="false" outlineLevel="0" collapsed="false">
      <c r="A358" s="7" t="n">
        <v>36</v>
      </c>
      <c r="B358" s="7" t="s">
        <v>402</v>
      </c>
      <c r="C358" s="7" t="s">
        <v>120</v>
      </c>
      <c r="D358" s="8" t="n">
        <v>2</v>
      </c>
      <c r="E358" s="7" t="s">
        <v>64</v>
      </c>
      <c r="F358" s="10" t="n">
        <f aca="false">IFERROR(INDEX('1. Insumos'!$F$5:$F$93,MATCH($C358,'1. Insumos'!$B$5:$B$93,0)),0)</f>
        <v>0.9</v>
      </c>
      <c r="G358" s="13" t="n">
        <f aca="false">D358*F358</f>
        <v>1.8</v>
      </c>
      <c r="H358" s="14" t="s">
        <v>406</v>
      </c>
    </row>
    <row r="359" customFormat="false" ht="15" hidden="false" customHeight="false" outlineLevel="0" collapsed="false">
      <c r="A359" s="7" t="n">
        <v>37</v>
      </c>
      <c r="B359" s="7" t="s">
        <v>407</v>
      </c>
      <c r="C359" s="7" t="s">
        <v>143</v>
      </c>
      <c r="D359" s="8" t="n">
        <v>1000</v>
      </c>
      <c r="E359" s="7" t="s">
        <v>55</v>
      </c>
      <c r="F359" s="10" t="n">
        <f aca="false">IFERROR(INDEX('1. Insumos'!$F$5:$F$93,MATCH($C359,'1. Insumos'!$B$5:$B$93,0)),0)</f>
        <v>0.032</v>
      </c>
      <c r="G359" s="13" t="n">
        <f aca="false">D359*F359</f>
        <v>32</v>
      </c>
      <c r="H359" s="14" t="s">
        <v>177</v>
      </c>
    </row>
    <row r="360" customFormat="false" ht="15" hidden="false" customHeight="false" outlineLevel="0" collapsed="false">
      <c r="A360" s="7" t="n">
        <v>37</v>
      </c>
      <c r="B360" s="7" t="s">
        <v>407</v>
      </c>
      <c r="C360" s="7" t="s">
        <v>110</v>
      </c>
      <c r="D360" s="8" t="n">
        <v>270</v>
      </c>
      <c r="E360" s="7" t="s">
        <v>55</v>
      </c>
      <c r="F360" s="10" t="n">
        <f aca="false">IFERROR(INDEX('1. Insumos'!$F$5:$F$93,MATCH($C360,'1. Insumos'!$B$5:$B$93,0)),0)</f>
        <v>0.145</v>
      </c>
      <c r="G360" s="13" t="n">
        <f aca="false">D360*F360</f>
        <v>39.15</v>
      </c>
      <c r="H360" s="14" t="s">
        <v>164</v>
      </c>
    </row>
    <row r="361" customFormat="false" ht="15" hidden="false" customHeight="false" outlineLevel="0" collapsed="false">
      <c r="A361" s="7" t="n">
        <v>37</v>
      </c>
      <c r="B361" s="7" t="s">
        <v>407</v>
      </c>
      <c r="C361" s="7" t="s">
        <v>140</v>
      </c>
      <c r="D361" s="8" t="n">
        <v>1050</v>
      </c>
      <c r="E361" s="7" t="s">
        <v>55</v>
      </c>
      <c r="F361" s="10" t="n">
        <f aca="false">IFERROR(INDEX('1. Insumos'!$F$5:$F$93,MATCH($C361,'1. Insumos'!$B$5:$B$93,0)),0)</f>
        <v>0.18</v>
      </c>
      <c r="G361" s="13" t="n">
        <f aca="false">D361*F361</f>
        <v>189</v>
      </c>
      <c r="H361" s="14" t="s">
        <v>408</v>
      </c>
    </row>
    <row r="362" customFormat="false" ht="15" hidden="false" customHeight="false" outlineLevel="0" collapsed="false">
      <c r="A362" s="7" t="n">
        <v>37</v>
      </c>
      <c r="B362" s="7" t="s">
        <v>407</v>
      </c>
      <c r="C362" s="7" t="s">
        <v>85</v>
      </c>
      <c r="D362" s="8" t="n">
        <v>15</v>
      </c>
      <c r="E362" s="7" t="s">
        <v>55</v>
      </c>
      <c r="F362" s="10" t="n">
        <f aca="false">IFERROR(INDEX('1. Insumos'!$F$5:$F$93,MATCH($C362,'1. Insumos'!$B$5:$B$93,0)),0)</f>
        <v>0.025</v>
      </c>
      <c r="G362" s="13" t="n">
        <f aca="false">D362*F362</f>
        <v>0.375</v>
      </c>
      <c r="H362" s="14" t="s">
        <v>167</v>
      </c>
    </row>
    <row r="363" customFormat="false" ht="15" hidden="false" customHeight="false" outlineLevel="0" collapsed="false">
      <c r="A363" s="7" t="n">
        <v>37</v>
      </c>
      <c r="B363" s="7" t="s">
        <v>407</v>
      </c>
      <c r="C363" s="7" t="s">
        <v>84</v>
      </c>
      <c r="D363" s="8" t="n">
        <v>5</v>
      </c>
      <c r="E363" s="7" t="s">
        <v>55</v>
      </c>
      <c r="F363" s="10" t="n">
        <f aca="false">IFERROR(INDEX('1. Insumos'!$F$5:$F$93,MATCH($C363,'1. Insumos'!$B$5:$B$93,0)),0)</f>
        <v>0.175</v>
      </c>
      <c r="G363" s="13" t="n">
        <f aca="false">D363*F363</f>
        <v>0.875</v>
      </c>
      <c r="H363" s="14" t="s">
        <v>84</v>
      </c>
    </row>
    <row r="364" customFormat="false" ht="15" hidden="false" customHeight="false" outlineLevel="0" collapsed="false">
      <c r="A364" s="7" t="n">
        <v>37</v>
      </c>
      <c r="B364" s="7" t="s">
        <v>407</v>
      </c>
      <c r="C364" s="7" t="s">
        <v>68</v>
      </c>
      <c r="D364" s="8" t="n">
        <v>6</v>
      </c>
      <c r="E364" s="7" t="s">
        <v>64</v>
      </c>
      <c r="F364" s="10" t="n">
        <f aca="false">IFERROR(INDEX('1. Insumos'!$F$5:$F$93,MATCH($C364,'1. Insumos'!$B$5:$B$93,0)),0)</f>
        <v>1.4</v>
      </c>
      <c r="G364" s="13" t="n">
        <f aca="false">D364*F364</f>
        <v>8.4</v>
      </c>
      <c r="H364" s="14" t="s">
        <v>409</v>
      </c>
    </row>
    <row r="365" customFormat="false" ht="15" hidden="false" customHeight="false" outlineLevel="0" collapsed="false">
      <c r="A365" s="7" t="n">
        <v>37</v>
      </c>
      <c r="B365" s="7" t="s">
        <v>407</v>
      </c>
      <c r="C365" s="7" t="s">
        <v>97</v>
      </c>
      <c r="D365" s="8" t="n">
        <v>4</v>
      </c>
      <c r="E365" s="7" t="s">
        <v>64</v>
      </c>
      <c r="F365" s="10" t="n">
        <f aca="false">IFERROR(INDEX('1. Insumos'!$F$5:$F$93,MATCH($C365,'1. Insumos'!$B$5:$B$93,0)),0)</f>
        <v>2.91666666666667</v>
      </c>
      <c r="G365" s="13" t="n">
        <f aca="false">D365*F365</f>
        <v>11.6666666666667</v>
      </c>
      <c r="H365" s="14" t="s">
        <v>410</v>
      </c>
    </row>
    <row r="366" customFormat="false" ht="15" hidden="false" customHeight="false" outlineLevel="0" collapsed="false">
      <c r="A366" s="7" t="n">
        <v>37</v>
      </c>
      <c r="B366" s="7" t="s">
        <v>407</v>
      </c>
      <c r="C366" s="7" t="s">
        <v>88</v>
      </c>
      <c r="D366" s="8" t="n">
        <v>3</v>
      </c>
      <c r="E366" s="7" t="s">
        <v>64</v>
      </c>
      <c r="F366" s="10" t="n">
        <f aca="false">IFERROR(INDEX('1. Insumos'!$F$5:$F$93,MATCH($C366,'1. Insumos'!$B$5:$B$93,0)),0)</f>
        <v>0.875</v>
      </c>
      <c r="G366" s="13" t="n">
        <f aca="false">D366*F366</f>
        <v>2.625</v>
      </c>
      <c r="H366" s="14" t="s">
        <v>171</v>
      </c>
    </row>
    <row r="367" customFormat="false" ht="15" hidden="false" customHeight="false" outlineLevel="0" collapsed="false">
      <c r="A367" s="7" t="n">
        <v>37</v>
      </c>
      <c r="B367" s="7" t="s">
        <v>407</v>
      </c>
      <c r="C367" s="7" t="s">
        <v>114</v>
      </c>
      <c r="D367" s="8" t="n">
        <v>1</v>
      </c>
      <c r="E367" s="7" t="s">
        <v>64</v>
      </c>
      <c r="F367" s="10" t="n">
        <f aca="false">IFERROR(INDEX('1. Insumos'!$F$5:$F$93,MATCH($C367,'1. Insumos'!$B$5:$B$93,0)),0)</f>
        <v>2</v>
      </c>
      <c r="G367" s="13" t="n">
        <f aca="false">D367*F367</f>
        <v>2</v>
      </c>
      <c r="H367" s="14" t="s">
        <v>411</v>
      </c>
    </row>
    <row r="368" customFormat="false" ht="15" hidden="false" customHeight="false" outlineLevel="0" collapsed="false">
      <c r="A368" s="7" t="n">
        <v>38</v>
      </c>
      <c r="B368" s="7" t="s">
        <v>412</v>
      </c>
      <c r="C368" s="7" t="s">
        <v>143</v>
      </c>
      <c r="D368" s="8" t="n">
        <v>1000</v>
      </c>
      <c r="E368" s="7" t="s">
        <v>55</v>
      </c>
      <c r="F368" s="10" t="n">
        <f aca="false">IFERROR(INDEX('1. Insumos'!$F$5:$F$93,MATCH($C368,'1. Insumos'!$B$5:$B$93,0)),0)</f>
        <v>0.032</v>
      </c>
      <c r="G368" s="13" t="n">
        <f aca="false">D368*F368</f>
        <v>32</v>
      </c>
      <c r="H368" s="14" t="s">
        <v>413</v>
      </c>
    </row>
    <row r="369" customFormat="false" ht="15" hidden="false" customHeight="false" outlineLevel="0" collapsed="false">
      <c r="A369" s="7" t="n">
        <v>38</v>
      </c>
      <c r="B369" s="7" t="s">
        <v>412</v>
      </c>
      <c r="C369" s="7" t="s">
        <v>110</v>
      </c>
      <c r="D369" s="8" t="n">
        <v>220</v>
      </c>
      <c r="E369" s="7" t="s">
        <v>55</v>
      </c>
      <c r="F369" s="10" t="n">
        <f aca="false">IFERROR(INDEX('1. Insumos'!$F$5:$F$93,MATCH($C369,'1. Insumos'!$B$5:$B$93,0)),0)</f>
        <v>0.145</v>
      </c>
      <c r="G369" s="13" t="n">
        <f aca="false">D369*F369</f>
        <v>31.9</v>
      </c>
      <c r="H369" s="14" t="s">
        <v>164</v>
      </c>
    </row>
    <row r="370" customFormat="false" ht="15" hidden="false" customHeight="false" outlineLevel="0" collapsed="false">
      <c r="A370" s="7" t="n">
        <v>38</v>
      </c>
      <c r="B370" s="7" t="s">
        <v>412</v>
      </c>
      <c r="C370" s="7" t="s">
        <v>46</v>
      </c>
      <c r="D370" s="8" t="n">
        <v>240</v>
      </c>
      <c r="E370" s="7" t="s">
        <v>47</v>
      </c>
      <c r="F370" s="10" t="n">
        <f aca="false">IFERROR(INDEX('1. Insumos'!$F$5:$F$93,MATCH($C370,'1. Insumos'!$B$5:$B$93,0)),0)</f>
        <v>0.001</v>
      </c>
      <c r="G370" s="13" t="n">
        <f aca="false">D370*F370</f>
        <v>0.24</v>
      </c>
      <c r="H370" s="14" t="s">
        <v>414</v>
      </c>
    </row>
    <row r="371" customFormat="false" ht="15" hidden="false" customHeight="false" outlineLevel="0" collapsed="false">
      <c r="A371" s="7" t="n">
        <v>38</v>
      </c>
      <c r="B371" s="7" t="s">
        <v>412</v>
      </c>
      <c r="C371" s="7" t="s">
        <v>85</v>
      </c>
      <c r="D371" s="8" t="n">
        <v>16</v>
      </c>
      <c r="E371" s="7" t="s">
        <v>55</v>
      </c>
      <c r="F371" s="10" t="n">
        <f aca="false">IFERROR(INDEX('1. Insumos'!$F$5:$F$93,MATCH($C371,'1. Insumos'!$B$5:$B$93,0)),0)</f>
        <v>0.025</v>
      </c>
      <c r="G371" s="13" t="n">
        <f aca="false">D371*F371</f>
        <v>0.4</v>
      </c>
      <c r="H371" s="14" t="s">
        <v>167</v>
      </c>
    </row>
    <row r="372" customFormat="false" ht="15" hidden="false" customHeight="false" outlineLevel="0" collapsed="false">
      <c r="A372" s="7" t="n">
        <v>38</v>
      </c>
      <c r="B372" s="7" t="s">
        <v>412</v>
      </c>
      <c r="C372" s="7" t="s">
        <v>84</v>
      </c>
      <c r="D372" s="8" t="n">
        <v>5</v>
      </c>
      <c r="E372" s="7" t="s">
        <v>55</v>
      </c>
      <c r="F372" s="10" t="n">
        <f aca="false">IFERROR(INDEX('1. Insumos'!$F$5:$F$93,MATCH($C372,'1. Insumos'!$B$5:$B$93,0)),0)</f>
        <v>0.175</v>
      </c>
      <c r="G372" s="13" t="n">
        <f aca="false">D372*F372</f>
        <v>0.875</v>
      </c>
      <c r="H372" s="14" t="s">
        <v>84</v>
      </c>
    </row>
    <row r="373" customFormat="false" ht="15" hidden="false" customHeight="false" outlineLevel="0" collapsed="false">
      <c r="A373" s="7" t="n">
        <v>38</v>
      </c>
      <c r="B373" s="7" t="s">
        <v>412</v>
      </c>
      <c r="C373" s="7" t="s">
        <v>114</v>
      </c>
      <c r="D373" s="8" t="n">
        <v>26.67</v>
      </c>
      <c r="E373" s="7" t="s">
        <v>64</v>
      </c>
      <c r="F373" s="10" t="n">
        <f aca="false">IFERROR(INDEX('1. Insumos'!$F$5:$F$93,MATCH($C373,'1. Insumos'!$B$5:$B$93,0)),0)</f>
        <v>2</v>
      </c>
      <c r="G373" s="13" t="n">
        <f aca="false">D373*F373</f>
        <v>53.34</v>
      </c>
      <c r="H373" s="14" t="s">
        <v>415</v>
      </c>
    </row>
    <row r="374" customFormat="false" ht="15" hidden="false" customHeight="false" outlineLevel="0" collapsed="false">
      <c r="A374" s="7" t="n">
        <v>38</v>
      </c>
      <c r="B374" s="7" t="s">
        <v>412</v>
      </c>
      <c r="C374" s="7" t="s">
        <v>130</v>
      </c>
      <c r="D374" s="8" t="n">
        <v>200</v>
      </c>
      <c r="E374" s="7" t="s">
        <v>55</v>
      </c>
      <c r="F374" s="10" t="n">
        <f aca="false">IFERROR(INDEX('1. Insumos'!$F$5:$F$93,MATCH($C374,'1. Insumos'!$B$5:$B$93,0)),0)</f>
        <v>0.18</v>
      </c>
      <c r="G374" s="13" t="n">
        <f aca="false">D374*F374</f>
        <v>36</v>
      </c>
      <c r="H374" s="14" t="s">
        <v>416</v>
      </c>
    </row>
    <row r="375" customFormat="false" ht="15" hidden="false" customHeight="false" outlineLevel="0" collapsed="false">
      <c r="A375" s="7" t="n">
        <v>39</v>
      </c>
      <c r="B375" s="7" t="s">
        <v>417</v>
      </c>
      <c r="C375" s="7" t="s">
        <v>143</v>
      </c>
      <c r="D375" s="8" t="n">
        <v>1000</v>
      </c>
      <c r="E375" s="7" t="s">
        <v>55</v>
      </c>
      <c r="F375" s="10" t="n">
        <f aca="false">IFERROR(INDEX('1. Insumos'!$F$5:$F$93,MATCH($C375,'1. Insumos'!$B$5:$B$93,0)),0)</f>
        <v>0.032</v>
      </c>
      <c r="G375" s="13" t="n">
        <f aca="false">D375*F375</f>
        <v>32</v>
      </c>
      <c r="H375" s="14" t="s">
        <v>177</v>
      </c>
    </row>
    <row r="376" customFormat="false" ht="15" hidden="false" customHeight="false" outlineLevel="0" collapsed="false">
      <c r="A376" s="7" t="n">
        <v>39</v>
      </c>
      <c r="B376" s="7" t="s">
        <v>417</v>
      </c>
      <c r="C376" s="7" t="s">
        <v>110</v>
      </c>
      <c r="D376" s="8" t="n">
        <v>270</v>
      </c>
      <c r="E376" s="7" t="s">
        <v>55</v>
      </c>
      <c r="F376" s="10" t="n">
        <f aca="false">IFERROR(INDEX('1. Insumos'!$F$5:$F$93,MATCH($C376,'1. Insumos'!$B$5:$B$93,0)),0)</f>
        <v>0.145</v>
      </c>
      <c r="G376" s="13" t="n">
        <f aca="false">D376*F376</f>
        <v>39.15</v>
      </c>
      <c r="H376" s="14" t="s">
        <v>110</v>
      </c>
    </row>
    <row r="377" customFormat="false" ht="15" hidden="false" customHeight="false" outlineLevel="0" collapsed="false">
      <c r="A377" s="7" t="n">
        <v>39</v>
      </c>
      <c r="B377" s="7" t="s">
        <v>417</v>
      </c>
      <c r="C377" s="7" t="s">
        <v>52</v>
      </c>
      <c r="D377" s="8" t="n">
        <v>470</v>
      </c>
      <c r="E377" s="7" t="s">
        <v>47</v>
      </c>
      <c r="F377" s="10" t="n">
        <f aca="false">IFERROR(INDEX('1. Insumos'!$F$5:$F$93,MATCH($C377,'1. Insumos'!$B$5:$B$93,0)),0)</f>
        <v>0.03</v>
      </c>
      <c r="G377" s="13" t="n">
        <f aca="false">D377*F377</f>
        <v>14.1</v>
      </c>
      <c r="H377" s="14" t="s">
        <v>418</v>
      </c>
    </row>
    <row r="378" customFormat="false" ht="15" hidden="false" customHeight="false" outlineLevel="0" collapsed="false">
      <c r="A378" s="7" t="n">
        <v>39</v>
      </c>
      <c r="B378" s="7" t="s">
        <v>417</v>
      </c>
      <c r="C378" s="7" t="s">
        <v>85</v>
      </c>
      <c r="D378" s="8" t="n">
        <v>15</v>
      </c>
      <c r="E378" s="7" t="s">
        <v>55</v>
      </c>
      <c r="F378" s="10" t="n">
        <f aca="false">IFERROR(INDEX('1. Insumos'!$F$5:$F$93,MATCH($C378,'1. Insumos'!$B$5:$B$93,0)),0)</f>
        <v>0.025</v>
      </c>
      <c r="G378" s="13" t="n">
        <f aca="false">D378*F378</f>
        <v>0.375</v>
      </c>
      <c r="H378" s="14" t="s">
        <v>204</v>
      </c>
    </row>
    <row r="379" customFormat="false" ht="15" hidden="false" customHeight="false" outlineLevel="0" collapsed="false">
      <c r="A379" s="7" t="n">
        <v>39</v>
      </c>
      <c r="B379" s="7" t="s">
        <v>417</v>
      </c>
      <c r="C379" s="7" t="s">
        <v>84</v>
      </c>
      <c r="D379" s="8" t="n">
        <v>5</v>
      </c>
      <c r="E379" s="7" t="s">
        <v>55</v>
      </c>
      <c r="F379" s="10" t="n">
        <f aca="false">IFERROR(INDEX('1. Insumos'!$F$5:$F$93,MATCH($C379,'1. Insumos'!$B$5:$B$93,0)),0)</f>
        <v>0.175</v>
      </c>
      <c r="G379" s="13" t="n">
        <f aca="false">D379*F379</f>
        <v>0.875</v>
      </c>
      <c r="H379" s="14" t="s">
        <v>84</v>
      </c>
    </row>
    <row r="380" customFormat="false" ht="15" hidden="false" customHeight="false" outlineLevel="0" collapsed="false">
      <c r="A380" s="7" t="n">
        <v>39</v>
      </c>
      <c r="B380" s="7" t="s">
        <v>417</v>
      </c>
      <c r="C380" s="7" t="s">
        <v>60</v>
      </c>
      <c r="D380" s="8" t="n">
        <v>450</v>
      </c>
      <c r="E380" s="7" t="s">
        <v>55</v>
      </c>
      <c r="F380" s="10" t="n">
        <f aca="false">IFERROR(INDEX('1. Insumos'!$F$5:$F$93,MATCH($C380,'1. Insumos'!$B$5:$B$93,0)),0)</f>
        <v>0.165</v>
      </c>
      <c r="G380" s="13" t="n">
        <f aca="false">D380*F380</f>
        <v>74.25</v>
      </c>
      <c r="H380" s="14" t="s">
        <v>315</v>
      </c>
    </row>
    <row r="381" customFormat="false" ht="15" hidden="false" customHeight="false" outlineLevel="0" collapsed="false">
      <c r="A381" s="7" t="n">
        <v>39</v>
      </c>
      <c r="B381" s="7" t="s">
        <v>417</v>
      </c>
      <c r="C381" s="7" t="s">
        <v>147</v>
      </c>
      <c r="D381" s="8" t="n">
        <v>350</v>
      </c>
      <c r="E381" s="7" t="s">
        <v>55</v>
      </c>
      <c r="F381" s="10" t="n">
        <f aca="false">IFERROR(INDEX('1. Insumos'!$F$5:$F$93,MATCH($C381,'1. Insumos'!$B$5:$B$93,0)),0)</f>
        <v>0.44</v>
      </c>
      <c r="G381" s="13" t="n">
        <f aca="false">D381*F381</f>
        <v>154</v>
      </c>
      <c r="H381" s="14" t="s">
        <v>419</v>
      </c>
    </row>
    <row r="382" customFormat="false" ht="15" hidden="false" customHeight="false" outlineLevel="0" collapsed="false">
      <c r="A382" s="7" t="n">
        <v>40</v>
      </c>
      <c r="B382" s="7" t="s">
        <v>420</v>
      </c>
      <c r="C382" s="7" t="s">
        <v>143</v>
      </c>
      <c r="D382" s="8" t="n">
        <v>1000</v>
      </c>
      <c r="E382" s="7" t="s">
        <v>55</v>
      </c>
      <c r="F382" s="10" t="n">
        <f aca="false">IFERROR(INDEX('1. Insumos'!$F$5:$F$93,MATCH($C382,'1. Insumos'!$B$5:$B$93,0)),0)</f>
        <v>0.032</v>
      </c>
      <c r="G382" s="13" t="n">
        <f aca="false">D382*F382</f>
        <v>32</v>
      </c>
      <c r="H382" s="14" t="s">
        <v>177</v>
      </c>
    </row>
    <row r="383" customFormat="false" ht="15" hidden="false" customHeight="false" outlineLevel="0" collapsed="false">
      <c r="A383" s="7" t="n">
        <v>40</v>
      </c>
      <c r="B383" s="7" t="s">
        <v>420</v>
      </c>
      <c r="C383" s="7" t="s">
        <v>110</v>
      </c>
      <c r="D383" s="8" t="n">
        <v>265</v>
      </c>
      <c r="E383" s="7" t="s">
        <v>55</v>
      </c>
      <c r="F383" s="10" t="n">
        <f aca="false">IFERROR(INDEX('1. Insumos'!$F$5:$F$93,MATCH($C383,'1. Insumos'!$B$5:$B$93,0)),0)</f>
        <v>0.145</v>
      </c>
      <c r="G383" s="13" t="n">
        <f aca="false">D383*F383</f>
        <v>38.425</v>
      </c>
      <c r="H383" s="14" t="s">
        <v>421</v>
      </c>
    </row>
    <row r="384" customFormat="false" ht="15" hidden="false" customHeight="false" outlineLevel="0" collapsed="false">
      <c r="A384" s="7" t="n">
        <v>40</v>
      </c>
      <c r="B384" s="7" t="s">
        <v>420</v>
      </c>
      <c r="C384" s="7" t="s">
        <v>52</v>
      </c>
      <c r="D384" s="8" t="n">
        <v>250</v>
      </c>
      <c r="E384" s="7" t="s">
        <v>47</v>
      </c>
      <c r="F384" s="10" t="n">
        <f aca="false">IFERROR(INDEX('1. Insumos'!$F$5:$F$93,MATCH($C384,'1. Insumos'!$B$5:$B$93,0)),0)</f>
        <v>0.03</v>
      </c>
      <c r="G384" s="13" t="n">
        <f aca="false">D384*F384</f>
        <v>7.5</v>
      </c>
      <c r="H384" s="14" t="s">
        <v>287</v>
      </c>
    </row>
    <row r="385" customFormat="false" ht="15" hidden="false" customHeight="false" outlineLevel="0" collapsed="false">
      <c r="A385" s="7" t="n">
        <v>40</v>
      </c>
      <c r="B385" s="7" t="s">
        <v>420</v>
      </c>
      <c r="C385" s="7" t="s">
        <v>153</v>
      </c>
      <c r="D385" s="8" t="n">
        <v>120</v>
      </c>
      <c r="E385" s="7" t="s">
        <v>55</v>
      </c>
      <c r="F385" s="10" t="n">
        <f aca="false">IFERROR(INDEX('1. Insumos'!$F$5:$F$93,MATCH($C385,'1. Insumos'!$B$5:$B$93,0)),0)</f>
        <v>0.22</v>
      </c>
      <c r="G385" s="13" t="n">
        <f aca="false">D385*F385</f>
        <v>26.4</v>
      </c>
      <c r="H385" s="14" t="s">
        <v>422</v>
      </c>
    </row>
    <row r="386" customFormat="false" ht="15" hidden="false" customHeight="false" outlineLevel="0" collapsed="false">
      <c r="A386" s="7" t="n">
        <v>40</v>
      </c>
      <c r="B386" s="7" t="s">
        <v>420</v>
      </c>
      <c r="C386" s="7" t="s">
        <v>85</v>
      </c>
      <c r="D386" s="8" t="n">
        <v>16</v>
      </c>
      <c r="E386" s="7" t="s">
        <v>55</v>
      </c>
      <c r="F386" s="10" t="n">
        <f aca="false">IFERROR(INDEX('1. Insumos'!$F$5:$F$93,MATCH($C386,'1. Insumos'!$B$5:$B$93,0)),0)</f>
        <v>0.025</v>
      </c>
      <c r="G386" s="13" t="n">
        <f aca="false">D386*F386</f>
        <v>0.4</v>
      </c>
      <c r="H386" s="14" t="s">
        <v>167</v>
      </c>
    </row>
    <row r="387" customFormat="false" ht="15" hidden="false" customHeight="false" outlineLevel="0" collapsed="false">
      <c r="A387" s="7" t="n">
        <v>40</v>
      </c>
      <c r="B387" s="7" t="s">
        <v>420</v>
      </c>
      <c r="C387" s="7" t="s">
        <v>84</v>
      </c>
      <c r="D387" s="8" t="n">
        <v>5</v>
      </c>
      <c r="E387" s="7" t="s">
        <v>55</v>
      </c>
      <c r="F387" s="10" t="n">
        <f aca="false">IFERROR(INDEX('1. Insumos'!$F$5:$F$93,MATCH($C387,'1. Insumos'!$B$5:$B$93,0)),0)</f>
        <v>0.175</v>
      </c>
      <c r="G387" s="13" t="n">
        <f aca="false">D387*F387</f>
        <v>0.875</v>
      </c>
      <c r="H387" s="14" t="s">
        <v>84</v>
      </c>
    </row>
    <row r="388" customFormat="false" ht="15" hidden="false" customHeight="false" outlineLevel="0" collapsed="false">
      <c r="A388" s="7" t="n">
        <v>40</v>
      </c>
      <c r="B388" s="7" t="s">
        <v>420</v>
      </c>
      <c r="C388" s="7" t="s">
        <v>130</v>
      </c>
      <c r="D388" s="8" t="n">
        <v>300</v>
      </c>
      <c r="E388" s="7" t="s">
        <v>55</v>
      </c>
      <c r="F388" s="10" t="n">
        <f aca="false">IFERROR(INDEX('1. Insumos'!$F$5:$F$93,MATCH($C388,'1. Insumos'!$B$5:$B$93,0)),0)</f>
        <v>0.18</v>
      </c>
      <c r="G388" s="13" t="n">
        <f aca="false">D388*F388</f>
        <v>54</v>
      </c>
      <c r="H388" s="14" t="s">
        <v>423</v>
      </c>
    </row>
    <row r="389" customFormat="false" ht="15" hidden="false" customHeight="false" outlineLevel="0" collapsed="false">
      <c r="A389" s="7" t="n">
        <v>40</v>
      </c>
      <c r="B389" s="7" t="s">
        <v>420</v>
      </c>
      <c r="C389" s="7" t="s">
        <v>97</v>
      </c>
      <c r="D389" s="8" t="n">
        <v>4</v>
      </c>
      <c r="E389" s="7" t="s">
        <v>64</v>
      </c>
      <c r="F389" s="10" t="n">
        <f aca="false">IFERROR(INDEX('1. Insumos'!$F$5:$F$93,MATCH($C389,'1. Insumos'!$B$5:$B$93,0)),0)</f>
        <v>2.91666666666667</v>
      </c>
      <c r="G389" s="13" t="n">
        <f aca="false">D389*F389</f>
        <v>11.6666666666667</v>
      </c>
      <c r="H389" s="14" t="s">
        <v>424</v>
      </c>
    </row>
    <row r="390" customFormat="false" ht="15" hidden="false" customHeight="false" outlineLevel="0" collapsed="false">
      <c r="A390" s="7" t="n">
        <v>41</v>
      </c>
      <c r="B390" s="7" t="s">
        <v>425</v>
      </c>
      <c r="C390" s="7" t="s">
        <v>143</v>
      </c>
      <c r="D390" s="8" t="n">
        <v>1000</v>
      </c>
      <c r="E390" s="7" t="s">
        <v>55</v>
      </c>
      <c r="F390" s="10" t="n">
        <f aca="false">IFERROR(INDEX('1. Insumos'!$F$5:$F$93,MATCH($C390,'1. Insumos'!$B$5:$B$93,0)),0)</f>
        <v>0.032</v>
      </c>
      <c r="G390" s="13" t="n">
        <f aca="false">D390*F390</f>
        <v>32</v>
      </c>
      <c r="H390" s="14" t="s">
        <v>177</v>
      </c>
    </row>
    <row r="391" customFormat="false" ht="15" hidden="false" customHeight="false" outlineLevel="0" collapsed="false">
      <c r="A391" s="7" t="n">
        <v>41</v>
      </c>
      <c r="B391" s="7" t="s">
        <v>425</v>
      </c>
      <c r="C391" s="7" t="s">
        <v>110</v>
      </c>
      <c r="D391" s="8" t="n">
        <v>270</v>
      </c>
      <c r="E391" s="7" t="s">
        <v>55</v>
      </c>
      <c r="F391" s="10" t="n">
        <f aca="false">IFERROR(INDEX('1. Insumos'!$F$5:$F$93,MATCH($C391,'1. Insumos'!$B$5:$B$93,0)),0)</f>
        <v>0.145</v>
      </c>
      <c r="G391" s="13" t="n">
        <f aca="false">D391*F391</f>
        <v>39.15</v>
      </c>
      <c r="H391" s="14" t="s">
        <v>164</v>
      </c>
    </row>
    <row r="392" customFormat="false" ht="15" hidden="false" customHeight="false" outlineLevel="0" collapsed="false">
      <c r="A392" s="7" t="n">
        <v>41</v>
      </c>
      <c r="B392" s="7" t="s">
        <v>425</v>
      </c>
      <c r="C392" s="7" t="s">
        <v>49</v>
      </c>
      <c r="D392" s="8" t="n">
        <v>260</v>
      </c>
      <c r="E392" s="7" t="s">
        <v>47</v>
      </c>
      <c r="F392" s="10" t="n">
        <f aca="false">IFERROR(INDEX('1. Insumos'!$F$5:$F$93,MATCH($C392,'1. Insumos'!$B$5:$B$93,0)),0)</f>
        <v>0.032</v>
      </c>
      <c r="G392" s="13" t="n">
        <f aca="false">D392*F392</f>
        <v>8.32</v>
      </c>
      <c r="H392" s="14" t="s">
        <v>426</v>
      </c>
    </row>
    <row r="393" customFormat="false" ht="15" hidden="false" customHeight="false" outlineLevel="0" collapsed="false">
      <c r="A393" s="7" t="n">
        <v>41</v>
      </c>
      <c r="B393" s="7" t="s">
        <v>425</v>
      </c>
      <c r="C393" s="7" t="s">
        <v>85</v>
      </c>
      <c r="D393" s="8" t="n">
        <v>16</v>
      </c>
      <c r="E393" s="7" t="s">
        <v>55</v>
      </c>
      <c r="F393" s="10" t="n">
        <f aca="false">IFERROR(INDEX('1. Insumos'!$F$5:$F$93,MATCH($C393,'1. Insumos'!$B$5:$B$93,0)),0)</f>
        <v>0.025</v>
      </c>
      <c r="G393" s="13" t="n">
        <f aca="false">D393*F393</f>
        <v>0.4</v>
      </c>
      <c r="H393" s="14" t="s">
        <v>167</v>
      </c>
    </row>
    <row r="394" customFormat="false" ht="15" hidden="false" customHeight="false" outlineLevel="0" collapsed="false">
      <c r="A394" s="7" t="n">
        <v>41</v>
      </c>
      <c r="B394" s="7" t="s">
        <v>425</v>
      </c>
      <c r="C394" s="7" t="s">
        <v>84</v>
      </c>
      <c r="D394" s="8" t="n">
        <v>5</v>
      </c>
      <c r="E394" s="7" t="s">
        <v>55</v>
      </c>
      <c r="F394" s="10" t="n">
        <f aca="false">IFERROR(INDEX('1. Insumos'!$F$5:$F$93,MATCH($C394,'1. Insumos'!$B$5:$B$93,0)),0)</f>
        <v>0.175</v>
      </c>
      <c r="G394" s="13" t="n">
        <f aca="false">D394*F394</f>
        <v>0.875</v>
      </c>
      <c r="H394" s="14" t="s">
        <v>84</v>
      </c>
    </row>
    <row r="395" customFormat="false" ht="15" hidden="false" customHeight="false" outlineLevel="0" collapsed="false">
      <c r="A395" s="7" t="n">
        <v>41</v>
      </c>
      <c r="B395" s="7" t="s">
        <v>425</v>
      </c>
      <c r="C395" s="7" t="s">
        <v>61</v>
      </c>
      <c r="D395" s="8" t="n">
        <v>450</v>
      </c>
      <c r="E395" s="7" t="s">
        <v>55</v>
      </c>
      <c r="F395" s="10" t="n">
        <f aca="false">IFERROR(INDEX('1. Insumos'!$F$5:$F$93,MATCH($C395,'1. Insumos'!$B$5:$B$93,0)),0)</f>
        <v>0.185</v>
      </c>
      <c r="G395" s="13" t="n">
        <f aca="false">D395*F395</f>
        <v>83.25</v>
      </c>
      <c r="H395" s="14" t="s">
        <v>427</v>
      </c>
    </row>
    <row r="396" customFormat="false" ht="15" hidden="false" customHeight="false" outlineLevel="0" collapsed="false">
      <c r="A396" s="7" t="n">
        <v>41</v>
      </c>
      <c r="B396" s="7" t="s">
        <v>425</v>
      </c>
      <c r="C396" s="7" t="s">
        <v>63</v>
      </c>
      <c r="D396" s="8" t="n">
        <v>4</v>
      </c>
      <c r="E396" s="7" t="s">
        <v>64</v>
      </c>
      <c r="F396" s="10" t="n">
        <f aca="false">IFERROR(INDEX('1. Insumos'!$F$5:$F$93,MATCH($C396,'1. Insumos'!$B$5:$B$93,0)),0)</f>
        <v>2.33333333333333</v>
      </c>
      <c r="G396" s="13" t="n">
        <f aca="false">D396*F396</f>
        <v>9.33333333333333</v>
      </c>
      <c r="H396" s="14" t="s">
        <v>428</v>
      </c>
    </row>
    <row r="397" customFormat="false" ht="15" hidden="false" customHeight="false" outlineLevel="0" collapsed="false">
      <c r="A397" s="7" t="n">
        <v>41</v>
      </c>
      <c r="B397" s="7" t="s">
        <v>425</v>
      </c>
      <c r="C397" s="7" t="s">
        <v>97</v>
      </c>
      <c r="D397" s="8" t="n">
        <v>3</v>
      </c>
      <c r="E397" s="7" t="s">
        <v>64</v>
      </c>
      <c r="F397" s="10" t="n">
        <f aca="false">IFERROR(INDEX('1. Insumos'!$F$5:$F$93,MATCH($C397,'1. Insumos'!$B$5:$B$93,0)),0)</f>
        <v>2.91666666666667</v>
      </c>
      <c r="G397" s="13" t="n">
        <f aca="false">D397*F397</f>
        <v>8.75</v>
      </c>
      <c r="H397" s="14" t="s">
        <v>199</v>
      </c>
    </row>
    <row r="398" customFormat="false" ht="15" hidden="false" customHeight="false" outlineLevel="0" collapsed="false">
      <c r="A398" s="7" t="n">
        <v>41</v>
      </c>
      <c r="B398" s="7" t="s">
        <v>425</v>
      </c>
      <c r="C398" s="7" t="s">
        <v>88</v>
      </c>
      <c r="D398" s="8" t="n">
        <v>2</v>
      </c>
      <c r="E398" s="7" t="s">
        <v>64</v>
      </c>
      <c r="F398" s="10" t="n">
        <f aca="false">IFERROR(INDEX('1. Insumos'!$F$5:$F$93,MATCH($C398,'1. Insumos'!$B$5:$B$93,0)),0)</f>
        <v>0.875</v>
      </c>
      <c r="G398" s="13" t="n">
        <f aca="false">D398*F398</f>
        <v>1.75</v>
      </c>
      <c r="H398" s="14" t="s">
        <v>215</v>
      </c>
    </row>
    <row r="399" customFormat="false" ht="15" hidden="false" customHeight="false" outlineLevel="0" collapsed="false">
      <c r="A399" s="7" t="n">
        <v>41</v>
      </c>
      <c r="B399" s="7" t="s">
        <v>425</v>
      </c>
      <c r="C399" s="7" t="s">
        <v>145</v>
      </c>
      <c r="D399" s="8" t="n">
        <v>20</v>
      </c>
      <c r="E399" s="7" t="s">
        <v>55</v>
      </c>
      <c r="F399" s="10" t="n">
        <f aca="false">IFERROR(INDEX('1. Insumos'!$F$5:$F$93,MATCH($C399,'1. Insumos'!$B$5:$B$93,0)),0)</f>
        <v>0.32</v>
      </c>
      <c r="G399" s="13" t="n">
        <f aca="false">D399*F399</f>
        <v>6.4</v>
      </c>
      <c r="H399" s="14" t="s">
        <v>377</v>
      </c>
    </row>
    <row r="400" customFormat="false" ht="15" hidden="false" customHeight="false" outlineLevel="0" collapsed="false">
      <c r="A400" s="7" t="n">
        <v>41</v>
      </c>
      <c r="B400" s="7" t="s">
        <v>425</v>
      </c>
      <c r="C400" s="7" t="s">
        <v>80</v>
      </c>
      <c r="D400" s="8" t="n">
        <v>2</v>
      </c>
      <c r="E400" s="7" t="s">
        <v>64</v>
      </c>
      <c r="F400" s="10" t="n">
        <f aca="false">IFERROR(INDEX('1. Insumos'!$F$5:$F$93,MATCH($C400,'1. Insumos'!$B$5:$B$93,0)),0)</f>
        <v>0.225</v>
      </c>
      <c r="G400" s="13" t="n">
        <f aca="false">D400*F400</f>
        <v>0.45</v>
      </c>
      <c r="H400" s="14" t="s">
        <v>429</v>
      </c>
    </row>
    <row r="401" customFormat="false" ht="15" hidden="false" customHeight="false" outlineLevel="0" collapsed="false">
      <c r="A401" s="7" t="n">
        <v>41</v>
      </c>
      <c r="B401" s="7" t="s">
        <v>425</v>
      </c>
      <c r="C401" s="7" t="s">
        <v>105</v>
      </c>
      <c r="D401" s="8" t="n">
        <v>275</v>
      </c>
      <c r="E401" s="7" t="s">
        <v>55</v>
      </c>
      <c r="F401" s="10" t="n">
        <f aca="false">IFERROR(INDEX('1. Insumos'!$F$5:$F$93,MATCH($C401,'1. Insumos'!$B$5:$B$93,0)),0)</f>
        <v>0.22</v>
      </c>
      <c r="G401" s="13" t="n">
        <f aca="false">D401*F401</f>
        <v>60.5</v>
      </c>
      <c r="H401" s="14" t="s">
        <v>430</v>
      </c>
    </row>
    <row r="402" customFormat="false" ht="15" hidden="false" customHeight="false" outlineLevel="0" collapsed="false">
      <c r="A402" s="7" t="n">
        <v>41</v>
      </c>
      <c r="B402" s="7" t="s">
        <v>425</v>
      </c>
      <c r="C402" s="7" t="s">
        <v>107</v>
      </c>
      <c r="D402" s="8" t="n">
        <v>1</v>
      </c>
      <c r="E402" s="7" t="s">
        <v>64</v>
      </c>
      <c r="F402" s="10" t="n">
        <f aca="false">IFERROR(INDEX('1. Insumos'!$F$5:$F$93,MATCH($C402,'1. Insumos'!$B$5:$B$93,0)),0)</f>
        <v>5.83333333333333</v>
      </c>
      <c r="G402" s="13" t="n">
        <f aca="false">D402*F402</f>
        <v>5.83333333333333</v>
      </c>
      <c r="H402" s="14" t="s">
        <v>431</v>
      </c>
    </row>
    <row r="403" customFormat="false" ht="15" hidden="false" customHeight="false" outlineLevel="0" collapsed="false">
      <c r="A403" s="7" t="n">
        <v>41</v>
      </c>
      <c r="B403" s="7" t="s">
        <v>425</v>
      </c>
      <c r="C403" s="7" t="s">
        <v>125</v>
      </c>
      <c r="D403" s="8" t="n">
        <v>3</v>
      </c>
      <c r="E403" s="7" t="s">
        <v>64</v>
      </c>
      <c r="F403" s="10" t="n">
        <f aca="false">IFERROR(INDEX('1. Insumos'!$F$5:$F$93,MATCH($C403,'1. Insumos'!$B$5:$B$93,0)),0)</f>
        <v>3.75</v>
      </c>
      <c r="G403" s="13" t="n">
        <f aca="false">D403*F403</f>
        <v>11.25</v>
      </c>
      <c r="H403" s="14" t="s">
        <v>432</v>
      </c>
    </row>
    <row r="404" customFormat="false" ht="15" hidden="false" customHeight="false" outlineLevel="0" collapsed="false">
      <c r="A404" s="7" t="n">
        <v>41</v>
      </c>
      <c r="B404" s="7" t="s">
        <v>425</v>
      </c>
      <c r="C404" s="7" t="s">
        <v>101</v>
      </c>
      <c r="D404" s="8" t="n">
        <v>1</v>
      </c>
      <c r="E404" s="7" t="s">
        <v>64</v>
      </c>
      <c r="F404" s="10" t="n">
        <f aca="false">IFERROR(INDEX('1. Insumos'!$F$5:$F$93,MATCH($C404,'1. Insumos'!$B$5:$B$93,0)),0)</f>
        <v>11.25</v>
      </c>
      <c r="G404" s="13" t="n">
        <f aca="false">D404*F404</f>
        <v>11.25</v>
      </c>
      <c r="H404" s="14" t="s">
        <v>433</v>
      </c>
    </row>
    <row r="405" customFormat="false" ht="15" hidden="false" customHeight="false" outlineLevel="0" collapsed="false">
      <c r="A405" s="7" t="n">
        <v>42</v>
      </c>
      <c r="B405" s="7" t="s">
        <v>434</v>
      </c>
      <c r="C405" s="7" t="s">
        <v>143</v>
      </c>
      <c r="D405" s="8" t="n">
        <v>1000</v>
      </c>
      <c r="E405" s="7" t="s">
        <v>55</v>
      </c>
      <c r="F405" s="10" t="n">
        <f aca="false">IFERROR(INDEX('1. Insumos'!$F$5:$F$93,MATCH($C405,'1. Insumos'!$B$5:$B$93,0)),0)</f>
        <v>0.032</v>
      </c>
      <c r="G405" s="13" t="n">
        <f aca="false">D405*F405</f>
        <v>32</v>
      </c>
      <c r="H405" s="14" t="s">
        <v>187</v>
      </c>
    </row>
    <row r="406" customFormat="false" ht="15" hidden="false" customHeight="false" outlineLevel="0" collapsed="false">
      <c r="A406" s="7" t="n">
        <v>42</v>
      </c>
      <c r="B406" s="7" t="s">
        <v>434</v>
      </c>
      <c r="C406" s="7" t="s">
        <v>110</v>
      </c>
      <c r="D406" s="8" t="n">
        <v>285</v>
      </c>
      <c r="E406" s="7" t="s">
        <v>55</v>
      </c>
      <c r="F406" s="10" t="n">
        <f aca="false">IFERROR(INDEX('1. Insumos'!$F$5:$F$93,MATCH($C406,'1. Insumos'!$B$5:$B$93,0)),0)</f>
        <v>0.145</v>
      </c>
      <c r="G406" s="13" t="n">
        <f aca="false">D406*F406</f>
        <v>41.325</v>
      </c>
      <c r="H406" s="14" t="s">
        <v>164</v>
      </c>
    </row>
    <row r="407" customFormat="false" ht="15" hidden="false" customHeight="false" outlineLevel="0" collapsed="false">
      <c r="A407" s="7" t="n">
        <v>42</v>
      </c>
      <c r="B407" s="7" t="s">
        <v>434</v>
      </c>
      <c r="C407" s="7" t="s">
        <v>49</v>
      </c>
      <c r="D407" s="8" t="n">
        <v>220</v>
      </c>
      <c r="E407" s="7" t="s">
        <v>47</v>
      </c>
      <c r="F407" s="10" t="n">
        <f aca="false">IFERROR(INDEX('1. Insumos'!$F$5:$F$93,MATCH($C407,'1. Insumos'!$B$5:$B$93,0)),0)</f>
        <v>0.032</v>
      </c>
      <c r="G407" s="13" t="n">
        <f aca="false">D407*F407</f>
        <v>7.04</v>
      </c>
      <c r="H407" s="14" t="s">
        <v>203</v>
      </c>
    </row>
    <row r="408" customFormat="false" ht="15" hidden="false" customHeight="false" outlineLevel="0" collapsed="false">
      <c r="A408" s="7" t="n">
        <v>42</v>
      </c>
      <c r="B408" s="7" t="s">
        <v>434</v>
      </c>
      <c r="C408" s="7" t="s">
        <v>85</v>
      </c>
      <c r="D408" s="8" t="n">
        <v>18</v>
      </c>
      <c r="E408" s="7" t="s">
        <v>55</v>
      </c>
      <c r="F408" s="10" t="n">
        <f aca="false">IFERROR(INDEX('1. Insumos'!$F$5:$F$93,MATCH($C408,'1. Insumos'!$B$5:$B$93,0)),0)</f>
        <v>0.025</v>
      </c>
      <c r="G408" s="13" t="n">
        <f aca="false">D408*F408</f>
        <v>0.45</v>
      </c>
      <c r="H408" s="14" t="s">
        <v>167</v>
      </c>
    </row>
    <row r="409" customFormat="false" ht="15" hidden="false" customHeight="false" outlineLevel="0" collapsed="false">
      <c r="A409" s="7" t="n">
        <v>42</v>
      </c>
      <c r="B409" s="7" t="s">
        <v>434</v>
      </c>
      <c r="C409" s="7" t="s">
        <v>84</v>
      </c>
      <c r="D409" s="8" t="n">
        <v>4</v>
      </c>
      <c r="E409" s="7" t="s">
        <v>55</v>
      </c>
      <c r="F409" s="10" t="n">
        <f aca="false">IFERROR(INDEX('1. Insumos'!$F$5:$F$93,MATCH($C409,'1. Insumos'!$B$5:$B$93,0)),0)</f>
        <v>0.175</v>
      </c>
      <c r="G409" s="13" t="n">
        <f aca="false">D409*F409</f>
        <v>0.7</v>
      </c>
      <c r="H409" s="14" t="s">
        <v>84</v>
      </c>
    </row>
    <row r="410" customFormat="false" ht="15" hidden="false" customHeight="false" outlineLevel="0" collapsed="false">
      <c r="A410" s="7" t="n">
        <v>42</v>
      </c>
      <c r="B410" s="7" t="s">
        <v>434</v>
      </c>
      <c r="C410" s="7" t="s">
        <v>58</v>
      </c>
      <c r="D410" s="8" t="n">
        <v>500</v>
      </c>
      <c r="E410" s="7" t="s">
        <v>55</v>
      </c>
      <c r="F410" s="10" t="n">
        <f aca="false">IFERROR(INDEX('1. Insumos'!$F$5:$F$93,MATCH($C410,'1. Insumos'!$B$5:$B$93,0)),0)</f>
        <v>0.175</v>
      </c>
      <c r="G410" s="13" t="n">
        <f aca="false">D410*F410</f>
        <v>87.5</v>
      </c>
      <c r="H410" s="14" t="s">
        <v>435</v>
      </c>
    </row>
    <row r="411" customFormat="false" ht="15" hidden="false" customHeight="false" outlineLevel="0" collapsed="false">
      <c r="A411" s="7" t="n">
        <v>42</v>
      </c>
      <c r="B411" s="7" t="s">
        <v>434</v>
      </c>
      <c r="C411" s="7" t="s">
        <v>72</v>
      </c>
      <c r="D411" s="8" t="n">
        <v>160</v>
      </c>
      <c r="E411" s="7" t="s">
        <v>55</v>
      </c>
      <c r="F411" s="10" t="n">
        <f aca="false">IFERROR(INDEX('1. Insumos'!$F$5:$F$93,MATCH($C411,'1. Insumos'!$B$5:$B$93,0)),0)</f>
        <v>1.2</v>
      </c>
      <c r="G411" s="13" t="n">
        <f aca="false">D411*F411</f>
        <v>192</v>
      </c>
      <c r="H411" s="14" t="s">
        <v>436</v>
      </c>
    </row>
    <row r="412" customFormat="false" ht="15" hidden="false" customHeight="false" outlineLevel="0" collapsed="false">
      <c r="A412" s="7" t="n">
        <v>42</v>
      </c>
      <c r="B412" s="7" t="s">
        <v>434</v>
      </c>
      <c r="C412" s="7" t="s">
        <v>63</v>
      </c>
      <c r="D412" s="8" t="n">
        <v>4</v>
      </c>
      <c r="E412" s="7" t="s">
        <v>64</v>
      </c>
      <c r="F412" s="10" t="n">
        <f aca="false">IFERROR(INDEX('1. Insumos'!$F$5:$F$93,MATCH($C412,'1. Insumos'!$B$5:$B$93,0)),0)</f>
        <v>2.33333333333333</v>
      </c>
      <c r="G412" s="13" t="n">
        <f aca="false">D412*F412</f>
        <v>9.33333333333333</v>
      </c>
      <c r="H412" s="14" t="s">
        <v>437</v>
      </c>
    </row>
    <row r="413" customFormat="false" ht="15" hidden="false" customHeight="false" outlineLevel="0" collapsed="false">
      <c r="A413" s="7" t="n">
        <v>42</v>
      </c>
      <c r="B413" s="7" t="s">
        <v>434</v>
      </c>
      <c r="C413" s="7" t="s">
        <v>97</v>
      </c>
      <c r="D413" s="8" t="n">
        <v>4</v>
      </c>
      <c r="E413" s="7" t="s">
        <v>64</v>
      </c>
      <c r="F413" s="10" t="n">
        <f aca="false">IFERROR(INDEX('1. Insumos'!$F$5:$F$93,MATCH($C413,'1. Insumos'!$B$5:$B$93,0)),0)</f>
        <v>2.91666666666667</v>
      </c>
      <c r="G413" s="13" t="n">
        <f aca="false">D413*F413</f>
        <v>11.6666666666667</v>
      </c>
      <c r="H413" s="14" t="s">
        <v>199</v>
      </c>
    </row>
    <row r="414" customFormat="false" ht="15" hidden="false" customHeight="false" outlineLevel="0" collapsed="false">
      <c r="A414" s="7" t="n">
        <v>42</v>
      </c>
      <c r="B414" s="7" t="s">
        <v>434</v>
      </c>
      <c r="C414" s="7" t="s">
        <v>88</v>
      </c>
      <c r="D414" s="8" t="n">
        <v>3</v>
      </c>
      <c r="E414" s="7" t="s">
        <v>64</v>
      </c>
      <c r="F414" s="10" t="n">
        <f aca="false">IFERROR(INDEX('1. Insumos'!$F$5:$F$93,MATCH($C414,'1. Insumos'!$B$5:$B$93,0)),0)</f>
        <v>0.875</v>
      </c>
      <c r="G414" s="13" t="n">
        <f aca="false">D414*F414</f>
        <v>2.625</v>
      </c>
      <c r="H414" s="14" t="s">
        <v>171</v>
      </c>
    </row>
    <row r="415" customFormat="false" ht="15" hidden="false" customHeight="false" outlineLevel="0" collapsed="false">
      <c r="A415" s="7" t="n">
        <v>42</v>
      </c>
      <c r="B415" s="7" t="s">
        <v>434</v>
      </c>
      <c r="C415" s="7" t="s">
        <v>117</v>
      </c>
      <c r="D415" s="8" t="n">
        <v>1</v>
      </c>
      <c r="E415" s="7" t="s">
        <v>64</v>
      </c>
      <c r="F415" s="10" t="n">
        <f aca="false">IFERROR(INDEX('1. Insumos'!$F$5:$F$93,MATCH($C415,'1. Insumos'!$B$5:$B$93,0)),0)</f>
        <v>3</v>
      </c>
      <c r="G415" s="13" t="n">
        <f aca="false">D415*F415</f>
        <v>3</v>
      </c>
      <c r="H415" s="14" t="s">
        <v>438</v>
      </c>
    </row>
    <row r="416" customFormat="false" ht="15" hidden="false" customHeight="false" outlineLevel="0" collapsed="false">
      <c r="A416" s="7" t="n">
        <v>43</v>
      </c>
      <c r="B416" s="7" t="s">
        <v>439</v>
      </c>
      <c r="C416" s="7" t="s">
        <v>143</v>
      </c>
      <c r="D416" s="8" t="n">
        <v>1000</v>
      </c>
      <c r="E416" s="7" t="s">
        <v>55</v>
      </c>
      <c r="F416" s="10" t="n">
        <f aca="false">IFERROR(INDEX('1. Insumos'!$F$5:$F$93,MATCH($C416,'1. Insumos'!$B$5:$B$93,0)),0)</f>
        <v>0.032</v>
      </c>
      <c r="G416" s="13" t="n">
        <f aca="false">D416*F416</f>
        <v>32</v>
      </c>
      <c r="H416" s="14" t="s">
        <v>177</v>
      </c>
    </row>
    <row r="417" customFormat="false" ht="15" hidden="false" customHeight="false" outlineLevel="0" collapsed="false">
      <c r="A417" s="7" t="n">
        <v>43</v>
      </c>
      <c r="B417" s="7" t="s">
        <v>439</v>
      </c>
      <c r="C417" s="7" t="s">
        <v>110</v>
      </c>
      <c r="D417" s="8" t="n">
        <v>240</v>
      </c>
      <c r="E417" s="7" t="s">
        <v>55</v>
      </c>
      <c r="F417" s="10" t="n">
        <f aca="false">IFERROR(INDEX('1. Insumos'!$F$5:$F$93,MATCH($C417,'1. Insumos'!$B$5:$B$93,0)),0)</f>
        <v>0.145</v>
      </c>
      <c r="G417" s="13" t="n">
        <f aca="false">D417*F417</f>
        <v>34.8</v>
      </c>
      <c r="H417" s="14" t="s">
        <v>224</v>
      </c>
    </row>
    <row r="418" customFormat="false" ht="15" hidden="false" customHeight="false" outlineLevel="0" collapsed="false">
      <c r="A418" s="7" t="n">
        <v>43</v>
      </c>
      <c r="B418" s="7" t="s">
        <v>439</v>
      </c>
      <c r="C418" s="7" t="s">
        <v>51</v>
      </c>
      <c r="D418" s="8" t="n">
        <v>250</v>
      </c>
      <c r="E418" s="7" t="s">
        <v>47</v>
      </c>
      <c r="F418" s="10" t="n">
        <f aca="false">IFERROR(INDEX('1. Insumos'!$F$5:$F$93,MATCH($C418,'1. Insumos'!$B$5:$B$93,0)),0)</f>
        <v>0.038</v>
      </c>
      <c r="G418" s="13" t="n">
        <f aca="false">D418*F418</f>
        <v>9.5</v>
      </c>
      <c r="H418" s="14" t="s">
        <v>440</v>
      </c>
    </row>
    <row r="419" customFormat="false" ht="15" hidden="false" customHeight="false" outlineLevel="0" collapsed="false">
      <c r="A419" s="7" t="n">
        <v>43</v>
      </c>
      <c r="B419" s="7" t="s">
        <v>439</v>
      </c>
      <c r="C419" s="7" t="s">
        <v>153</v>
      </c>
      <c r="D419" s="8" t="n">
        <v>120</v>
      </c>
      <c r="E419" s="7" t="s">
        <v>55</v>
      </c>
      <c r="F419" s="10" t="n">
        <f aca="false">IFERROR(INDEX('1. Insumos'!$F$5:$F$93,MATCH($C419,'1. Insumos'!$B$5:$B$93,0)),0)</f>
        <v>0.22</v>
      </c>
      <c r="G419" s="13" t="n">
        <f aca="false">D419*F419</f>
        <v>26.4</v>
      </c>
      <c r="H419" s="14" t="s">
        <v>441</v>
      </c>
    </row>
    <row r="420" customFormat="false" ht="15" hidden="false" customHeight="false" outlineLevel="0" collapsed="false">
      <c r="A420" s="7" t="n">
        <v>43</v>
      </c>
      <c r="B420" s="7" t="s">
        <v>439</v>
      </c>
      <c r="C420" s="7" t="s">
        <v>85</v>
      </c>
      <c r="D420" s="8" t="n">
        <v>16</v>
      </c>
      <c r="E420" s="7" t="s">
        <v>55</v>
      </c>
      <c r="F420" s="10" t="n">
        <f aca="false">IFERROR(INDEX('1. Insumos'!$F$5:$F$93,MATCH($C420,'1. Insumos'!$B$5:$B$93,0)),0)</f>
        <v>0.025</v>
      </c>
      <c r="G420" s="13" t="n">
        <f aca="false">D420*F420</f>
        <v>0.4</v>
      </c>
      <c r="H420" s="14" t="s">
        <v>167</v>
      </c>
    </row>
    <row r="421" customFormat="false" ht="15" hidden="false" customHeight="false" outlineLevel="0" collapsed="false">
      <c r="A421" s="7" t="n">
        <v>43</v>
      </c>
      <c r="B421" s="7" t="s">
        <v>439</v>
      </c>
      <c r="C421" s="7" t="s">
        <v>84</v>
      </c>
      <c r="D421" s="8" t="n">
        <v>5</v>
      </c>
      <c r="E421" s="7" t="s">
        <v>55</v>
      </c>
      <c r="F421" s="10" t="n">
        <f aca="false">IFERROR(INDEX('1. Insumos'!$F$5:$F$93,MATCH($C421,'1. Insumos'!$B$5:$B$93,0)),0)</f>
        <v>0.175</v>
      </c>
      <c r="G421" s="13" t="n">
        <f aca="false">D421*F421</f>
        <v>0.875</v>
      </c>
      <c r="H421" s="14" t="s">
        <v>84</v>
      </c>
    </row>
    <row r="422" customFormat="false" ht="15" hidden="false" customHeight="false" outlineLevel="0" collapsed="false">
      <c r="A422" s="7" t="n">
        <v>43</v>
      </c>
      <c r="B422" s="7" t="s">
        <v>439</v>
      </c>
      <c r="C422" s="7" t="s">
        <v>137</v>
      </c>
      <c r="D422" s="8" t="n">
        <v>300</v>
      </c>
      <c r="E422" s="7" t="s">
        <v>55</v>
      </c>
      <c r="F422" s="10" t="n">
        <f aca="false">IFERROR(INDEX('1. Insumos'!$F$5:$F$93,MATCH($C422,'1. Insumos'!$B$5:$B$93,0)),0)</f>
        <v>0.32</v>
      </c>
      <c r="G422" s="13" t="n">
        <f aca="false">D422*F422</f>
        <v>96</v>
      </c>
      <c r="H422" s="14" t="s">
        <v>442</v>
      </c>
    </row>
    <row r="423" customFormat="false" ht="15" hidden="false" customHeight="false" outlineLevel="0" collapsed="false">
      <c r="A423" s="7" t="n">
        <v>43</v>
      </c>
      <c r="B423" s="7" t="s">
        <v>439</v>
      </c>
      <c r="C423" s="7" t="s">
        <v>124</v>
      </c>
      <c r="D423" s="8" t="n">
        <v>300</v>
      </c>
      <c r="E423" s="7" t="s">
        <v>47</v>
      </c>
      <c r="F423" s="10" t="n">
        <f aca="false">IFERROR(INDEX('1. Insumos'!$F$5:$F$93,MATCH($C423,'1. Insumos'!$B$5:$B$93,0)),0)</f>
        <v>0.15</v>
      </c>
      <c r="G423" s="13" t="n">
        <f aca="false">D423*F423</f>
        <v>45</v>
      </c>
      <c r="H423" s="14" t="s">
        <v>443</v>
      </c>
    </row>
    <row r="424" customFormat="false" ht="15" hidden="false" customHeight="false" outlineLevel="0" collapsed="false">
      <c r="A424" s="7" t="n">
        <v>43</v>
      </c>
      <c r="B424" s="7" t="s">
        <v>439</v>
      </c>
      <c r="C424" s="7" t="s">
        <v>97</v>
      </c>
      <c r="D424" s="8" t="n">
        <v>3</v>
      </c>
      <c r="E424" s="7" t="s">
        <v>64</v>
      </c>
      <c r="F424" s="10" t="n">
        <f aca="false">IFERROR(INDEX('1. Insumos'!$F$5:$F$93,MATCH($C424,'1. Insumos'!$B$5:$B$93,0)),0)</f>
        <v>2.91666666666667</v>
      </c>
      <c r="G424" s="13" t="n">
        <f aca="false">D424*F424</f>
        <v>8.75</v>
      </c>
      <c r="H424" s="14" t="s">
        <v>444</v>
      </c>
    </row>
    <row r="425" customFormat="false" ht="15" hidden="false" customHeight="false" outlineLevel="0" collapsed="false">
      <c r="A425" s="7" t="n">
        <v>44</v>
      </c>
      <c r="B425" s="7" t="s">
        <v>445</v>
      </c>
      <c r="C425" s="7" t="s">
        <v>143</v>
      </c>
      <c r="D425" s="8" t="n">
        <v>800</v>
      </c>
      <c r="E425" s="7" t="s">
        <v>55</v>
      </c>
      <c r="F425" s="10" t="n">
        <f aca="false">IFERROR(INDEX('1. Insumos'!$F$5:$F$93,MATCH($C425,'1. Insumos'!$B$5:$B$93,0)),0)</f>
        <v>0.032</v>
      </c>
      <c r="G425" s="13" t="n">
        <f aca="false">D425*F425</f>
        <v>25.6</v>
      </c>
      <c r="H425" s="14" t="s">
        <v>446</v>
      </c>
    </row>
    <row r="426" customFormat="false" ht="15" hidden="false" customHeight="false" outlineLevel="0" collapsed="false">
      <c r="A426" s="7" t="n">
        <v>44</v>
      </c>
      <c r="B426" s="7" t="s">
        <v>445</v>
      </c>
      <c r="C426" s="7" t="s">
        <v>110</v>
      </c>
      <c r="D426" s="8" t="n">
        <v>250</v>
      </c>
      <c r="E426" s="7" t="s">
        <v>55</v>
      </c>
      <c r="F426" s="10" t="n">
        <f aca="false">IFERROR(INDEX('1. Insumos'!$F$5:$F$93,MATCH($C426,'1. Insumos'!$B$5:$B$93,0)),0)</f>
        <v>0.145</v>
      </c>
      <c r="G426" s="13" t="n">
        <f aca="false">D426*F426</f>
        <v>36.25</v>
      </c>
      <c r="H426" s="14" t="s">
        <v>164</v>
      </c>
    </row>
    <row r="427" customFormat="false" ht="15" hidden="false" customHeight="false" outlineLevel="0" collapsed="false">
      <c r="A427" s="7" t="n">
        <v>44</v>
      </c>
      <c r="B427" s="7" t="s">
        <v>445</v>
      </c>
      <c r="C427" s="7" t="s">
        <v>59</v>
      </c>
      <c r="D427" s="8" t="n">
        <v>250</v>
      </c>
      <c r="E427" s="7" t="s">
        <v>55</v>
      </c>
      <c r="F427" s="10" t="n">
        <f aca="false">IFERROR(INDEX('1. Insumos'!$F$5:$F$93,MATCH($C427,'1. Insumos'!$B$5:$B$93,0)),0)</f>
        <v>0.21</v>
      </c>
      <c r="G427" s="13" t="n">
        <f aca="false">D427*F427</f>
        <v>52.5</v>
      </c>
      <c r="H427" s="14" t="s">
        <v>447</v>
      </c>
    </row>
    <row r="428" customFormat="false" ht="15" hidden="false" customHeight="false" outlineLevel="0" collapsed="false">
      <c r="A428" s="7" t="n">
        <v>44</v>
      </c>
      <c r="B428" s="7" t="s">
        <v>445</v>
      </c>
      <c r="C428" s="7" t="s">
        <v>61</v>
      </c>
      <c r="D428" s="8" t="n">
        <v>250</v>
      </c>
      <c r="E428" s="7" t="s">
        <v>55</v>
      </c>
      <c r="F428" s="10" t="n">
        <f aca="false">IFERROR(INDEX('1. Insumos'!$F$5:$F$93,MATCH($C428,'1. Insumos'!$B$5:$B$93,0)),0)</f>
        <v>0.185</v>
      </c>
      <c r="G428" s="13" t="n">
        <f aca="false">D428*F428</f>
        <v>46.25</v>
      </c>
      <c r="H428" s="14" t="s">
        <v>448</v>
      </c>
    </row>
    <row r="429" customFormat="false" ht="15" hidden="false" customHeight="false" outlineLevel="0" collapsed="false">
      <c r="A429" s="7" t="n">
        <v>44</v>
      </c>
      <c r="B429" s="7" t="s">
        <v>445</v>
      </c>
      <c r="C429" s="7" t="s">
        <v>49</v>
      </c>
      <c r="D429" s="8" t="n">
        <v>250</v>
      </c>
      <c r="E429" s="7" t="s">
        <v>47</v>
      </c>
      <c r="F429" s="10" t="n">
        <f aca="false">IFERROR(INDEX('1. Insumos'!$F$5:$F$93,MATCH($C429,'1. Insumos'!$B$5:$B$93,0)),0)</f>
        <v>0.032</v>
      </c>
      <c r="G429" s="13" t="n">
        <f aca="false">D429*F429</f>
        <v>8</v>
      </c>
      <c r="H429" s="14" t="s">
        <v>179</v>
      </c>
    </row>
    <row r="430" customFormat="false" ht="15" hidden="false" customHeight="false" outlineLevel="0" collapsed="false">
      <c r="A430" s="7" t="n">
        <v>44</v>
      </c>
      <c r="B430" s="7" t="s">
        <v>445</v>
      </c>
      <c r="C430" s="7" t="s">
        <v>113</v>
      </c>
      <c r="D430" s="8" t="n">
        <v>1</v>
      </c>
      <c r="E430" s="7" t="s">
        <v>64</v>
      </c>
      <c r="F430" s="10" t="n">
        <f aca="false">IFERROR(INDEX('1. Insumos'!$F$5:$F$93,MATCH($C430,'1. Insumos'!$B$5:$B$93,0)),0)</f>
        <v>1.8</v>
      </c>
      <c r="G430" s="13" t="n">
        <f aca="false">D430*F430</f>
        <v>1.8</v>
      </c>
      <c r="H430" s="14" t="s">
        <v>449</v>
      </c>
    </row>
    <row r="431" customFormat="false" ht="15" hidden="false" customHeight="false" outlineLevel="0" collapsed="false">
      <c r="A431" s="7" t="n">
        <v>44</v>
      </c>
      <c r="B431" s="7" t="s">
        <v>445</v>
      </c>
      <c r="C431" s="7" t="s">
        <v>114</v>
      </c>
      <c r="D431" s="8" t="n">
        <v>1</v>
      </c>
      <c r="E431" s="7" t="s">
        <v>64</v>
      </c>
      <c r="F431" s="10" t="n">
        <f aca="false">IFERROR(INDEX('1. Insumos'!$F$5:$F$93,MATCH($C431,'1. Insumos'!$B$5:$B$93,0)),0)</f>
        <v>2</v>
      </c>
      <c r="G431" s="13" t="n">
        <f aca="false">D431*F431</f>
        <v>2</v>
      </c>
      <c r="H431" s="14" t="s">
        <v>450</v>
      </c>
    </row>
    <row r="432" customFormat="false" ht="15" hidden="false" customHeight="false" outlineLevel="0" collapsed="false">
      <c r="A432" s="7" t="n">
        <v>44</v>
      </c>
      <c r="B432" s="7" t="s">
        <v>445</v>
      </c>
      <c r="C432" s="7" t="s">
        <v>97</v>
      </c>
      <c r="D432" s="8" t="n">
        <v>4</v>
      </c>
      <c r="E432" s="7" t="s">
        <v>64</v>
      </c>
      <c r="F432" s="10" t="n">
        <f aca="false">IFERROR(INDEX('1. Insumos'!$F$5:$F$93,MATCH($C432,'1. Insumos'!$B$5:$B$93,0)),0)</f>
        <v>2.91666666666667</v>
      </c>
      <c r="G432" s="13" t="n">
        <f aca="false">D432*F432</f>
        <v>11.6666666666667</v>
      </c>
      <c r="H432" s="14" t="s">
        <v>451</v>
      </c>
    </row>
    <row r="433" customFormat="false" ht="15" hidden="false" customHeight="false" outlineLevel="0" collapsed="false">
      <c r="A433" s="7" t="n">
        <v>44</v>
      </c>
      <c r="B433" s="7" t="s">
        <v>445</v>
      </c>
      <c r="C433" s="7" t="s">
        <v>85</v>
      </c>
      <c r="D433" s="8" t="n">
        <v>18</v>
      </c>
      <c r="E433" s="7" t="s">
        <v>55</v>
      </c>
      <c r="F433" s="10" t="n">
        <f aca="false">IFERROR(INDEX('1. Insumos'!$F$5:$F$93,MATCH($C433,'1. Insumos'!$B$5:$B$93,0)),0)</f>
        <v>0.025</v>
      </c>
      <c r="G433" s="13" t="n">
        <f aca="false">D433*F433</f>
        <v>0.45</v>
      </c>
      <c r="H433" s="14" t="s">
        <v>167</v>
      </c>
    </row>
    <row r="434" customFormat="false" ht="15" hidden="false" customHeight="false" outlineLevel="0" collapsed="false">
      <c r="A434" s="7" t="n">
        <v>44</v>
      </c>
      <c r="B434" s="7" t="s">
        <v>445</v>
      </c>
      <c r="C434" s="7" t="s">
        <v>84</v>
      </c>
      <c r="D434" s="8" t="n">
        <v>5</v>
      </c>
      <c r="E434" s="7" t="s">
        <v>55</v>
      </c>
      <c r="F434" s="10" t="n">
        <f aca="false">IFERROR(INDEX('1. Insumos'!$F$5:$F$93,MATCH($C434,'1. Insumos'!$B$5:$B$93,0)),0)</f>
        <v>0.175</v>
      </c>
      <c r="G434" s="13" t="n">
        <f aca="false">D434*F434</f>
        <v>0.875</v>
      </c>
      <c r="H434" s="14" t="s">
        <v>84</v>
      </c>
    </row>
    <row r="435" customFormat="false" ht="15" hidden="false" customHeight="false" outlineLevel="0" collapsed="false">
      <c r="A435" s="7" t="n">
        <v>45</v>
      </c>
      <c r="B435" s="7" t="s">
        <v>452</v>
      </c>
      <c r="C435" s="7" t="s">
        <v>143</v>
      </c>
      <c r="D435" s="8" t="n">
        <v>600</v>
      </c>
      <c r="E435" s="7" t="s">
        <v>55</v>
      </c>
      <c r="F435" s="10" t="n">
        <f aca="false">IFERROR(INDEX('1. Insumos'!$F$5:$F$93,MATCH($C435,'1. Insumos'!$B$5:$B$93,0)),0)</f>
        <v>0.032</v>
      </c>
      <c r="G435" s="13" t="n">
        <f aca="false">D435*F435</f>
        <v>19.2</v>
      </c>
      <c r="H435" s="14" t="s">
        <v>177</v>
      </c>
    </row>
    <row r="436" customFormat="false" ht="15" hidden="false" customHeight="false" outlineLevel="0" collapsed="false">
      <c r="A436" s="7" t="n">
        <v>45</v>
      </c>
      <c r="B436" s="7" t="s">
        <v>452</v>
      </c>
      <c r="C436" s="7" t="s">
        <v>51</v>
      </c>
      <c r="D436" s="8" t="n">
        <v>1200</v>
      </c>
      <c r="E436" s="7" t="s">
        <v>47</v>
      </c>
      <c r="F436" s="10" t="n">
        <f aca="false">IFERROR(INDEX('1. Insumos'!$F$5:$F$93,MATCH($C436,'1. Insumos'!$B$5:$B$93,0)),0)</f>
        <v>0.038</v>
      </c>
      <c r="G436" s="13" t="n">
        <f aca="false">D436*F436</f>
        <v>45.6</v>
      </c>
      <c r="H436" s="14" t="s">
        <v>453</v>
      </c>
    </row>
    <row r="437" customFormat="false" ht="15" hidden="false" customHeight="false" outlineLevel="0" collapsed="false">
      <c r="A437" s="7" t="n">
        <v>45</v>
      </c>
      <c r="B437" s="7" t="s">
        <v>452</v>
      </c>
      <c r="C437" s="7" t="s">
        <v>110</v>
      </c>
      <c r="D437" s="8" t="n">
        <v>245</v>
      </c>
      <c r="E437" s="7" t="s">
        <v>55</v>
      </c>
      <c r="F437" s="10" t="n">
        <f aca="false">IFERROR(INDEX('1. Insumos'!$F$5:$F$93,MATCH($C437,'1. Insumos'!$B$5:$B$93,0)),0)</f>
        <v>0.145</v>
      </c>
      <c r="G437" s="13" t="n">
        <f aca="false">D437*F437</f>
        <v>35.525</v>
      </c>
      <c r="H437" s="14" t="s">
        <v>164</v>
      </c>
    </row>
    <row r="438" customFormat="false" ht="15" hidden="false" customHeight="false" outlineLevel="0" collapsed="false">
      <c r="A438" s="7" t="n">
        <v>45</v>
      </c>
      <c r="B438" s="7" t="s">
        <v>452</v>
      </c>
      <c r="C438" s="7" t="s">
        <v>85</v>
      </c>
      <c r="D438" s="8" t="n">
        <v>16</v>
      </c>
      <c r="E438" s="7" t="s">
        <v>55</v>
      </c>
      <c r="F438" s="10" t="n">
        <f aca="false">IFERROR(INDEX('1. Insumos'!$F$5:$F$93,MATCH($C438,'1. Insumos'!$B$5:$B$93,0)),0)</f>
        <v>0.025</v>
      </c>
      <c r="G438" s="13" t="n">
        <f aca="false">D438*F438</f>
        <v>0.4</v>
      </c>
      <c r="H438" s="14" t="s">
        <v>167</v>
      </c>
    </row>
    <row r="439" customFormat="false" ht="15" hidden="false" customHeight="false" outlineLevel="0" collapsed="false">
      <c r="A439" s="7" t="n">
        <v>45</v>
      </c>
      <c r="B439" s="7" t="s">
        <v>452</v>
      </c>
      <c r="C439" s="7" t="s">
        <v>106</v>
      </c>
      <c r="D439" s="8" t="n">
        <v>0.38</v>
      </c>
      <c r="E439" s="7" t="s">
        <v>64</v>
      </c>
      <c r="F439" s="10" t="n">
        <f aca="false">IFERROR(INDEX('1. Insumos'!$F$5:$F$93,MATCH($C439,'1. Insumos'!$B$5:$B$93,0)),0)</f>
        <v>45</v>
      </c>
      <c r="G439" s="13" t="n">
        <f aca="false">D439*F439</f>
        <v>17.1</v>
      </c>
      <c r="H439" s="14" t="s">
        <v>454</v>
      </c>
    </row>
    <row r="440" customFormat="false" ht="15" hidden="false" customHeight="false" outlineLevel="0" collapsed="false">
      <c r="A440" s="7" t="n">
        <v>45</v>
      </c>
      <c r="B440" s="7" t="s">
        <v>452</v>
      </c>
      <c r="C440" s="7" t="s">
        <v>97</v>
      </c>
      <c r="D440" s="8" t="n">
        <v>4</v>
      </c>
      <c r="E440" s="7" t="s">
        <v>64</v>
      </c>
      <c r="F440" s="10" t="n">
        <f aca="false">IFERROR(INDEX('1. Insumos'!$F$5:$F$93,MATCH($C440,'1. Insumos'!$B$5:$B$93,0)),0)</f>
        <v>2.91666666666667</v>
      </c>
      <c r="G440" s="13" t="n">
        <f aca="false">D440*F440</f>
        <v>11.6666666666667</v>
      </c>
      <c r="H440" s="14" t="s">
        <v>455</v>
      </c>
    </row>
    <row r="441" customFormat="false" ht="15" hidden="false" customHeight="false" outlineLevel="0" collapsed="false">
      <c r="A441" s="7" t="n">
        <v>45</v>
      </c>
      <c r="B441" s="7" t="s">
        <v>452</v>
      </c>
      <c r="C441" s="7" t="s">
        <v>72</v>
      </c>
      <c r="D441" s="8" t="n">
        <v>120</v>
      </c>
      <c r="E441" s="7" t="s">
        <v>55</v>
      </c>
      <c r="F441" s="10" t="n">
        <f aca="false">IFERROR(INDEX('1. Insumos'!$F$5:$F$93,MATCH($C441,'1. Insumos'!$B$5:$B$93,0)),0)</f>
        <v>1.2</v>
      </c>
      <c r="G441" s="13" t="n">
        <f aca="false">D441*F441</f>
        <v>144</v>
      </c>
      <c r="H441" s="14" t="s">
        <v>456</v>
      </c>
    </row>
    <row r="442" customFormat="false" ht="15" hidden="false" customHeight="false" outlineLevel="0" collapsed="false">
      <c r="A442" s="7" t="n">
        <v>45</v>
      </c>
      <c r="B442" s="7" t="s">
        <v>452</v>
      </c>
      <c r="C442" s="7" t="s">
        <v>90</v>
      </c>
      <c r="D442" s="8" t="n">
        <v>0.5</v>
      </c>
      <c r="E442" s="7" t="s">
        <v>64</v>
      </c>
      <c r="F442" s="10" t="n">
        <f aca="false">IFERROR(INDEX('1. Insumos'!$F$5:$F$93,MATCH($C442,'1. Insumos'!$B$5:$B$93,0)),0)</f>
        <v>3.75</v>
      </c>
      <c r="G442" s="13" t="n">
        <f aca="false">D442*F442</f>
        <v>1.875</v>
      </c>
      <c r="H442" s="14" t="s">
        <v>457</v>
      </c>
    </row>
    <row r="443" customFormat="false" ht="15" hidden="false" customHeight="false" outlineLevel="0" collapsed="false">
      <c r="A443" s="7" t="n">
        <v>45</v>
      </c>
      <c r="B443" s="7" t="s">
        <v>452</v>
      </c>
      <c r="C443" s="7" t="s">
        <v>114</v>
      </c>
      <c r="D443" s="8" t="n">
        <v>1</v>
      </c>
      <c r="E443" s="7" t="s">
        <v>64</v>
      </c>
      <c r="F443" s="10" t="n">
        <f aca="false">IFERROR(INDEX('1. Insumos'!$F$5:$F$93,MATCH($C443,'1. Insumos'!$B$5:$B$93,0)),0)</f>
        <v>2</v>
      </c>
      <c r="G443" s="13" t="n">
        <f aca="false">D443*F443</f>
        <v>2</v>
      </c>
      <c r="H443" s="14" t="s">
        <v>458</v>
      </c>
    </row>
    <row r="444" customFormat="false" ht="15" hidden="false" customHeight="false" outlineLevel="0" collapsed="false">
      <c r="A444" s="7" t="n">
        <v>46</v>
      </c>
      <c r="B444" s="7" t="s">
        <v>459</v>
      </c>
      <c r="C444" s="7" t="s">
        <v>143</v>
      </c>
      <c r="D444" s="8" t="n">
        <v>1000</v>
      </c>
      <c r="E444" s="7" t="s">
        <v>55</v>
      </c>
      <c r="F444" s="10" t="n">
        <f aca="false">IFERROR(INDEX('1. Insumos'!$F$5:$F$93,MATCH($C444,'1. Insumos'!$B$5:$B$93,0)),0)</f>
        <v>0.032</v>
      </c>
      <c r="G444" s="13" t="n">
        <f aca="false">D444*F444</f>
        <v>32</v>
      </c>
      <c r="H444" s="14" t="s">
        <v>177</v>
      </c>
    </row>
    <row r="445" customFormat="false" ht="15" hidden="false" customHeight="false" outlineLevel="0" collapsed="false">
      <c r="A445" s="7" t="n">
        <v>46</v>
      </c>
      <c r="B445" s="7" t="s">
        <v>459</v>
      </c>
      <c r="C445" s="7" t="s">
        <v>110</v>
      </c>
      <c r="D445" s="8" t="n">
        <v>260</v>
      </c>
      <c r="E445" s="7" t="s">
        <v>55</v>
      </c>
      <c r="F445" s="10" t="n">
        <f aca="false">IFERROR(INDEX('1. Insumos'!$F$5:$F$93,MATCH($C445,'1. Insumos'!$B$5:$B$93,0)),0)</f>
        <v>0.145</v>
      </c>
      <c r="G445" s="13" t="n">
        <f aca="false">D445*F445</f>
        <v>37.7</v>
      </c>
      <c r="H445" s="14" t="s">
        <v>164</v>
      </c>
    </row>
    <row r="446" customFormat="false" ht="15" hidden="false" customHeight="false" outlineLevel="0" collapsed="false">
      <c r="A446" s="7" t="n">
        <v>46</v>
      </c>
      <c r="B446" s="7" t="s">
        <v>459</v>
      </c>
      <c r="C446" s="7" t="s">
        <v>49</v>
      </c>
      <c r="D446" s="8" t="n">
        <v>250</v>
      </c>
      <c r="E446" s="7" t="s">
        <v>47</v>
      </c>
      <c r="F446" s="10" t="n">
        <f aca="false">IFERROR(INDEX('1. Insumos'!$F$5:$F$93,MATCH($C446,'1. Insumos'!$B$5:$B$93,0)),0)</f>
        <v>0.032</v>
      </c>
      <c r="G446" s="13" t="n">
        <f aca="false">D446*F446</f>
        <v>8</v>
      </c>
      <c r="H446" s="14" t="s">
        <v>237</v>
      </c>
    </row>
    <row r="447" customFormat="false" ht="15" hidden="false" customHeight="false" outlineLevel="0" collapsed="false">
      <c r="A447" s="7" t="n">
        <v>46</v>
      </c>
      <c r="B447" s="7" t="s">
        <v>459</v>
      </c>
      <c r="C447" s="7" t="s">
        <v>153</v>
      </c>
      <c r="D447" s="8" t="n">
        <v>120</v>
      </c>
      <c r="E447" s="7" t="s">
        <v>55</v>
      </c>
      <c r="F447" s="10" t="n">
        <f aca="false">IFERROR(INDEX('1. Insumos'!$F$5:$F$93,MATCH($C447,'1. Insumos'!$B$5:$B$93,0)),0)</f>
        <v>0.22</v>
      </c>
      <c r="G447" s="13" t="n">
        <f aca="false">D447*F447</f>
        <v>26.4</v>
      </c>
      <c r="H447" s="14" t="s">
        <v>460</v>
      </c>
    </row>
    <row r="448" customFormat="false" ht="15" hidden="false" customHeight="false" outlineLevel="0" collapsed="false">
      <c r="A448" s="7" t="n">
        <v>46</v>
      </c>
      <c r="B448" s="7" t="s">
        <v>459</v>
      </c>
      <c r="C448" s="7" t="s">
        <v>85</v>
      </c>
      <c r="D448" s="8" t="n">
        <v>16</v>
      </c>
      <c r="E448" s="7" t="s">
        <v>55</v>
      </c>
      <c r="F448" s="10" t="n">
        <f aca="false">IFERROR(INDEX('1. Insumos'!$F$5:$F$93,MATCH($C448,'1. Insumos'!$B$5:$B$93,0)),0)</f>
        <v>0.025</v>
      </c>
      <c r="G448" s="13" t="n">
        <f aca="false">D448*F448</f>
        <v>0.4</v>
      </c>
      <c r="H448" s="14" t="s">
        <v>167</v>
      </c>
    </row>
    <row r="449" customFormat="false" ht="15" hidden="false" customHeight="false" outlineLevel="0" collapsed="false">
      <c r="A449" s="7" t="n">
        <v>46</v>
      </c>
      <c r="B449" s="7" t="s">
        <v>459</v>
      </c>
      <c r="C449" s="7" t="s">
        <v>84</v>
      </c>
      <c r="D449" s="8" t="n">
        <v>5</v>
      </c>
      <c r="E449" s="7" t="s">
        <v>55</v>
      </c>
      <c r="F449" s="10" t="n">
        <f aca="false">IFERROR(INDEX('1. Insumos'!$F$5:$F$93,MATCH($C449,'1. Insumos'!$B$5:$B$93,0)),0)</f>
        <v>0.175</v>
      </c>
      <c r="G449" s="13" t="n">
        <f aca="false">D449*F449</f>
        <v>0.875</v>
      </c>
      <c r="H449" s="14" t="s">
        <v>84</v>
      </c>
    </row>
    <row r="450" customFormat="false" ht="15" hidden="false" customHeight="false" outlineLevel="0" collapsed="false">
      <c r="A450" s="7" t="n">
        <v>46</v>
      </c>
      <c r="B450" s="7" t="s">
        <v>459</v>
      </c>
      <c r="C450" s="7" t="s">
        <v>127</v>
      </c>
      <c r="D450" s="8" t="n">
        <v>360</v>
      </c>
      <c r="E450" s="7" t="s">
        <v>55</v>
      </c>
      <c r="F450" s="10" t="n">
        <f aca="false">IFERROR(INDEX('1. Insumos'!$F$5:$F$93,MATCH($C450,'1. Insumos'!$B$5:$B$93,0)),0)</f>
        <v>0.24</v>
      </c>
      <c r="G450" s="13" t="n">
        <f aca="false">D450*F450</f>
        <v>86.4</v>
      </c>
      <c r="H450" s="14" t="s">
        <v>461</v>
      </c>
    </row>
    <row r="451" customFormat="false" ht="15" hidden="false" customHeight="false" outlineLevel="0" collapsed="false">
      <c r="A451" s="7" t="n">
        <v>46</v>
      </c>
      <c r="B451" s="7" t="s">
        <v>459</v>
      </c>
      <c r="C451" s="7" t="s">
        <v>97</v>
      </c>
      <c r="D451" s="8" t="n">
        <v>4</v>
      </c>
      <c r="E451" s="7" t="s">
        <v>64</v>
      </c>
      <c r="F451" s="10" t="n">
        <f aca="false">IFERROR(INDEX('1. Insumos'!$F$5:$F$93,MATCH($C451,'1. Insumos'!$B$5:$B$93,0)),0)</f>
        <v>2.91666666666667</v>
      </c>
      <c r="G451" s="13" t="n">
        <f aca="false">D451*F451</f>
        <v>11.6666666666667</v>
      </c>
      <c r="H451" s="14" t="s">
        <v>462</v>
      </c>
    </row>
    <row r="452" customFormat="false" ht="15" hidden="false" customHeight="false" outlineLevel="0" collapsed="false">
      <c r="A452" s="7" t="n">
        <v>47</v>
      </c>
      <c r="B452" s="7" t="s">
        <v>463</v>
      </c>
      <c r="C452" s="7" t="s">
        <v>143</v>
      </c>
      <c r="D452" s="8" t="n">
        <v>640</v>
      </c>
      <c r="E452" s="7" t="s">
        <v>55</v>
      </c>
      <c r="F452" s="10" t="n">
        <f aca="false">IFERROR(INDEX('1. Insumos'!$F$5:$F$93,MATCH($C452,'1. Insumos'!$B$5:$B$93,0)),0)</f>
        <v>0.032</v>
      </c>
      <c r="G452" s="13" t="n">
        <f aca="false">D452*F452</f>
        <v>20.48</v>
      </c>
      <c r="H452" s="14" t="s">
        <v>177</v>
      </c>
    </row>
    <row r="453" customFormat="false" ht="15" hidden="false" customHeight="false" outlineLevel="0" collapsed="false">
      <c r="A453" s="7" t="n">
        <v>47</v>
      </c>
      <c r="B453" s="7" t="s">
        <v>463</v>
      </c>
      <c r="C453" s="7" t="s">
        <v>52</v>
      </c>
      <c r="D453" s="8" t="n">
        <v>1500</v>
      </c>
      <c r="E453" s="7" t="s">
        <v>47</v>
      </c>
      <c r="F453" s="10" t="n">
        <f aca="false">IFERROR(INDEX('1. Insumos'!$F$5:$F$93,MATCH($C453,'1. Insumos'!$B$5:$B$93,0)),0)</f>
        <v>0.03</v>
      </c>
      <c r="G453" s="13" t="n">
        <f aca="false">D453*F453</f>
        <v>45</v>
      </c>
      <c r="H453" s="14" t="s">
        <v>464</v>
      </c>
    </row>
    <row r="454" customFormat="false" ht="15" hidden="false" customHeight="false" outlineLevel="0" collapsed="false">
      <c r="A454" s="7" t="n">
        <v>47</v>
      </c>
      <c r="B454" s="7" t="s">
        <v>463</v>
      </c>
      <c r="C454" s="7" t="s">
        <v>110</v>
      </c>
      <c r="D454" s="8" t="n">
        <v>240</v>
      </c>
      <c r="E454" s="7" t="s">
        <v>55</v>
      </c>
      <c r="F454" s="10" t="n">
        <f aca="false">IFERROR(INDEX('1. Insumos'!$F$5:$F$93,MATCH($C454,'1. Insumos'!$B$5:$B$93,0)),0)</f>
        <v>0.145</v>
      </c>
      <c r="G454" s="13" t="n">
        <f aca="false">D454*F454</f>
        <v>34.8</v>
      </c>
      <c r="H454" s="14" t="s">
        <v>164</v>
      </c>
    </row>
    <row r="455" customFormat="false" ht="15" hidden="false" customHeight="false" outlineLevel="0" collapsed="false">
      <c r="A455" s="7" t="n">
        <v>47</v>
      </c>
      <c r="B455" s="7" t="s">
        <v>463</v>
      </c>
      <c r="C455" s="7" t="s">
        <v>85</v>
      </c>
      <c r="D455" s="8" t="n">
        <v>16</v>
      </c>
      <c r="E455" s="7" t="s">
        <v>55</v>
      </c>
      <c r="F455" s="10" t="n">
        <f aca="false">IFERROR(INDEX('1. Insumos'!$F$5:$F$93,MATCH($C455,'1. Insumos'!$B$5:$B$93,0)),0)</f>
        <v>0.025</v>
      </c>
      <c r="G455" s="13" t="n">
        <f aca="false">D455*F455</f>
        <v>0.4</v>
      </c>
      <c r="H455" s="14" t="s">
        <v>167</v>
      </c>
    </row>
    <row r="456" customFormat="false" ht="15" hidden="false" customHeight="false" outlineLevel="0" collapsed="false">
      <c r="A456" s="7" t="n">
        <v>47</v>
      </c>
      <c r="B456" s="7" t="s">
        <v>463</v>
      </c>
      <c r="C456" s="7" t="s">
        <v>60</v>
      </c>
      <c r="D456" s="8" t="n">
        <v>450</v>
      </c>
      <c r="E456" s="7" t="s">
        <v>55</v>
      </c>
      <c r="F456" s="10" t="n">
        <f aca="false">IFERROR(INDEX('1. Insumos'!$F$5:$F$93,MATCH($C456,'1. Insumos'!$B$5:$B$93,0)),0)</f>
        <v>0.165</v>
      </c>
      <c r="G456" s="13" t="n">
        <f aca="false">D456*F456</f>
        <v>74.25</v>
      </c>
      <c r="H456" s="14" t="s">
        <v>465</v>
      </c>
    </row>
    <row r="457" customFormat="false" ht="15" hidden="false" customHeight="false" outlineLevel="0" collapsed="false">
      <c r="A457" s="7" t="n">
        <v>47</v>
      </c>
      <c r="B457" s="7" t="s">
        <v>463</v>
      </c>
      <c r="C457" s="7" t="s">
        <v>83</v>
      </c>
      <c r="D457" s="8" t="n">
        <v>40</v>
      </c>
      <c r="E457" s="7" t="s">
        <v>55</v>
      </c>
      <c r="F457" s="10" t="n">
        <f aca="false">IFERROR(INDEX('1. Insumos'!$F$5:$F$93,MATCH($C457,'1. Insumos'!$B$5:$B$93,0)),0)</f>
        <v>0.275</v>
      </c>
      <c r="G457" s="13" t="n">
        <f aca="false">D457*F457</f>
        <v>11</v>
      </c>
      <c r="H457" s="14" t="s">
        <v>466</v>
      </c>
    </row>
    <row r="458" customFormat="false" ht="15" hidden="false" customHeight="false" outlineLevel="0" collapsed="false">
      <c r="A458" s="7" t="n">
        <v>47</v>
      </c>
      <c r="B458" s="7" t="s">
        <v>463</v>
      </c>
      <c r="C458" s="7" t="s">
        <v>103</v>
      </c>
      <c r="D458" s="8" t="n">
        <v>240</v>
      </c>
      <c r="E458" s="7" t="s">
        <v>55</v>
      </c>
      <c r="F458" s="10" t="n">
        <f aca="false">IFERROR(INDEX('1. Insumos'!$F$5:$F$93,MATCH($C458,'1. Insumos'!$B$5:$B$93,0)),0)</f>
        <v>0.3</v>
      </c>
      <c r="G458" s="13" t="n">
        <f aca="false">D458*F458</f>
        <v>72</v>
      </c>
      <c r="H458" s="14" t="s">
        <v>467</v>
      </c>
    </row>
    <row r="459" customFormat="false" ht="15" hidden="false" customHeight="false" outlineLevel="0" collapsed="false">
      <c r="A459" s="7" t="n">
        <v>47</v>
      </c>
      <c r="B459" s="7" t="s">
        <v>463</v>
      </c>
      <c r="C459" s="7" t="s">
        <v>105</v>
      </c>
      <c r="D459" s="8" t="n">
        <v>720</v>
      </c>
      <c r="E459" s="7" t="s">
        <v>55</v>
      </c>
      <c r="F459" s="10" t="n">
        <f aca="false">IFERROR(INDEX('1. Insumos'!$F$5:$F$93,MATCH($C459,'1. Insumos'!$B$5:$B$93,0)),0)</f>
        <v>0.22</v>
      </c>
      <c r="G459" s="13" t="n">
        <f aca="false">D459*F459</f>
        <v>158.4</v>
      </c>
      <c r="H459" s="14" t="s">
        <v>184</v>
      </c>
    </row>
    <row r="460" customFormat="false" ht="15" hidden="false" customHeight="false" outlineLevel="0" collapsed="false">
      <c r="A460" s="7" t="n">
        <v>47</v>
      </c>
      <c r="B460" s="7" t="s">
        <v>463</v>
      </c>
      <c r="C460" s="7" t="s">
        <v>104</v>
      </c>
      <c r="D460" s="8" t="n">
        <v>480</v>
      </c>
      <c r="E460" s="7" t="s">
        <v>55</v>
      </c>
      <c r="F460" s="10" t="n">
        <f aca="false">IFERROR(INDEX('1. Insumos'!$F$5:$F$93,MATCH($C460,'1. Insumos'!$B$5:$B$93,0)),0)</f>
        <v>0.52</v>
      </c>
      <c r="G460" s="13" t="n">
        <f aca="false">D460*F460</f>
        <v>249.6</v>
      </c>
      <c r="H460" s="14" t="s">
        <v>468</v>
      </c>
    </row>
    <row r="461" customFormat="false" ht="15" hidden="false" customHeight="false" outlineLevel="0" collapsed="false">
      <c r="A461" s="7" t="n">
        <v>48</v>
      </c>
      <c r="B461" s="7" t="s">
        <v>469</v>
      </c>
      <c r="C461" s="7" t="s">
        <v>143</v>
      </c>
      <c r="D461" s="8" t="n">
        <v>1000</v>
      </c>
      <c r="E461" s="7" t="s">
        <v>55</v>
      </c>
      <c r="F461" s="10" t="n">
        <f aca="false">IFERROR(INDEX('1. Insumos'!$F$5:$F$93,MATCH($C461,'1. Insumos'!$B$5:$B$93,0)),0)</f>
        <v>0.032</v>
      </c>
      <c r="G461" s="13" t="n">
        <f aca="false">D461*F461</f>
        <v>32</v>
      </c>
      <c r="H461" s="14" t="s">
        <v>177</v>
      </c>
    </row>
    <row r="462" customFormat="false" ht="15" hidden="false" customHeight="false" outlineLevel="0" collapsed="false">
      <c r="A462" s="7" t="n">
        <v>48</v>
      </c>
      <c r="B462" s="7" t="s">
        <v>469</v>
      </c>
      <c r="C462" s="7" t="s">
        <v>110</v>
      </c>
      <c r="D462" s="8" t="n">
        <v>265</v>
      </c>
      <c r="E462" s="7" t="s">
        <v>55</v>
      </c>
      <c r="F462" s="10" t="n">
        <f aca="false">IFERROR(INDEX('1. Insumos'!$F$5:$F$93,MATCH($C462,'1. Insumos'!$B$5:$B$93,0)),0)</f>
        <v>0.145</v>
      </c>
      <c r="G462" s="13" t="n">
        <f aca="false">D462*F462</f>
        <v>38.425</v>
      </c>
      <c r="H462" s="14" t="s">
        <v>164</v>
      </c>
    </row>
    <row r="463" customFormat="false" ht="15" hidden="false" customHeight="false" outlineLevel="0" collapsed="false">
      <c r="A463" s="7" t="n">
        <v>48</v>
      </c>
      <c r="B463" s="7" t="s">
        <v>469</v>
      </c>
      <c r="C463" s="7" t="s">
        <v>51</v>
      </c>
      <c r="D463" s="8" t="n">
        <v>260</v>
      </c>
      <c r="E463" s="7" t="s">
        <v>47</v>
      </c>
      <c r="F463" s="10" t="n">
        <f aca="false">IFERROR(INDEX('1. Insumos'!$F$5:$F$93,MATCH($C463,'1. Insumos'!$B$5:$B$93,0)),0)</f>
        <v>0.038</v>
      </c>
      <c r="G463" s="13" t="n">
        <f aca="false">D463*F463</f>
        <v>9.88</v>
      </c>
      <c r="H463" s="14" t="s">
        <v>470</v>
      </c>
    </row>
    <row r="464" customFormat="false" ht="15" hidden="false" customHeight="false" outlineLevel="0" collapsed="false">
      <c r="A464" s="7" t="n">
        <v>48</v>
      </c>
      <c r="B464" s="7" t="s">
        <v>469</v>
      </c>
      <c r="C464" s="7" t="s">
        <v>85</v>
      </c>
      <c r="D464" s="8" t="n">
        <v>515</v>
      </c>
      <c r="E464" s="7" t="s">
        <v>55</v>
      </c>
      <c r="F464" s="10" t="n">
        <f aca="false">IFERROR(INDEX('1. Insumos'!$F$5:$F$93,MATCH($C464,'1. Insumos'!$B$5:$B$93,0)),0)</f>
        <v>0.025</v>
      </c>
      <c r="G464" s="13" t="n">
        <f aca="false">D464*F464</f>
        <v>12.875</v>
      </c>
      <c r="H464" s="14" t="s">
        <v>204</v>
      </c>
    </row>
    <row r="465" customFormat="false" ht="15" hidden="false" customHeight="false" outlineLevel="0" collapsed="false">
      <c r="A465" s="7" t="n">
        <v>48</v>
      </c>
      <c r="B465" s="7" t="s">
        <v>469</v>
      </c>
      <c r="C465" s="7" t="s">
        <v>84</v>
      </c>
      <c r="D465" s="8" t="n">
        <v>5</v>
      </c>
      <c r="E465" s="7" t="s">
        <v>55</v>
      </c>
      <c r="F465" s="10" t="n">
        <f aca="false">IFERROR(INDEX('1. Insumos'!$F$5:$F$93,MATCH($C465,'1. Insumos'!$B$5:$B$93,0)),0)</f>
        <v>0.175</v>
      </c>
      <c r="G465" s="13" t="n">
        <f aca="false">D465*F465</f>
        <v>0.875</v>
      </c>
      <c r="H465" s="14" t="s">
        <v>84</v>
      </c>
    </row>
    <row r="466" customFormat="false" ht="15" hidden="false" customHeight="false" outlineLevel="0" collapsed="false">
      <c r="A466" s="7" t="n">
        <v>48</v>
      </c>
      <c r="B466" s="7" t="s">
        <v>469</v>
      </c>
      <c r="C466" s="7" t="s">
        <v>97</v>
      </c>
      <c r="D466" s="8" t="n">
        <v>4</v>
      </c>
      <c r="E466" s="7" t="s">
        <v>64</v>
      </c>
      <c r="F466" s="10" t="n">
        <f aca="false">IFERROR(INDEX('1. Insumos'!$F$5:$F$93,MATCH($C466,'1. Insumos'!$B$5:$B$93,0)),0)</f>
        <v>2.91666666666667</v>
      </c>
      <c r="G466" s="13" t="n">
        <f aca="false">D466*F466</f>
        <v>11.6666666666667</v>
      </c>
      <c r="H466" s="14" t="s">
        <v>455</v>
      </c>
    </row>
    <row r="467" customFormat="false" ht="15" hidden="false" customHeight="false" outlineLevel="0" collapsed="false">
      <c r="A467" s="7" t="n">
        <v>48</v>
      </c>
      <c r="B467" s="7" t="s">
        <v>469</v>
      </c>
      <c r="C467" s="7" t="s">
        <v>90</v>
      </c>
      <c r="D467" s="8" t="n">
        <v>0.5</v>
      </c>
      <c r="E467" s="7" t="s">
        <v>64</v>
      </c>
      <c r="F467" s="10" t="n">
        <f aca="false">IFERROR(INDEX('1. Insumos'!$F$5:$F$93,MATCH($C467,'1. Insumos'!$B$5:$B$93,0)),0)</f>
        <v>3.75</v>
      </c>
      <c r="G467" s="13" t="n">
        <f aca="false">D467*F467</f>
        <v>1.875</v>
      </c>
      <c r="H467" s="14" t="s">
        <v>471</v>
      </c>
    </row>
    <row r="468" customFormat="false" ht="15" hidden="false" customHeight="false" outlineLevel="0" collapsed="false">
      <c r="A468" s="7" t="n">
        <v>48</v>
      </c>
      <c r="B468" s="7" t="s">
        <v>469</v>
      </c>
      <c r="C468" s="7" t="s">
        <v>114</v>
      </c>
      <c r="D468" s="8" t="n">
        <v>1</v>
      </c>
      <c r="E468" s="7" t="s">
        <v>64</v>
      </c>
      <c r="F468" s="10" t="n">
        <f aca="false">IFERROR(INDEX('1. Insumos'!$F$5:$F$93,MATCH($C468,'1. Insumos'!$B$5:$B$93,0)),0)</f>
        <v>2</v>
      </c>
      <c r="G468" s="13" t="n">
        <f aca="false">D468*F468</f>
        <v>2</v>
      </c>
      <c r="H468" s="14" t="s">
        <v>472</v>
      </c>
    </row>
    <row r="469" customFormat="false" ht="15" hidden="false" customHeight="false" outlineLevel="0" collapsed="false">
      <c r="A469" s="7" t="n">
        <v>48</v>
      </c>
      <c r="B469" s="7" t="s">
        <v>469</v>
      </c>
      <c r="C469" s="7" t="s">
        <v>93</v>
      </c>
      <c r="D469" s="8" t="n">
        <v>1</v>
      </c>
      <c r="E469" s="7" t="s">
        <v>64</v>
      </c>
      <c r="F469" s="10" t="n">
        <f aca="false">IFERROR(INDEX('1. Insumos'!$F$5:$F$93,MATCH($C469,'1. Insumos'!$B$5:$B$93,0)),0)</f>
        <v>1</v>
      </c>
      <c r="G469" s="13" t="n">
        <f aca="false">D469*F469</f>
        <v>1</v>
      </c>
      <c r="H469" s="14" t="s">
        <v>473</v>
      </c>
    </row>
    <row r="470" customFormat="false" ht="15" hidden="false" customHeight="false" outlineLevel="0" collapsed="false">
      <c r="A470" s="7" t="n">
        <v>49</v>
      </c>
      <c r="B470" s="7" t="s">
        <v>474</v>
      </c>
      <c r="C470" s="7" t="s">
        <v>143</v>
      </c>
      <c r="D470" s="8" t="n">
        <v>1060</v>
      </c>
      <c r="E470" s="7" t="s">
        <v>55</v>
      </c>
      <c r="F470" s="10" t="n">
        <f aca="false">IFERROR(INDEX('1. Insumos'!$F$5:$F$93,MATCH($C470,'1. Insumos'!$B$5:$B$93,0)),0)</f>
        <v>0.032</v>
      </c>
      <c r="G470" s="13" t="n">
        <f aca="false">D470*F470</f>
        <v>33.92</v>
      </c>
      <c r="H470" s="14" t="s">
        <v>475</v>
      </c>
    </row>
    <row r="471" customFormat="false" ht="15" hidden="false" customHeight="false" outlineLevel="0" collapsed="false">
      <c r="A471" s="7" t="n">
        <v>49</v>
      </c>
      <c r="B471" s="7" t="s">
        <v>474</v>
      </c>
      <c r="C471" s="7" t="s">
        <v>110</v>
      </c>
      <c r="D471" s="8" t="n">
        <v>280</v>
      </c>
      <c r="E471" s="7" t="s">
        <v>55</v>
      </c>
      <c r="F471" s="10" t="n">
        <f aca="false">IFERROR(INDEX('1. Insumos'!$F$5:$F$93,MATCH($C471,'1. Insumos'!$B$5:$B$93,0)),0)</f>
        <v>0.145</v>
      </c>
      <c r="G471" s="13" t="n">
        <f aca="false">D471*F471</f>
        <v>40.6</v>
      </c>
      <c r="H471" s="14" t="s">
        <v>476</v>
      </c>
    </row>
    <row r="472" customFormat="false" ht="15" hidden="false" customHeight="false" outlineLevel="0" collapsed="false">
      <c r="A472" s="7" t="n">
        <v>49</v>
      </c>
      <c r="B472" s="7" t="s">
        <v>474</v>
      </c>
      <c r="C472" s="7" t="s">
        <v>146</v>
      </c>
      <c r="D472" s="8" t="n">
        <v>180</v>
      </c>
      <c r="E472" s="7" t="s">
        <v>55</v>
      </c>
      <c r="F472" s="10" t="n">
        <f aca="false">IFERROR(INDEX('1. Insumos'!$F$5:$F$93,MATCH($C472,'1. Insumos'!$B$5:$B$93,0)),0)</f>
        <v>0.055</v>
      </c>
      <c r="G472" s="13" t="n">
        <f aca="false">D472*F472</f>
        <v>9.9</v>
      </c>
      <c r="H472" s="14" t="s">
        <v>477</v>
      </c>
    </row>
    <row r="473" customFormat="false" ht="15" hidden="false" customHeight="false" outlineLevel="0" collapsed="false">
      <c r="A473" s="7" t="n">
        <v>49</v>
      </c>
      <c r="B473" s="7" t="s">
        <v>474</v>
      </c>
      <c r="C473" s="7" t="s">
        <v>83</v>
      </c>
      <c r="D473" s="8" t="n">
        <v>40</v>
      </c>
      <c r="E473" s="7" t="s">
        <v>55</v>
      </c>
      <c r="F473" s="10" t="n">
        <f aca="false">IFERROR(INDEX('1. Insumos'!$F$5:$F$93,MATCH($C473,'1. Insumos'!$B$5:$B$93,0)),0)</f>
        <v>0.275</v>
      </c>
      <c r="G473" s="13" t="n">
        <f aca="false">D473*F473</f>
        <v>11</v>
      </c>
      <c r="H473" s="14" t="s">
        <v>466</v>
      </c>
    </row>
    <row r="474" customFormat="false" ht="15" hidden="false" customHeight="false" outlineLevel="0" collapsed="false">
      <c r="A474" s="7" t="n">
        <v>49</v>
      </c>
      <c r="B474" s="7" t="s">
        <v>474</v>
      </c>
      <c r="C474" s="7" t="s">
        <v>85</v>
      </c>
      <c r="D474" s="8" t="n">
        <v>18</v>
      </c>
      <c r="E474" s="7" t="s">
        <v>55</v>
      </c>
      <c r="F474" s="10" t="n">
        <f aca="false">IFERROR(INDEX('1. Insumos'!$F$5:$F$93,MATCH($C474,'1. Insumos'!$B$5:$B$93,0)),0)</f>
        <v>0.025</v>
      </c>
      <c r="G474" s="13" t="n">
        <f aca="false">D474*F474</f>
        <v>0.45</v>
      </c>
      <c r="H474" s="14" t="s">
        <v>85</v>
      </c>
    </row>
    <row r="475" customFormat="false" ht="15" hidden="false" customHeight="false" outlineLevel="0" collapsed="false">
      <c r="A475" s="7" t="n">
        <v>49</v>
      </c>
      <c r="B475" s="7" t="s">
        <v>474</v>
      </c>
      <c r="C475" s="7" t="s">
        <v>52</v>
      </c>
      <c r="D475" s="8" t="n">
        <v>750</v>
      </c>
      <c r="E475" s="7" t="s">
        <v>47</v>
      </c>
      <c r="F475" s="10" t="n">
        <f aca="false">IFERROR(INDEX('1. Insumos'!$F$5:$F$93,MATCH($C475,'1. Insumos'!$B$5:$B$93,0)),0)</f>
        <v>0.03</v>
      </c>
      <c r="G475" s="13" t="n">
        <f aca="false">D475*F475</f>
        <v>22.5</v>
      </c>
      <c r="H475" s="14" t="s">
        <v>478</v>
      </c>
    </row>
    <row r="476" customFormat="false" ht="15" hidden="false" customHeight="false" outlineLevel="0" collapsed="false">
      <c r="A476" s="7" t="n">
        <v>49</v>
      </c>
      <c r="B476" s="7" t="s">
        <v>474</v>
      </c>
      <c r="C476" s="7" t="s">
        <v>60</v>
      </c>
      <c r="D476" s="8" t="n">
        <v>400</v>
      </c>
      <c r="E476" s="7" t="s">
        <v>55</v>
      </c>
      <c r="F476" s="10" t="n">
        <f aca="false">IFERROR(INDEX('1. Insumos'!$F$5:$F$93,MATCH($C476,'1. Insumos'!$B$5:$B$93,0)),0)</f>
        <v>0.165</v>
      </c>
      <c r="G476" s="13" t="n">
        <f aca="false">D476*F476</f>
        <v>66</v>
      </c>
      <c r="H476" s="14" t="s">
        <v>479</v>
      </c>
    </row>
    <row r="477" customFormat="false" ht="15" hidden="false" customHeight="false" outlineLevel="0" collapsed="false">
      <c r="A477" s="7" t="n">
        <v>49</v>
      </c>
      <c r="B477" s="7" t="s">
        <v>474</v>
      </c>
      <c r="C477" s="7" t="s">
        <v>61</v>
      </c>
      <c r="D477" s="8" t="n">
        <v>400</v>
      </c>
      <c r="E477" s="7" t="s">
        <v>55</v>
      </c>
      <c r="F477" s="10" t="n">
        <f aca="false">IFERROR(INDEX('1. Insumos'!$F$5:$F$93,MATCH($C477,'1. Insumos'!$B$5:$B$93,0)),0)</f>
        <v>0.185</v>
      </c>
      <c r="G477" s="13" t="n">
        <f aca="false">D477*F477</f>
        <v>74</v>
      </c>
      <c r="H477" s="14" t="s">
        <v>480</v>
      </c>
    </row>
    <row r="478" customFormat="false" ht="15" hidden="false" customHeight="false" outlineLevel="0" collapsed="false">
      <c r="A478" s="7" t="n">
        <v>49</v>
      </c>
      <c r="B478" s="7" t="s">
        <v>474</v>
      </c>
      <c r="C478" s="7" t="s">
        <v>114</v>
      </c>
      <c r="D478" s="8" t="n">
        <v>4</v>
      </c>
      <c r="E478" s="7" t="s">
        <v>64</v>
      </c>
      <c r="F478" s="10" t="n">
        <f aca="false">IFERROR(INDEX('1. Insumos'!$F$5:$F$93,MATCH($C478,'1. Insumos'!$B$5:$B$93,0)),0)</f>
        <v>2</v>
      </c>
      <c r="G478" s="13" t="n">
        <f aca="false">D478*F478</f>
        <v>8</v>
      </c>
      <c r="H478" s="14" t="s">
        <v>331</v>
      </c>
    </row>
    <row r="479" customFormat="false" ht="15" hidden="false" customHeight="false" outlineLevel="0" collapsed="false">
      <c r="A479" s="7" t="n">
        <v>49</v>
      </c>
      <c r="B479" s="7" t="s">
        <v>474</v>
      </c>
      <c r="C479" s="7" t="s">
        <v>97</v>
      </c>
      <c r="D479" s="8" t="n">
        <v>2</v>
      </c>
      <c r="E479" s="7" t="s">
        <v>64</v>
      </c>
      <c r="F479" s="10" t="n">
        <f aca="false">IFERROR(INDEX('1. Insumos'!$F$5:$F$93,MATCH($C479,'1. Insumos'!$B$5:$B$93,0)),0)</f>
        <v>2.91666666666667</v>
      </c>
      <c r="G479" s="13" t="n">
        <f aca="false">D479*F479</f>
        <v>5.83333333333333</v>
      </c>
      <c r="H479" s="14" t="s">
        <v>481</v>
      </c>
    </row>
    <row r="480" customFormat="false" ht="15" hidden="false" customHeight="false" outlineLevel="0" collapsed="false">
      <c r="A480" s="7" t="n">
        <v>50</v>
      </c>
      <c r="B480" s="7" t="s">
        <v>482</v>
      </c>
      <c r="C480" s="7" t="s">
        <v>143</v>
      </c>
      <c r="D480" s="8" t="n">
        <v>1000</v>
      </c>
      <c r="E480" s="7" t="s">
        <v>55</v>
      </c>
      <c r="F480" s="10" t="n">
        <f aca="false">IFERROR(INDEX('1. Insumos'!$F$5:$F$93,MATCH($C480,'1. Insumos'!$B$5:$B$93,0)),0)</f>
        <v>0.032</v>
      </c>
      <c r="G480" s="13" t="n">
        <f aca="false">D480*F480</f>
        <v>32</v>
      </c>
      <c r="H480" s="14" t="s">
        <v>277</v>
      </c>
    </row>
    <row r="481" customFormat="false" ht="15" hidden="false" customHeight="false" outlineLevel="0" collapsed="false">
      <c r="A481" s="7" t="n">
        <v>50</v>
      </c>
      <c r="B481" s="7" t="s">
        <v>482</v>
      </c>
      <c r="C481" s="7" t="s">
        <v>110</v>
      </c>
      <c r="D481" s="8" t="n">
        <v>240</v>
      </c>
      <c r="E481" s="7" t="s">
        <v>55</v>
      </c>
      <c r="F481" s="10" t="n">
        <f aca="false">IFERROR(INDEX('1. Insumos'!$F$5:$F$93,MATCH($C481,'1. Insumos'!$B$5:$B$93,0)),0)</f>
        <v>0.145</v>
      </c>
      <c r="G481" s="13" t="n">
        <f aca="false">D481*F481</f>
        <v>34.8</v>
      </c>
      <c r="H481" s="14" t="s">
        <v>483</v>
      </c>
    </row>
    <row r="482" customFormat="false" ht="15" hidden="false" customHeight="false" outlineLevel="0" collapsed="false">
      <c r="A482" s="7" t="n">
        <v>50</v>
      </c>
      <c r="B482" s="7" t="s">
        <v>482</v>
      </c>
      <c r="C482" s="7" t="s">
        <v>52</v>
      </c>
      <c r="D482" s="8" t="n">
        <v>240</v>
      </c>
      <c r="E482" s="7" t="s">
        <v>47</v>
      </c>
      <c r="F482" s="10" t="n">
        <f aca="false">IFERROR(INDEX('1. Insumos'!$F$5:$F$93,MATCH($C482,'1. Insumos'!$B$5:$B$93,0)),0)</f>
        <v>0.03</v>
      </c>
      <c r="G482" s="13" t="n">
        <f aca="false">D482*F482</f>
        <v>7.2</v>
      </c>
      <c r="H482" s="14" t="s">
        <v>287</v>
      </c>
    </row>
    <row r="483" customFormat="false" ht="15" hidden="false" customHeight="false" outlineLevel="0" collapsed="false">
      <c r="A483" s="7" t="n">
        <v>50</v>
      </c>
      <c r="B483" s="7" t="s">
        <v>482</v>
      </c>
      <c r="C483" s="7" t="s">
        <v>152</v>
      </c>
      <c r="D483" s="8" t="n">
        <v>150</v>
      </c>
      <c r="E483" s="7" t="s">
        <v>55</v>
      </c>
      <c r="F483" s="10" t="n">
        <f aca="false">IFERROR(INDEX('1. Insumos'!$F$5:$F$93,MATCH($C483,'1. Insumos'!$B$5:$B$93,0)),0)</f>
        <v>0.18</v>
      </c>
      <c r="G483" s="13" t="n">
        <f aca="false">D483*F483</f>
        <v>27</v>
      </c>
      <c r="H483" s="14" t="s">
        <v>484</v>
      </c>
    </row>
    <row r="484" customFormat="false" ht="15" hidden="false" customHeight="false" outlineLevel="0" collapsed="false">
      <c r="A484" s="7" t="n">
        <v>50</v>
      </c>
      <c r="B484" s="7" t="s">
        <v>482</v>
      </c>
      <c r="C484" s="7" t="s">
        <v>85</v>
      </c>
      <c r="D484" s="8" t="n">
        <v>16</v>
      </c>
      <c r="E484" s="7" t="s">
        <v>55</v>
      </c>
      <c r="F484" s="10" t="n">
        <f aca="false">IFERROR(INDEX('1. Insumos'!$F$5:$F$93,MATCH($C484,'1. Insumos'!$B$5:$B$93,0)),0)</f>
        <v>0.025</v>
      </c>
      <c r="G484" s="13" t="n">
        <f aca="false">D484*F484</f>
        <v>0.4</v>
      </c>
      <c r="H484" s="14" t="s">
        <v>167</v>
      </c>
    </row>
    <row r="485" customFormat="false" ht="15" hidden="false" customHeight="false" outlineLevel="0" collapsed="false">
      <c r="A485" s="7" t="n">
        <v>50</v>
      </c>
      <c r="B485" s="7" t="s">
        <v>482</v>
      </c>
      <c r="C485" s="7" t="s">
        <v>84</v>
      </c>
      <c r="D485" s="8" t="n">
        <v>5</v>
      </c>
      <c r="E485" s="7" t="s">
        <v>55</v>
      </c>
      <c r="F485" s="10" t="n">
        <f aca="false">IFERROR(INDEX('1. Insumos'!$F$5:$F$93,MATCH($C485,'1. Insumos'!$B$5:$B$93,0)),0)</f>
        <v>0.175</v>
      </c>
      <c r="G485" s="13" t="n">
        <f aca="false">D485*F485</f>
        <v>0.875</v>
      </c>
      <c r="H485" s="14" t="s">
        <v>84</v>
      </c>
    </row>
    <row r="486" customFormat="false" ht="15" hidden="false" customHeight="false" outlineLevel="0" collapsed="false">
      <c r="A486" s="7" t="n">
        <v>50</v>
      </c>
      <c r="B486" s="7" t="s">
        <v>482</v>
      </c>
      <c r="C486" s="7" t="s">
        <v>86</v>
      </c>
      <c r="D486" s="8" t="n">
        <v>250</v>
      </c>
      <c r="E486" s="7" t="s">
        <v>55</v>
      </c>
      <c r="F486" s="10" t="n">
        <f aca="false">IFERROR(INDEX('1. Insumos'!$F$5:$F$93,MATCH($C486,'1. Insumos'!$B$5:$B$93,0)),0)</f>
        <v>0.34</v>
      </c>
      <c r="G486" s="13" t="n">
        <f aca="false">D486*F486</f>
        <v>85</v>
      </c>
      <c r="H486" s="14" t="s">
        <v>485</v>
      </c>
    </row>
    <row r="487" customFormat="false" ht="15" hidden="false" customHeight="false" outlineLevel="0" collapsed="false">
      <c r="A487" s="7" t="n">
        <v>50</v>
      </c>
      <c r="B487" s="7" t="s">
        <v>482</v>
      </c>
      <c r="C487" s="7" t="s">
        <v>125</v>
      </c>
      <c r="D487" s="8" t="n">
        <v>6</v>
      </c>
      <c r="E487" s="7" t="s">
        <v>64</v>
      </c>
      <c r="F487" s="10" t="n">
        <f aca="false">IFERROR(INDEX('1. Insumos'!$F$5:$F$93,MATCH($C487,'1. Insumos'!$B$5:$B$93,0)),0)</f>
        <v>3.75</v>
      </c>
      <c r="G487" s="13" t="n">
        <f aca="false">D487*F487</f>
        <v>22.5</v>
      </c>
      <c r="H487" s="14" t="s">
        <v>486</v>
      </c>
    </row>
    <row r="488" customFormat="false" ht="15" hidden="false" customHeight="false" outlineLevel="0" collapsed="false">
      <c r="A488" s="7" t="n">
        <v>50</v>
      </c>
      <c r="B488" s="7" t="s">
        <v>482</v>
      </c>
      <c r="C488" s="7" t="s">
        <v>97</v>
      </c>
      <c r="D488" s="8" t="n">
        <v>3.33</v>
      </c>
      <c r="E488" s="7" t="s">
        <v>64</v>
      </c>
      <c r="F488" s="10" t="n">
        <f aca="false">IFERROR(INDEX('1. Insumos'!$F$5:$F$93,MATCH($C488,'1. Insumos'!$B$5:$B$93,0)),0)</f>
        <v>2.91666666666667</v>
      </c>
      <c r="G488" s="13" t="n">
        <f aca="false">D488*F488</f>
        <v>9.7125</v>
      </c>
      <c r="H488" s="14" t="s">
        <v>487</v>
      </c>
    </row>
    <row r="489" customFormat="false" ht="15" hidden="false" customHeight="false" outlineLevel="0" collapsed="false">
      <c r="A489" s="7" t="n">
        <v>51</v>
      </c>
      <c r="B489" s="7" t="s">
        <v>488</v>
      </c>
      <c r="C489" s="7" t="s">
        <v>143</v>
      </c>
      <c r="D489" s="8" t="n">
        <v>1000</v>
      </c>
      <c r="E489" s="7" t="s">
        <v>55</v>
      </c>
      <c r="F489" s="10" t="n">
        <f aca="false">IFERROR(INDEX('1. Insumos'!$F$5:$F$93,MATCH($C489,'1. Insumos'!$B$5:$B$93,0)),0)</f>
        <v>0.032</v>
      </c>
      <c r="G489" s="13" t="n">
        <f aca="false">D489*F489</f>
        <v>32</v>
      </c>
      <c r="H489" s="14" t="s">
        <v>177</v>
      </c>
    </row>
    <row r="490" customFormat="false" ht="15" hidden="false" customHeight="false" outlineLevel="0" collapsed="false">
      <c r="A490" s="7" t="n">
        <v>51</v>
      </c>
      <c r="B490" s="7" t="s">
        <v>488</v>
      </c>
      <c r="C490" s="7" t="s">
        <v>110</v>
      </c>
      <c r="D490" s="8" t="n">
        <v>230</v>
      </c>
      <c r="E490" s="7" t="s">
        <v>55</v>
      </c>
      <c r="F490" s="10" t="n">
        <f aca="false">IFERROR(INDEX('1. Insumos'!$F$5:$F$93,MATCH($C490,'1. Insumos'!$B$5:$B$93,0)),0)</f>
        <v>0.145</v>
      </c>
      <c r="G490" s="13" t="n">
        <f aca="false">D490*F490</f>
        <v>33.35</v>
      </c>
      <c r="H490" s="14" t="s">
        <v>269</v>
      </c>
    </row>
    <row r="491" customFormat="false" ht="15" hidden="false" customHeight="false" outlineLevel="0" collapsed="false">
      <c r="A491" s="7" t="n">
        <v>51</v>
      </c>
      <c r="B491" s="7" t="s">
        <v>488</v>
      </c>
      <c r="C491" s="7" t="s">
        <v>51</v>
      </c>
      <c r="D491" s="8" t="n">
        <v>250</v>
      </c>
      <c r="E491" s="7" t="s">
        <v>47</v>
      </c>
      <c r="F491" s="10" t="n">
        <f aca="false">IFERROR(INDEX('1. Insumos'!$F$5:$F$93,MATCH($C491,'1. Insumos'!$B$5:$B$93,0)),0)</f>
        <v>0.038</v>
      </c>
      <c r="G491" s="13" t="n">
        <f aca="false">D491*F491</f>
        <v>9.5</v>
      </c>
      <c r="H491" s="14" t="s">
        <v>225</v>
      </c>
    </row>
    <row r="492" customFormat="false" ht="15" hidden="false" customHeight="false" outlineLevel="0" collapsed="false">
      <c r="A492" s="7" t="n">
        <v>51</v>
      </c>
      <c r="B492" s="7" t="s">
        <v>488</v>
      </c>
      <c r="C492" s="7" t="s">
        <v>52</v>
      </c>
      <c r="D492" s="8" t="n">
        <v>30</v>
      </c>
      <c r="E492" s="7" t="s">
        <v>47</v>
      </c>
      <c r="F492" s="10" t="n">
        <f aca="false">IFERROR(INDEX('1. Insumos'!$F$5:$F$93,MATCH($C492,'1. Insumos'!$B$5:$B$93,0)),0)</f>
        <v>0.03</v>
      </c>
      <c r="G492" s="13" t="n">
        <f aca="false">D492*F492</f>
        <v>0.9</v>
      </c>
      <c r="H492" s="14" t="s">
        <v>489</v>
      </c>
    </row>
    <row r="493" customFormat="false" ht="15" hidden="false" customHeight="false" outlineLevel="0" collapsed="false">
      <c r="A493" s="7" t="n">
        <v>51</v>
      </c>
      <c r="B493" s="7" t="s">
        <v>488</v>
      </c>
      <c r="C493" s="7" t="s">
        <v>85</v>
      </c>
      <c r="D493" s="8" t="n">
        <v>15</v>
      </c>
      <c r="E493" s="7" t="s">
        <v>55</v>
      </c>
      <c r="F493" s="10" t="n">
        <f aca="false">IFERROR(INDEX('1. Insumos'!$F$5:$F$93,MATCH($C493,'1. Insumos'!$B$5:$B$93,0)),0)</f>
        <v>0.025</v>
      </c>
      <c r="G493" s="13" t="n">
        <f aca="false">D493*F493</f>
        <v>0.375</v>
      </c>
      <c r="H493" s="14" t="s">
        <v>204</v>
      </c>
    </row>
    <row r="494" customFormat="false" ht="15" hidden="false" customHeight="false" outlineLevel="0" collapsed="false">
      <c r="A494" s="7" t="n">
        <v>51</v>
      </c>
      <c r="B494" s="7" t="s">
        <v>488</v>
      </c>
      <c r="C494" s="7" t="s">
        <v>84</v>
      </c>
      <c r="D494" s="8" t="n">
        <v>5</v>
      </c>
      <c r="E494" s="7" t="s">
        <v>55</v>
      </c>
      <c r="F494" s="10" t="n">
        <f aca="false">IFERROR(INDEX('1. Insumos'!$F$5:$F$93,MATCH($C494,'1. Insumos'!$B$5:$B$93,0)),0)</f>
        <v>0.175</v>
      </c>
      <c r="G494" s="13" t="n">
        <f aca="false">D494*F494</f>
        <v>0.875</v>
      </c>
      <c r="H494" s="14" t="s">
        <v>84</v>
      </c>
    </row>
    <row r="495" customFormat="false" ht="15" hidden="false" customHeight="false" outlineLevel="0" collapsed="false">
      <c r="A495" s="7" t="n">
        <v>51</v>
      </c>
      <c r="B495" s="7" t="s">
        <v>488</v>
      </c>
      <c r="C495" s="7" t="s">
        <v>137</v>
      </c>
      <c r="D495" s="8" t="n">
        <v>300</v>
      </c>
      <c r="E495" s="7" t="s">
        <v>55</v>
      </c>
      <c r="F495" s="10" t="n">
        <f aca="false">IFERROR(INDEX('1. Insumos'!$F$5:$F$93,MATCH($C495,'1. Insumos'!$B$5:$B$93,0)),0)</f>
        <v>0.32</v>
      </c>
      <c r="G495" s="13" t="n">
        <f aca="false">D495*F495</f>
        <v>96</v>
      </c>
      <c r="H495" s="14" t="s">
        <v>490</v>
      </c>
    </row>
    <row r="496" customFormat="false" ht="15" hidden="false" customHeight="false" outlineLevel="0" collapsed="false">
      <c r="A496" s="7" t="n">
        <v>51</v>
      </c>
      <c r="B496" s="7" t="s">
        <v>488</v>
      </c>
      <c r="C496" s="7" t="s">
        <v>139</v>
      </c>
      <c r="D496" s="8" t="n">
        <v>200</v>
      </c>
      <c r="E496" s="7" t="s">
        <v>55</v>
      </c>
      <c r="F496" s="10" t="n">
        <f aca="false">IFERROR(INDEX('1. Insumos'!$F$5:$F$93,MATCH($C496,'1. Insumos'!$B$5:$B$93,0)),0)</f>
        <v>0.38</v>
      </c>
      <c r="G496" s="13" t="n">
        <f aca="false">D496*F496</f>
        <v>76</v>
      </c>
      <c r="H496" s="14" t="s">
        <v>491</v>
      </c>
    </row>
    <row r="497" customFormat="false" ht="15" hidden="false" customHeight="false" outlineLevel="0" collapsed="false">
      <c r="A497" s="7" t="n">
        <v>51</v>
      </c>
      <c r="B497" s="7" t="s">
        <v>488</v>
      </c>
      <c r="C497" s="7" t="s">
        <v>83</v>
      </c>
      <c r="D497" s="8" t="n">
        <v>40</v>
      </c>
      <c r="E497" s="7" t="s">
        <v>55</v>
      </c>
      <c r="F497" s="10" t="n">
        <f aca="false">IFERROR(INDEX('1. Insumos'!$F$5:$F$93,MATCH($C497,'1. Insumos'!$B$5:$B$93,0)),0)</f>
        <v>0.275</v>
      </c>
      <c r="G497" s="13" t="n">
        <f aca="false">D497*F497</f>
        <v>11</v>
      </c>
      <c r="H497" s="14" t="s">
        <v>492</v>
      </c>
    </row>
    <row r="498" customFormat="false" ht="15" hidden="false" customHeight="false" outlineLevel="0" collapsed="false">
      <c r="A498" s="7" t="n">
        <v>51</v>
      </c>
      <c r="B498" s="7" t="s">
        <v>488</v>
      </c>
      <c r="C498" s="7" t="s">
        <v>93</v>
      </c>
      <c r="D498" s="8" t="n">
        <v>3</v>
      </c>
      <c r="E498" s="7" t="s">
        <v>64</v>
      </c>
      <c r="F498" s="10" t="n">
        <f aca="false">IFERROR(INDEX('1. Insumos'!$F$5:$F$93,MATCH($C498,'1. Insumos'!$B$5:$B$93,0)),0)</f>
        <v>1</v>
      </c>
      <c r="G498" s="13" t="n">
        <f aca="false">D498*F498</f>
        <v>3</v>
      </c>
      <c r="H498" s="14" t="s">
        <v>493</v>
      </c>
    </row>
    <row r="499" customFormat="false" ht="15" hidden="false" customHeight="false" outlineLevel="0" collapsed="false">
      <c r="A499" s="7" t="n">
        <v>51</v>
      </c>
      <c r="B499" s="7" t="s">
        <v>488</v>
      </c>
      <c r="C499" s="7" t="s">
        <v>90</v>
      </c>
      <c r="D499" s="8" t="n">
        <v>0.5</v>
      </c>
      <c r="E499" s="7" t="s">
        <v>64</v>
      </c>
      <c r="F499" s="10" t="n">
        <f aca="false">IFERROR(INDEX('1. Insumos'!$F$5:$F$93,MATCH($C499,'1. Insumos'!$B$5:$B$93,0)),0)</f>
        <v>3.75</v>
      </c>
      <c r="G499" s="13" t="n">
        <f aca="false">D499*F499</f>
        <v>1.875</v>
      </c>
      <c r="H499" s="14" t="s">
        <v>494</v>
      </c>
    </row>
    <row r="500" customFormat="false" ht="15" hidden="false" customHeight="false" outlineLevel="0" collapsed="false">
      <c r="A500" s="7" t="n">
        <v>51</v>
      </c>
      <c r="B500" s="7" t="s">
        <v>488</v>
      </c>
      <c r="C500" s="7" t="s">
        <v>88</v>
      </c>
      <c r="D500" s="8" t="n">
        <v>2</v>
      </c>
      <c r="E500" s="7" t="s">
        <v>64</v>
      </c>
      <c r="F500" s="10" t="n">
        <f aca="false">IFERROR(INDEX('1. Insumos'!$F$5:$F$93,MATCH($C500,'1. Insumos'!$B$5:$B$93,0)),0)</f>
        <v>0.875</v>
      </c>
      <c r="G500" s="13" t="n">
        <f aca="false">D500*F500</f>
        <v>1.75</v>
      </c>
      <c r="H500" s="14" t="s">
        <v>283</v>
      </c>
    </row>
    <row r="501" customFormat="false" ht="15" hidden="false" customHeight="false" outlineLevel="0" collapsed="false">
      <c r="A501" s="7" t="n">
        <v>51</v>
      </c>
      <c r="B501" s="7" t="s">
        <v>488</v>
      </c>
      <c r="C501" s="7" t="s">
        <v>116</v>
      </c>
      <c r="D501" s="8" t="n">
        <v>20</v>
      </c>
      <c r="E501" s="7" t="s">
        <v>55</v>
      </c>
      <c r="F501" s="10" t="n">
        <f aca="false">IFERROR(INDEX('1. Insumos'!$F$5:$F$93,MATCH($C501,'1. Insumos'!$B$5:$B$93,0)),0)</f>
        <v>0.6</v>
      </c>
      <c r="G501" s="13" t="n">
        <f aca="false">D501*F501</f>
        <v>12</v>
      </c>
      <c r="H501" s="14" t="s">
        <v>495</v>
      </c>
    </row>
    <row r="502" customFormat="false" ht="15" hidden="false" customHeight="false" outlineLevel="0" collapsed="false">
      <c r="A502" s="7" t="n">
        <v>51</v>
      </c>
      <c r="B502" s="7" t="s">
        <v>488</v>
      </c>
      <c r="C502" s="7" t="s">
        <v>109</v>
      </c>
      <c r="D502" s="8" t="n">
        <v>25</v>
      </c>
      <c r="E502" s="7" t="s">
        <v>47</v>
      </c>
      <c r="F502" s="10" t="n">
        <f aca="false">IFERROR(INDEX('1. Insumos'!$F$5:$F$93,MATCH($C502,'1. Insumos'!$B$5:$B$93,0)),0)</f>
        <v>0.065</v>
      </c>
      <c r="G502" s="13" t="n">
        <f aca="false">D502*F502</f>
        <v>1.625</v>
      </c>
      <c r="H502" s="14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22" min="14" style="0" width="12"/>
  </cols>
  <sheetData>
    <row r="1" customFormat="false" ht="17.35" hidden="false" customHeight="false" outlineLevel="0" collapsed="false">
      <c r="A1" s="1" t="s">
        <v>497</v>
      </c>
    </row>
    <row r="2" customFormat="false" ht="15" hidden="false" customHeight="false" outlineLevel="0" collapsed="false">
      <c r="A2" s="2" t="s">
        <v>498</v>
      </c>
    </row>
    <row r="4" customFormat="false" ht="15" hidden="false" customHeight="false" outlineLevel="0" collapsed="false">
      <c r="A4" s="3" t="s">
        <v>499</v>
      </c>
    </row>
    <row r="5" customFormat="false" ht="15" hidden="false" customHeight="false" outlineLevel="0" collapsed="false">
      <c r="A5" s="15" t="s">
        <v>500</v>
      </c>
      <c r="C5" s="16" t="n">
        <v>0.5</v>
      </c>
      <c r="D5" s="17" t="s">
        <v>501</v>
      </c>
    </row>
    <row r="6" customFormat="false" ht="15" hidden="false" customHeight="false" outlineLevel="0" collapsed="false">
      <c r="A6" s="15" t="s">
        <v>502</v>
      </c>
      <c r="C6" s="16" t="n">
        <v>0.42</v>
      </c>
      <c r="D6" s="17" t="s">
        <v>503</v>
      </c>
    </row>
    <row r="7" customFormat="false" ht="15" hidden="false" customHeight="false" outlineLevel="0" collapsed="false">
      <c r="A7" s="15" t="s">
        <v>504</v>
      </c>
      <c r="C7" s="16" t="n">
        <v>0.55</v>
      </c>
      <c r="D7" s="17" t="s">
        <v>505</v>
      </c>
    </row>
    <row r="8" customFormat="false" ht="15" hidden="false" customHeight="false" outlineLevel="0" collapsed="false">
      <c r="A8" s="15" t="s">
        <v>506</v>
      </c>
      <c r="C8" s="16" t="n">
        <v>0.3</v>
      </c>
      <c r="D8" s="17" t="s">
        <v>507</v>
      </c>
    </row>
    <row r="9" customFormat="false" ht="15" hidden="false" customHeight="false" outlineLevel="0" collapsed="false">
      <c r="A9" s="15" t="s">
        <v>508</v>
      </c>
      <c r="C9" s="18" t="n">
        <f aca="false">'6. Gastos Fijos'!$C$24</f>
        <v>75</v>
      </c>
    </row>
    <row r="10" customFormat="false" ht="15" hidden="false" customHeight="false" outlineLevel="0" collapsed="false">
      <c r="A10" s="15" t="s">
        <v>509</v>
      </c>
      <c r="C10" s="18" t="n">
        <f aca="false">'6. Gastos Fijos'!$C$19</f>
        <v>7.15</v>
      </c>
    </row>
    <row r="11" customFormat="false" ht="15" hidden="false" customHeight="false" outlineLevel="0" collapsed="false">
      <c r="A11" s="15" t="s">
        <v>510</v>
      </c>
      <c r="C11" s="16" t="n">
        <v>0.12</v>
      </c>
      <c r="D11" s="17" t="s">
        <v>511</v>
      </c>
    </row>
    <row r="13" customFormat="false" ht="27.75" hidden="false" customHeight="true" outlineLevel="0" collapsed="false">
      <c r="A13" s="6" t="s">
        <v>156</v>
      </c>
      <c r="B13" s="6" t="s">
        <v>157</v>
      </c>
      <c r="C13" s="6" t="s">
        <v>512</v>
      </c>
      <c r="D13" s="6" t="s">
        <v>513</v>
      </c>
      <c r="E13" s="6" t="s">
        <v>514</v>
      </c>
      <c r="F13" s="6" t="s">
        <v>515</v>
      </c>
      <c r="G13" s="6" t="s">
        <v>516</v>
      </c>
      <c r="H13" s="6" t="s">
        <v>517</v>
      </c>
      <c r="I13" s="6" t="s">
        <v>518</v>
      </c>
      <c r="J13" s="6" t="s">
        <v>519</v>
      </c>
      <c r="K13" s="6" t="s">
        <v>520</v>
      </c>
      <c r="L13" s="6" t="s">
        <v>521</v>
      </c>
      <c r="M13" s="6" t="s">
        <v>522</v>
      </c>
      <c r="N13" s="6" t="s">
        <v>523</v>
      </c>
      <c r="O13" s="6" t="s">
        <v>524</v>
      </c>
      <c r="P13" s="6" t="s">
        <v>525</v>
      </c>
      <c r="Q13" s="6" t="s">
        <v>526</v>
      </c>
      <c r="R13" s="6" t="s">
        <v>527</v>
      </c>
      <c r="S13" s="6" t="s">
        <v>528</v>
      </c>
      <c r="T13" s="6" t="s">
        <v>529</v>
      </c>
      <c r="U13" s="6" t="s">
        <v>530</v>
      </c>
      <c r="V13" s="6" t="s">
        <v>531</v>
      </c>
    </row>
    <row r="14" customFormat="false" ht="15" hidden="false" customHeight="false" outlineLevel="0" collapsed="false">
      <c r="A14" s="7" t="n">
        <v>1</v>
      </c>
      <c r="B14" s="7" t="s">
        <v>162</v>
      </c>
      <c r="C14" s="19" t="n">
        <v>14</v>
      </c>
      <c r="D14" s="13" t="n">
        <f aca="false">SUMIFS('2. Recetas'!$G$5:$G$502,'2. Recetas'!$A$5:$A$502,$A14)</f>
        <v>217.254166666667</v>
      </c>
      <c r="E14" s="13" t="n">
        <f aca="false">IFERROR(D14/C14,0)</f>
        <v>15.5181547619048</v>
      </c>
      <c r="F14" s="20" t="n">
        <v>5</v>
      </c>
      <c r="G14" s="20" t="n">
        <v>3</v>
      </c>
      <c r="H14" s="19" t="n">
        <v>5</v>
      </c>
      <c r="I14" s="13" t="n">
        <f aca="false">$C$9*H14/60</f>
        <v>6.25</v>
      </c>
      <c r="J14" s="13" t="n">
        <f aca="false">$C$10</f>
        <v>7.15</v>
      </c>
      <c r="K14" s="21" t="n">
        <f aca="false">E14+F14+G14+I14+J14</f>
        <v>36.9181547619048</v>
      </c>
      <c r="L14" s="22" t="n">
        <f aca="false">$C$11</f>
        <v>0.12</v>
      </c>
      <c r="M14" s="21" t="n">
        <f aca="false">IFERROR(K14/(1-L14),0)</f>
        <v>41.9524485930736</v>
      </c>
      <c r="N14" s="23" t="n">
        <f aca="false">IFERROR(CEILING(M14/(1-$C$5),5),0)</f>
        <v>85</v>
      </c>
      <c r="O14" s="13" t="n">
        <f aca="false">N14-M14</f>
        <v>43.0475514069264</v>
      </c>
      <c r="P14" s="23" t="n">
        <f aca="false">IFERROR(CEILING(M14/(1-$C$6),5),0)</f>
        <v>75</v>
      </c>
      <c r="Q14" s="13" t="n">
        <f aca="false">P14-M14</f>
        <v>33.0475514069264</v>
      </c>
      <c r="R14" s="23" t="n">
        <f aca="false">IFERROR(CEILING(M14/(1-$C$7),5),0)</f>
        <v>95</v>
      </c>
      <c r="S14" s="13" t="n">
        <f aca="false">R14-M14</f>
        <v>53.0475514069264</v>
      </c>
      <c r="T14" s="23" t="n">
        <f aca="false">IFERROR(CEILING(M14/(1-$C$8),5),0)</f>
        <v>60</v>
      </c>
      <c r="U14" s="13" t="n">
        <f aca="false">T14-M14</f>
        <v>18.0475514069264</v>
      </c>
      <c r="V14" s="22" t="n">
        <f aca="false">IFERROR(O14/N14,0)</f>
        <v>0.506441781257958</v>
      </c>
    </row>
    <row r="15" customFormat="false" ht="15" hidden="false" customHeight="false" outlineLevel="0" collapsed="false">
      <c r="A15" s="7" t="n">
        <v>2</v>
      </c>
      <c r="B15" s="7" t="s">
        <v>176</v>
      </c>
      <c r="C15" s="19" t="n">
        <v>14</v>
      </c>
      <c r="D15" s="13" t="n">
        <f aca="false">SUMIFS('2. Recetas'!$G$5:$G$502,'2. Recetas'!$A$5:$A$502,$A15)</f>
        <v>286.878333333333</v>
      </c>
      <c r="E15" s="13" t="n">
        <f aca="false">IFERROR(D15/C15,0)</f>
        <v>20.4913095238095</v>
      </c>
      <c r="F15" s="20" t="n">
        <v>5</v>
      </c>
      <c r="G15" s="20" t="n">
        <v>3</v>
      </c>
      <c r="H15" s="19" t="n">
        <v>5</v>
      </c>
      <c r="I15" s="13" t="n">
        <f aca="false">$C$9*H15/60</f>
        <v>6.25</v>
      </c>
      <c r="J15" s="13" t="n">
        <f aca="false">$C$10</f>
        <v>7.15</v>
      </c>
      <c r="K15" s="21" t="n">
        <f aca="false">E15+F15+G15+I15+J15</f>
        <v>41.8913095238095</v>
      </c>
      <c r="L15" s="22" t="n">
        <f aca="false">$C$11</f>
        <v>0.12</v>
      </c>
      <c r="M15" s="21" t="n">
        <f aca="false">IFERROR(K15/(1-L15),0)</f>
        <v>47.6037608225108</v>
      </c>
      <c r="N15" s="23" t="n">
        <f aca="false">IFERROR(CEILING(M15/(1-$C$5),5),0)</f>
        <v>100</v>
      </c>
      <c r="O15" s="13" t="n">
        <f aca="false">N15-M15</f>
        <v>52.3962391774892</v>
      </c>
      <c r="P15" s="23" t="n">
        <f aca="false">IFERROR(CEILING(M15/(1-$C$6),5),0)</f>
        <v>85</v>
      </c>
      <c r="Q15" s="13" t="n">
        <f aca="false">P15-M15</f>
        <v>37.3962391774892</v>
      </c>
      <c r="R15" s="23" t="n">
        <f aca="false">IFERROR(CEILING(M15/(1-$C$7),5),0)</f>
        <v>110</v>
      </c>
      <c r="S15" s="13" t="n">
        <f aca="false">R15-M15</f>
        <v>62.3962391774892</v>
      </c>
      <c r="T15" s="23" t="n">
        <f aca="false">IFERROR(CEILING(M15/(1-$C$8),5),0)</f>
        <v>70</v>
      </c>
      <c r="U15" s="13" t="n">
        <f aca="false">T15-M15</f>
        <v>22.3962391774892</v>
      </c>
      <c r="V15" s="22" t="n">
        <f aca="false">IFERROR(O15/N15,0)</f>
        <v>0.523962391774892</v>
      </c>
    </row>
    <row r="16" customFormat="false" ht="15" hidden="false" customHeight="false" outlineLevel="0" collapsed="false">
      <c r="A16" s="7" t="n">
        <v>3</v>
      </c>
      <c r="B16" s="7" t="s">
        <v>186</v>
      </c>
      <c r="C16" s="19" t="n">
        <v>15</v>
      </c>
      <c r="D16" s="13" t="n">
        <f aca="false">SUMIFS('2. Recetas'!$G$5:$G$502,'2. Recetas'!$A$5:$A$502,$A16)</f>
        <v>288.991666666667</v>
      </c>
      <c r="E16" s="13" t="n">
        <f aca="false">IFERROR(D16/C16,0)</f>
        <v>19.2661111111111</v>
      </c>
      <c r="F16" s="20" t="n">
        <v>5</v>
      </c>
      <c r="G16" s="20" t="n">
        <v>3</v>
      </c>
      <c r="H16" s="19" t="n">
        <v>5</v>
      </c>
      <c r="I16" s="13" t="n">
        <f aca="false">$C$9*H16/60</f>
        <v>6.25</v>
      </c>
      <c r="J16" s="13" t="n">
        <f aca="false">$C$10</f>
        <v>7.15</v>
      </c>
      <c r="K16" s="21" t="n">
        <f aca="false">E16+F16+G16+I16+J16</f>
        <v>40.6661111111111</v>
      </c>
      <c r="L16" s="22" t="n">
        <f aca="false">$C$11</f>
        <v>0.12</v>
      </c>
      <c r="M16" s="21" t="n">
        <f aca="false">IFERROR(K16/(1-L16),0)</f>
        <v>46.2114898989899</v>
      </c>
      <c r="N16" s="23" t="n">
        <f aca="false">IFERROR(CEILING(M16/(1-$C$5),5),0)</f>
        <v>95</v>
      </c>
      <c r="O16" s="13" t="n">
        <f aca="false">N16-M16</f>
        <v>48.7885101010101</v>
      </c>
      <c r="P16" s="23" t="n">
        <f aca="false">IFERROR(CEILING(M16/(1-$C$6),5),0)</f>
        <v>80</v>
      </c>
      <c r="Q16" s="13" t="n">
        <f aca="false">P16-M16</f>
        <v>33.7885101010101</v>
      </c>
      <c r="R16" s="23" t="n">
        <f aca="false">IFERROR(CEILING(M16/(1-$C$7),5),0)</f>
        <v>105</v>
      </c>
      <c r="S16" s="13" t="n">
        <f aca="false">R16-M16</f>
        <v>58.7885101010101</v>
      </c>
      <c r="T16" s="23" t="n">
        <f aca="false">IFERROR(CEILING(M16/(1-$C$8),5),0)</f>
        <v>70</v>
      </c>
      <c r="U16" s="13" t="n">
        <f aca="false">T16-M16</f>
        <v>23.7885101010101</v>
      </c>
      <c r="V16" s="22" t="n">
        <f aca="false">IFERROR(O16/N16,0)</f>
        <v>0.513563264221159</v>
      </c>
    </row>
    <row r="17" customFormat="false" ht="15" hidden="false" customHeight="false" outlineLevel="0" collapsed="false">
      <c r="A17" s="7" t="n">
        <v>4</v>
      </c>
      <c r="B17" s="7" t="s">
        <v>196</v>
      </c>
      <c r="C17" s="19" t="n">
        <v>14</v>
      </c>
      <c r="D17" s="13" t="n">
        <f aca="false">SUMIFS('2. Recetas'!$G$5:$G$502,'2. Recetas'!$A$5:$A$502,$A17)</f>
        <v>273.683333333333</v>
      </c>
      <c r="E17" s="13" t="n">
        <f aca="false">IFERROR(D17/C17,0)</f>
        <v>19.5488095238095</v>
      </c>
      <c r="F17" s="20" t="n">
        <v>5</v>
      </c>
      <c r="G17" s="20" t="n">
        <v>3</v>
      </c>
      <c r="H17" s="19" t="n">
        <v>5</v>
      </c>
      <c r="I17" s="13" t="n">
        <f aca="false">$C$9*H17/60</f>
        <v>6.25</v>
      </c>
      <c r="J17" s="13" t="n">
        <f aca="false">$C$10</f>
        <v>7.15</v>
      </c>
      <c r="K17" s="21" t="n">
        <f aca="false">E17+F17+G17+I17+J17</f>
        <v>40.9488095238095</v>
      </c>
      <c r="L17" s="22" t="n">
        <f aca="false">$C$11</f>
        <v>0.12</v>
      </c>
      <c r="M17" s="21" t="n">
        <f aca="false">IFERROR(K17/(1-L17),0)</f>
        <v>46.5327380952381</v>
      </c>
      <c r="N17" s="23" t="n">
        <f aca="false">IFERROR(CEILING(M17/(1-$C$5),5),0)</f>
        <v>95</v>
      </c>
      <c r="O17" s="13" t="n">
        <f aca="false">N17-M17</f>
        <v>48.4672619047619</v>
      </c>
      <c r="P17" s="23" t="n">
        <f aca="false">IFERROR(CEILING(M17/(1-$C$6),5),0)</f>
        <v>85</v>
      </c>
      <c r="Q17" s="13" t="n">
        <f aca="false">P17-M17</f>
        <v>38.4672619047619</v>
      </c>
      <c r="R17" s="23" t="n">
        <f aca="false">IFERROR(CEILING(M17/(1-$C$7),5),0)</f>
        <v>105</v>
      </c>
      <c r="S17" s="13" t="n">
        <f aca="false">R17-M17</f>
        <v>58.4672619047619</v>
      </c>
      <c r="T17" s="23" t="n">
        <f aca="false">IFERROR(CEILING(M17/(1-$C$8),5),0)</f>
        <v>70</v>
      </c>
      <c r="U17" s="13" t="n">
        <f aca="false">T17-M17</f>
        <v>23.4672619047619</v>
      </c>
      <c r="V17" s="22" t="n">
        <f aca="false">IFERROR(O17/N17,0)</f>
        <v>0.510181704260652</v>
      </c>
    </row>
    <row r="18" customFormat="false" ht="15" hidden="false" customHeight="false" outlineLevel="0" collapsed="false">
      <c r="A18" s="7" t="n">
        <v>5</v>
      </c>
      <c r="B18" s="7" t="s">
        <v>202</v>
      </c>
      <c r="C18" s="19" t="n">
        <v>15</v>
      </c>
      <c r="D18" s="13" t="n">
        <f aca="false">SUMIFS('2. Recetas'!$G$5:$G$502,'2. Recetas'!$A$5:$A$502,$A18)</f>
        <v>190.808333333333</v>
      </c>
      <c r="E18" s="13" t="n">
        <f aca="false">IFERROR(D18/C18,0)</f>
        <v>12.7205555555556</v>
      </c>
      <c r="F18" s="20" t="n">
        <v>5</v>
      </c>
      <c r="G18" s="20" t="n">
        <v>3</v>
      </c>
      <c r="H18" s="19" t="n">
        <v>5</v>
      </c>
      <c r="I18" s="13" t="n">
        <f aca="false">$C$9*H18/60</f>
        <v>6.25</v>
      </c>
      <c r="J18" s="13" t="n">
        <f aca="false">$C$10</f>
        <v>7.15</v>
      </c>
      <c r="K18" s="21" t="n">
        <f aca="false">E18+F18+G18+I18+J18</f>
        <v>34.1205555555556</v>
      </c>
      <c r="L18" s="22" t="n">
        <f aca="false">$C$11</f>
        <v>0.12</v>
      </c>
      <c r="M18" s="21" t="n">
        <f aca="false">IFERROR(K18/(1-L18),0)</f>
        <v>38.7733585858586</v>
      </c>
      <c r="N18" s="23" t="n">
        <f aca="false">IFERROR(CEILING(M18/(1-$C$5),5),0)</f>
        <v>80</v>
      </c>
      <c r="O18" s="13" t="n">
        <f aca="false">N18-M18</f>
        <v>41.2266414141414</v>
      </c>
      <c r="P18" s="23" t="n">
        <f aca="false">IFERROR(CEILING(M18/(1-$C$6),5),0)</f>
        <v>70</v>
      </c>
      <c r="Q18" s="13" t="n">
        <f aca="false">P18-M18</f>
        <v>31.2266414141414</v>
      </c>
      <c r="R18" s="23" t="n">
        <f aca="false">IFERROR(CEILING(M18/(1-$C$7),5),0)</f>
        <v>90</v>
      </c>
      <c r="S18" s="13" t="n">
        <f aca="false">R18-M18</f>
        <v>51.2266414141414</v>
      </c>
      <c r="T18" s="23" t="n">
        <f aca="false">IFERROR(CEILING(M18/(1-$C$8),5),0)</f>
        <v>60</v>
      </c>
      <c r="U18" s="13" t="n">
        <f aca="false">T18-M18</f>
        <v>21.2266414141414</v>
      </c>
      <c r="V18" s="22" t="n">
        <f aca="false">IFERROR(O18/N18,0)</f>
        <v>0.515333017676768</v>
      </c>
    </row>
    <row r="19" customFormat="false" ht="15" hidden="false" customHeight="false" outlineLevel="0" collapsed="false">
      <c r="A19" s="7" t="n">
        <v>6</v>
      </c>
      <c r="B19" s="7" t="s">
        <v>210</v>
      </c>
      <c r="C19" s="19" t="n">
        <v>20</v>
      </c>
      <c r="D19" s="13" t="n">
        <f aca="false">SUMIFS('2. Recetas'!$G$5:$G$502,'2. Recetas'!$A$5:$A$502,$A19)</f>
        <v>180.208333333333</v>
      </c>
      <c r="E19" s="13" t="n">
        <f aca="false">IFERROR(D19/C19,0)</f>
        <v>9.01041666666667</v>
      </c>
      <c r="F19" s="20" t="n">
        <v>5</v>
      </c>
      <c r="G19" s="20" t="n">
        <v>3</v>
      </c>
      <c r="H19" s="19" t="n">
        <v>5</v>
      </c>
      <c r="I19" s="13" t="n">
        <f aca="false">$C$9*H19/60</f>
        <v>6.25</v>
      </c>
      <c r="J19" s="13" t="n">
        <f aca="false">$C$10</f>
        <v>7.15</v>
      </c>
      <c r="K19" s="21" t="n">
        <f aca="false">E19+F19+G19+I19+J19</f>
        <v>30.4104166666667</v>
      </c>
      <c r="L19" s="22" t="n">
        <f aca="false">$C$11</f>
        <v>0.12</v>
      </c>
      <c r="M19" s="21" t="n">
        <f aca="false">IFERROR(K19/(1-L19),0)</f>
        <v>34.5572916666667</v>
      </c>
      <c r="N19" s="23" t="n">
        <f aca="false">IFERROR(CEILING(M19/(1-$C$5),5),0)</f>
        <v>70</v>
      </c>
      <c r="O19" s="13" t="n">
        <f aca="false">N19-M19</f>
        <v>35.4427083333333</v>
      </c>
      <c r="P19" s="23" t="n">
        <f aca="false">IFERROR(CEILING(M19/(1-$C$6),5),0)</f>
        <v>60</v>
      </c>
      <c r="Q19" s="13" t="n">
        <f aca="false">P19-M19</f>
        <v>25.4427083333333</v>
      </c>
      <c r="R19" s="23" t="n">
        <f aca="false">IFERROR(CEILING(M19/(1-$C$7),5),0)</f>
        <v>80</v>
      </c>
      <c r="S19" s="13" t="n">
        <f aca="false">R19-M19</f>
        <v>45.4427083333333</v>
      </c>
      <c r="T19" s="23" t="n">
        <f aca="false">IFERROR(CEILING(M19/(1-$C$8),5),0)</f>
        <v>50</v>
      </c>
      <c r="U19" s="13" t="n">
        <f aca="false">T19-M19</f>
        <v>15.4427083333333</v>
      </c>
      <c r="V19" s="22" t="n">
        <f aca="false">IFERROR(O19/N19,0)</f>
        <v>0.506324404761905</v>
      </c>
    </row>
    <row r="20" customFormat="false" ht="15" hidden="false" customHeight="false" outlineLevel="0" collapsed="false">
      <c r="A20" s="7" t="n">
        <v>7</v>
      </c>
      <c r="B20" s="7" t="s">
        <v>218</v>
      </c>
      <c r="C20" s="19" t="n">
        <v>15</v>
      </c>
      <c r="D20" s="13" t="n">
        <f aca="false">SUMIFS('2. Recetas'!$G$5:$G$502,'2. Recetas'!$A$5:$A$502,$A20)</f>
        <v>197.225</v>
      </c>
      <c r="E20" s="13" t="n">
        <f aca="false">IFERROR(D20/C20,0)</f>
        <v>13.1483333333333</v>
      </c>
      <c r="F20" s="20" t="n">
        <v>5</v>
      </c>
      <c r="G20" s="20" t="n">
        <v>3</v>
      </c>
      <c r="H20" s="19" t="n">
        <v>5</v>
      </c>
      <c r="I20" s="13" t="n">
        <f aca="false">$C$9*H20/60</f>
        <v>6.25</v>
      </c>
      <c r="J20" s="13" t="n">
        <f aca="false">$C$10</f>
        <v>7.15</v>
      </c>
      <c r="K20" s="21" t="n">
        <f aca="false">E20+F20+G20+I20+J20</f>
        <v>34.5483333333333</v>
      </c>
      <c r="L20" s="22" t="n">
        <f aca="false">$C$11</f>
        <v>0.12</v>
      </c>
      <c r="M20" s="21" t="n">
        <f aca="false">IFERROR(K20/(1-L20),0)</f>
        <v>39.2594696969697</v>
      </c>
      <c r="N20" s="23" t="n">
        <f aca="false">IFERROR(CEILING(M20/(1-$C$5),5),0)</f>
        <v>80</v>
      </c>
      <c r="O20" s="13" t="n">
        <f aca="false">N20-M20</f>
        <v>40.7405303030303</v>
      </c>
      <c r="P20" s="23" t="n">
        <f aca="false">IFERROR(CEILING(M20/(1-$C$6),5),0)</f>
        <v>70</v>
      </c>
      <c r="Q20" s="13" t="n">
        <f aca="false">P20-M20</f>
        <v>30.7405303030303</v>
      </c>
      <c r="R20" s="23" t="n">
        <f aca="false">IFERROR(CEILING(M20/(1-$C$7),5),0)</f>
        <v>90</v>
      </c>
      <c r="S20" s="13" t="n">
        <f aca="false">R20-M20</f>
        <v>50.7405303030303</v>
      </c>
      <c r="T20" s="23" t="n">
        <f aca="false">IFERROR(CEILING(M20/(1-$C$8),5),0)</f>
        <v>60</v>
      </c>
      <c r="U20" s="13" t="n">
        <f aca="false">T20-M20</f>
        <v>20.7405303030303</v>
      </c>
      <c r="V20" s="22" t="n">
        <f aca="false">IFERROR(O20/N20,0)</f>
        <v>0.509256628787879</v>
      </c>
    </row>
    <row r="21" customFormat="false" ht="15" hidden="false" customHeight="false" outlineLevel="0" collapsed="false">
      <c r="A21" s="7" t="n">
        <v>8</v>
      </c>
      <c r="B21" s="7" t="s">
        <v>223</v>
      </c>
      <c r="C21" s="19" t="n">
        <v>12</v>
      </c>
      <c r="D21" s="13" t="n">
        <f aca="false">SUMIFS('2. Recetas'!$G$5:$G$502,'2. Recetas'!$A$5:$A$502,$A21)</f>
        <v>280.975</v>
      </c>
      <c r="E21" s="13" t="n">
        <f aca="false">IFERROR(D21/C21,0)</f>
        <v>23.4145833333333</v>
      </c>
      <c r="F21" s="20" t="n">
        <v>5</v>
      </c>
      <c r="G21" s="20" t="n">
        <v>3</v>
      </c>
      <c r="H21" s="19" t="n">
        <v>5</v>
      </c>
      <c r="I21" s="13" t="n">
        <f aca="false">$C$9*H21/60</f>
        <v>6.25</v>
      </c>
      <c r="J21" s="13" t="n">
        <f aca="false">$C$10</f>
        <v>7.15</v>
      </c>
      <c r="K21" s="21" t="n">
        <f aca="false">E21+F21+G21+I21+J21</f>
        <v>44.8145833333333</v>
      </c>
      <c r="L21" s="22" t="n">
        <f aca="false">$C$11</f>
        <v>0.12</v>
      </c>
      <c r="M21" s="21" t="n">
        <f aca="false">IFERROR(K21/(1-L21),0)</f>
        <v>50.9256628787879</v>
      </c>
      <c r="N21" s="23" t="n">
        <f aca="false">IFERROR(CEILING(M21/(1-$C$5),5),0)</f>
        <v>105</v>
      </c>
      <c r="O21" s="13" t="n">
        <f aca="false">N21-M21</f>
        <v>54.0743371212121</v>
      </c>
      <c r="P21" s="23" t="n">
        <f aca="false">IFERROR(CEILING(M21/(1-$C$6),5),0)</f>
        <v>90</v>
      </c>
      <c r="Q21" s="13" t="n">
        <f aca="false">P21-M21</f>
        <v>39.0743371212121</v>
      </c>
      <c r="R21" s="23" t="n">
        <f aca="false">IFERROR(CEILING(M21/(1-$C$7),5),0)</f>
        <v>115</v>
      </c>
      <c r="S21" s="13" t="n">
        <f aca="false">R21-M21</f>
        <v>64.0743371212121</v>
      </c>
      <c r="T21" s="23" t="n">
        <f aca="false">IFERROR(CEILING(M21/(1-$C$8),5),0)</f>
        <v>75</v>
      </c>
      <c r="U21" s="13" t="n">
        <f aca="false">T21-M21</f>
        <v>24.0743371212121</v>
      </c>
      <c r="V21" s="22" t="n">
        <f aca="false">IFERROR(O21/N21,0)</f>
        <v>0.514993686868687</v>
      </c>
    </row>
    <row r="22" customFormat="false" ht="15" hidden="false" customHeight="false" outlineLevel="0" collapsed="false">
      <c r="A22" s="7" t="n">
        <v>9</v>
      </c>
      <c r="B22" s="7" t="s">
        <v>230</v>
      </c>
      <c r="C22" s="19" t="n">
        <v>16</v>
      </c>
      <c r="D22" s="13" t="n">
        <f aca="false">SUMIFS('2. Recetas'!$G$5:$G$502,'2. Recetas'!$A$5:$A$502,$A22)</f>
        <v>89.5</v>
      </c>
      <c r="E22" s="13" t="n">
        <f aca="false">IFERROR(D22/C22,0)</f>
        <v>5.59375</v>
      </c>
      <c r="F22" s="20" t="n">
        <v>5</v>
      </c>
      <c r="G22" s="20" t="n">
        <v>3</v>
      </c>
      <c r="H22" s="19" t="n">
        <v>5</v>
      </c>
      <c r="I22" s="13" t="n">
        <f aca="false">$C$9*H22/60</f>
        <v>6.25</v>
      </c>
      <c r="J22" s="13" t="n">
        <f aca="false">$C$10</f>
        <v>7.15</v>
      </c>
      <c r="K22" s="21" t="n">
        <f aca="false">E22+F22+G22+I22+J22</f>
        <v>26.99375</v>
      </c>
      <c r="L22" s="22" t="n">
        <f aca="false">$C$11</f>
        <v>0.12</v>
      </c>
      <c r="M22" s="21" t="n">
        <f aca="false">IFERROR(K22/(1-L22),0)</f>
        <v>30.6747159090909</v>
      </c>
      <c r="N22" s="23" t="n">
        <f aca="false">IFERROR(CEILING(M22/(1-$C$5),5),0)</f>
        <v>65</v>
      </c>
      <c r="O22" s="13" t="n">
        <f aca="false">N22-M22</f>
        <v>34.3252840909091</v>
      </c>
      <c r="P22" s="23" t="n">
        <f aca="false">IFERROR(CEILING(M22/(1-$C$6),5),0)</f>
        <v>55</v>
      </c>
      <c r="Q22" s="13" t="n">
        <f aca="false">P22-M22</f>
        <v>24.3252840909091</v>
      </c>
      <c r="R22" s="23" t="n">
        <f aca="false">IFERROR(CEILING(M22/(1-$C$7),5),0)</f>
        <v>70</v>
      </c>
      <c r="S22" s="13" t="n">
        <f aca="false">R22-M22</f>
        <v>39.3252840909091</v>
      </c>
      <c r="T22" s="23" t="n">
        <f aca="false">IFERROR(CEILING(M22/(1-$C$8),5),0)</f>
        <v>45</v>
      </c>
      <c r="U22" s="13" t="n">
        <f aca="false">T22-M22</f>
        <v>14.3252840909091</v>
      </c>
      <c r="V22" s="22" t="n">
        <f aca="false">IFERROR(O22/N22,0)</f>
        <v>0.528081293706294</v>
      </c>
    </row>
    <row r="23" customFormat="false" ht="15" hidden="false" customHeight="false" outlineLevel="0" collapsed="false">
      <c r="A23" s="7" t="n">
        <v>10</v>
      </c>
      <c r="B23" s="7" t="s">
        <v>234</v>
      </c>
      <c r="C23" s="19" t="n">
        <v>16</v>
      </c>
      <c r="D23" s="13" t="n">
        <f aca="false">SUMIFS('2. Recetas'!$G$5:$G$502,'2. Recetas'!$A$5:$A$502,$A23)</f>
        <v>179.7625</v>
      </c>
      <c r="E23" s="13" t="n">
        <f aca="false">IFERROR(D23/C23,0)</f>
        <v>11.23515625</v>
      </c>
      <c r="F23" s="20" t="n">
        <v>5</v>
      </c>
      <c r="G23" s="20" t="n">
        <v>3</v>
      </c>
      <c r="H23" s="19" t="n">
        <v>5</v>
      </c>
      <c r="I23" s="13" t="n">
        <f aca="false">$C$9*H23/60</f>
        <v>6.25</v>
      </c>
      <c r="J23" s="13" t="n">
        <f aca="false">$C$10</f>
        <v>7.15</v>
      </c>
      <c r="K23" s="21" t="n">
        <f aca="false">E23+F23+G23+I23+J23</f>
        <v>32.63515625</v>
      </c>
      <c r="L23" s="22" t="n">
        <f aca="false">$C$11</f>
        <v>0.12</v>
      </c>
      <c r="M23" s="21" t="n">
        <f aca="false">IFERROR(K23/(1-L23),0)</f>
        <v>37.0854048295455</v>
      </c>
      <c r="N23" s="23" t="n">
        <f aca="false">IFERROR(CEILING(M23/(1-$C$5),5),0)</f>
        <v>75</v>
      </c>
      <c r="O23" s="13" t="n">
        <f aca="false">N23-M23</f>
        <v>37.9145951704546</v>
      </c>
      <c r="P23" s="23" t="n">
        <f aca="false">IFERROR(CEILING(M23/(1-$C$6),5),0)</f>
        <v>65</v>
      </c>
      <c r="Q23" s="13" t="n">
        <f aca="false">P23-M23</f>
        <v>27.9145951704545</v>
      </c>
      <c r="R23" s="23" t="n">
        <f aca="false">IFERROR(CEILING(M23/(1-$C$7),5),0)</f>
        <v>85</v>
      </c>
      <c r="S23" s="13" t="n">
        <f aca="false">R23-M23</f>
        <v>47.9145951704546</v>
      </c>
      <c r="T23" s="23" t="n">
        <f aca="false">IFERROR(CEILING(M23/(1-$C$8),5),0)</f>
        <v>55</v>
      </c>
      <c r="U23" s="13" t="n">
        <f aca="false">T23-M23</f>
        <v>17.9145951704545</v>
      </c>
      <c r="V23" s="22" t="n">
        <f aca="false">IFERROR(O23/N23,0)</f>
        <v>0.505527935606061</v>
      </c>
    </row>
    <row r="24" customFormat="false" ht="15" hidden="false" customHeight="false" outlineLevel="0" collapsed="false">
      <c r="A24" s="7" t="n">
        <v>11</v>
      </c>
      <c r="B24" s="7" t="s">
        <v>242</v>
      </c>
      <c r="C24" s="19" t="n">
        <v>14</v>
      </c>
      <c r="D24" s="13" t="n">
        <f aca="false">SUMIFS('2. Recetas'!$G$5:$G$502,'2. Recetas'!$A$5:$A$502,$A24)</f>
        <v>212.29</v>
      </c>
      <c r="E24" s="13" t="n">
        <f aca="false">IFERROR(D24/C24,0)</f>
        <v>15.1635714285714</v>
      </c>
      <c r="F24" s="20" t="n">
        <v>5</v>
      </c>
      <c r="G24" s="20" t="n">
        <v>3</v>
      </c>
      <c r="H24" s="19" t="n">
        <v>5</v>
      </c>
      <c r="I24" s="13" t="n">
        <f aca="false">$C$9*H24/60</f>
        <v>6.25</v>
      </c>
      <c r="J24" s="13" t="n">
        <f aca="false">$C$10</f>
        <v>7.15</v>
      </c>
      <c r="K24" s="21" t="n">
        <f aca="false">E24+F24+G24+I24+J24</f>
        <v>36.5635714285714</v>
      </c>
      <c r="L24" s="22" t="n">
        <f aca="false">$C$11</f>
        <v>0.12</v>
      </c>
      <c r="M24" s="21" t="n">
        <f aca="false">IFERROR(K24/(1-L24),0)</f>
        <v>41.549512987013</v>
      </c>
      <c r="N24" s="23" t="n">
        <f aca="false">IFERROR(CEILING(M24/(1-$C$5),5),0)</f>
        <v>85</v>
      </c>
      <c r="O24" s="13" t="n">
        <f aca="false">N24-M24</f>
        <v>43.450487012987</v>
      </c>
      <c r="P24" s="23" t="n">
        <f aca="false">IFERROR(CEILING(M24/(1-$C$6),5),0)</f>
        <v>75</v>
      </c>
      <c r="Q24" s="13" t="n">
        <f aca="false">P24-M24</f>
        <v>33.450487012987</v>
      </c>
      <c r="R24" s="23" t="n">
        <f aca="false">IFERROR(CEILING(M24/(1-$C$7),5),0)</f>
        <v>95</v>
      </c>
      <c r="S24" s="13" t="n">
        <f aca="false">R24-M24</f>
        <v>53.450487012987</v>
      </c>
      <c r="T24" s="23" t="n">
        <f aca="false">IFERROR(CEILING(M24/(1-$C$8),5),0)</f>
        <v>60</v>
      </c>
      <c r="U24" s="13" t="n">
        <f aca="false">T24-M24</f>
        <v>18.450487012987</v>
      </c>
      <c r="V24" s="22" t="n">
        <f aca="false">IFERROR(O24/N24,0)</f>
        <v>0.511182200152788</v>
      </c>
    </row>
    <row r="25" customFormat="false" ht="15" hidden="false" customHeight="false" outlineLevel="0" collapsed="false">
      <c r="A25" s="7" t="n">
        <v>12</v>
      </c>
      <c r="B25" s="7" t="s">
        <v>250</v>
      </c>
      <c r="C25" s="19" t="n">
        <v>14</v>
      </c>
      <c r="D25" s="13" t="n">
        <f aca="false">SUMIFS('2. Recetas'!$G$5:$G$502,'2. Recetas'!$A$5:$A$502,$A25)</f>
        <v>227.27</v>
      </c>
      <c r="E25" s="13" t="n">
        <f aca="false">IFERROR(D25/C25,0)</f>
        <v>16.2335714285714</v>
      </c>
      <c r="F25" s="20" t="n">
        <v>5</v>
      </c>
      <c r="G25" s="20" t="n">
        <v>3</v>
      </c>
      <c r="H25" s="19" t="n">
        <v>5</v>
      </c>
      <c r="I25" s="13" t="n">
        <f aca="false">$C$9*H25/60</f>
        <v>6.25</v>
      </c>
      <c r="J25" s="13" t="n">
        <f aca="false">$C$10</f>
        <v>7.15</v>
      </c>
      <c r="K25" s="21" t="n">
        <f aca="false">E25+F25+G25+I25+J25</f>
        <v>37.6335714285714</v>
      </c>
      <c r="L25" s="22" t="n">
        <f aca="false">$C$11</f>
        <v>0.12</v>
      </c>
      <c r="M25" s="21" t="n">
        <f aca="false">IFERROR(K25/(1-L25),0)</f>
        <v>42.7654220779221</v>
      </c>
      <c r="N25" s="23" t="n">
        <f aca="false">IFERROR(CEILING(M25/(1-$C$5),5),0)</f>
        <v>90</v>
      </c>
      <c r="O25" s="13" t="n">
        <f aca="false">N25-M25</f>
        <v>47.2345779220779</v>
      </c>
      <c r="P25" s="23" t="n">
        <f aca="false">IFERROR(CEILING(M25/(1-$C$6),5),0)</f>
        <v>75</v>
      </c>
      <c r="Q25" s="13" t="n">
        <f aca="false">P25-M25</f>
        <v>32.2345779220779</v>
      </c>
      <c r="R25" s="23" t="n">
        <f aca="false">IFERROR(CEILING(M25/(1-$C$7),5),0)</f>
        <v>100</v>
      </c>
      <c r="S25" s="13" t="n">
        <f aca="false">R25-M25</f>
        <v>57.2345779220779</v>
      </c>
      <c r="T25" s="23" t="n">
        <f aca="false">IFERROR(CEILING(M25/(1-$C$8),5),0)</f>
        <v>65</v>
      </c>
      <c r="U25" s="13" t="n">
        <f aca="false">T25-M25</f>
        <v>22.2345779220779</v>
      </c>
      <c r="V25" s="22" t="n">
        <f aca="false">IFERROR(O25/N25,0)</f>
        <v>0.524828643578644</v>
      </c>
    </row>
    <row r="26" customFormat="false" ht="15" hidden="false" customHeight="false" outlineLevel="0" collapsed="false">
      <c r="A26" s="7" t="n">
        <v>13</v>
      </c>
      <c r="B26" s="7" t="s">
        <v>258</v>
      </c>
      <c r="C26" s="19" t="n">
        <v>14</v>
      </c>
      <c r="D26" s="13" t="n">
        <f aca="false">SUMIFS('2. Recetas'!$G$5:$G$502,'2. Recetas'!$A$5:$A$502,$A26)</f>
        <v>209.886666666667</v>
      </c>
      <c r="E26" s="13" t="n">
        <f aca="false">IFERROR(D26/C26,0)</f>
        <v>14.9919047619048</v>
      </c>
      <c r="F26" s="20" t="n">
        <v>5</v>
      </c>
      <c r="G26" s="20" t="n">
        <v>3</v>
      </c>
      <c r="H26" s="19" t="n">
        <v>5</v>
      </c>
      <c r="I26" s="13" t="n">
        <f aca="false">$C$9*H26/60</f>
        <v>6.25</v>
      </c>
      <c r="J26" s="13" t="n">
        <f aca="false">$C$10</f>
        <v>7.15</v>
      </c>
      <c r="K26" s="21" t="n">
        <f aca="false">E26+F26+G26+I26+J26</f>
        <v>36.3919047619048</v>
      </c>
      <c r="L26" s="22" t="n">
        <f aca="false">$C$11</f>
        <v>0.12</v>
      </c>
      <c r="M26" s="21" t="n">
        <f aca="false">IFERROR(K26/(1-L26),0)</f>
        <v>41.3544372294372</v>
      </c>
      <c r="N26" s="23" t="n">
        <f aca="false">IFERROR(CEILING(M26/(1-$C$5),5),0)</f>
        <v>85</v>
      </c>
      <c r="O26" s="13" t="n">
        <f aca="false">N26-M26</f>
        <v>43.6455627705628</v>
      </c>
      <c r="P26" s="23" t="n">
        <f aca="false">IFERROR(CEILING(M26/(1-$C$6),5),0)</f>
        <v>75</v>
      </c>
      <c r="Q26" s="13" t="n">
        <f aca="false">P26-M26</f>
        <v>33.6455627705628</v>
      </c>
      <c r="R26" s="23" t="n">
        <f aca="false">IFERROR(CEILING(M26/(1-$C$7),5),0)</f>
        <v>95</v>
      </c>
      <c r="S26" s="13" t="n">
        <f aca="false">R26-M26</f>
        <v>53.6455627705628</v>
      </c>
      <c r="T26" s="23" t="n">
        <f aca="false">IFERROR(CEILING(M26/(1-$C$8),5),0)</f>
        <v>60</v>
      </c>
      <c r="U26" s="13" t="n">
        <f aca="false">T26-M26</f>
        <v>18.6455627705628</v>
      </c>
      <c r="V26" s="22" t="n">
        <f aca="false">IFERROR(O26/N26,0)</f>
        <v>0.513477209065444</v>
      </c>
    </row>
    <row r="27" customFormat="false" ht="15" hidden="false" customHeight="false" outlineLevel="0" collapsed="false">
      <c r="A27" s="7" t="n">
        <v>14</v>
      </c>
      <c r="B27" s="7" t="s">
        <v>262</v>
      </c>
      <c r="C27" s="19" t="n">
        <v>15</v>
      </c>
      <c r="D27" s="13" t="n">
        <f aca="false">SUMIFS('2. Recetas'!$G$5:$G$502,'2. Recetas'!$A$5:$A$502,$A27)</f>
        <v>97.85</v>
      </c>
      <c r="E27" s="13" t="n">
        <f aca="false">IFERROR(D27/C27,0)</f>
        <v>6.52333333333333</v>
      </c>
      <c r="F27" s="20" t="n">
        <v>5</v>
      </c>
      <c r="G27" s="20" t="n">
        <v>3</v>
      </c>
      <c r="H27" s="19" t="n">
        <v>5</v>
      </c>
      <c r="I27" s="13" t="n">
        <f aca="false">$C$9*H27/60</f>
        <v>6.25</v>
      </c>
      <c r="J27" s="13" t="n">
        <f aca="false">$C$10</f>
        <v>7.15</v>
      </c>
      <c r="K27" s="21" t="n">
        <f aca="false">E27+F27+G27+I27+J27</f>
        <v>27.9233333333333</v>
      </c>
      <c r="L27" s="22" t="n">
        <f aca="false">$C$11</f>
        <v>0.12</v>
      </c>
      <c r="M27" s="21" t="n">
        <f aca="false">IFERROR(K27/(1-L27),0)</f>
        <v>31.7310606060606</v>
      </c>
      <c r="N27" s="23" t="n">
        <f aca="false">IFERROR(CEILING(M27/(1-$C$5),5),0)</f>
        <v>65</v>
      </c>
      <c r="O27" s="13" t="n">
        <f aca="false">N27-M27</f>
        <v>33.2689393939394</v>
      </c>
      <c r="P27" s="23" t="n">
        <f aca="false">IFERROR(CEILING(M27/(1-$C$6),5),0)</f>
        <v>55</v>
      </c>
      <c r="Q27" s="13" t="n">
        <f aca="false">P27-M27</f>
        <v>23.2689393939394</v>
      </c>
      <c r="R27" s="23" t="n">
        <f aca="false">IFERROR(CEILING(M27/(1-$C$7),5),0)</f>
        <v>75</v>
      </c>
      <c r="S27" s="13" t="n">
        <f aca="false">R27-M27</f>
        <v>43.2689393939394</v>
      </c>
      <c r="T27" s="23" t="n">
        <f aca="false">IFERROR(CEILING(M27/(1-$C$8),5),0)</f>
        <v>50</v>
      </c>
      <c r="U27" s="13" t="n">
        <f aca="false">T27-M27</f>
        <v>18.2689393939394</v>
      </c>
      <c r="V27" s="22" t="n">
        <f aca="false">IFERROR(O27/N27,0)</f>
        <v>0.511829836829837</v>
      </c>
    </row>
    <row r="28" customFormat="false" ht="15" hidden="false" customHeight="false" outlineLevel="0" collapsed="false">
      <c r="A28" s="7" t="n">
        <v>15</v>
      </c>
      <c r="B28" s="7" t="s">
        <v>268</v>
      </c>
      <c r="C28" s="19" t="n">
        <v>14</v>
      </c>
      <c r="D28" s="13" t="n">
        <f aca="false">SUMIFS('2. Recetas'!$G$5:$G$502,'2. Recetas'!$A$5:$A$502,$A28)</f>
        <v>162.875</v>
      </c>
      <c r="E28" s="13" t="n">
        <f aca="false">IFERROR(D28/C28,0)</f>
        <v>11.6339285714286</v>
      </c>
      <c r="F28" s="20" t="n">
        <v>5</v>
      </c>
      <c r="G28" s="20" t="n">
        <v>3</v>
      </c>
      <c r="H28" s="19" t="n">
        <v>5</v>
      </c>
      <c r="I28" s="13" t="n">
        <f aca="false">$C$9*H28/60</f>
        <v>6.25</v>
      </c>
      <c r="J28" s="13" t="n">
        <f aca="false">$C$10</f>
        <v>7.15</v>
      </c>
      <c r="K28" s="21" t="n">
        <f aca="false">E28+F28+G28+I28+J28</f>
        <v>33.0339285714286</v>
      </c>
      <c r="L28" s="22" t="n">
        <f aca="false">$C$11</f>
        <v>0.12</v>
      </c>
      <c r="M28" s="21" t="n">
        <f aca="false">IFERROR(K28/(1-L28),0)</f>
        <v>37.5385551948052</v>
      </c>
      <c r="N28" s="23" t="n">
        <f aca="false">IFERROR(CEILING(M28/(1-$C$5),5),0)</f>
        <v>80</v>
      </c>
      <c r="O28" s="13" t="n">
        <f aca="false">N28-M28</f>
        <v>42.4614448051948</v>
      </c>
      <c r="P28" s="23" t="n">
        <f aca="false">IFERROR(CEILING(M28/(1-$C$6),5),0)</f>
        <v>65</v>
      </c>
      <c r="Q28" s="13" t="n">
        <f aca="false">P28-M28</f>
        <v>27.4614448051948</v>
      </c>
      <c r="R28" s="23" t="n">
        <f aca="false">IFERROR(CEILING(M28/(1-$C$7),5),0)</f>
        <v>85</v>
      </c>
      <c r="S28" s="13" t="n">
        <f aca="false">R28-M28</f>
        <v>47.4614448051948</v>
      </c>
      <c r="T28" s="23" t="n">
        <f aca="false">IFERROR(CEILING(M28/(1-$C$8),5),0)</f>
        <v>55</v>
      </c>
      <c r="U28" s="13" t="n">
        <f aca="false">T28-M28</f>
        <v>17.4614448051948</v>
      </c>
      <c r="V28" s="22" t="n">
        <f aca="false">IFERROR(O28/N28,0)</f>
        <v>0.530768060064935</v>
      </c>
    </row>
    <row r="29" customFormat="false" ht="15" hidden="false" customHeight="false" outlineLevel="0" collapsed="false">
      <c r="A29" s="7" t="n">
        <v>16</v>
      </c>
      <c r="B29" s="7" t="s">
        <v>276</v>
      </c>
      <c r="C29" s="19" t="n">
        <v>14</v>
      </c>
      <c r="D29" s="13" t="n">
        <f aca="false">SUMIFS('2. Recetas'!$G$5:$G$502,'2. Recetas'!$A$5:$A$502,$A29)</f>
        <v>331.4</v>
      </c>
      <c r="E29" s="13" t="n">
        <f aca="false">IFERROR(D29/C29,0)</f>
        <v>23.6714285714286</v>
      </c>
      <c r="F29" s="20" t="n">
        <v>5</v>
      </c>
      <c r="G29" s="20" t="n">
        <v>3</v>
      </c>
      <c r="H29" s="19" t="n">
        <v>5</v>
      </c>
      <c r="I29" s="13" t="n">
        <f aca="false">$C$9*H29/60</f>
        <v>6.25</v>
      </c>
      <c r="J29" s="13" t="n">
        <f aca="false">$C$10</f>
        <v>7.15</v>
      </c>
      <c r="K29" s="21" t="n">
        <f aca="false">E29+F29+G29+I29+J29</f>
        <v>45.0714285714286</v>
      </c>
      <c r="L29" s="22" t="n">
        <f aca="false">$C$11</f>
        <v>0.12</v>
      </c>
      <c r="M29" s="21" t="n">
        <f aca="false">IFERROR(K29/(1-L29),0)</f>
        <v>51.2175324675325</v>
      </c>
      <c r="N29" s="23" t="n">
        <f aca="false">IFERROR(CEILING(M29/(1-$C$5),5),0)</f>
        <v>105</v>
      </c>
      <c r="O29" s="13" t="n">
        <f aca="false">N29-M29</f>
        <v>53.7824675324675</v>
      </c>
      <c r="P29" s="23" t="n">
        <f aca="false">IFERROR(CEILING(M29/(1-$C$6),5),0)</f>
        <v>90</v>
      </c>
      <c r="Q29" s="13" t="n">
        <f aca="false">P29-M29</f>
        <v>38.7824675324675</v>
      </c>
      <c r="R29" s="23" t="n">
        <f aca="false">IFERROR(CEILING(M29/(1-$C$7),5),0)</f>
        <v>115</v>
      </c>
      <c r="S29" s="13" t="n">
        <f aca="false">R29-M29</f>
        <v>63.7824675324675</v>
      </c>
      <c r="T29" s="23" t="n">
        <f aca="false">IFERROR(CEILING(M29/(1-$C$8),5),0)</f>
        <v>75</v>
      </c>
      <c r="U29" s="13" t="n">
        <f aca="false">T29-M29</f>
        <v>23.7824675324675</v>
      </c>
      <c r="V29" s="22" t="n">
        <f aca="false">IFERROR(O29/N29,0)</f>
        <v>0.512213976499691</v>
      </c>
    </row>
    <row r="30" customFormat="false" ht="15" hidden="false" customHeight="false" outlineLevel="0" collapsed="false">
      <c r="A30" s="7" t="n">
        <v>17</v>
      </c>
      <c r="B30" s="7" t="s">
        <v>285</v>
      </c>
      <c r="C30" s="19" t="n">
        <v>14</v>
      </c>
      <c r="D30" s="13" t="n">
        <f aca="false">SUMIFS('2. Recetas'!$G$5:$G$502,'2. Recetas'!$A$5:$A$502,$A30)</f>
        <v>185.375</v>
      </c>
      <c r="E30" s="13" t="n">
        <f aca="false">IFERROR(D30/C30,0)</f>
        <v>13.2410714285714</v>
      </c>
      <c r="F30" s="20" t="n">
        <v>5</v>
      </c>
      <c r="G30" s="20" t="n">
        <v>3</v>
      </c>
      <c r="H30" s="19" t="n">
        <v>5</v>
      </c>
      <c r="I30" s="13" t="n">
        <f aca="false">$C$9*H30/60</f>
        <v>6.25</v>
      </c>
      <c r="J30" s="13" t="n">
        <f aca="false">$C$10</f>
        <v>7.15</v>
      </c>
      <c r="K30" s="21" t="n">
        <f aca="false">E30+F30+G30+I30+J30</f>
        <v>34.6410714285714</v>
      </c>
      <c r="L30" s="22" t="n">
        <f aca="false">$C$11</f>
        <v>0.12</v>
      </c>
      <c r="M30" s="21" t="n">
        <f aca="false">IFERROR(K30/(1-L30),0)</f>
        <v>39.3648538961039</v>
      </c>
      <c r="N30" s="23" t="n">
        <f aca="false">IFERROR(CEILING(M30/(1-$C$5),5),0)</f>
        <v>80</v>
      </c>
      <c r="O30" s="13" t="n">
        <f aca="false">N30-M30</f>
        <v>40.6351461038961</v>
      </c>
      <c r="P30" s="23" t="n">
        <f aca="false">IFERROR(CEILING(M30/(1-$C$6),5),0)</f>
        <v>70</v>
      </c>
      <c r="Q30" s="13" t="n">
        <f aca="false">P30-M30</f>
        <v>30.6351461038961</v>
      </c>
      <c r="R30" s="23" t="n">
        <f aca="false">IFERROR(CEILING(M30/(1-$C$7),5),0)</f>
        <v>90</v>
      </c>
      <c r="S30" s="13" t="n">
        <f aca="false">R30-M30</f>
        <v>50.6351461038961</v>
      </c>
      <c r="T30" s="23" t="n">
        <f aca="false">IFERROR(CEILING(M30/(1-$C$8),5),0)</f>
        <v>60</v>
      </c>
      <c r="U30" s="13" t="n">
        <f aca="false">T30-M30</f>
        <v>20.6351461038961</v>
      </c>
      <c r="V30" s="22" t="n">
        <f aca="false">IFERROR(O30/N30,0)</f>
        <v>0.507939326298701</v>
      </c>
    </row>
    <row r="31" customFormat="false" ht="15" hidden="false" customHeight="false" outlineLevel="0" collapsed="false">
      <c r="A31" s="7" t="n">
        <v>18</v>
      </c>
      <c r="B31" s="7" t="s">
        <v>295</v>
      </c>
      <c r="C31" s="19" t="n">
        <v>15</v>
      </c>
      <c r="D31" s="13" t="n">
        <f aca="false">SUMIFS('2. Recetas'!$G$5:$G$502,'2. Recetas'!$A$5:$A$502,$A31)</f>
        <v>193.325</v>
      </c>
      <c r="E31" s="13" t="n">
        <f aca="false">IFERROR(D31/C31,0)</f>
        <v>12.8883333333333</v>
      </c>
      <c r="F31" s="20" t="n">
        <v>5</v>
      </c>
      <c r="G31" s="20" t="n">
        <v>3</v>
      </c>
      <c r="H31" s="19" t="n">
        <v>5</v>
      </c>
      <c r="I31" s="13" t="n">
        <f aca="false">$C$9*H31/60</f>
        <v>6.25</v>
      </c>
      <c r="J31" s="13" t="n">
        <f aca="false">$C$10</f>
        <v>7.15</v>
      </c>
      <c r="K31" s="21" t="n">
        <f aca="false">E31+F31+G31+I31+J31</f>
        <v>34.2883333333333</v>
      </c>
      <c r="L31" s="22" t="n">
        <f aca="false">$C$11</f>
        <v>0.12</v>
      </c>
      <c r="M31" s="21" t="n">
        <f aca="false">IFERROR(K31/(1-L31),0)</f>
        <v>38.9640151515152</v>
      </c>
      <c r="N31" s="23" t="n">
        <f aca="false">IFERROR(CEILING(M31/(1-$C$5),5),0)</f>
        <v>80</v>
      </c>
      <c r="O31" s="13" t="n">
        <f aca="false">N31-M31</f>
        <v>41.0359848484849</v>
      </c>
      <c r="P31" s="23" t="n">
        <f aca="false">IFERROR(CEILING(M31/(1-$C$6),5),0)</f>
        <v>70</v>
      </c>
      <c r="Q31" s="13" t="n">
        <f aca="false">P31-M31</f>
        <v>31.0359848484849</v>
      </c>
      <c r="R31" s="23" t="n">
        <f aca="false">IFERROR(CEILING(M31/(1-$C$7),5),0)</f>
        <v>90</v>
      </c>
      <c r="S31" s="13" t="n">
        <f aca="false">R31-M31</f>
        <v>51.0359848484849</v>
      </c>
      <c r="T31" s="23" t="n">
        <f aca="false">IFERROR(CEILING(M31/(1-$C$8),5),0)</f>
        <v>60</v>
      </c>
      <c r="U31" s="13" t="n">
        <f aca="false">T31-M31</f>
        <v>21.0359848484849</v>
      </c>
      <c r="V31" s="22" t="n">
        <f aca="false">IFERROR(O31/N31,0)</f>
        <v>0.512949810606061</v>
      </c>
    </row>
    <row r="32" customFormat="false" ht="15" hidden="false" customHeight="false" outlineLevel="0" collapsed="false">
      <c r="A32" s="7" t="n">
        <v>19</v>
      </c>
      <c r="B32" s="7" t="s">
        <v>301</v>
      </c>
      <c r="C32" s="19" t="n">
        <v>10</v>
      </c>
      <c r="D32" s="13" t="n">
        <f aca="false">SUMIFS('2. Recetas'!$G$5:$G$502,'2. Recetas'!$A$5:$A$502,$A32)</f>
        <v>255.216666666667</v>
      </c>
      <c r="E32" s="13" t="n">
        <f aca="false">IFERROR(D32/C32,0)</f>
        <v>25.5216666666667</v>
      </c>
      <c r="F32" s="20" t="n">
        <v>5</v>
      </c>
      <c r="G32" s="20" t="n">
        <v>3</v>
      </c>
      <c r="H32" s="19" t="n">
        <v>5</v>
      </c>
      <c r="I32" s="13" t="n">
        <f aca="false">$C$9*H32/60</f>
        <v>6.25</v>
      </c>
      <c r="J32" s="13" t="n">
        <f aca="false">$C$10</f>
        <v>7.15</v>
      </c>
      <c r="K32" s="21" t="n">
        <f aca="false">E32+F32+G32+I32+J32</f>
        <v>46.9216666666667</v>
      </c>
      <c r="L32" s="22" t="n">
        <f aca="false">$C$11</f>
        <v>0.12</v>
      </c>
      <c r="M32" s="21" t="n">
        <f aca="false">IFERROR(K32/(1-L32),0)</f>
        <v>53.3200757575758</v>
      </c>
      <c r="N32" s="23" t="n">
        <f aca="false">IFERROR(CEILING(M32/(1-$C$5),5),0)</f>
        <v>110</v>
      </c>
      <c r="O32" s="13" t="n">
        <f aca="false">N32-M32</f>
        <v>56.6799242424242</v>
      </c>
      <c r="P32" s="23" t="n">
        <f aca="false">IFERROR(CEILING(M32/(1-$C$6),5),0)</f>
        <v>95</v>
      </c>
      <c r="Q32" s="13" t="n">
        <f aca="false">P32-M32</f>
        <v>41.6799242424242</v>
      </c>
      <c r="R32" s="23" t="n">
        <f aca="false">IFERROR(CEILING(M32/(1-$C$7),5),0)</f>
        <v>120</v>
      </c>
      <c r="S32" s="13" t="n">
        <f aca="false">R32-M32</f>
        <v>66.6799242424243</v>
      </c>
      <c r="T32" s="23" t="n">
        <f aca="false">IFERROR(CEILING(M32/(1-$C$8),5),0)</f>
        <v>80</v>
      </c>
      <c r="U32" s="13" t="n">
        <f aca="false">T32-M32</f>
        <v>26.6799242424242</v>
      </c>
      <c r="V32" s="22" t="n">
        <f aca="false">IFERROR(O32/N32,0)</f>
        <v>0.515272038567493</v>
      </c>
    </row>
    <row r="33" customFormat="false" ht="15" hidden="false" customHeight="false" outlineLevel="0" collapsed="false">
      <c r="A33" s="7" t="n">
        <v>20</v>
      </c>
      <c r="B33" s="7" t="s">
        <v>309</v>
      </c>
      <c r="C33" s="19" t="n">
        <v>14</v>
      </c>
      <c r="D33" s="13" t="n">
        <f aca="false">SUMIFS('2. Recetas'!$G$5:$G$502,'2. Recetas'!$A$5:$A$502,$A33)</f>
        <v>165.35</v>
      </c>
      <c r="E33" s="13" t="n">
        <f aca="false">IFERROR(D33/C33,0)</f>
        <v>11.8107142857143</v>
      </c>
      <c r="F33" s="20" t="n">
        <v>5</v>
      </c>
      <c r="G33" s="20" t="n">
        <v>3</v>
      </c>
      <c r="H33" s="19" t="n">
        <v>5</v>
      </c>
      <c r="I33" s="13" t="n">
        <f aca="false">$C$9*H33/60</f>
        <v>6.25</v>
      </c>
      <c r="J33" s="13" t="n">
        <f aca="false">$C$10</f>
        <v>7.15</v>
      </c>
      <c r="K33" s="21" t="n">
        <f aca="false">E33+F33+G33+I33+J33</f>
        <v>33.2107142857143</v>
      </c>
      <c r="L33" s="22" t="n">
        <f aca="false">$C$11</f>
        <v>0.12</v>
      </c>
      <c r="M33" s="21" t="n">
        <f aca="false">IFERROR(K33/(1-L33),0)</f>
        <v>37.739448051948</v>
      </c>
      <c r="N33" s="23" t="n">
        <f aca="false">IFERROR(CEILING(M33/(1-$C$5),5),0)</f>
        <v>80</v>
      </c>
      <c r="O33" s="13" t="n">
        <f aca="false">N33-M33</f>
        <v>42.260551948052</v>
      </c>
      <c r="P33" s="23" t="n">
        <f aca="false">IFERROR(CEILING(M33/(1-$C$6),5),0)</f>
        <v>70</v>
      </c>
      <c r="Q33" s="13" t="n">
        <f aca="false">P33-M33</f>
        <v>32.260551948052</v>
      </c>
      <c r="R33" s="23" t="n">
        <f aca="false">IFERROR(CEILING(M33/(1-$C$7),5),0)</f>
        <v>85</v>
      </c>
      <c r="S33" s="13" t="n">
        <f aca="false">R33-M33</f>
        <v>47.260551948052</v>
      </c>
      <c r="T33" s="23" t="n">
        <f aca="false">IFERROR(CEILING(M33/(1-$C$8),5),0)</f>
        <v>55</v>
      </c>
      <c r="U33" s="13" t="n">
        <f aca="false">T33-M33</f>
        <v>17.260551948052</v>
      </c>
      <c r="V33" s="22" t="n">
        <f aca="false">IFERROR(O33/N33,0)</f>
        <v>0.52825689935065</v>
      </c>
    </row>
    <row r="34" customFormat="false" ht="15" hidden="false" customHeight="false" outlineLevel="0" collapsed="false">
      <c r="A34" s="7" t="n">
        <v>21</v>
      </c>
      <c r="B34" s="7" t="s">
        <v>313</v>
      </c>
      <c r="C34" s="19" t="n">
        <v>12</v>
      </c>
      <c r="D34" s="13" t="n">
        <f aca="false">SUMIFS('2. Recetas'!$G$5:$G$502,'2. Recetas'!$A$5:$A$502,$A34)</f>
        <v>185.625</v>
      </c>
      <c r="E34" s="13" t="n">
        <f aca="false">IFERROR(D34/C34,0)</f>
        <v>15.46875</v>
      </c>
      <c r="F34" s="20" t="n">
        <v>5</v>
      </c>
      <c r="G34" s="20" t="n">
        <v>3</v>
      </c>
      <c r="H34" s="19" t="n">
        <v>5</v>
      </c>
      <c r="I34" s="13" t="n">
        <f aca="false">$C$9*H34/60</f>
        <v>6.25</v>
      </c>
      <c r="J34" s="13" t="n">
        <f aca="false">$C$10</f>
        <v>7.15</v>
      </c>
      <c r="K34" s="21" t="n">
        <f aca="false">E34+F34+G34+I34+J34</f>
        <v>36.86875</v>
      </c>
      <c r="L34" s="22" t="n">
        <f aca="false">$C$11</f>
        <v>0.12</v>
      </c>
      <c r="M34" s="21" t="n">
        <f aca="false">IFERROR(K34/(1-L34),0)</f>
        <v>41.8963068181818</v>
      </c>
      <c r="N34" s="23" t="n">
        <f aca="false">IFERROR(CEILING(M34/(1-$C$5),5),0)</f>
        <v>85</v>
      </c>
      <c r="O34" s="13" t="n">
        <f aca="false">N34-M34</f>
        <v>43.1036931818182</v>
      </c>
      <c r="P34" s="23" t="n">
        <f aca="false">IFERROR(CEILING(M34/(1-$C$6),5),0)</f>
        <v>75</v>
      </c>
      <c r="Q34" s="13" t="n">
        <f aca="false">P34-M34</f>
        <v>33.1036931818182</v>
      </c>
      <c r="R34" s="23" t="n">
        <f aca="false">IFERROR(CEILING(M34/(1-$C$7),5),0)</f>
        <v>95</v>
      </c>
      <c r="S34" s="13" t="n">
        <f aca="false">R34-M34</f>
        <v>53.1036931818182</v>
      </c>
      <c r="T34" s="23" t="n">
        <f aca="false">IFERROR(CEILING(M34/(1-$C$8),5),0)</f>
        <v>60</v>
      </c>
      <c r="U34" s="13" t="n">
        <f aca="false">T34-M34</f>
        <v>18.1036931818182</v>
      </c>
      <c r="V34" s="22" t="n">
        <f aca="false">IFERROR(O34/N34,0)</f>
        <v>0.507102272727273</v>
      </c>
    </row>
    <row r="35" customFormat="false" ht="15" hidden="false" customHeight="false" outlineLevel="0" collapsed="false">
      <c r="A35" s="7" t="n">
        <v>22</v>
      </c>
      <c r="B35" s="7" t="s">
        <v>319</v>
      </c>
      <c r="C35" s="19" t="n">
        <v>12</v>
      </c>
      <c r="D35" s="13" t="n">
        <f aca="false">SUMIFS('2. Recetas'!$G$5:$G$502,'2. Recetas'!$A$5:$A$502,$A35)</f>
        <v>193.916666666667</v>
      </c>
      <c r="E35" s="13" t="n">
        <f aca="false">IFERROR(D35/C35,0)</f>
        <v>16.1597222222222</v>
      </c>
      <c r="F35" s="20" t="n">
        <v>5</v>
      </c>
      <c r="G35" s="20" t="n">
        <v>3</v>
      </c>
      <c r="H35" s="19" t="n">
        <v>5</v>
      </c>
      <c r="I35" s="13" t="n">
        <f aca="false">$C$9*H35/60</f>
        <v>6.25</v>
      </c>
      <c r="J35" s="13" t="n">
        <f aca="false">$C$10</f>
        <v>7.15</v>
      </c>
      <c r="K35" s="21" t="n">
        <f aca="false">E35+F35+G35+I35+J35</f>
        <v>37.5597222222222</v>
      </c>
      <c r="L35" s="22" t="n">
        <f aca="false">$C$11</f>
        <v>0.12</v>
      </c>
      <c r="M35" s="21" t="n">
        <f aca="false">IFERROR(K35/(1-L35),0)</f>
        <v>42.6815025252525</v>
      </c>
      <c r="N35" s="23" t="n">
        <f aca="false">IFERROR(CEILING(M35/(1-$C$5),5),0)</f>
        <v>90</v>
      </c>
      <c r="O35" s="13" t="n">
        <f aca="false">N35-M35</f>
        <v>47.3184974747475</v>
      </c>
      <c r="P35" s="23" t="n">
        <f aca="false">IFERROR(CEILING(M35/(1-$C$6),5),0)</f>
        <v>75</v>
      </c>
      <c r="Q35" s="13" t="n">
        <f aca="false">P35-M35</f>
        <v>32.3184974747475</v>
      </c>
      <c r="R35" s="23" t="n">
        <f aca="false">IFERROR(CEILING(M35/(1-$C$7),5),0)</f>
        <v>95</v>
      </c>
      <c r="S35" s="13" t="n">
        <f aca="false">R35-M35</f>
        <v>52.3184974747475</v>
      </c>
      <c r="T35" s="23" t="n">
        <f aca="false">IFERROR(CEILING(M35/(1-$C$8),5),0)</f>
        <v>65</v>
      </c>
      <c r="U35" s="13" t="n">
        <f aca="false">T35-M35</f>
        <v>22.3184974747475</v>
      </c>
      <c r="V35" s="22" t="n">
        <f aca="false">IFERROR(O35/N35,0)</f>
        <v>0.52576108305275</v>
      </c>
    </row>
    <row r="36" customFormat="false" ht="15" hidden="false" customHeight="false" outlineLevel="0" collapsed="false">
      <c r="A36" s="7" t="n">
        <v>23</v>
      </c>
      <c r="B36" s="7" t="s">
        <v>325</v>
      </c>
      <c r="C36" s="19" t="n">
        <v>12</v>
      </c>
      <c r="D36" s="13" t="n">
        <f aca="false">SUMIFS('2. Recetas'!$G$5:$G$502,'2. Recetas'!$A$5:$A$502,$A36)</f>
        <v>284.23</v>
      </c>
      <c r="E36" s="13" t="n">
        <f aca="false">IFERROR(D36/C36,0)</f>
        <v>23.6858333333333</v>
      </c>
      <c r="F36" s="20" t="n">
        <v>5</v>
      </c>
      <c r="G36" s="20" t="n">
        <v>3</v>
      </c>
      <c r="H36" s="19" t="n">
        <v>5</v>
      </c>
      <c r="I36" s="13" t="n">
        <f aca="false">$C$9*H36/60</f>
        <v>6.25</v>
      </c>
      <c r="J36" s="13" t="n">
        <f aca="false">$C$10</f>
        <v>7.15</v>
      </c>
      <c r="K36" s="21" t="n">
        <f aca="false">E36+F36+G36+I36+J36</f>
        <v>45.0858333333333</v>
      </c>
      <c r="L36" s="22" t="n">
        <f aca="false">$C$11</f>
        <v>0.12</v>
      </c>
      <c r="M36" s="21" t="n">
        <f aca="false">IFERROR(K36/(1-L36),0)</f>
        <v>51.2339015151515</v>
      </c>
      <c r="N36" s="23" t="n">
        <f aca="false">IFERROR(CEILING(M36/(1-$C$5),5),0)</f>
        <v>105</v>
      </c>
      <c r="O36" s="13" t="n">
        <f aca="false">N36-M36</f>
        <v>53.7660984848485</v>
      </c>
      <c r="P36" s="23" t="n">
        <f aca="false">IFERROR(CEILING(M36/(1-$C$6),5),0)</f>
        <v>90</v>
      </c>
      <c r="Q36" s="13" t="n">
        <f aca="false">P36-M36</f>
        <v>38.7660984848485</v>
      </c>
      <c r="R36" s="23" t="n">
        <f aca="false">IFERROR(CEILING(M36/(1-$C$7),5),0)</f>
        <v>115</v>
      </c>
      <c r="S36" s="13" t="n">
        <f aca="false">R36-M36</f>
        <v>63.7660984848485</v>
      </c>
      <c r="T36" s="23" t="n">
        <f aca="false">IFERROR(CEILING(M36/(1-$C$8),5),0)</f>
        <v>75</v>
      </c>
      <c r="U36" s="13" t="n">
        <f aca="false">T36-M36</f>
        <v>23.7660984848485</v>
      </c>
      <c r="V36" s="22" t="n">
        <f aca="false">IFERROR(O36/N36,0)</f>
        <v>0.512058080808081</v>
      </c>
    </row>
    <row r="37" customFormat="false" ht="15" hidden="false" customHeight="false" outlineLevel="0" collapsed="false">
      <c r="A37" s="7" t="n">
        <v>24</v>
      </c>
      <c r="B37" s="7" t="s">
        <v>332</v>
      </c>
      <c r="C37" s="19" t="n">
        <v>12</v>
      </c>
      <c r="D37" s="13" t="n">
        <f aca="false">SUMIFS('2. Recetas'!$G$5:$G$502,'2. Recetas'!$A$5:$A$502,$A37)</f>
        <v>159.5</v>
      </c>
      <c r="E37" s="13" t="n">
        <f aca="false">IFERROR(D37/C37,0)</f>
        <v>13.2916666666667</v>
      </c>
      <c r="F37" s="20" t="n">
        <v>5</v>
      </c>
      <c r="G37" s="20" t="n">
        <v>3</v>
      </c>
      <c r="H37" s="19" t="n">
        <v>5</v>
      </c>
      <c r="I37" s="13" t="n">
        <f aca="false">$C$9*H37/60</f>
        <v>6.25</v>
      </c>
      <c r="J37" s="13" t="n">
        <f aca="false">$C$10</f>
        <v>7.15</v>
      </c>
      <c r="K37" s="21" t="n">
        <f aca="false">E37+F37+G37+I37+J37</f>
        <v>34.6916666666667</v>
      </c>
      <c r="L37" s="22" t="n">
        <f aca="false">$C$11</f>
        <v>0.12</v>
      </c>
      <c r="M37" s="21" t="n">
        <f aca="false">IFERROR(K37/(1-L37),0)</f>
        <v>39.4223484848485</v>
      </c>
      <c r="N37" s="23" t="n">
        <f aca="false">IFERROR(CEILING(M37/(1-$C$5),5),0)</f>
        <v>80</v>
      </c>
      <c r="O37" s="13" t="n">
        <f aca="false">N37-M37</f>
        <v>40.5776515151515</v>
      </c>
      <c r="P37" s="23" t="n">
        <f aca="false">IFERROR(CEILING(M37/(1-$C$6),5),0)</f>
        <v>70</v>
      </c>
      <c r="Q37" s="13" t="n">
        <f aca="false">P37-M37</f>
        <v>30.5776515151515</v>
      </c>
      <c r="R37" s="23" t="n">
        <f aca="false">IFERROR(CEILING(M37/(1-$C$7),5),0)</f>
        <v>90</v>
      </c>
      <c r="S37" s="13" t="n">
        <f aca="false">R37-M37</f>
        <v>50.5776515151515</v>
      </c>
      <c r="T37" s="23" t="n">
        <f aca="false">IFERROR(CEILING(M37/(1-$C$8),5),0)</f>
        <v>60</v>
      </c>
      <c r="U37" s="13" t="n">
        <f aca="false">T37-M37</f>
        <v>20.5776515151515</v>
      </c>
      <c r="V37" s="22" t="n">
        <f aca="false">IFERROR(O37/N37,0)</f>
        <v>0.507220643939394</v>
      </c>
    </row>
    <row r="38" customFormat="false" ht="15" hidden="false" customHeight="false" outlineLevel="0" collapsed="false">
      <c r="A38" s="7" t="n">
        <v>25</v>
      </c>
      <c r="B38" s="7" t="s">
        <v>339</v>
      </c>
      <c r="C38" s="19" t="n">
        <v>12</v>
      </c>
      <c r="D38" s="13" t="n">
        <f aca="false">SUMIFS('2. Recetas'!$G$5:$G$502,'2. Recetas'!$A$5:$A$502,$A38)</f>
        <v>165.075</v>
      </c>
      <c r="E38" s="13" t="n">
        <f aca="false">IFERROR(D38/C38,0)</f>
        <v>13.75625</v>
      </c>
      <c r="F38" s="20" t="n">
        <v>5</v>
      </c>
      <c r="G38" s="20" t="n">
        <v>3</v>
      </c>
      <c r="H38" s="19" t="n">
        <v>5</v>
      </c>
      <c r="I38" s="13" t="n">
        <f aca="false">$C$9*H38/60</f>
        <v>6.25</v>
      </c>
      <c r="J38" s="13" t="n">
        <f aca="false">$C$10</f>
        <v>7.15</v>
      </c>
      <c r="K38" s="21" t="n">
        <f aca="false">E38+F38+G38+I38+J38</f>
        <v>35.15625</v>
      </c>
      <c r="L38" s="22" t="n">
        <f aca="false">$C$11</f>
        <v>0.12</v>
      </c>
      <c r="M38" s="21" t="n">
        <f aca="false">IFERROR(K38/(1-L38),0)</f>
        <v>39.9502840909091</v>
      </c>
      <c r="N38" s="23" t="n">
        <f aca="false">IFERROR(CEILING(M38/(1-$C$5),5),0)</f>
        <v>80</v>
      </c>
      <c r="O38" s="13" t="n">
        <f aca="false">N38-M38</f>
        <v>40.0497159090909</v>
      </c>
      <c r="P38" s="23" t="n">
        <f aca="false">IFERROR(CEILING(M38/(1-$C$6),5),0)</f>
        <v>70</v>
      </c>
      <c r="Q38" s="13" t="n">
        <f aca="false">P38-M38</f>
        <v>30.0497159090909</v>
      </c>
      <c r="R38" s="23" t="n">
        <f aca="false">IFERROR(CEILING(M38/(1-$C$7),5),0)</f>
        <v>90</v>
      </c>
      <c r="S38" s="13" t="n">
        <f aca="false">R38-M38</f>
        <v>50.0497159090909</v>
      </c>
      <c r="T38" s="23" t="n">
        <f aca="false">IFERROR(CEILING(M38/(1-$C$8),5),0)</f>
        <v>60</v>
      </c>
      <c r="U38" s="13" t="n">
        <f aca="false">T38-M38</f>
        <v>20.0497159090909</v>
      </c>
      <c r="V38" s="22" t="n">
        <f aca="false">IFERROR(O38/N38,0)</f>
        <v>0.500621448863636</v>
      </c>
    </row>
    <row r="39" customFormat="false" ht="15" hidden="false" customHeight="false" outlineLevel="0" collapsed="false">
      <c r="A39" s="7" t="n">
        <v>26</v>
      </c>
      <c r="B39" s="7" t="s">
        <v>345</v>
      </c>
      <c r="C39" s="19" t="n">
        <v>14</v>
      </c>
      <c r="D39" s="13" t="n">
        <f aca="false">SUMIFS('2. Recetas'!$G$5:$G$502,'2. Recetas'!$A$5:$A$502,$A39)</f>
        <v>252.8875</v>
      </c>
      <c r="E39" s="13" t="n">
        <f aca="false">IFERROR(D39/C39,0)</f>
        <v>18.0633928571429</v>
      </c>
      <c r="F39" s="20" t="n">
        <v>5</v>
      </c>
      <c r="G39" s="20" t="n">
        <v>3</v>
      </c>
      <c r="H39" s="19" t="n">
        <v>5</v>
      </c>
      <c r="I39" s="13" t="n">
        <f aca="false">$C$9*H39/60</f>
        <v>6.25</v>
      </c>
      <c r="J39" s="13" t="n">
        <f aca="false">$C$10</f>
        <v>7.15</v>
      </c>
      <c r="K39" s="21" t="n">
        <f aca="false">E39+F39+G39+I39+J39</f>
        <v>39.4633928571429</v>
      </c>
      <c r="L39" s="22" t="n">
        <f aca="false">$C$11</f>
        <v>0.12</v>
      </c>
      <c r="M39" s="21" t="n">
        <f aca="false">IFERROR(K39/(1-L39),0)</f>
        <v>44.8447646103896</v>
      </c>
      <c r="N39" s="23" t="n">
        <f aca="false">IFERROR(CEILING(M39/(1-$C$5),5),0)</f>
        <v>90</v>
      </c>
      <c r="O39" s="13" t="n">
        <f aca="false">N39-M39</f>
        <v>45.1552353896104</v>
      </c>
      <c r="P39" s="23" t="n">
        <f aca="false">IFERROR(CEILING(M39/(1-$C$6),5),0)</f>
        <v>80</v>
      </c>
      <c r="Q39" s="13" t="n">
        <f aca="false">P39-M39</f>
        <v>35.1552353896104</v>
      </c>
      <c r="R39" s="23" t="n">
        <f aca="false">IFERROR(CEILING(M39/(1-$C$7),5),0)</f>
        <v>100</v>
      </c>
      <c r="S39" s="13" t="n">
        <f aca="false">R39-M39</f>
        <v>55.1552353896104</v>
      </c>
      <c r="T39" s="23" t="n">
        <f aca="false">IFERROR(CEILING(M39/(1-$C$8),5),0)</f>
        <v>65</v>
      </c>
      <c r="U39" s="13" t="n">
        <f aca="false">T39-M39</f>
        <v>20.1552353896104</v>
      </c>
      <c r="V39" s="22" t="n">
        <f aca="false">IFERROR(O39/N39,0)</f>
        <v>0.501724837662338</v>
      </c>
    </row>
    <row r="40" customFormat="false" ht="15" hidden="false" customHeight="false" outlineLevel="0" collapsed="false">
      <c r="A40" s="7" t="n">
        <v>27</v>
      </c>
      <c r="B40" s="7" t="s">
        <v>351</v>
      </c>
      <c r="C40" s="19" t="n">
        <v>14</v>
      </c>
      <c r="D40" s="13" t="n">
        <f aca="false">SUMIFS('2. Recetas'!$G$5:$G$502,'2. Recetas'!$A$5:$A$502,$A40)</f>
        <v>344.475</v>
      </c>
      <c r="E40" s="13" t="n">
        <f aca="false">IFERROR(D40/C40,0)</f>
        <v>24.6053571428571</v>
      </c>
      <c r="F40" s="20" t="n">
        <v>5</v>
      </c>
      <c r="G40" s="20" t="n">
        <v>3</v>
      </c>
      <c r="H40" s="19" t="n">
        <v>5</v>
      </c>
      <c r="I40" s="13" t="n">
        <f aca="false">$C$9*H40/60</f>
        <v>6.25</v>
      </c>
      <c r="J40" s="13" t="n">
        <f aca="false">$C$10</f>
        <v>7.15</v>
      </c>
      <c r="K40" s="21" t="n">
        <f aca="false">E40+F40+G40+I40+J40</f>
        <v>46.0053571428571</v>
      </c>
      <c r="L40" s="22" t="n">
        <f aca="false">$C$11</f>
        <v>0.12</v>
      </c>
      <c r="M40" s="21" t="n">
        <f aca="false">IFERROR(K40/(1-L40),0)</f>
        <v>52.2788149350649</v>
      </c>
      <c r="N40" s="23" t="n">
        <f aca="false">IFERROR(CEILING(M40/(1-$C$5),5),0)</f>
        <v>105</v>
      </c>
      <c r="O40" s="13" t="n">
        <f aca="false">N40-M40</f>
        <v>52.7211850649351</v>
      </c>
      <c r="P40" s="23" t="n">
        <f aca="false">IFERROR(CEILING(M40/(1-$C$6),5),0)</f>
        <v>95</v>
      </c>
      <c r="Q40" s="13" t="n">
        <f aca="false">P40-M40</f>
        <v>42.7211850649351</v>
      </c>
      <c r="R40" s="23" t="n">
        <f aca="false">IFERROR(CEILING(M40/(1-$C$7),5),0)</f>
        <v>120</v>
      </c>
      <c r="S40" s="13" t="n">
        <f aca="false">R40-M40</f>
        <v>67.7211850649351</v>
      </c>
      <c r="T40" s="23" t="n">
        <f aca="false">IFERROR(CEILING(M40/(1-$C$8),5),0)</f>
        <v>75</v>
      </c>
      <c r="U40" s="13" t="n">
        <f aca="false">T40-M40</f>
        <v>22.7211850649351</v>
      </c>
      <c r="V40" s="22" t="n">
        <f aca="false">IFERROR(O40/N40,0)</f>
        <v>0.502106524427953</v>
      </c>
    </row>
    <row r="41" customFormat="false" ht="15" hidden="false" customHeight="false" outlineLevel="0" collapsed="false">
      <c r="A41" s="7" t="n">
        <v>28</v>
      </c>
      <c r="B41" s="7" t="s">
        <v>356</v>
      </c>
      <c r="C41" s="19" t="n">
        <v>15</v>
      </c>
      <c r="D41" s="13" t="n">
        <f aca="false">SUMIFS('2. Recetas'!$G$5:$G$502,'2. Recetas'!$A$5:$A$502,$A41)</f>
        <v>197.025</v>
      </c>
      <c r="E41" s="13" t="n">
        <f aca="false">IFERROR(D41/C41,0)</f>
        <v>13.135</v>
      </c>
      <c r="F41" s="20" t="n">
        <v>5</v>
      </c>
      <c r="G41" s="20" t="n">
        <v>3</v>
      </c>
      <c r="H41" s="19" t="n">
        <v>5</v>
      </c>
      <c r="I41" s="13" t="n">
        <f aca="false">$C$9*H41/60</f>
        <v>6.25</v>
      </c>
      <c r="J41" s="13" t="n">
        <f aca="false">$C$10</f>
        <v>7.15</v>
      </c>
      <c r="K41" s="21" t="n">
        <f aca="false">E41+F41+G41+I41+J41</f>
        <v>34.535</v>
      </c>
      <c r="L41" s="22" t="n">
        <f aca="false">$C$11</f>
        <v>0.12</v>
      </c>
      <c r="M41" s="21" t="n">
        <f aca="false">IFERROR(K41/(1-L41),0)</f>
        <v>39.2443181818182</v>
      </c>
      <c r="N41" s="23" t="n">
        <f aca="false">IFERROR(CEILING(M41/(1-$C$5),5),0)</f>
        <v>80</v>
      </c>
      <c r="O41" s="13" t="n">
        <f aca="false">N41-M41</f>
        <v>40.7556818181818</v>
      </c>
      <c r="P41" s="23" t="n">
        <f aca="false">IFERROR(CEILING(M41/(1-$C$6),5),0)</f>
        <v>70</v>
      </c>
      <c r="Q41" s="13" t="n">
        <f aca="false">P41-M41</f>
        <v>30.7556818181818</v>
      </c>
      <c r="R41" s="23" t="n">
        <f aca="false">IFERROR(CEILING(M41/(1-$C$7),5),0)</f>
        <v>90</v>
      </c>
      <c r="S41" s="13" t="n">
        <f aca="false">R41-M41</f>
        <v>50.7556818181818</v>
      </c>
      <c r="T41" s="23" t="n">
        <f aca="false">IFERROR(CEILING(M41/(1-$C$8),5),0)</f>
        <v>60</v>
      </c>
      <c r="U41" s="13" t="n">
        <f aca="false">T41-M41</f>
        <v>20.7556818181818</v>
      </c>
      <c r="V41" s="22" t="n">
        <f aca="false">IFERROR(O41/N41,0)</f>
        <v>0.509446022727273</v>
      </c>
    </row>
    <row r="42" customFormat="false" ht="15" hidden="false" customHeight="false" outlineLevel="0" collapsed="false">
      <c r="A42" s="7" t="n">
        <v>29</v>
      </c>
      <c r="B42" s="7" t="s">
        <v>362</v>
      </c>
      <c r="C42" s="19" t="n">
        <v>15</v>
      </c>
      <c r="D42" s="13" t="n">
        <f aca="false">SUMIFS('2. Recetas'!$G$5:$G$502,'2. Recetas'!$A$5:$A$502,$A42)</f>
        <v>256.876666666667</v>
      </c>
      <c r="E42" s="13" t="n">
        <f aca="false">IFERROR(D42/C42,0)</f>
        <v>17.1251111111111</v>
      </c>
      <c r="F42" s="20" t="n">
        <v>5</v>
      </c>
      <c r="G42" s="20" t="n">
        <v>3</v>
      </c>
      <c r="H42" s="19" t="n">
        <v>5</v>
      </c>
      <c r="I42" s="13" t="n">
        <f aca="false">$C$9*H42/60</f>
        <v>6.25</v>
      </c>
      <c r="J42" s="13" t="n">
        <f aca="false">$C$10</f>
        <v>7.15</v>
      </c>
      <c r="K42" s="21" t="n">
        <f aca="false">E42+F42+G42+I42+J42</f>
        <v>38.5251111111111</v>
      </c>
      <c r="L42" s="22" t="n">
        <f aca="false">$C$11</f>
        <v>0.12</v>
      </c>
      <c r="M42" s="21" t="n">
        <f aca="false">IFERROR(K42/(1-L42),0)</f>
        <v>43.7785353535354</v>
      </c>
      <c r="N42" s="23" t="n">
        <f aca="false">IFERROR(CEILING(M42/(1-$C$5),5),0)</f>
        <v>90</v>
      </c>
      <c r="O42" s="13" t="n">
        <f aca="false">N42-M42</f>
        <v>46.2214646464646</v>
      </c>
      <c r="P42" s="23" t="n">
        <f aca="false">IFERROR(CEILING(M42/(1-$C$6),5),0)</f>
        <v>80</v>
      </c>
      <c r="Q42" s="13" t="n">
        <f aca="false">P42-M42</f>
        <v>36.2214646464646</v>
      </c>
      <c r="R42" s="23" t="n">
        <f aca="false">IFERROR(CEILING(M42/(1-$C$7),5),0)</f>
        <v>100</v>
      </c>
      <c r="S42" s="13" t="n">
        <f aca="false">R42-M42</f>
        <v>56.2214646464646</v>
      </c>
      <c r="T42" s="23" t="n">
        <f aca="false">IFERROR(CEILING(M42/(1-$C$8),5),0)</f>
        <v>65</v>
      </c>
      <c r="U42" s="13" t="n">
        <f aca="false">T42-M42</f>
        <v>21.2214646464646</v>
      </c>
      <c r="V42" s="22" t="n">
        <f aca="false">IFERROR(O42/N42,0)</f>
        <v>0.513571829405163</v>
      </c>
    </row>
    <row r="43" customFormat="false" ht="15" hidden="false" customHeight="false" outlineLevel="0" collapsed="false">
      <c r="A43" s="7" t="n">
        <v>30</v>
      </c>
      <c r="B43" s="7" t="s">
        <v>368</v>
      </c>
      <c r="C43" s="19" t="n">
        <v>12</v>
      </c>
      <c r="D43" s="13" t="n">
        <f aca="false">SUMIFS('2. Recetas'!$G$5:$G$502,'2. Recetas'!$A$5:$A$502,$A43)</f>
        <v>188.66</v>
      </c>
      <c r="E43" s="13" t="n">
        <f aca="false">IFERROR(D43/C43,0)</f>
        <v>15.7216666666667</v>
      </c>
      <c r="F43" s="20" t="n">
        <v>5</v>
      </c>
      <c r="G43" s="20" t="n">
        <v>3</v>
      </c>
      <c r="H43" s="19" t="n">
        <v>5</v>
      </c>
      <c r="I43" s="13" t="n">
        <f aca="false">$C$9*H43/60</f>
        <v>6.25</v>
      </c>
      <c r="J43" s="13" t="n">
        <f aca="false">$C$10</f>
        <v>7.15</v>
      </c>
      <c r="K43" s="21" t="n">
        <f aca="false">E43+F43+G43+I43+J43</f>
        <v>37.1216666666667</v>
      </c>
      <c r="L43" s="22" t="n">
        <f aca="false">$C$11</f>
        <v>0.12</v>
      </c>
      <c r="M43" s="21" t="n">
        <f aca="false">IFERROR(K43/(1-L43),0)</f>
        <v>42.1837121212121</v>
      </c>
      <c r="N43" s="23" t="n">
        <f aca="false">IFERROR(CEILING(M43/(1-$C$5),5),0)</f>
        <v>85</v>
      </c>
      <c r="O43" s="13" t="n">
        <f aca="false">N43-M43</f>
        <v>42.8162878787879</v>
      </c>
      <c r="P43" s="23" t="n">
        <f aca="false">IFERROR(CEILING(M43/(1-$C$6),5),0)</f>
        <v>75</v>
      </c>
      <c r="Q43" s="13" t="n">
        <f aca="false">P43-M43</f>
        <v>32.8162878787879</v>
      </c>
      <c r="R43" s="23" t="n">
        <f aca="false">IFERROR(CEILING(M43/(1-$C$7),5),0)</f>
        <v>95</v>
      </c>
      <c r="S43" s="13" t="n">
        <f aca="false">R43-M43</f>
        <v>52.8162878787879</v>
      </c>
      <c r="T43" s="23" t="n">
        <f aca="false">IFERROR(CEILING(M43/(1-$C$8),5),0)</f>
        <v>65</v>
      </c>
      <c r="U43" s="13" t="n">
        <f aca="false">T43-M43</f>
        <v>22.8162878787879</v>
      </c>
      <c r="V43" s="22" t="n">
        <f aca="false">IFERROR(O43/N43,0)</f>
        <v>0.503721033868093</v>
      </c>
    </row>
    <row r="44" customFormat="false" ht="15" hidden="false" customHeight="false" outlineLevel="0" collapsed="false">
      <c r="A44" s="7" t="n">
        <v>31</v>
      </c>
      <c r="B44" s="7" t="s">
        <v>374</v>
      </c>
      <c r="C44" s="19" t="n">
        <v>14</v>
      </c>
      <c r="D44" s="13" t="n">
        <f aca="false">SUMIFS('2. Recetas'!$G$5:$G$502,'2. Recetas'!$A$5:$A$502,$A44)</f>
        <v>194.64</v>
      </c>
      <c r="E44" s="13" t="n">
        <f aca="false">IFERROR(D44/C44,0)</f>
        <v>13.9028571428571</v>
      </c>
      <c r="F44" s="20" t="n">
        <v>5</v>
      </c>
      <c r="G44" s="20" t="n">
        <v>3</v>
      </c>
      <c r="H44" s="19" t="n">
        <v>5</v>
      </c>
      <c r="I44" s="13" t="n">
        <f aca="false">$C$9*H44/60</f>
        <v>6.25</v>
      </c>
      <c r="J44" s="13" t="n">
        <f aca="false">$C$10</f>
        <v>7.15</v>
      </c>
      <c r="K44" s="21" t="n">
        <f aca="false">E44+F44+G44+I44+J44</f>
        <v>35.3028571428571</v>
      </c>
      <c r="L44" s="22" t="n">
        <f aca="false">$C$11</f>
        <v>0.12</v>
      </c>
      <c r="M44" s="21" t="n">
        <f aca="false">IFERROR(K44/(1-L44),0)</f>
        <v>40.1168831168831</v>
      </c>
      <c r="N44" s="23" t="n">
        <f aca="false">IFERROR(CEILING(M44/(1-$C$5),5),0)</f>
        <v>85</v>
      </c>
      <c r="O44" s="13" t="n">
        <f aca="false">N44-M44</f>
        <v>44.8831168831169</v>
      </c>
      <c r="P44" s="23" t="n">
        <f aca="false">IFERROR(CEILING(M44/(1-$C$6),5),0)</f>
        <v>70</v>
      </c>
      <c r="Q44" s="13" t="n">
        <f aca="false">P44-M44</f>
        <v>29.8831168831169</v>
      </c>
      <c r="R44" s="23" t="n">
        <f aca="false">IFERROR(CEILING(M44/(1-$C$7),5),0)</f>
        <v>90</v>
      </c>
      <c r="S44" s="13" t="n">
        <f aca="false">R44-M44</f>
        <v>49.8831168831169</v>
      </c>
      <c r="T44" s="23" t="n">
        <f aca="false">IFERROR(CEILING(M44/(1-$C$8),5),0)</f>
        <v>60</v>
      </c>
      <c r="U44" s="13" t="n">
        <f aca="false">T44-M44</f>
        <v>19.8831168831169</v>
      </c>
      <c r="V44" s="22" t="n">
        <f aca="false">IFERROR(O44/N44,0)</f>
        <v>0.52803666921314</v>
      </c>
    </row>
    <row r="45" customFormat="false" ht="15" hidden="false" customHeight="false" outlineLevel="0" collapsed="false">
      <c r="A45" s="7" t="n">
        <v>32</v>
      </c>
      <c r="B45" s="7" t="s">
        <v>379</v>
      </c>
      <c r="C45" s="19" t="n">
        <v>14</v>
      </c>
      <c r="D45" s="13" t="n">
        <f aca="false">SUMIFS('2. Recetas'!$G$5:$G$502,'2. Recetas'!$A$5:$A$502,$A45)</f>
        <v>256.425</v>
      </c>
      <c r="E45" s="13" t="n">
        <f aca="false">IFERROR(D45/C45,0)</f>
        <v>18.3160714285714</v>
      </c>
      <c r="F45" s="20" t="n">
        <v>5</v>
      </c>
      <c r="G45" s="20" t="n">
        <v>3</v>
      </c>
      <c r="H45" s="19" t="n">
        <v>5</v>
      </c>
      <c r="I45" s="13" t="n">
        <f aca="false">$C$9*H45/60</f>
        <v>6.25</v>
      </c>
      <c r="J45" s="13" t="n">
        <f aca="false">$C$10</f>
        <v>7.15</v>
      </c>
      <c r="K45" s="21" t="n">
        <f aca="false">E45+F45+G45+I45+J45</f>
        <v>39.7160714285714</v>
      </c>
      <c r="L45" s="22" t="n">
        <f aca="false">$C$11</f>
        <v>0.12</v>
      </c>
      <c r="M45" s="21" t="n">
        <f aca="false">IFERROR(K45/(1-L45),0)</f>
        <v>45.1318993506494</v>
      </c>
      <c r="N45" s="23" t="n">
        <f aca="false">IFERROR(CEILING(M45/(1-$C$5),5),0)</f>
        <v>95</v>
      </c>
      <c r="O45" s="13" t="n">
        <f aca="false">N45-M45</f>
        <v>49.8681006493506</v>
      </c>
      <c r="P45" s="23" t="n">
        <f aca="false">IFERROR(CEILING(M45/(1-$C$6),5),0)</f>
        <v>80</v>
      </c>
      <c r="Q45" s="13" t="n">
        <f aca="false">P45-M45</f>
        <v>34.8681006493506</v>
      </c>
      <c r="R45" s="23" t="n">
        <f aca="false">IFERROR(CEILING(M45/(1-$C$7),5),0)</f>
        <v>105</v>
      </c>
      <c r="S45" s="13" t="n">
        <f aca="false">R45-M45</f>
        <v>59.8681006493506</v>
      </c>
      <c r="T45" s="23" t="n">
        <f aca="false">IFERROR(CEILING(M45/(1-$C$8),5),0)</f>
        <v>65</v>
      </c>
      <c r="U45" s="13" t="n">
        <f aca="false">T45-M45</f>
        <v>19.8681006493506</v>
      </c>
      <c r="V45" s="22" t="n">
        <f aca="false">IFERROR(O45/N45,0)</f>
        <v>0.524927375256323</v>
      </c>
    </row>
    <row r="46" customFormat="false" ht="15" hidden="false" customHeight="false" outlineLevel="0" collapsed="false">
      <c r="A46" s="7" t="n">
        <v>33</v>
      </c>
      <c r="B46" s="7" t="s">
        <v>385</v>
      </c>
      <c r="C46" s="19" t="n">
        <v>14</v>
      </c>
      <c r="D46" s="13" t="n">
        <f aca="false">SUMIFS('2. Recetas'!$G$5:$G$502,'2. Recetas'!$A$5:$A$502,$A46)</f>
        <v>114.65</v>
      </c>
      <c r="E46" s="13" t="n">
        <f aca="false">IFERROR(D46/C46,0)</f>
        <v>8.18928571428571</v>
      </c>
      <c r="F46" s="20" t="n">
        <v>5</v>
      </c>
      <c r="G46" s="20" t="n">
        <v>3</v>
      </c>
      <c r="H46" s="19" t="n">
        <v>5</v>
      </c>
      <c r="I46" s="13" t="n">
        <f aca="false">$C$9*H46/60</f>
        <v>6.25</v>
      </c>
      <c r="J46" s="13" t="n">
        <f aca="false">$C$10</f>
        <v>7.15</v>
      </c>
      <c r="K46" s="21" t="n">
        <f aca="false">E46+F46+G46+I46+J46</f>
        <v>29.5892857142857</v>
      </c>
      <c r="L46" s="22" t="n">
        <f aca="false">$C$11</f>
        <v>0.12</v>
      </c>
      <c r="M46" s="21" t="n">
        <f aca="false">IFERROR(K46/(1-L46),0)</f>
        <v>33.6241883116883</v>
      </c>
      <c r="N46" s="23" t="n">
        <f aca="false">IFERROR(CEILING(M46/(1-$C$5),5),0)</f>
        <v>70</v>
      </c>
      <c r="O46" s="13" t="n">
        <f aca="false">N46-M46</f>
        <v>36.3758116883117</v>
      </c>
      <c r="P46" s="23" t="n">
        <f aca="false">IFERROR(CEILING(M46/(1-$C$6),5),0)</f>
        <v>60</v>
      </c>
      <c r="Q46" s="13" t="n">
        <f aca="false">P46-M46</f>
        <v>26.3758116883117</v>
      </c>
      <c r="R46" s="23" t="n">
        <f aca="false">IFERROR(CEILING(M46/(1-$C$7),5),0)</f>
        <v>75</v>
      </c>
      <c r="S46" s="13" t="n">
        <f aca="false">R46-M46</f>
        <v>41.3758116883117</v>
      </c>
      <c r="T46" s="23" t="n">
        <f aca="false">IFERROR(CEILING(M46/(1-$C$8),5),0)</f>
        <v>50</v>
      </c>
      <c r="U46" s="13" t="n">
        <f aca="false">T46-M46</f>
        <v>16.3758116883117</v>
      </c>
      <c r="V46" s="22" t="n">
        <f aca="false">IFERROR(O46/N46,0)</f>
        <v>0.519654452690167</v>
      </c>
    </row>
    <row r="47" customFormat="false" ht="15" hidden="false" customHeight="false" outlineLevel="0" collapsed="false">
      <c r="A47" s="7" t="n">
        <v>34</v>
      </c>
      <c r="B47" s="7" t="s">
        <v>392</v>
      </c>
      <c r="C47" s="19" t="n">
        <v>14</v>
      </c>
      <c r="D47" s="13" t="n">
        <f aca="false">SUMIFS('2. Recetas'!$G$5:$G$502,'2. Recetas'!$A$5:$A$502,$A47)</f>
        <v>150.758333333333</v>
      </c>
      <c r="E47" s="13" t="n">
        <f aca="false">IFERROR(D47/C47,0)</f>
        <v>10.7684523809524</v>
      </c>
      <c r="F47" s="20" t="n">
        <v>5</v>
      </c>
      <c r="G47" s="20" t="n">
        <v>3</v>
      </c>
      <c r="H47" s="19" t="n">
        <v>5</v>
      </c>
      <c r="I47" s="13" t="n">
        <f aca="false">$C$9*H47/60</f>
        <v>6.25</v>
      </c>
      <c r="J47" s="13" t="n">
        <f aca="false">$C$10</f>
        <v>7.15</v>
      </c>
      <c r="K47" s="21" t="n">
        <f aca="false">E47+F47+G47+I47+J47</f>
        <v>32.1684523809524</v>
      </c>
      <c r="L47" s="22" t="n">
        <f aca="false">$C$11</f>
        <v>0.12</v>
      </c>
      <c r="M47" s="21" t="n">
        <f aca="false">IFERROR(K47/(1-L47),0)</f>
        <v>36.5550595238095</v>
      </c>
      <c r="N47" s="23" t="n">
        <f aca="false">IFERROR(CEILING(M47/(1-$C$5),5),0)</f>
        <v>75</v>
      </c>
      <c r="O47" s="13" t="n">
        <f aca="false">N47-M47</f>
        <v>38.4449404761905</v>
      </c>
      <c r="P47" s="23" t="n">
        <f aca="false">IFERROR(CEILING(M47/(1-$C$6),5),0)</f>
        <v>65</v>
      </c>
      <c r="Q47" s="13" t="n">
        <f aca="false">P47-M47</f>
        <v>28.4449404761905</v>
      </c>
      <c r="R47" s="23" t="n">
        <f aca="false">IFERROR(CEILING(M47/(1-$C$7),5),0)</f>
        <v>85</v>
      </c>
      <c r="S47" s="13" t="n">
        <f aca="false">R47-M47</f>
        <v>48.4449404761905</v>
      </c>
      <c r="T47" s="23" t="n">
        <f aca="false">IFERROR(CEILING(M47/(1-$C$8),5),0)</f>
        <v>55</v>
      </c>
      <c r="U47" s="13" t="n">
        <f aca="false">T47-M47</f>
        <v>18.4449404761905</v>
      </c>
      <c r="V47" s="22" t="n">
        <f aca="false">IFERROR(O47/N47,0)</f>
        <v>0.512599206349206</v>
      </c>
    </row>
    <row r="48" customFormat="false" ht="15" hidden="false" customHeight="false" outlineLevel="0" collapsed="false">
      <c r="A48" s="7" t="n">
        <v>35</v>
      </c>
      <c r="B48" s="7" t="s">
        <v>398</v>
      </c>
      <c r="C48" s="19" t="n">
        <v>12</v>
      </c>
      <c r="D48" s="13" t="n">
        <f aca="false">SUMIFS('2. Recetas'!$G$5:$G$502,'2. Recetas'!$A$5:$A$502,$A48)</f>
        <v>104.9</v>
      </c>
      <c r="E48" s="13" t="n">
        <f aca="false">IFERROR(D48/C48,0)</f>
        <v>8.74166666666667</v>
      </c>
      <c r="F48" s="20" t="n">
        <v>5</v>
      </c>
      <c r="G48" s="20" t="n">
        <v>3</v>
      </c>
      <c r="H48" s="19" t="n">
        <v>5</v>
      </c>
      <c r="I48" s="13" t="n">
        <f aca="false">$C$9*H48/60</f>
        <v>6.25</v>
      </c>
      <c r="J48" s="13" t="n">
        <f aca="false">$C$10</f>
        <v>7.15</v>
      </c>
      <c r="K48" s="21" t="n">
        <f aca="false">E48+F48+G48+I48+J48</f>
        <v>30.1416666666667</v>
      </c>
      <c r="L48" s="22" t="n">
        <f aca="false">$C$11</f>
        <v>0.12</v>
      </c>
      <c r="M48" s="21" t="n">
        <f aca="false">IFERROR(K48/(1-L48),0)</f>
        <v>34.2518939393939</v>
      </c>
      <c r="N48" s="23" t="n">
        <f aca="false">IFERROR(CEILING(M48/(1-$C$5),5),0)</f>
        <v>70</v>
      </c>
      <c r="O48" s="13" t="n">
        <f aca="false">N48-M48</f>
        <v>35.7481060606061</v>
      </c>
      <c r="P48" s="23" t="n">
        <f aca="false">IFERROR(CEILING(M48/(1-$C$6),5),0)</f>
        <v>60</v>
      </c>
      <c r="Q48" s="13" t="n">
        <f aca="false">P48-M48</f>
        <v>25.7481060606061</v>
      </c>
      <c r="R48" s="23" t="n">
        <f aca="false">IFERROR(CEILING(M48/(1-$C$7),5),0)</f>
        <v>80</v>
      </c>
      <c r="S48" s="13" t="n">
        <f aca="false">R48-M48</f>
        <v>45.7481060606061</v>
      </c>
      <c r="T48" s="23" t="n">
        <f aca="false">IFERROR(CEILING(M48/(1-$C$8),5),0)</f>
        <v>50</v>
      </c>
      <c r="U48" s="13" t="n">
        <f aca="false">T48-M48</f>
        <v>15.7481060606061</v>
      </c>
      <c r="V48" s="22" t="n">
        <f aca="false">IFERROR(O48/N48,0)</f>
        <v>0.510687229437229</v>
      </c>
    </row>
    <row r="49" customFormat="false" ht="15" hidden="false" customHeight="false" outlineLevel="0" collapsed="false">
      <c r="A49" s="7" t="n">
        <v>36</v>
      </c>
      <c r="B49" s="7" t="s">
        <v>402</v>
      </c>
      <c r="C49" s="19" t="n">
        <v>14</v>
      </c>
      <c r="D49" s="13" t="n">
        <f aca="false">SUMIFS('2. Recetas'!$G$5:$G$502,'2. Recetas'!$A$5:$A$502,$A49)</f>
        <v>131.225</v>
      </c>
      <c r="E49" s="13" t="n">
        <f aca="false">IFERROR(D49/C49,0)</f>
        <v>9.37321428571429</v>
      </c>
      <c r="F49" s="20" t="n">
        <v>5</v>
      </c>
      <c r="G49" s="20" t="n">
        <v>3</v>
      </c>
      <c r="H49" s="19" t="n">
        <v>5</v>
      </c>
      <c r="I49" s="13" t="n">
        <f aca="false">$C$9*H49/60</f>
        <v>6.25</v>
      </c>
      <c r="J49" s="13" t="n">
        <f aca="false">$C$10</f>
        <v>7.15</v>
      </c>
      <c r="K49" s="21" t="n">
        <f aca="false">E49+F49+G49+I49+J49</f>
        <v>30.7732142857143</v>
      </c>
      <c r="L49" s="22" t="n">
        <f aca="false">$C$11</f>
        <v>0.12</v>
      </c>
      <c r="M49" s="21" t="n">
        <f aca="false">IFERROR(K49/(1-L49),0)</f>
        <v>34.9695616883117</v>
      </c>
      <c r="N49" s="23" t="n">
        <f aca="false">IFERROR(CEILING(M49/(1-$C$5),5),0)</f>
        <v>70</v>
      </c>
      <c r="O49" s="13" t="n">
        <f aca="false">N49-M49</f>
        <v>35.0304383116883</v>
      </c>
      <c r="P49" s="23" t="n">
        <f aca="false">IFERROR(CEILING(M49/(1-$C$6),5),0)</f>
        <v>65</v>
      </c>
      <c r="Q49" s="13" t="n">
        <f aca="false">P49-M49</f>
        <v>30.0304383116883</v>
      </c>
      <c r="R49" s="23" t="n">
        <f aca="false">IFERROR(CEILING(M49/(1-$C$7),5),0)</f>
        <v>80</v>
      </c>
      <c r="S49" s="13" t="n">
        <f aca="false">R49-M49</f>
        <v>45.0304383116883</v>
      </c>
      <c r="T49" s="23" t="n">
        <f aca="false">IFERROR(CEILING(M49/(1-$C$8),5),0)</f>
        <v>50</v>
      </c>
      <c r="U49" s="13" t="n">
        <f aca="false">T49-M49</f>
        <v>15.0304383116883</v>
      </c>
      <c r="V49" s="22" t="n">
        <f aca="false">IFERROR(O49/N49,0)</f>
        <v>0.500434833024119</v>
      </c>
    </row>
    <row r="50" customFormat="false" ht="15" hidden="false" customHeight="false" outlineLevel="0" collapsed="false">
      <c r="A50" s="7" t="n">
        <v>37</v>
      </c>
      <c r="B50" s="7" t="s">
        <v>407</v>
      </c>
      <c r="C50" s="19" t="n">
        <v>12</v>
      </c>
      <c r="D50" s="13" t="n">
        <f aca="false">SUMIFS('2. Recetas'!$G$5:$G$502,'2. Recetas'!$A$5:$A$502,$A50)</f>
        <v>286.091666666667</v>
      </c>
      <c r="E50" s="13" t="n">
        <f aca="false">IFERROR(D50/C50,0)</f>
        <v>23.8409722222222</v>
      </c>
      <c r="F50" s="20" t="n">
        <v>5</v>
      </c>
      <c r="G50" s="20" t="n">
        <v>3</v>
      </c>
      <c r="H50" s="19" t="n">
        <v>5</v>
      </c>
      <c r="I50" s="13" t="n">
        <f aca="false">$C$9*H50/60</f>
        <v>6.25</v>
      </c>
      <c r="J50" s="13" t="n">
        <f aca="false">$C$10</f>
        <v>7.15</v>
      </c>
      <c r="K50" s="21" t="n">
        <f aca="false">E50+F50+G50+I50+J50</f>
        <v>45.2409722222222</v>
      </c>
      <c r="L50" s="22" t="n">
        <f aca="false">$C$11</f>
        <v>0.12</v>
      </c>
      <c r="M50" s="21" t="n">
        <f aca="false">IFERROR(K50/(1-L50),0)</f>
        <v>51.4101957070707</v>
      </c>
      <c r="N50" s="23" t="n">
        <f aca="false">IFERROR(CEILING(M50/(1-$C$5),5),0)</f>
        <v>105</v>
      </c>
      <c r="O50" s="13" t="n">
        <f aca="false">N50-M50</f>
        <v>53.5898042929293</v>
      </c>
      <c r="P50" s="23" t="n">
        <f aca="false">IFERROR(CEILING(M50/(1-$C$6),5),0)</f>
        <v>90</v>
      </c>
      <c r="Q50" s="13" t="n">
        <f aca="false">P50-M50</f>
        <v>38.5898042929293</v>
      </c>
      <c r="R50" s="23" t="n">
        <f aca="false">IFERROR(CEILING(M50/(1-$C$7),5),0)</f>
        <v>115</v>
      </c>
      <c r="S50" s="13" t="n">
        <f aca="false">R50-M50</f>
        <v>63.5898042929293</v>
      </c>
      <c r="T50" s="23" t="n">
        <f aca="false">IFERROR(CEILING(M50/(1-$C$8),5),0)</f>
        <v>75</v>
      </c>
      <c r="U50" s="13" t="n">
        <f aca="false">T50-M50</f>
        <v>23.5898042929293</v>
      </c>
      <c r="V50" s="22" t="n">
        <f aca="false">IFERROR(O50/N50,0)</f>
        <v>0.510379088504089</v>
      </c>
    </row>
    <row r="51" customFormat="false" ht="15" hidden="false" customHeight="false" outlineLevel="0" collapsed="false">
      <c r="A51" s="7" t="n">
        <v>38</v>
      </c>
      <c r="B51" s="7" t="s">
        <v>412</v>
      </c>
      <c r="C51" s="19" t="n">
        <v>14</v>
      </c>
      <c r="D51" s="13" t="n">
        <f aca="false">SUMIFS('2. Recetas'!$G$5:$G$502,'2. Recetas'!$A$5:$A$502,$A51)</f>
        <v>154.755</v>
      </c>
      <c r="E51" s="13" t="n">
        <f aca="false">IFERROR(D51/C51,0)</f>
        <v>11.0539285714286</v>
      </c>
      <c r="F51" s="20" t="n">
        <v>5</v>
      </c>
      <c r="G51" s="20" t="n">
        <v>3</v>
      </c>
      <c r="H51" s="19" t="n">
        <v>5</v>
      </c>
      <c r="I51" s="13" t="n">
        <f aca="false">$C$9*H51/60</f>
        <v>6.25</v>
      </c>
      <c r="J51" s="13" t="n">
        <f aca="false">$C$10</f>
        <v>7.15</v>
      </c>
      <c r="K51" s="21" t="n">
        <f aca="false">E51+F51+G51+I51+J51</f>
        <v>32.4539285714286</v>
      </c>
      <c r="L51" s="22" t="n">
        <f aca="false">$C$11</f>
        <v>0.12</v>
      </c>
      <c r="M51" s="21" t="n">
        <f aca="false">IFERROR(K51/(1-L51),0)</f>
        <v>36.8794642857143</v>
      </c>
      <c r="N51" s="23" t="n">
        <f aca="false">IFERROR(CEILING(M51/(1-$C$5),5),0)</f>
        <v>75</v>
      </c>
      <c r="O51" s="13" t="n">
        <f aca="false">N51-M51</f>
        <v>38.1205357142857</v>
      </c>
      <c r="P51" s="23" t="n">
        <f aca="false">IFERROR(CEILING(M51/(1-$C$6),5),0)</f>
        <v>65</v>
      </c>
      <c r="Q51" s="13" t="n">
        <f aca="false">P51-M51</f>
        <v>28.1205357142857</v>
      </c>
      <c r="R51" s="23" t="n">
        <f aca="false">IFERROR(CEILING(M51/(1-$C$7),5),0)</f>
        <v>85</v>
      </c>
      <c r="S51" s="13" t="n">
        <f aca="false">R51-M51</f>
        <v>48.1205357142857</v>
      </c>
      <c r="T51" s="23" t="n">
        <f aca="false">IFERROR(CEILING(M51/(1-$C$8),5),0)</f>
        <v>55</v>
      </c>
      <c r="U51" s="13" t="n">
        <f aca="false">T51-M51</f>
        <v>18.1205357142857</v>
      </c>
      <c r="V51" s="22" t="n">
        <f aca="false">IFERROR(O51/N51,0)</f>
        <v>0.50827380952381</v>
      </c>
    </row>
    <row r="52" customFormat="false" ht="15" hidden="false" customHeight="false" outlineLevel="0" collapsed="false">
      <c r="A52" s="7" t="n">
        <v>39</v>
      </c>
      <c r="B52" s="7" t="s">
        <v>417</v>
      </c>
      <c r="C52" s="19" t="n">
        <v>12</v>
      </c>
      <c r="D52" s="13" t="n">
        <f aca="false">SUMIFS('2. Recetas'!$G$5:$G$502,'2. Recetas'!$A$5:$A$502,$A52)</f>
        <v>314.75</v>
      </c>
      <c r="E52" s="13" t="n">
        <f aca="false">IFERROR(D52/C52,0)</f>
        <v>26.2291666666667</v>
      </c>
      <c r="F52" s="20" t="n">
        <v>5</v>
      </c>
      <c r="G52" s="20" t="n">
        <v>3</v>
      </c>
      <c r="H52" s="19" t="n">
        <v>5</v>
      </c>
      <c r="I52" s="13" t="n">
        <f aca="false">$C$9*H52/60</f>
        <v>6.25</v>
      </c>
      <c r="J52" s="13" t="n">
        <f aca="false">$C$10</f>
        <v>7.15</v>
      </c>
      <c r="K52" s="21" t="n">
        <f aca="false">E52+F52+G52+I52+J52</f>
        <v>47.6291666666667</v>
      </c>
      <c r="L52" s="22" t="n">
        <f aca="false">$C$11</f>
        <v>0.12</v>
      </c>
      <c r="M52" s="21" t="n">
        <f aca="false">IFERROR(K52/(1-L52),0)</f>
        <v>54.124053030303</v>
      </c>
      <c r="N52" s="23" t="n">
        <f aca="false">IFERROR(CEILING(M52/(1-$C$5),5),0)</f>
        <v>110</v>
      </c>
      <c r="O52" s="13" t="n">
        <f aca="false">N52-M52</f>
        <v>55.875946969697</v>
      </c>
      <c r="P52" s="23" t="n">
        <f aca="false">IFERROR(CEILING(M52/(1-$C$6),5),0)</f>
        <v>95</v>
      </c>
      <c r="Q52" s="13" t="n">
        <f aca="false">P52-M52</f>
        <v>40.875946969697</v>
      </c>
      <c r="R52" s="23" t="n">
        <f aca="false">IFERROR(CEILING(M52/(1-$C$7),5),0)</f>
        <v>125</v>
      </c>
      <c r="S52" s="13" t="n">
        <f aca="false">R52-M52</f>
        <v>70.875946969697</v>
      </c>
      <c r="T52" s="23" t="n">
        <f aca="false">IFERROR(CEILING(M52/(1-$C$8),5),0)</f>
        <v>80</v>
      </c>
      <c r="U52" s="13" t="n">
        <f aca="false">T52-M52</f>
        <v>25.875946969697</v>
      </c>
      <c r="V52" s="22" t="n">
        <f aca="false">IFERROR(O52/N52,0)</f>
        <v>0.507963154269972</v>
      </c>
    </row>
    <row r="53" customFormat="false" ht="15" hidden="false" customHeight="false" outlineLevel="0" collapsed="false">
      <c r="A53" s="7" t="n">
        <v>40</v>
      </c>
      <c r="B53" s="7" t="s">
        <v>420</v>
      </c>
      <c r="C53" s="19" t="n">
        <v>12</v>
      </c>
      <c r="D53" s="13" t="n">
        <f aca="false">SUMIFS('2. Recetas'!$G$5:$G$502,'2. Recetas'!$A$5:$A$502,$A53)</f>
        <v>171.266666666667</v>
      </c>
      <c r="E53" s="13" t="n">
        <f aca="false">IFERROR(D53/C53,0)</f>
        <v>14.2722222222222</v>
      </c>
      <c r="F53" s="20" t="n">
        <v>5</v>
      </c>
      <c r="G53" s="20" t="n">
        <v>3</v>
      </c>
      <c r="H53" s="19" t="n">
        <v>5</v>
      </c>
      <c r="I53" s="13" t="n">
        <f aca="false">$C$9*H53/60</f>
        <v>6.25</v>
      </c>
      <c r="J53" s="13" t="n">
        <f aca="false">$C$10</f>
        <v>7.15</v>
      </c>
      <c r="K53" s="21" t="n">
        <f aca="false">E53+F53+G53+I53+J53</f>
        <v>35.6722222222222</v>
      </c>
      <c r="L53" s="22" t="n">
        <f aca="false">$C$11</f>
        <v>0.12</v>
      </c>
      <c r="M53" s="21" t="n">
        <f aca="false">IFERROR(K53/(1-L53),0)</f>
        <v>40.5366161616162</v>
      </c>
      <c r="N53" s="23" t="n">
        <f aca="false">IFERROR(CEILING(M53/(1-$C$5),5),0)</f>
        <v>85</v>
      </c>
      <c r="O53" s="13" t="n">
        <f aca="false">N53-M53</f>
        <v>44.4633838383838</v>
      </c>
      <c r="P53" s="23" t="n">
        <f aca="false">IFERROR(CEILING(M53/(1-$C$6),5),0)</f>
        <v>70</v>
      </c>
      <c r="Q53" s="13" t="n">
        <f aca="false">P53-M53</f>
        <v>29.4633838383838</v>
      </c>
      <c r="R53" s="23" t="n">
        <f aca="false">IFERROR(CEILING(M53/(1-$C$7),5),0)</f>
        <v>95</v>
      </c>
      <c r="S53" s="13" t="n">
        <f aca="false">R53-M53</f>
        <v>54.4633838383838</v>
      </c>
      <c r="T53" s="23" t="n">
        <f aca="false">IFERROR(CEILING(M53/(1-$C$8),5),0)</f>
        <v>60</v>
      </c>
      <c r="U53" s="13" t="n">
        <f aca="false">T53-M53</f>
        <v>19.4633838383838</v>
      </c>
      <c r="V53" s="22" t="n">
        <f aca="false">IFERROR(O53/N53,0)</f>
        <v>0.523098633392751</v>
      </c>
    </row>
    <row r="54" customFormat="false" ht="15" hidden="false" customHeight="false" outlineLevel="0" collapsed="false">
      <c r="A54" s="7" t="n">
        <v>41</v>
      </c>
      <c r="B54" s="7" t="s">
        <v>425</v>
      </c>
      <c r="C54" s="19" t="n">
        <v>12</v>
      </c>
      <c r="D54" s="13" t="n">
        <f aca="false">SUMIFS('2. Recetas'!$G$5:$G$502,'2. Recetas'!$A$5:$A$502,$A54)</f>
        <v>279.511666666667</v>
      </c>
      <c r="E54" s="13" t="n">
        <f aca="false">IFERROR(D54/C54,0)</f>
        <v>23.2926388888889</v>
      </c>
      <c r="F54" s="20" t="n">
        <v>5</v>
      </c>
      <c r="G54" s="20" t="n">
        <v>3</v>
      </c>
      <c r="H54" s="19" t="n">
        <v>5</v>
      </c>
      <c r="I54" s="13" t="n">
        <f aca="false">$C$9*H54/60</f>
        <v>6.25</v>
      </c>
      <c r="J54" s="13" t="n">
        <f aca="false">$C$10</f>
        <v>7.15</v>
      </c>
      <c r="K54" s="21" t="n">
        <f aca="false">E54+F54+G54+I54+J54</f>
        <v>44.6926388888889</v>
      </c>
      <c r="L54" s="22" t="n">
        <f aca="false">$C$11</f>
        <v>0.12</v>
      </c>
      <c r="M54" s="21" t="n">
        <f aca="false">IFERROR(K54/(1-L54),0)</f>
        <v>50.7870896464646</v>
      </c>
      <c r="N54" s="23" t="n">
        <f aca="false">IFERROR(CEILING(M54/(1-$C$5),5),0)</f>
        <v>105</v>
      </c>
      <c r="O54" s="13" t="n">
        <f aca="false">N54-M54</f>
        <v>54.2129103535354</v>
      </c>
      <c r="P54" s="23" t="n">
        <f aca="false">IFERROR(CEILING(M54/(1-$C$6),5),0)</f>
        <v>90</v>
      </c>
      <c r="Q54" s="13" t="n">
        <f aca="false">P54-M54</f>
        <v>39.2129103535354</v>
      </c>
      <c r="R54" s="23" t="n">
        <f aca="false">IFERROR(CEILING(M54/(1-$C$7),5),0)</f>
        <v>115</v>
      </c>
      <c r="S54" s="13" t="n">
        <f aca="false">R54-M54</f>
        <v>64.2129103535354</v>
      </c>
      <c r="T54" s="23" t="n">
        <f aca="false">IFERROR(CEILING(M54/(1-$C$8),5),0)</f>
        <v>75</v>
      </c>
      <c r="U54" s="13" t="n">
        <f aca="false">T54-M54</f>
        <v>24.2129103535354</v>
      </c>
      <c r="V54" s="22" t="n">
        <f aca="false">IFERROR(O54/N54,0)</f>
        <v>0.516313431938432</v>
      </c>
    </row>
    <row r="55" customFormat="false" ht="15" hidden="false" customHeight="false" outlineLevel="0" collapsed="false">
      <c r="A55" s="7" t="n">
        <v>42</v>
      </c>
      <c r="B55" s="7" t="s">
        <v>434</v>
      </c>
      <c r="C55" s="19" t="n">
        <v>12</v>
      </c>
      <c r="D55" s="13" t="n">
        <f aca="false">SUMIFS('2. Recetas'!$G$5:$G$502,'2. Recetas'!$A$5:$A$502,$A55)</f>
        <v>387.64</v>
      </c>
      <c r="E55" s="13" t="n">
        <f aca="false">IFERROR(D55/C55,0)</f>
        <v>32.3033333333333</v>
      </c>
      <c r="F55" s="20" t="n">
        <v>5</v>
      </c>
      <c r="G55" s="20" t="n">
        <v>3</v>
      </c>
      <c r="H55" s="19" t="n">
        <v>5</v>
      </c>
      <c r="I55" s="13" t="n">
        <f aca="false">$C$9*H55/60</f>
        <v>6.25</v>
      </c>
      <c r="J55" s="13" t="n">
        <f aca="false">$C$10</f>
        <v>7.15</v>
      </c>
      <c r="K55" s="21" t="n">
        <f aca="false">E55+F55+G55+I55+J55</f>
        <v>53.7033333333333</v>
      </c>
      <c r="L55" s="22" t="n">
        <f aca="false">$C$11</f>
        <v>0.12</v>
      </c>
      <c r="M55" s="21" t="n">
        <f aca="false">IFERROR(K55/(1-L55),0)</f>
        <v>61.0265151515152</v>
      </c>
      <c r="N55" s="23" t="n">
        <f aca="false">IFERROR(CEILING(M55/(1-$C$5),5),0)</f>
        <v>125</v>
      </c>
      <c r="O55" s="13" t="n">
        <f aca="false">N55-M55</f>
        <v>63.9734848484849</v>
      </c>
      <c r="P55" s="23" t="n">
        <f aca="false">IFERROR(CEILING(M55/(1-$C$6),5),0)</f>
        <v>110</v>
      </c>
      <c r="Q55" s="13" t="n">
        <f aca="false">P55-M55</f>
        <v>48.9734848484849</v>
      </c>
      <c r="R55" s="23" t="n">
        <f aca="false">IFERROR(CEILING(M55/(1-$C$7),5),0)</f>
        <v>140</v>
      </c>
      <c r="S55" s="13" t="n">
        <f aca="false">R55-M55</f>
        <v>78.9734848484848</v>
      </c>
      <c r="T55" s="23" t="n">
        <f aca="false">IFERROR(CEILING(M55/(1-$C$8),5),0)</f>
        <v>90</v>
      </c>
      <c r="U55" s="13" t="n">
        <f aca="false">T55-M55</f>
        <v>28.9734848484849</v>
      </c>
      <c r="V55" s="22" t="n">
        <f aca="false">IFERROR(O55/N55,0)</f>
        <v>0.511787878787879</v>
      </c>
    </row>
    <row r="56" customFormat="false" ht="15" hidden="false" customHeight="false" outlineLevel="0" collapsed="false">
      <c r="A56" s="7" t="n">
        <v>43</v>
      </c>
      <c r="B56" s="7" t="s">
        <v>439</v>
      </c>
      <c r="C56" s="19" t="n">
        <v>12</v>
      </c>
      <c r="D56" s="13" t="n">
        <f aca="false">SUMIFS('2. Recetas'!$G$5:$G$502,'2. Recetas'!$A$5:$A$502,$A56)</f>
        <v>253.725</v>
      </c>
      <c r="E56" s="13" t="n">
        <f aca="false">IFERROR(D56/C56,0)</f>
        <v>21.14375</v>
      </c>
      <c r="F56" s="20" t="n">
        <v>5</v>
      </c>
      <c r="G56" s="20" t="n">
        <v>3</v>
      </c>
      <c r="H56" s="19" t="n">
        <v>5</v>
      </c>
      <c r="I56" s="13" t="n">
        <f aca="false">$C$9*H56/60</f>
        <v>6.25</v>
      </c>
      <c r="J56" s="13" t="n">
        <f aca="false">$C$10</f>
        <v>7.15</v>
      </c>
      <c r="K56" s="21" t="n">
        <f aca="false">E56+F56+G56+I56+J56</f>
        <v>42.54375</v>
      </c>
      <c r="L56" s="22" t="n">
        <f aca="false">$C$11</f>
        <v>0.12</v>
      </c>
      <c r="M56" s="21" t="n">
        <f aca="false">IFERROR(K56/(1-L56),0)</f>
        <v>48.3451704545454</v>
      </c>
      <c r="N56" s="23" t="n">
        <f aca="false">IFERROR(CEILING(M56/(1-$C$5),5),0)</f>
        <v>100</v>
      </c>
      <c r="O56" s="13" t="n">
        <f aca="false">N56-M56</f>
        <v>51.6548295454546</v>
      </c>
      <c r="P56" s="23" t="n">
        <f aca="false">IFERROR(CEILING(M56/(1-$C$6),5),0)</f>
        <v>85</v>
      </c>
      <c r="Q56" s="13" t="n">
        <f aca="false">P56-M56</f>
        <v>36.6548295454546</v>
      </c>
      <c r="R56" s="23" t="n">
        <f aca="false">IFERROR(CEILING(M56/(1-$C$7),5),0)</f>
        <v>110</v>
      </c>
      <c r="S56" s="13" t="n">
        <f aca="false">R56-M56</f>
        <v>61.6548295454546</v>
      </c>
      <c r="T56" s="23" t="n">
        <f aca="false">IFERROR(CEILING(M56/(1-$C$8),5),0)</f>
        <v>70</v>
      </c>
      <c r="U56" s="13" t="n">
        <f aca="false">T56-M56</f>
        <v>21.6548295454546</v>
      </c>
      <c r="V56" s="22" t="n">
        <f aca="false">IFERROR(O56/N56,0)</f>
        <v>0.516548295454546</v>
      </c>
    </row>
    <row r="57" customFormat="false" ht="15" hidden="false" customHeight="false" outlineLevel="0" collapsed="false">
      <c r="A57" s="7" t="n">
        <v>44</v>
      </c>
      <c r="B57" s="7" t="s">
        <v>445</v>
      </c>
      <c r="C57" s="19" t="n">
        <v>12</v>
      </c>
      <c r="D57" s="13" t="n">
        <f aca="false">SUMIFS('2. Recetas'!$G$5:$G$502,'2. Recetas'!$A$5:$A$502,$A57)</f>
        <v>185.391666666667</v>
      </c>
      <c r="E57" s="13" t="n">
        <f aca="false">IFERROR(D57/C57,0)</f>
        <v>15.4493055555556</v>
      </c>
      <c r="F57" s="20" t="n">
        <v>5</v>
      </c>
      <c r="G57" s="20" t="n">
        <v>3</v>
      </c>
      <c r="H57" s="19" t="n">
        <v>5</v>
      </c>
      <c r="I57" s="13" t="n">
        <f aca="false">$C$9*H57/60</f>
        <v>6.25</v>
      </c>
      <c r="J57" s="13" t="n">
        <f aca="false">$C$10</f>
        <v>7.15</v>
      </c>
      <c r="K57" s="21" t="n">
        <f aca="false">E57+F57+G57+I57+J57</f>
        <v>36.8493055555556</v>
      </c>
      <c r="L57" s="22" t="n">
        <f aca="false">$C$11</f>
        <v>0.12</v>
      </c>
      <c r="M57" s="21" t="n">
        <f aca="false">IFERROR(K57/(1-L57),0)</f>
        <v>41.8742108585859</v>
      </c>
      <c r="N57" s="23" t="n">
        <f aca="false">IFERROR(CEILING(M57/(1-$C$5),5),0)</f>
        <v>85</v>
      </c>
      <c r="O57" s="13" t="n">
        <f aca="false">N57-M57</f>
        <v>43.1257891414141</v>
      </c>
      <c r="P57" s="23" t="n">
        <f aca="false">IFERROR(CEILING(M57/(1-$C$6),5),0)</f>
        <v>75</v>
      </c>
      <c r="Q57" s="13" t="n">
        <f aca="false">P57-M57</f>
        <v>33.1257891414141</v>
      </c>
      <c r="R57" s="23" t="n">
        <f aca="false">IFERROR(CEILING(M57/(1-$C$7),5),0)</f>
        <v>95</v>
      </c>
      <c r="S57" s="13" t="n">
        <f aca="false">R57-M57</f>
        <v>53.1257891414141</v>
      </c>
      <c r="T57" s="23" t="n">
        <f aca="false">IFERROR(CEILING(M57/(1-$C$8),5),0)</f>
        <v>60</v>
      </c>
      <c r="U57" s="13" t="n">
        <f aca="false">T57-M57</f>
        <v>18.1257891414141</v>
      </c>
      <c r="V57" s="22" t="n">
        <f aca="false">IFERROR(O57/N57,0)</f>
        <v>0.507362225193108</v>
      </c>
    </row>
    <row r="58" customFormat="false" ht="15" hidden="false" customHeight="false" outlineLevel="0" collapsed="false">
      <c r="A58" s="7" t="n">
        <v>45</v>
      </c>
      <c r="B58" s="7" t="s">
        <v>452</v>
      </c>
      <c r="C58" s="19" t="n">
        <v>12</v>
      </c>
      <c r="D58" s="13" t="n">
        <f aca="false">SUMIFS('2. Recetas'!$G$5:$G$502,'2. Recetas'!$A$5:$A$502,$A58)</f>
        <v>277.366666666667</v>
      </c>
      <c r="E58" s="13" t="n">
        <f aca="false">IFERROR(D58/C58,0)</f>
        <v>23.1138888888889</v>
      </c>
      <c r="F58" s="20" t="n">
        <v>5</v>
      </c>
      <c r="G58" s="20" t="n">
        <v>3</v>
      </c>
      <c r="H58" s="19" t="n">
        <v>5</v>
      </c>
      <c r="I58" s="13" t="n">
        <f aca="false">$C$9*H58/60</f>
        <v>6.25</v>
      </c>
      <c r="J58" s="13" t="n">
        <f aca="false">$C$10</f>
        <v>7.15</v>
      </c>
      <c r="K58" s="21" t="n">
        <f aca="false">E58+F58+G58+I58+J58</f>
        <v>44.5138888888889</v>
      </c>
      <c r="L58" s="22" t="n">
        <f aca="false">$C$11</f>
        <v>0.12</v>
      </c>
      <c r="M58" s="21" t="n">
        <f aca="false">IFERROR(K58/(1-L58),0)</f>
        <v>50.5839646464647</v>
      </c>
      <c r="N58" s="23" t="n">
        <f aca="false">IFERROR(CEILING(M58/(1-$C$5),5),0)</f>
        <v>105</v>
      </c>
      <c r="O58" s="13" t="n">
        <f aca="false">N58-M58</f>
        <v>54.4160353535354</v>
      </c>
      <c r="P58" s="23" t="n">
        <f aca="false">IFERROR(CEILING(M58/(1-$C$6),5),0)</f>
        <v>90</v>
      </c>
      <c r="Q58" s="13" t="n">
        <f aca="false">P58-M58</f>
        <v>39.4160353535354</v>
      </c>
      <c r="R58" s="23" t="n">
        <f aca="false">IFERROR(CEILING(M58/(1-$C$7),5),0)</f>
        <v>115</v>
      </c>
      <c r="S58" s="13" t="n">
        <f aca="false">R58-M58</f>
        <v>64.4160353535354</v>
      </c>
      <c r="T58" s="23" t="n">
        <f aca="false">IFERROR(CEILING(M58/(1-$C$8),5),0)</f>
        <v>75</v>
      </c>
      <c r="U58" s="13" t="n">
        <f aca="false">T58-M58</f>
        <v>24.4160353535354</v>
      </c>
      <c r="V58" s="22" t="n">
        <f aca="false">IFERROR(O58/N58,0)</f>
        <v>0.518247955747956</v>
      </c>
    </row>
    <row r="59" customFormat="false" ht="15" hidden="false" customHeight="false" outlineLevel="0" collapsed="false">
      <c r="A59" s="7" t="n">
        <v>46</v>
      </c>
      <c r="B59" s="7" t="s">
        <v>459</v>
      </c>
      <c r="C59" s="19" t="n">
        <v>12</v>
      </c>
      <c r="D59" s="13" t="n">
        <f aca="false">SUMIFS('2. Recetas'!$G$5:$G$502,'2. Recetas'!$A$5:$A$502,$A59)</f>
        <v>203.441666666667</v>
      </c>
      <c r="E59" s="13" t="n">
        <f aca="false">IFERROR(D59/C59,0)</f>
        <v>16.9534722222222</v>
      </c>
      <c r="F59" s="20" t="n">
        <v>5</v>
      </c>
      <c r="G59" s="20" t="n">
        <v>3</v>
      </c>
      <c r="H59" s="19" t="n">
        <v>5</v>
      </c>
      <c r="I59" s="13" t="n">
        <f aca="false">$C$9*H59/60</f>
        <v>6.25</v>
      </c>
      <c r="J59" s="13" t="n">
        <f aca="false">$C$10</f>
        <v>7.15</v>
      </c>
      <c r="K59" s="21" t="n">
        <f aca="false">E59+F59+G59+I59+J59</f>
        <v>38.3534722222222</v>
      </c>
      <c r="L59" s="22" t="n">
        <f aca="false">$C$11</f>
        <v>0.12</v>
      </c>
      <c r="M59" s="21" t="n">
        <f aca="false">IFERROR(K59/(1-L59),0)</f>
        <v>43.5834911616162</v>
      </c>
      <c r="N59" s="23" t="n">
        <f aca="false">IFERROR(CEILING(M59/(1-$C$5),5),0)</f>
        <v>90</v>
      </c>
      <c r="O59" s="13" t="n">
        <f aca="false">N59-M59</f>
        <v>46.4165088383838</v>
      </c>
      <c r="P59" s="23" t="n">
        <f aca="false">IFERROR(CEILING(M59/(1-$C$6),5),0)</f>
        <v>80</v>
      </c>
      <c r="Q59" s="13" t="n">
        <f aca="false">P59-M59</f>
        <v>36.4165088383838</v>
      </c>
      <c r="R59" s="23" t="n">
        <f aca="false">IFERROR(CEILING(M59/(1-$C$7),5),0)</f>
        <v>100</v>
      </c>
      <c r="S59" s="13" t="n">
        <f aca="false">R59-M59</f>
        <v>56.4165088383838</v>
      </c>
      <c r="T59" s="23" t="n">
        <f aca="false">IFERROR(CEILING(M59/(1-$C$8),5),0)</f>
        <v>65</v>
      </c>
      <c r="U59" s="13" t="n">
        <f aca="false">T59-M59</f>
        <v>21.4165088383838</v>
      </c>
      <c r="V59" s="22" t="n">
        <f aca="false">IFERROR(O59/N59,0)</f>
        <v>0.515738987093154</v>
      </c>
    </row>
    <row r="60" customFormat="false" ht="15" hidden="false" customHeight="false" outlineLevel="0" collapsed="false">
      <c r="A60" s="7" t="n">
        <v>47</v>
      </c>
      <c r="B60" s="7" t="s">
        <v>463</v>
      </c>
      <c r="C60" s="19" t="n">
        <v>12</v>
      </c>
      <c r="D60" s="13" t="n">
        <f aca="false">SUMIFS('2. Recetas'!$G$5:$G$502,'2. Recetas'!$A$5:$A$502,$A60)</f>
        <v>665.93</v>
      </c>
      <c r="E60" s="13" t="n">
        <f aca="false">IFERROR(D60/C60,0)</f>
        <v>55.4941666666667</v>
      </c>
      <c r="F60" s="20" t="n">
        <v>5</v>
      </c>
      <c r="G60" s="20" t="n">
        <v>3</v>
      </c>
      <c r="H60" s="19" t="n">
        <v>5</v>
      </c>
      <c r="I60" s="13" t="n">
        <f aca="false">$C$9*H60/60</f>
        <v>6.25</v>
      </c>
      <c r="J60" s="13" t="n">
        <f aca="false">$C$10</f>
        <v>7.15</v>
      </c>
      <c r="K60" s="21" t="n">
        <f aca="false">E60+F60+G60+I60+J60</f>
        <v>76.8941666666667</v>
      </c>
      <c r="L60" s="22" t="n">
        <f aca="false">$C$11</f>
        <v>0.12</v>
      </c>
      <c r="M60" s="21" t="n">
        <f aca="false">IFERROR(K60/(1-L60),0)</f>
        <v>87.3797348484849</v>
      </c>
      <c r="N60" s="23" t="n">
        <f aca="false">IFERROR(CEILING(M60/(1-$C$5),5),0)</f>
        <v>175</v>
      </c>
      <c r="O60" s="13" t="n">
        <f aca="false">N60-M60</f>
        <v>87.6202651515151</v>
      </c>
      <c r="P60" s="23" t="n">
        <f aca="false">IFERROR(CEILING(M60/(1-$C$6),5),0)</f>
        <v>155</v>
      </c>
      <c r="Q60" s="13" t="n">
        <f aca="false">P60-M60</f>
        <v>67.6202651515151</v>
      </c>
      <c r="R60" s="23" t="n">
        <f aca="false">IFERROR(CEILING(M60/(1-$C$7),5),0)</f>
        <v>195</v>
      </c>
      <c r="S60" s="13" t="n">
        <f aca="false">R60-M60</f>
        <v>107.620265151515</v>
      </c>
      <c r="T60" s="23" t="n">
        <f aca="false">IFERROR(CEILING(M60/(1-$C$8),5),0)</f>
        <v>125</v>
      </c>
      <c r="U60" s="13" t="n">
        <f aca="false">T60-M60</f>
        <v>37.6202651515151</v>
      </c>
      <c r="V60" s="22" t="n">
        <f aca="false">IFERROR(O60/N60,0)</f>
        <v>0.500687229437229</v>
      </c>
    </row>
    <row r="61" customFormat="false" ht="15" hidden="false" customHeight="false" outlineLevel="0" collapsed="false">
      <c r="A61" s="7" t="n">
        <v>48</v>
      </c>
      <c r="B61" s="7" t="s">
        <v>469</v>
      </c>
      <c r="C61" s="19" t="n">
        <v>12</v>
      </c>
      <c r="D61" s="13" t="n">
        <f aca="false">SUMIFS('2. Recetas'!$G$5:$G$502,'2. Recetas'!$A$5:$A$502,$A61)</f>
        <v>110.596666666667</v>
      </c>
      <c r="E61" s="13" t="n">
        <f aca="false">IFERROR(D61/C61,0)</f>
        <v>9.21638888888889</v>
      </c>
      <c r="F61" s="20" t="n">
        <v>5</v>
      </c>
      <c r="G61" s="20" t="n">
        <v>3</v>
      </c>
      <c r="H61" s="19" t="n">
        <v>5</v>
      </c>
      <c r="I61" s="13" t="n">
        <f aca="false">$C$9*H61/60</f>
        <v>6.25</v>
      </c>
      <c r="J61" s="13" t="n">
        <f aca="false">$C$10</f>
        <v>7.15</v>
      </c>
      <c r="K61" s="21" t="n">
        <f aca="false">E61+F61+G61+I61+J61</f>
        <v>30.6163888888889</v>
      </c>
      <c r="L61" s="22" t="n">
        <f aca="false">$C$11</f>
        <v>0.12</v>
      </c>
      <c r="M61" s="21" t="n">
        <f aca="false">IFERROR(K61/(1-L61),0)</f>
        <v>34.791351010101</v>
      </c>
      <c r="N61" s="23" t="n">
        <f aca="false">IFERROR(CEILING(M61/(1-$C$5),5),0)</f>
        <v>70</v>
      </c>
      <c r="O61" s="13" t="n">
        <f aca="false">N61-M61</f>
        <v>35.208648989899</v>
      </c>
      <c r="P61" s="23" t="n">
        <f aca="false">IFERROR(CEILING(M61/(1-$C$6),5),0)</f>
        <v>60</v>
      </c>
      <c r="Q61" s="13" t="n">
        <f aca="false">P61-M61</f>
        <v>25.208648989899</v>
      </c>
      <c r="R61" s="23" t="n">
        <f aca="false">IFERROR(CEILING(M61/(1-$C$7),5),0)</f>
        <v>80</v>
      </c>
      <c r="S61" s="13" t="n">
        <f aca="false">R61-M61</f>
        <v>45.208648989899</v>
      </c>
      <c r="T61" s="23" t="n">
        <f aca="false">IFERROR(CEILING(M61/(1-$C$8),5),0)</f>
        <v>50</v>
      </c>
      <c r="U61" s="13" t="n">
        <f aca="false">T61-M61</f>
        <v>15.208648989899</v>
      </c>
      <c r="V61" s="22" t="n">
        <f aca="false">IFERROR(O61/N61,0)</f>
        <v>0.5029806998557</v>
      </c>
    </row>
    <row r="62" customFormat="false" ht="15" hidden="false" customHeight="false" outlineLevel="0" collapsed="false">
      <c r="A62" s="7" t="n">
        <v>49</v>
      </c>
      <c r="B62" s="7" t="s">
        <v>474</v>
      </c>
      <c r="C62" s="19" t="n">
        <v>8</v>
      </c>
      <c r="D62" s="13" t="n">
        <f aca="false">SUMIFS('2. Recetas'!$G$5:$G$502,'2. Recetas'!$A$5:$A$502,$A62)</f>
        <v>272.203333333333</v>
      </c>
      <c r="E62" s="13" t="n">
        <f aca="false">IFERROR(D62/C62,0)</f>
        <v>34.0254166666667</v>
      </c>
      <c r="F62" s="20" t="n">
        <v>5</v>
      </c>
      <c r="G62" s="20" t="n">
        <v>3</v>
      </c>
      <c r="H62" s="19" t="n">
        <v>5</v>
      </c>
      <c r="I62" s="13" t="n">
        <f aca="false">$C$9*H62/60</f>
        <v>6.25</v>
      </c>
      <c r="J62" s="13" t="n">
        <f aca="false">$C$10</f>
        <v>7.15</v>
      </c>
      <c r="K62" s="21" t="n">
        <f aca="false">E62+F62+G62+I62+J62</f>
        <v>55.4254166666667</v>
      </c>
      <c r="L62" s="22" t="n">
        <f aca="false">$C$11</f>
        <v>0.12</v>
      </c>
      <c r="M62" s="21" t="n">
        <f aca="false">IFERROR(K62/(1-L62),0)</f>
        <v>62.983428030303</v>
      </c>
      <c r="N62" s="23" t="n">
        <f aca="false">IFERROR(CEILING(M62/(1-$C$5),5),0)</f>
        <v>130</v>
      </c>
      <c r="O62" s="13" t="n">
        <f aca="false">N62-M62</f>
        <v>67.016571969697</v>
      </c>
      <c r="P62" s="23" t="n">
        <f aca="false">IFERROR(CEILING(M62/(1-$C$6),5),0)</f>
        <v>110</v>
      </c>
      <c r="Q62" s="13" t="n">
        <f aca="false">P62-M62</f>
        <v>47.016571969697</v>
      </c>
      <c r="R62" s="23" t="n">
        <f aca="false">IFERROR(CEILING(M62/(1-$C$7),5),0)</f>
        <v>140</v>
      </c>
      <c r="S62" s="13" t="n">
        <f aca="false">R62-M62</f>
        <v>77.016571969697</v>
      </c>
      <c r="T62" s="23" t="n">
        <f aca="false">IFERROR(CEILING(M62/(1-$C$8),5),0)</f>
        <v>90</v>
      </c>
      <c r="U62" s="13" t="n">
        <f aca="false">T62-M62</f>
        <v>27.016571969697</v>
      </c>
      <c r="V62" s="22" t="n">
        <f aca="false">IFERROR(O62/N62,0)</f>
        <v>0.515512092074592</v>
      </c>
    </row>
    <row r="63" customFormat="false" ht="15" hidden="false" customHeight="false" outlineLevel="0" collapsed="false">
      <c r="A63" s="7" t="n">
        <v>50</v>
      </c>
      <c r="B63" s="7" t="s">
        <v>482</v>
      </c>
      <c r="C63" s="19" t="n">
        <v>12</v>
      </c>
      <c r="D63" s="13" t="n">
        <f aca="false">SUMIFS('2. Recetas'!$G$5:$G$502,'2. Recetas'!$A$5:$A$502,$A63)</f>
        <v>219.4875</v>
      </c>
      <c r="E63" s="13" t="n">
        <f aca="false">IFERROR(D63/C63,0)</f>
        <v>18.290625</v>
      </c>
      <c r="F63" s="20" t="n">
        <v>5</v>
      </c>
      <c r="G63" s="20" t="n">
        <v>3</v>
      </c>
      <c r="H63" s="19" t="n">
        <v>5</v>
      </c>
      <c r="I63" s="13" t="n">
        <f aca="false">$C$9*H63/60</f>
        <v>6.25</v>
      </c>
      <c r="J63" s="13" t="n">
        <f aca="false">$C$10</f>
        <v>7.15</v>
      </c>
      <c r="K63" s="21" t="n">
        <f aca="false">E63+F63+G63+I63+J63</f>
        <v>39.690625</v>
      </c>
      <c r="L63" s="22" t="n">
        <f aca="false">$C$11</f>
        <v>0.12</v>
      </c>
      <c r="M63" s="21" t="n">
        <f aca="false">IFERROR(K63/(1-L63),0)</f>
        <v>45.1029829545455</v>
      </c>
      <c r="N63" s="23" t="n">
        <f aca="false">IFERROR(CEILING(M63/(1-$C$5),5),0)</f>
        <v>95</v>
      </c>
      <c r="O63" s="13" t="n">
        <f aca="false">N63-M63</f>
        <v>49.8970170454546</v>
      </c>
      <c r="P63" s="23" t="n">
        <f aca="false">IFERROR(CEILING(M63/(1-$C$6),5),0)</f>
        <v>80</v>
      </c>
      <c r="Q63" s="13" t="n">
        <f aca="false">P63-M63</f>
        <v>34.8970170454546</v>
      </c>
      <c r="R63" s="23" t="n">
        <f aca="false">IFERROR(CEILING(M63/(1-$C$7),5),0)</f>
        <v>105</v>
      </c>
      <c r="S63" s="13" t="n">
        <f aca="false">R63-M63</f>
        <v>59.8970170454546</v>
      </c>
      <c r="T63" s="23" t="n">
        <f aca="false">IFERROR(CEILING(M63/(1-$C$8),5),0)</f>
        <v>65</v>
      </c>
      <c r="U63" s="13" t="n">
        <f aca="false">T63-M63</f>
        <v>19.8970170454545</v>
      </c>
      <c r="V63" s="22" t="n">
        <f aca="false">IFERROR(O63/N63,0)</f>
        <v>0.525231758373206</v>
      </c>
    </row>
    <row r="64" customFormat="false" ht="15" hidden="false" customHeight="false" outlineLevel="0" collapsed="false">
      <c r="A64" s="7" t="n">
        <v>51</v>
      </c>
      <c r="B64" s="7" t="s">
        <v>488</v>
      </c>
      <c r="C64" s="19" t="n">
        <v>12</v>
      </c>
      <c r="D64" s="13" t="n">
        <f aca="false">SUMIFS('2. Recetas'!$G$5:$G$502,'2. Recetas'!$A$5:$A$502,$A64)</f>
        <v>280.25</v>
      </c>
      <c r="E64" s="13" t="n">
        <f aca="false">IFERROR(D64/C64,0)</f>
        <v>23.3541666666667</v>
      </c>
      <c r="F64" s="20" t="n">
        <v>5</v>
      </c>
      <c r="G64" s="20" t="n">
        <v>3</v>
      </c>
      <c r="H64" s="19" t="n">
        <v>5</v>
      </c>
      <c r="I64" s="13" t="n">
        <f aca="false">$C$9*H64/60</f>
        <v>6.25</v>
      </c>
      <c r="J64" s="13" t="n">
        <f aca="false">$C$10</f>
        <v>7.15</v>
      </c>
      <c r="K64" s="21" t="n">
        <f aca="false">E64+F64+G64+I64+J64</f>
        <v>44.7541666666667</v>
      </c>
      <c r="L64" s="22" t="n">
        <f aca="false">$C$11</f>
        <v>0.12</v>
      </c>
      <c r="M64" s="21" t="n">
        <f aca="false">IFERROR(K64/(1-L64),0)</f>
        <v>50.8570075757576</v>
      </c>
      <c r="N64" s="23" t="n">
        <f aca="false">IFERROR(CEILING(M64/(1-$C$5),5),0)</f>
        <v>105</v>
      </c>
      <c r="O64" s="13" t="n">
        <f aca="false">N64-M64</f>
        <v>54.1429924242424</v>
      </c>
      <c r="P64" s="23" t="n">
        <f aca="false">IFERROR(CEILING(M64/(1-$C$6),5),0)</f>
        <v>90</v>
      </c>
      <c r="Q64" s="13" t="n">
        <f aca="false">P64-M64</f>
        <v>39.1429924242424</v>
      </c>
      <c r="R64" s="23" t="n">
        <f aca="false">IFERROR(CEILING(M64/(1-$C$7),5),0)</f>
        <v>115</v>
      </c>
      <c r="S64" s="13" t="n">
        <f aca="false">R64-M64</f>
        <v>64.1429924242424</v>
      </c>
      <c r="T64" s="23" t="n">
        <f aca="false">IFERROR(CEILING(M64/(1-$C$8),5),0)</f>
        <v>75</v>
      </c>
      <c r="U64" s="13" t="n">
        <f aca="false">T64-M64</f>
        <v>24.1429924242424</v>
      </c>
      <c r="V64" s="22" t="n">
        <f aca="false">IFERROR(O64/N64,0)</f>
        <v>0.515647546897547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532</v>
      </c>
    </row>
    <row r="2" customFormat="false" ht="15" hidden="false" customHeight="false" outlineLevel="0" collapsed="false">
      <c r="A2" s="2" t="s">
        <v>533</v>
      </c>
    </row>
    <row r="3" customFormat="false" ht="15" hidden="false" customHeight="false" outlineLevel="0" collapsed="false">
      <c r="A3" s="4" t="s">
        <v>534</v>
      </c>
      <c r="D3" s="24" t="n">
        <f aca="false">SUM(F8:F207)</f>
        <v>56</v>
      </c>
    </row>
    <row r="4" customFormat="false" ht="15" hidden="false" customHeight="false" outlineLevel="0" collapsed="false">
      <c r="A4" s="4" t="s">
        <v>535</v>
      </c>
      <c r="D4" s="24" t="n">
        <f aca="false">SUM(G8:G207)</f>
        <v>4</v>
      </c>
    </row>
    <row r="5" customFormat="false" ht="15" hidden="false" customHeight="false" outlineLevel="0" collapsed="false">
      <c r="A5" s="4" t="s">
        <v>536</v>
      </c>
      <c r="D5" s="25" t="n">
        <f aca="false">IFERROR(D4/(D3+D4),0)</f>
        <v>0.0666666666666667</v>
      </c>
    </row>
    <row r="6" customFormat="false" ht="15" hidden="false" customHeight="false" outlineLevel="0" collapsed="false">
      <c r="A6" s="4" t="s">
        <v>537</v>
      </c>
      <c r="D6" s="26" t="n">
        <f aca="false">SUM(K8:K207)</f>
        <v>190.545048701299</v>
      </c>
    </row>
    <row r="7" customFormat="false" ht="27.75" hidden="false" customHeight="true" outlineLevel="0" collapsed="false">
      <c r="A7" s="6" t="s">
        <v>538</v>
      </c>
      <c r="B7" s="6" t="s">
        <v>539</v>
      </c>
      <c r="C7" s="6" t="s">
        <v>540</v>
      </c>
      <c r="D7" s="6" t="s">
        <v>157</v>
      </c>
      <c r="E7" s="6" t="s">
        <v>541</v>
      </c>
      <c r="F7" s="6" t="s">
        <v>542</v>
      </c>
      <c r="G7" s="6" t="s">
        <v>543</v>
      </c>
      <c r="H7" s="6" t="s">
        <v>544</v>
      </c>
      <c r="I7" s="6" t="s">
        <v>545</v>
      </c>
      <c r="J7" s="6" t="s">
        <v>546</v>
      </c>
      <c r="K7" s="6" t="s">
        <v>547</v>
      </c>
      <c r="L7" s="6" t="s">
        <v>548</v>
      </c>
    </row>
    <row r="8" customFormat="false" ht="15" hidden="false" customHeight="false" outlineLevel="0" collapsed="false">
      <c r="A8" s="27" t="n">
        <v>46235</v>
      </c>
      <c r="B8" s="11" t="s">
        <v>549</v>
      </c>
      <c r="C8" s="11" t="n">
        <v>1</v>
      </c>
      <c r="D8" s="7" t="str">
        <f aca="false">IFERROR(INDEX('3. Costeo y Precios'!$B$14:$B$64,MATCH($C8,'3. Costeo y Precios'!$A$14:$A$64,0)),"")</f>
        <v>Baja California: Tamal Estilo Tijuana de Carne de Res Adobada en Hoja de Maíz</v>
      </c>
      <c r="E8" s="11" t="n">
        <v>24</v>
      </c>
      <c r="F8" s="11" t="n">
        <v>22</v>
      </c>
      <c r="G8" s="11" t="n">
        <v>2</v>
      </c>
      <c r="H8" s="22" t="n">
        <f aca="false">IFERROR(G8/(F8+G8),"")</f>
        <v>0.0833333333333333</v>
      </c>
      <c r="I8" s="11" t="s">
        <v>550</v>
      </c>
      <c r="J8" s="13" t="n">
        <f aca="false">IFERROR(INDEX('3. Costeo y Precios'!$M$14:$M$64,MATCH($C8,'3. Costeo y Precios'!$A$14:$A$64,0)),0)</f>
        <v>41.9524485930736</v>
      </c>
      <c r="K8" s="13" t="n">
        <f aca="false">IF($C8="","",G8*J8)</f>
        <v>83.9048971861472</v>
      </c>
      <c r="L8" s="11"/>
    </row>
    <row r="9" customFormat="false" ht="15" hidden="false" customHeight="false" outlineLevel="0" collapsed="false">
      <c r="A9" s="27" t="n">
        <v>46237</v>
      </c>
      <c r="B9" s="11" t="s">
        <v>551</v>
      </c>
      <c r="C9" s="11" t="n">
        <v>19</v>
      </c>
      <c r="D9" s="7" t="str">
        <f aca="false">IFERROR(INDEX('3. Costeo y Precios'!$B$14:$B$64,MATCH($C9,'3. Costeo y Precios'!$A$14:$A$64,0)),"")</f>
        <v>San Luis Potosí: Zacahuil Huasteco Tradicional de Masa Martajada (Porción Individual Estandarizada)</v>
      </c>
      <c r="E9" s="11" t="n">
        <v>36</v>
      </c>
      <c r="F9" s="11" t="n">
        <v>34</v>
      </c>
      <c r="G9" s="11" t="n">
        <v>2</v>
      </c>
      <c r="H9" s="22" t="n">
        <f aca="false">IFERROR(G9/(F9+G9),"")</f>
        <v>0.0555555555555556</v>
      </c>
      <c r="I9" s="11" t="s">
        <v>552</v>
      </c>
      <c r="J9" s="13" t="n">
        <f aca="false">IFERROR(INDEX('3. Costeo y Precios'!$M$14:$M$64,MATCH($C9,'3. Costeo y Precios'!$A$14:$A$64,0)),0)</f>
        <v>53.3200757575758</v>
      </c>
      <c r="K9" s="13" t="n">
        <f aca="false">IF($C9="","",G9*J9)</f>
        <v>106.640151515152</v>
      </c>
      <c r="L9" s="11"/>
    </row>
    <row r="10" customFormat="false" ht="15" hidden="false" customHeight="false" outlineLevel="0" collapsed="false">
      <c r="A10" s="27"/>
      <c r="B10" s="11"/>
      <c r="C10" s="11"/>
      <c r="D10" s="7" t="str">
        <f aca="false">IFERROR(INDEX('3. Costeo y Precios'!$B$14:$B$64,MATCH($C10,'3. Costeo y Precios'!$A$14:$A$64,0)),"")</f>
        <v/>
      </c>
      <c r="E10" s="11"/>
      <c r="F10" s="11"/>
      <c r="G10" s="11"/>
      <c r="H10" s="22" t="str">
        <f aca="false">IFERROR(G10/(F10+G10),"")</f>
        <v/>
      </c>
      <c r="I10" s="11"/>
      <c r="J10" s="13" t="n">
        <f aca="false">IFERROR(INDEX('3. Costeo y Precios'!$M$14:$M$64,MATCH($C10,'3. Costeo y Precios'!$A$14:$A$64,0)),0)</f>
        <v>0</v>
      </c>
      <c r="K10" s="13" t="str">
        <f aca="false">IF($C10="","",G10*J10)</f>
        <v/>
      </c>
      <c r="L10" s="11"/>
    </row>
    <row r="11" customFormat="false" ht="15" hidden="false" customHeight="false" outlineLevel="0" collapsed="false">
      <c r="A11" s="27"/>
      <c r="B11" s="11"/>
      <c r="C11" s="11"/>
      <c r="D11" s="7" t="str">
        <f aca="false">IFERROR(INDEX('3. Costeo y Precios'!$B$14:$B$64,MATCH($C11,'3. Costeo y Precios'!$A$14:$A$64,0)),"")</f>
        <v/>
      </c>
      <c r="E11" s="11"/>
      <c r="F11" s="11"/>
      <c r="G11" s="11"/>
      <c r="H11" s="22" t="str">
        <f aca="false">IFERROR(G11/(F11+G11),"")</f>
        <v/>
      </c>
      <c r="I11" s="11"/>
      <c r="J11" s="13" t="n">
        <f aca="false">IFERROR(INDEX('3. Costeo y Precios'!$M$14:$M$64,MATCH($C11,'3. Costeo y Precios'!$A$14:$A$64,0)),0)</f>
        <v>0</v>
      </c>
      <c r="K11" s="13" t="str">
        <f aca="false">IF($C11="","",G11*J11)</f>
        <v/>
      </c>
      <c r="L11" s="11"/>
    </row>
    <row r="12" customFormat="false" ht="15" hidden="false" customHeight="false" outlineLevel="0" collapsed="false">
      <c r="A12" s="27"/>
      <c r="B12" s="11"/>
      <c r="C12" s="11"/>
      <c r="D12" s="7" t="str">
        <f aca="false">IFERROR(INDEX('3. Costeo y Precios'!$B$14:$B$64,MATCH($C12,'3. Costeo y Precios'!$A$14:$A$64,0)),"")</f>
        <v/>
      </c>
      <c r="E12" s="11"/>
      <c r="F12" s="11"/>
      <c r="G12" s="11"/>
      <c r="H12" s="22" t="str">
        <f aca="false">IFERROR(G12/(F12+G12),"")</f>
        <v/>
      </c>
      <c r="I12" s="11"/>
      <c r="J12" s="13" t="n">
        <f aca="false">IFERROR(INDEX('3. Costeo y Precios'!$M$14:$M$64,MATCH($C12,'3. Costeo y Precios'!$A$14:$A$64,0)),0)</f>
        <v>0</v>
      </c>
      <c r="K12" s="13" t="str">
        <f aca="false">IF($C12="","",G12*J12)</f>
        <v/>
      </c>
      <c r="L12" s="11"/>
    </row>
    <row r="13" customFormat="false" ht="15" hidden="false" customHeight="false" outlineLevel="0" collapsed="false">
      <c r="A13" s="27"/>
      <c r="B13" s="11"/>
      <c r="C13" s="11"/>
      <c r="D13" s="7" t="str">
        <f aca="false">IFERROR(INDEX('3. Costeo y Precios'!$B$14:$B$64,MATCH($C13,'3. Costeo y Precios'!$A$14:$A$64,0)),"")</f>
        <v/>
      </c>
      <c r="E13" s="11"/>
      <c r="F13" s="11"/>
      <c r="G13" s="11"/>
      <c r="H13" s="22" t="str">
        <f aca="false">IFERROR(G13/(F13+G13),"")</f>
        <v/>
      </c>
      <c r="I13" s="11"/>
      <c r="J13" s="13" t="n">
        <f aca="false">IFERROR(INDEX('3. Costeo y Precios'!$M$14:$M$64,MATCH($C13,'3. Costeo y Precios'!$A$14:$A$64,0)),0)</f>
        <v>0</v>
      </c>
      <c r="K13" s="13" t="str">
        <f aca="false">IF($C13="","",G13*J13)</f>
        <v/>
      </c>
      <c r="L13" s="11"/>
    </row>
    <row r="14" customFormat="false" ht="15" hidden="false" customHeight="false" outlineLevel="0" collapsed="false">
      <c r="A14" s="27"/>
      <c r="B14" s="11"/>
      <c r="C14" s="11"/>
      <c r="D14" s="7" t="str">
        <f aca="false">IFERROR(INDEX('3. Costeo y Precios'!$B$14:$B$64,MATCH($C14,'3. Costeo y Precios'!$A$14:$A$64,0)),"")</f>
        <v/>
      </c>
      <c r="E14" s="11"/>
      <c r="F14" s="11"/>
      <c r="G14" s="11"/>
      <c r="H14" s="22" t="str">
        <f aca="false">IFERROR(G14/(F14+G14),"")</f>
        <v/>
      </c>
      <c r="I14" s="11"/>
      <c r="J14" s="13" t="n">
        <f aca="false">IFERROR(INDEX('3. Costeo y Precios'!$M$14:$M$64,MATCH($C14,'3. Costeo y Precios'!$A$14:$A$64,0)),0)</f>
        <v>0</v>
      </c>
      <c r="K14" s="13" t="str">
        <f aca="false">IF($C14="","",G14*J14)</f>
        <v/>
      </c>
      <c r="L14" s="11"/>
    </row>
    <row r="15" customFormat="false" ht="15" hidden="false" customHeight="false" outlineLevel="0" collapsed="false">
      <c r="A15" s="27"/>
      <c r="B15" s="11"/>
      <c r="C15" s="11"/>
      <c r="D15" s="7" t="str">
        <f aca="false">IFERROR(INDEX('3. Costeo y Precios'!$B$14:$B$64,MATCH($C15,'3. Costeo y Precios'!$A$14:$A$64,0)),"")</f>
        <v/>
      </c>
      <c r="E15" s="11"/>
      <c r="F15" s="11"/>
      <c r="G15" s="11"/>
      <c r="H15" s="22" t="str">
        <f aca="false">IFERROR(G15/(F15+G15),"")</f>
        <v/>
      </c>
      <c r="I15" s="11"/>
      <c r="J15" s="13" t="n">
        <f aca="false">IFERROR(INDEX('3. Costeo y Precios'!$M$14:$M$64,MATCH($C15,'3. Costeo y Precios'!$A$14:$A$64,0)),0)</f>
        <v>0</v>
      </c>
      <c r="K15" s="13" t="str">
        <f aca="false">IF($C15="","",G15*J15)</f>
        <v/>
      </c>
      <c r="L15" s="11"/>
    </row>
    <row r="16" customFormat="false" ht="15" hidden="false" customHeight="false" outlineLevel="0" collapsed="false">
      <c r="A16" s="27"/>
      <c r="B16" s="11"/>
      <c r="C16" s="11"/>
      <c r="D16" s="7" t="str">
        <f aca="false">IFERROR(INDEX('3. Costeo y Precios'!$B$14:$B$64,MATCH($C16,'3. Costeo y Precios'!$A$14:$A$64,0)),"")</f>
        <v/>
      </c>
      <c r="E16" s="11"/>
      <c r="F16" s="11"/>
      <c r="G16" s="11"/>
      <c r="H16" s="22" t="str">
        <f aca="false">IFERROR(G16/(F16+G16),"")</f>
        <v/>
      </c>
      <c r="I16" s="11"/>
      <c r="J16" s="13" t="n">
        <f aca="false">IFERROR(INDEX('3. Costeo y Precios'!$M$14:$M$64,MATCH($C16,'3. Costeo y Precios'!$A$14:$A$64,0)),0)</f>
        <v>0</v>
      </c>
      <c r="K16" s="13" t="str">
        <f aca="false">IF($C16="","",G16*J16)</f>
        <v/>
      </c>
      <c r="L16" s="11"/>
    </row>
    <row r="17" customFormat="false" ht="15" hidden="false" customHeight="false" outlineLevel="0" collapsed="false">
      <c r="A17" s="27"/>
      <c r="B17" s="11"/>
      <c r="C17" s="11"/>
      <c r="D17" s="7" t="str">
        <f aca="false">IFERROR(INDEX('3. Costeo y Precios'!$B$14:$B$64,MATCH($C17,'3. Costeo y Precios'!$A$14:$A$64,0)),"")</f>
        <v/>
      </c>
      <c r="E17" s="11"/>
      <c r="F17" s="11"/>
      <c r="G17" s="11"/>
      <c r="H17" s="22" t="str">
        <f aca="false">IFERROR(G17/(F17+G17),"")</f>
        <v/>
      </c>
      <c r="I17" s="11"/>
      <c r="J17" s="13" t="n">
        <f aca="false">IFERROR(INDEX('3. Costeo y Precios'!$M$14:$M$64,MATCH($C17,'3. Costeo y Precios'!$A$14:$A$64,0)),0)</f>
        <v>0</v>
      </c>
      <c r="K17" s="13" t="str">
        <f aca="false">IF($C17="","",G17*J17)</f>
        <v/>
      </c>
      <c r="L17" s="11"/>
    </row>
    <row r="18" customFormat="false" ht="15" hidden="false" customHeight="false" outlineLevel="0" collapsed="false">
      <c r="A18" s="27"/>
      <c r="B18" s="11"/>
      <c r="C18" s="11"/>
      <c r="D18" s="7" t="str">
        <f aca="false">IFERROR(INDEX('3. Costeo y Precios'!$B$14:$B$64,MATCH($C18,'3. Costeo y Precios'!$A$14:$A$64,0)),"")</f>
        <v/>
      </c>
      <c r="E18" s="11"/>
      <c r="F18" s="11"/>
      <c r="G18" s="11"/>
      <c r="H18" s="22" t="str">
        <f aca="false">IFERROR(G18/(F18+G18),"")</f>
        <v/>
      </c>
      <c r="I18" s="11"/>
      <c r="J18" s="13" t="n">
        <f aca="false">IFERROR(INDEX('3. Costeo y Precios'!$M$14:$M$64,MATCH($C18,'3. Costeo y Precios'!$A$14:$A$64,0)),0)</f>
        <v>0</v>
      </c>
      <c r="K18" s="13" t="str">
        <f aca="false">IF($C18="","",G18*J18)</f>
        <v/>
      </c>
      <c r="L18" s="11"/>
    </row>
    <row r="19" customFormat="false" ht="15" hidden="false" customHeight="false" outlineLevel="0" collapsed="false">
      <c r="A19" s="27"/>
      <c r="B19" s="11"/>
      <c r="C19" s="11"/>
      <c r="D19" s="7" t="str">
        <f aca="false">IFERROR(INDEX('3. Costeo y Precios'!$B$14:$B$64,MATCH($C19,'3. Costeo y Precios'!$A$14:$A$64,0)),"")</f>
        <v/>
      </c>
      <c r="E19" s="11"/>
      <c r="F19" s="11"/>
      <c r="G19" s="11"/>
      <c r="H19" s="22" t="str">
        <f aca="false">IFERROR(G19/(F19+G19),"")</f>
        <v/>
      </c>
      <c r="I19" s="11"/>
      <c r="J19" s="13" t="n">
        <f aca="false">IFERROR(INDEX('3. Costeo y Precios'!$M$14:$M$64,MATCH($C19,'3. Costeo y Precios'!$A$14:$A$64,0)),0)</f>
        <v>0</v>
      </c>
      <c r="K19" s="13" t="str">
        <f aca="false">IF($C19="","",G19*J19)</f>
        <v/>
      </c>
      <c r="L19" s="11"/>
    </row>
    <row r="20" customFormat="false" ht="15" hidden="false" customHeight="false" outlineLevel="0" collapsed="false">
      <c r="A20" s="27"/>
      <c r="B20" s="11"/>
      <c r="C20" s="11"/>
      <c r="D20" s="7" t="str">
        <f aca="false">IFERROR(INDEX('3. Costeo y Precios'!$B$14:$B$64,MATCH($C20,'3. Costeo y Precios'!$A$14:$A$64,0)),"")</f>
        <v/>
      </c>
      <c r="E20" s="11"/>
      <c r="F20" s="11"/>
      <c r="G20" s="11"/>
      <c r="H20" s="22" t="str">
        <f aca="false">IFERROR(G20/(F20+G20),"")</f>
        <v/>
      </c>
      <c r="I20" s="11"/>
      <c r="J20" s="13" t="n">
        <f aca="false">IFERROR(INDEX('3. Costeo y Precios'!$M$14:$M$64,MATCH($C20,'3. Costeo y Precios'!$A$14:$A$64,0)),0)</f>
        <v>0</v>
      </c>
      <c r="K20" s="13" t="str">
        <f aca="false">IF($C20="","",G20*J20)</f>
        <v/>
      </c>
      <c r="L20" s="11"/>
    </row>
    <row r="21" customFormat="false" ht="15" hidden="false" customHeight="false" outlineLevel="0" collapsed="false">
      <c r="A21" s="27"/>
      <c r="B21" s="11"/>
      <c r="C21" s="11"/>
      <c r="D21" s="7" t="str">
        <f aca="false">IFERROR(INDEX('3. Costeo y Precios'!$B$14:$B$64,MATCH($C21,'3. Costeo y Precios'!$A$14:$A$64,0)),"")</f>
        <v/>
      </c>
      <c r="E21" s="11"/>
      <c r="F21" s="11"/>
      <c r="G21" s="11"/>
      <c r="H21" s="22" t="str">
        <f aca="false">IFERROR(G21/(F21+G21),"")</f>
        <v/>
      </c>
      <c r="I21" s="11"/>
      <c r="J21" s="13" t="n">
        <f aca="false">IFERROR(INDEX('3. Costeo y Precios'!$M$14:$M$64,MATCH($C21,'3. Costeo y Precios'!$A$14:$A$64,0)),0)</f>
        <v>0</v>
      </c>
      <c r="K21" s="13" t="str">
        <f aca="false">IF($C21="","",G21*J21)</f>
        <v/>
      </c>
      <c r="L21" s="11"/>
    </row>
    <row r="22" customFormat="false" ht="15" hidden="false" customHeight="false" outlineLevel="0" collapsed="false">
      <c r="A22" s="27"/>
      <c r="B22" s="11"/>
      <c r="C22" s="11"/>
      <c r="D22" s="7" t="str">
        <f aca="false">IFERROR(INDEX('3. Costeo y Precios'!$B$14:$B$64,MATCH($C22,'3. Costeo y Precios'!$A$14:$A$64,0)),"")</f>
        <v/>
      </c>
      <c r="E22" s="11"/>
      <c r="F22" s="11"/>
      <c r="G22" s="11"/>
      <c r="H22" s="22" t="str">
        <f aca="false">IFERROR(G22/(F22+G22),"")</f>
        <v/>
      </c>
      <c r="I22" s="11"/>
      <c r="J22" s="13" t="n">
        <f aca="false">IFERROR(INDEX('3. Costeo y Precios'!$M$14:$M$64,MATCH($C22,'3. Costeo y Precios'!$A$14:$A$64,0)),0)</f>
        <v>0</v>
      </c>
      <c r="K22" s="13" t="str">
        <f aca="false">IF($C22="","",G22*J22)</f>
        <v/>
      </c>
      <c r="L22" s="11"/>
    </row>
    <row r="23" customFormat="false" ht="15" hidden="false" customHeight="false" outlineLevel="0" collapsed="false">
      <c r="A23" s="27"/>
      <c r="B23" s="11"/>
      <c r="C23" s="11"/>
      <c r="D23" s="7" t="str">
        <f aca="false">IFERROR(INDEX('3. Costeo y Precios'!$B$14:$B$64,MATCH($C23,'3. Costeo y Precios'!$A$14:$A$64,0)),"")</f>
        <v/>
      </c>
      <c r="E23" s="11"/>
      <c r="F23" s="11"/>
      <c r="G23" s="11"/>
      <c r="H23" s="22" t="str">
        <f aca="false">IFERROR(G23/(F23+G23),"")</f>
        <v/>
      </c>
      <c r="I23" s="11"/>
      <c r="J23" s="13" t="n">
        <f aca="false">IFERROR(INDEX('3. Costeo y Precios'!$M$14:$M$64,MATCH($C23,'3. Costeo y Precios'!$A$14:$A$64,0)),0)</f>
        <v>0</v>
      </c>
      <c r="K23" s="13" t="str">
        <f aca="false">IF($C23="","",G23*J23)</f>
        <v/>
      </c>
      <c r="L23" s="11"/>
    </row>
    <row r="24" customFormat="false" ht="15" hidden="false" customHeight="false" outlineLevel="0" collapsed="false">
      <c r="A24" s="27"/>
      <c r="B24" s="11"/>
      <c r="C24" s="11"/>
      <c r="D24" s="7" t="str">
        <f aca="false">IFERROR(INDEX('3. Costeo y Precios'!$B$14:$B$64,MATCH($C24,'3. Costeo y Precios'!$A$14:$A$64,0)),"")</f>
        <v/>
      </c>
      <c r="E24" s="11"/>
      <c r="F24" s="11"/>
      <c r="G24" s="11"/>
      <c r="H24" s="22" t="str">
        <f aca="false">IFERROR(G24/(F24+G24),"")</f>
        <v/>
      </c>
      <c r="I24" s="11"/>
      <c r="J24" s="13" t="n">
        <f aca="false">IFERROR(INDEX('3. Costeo y Precios'!$M$14:$M$64,MATCH($C24,'3. Costeo y Precios'!$A$14:$A$64,0)),0)</f>
        <v>0</v>
      </c>
      <c r="K24" s="13" t="str">
        <f aca="false">IF($C24="","",G24*J24)</f>
        <v/>
      </c>
      <c r="L24" s="11"/>
    </row>
    <row r="25" customFormat="false" ht="15" hidden="false" customHeight="false" outlineLevel="0" collapsed="false">
      <c r="A25" s="27"/>
      <c r="B25" s="11"/>
      <c r="C25" s="11"/>
      <c r="D25" s="7" t="str">
        <f aca="false">IFERROR(INDEX('3. Costeo y Precios'!$B$14:$B$64,MATCH($C25,'3. Costeo y Precios'!$A$14:$A$64,0)),"")</f>
        <v/>
      </c>
      <c r="E25" s="11"/>
      <c r="F25" s="11"/>
      <c r="G25" s="11"/>
      <c r="H25" s="22" t="str">
        <f aca="false">IFERROR(G25/(F25+G25),"")</f>
        <v/>
      </c>
      <c r="I25" s="11"/>
      <c r="J25" s="13" t="n">
        <f aca="false">IFERROR(INDEX('3. Costeo y Precios'!$M$14:$M$64,MATCH($C25,'3. Costeo y Precios'!$A$14:$A$64,0)),0)</f>
        <v>0</v>
      </c>
      <c r="K25" s="13" t="str">
        <f aca="false">IF($C25="","",G25*J25)</f>
        <v/>
      </c>
      <c r="L25" s="11"/>
    </row>
    <row r="26" customFormat="false" ht="15" hidden="false" customHeight="false" outlineLevel="0" collapsed="false">
      <c r="A26" s="27"/>
      <c r="B26" s="11"/>
      <c r="C26" s="11"/>
      <c r="D26" s="7" t="str">
        <f aca="false">IFERROR(INDEX('3. Costeo y Precios'!$B$14:$B$64,MATCH($C26,'3. Costeo y Precios'!$A$14:$A$64,0)),"")</f>
        <v/>
      </c>
      <c r="E26" s="11"/>
      <c r="F26" s="11"/>
      <c r="G26" s="11"/>
      <c r="H26" s="22" t="str">
        <f aca="false">IFERROR(G26/(F26+G26),"")</f>
        <v/>
      </c>
      <c r="I26" s="11"/>
      <c r="J26" s="13" t="n">
        <f aca="false">IFERROR(INDEX('3. Costeo y Precios'!$M$14:$M$64,MATCH($C26,'3. Costeo y Precios'!$A$14:$A$64,0)),0)</f>
        <v>0</v>
      </c>
      <c r="K26" s="13" t="str">
        <f aca="false">IF($C26="","",G26*J26)</f>
        <v/>
      </c>
      <c r="L26" s="11"/>
    </row>
    <row r="27" customFormat="false" ht="15" hidden="false" customHeight="false" outlineLevel="0" collapsed="false">
      <c r="A27" s="27"/>
      <c r="B27" s="11"/>
      <c r="C27" s="11"/>
      <c r="D27" s="7" t="str">
        <f aca="false">IFERROR(INDEX('3. Costeo y Precios'!$B$14:$B$64,MATCH($C27,'3. Costeo y Precios'!$A$14:$A$64,0)),"")</f>
        <v/>
      </c>
      <c r="E27" s="11"/>
      <c r="F27" s="11"/>
      <c r="G27" s="11"/>
      <c r="H27" s="22" t="str">
        <f aca="false">IFERROR(G27/(F27+G27),"")</f>
        <v/>
      </c>
      <c r="I27" s="11"/>
      <c r="J27" s="13" t="n">
        <f aca="false">IFERROR(INDEX('3. Costeo y Precios'!$M$14:$M$64,MATCH($C27,'3. Costeo y Precios'!$A$14:$A$64,0)),0)</f>
        <v>0</v>
      </c>
      <c r="K27" s="13" t="str">
        <f aca="false">IF($C27="","",G27*J27)</f>
        <v/>
      </c>
      <c r="L27" s="11"/>
    </row>
    <row r="28" customFormat="false" ht="15" hidden="false" customHeight="false" outlineLevel="0" collapsed="false">
      <c r="A28" s="27"/>
      <c r="B28" s="11"/>
      <c r="C28" s="11"/>
      <c r="D28" s="7" t="str">
        <f aca="false">IFERROR(INDEX('3. Costeo y Precios'!$B$14:$B$64,MATCH($C28,'3. Costeo y Precios'!$A$14:$A$64,0)),"")</f>
        <v/>
      </c>
      <c r="E28" s="11"/>
      <c r="F28" s="11"/>
      <c r="G28" s="11"/>
      <c r="H28" s="22" t="str">
        <f aca="false">IFERROR(G28/(F28+G28),"")</f>
        <v/>
      </c>
      <c r="I28" s="11"/>
      <c r="J28" s="13" t="n">
        <f aca="false">IFERROR(INDEX('3. Costeo y Precios'!$M$14:$M$64,MATCH($C28,'3. Costeo y Precios'!$A$14:$A$64,0)),0)</f>
        <v>0</v>
      </c>
      <c r="K28" s="13" t="str">
        <f aca="false">IF($C28="","",G28*J28)</f>
        <v/>
      </c>
      <c r="L28" s="11"/>
    </row>
    <row r="29" customFormat="false" ht="15" hidden="false" customHeight="false" outlineLevel="0" collapsed="false">
      <c r="A29" s="27"/>
      <c r="B29" s="11"/>
      <c r="C29" s="11"/>
      <c r="D29" s="7" t="str">
        <f aca="false">IFERROR(INDEX('3. Costeo y Precios'!$B$14:$B$64,MATCH($C29,'3. Costeo y Precios'!$A$14:$A$64,0)),"")</f>
        <v/>
      </c>
      <c r="E29" s="11"/>
      <c r="F29" s="11"/>
      <c r="G29" s="11"/>
      <c r="H29" s="22" t="str">
        <f aca="false">IFERROR(G29/(F29+G29),"")</f>
        <v/>
      </c>
      <c r="I29" s="11"/>
      <c r="J29" s="13" t="n">
        <f aca="false">IFERROR(INDEX('3. Costeo y Precios'!$M$14:$M$64,MATCH($C29,'3. Costeo y Precios'!$A$14:$A$64,0)),0)</f>
        <v>0</v>
      </c>
      <c r="K29" s="13" t="str">
        <f aca="false">IF($C29="","",G29*J29)</f>
        <v/>
      </c>
      <c r="L29" s="11"/>
    </row>
    <row r="30" customFormat="false" ht="15" hidden="false" customHeight="false" outlineLevel="0" collapsed="false">
      <c r="A30" s="27"/>
      <c r="B30" s="11"/>
      <c r="C30" s="11"/>
      <c r="D30" s="7" t="str">
        <f aca="false">IFERROR(INDEX('3. Costeo y Precios'!$B$14:$B$64,MATCH($C30,'3. Costeo y Precios'!$A$14:$A$64,0)),"")</f>
        <v/>
      </c>
      <c r="E30" s="11"/>
      <c r="F30" s="11"/>
      <c r="G30" s="11"/>
      <c r="H30" s="22" t="str">
        <f aca="false">IFERROR(G30/(F30+G30),"")</f>
        <v/>
      </c>
      <c r="I30" s="11"/>
      <c r="J30" s="13" t="n">
        <f aca="false">IFERROR(INDEX('3. Costeo y Precios'!$M$14:$M$64,MATCH($C30,'3. Costeo y Precios'!$A$14:$A$64,0)),0)</f>
        <v>0</v>
      </c>
      <c r="K30" s="13" t="str">
        <f aca="false">IF($C30="","",G30*J30)</f>
        <v/>
      </c>
      <c r="L30" s="11"/>
    </row>
    <row r="31" customFormat="false" ht="15" hidden="false" customHeight="false" outlineLevel="0" collapsed="false">
      <c r="A31" s="27"/>
      <c r="B31" s="11"/>
      <c r="C31" s="11"/>
      <c r="D31" s="7" t="str">
        <f aca="false">IFERROR(INDEX('3. Costeo y Precios'!$B$14:$B$64,MATCH($C31,'3. Costeo y Precios'!$A$14:$A$64,0)),"")</f>
        <v/>
      </c>
      <c r="E31" s="11"/>
      <c r="F31" s="11"/>
      <c r="G31" s="11"/>
      <c r="H31" s="22" t="str">
        <f aca="false">IFERROR(G31/(F31+G31),"")</f>
        <v/>
      </c>
      <c r="I31" s="11"/>
      <c r="J31" s="13" t="n">
        <f aca="false">IFERROR(INDEX('3. Costeo y Precios'!$M$14:$M$64,MATCH($C31,'3. Costeo y Precios'!$A$14:$A$64,0)),0)</f>
        <v>0</v>
      </c>
      <c r="K31" s="13" t="str">
        <f aca="false">IF($C31="","",G31*J31)</f>
        <v/>
      </c>
      <c r="L31" s="11"/>
    </row>
    <row r="32" customFormat="false" ht="15" hidden="false" customHeight="false" outlineLevel="0" collapsed="false">
      <c r="A32" s="27"/>
      <c r="B32" s="11"/>
      <c r="C32" s="11"/>
      <c r="D32" s="7" t="str">
        <f aca="false">IFERROR(INDEX('3. Costeo y Precios'!$B$14:$B$64,MATCH($C32,'3. Costeo y Precios'!$A$14:$A$64,0)),"")</f>
        <v/>
      </c>
      <c r="E32" s="11"/>
      <c r="F32" s="11"/>
      <c r="G32" s="11"/>
      <c r="H32" s="22" t="str">
        <f aca="false">IFERROR(G32/(F32+G32),"")</f>
        <v/>
      </c>
      <c r="I32" s="11"/>
      <c r="J32" s="13" t="n">
        <f aca="false">IFERROR(INDEX('3. Costeo y Precios'!$M$14:$M$64,MATCH($C32,'3. Costeo y Precios'!$A$14:$A$64,0)),0)</f>
        <v>0</v>
      </c>
      <c r="K32" s="13" t="str">
        <f aca="false">IF($C32="","",G32*J32)</f>
        <v/>
      </c>
      <c r="L32" s="11"/>
    </row>
    <row r="33" customFormat="false" ht="15" hidden="false" customHeight="false" outlineLevel="0" collapsed="false">
      <c r="A33" s="27"/>
      <c r="B33" s="11"/>
      <c r="C33" s="11"/>
      <c r="D33" s="7" t="str">
        <f aca="false">IFERROR(INDEX('3. Costeo y Precios'!$B$14:$B$64,MATCH($C33,'3. Costeo y Precios'!$A$14:$A$64,0)),"")</f>
        <v/>
      </c>
      <c r="E33" s="11"/>
      <c r="F33" s="11"/>
      <c r="G33" s="11"/>
      <c r="H33" s="22" t="str">
        <f aca="false">IFERROR(G33/(F33+G33),"")</f>
        <v/>
      </c>
      <c r="I33" s="11"/>
      <c r="J33" s="13" t="n">
        <f aca="false">IFERROR(INDEX('3. Costeo y Precios'!$M$14:$M$64,MATCH($C33,'3. Costeo y Precios'!$A$14:$A$64,0)),0)</f>
        <v>0</v>
      </c>
      <c r="K33" s="13" t="str">
        <f aca="false">IF($C33="","",G33*J33)</f>
        <v/>
      </c>
      <c r="L33" s="11"/>
    </row>
    <row r="34" customFormat="false" ht="15" hidden="false" customHeight="false" outlineLevel="0" collapsed="false">
      <c r="A34" s="27"/>
      <c r="B34" s="11"/>
      <c r="C34" s="11"/>
      <c r="D34" s="7" t="str">
        <f aca="false">IFERROR(INDEX('3. Costeo y Precios'!$B$14:$B$64,MATCH($C34,'3. Costeo y Precios'!$A$14:$A$64,0)),"")</f>
        <v/>
      </c>
      <c r="E34" s="11"/>
      <c r="F34" s="11"/>
      <c r="G34" s="11"/>
      <c r="H34" s="22" t="str">
        <f aca="false">IFERROR(G34/(F34+G34),"")</f>
        <v/>
      </c>
      <c r="I34" s="11"/>
      <c r="J34" s="13" t="n">
        <f aca="false">IFERROR(INDEX('3. Costeo y Precios'!$M$14:$M$64,MATCH($C34,'3. Costeo y Precios'!$A$14:$A$64,0)),0)</f>
        <v>0</v>
      </c>
      <c r="K34" s="13" t="str">
        <f aca="false">IF($C34="","",G34*J34)</f>
        <v/>
      </c>
      <c r="L34" s="11"/>
    </row>
    <row r="35" customFormat="false" ht="15" hidden="false" customHeight="false" outlineLevel="0" collapsed="false">
      <c r="A35" s="27"/>
      <c r="B35" s="11"/>
      <c r="C35" s="11"/>
      <c r="D35" s="7" t="str">
        <f aca="false">IFERROR(INDEX('3. Costeo y Precios'!$B$14:$B$64,MATCH($C35,'3. Costeo y Precios'!$A$14:$A$64,0)),"")</f>
        <v/>
      </c>
      <c r="E35" s="11"/>
      <c r="F35" s="11"/>
      <c r="G35" s="11"/>
      <c r="H35" s="22" t="str">
        <f aca="false">IFERROR(G35/(F35+G35),"")</f>
        <v/>
      </c>
      <c r="I35" s="11"/>
      <c r="J35" s="13" t="n">
        <f aca="false">IFERROR(INDEX('3. Costeo y Precios'!$M$14:$M$64,MATCH($C35,'3. Costeo y Precios'!$A$14:$A$64,0)),0)</f>
        <v>0</v>
      </c>
      <c r="K35" s="13" t="str">
        <f aca="false">IF($C35="","",G35*J35)</f>
        <v/>
      </c>
      <c r="L35" s="11"/>
    </row>
    <row r="36" customFormat="false" ht="15" hidden="false" customHeight="false" outlineLevel="0" collapsed="false">
      <c r="A36" s="27"/>
      <c r="B36" s="11"/>
      <c r="C36" s="11"/>
      <c r="D36" s="7" t="str">
        <f aca="false">IFERROR(INDEX('3. Costeo y Precios'!$B$14:$B$64,MATCH($C36,'3. Costeo y Precios'!$A$14:$A$64,0)),"")</f>
        <v/>
      </c>
      <c r="E36" s="11"/>
      <c r="F36" s="11"/>
      <c r="G36" s="11"/>
      <c r="H36" s="22" t="str">
        <f aca="false">IFERROR(G36/(F36+G36),"")</f>
        <v/>
      </c>
      <c r="I36" s="11"/>
      <c r="J36" s="13" t="n">
        <f aca="false">IFERROR(INDEX('3. Costeo y Precios'!$M$14:$M$64,MATCH($C36,'3. Costeo y Precios'!$A$14:$A$64,0)),0)</f>
        <v>0</v>
      </c>
      <c r="K36" s="13" t="str">
        <f aca="false">IF($C36="","",G36*J36)</f>
        <v/>
      </c>
      <c r="L36" s="11"/>
    </row>
    <row r="37" customFormat="false" ht="15" hidden="false" customHeight="false" outlineLevel="0" collapsed="false">
      <c r="A37" s="27"/>
      <c r="B37" s="11"/>
      <c r="C37" s="11"/>
      <c r="D37" s="7" t="str">
        <f aca="false">IFERROR(INDEX('3. Costeo y Precios'!$B$14:$B$64,MATCH($C37,'3. Costeo y Precios'!$A$14:$A$64,0)),"")</f>
        <v/>
      </c>
      <c r="E37" s="11"/>
      <c r="F37" s="11"/>
      <c r="G37" s="11"/>
      <c r="H37" s="22" t="str">
        <f aca="false">IFERROR(G37/(F37+G37),"")</f>
        <v/>
      </c>
      <c r="I37" s="11"/>
      <c r="J37" s="13" t="n">
        <f aca="false">IFERROR(INDEX('3. Costeo y Precios'!$M$14:$M$64,MATCH($C37,'3. Costeo y Precios'!$A$14:$A$64,0)),0)</f>
        <v>0</v>
      </c>
      <c r="K37" s="13" t="str">
        <f aca="false">IF($C37="","",G37*J37)</f>
        <v/>
      </c>
      <c r="L37" s="11"/>
    </row>
    <row r="38" customFormat="false" ht="15" hidden="false" customHeight="false" outlineLevel="0" collapsed="false">
      <c r="A38" s="27"/>
      <c r="B38" s="11"/>
      <c r="C38" s="11"/>
      <c r="D38" s="7" t="str">
        <f aca="false">IFERROR(INDEX('3. Costeo y Precios'!$B$14:$B$64,MATCH($C38,'3. Costeo y Precios'!$A$14:$A$64,0)),"")</f>
        <v/>
      </c>
      <c r="E38" s="11"/>
      <c r="F38" s="11"/>
      <c r="G38" s="11"/>
      <c r="H38" s="22" t="str">
        <f aca="false">IFERROR(G38/(F38+G38),"")</f>
        <v/>
      </c>
      <c r="I38" s="11"/>
      <c r="J38" s="13" t="n">
        <f aca="false">IFERROR(INDEX('3. Costeo y Precios'!$M$14:$M$64,MATCH($C38,'3. Costeo y Precios'!$A$14:$A$64,0)),0)</f>
        <v>0</v>
      </c>
      <c r="K38" s="13" t="str">
        <f aca="false">IF($C38="","",G38*J38)</f>
        <v/>
      </c>
      <c r="L38" s="11"/>
    </row>
    <row r="39" customFormat="false" ht="15" hidden="false" customHeight="false" outlineLevel="0" collapsed="false">
      <c r="A39" s="27"/>
      <c r="B39" s="11"/>
      <c r="C39" s="11"/>
      <c r="D39" s="7" t="str">
        <f aca="false">IFERROR(INDEX('3. Costeo y Precios'!$B$14:$B$64,MATCH($C39,'3. Costeo y Precios'!$A$14:$A$64,0)),"")</f>
        <v/>
      </c>
      <c r="E39" s="11"/>
      <c r="F39" s="11"/>
      <c r="G39" s="11"/>
      <c r="H39" s="22" t="str">
        <f aca="false">IFERROR(G39/(F39+G39),"")</f>
        <v/>
      </c>
      <c r="I39" s="11"/>
      <c r="J39" s="13" t="n">
        <f aca="false">IFERROR(INDEX('3. Costeo y Precios'!$M$14:$M$64,MATCH($C39,'3. Costeo y Precios'!$A$14:$A$64,0)),0)</f>
        <v>0</v>
      </c>
      <c r="K39" s="13" t="str">
        <f aca="false">IF($C39="","",G39*J39)</f>
        <v/>
      </c>
      <c r="L39" s="11"/>
    </row>
    <row r="40" customFormat="false" ht="15" hidden="false" customHeight="false" outlineLevel="0" collapsed="false">
      <c r="A40" s="27"/>
      <c r="B40" s="11"/>
      <c r="C40" s="11"/>
      <c r="D40" s="7" t="str">
        <f aca="false">IFERROR(INDEX('3. Costeo y Precios'!$B$14:$B$64,MATCH($C40,'3. Costeo y Precios'!$A$14:$A$64,0)),"")</f>
        <v/>
      </c>
      <c r="E40" s="11"/>
      <c r="F40" s="11"/>
      <c r="G40" s="11"/>
      <c r="H40" s="22" t="str">
        <f aca="false">IFERROR(G40/(F40+G40),"")</f>
        <v/>
      </c>
      <c r="I40" s="11"/>
      <c r="J40" s="13" t="n">
        <f aca="false">IFERROR(INDEX('3. Costeo y Precios'!$M$14:$M$64,MATCH($C40,'3. Costeo y Precios'!$A$14:$A$64,0)),0)</f>
        <v>0</v>
      </c>
      <c r="K40" s="13" t="str">
        <f aca="false">IF($C40="","",G40*J40)</f>
        <v/>
      </c>
      <c r="L40" s="11"/>
    </row>
    <row r="41" customFormat="false" ht="15" hidden="false" customHeight="false" outlineLevel="0" collapsed="false">
      <c r="A41" s="27"/>
      <c r="B41" s="11"/>
      <c r="C41" s="11"/>
      <c r="D41" s="7" t="str">
        <f aca="false">IFERROR(INDEX('3. Costeo y Precios'!$B$14:$B$64,MATCH($C41,'3. Costeo y Precios'!$A$14:$A$64,0)),"")</f>
        <v/>
      </c>
      <c r="E41" s="11"/>
      <c r="F41" s="11"/>
      <c r="G41" s="11"/>
      <c r="H41" s="22" t="str">
        <f aca="false">IFERROR(G41/(F41+G41),"")</f>
        <v/>
      </c>
      <c r="I41" s="11"/>
      <c r="J41" s="13" t="n">
        <f aca="false">IFERROR(INDEX('3. Costeo y Precios'!$M$14:$M$64,MATCH($C41,'3. Costeo y Precios'!$A$14:$A$64,0)),0)</f>
        <v>0</v>
      </c>
      <c r="K41" s="13" t="str">
        <f aca="false">IF($C41="","",G41*J41)</f>
        <v/>
      </c>
      <c r="L41" s="11"/>
    </row>
    <row r="42" customFormat="false" ht="15" hidden="false" customHeight="false" outlineLevel="0" collapsed="false">
      <c r="A42" s="27"/>
      <c r="B42" s="11"/>
      <c r="C42" s="11"/>
      <c r="D42" s="7" t="str">
        <f aca="false">IFERROR(INDEX('3. Costeo y Precios'!$B$14:$B$64,MATCH($C42,'3. Costeo y Precios'!$A$14:$A$64,0)),"")</f>
        <v/>
      </c>
      <c r="E42" s="11"/>
      <c r="F42" s="11"/>
      <c r="G42" s="11"/>
      <c r="H42" s="22" t="str">
        <f aca="false">IFERROR(G42/(F42+G42),"")</f>
        <v/>
      </c>
      <c r="I42" s="11"/>
      <c r="J42" s="13" t="n">
        <f aca="false">IFERROR(INDEX('3. Costeo y Precios'!$M$14:$M$64,MATCH($C42,'3. Costeo y Precios'!$A$14:$A$64,0)),0)</f>
        <v>0</v>
      </c>
      <c r="K42" s="13" t="str">
        <f aca="false">IF($C42="","",G42*J42)</f>
        <v/>
      </c>
      <c r="L42" s="11"/>
    </row>
    <row r="43" customFormat="false" ht="15" hidden="false" customHeight="false" outlineLevel="0" collapsed="false">
      <c r="A43" s="27"/>
      <c r="B43" s="11"/>
      <c r="C43" s="11"/>
      <c r="D43" s="7" t="str">
        <f aca="false">IFERROR(INDEX('3. Costeo y Precios'!$B$14:$B$64,MATCH($C43,'3. Costeo y Precios'!$A$14:$A$64,0)),"")</f>
        <v/>
      </c>
      <c r="E43" s="11"/>
      <c r="F43" s="11"/>
      <c r="G43" s="11"/>
      <c r="H43" s="22" t="str">
        <f aca="false">IFERROR(G43/(F43+G43),"")</f>
        <v/>
      </c>
      <c r="I43" s="11"/>
      <c r="J43" s="13" t="n">
        <f aca="false">IFERROR(INDEX('3. Costeo y Precios'!$M$14:$M$64,MATCH($C43,'3. Costeo y Precios'!$A$14:$A$64,0)),0)</f>
        <v>0</v>
      </c>
      <c r="K43" s="13" t="str">
        <f aca="false">IF($C43="","",G43*J43)</f>
        <v/>
      </c>
      <c r="L43" s="11"/>
    </row>
    <row r="44" customFormat="false" ht="15" hidden="false" customHeight="false" outlineLevel="0" collapsed="false">
      <c r="A44" s="27"/>
      <c r="B44" s="11"/>
      <c r="C44" s="11"/>
      <c r="D44" s="7" t="str">
        <f aca="false">IFERROR(INDEX('3. Costeo y Precios'!$B$14:$B$64,MATCH($C44,'3. Costeo y Precios'!$A$14:$A$64,0)),"")</f>
        <v/>
      </c>
      <c r="E44" s="11"/>
      <c r="F44" s="11"/>
      <c r="G44" s="11"/>
      <c r="H44" s="22" t="str">
        <f aca="false">IFERROR(G44/(F44+G44),"")</f>
        <v/>
      </c>
      <c r="I44" s="11"/>
      <c r="J44" s="13" t="n">
        <f aca="false">IFERROR(INDEX('3. Costeo y Precios'!$M$14:$M$64,MATCH($C44,'3. Costeo y Precios'!$A$14:$A$64,0)),0)</f>
        <v>0</v>
      </c>
      <c r="K44" s="13" t="str">
        <f aca="false">IF($C44="","",G44*J44)</f>
        <v/>
      </c>
      <c r="L44" s="11"/>
    </row>
    <row r="45" customFormat="false" ht="15" hidden="false" customHeight="false" outlineLevel="0" collapsed="false">
      <c r="A45" s="27"/>
      <c r="B45" s="11"/>
      <c r="C45" s="11"/>
      <c r="D45" s="7" t="str">
        <f aca="false">IFERROR(INDEX('3. Costeo y Precios'!$B$14:$B$64,MATCH($C45,'3. Costeo y Precios'!$A$14:$A$64,0)),"")</f>
        <v/>
      </c>
      <c r="E45" s="11"/>
      <c r="F45" s="11"/>
      <c r="G45" s="11"/>
      <c r="H45" s="22" t="str">
        <f aca="false">IFERROR(G45/(F45+G45),"")</f>
        <v/>
      </c>
      <c r="I45" s="11"/>
      <c r="J45" s="13" t="n">
        <f aca="false">IFERROR(INDEX('3. Costeo y Precios'!$M$14:$M$64,MATCH($C45,'3. Costeo y Precios'!$A$14:$A$64,0)),0)</f>
        <v>0</v>
      </c>
      <c r="K45" s="13" t="str">
        <f aca="false">IF($C45="","",G45*J45)</f>
        <v/>
      </c>
      <c r="L45" s="11"/>
    </row>
    <row r="46" customFormat="false" ht="15" hidden="false" customHeight="false" outlineLevel="0" collapsed="false">
      <c r="A46" s="27"/>
      <c r="B46" s="11"/>
      <c r="C46" s="11"/>
      <c r="D46" s="7" t="str">
        <f aca="false">IFERROR(INDEX('3. Costeo y Precios'!$B$14:$B$64,MATCH($C46,'3. Costeo y Precios'!$A$14:$A$64,0)),"")</f>
        <v/>
      </c>
      <c r="E46" s="11"/>
      <c r="F46" s="11"/>
      <c r="G46" s="11"/>
      <c r="H46" s="22" t="str">
        <f aca="false">IFERROR(G46/(F46+G46),"")</f>
        <v/>
      </c>
      <c r="I46" s="11"/>
      <c r="J46" s="13" t="n">
        <f aca="false">IFERROR(INDEX('3. Costeo y Precios'!$M$14:$M$64,MATCH($C46,'3. Costeo y Precios'!$A$14:$A$64,0)),0)</f>
        <v>0</v>
      </c>
      <c r="K46" s="13" t="str">
        <f aca="false">IF($C46="","",G46*J46)</f>
        <v/>
      </c>
      <c r="L46" s="11"/>
    </row>
    <row r="47" customFormat="false" ht="15" hidden="false" customHeight="false" outlineLevel="0" collapsed="false">
      <c r="A47" s="27"/>
      <c r="B47" s="11"/>
      <c r="C47" s="11"/>
      <c r="D47" s="7" t="str">
        <f aca="false">IFERROR(INDEX('3. Costeo y Precios'!$B$14:$B$64,MATCH($C47,'3. Costeo y Precios'!$A$14:$A$64,0)),"")</f>
        <v/>
      </c>
      <c r="E47" s="11"/>
      <c r="F47" s="11"/>
      <c r="G47" s="11"/>
      <c r="H47" s="22" t="str">
        <f aca="false">IFERROR(G47/(F47+G47),"")</f>
        <v/>
      </c>
      <c r="I47" s="11"/>
      <c r="J47" s="13" t="n">
        <f aca="false">IFERROR(INDEX('3. Costeo y Precios'!$M$14:$M$64,MATCH($C47,'3. Costeo y Precios'!$A$14:$A$64,0)),0)</f>
        <v>0</v>
      </c>
      <c r="K47" s="13" t="str">
        <f aca="false">IF($C47="","",G47*J47)</f>
        <v/>
      </c>
      <c r="L47" s="11"/>
    </row>
    <row r="48" customFormat="false" ht="15" hidden="false" customHeight="false" outlineLevel="0" collapsed="false">
      <c r="A48" s="27"/>
      <c r="B48" s="11"/>
      <c r="C48" s="11"/>
      <c r="D48" s="7" t="str">
        <f aca="false">IFERROR(INDEX('3. Costeo y Precios'!$B$14:$B$64,MATCH($C48,'3. Costeo y Precios'!$A$14:$A$64,0)),"")</f>
        <v/>
      </c>
      <c r="E48" s="11"/>
      <c r="F48" s="11"/>
      <c r="G48" s="11"/>
      <c r="H48" s="22" t="str">
        <f aca="false">IFERROR(G48/(F48+G48),"")</f>
        <v/>
      </c>
      <c r="I48" s="11"/>
      <c r="J48" s="13" t="n">
        <f aca="false">IFERROR(INDEX('3. Costeo y Precios'!$M$14:$M$64,MATCH($C48,'3. Costeo y Precios'!$A$14:$A$64,0)),0)</f>
        <v>0</v>
      </c>
      <c r="K48" s="13" t="str">
        <f aca="false">IF($C48="","",G48*J48)</f>
        <v/>
      </c>
      <c r="L48" s="11"/>
    </row>
    <row r="49" customFormat="false" ht="15" hidden="false" customHeight="false" outlineLevel="0" collapsed="false">
      <c r="A49" s="27"/>
      <c r="B49" s="11"/>
      <c r="C49" s="11"/>
      <c r="D49" s="7" t="str">
        <f aca="false">IFERROR(INDEX('3. Costeo y Precios'!$B$14:$B$64,MATCH($C49,'3. Costeo y Precios'!$A$14:$A$64,0)),"")</f>
        <v/>
      </c>
      <c r="E49" s="11"/>
      <c r="F49" s="11"/>
      <c r="G49" s="11"/>
      <c r="H49" s="22" t="str">
        <f aca="false">IFERROR(G49/(F49+G49),"")</f>
        <v/>
      </c>
      <c r="I49" s="11"/>
      <c r="J49" s="13" t="n">
        <f aca="false">IFERROR(INDEX('3. Costeo y Precios'!$M$14:$M$64,MATCH($C49,'3. Costeo y Precios'!$A$14:$A$64,0)),0)</f>
        <v>0</v>
      </c>
      <c r="K49" s="13" t="str">
        <f aca="false">IF($C49="","",G49*J49)</f>
        <v/>
      </c>
      <c r="L49" s="11"/>
    </row>
    <row r="50" customFormat="false" ht="15" hidden="false" customHeight="false" outlineLevel="0" collapsed="false">
      <c r="A50" s="27"/>
      <c r="B50" s="11"/>
      <c r="C50" s="11"/>
      <c r="D50" s="7" t="str">
        <f aca="false">IFERROR(INDEX('3. Costeo y Precios'!$B$14:$B$64,MATCH($C50,'3. Costeo y Precios'!$A$14:$A$64,0)),"")</f>
        <v/>
      </c>
      <c r="E50" s="11"/>
      <c r="F50" s="11"/>
      <c r="G50" s="11"/>
      <c r="H50" s="22" t="str">
        <f aca="false">IFERROR(G50/(F50+G50),"")</f>
        <v/>
      </c>
      <c r="I50" s="11"/>
      <c r="J50" s="13" t="n">
        <f aca="false">IFERROR(INDEX('3. Costeo y Precios'!$M$14:$M$64,MATCH($C50,'3. Costeo y Precios'!$A$14:$A$64,0)),0)</f>
        <v>0</v>
      </c>
      <c r="K50" s="13" t="str">
        <f aca="false">IF($C50="","",G50*J50)</f>
        <v/>
      </c>
      <c r="L50" s="11"/>
    </row>
    <row r="51" customFormat="false" ht="15" hidden="false" customHeight="false" outlineLevel="0" collapsed="false">
      <c r="A51" s="27"/>
      <c r="B51" s="11"/>
      <c r="C51" s="11"/>
      <c r="D51" s="7" t="str">
        <f aca="false">IFERROR(INDEX('3. Costeo y Precios'!$B$14:$B$64,MATCH($C51,'3. Costeo y Precios'!$A$14:$A$64,0)),"")</f>
        <v/>
      </c>
      <c r="E51" s="11"/>
      <c r="F51" s="11"/>
      <c r="G51" s="11"/>
      <c r="H51" s="22" t="str">
        <f aca="false">IFERROR(G51/(F51+G51),"")</f>
        <v/>
      </c>
      <c r="I51" s="11"/>
      <c r="J51" s="13" t="n">
        <f aca="false">IFERROR(INDEX('3. Costeo y Precios'!$M$14:$M$64,MATCH($C51,'3. Costeo y Precios'!$A$14:$A$64,0)),0)</f>
        <v>0</v>
      </c>
      <c r="K51" s="13" t="str">
        <f aca="false">IF($C51="","",G51*J51)</f>
        <v/>
      </c>
      <c r="L51" s="11"/>
    </row>
    <row r="52" customFormat="false" ht="15" hidden="false" customHeight="false" outlineLevel="0" collapsed="false">
      <c r="A52" s="27"/>
      <c r="B52" s="11"/>
      <c r="C52" s="11"/>
      <c r="D52" s="7" t="str">
        <f aca="false">IFERROR(INDEX('3. Costeo y Precios'!$B$14:$B$64,MATCH($C52,'3. Costeo y Precios'!$A$14:$A$64,0)),"")</f>
        <v/>
      </c>
      <c r="E52" s="11"/>
      <c r="F52" s="11"/>
      <c r="G52" s="11"/>
      <c r="H52" s="22" t="str">
        <f aca="false">IFERROR(G52/(F52+G52),"")</f>
        <v/>
      </c>
      <c r="I52" s="11"/>
      <c r="J52" s="13" t="n">
        <f aca="false">IFERROR(INDEX('3. Costeo y Precios'!$M$14:$M$64,MATCH($C52,'3. Costeo y Precios'!$A$14:$A$64,0)),0)</f>
        <v>0</v>
      </c>
      <c r="K52" s="13" t="str">
        <f aca="false">IF($C52="","",G52*J52)</f>
        <v/>
      </c>
      <c r="L52" s="11"/>
    </row>
    <row r="53" customFormat="false" ht="15" hidden="false" customHeight="false" outlineLevel="0" collapsed="false">
      <c r="A53" s="27"/>
      <c r="B53" s="11"/>
      <c r="C53" s="11"/>
      <c r="D53" s="7" t="str">
        <f aca="false">IFERROR(INDEX('3. Costeo y Precios'!$B$14:$B$64,MATCH($C53,'3. Costeo y Precios'!$A$14:$A$64,0)),"")</f>
        <v/>
      </c>
      <c r="E53" s="11"/>
      <c r="F53" s="11"/>
      <c r="G53" s="11"/>
      <c r="H53" s="22" t="str">
        <f aca="false">IFERROR(G53/(F53+G53),"")</f>
        <v/>
      </c>
      <c r="I53" s="11"/>
      <c r="J53" s="13" t="n">
        <f aca="false">IFERROR(INDEX('3. Costeo y Precios'!$M$14:$M$64,MATCH($C53,'3. Costeo y Precios'!$A$14:$A$64,0)),0)</f>
        <v>0</v>
      </c>
      <c r="K53" s="13" t="str">
        <f aca="false">IF($C53="","",G53*J53)</f>
        <v/>
      </c>
      <c r="L53" s="11"/>
    </row>
    <row r="54" customFormat="false" ht="15" hidden="false" customHeight="false" outlineLevel="0" collapsed="false">
      <c r="A54" s="27"/>
      <c r="B54" s="11"/>
      <c r="C54" s="11"/>
      <c r="D54" s="7" t="str">
        <f aca="false">IFERROR(INDEX('3. Costeo y Precios'!$B$14:$B$64,MATCH($C54,'3. Costeo y Precios'!$A$14:$A$64,0)),"")</f>
        <v/>
      </c>
      <c r="E54" s="11"/>
      <c r="F54" s="11"/>
      <c r="G54" s="11"/>
      <c r="H54" s="22" t="str">
        <f aca="false">IFERROR(G54/(F54+G54),"")</f>
        <v/>
      </c>
      <c r="I54" s="11"/>
      <c r="J54" s="13" t="n">
        <f aca="false">IFERROR(INDEX('3. Costeo y Precios'!$M$14:$M$64,MATCH($C54,'3. Costeo y Precios'!$A$14:$A$64,0)),0)</f>
        <v>0</v>
      </c>
      <c r="K54" s="13" t="str">
        <f aca="false">IF($C54="","",G54*J54)</f>
        <v/>
      </c>
      <c r="L54" s="11"/>
    </row>
    <row r="55" customFormat="false" ht="15" hidden="false" customHeight="false" outlineLevel="0" collapsed="false">
      <c r="A55" s="27"/>
      <c r="B55" s="11"/>
      <c r="C55" s="11"/>
      <c r="D55" s="7" t="str">
        <f aca="false">IFERROR(INDEX('3. Costeo y Precios'!$B$14:$B$64,MATCH($C55,'3. Costeo y Precios'!$A$14:$A$64,0)),"")</f>
        <v/>
      </c>
      <c r="E55" s="11"/>
      <c r="F55" s="11"/>
      <c r="G55" s="11"/>
      <c r="H55" s="22" t="str">
        <f aca="false">IFERROR(G55/(F55+G55),"")</f>
        <v/>
      </c>
      <c r="I55" s="11"/>
      <c r="J55" s="13" t="n">
        <f aca="false">IFERROR(INDEX('3. Costeo y Precios'!$M$14:$M$64,MATCH($C55,'3. Costeo y Precios'!$A$14:$A$64,0)),0)</f>
        <v>0</v>
      </c>
      <c r="K55" s="13" t="str">
        <f aca="false">IF($C55="","",G55*J55)</f>
        <v/>
      </c>
      <c r="L55" s="11"/>
    </row>
    <row r="56" customFormat="false" ht="15" hidden="false" customHeight="false" outlineLevel="0" collapsed="false">
      <c r="A56" s="27"/>
      <c r="B56" s="11"/>
      <c r="C56" s="11"/>
      <c r="D56" s="7" t="str">
        <f aca="false">IFERROR(INDEX('3. Costeo y Precios'!$B$14:$B$64,MATCH($C56,'3. Costeo y Precios'!$A$14:$A$64,0)),"")</f>
        <v/>
      </c>
      <c r="E56" s="11"/>
      <c r="F56" s="11"/>
      <c r="G56" s="11"/>
      <c r="H56" s="22" t="str">
        <f aca="false">IFERROR(G56/(F56+G56),"")</f>
        <v/>
      </c>
      <c r="I56" s="11"/>
      <c r="J56" s="13" t="n">
        <f aca="false">IFERROR(INDEX('3. Costeo y Precios'!$M$14:$M$64,MATCH($C56,'3. Costeo y Precios'!$A$14:$A$64,0)),0)</f>
        <v>0</v>
      </c>
      <c r="K56" s="13" t="str">
        <f aca="false">IF($C56="","",G56*J56)</f>
        <v/>
      </c>
      <c r="L56" s="11"/>
    </row>
    <row r="57" customFormat="false" ht="15" hidden="false" customHeight="false" outlineLevel="0" collapsed="false">
      <c r="A57" s="27"/>
      <c r="B57" s="11"/>
      <c r="C57" s="11"/>
      <c r="D57" s="7" t="str">
        <f aca="false">IFERROR(INDEX('3. Costeo y Precios'!$B$14:$B$64,MATCH($C57,'3. Costeo y Precios'!$A$14:$A$64,0)),"")</f>
        <v/>
      </c>
      <c r="E57" s="11"/>
      <c r="F57" s="11"/>
      <c r="G57" s="11"/>
      <c r="H57" s="22" t="str">
        <f aca="false">IFERROR(G57/(F57+G57),"")</f>
        <v/>
      </c>
      <c r="I57" s="11"/>
      <c r="J57" s="13" t="n">
        <f aca="false">IFERROR(INDEX('3. Costeo y Precios'!$M$14:$M$64,MATCH($C57,'3. Costeo y Precios'!$A$14:$A$64,0)),0)</f>
        <v>0</v>
      </c>
      <c r="K57" s="13" t="str">
        <f aca="false">IF($C57="","",G57*J57)</f>
        <v/>
      </c>
      <c r="L57" s="11"/>
    </row>
    <row r="58" customFormat="false" ht="15" hidden="false" customHeight="false" outlineLevel="0" collapsed="false">
      <c r="A58" s="27"/>
      <c r="B58" s="11"/>
      <c r="C58" s="11"/>
      <c r="D58" s="7" t="str">
        <f aca="false">IFERROR(INDEX('3. Costeo y Precios'!$B$14:$B$64,MATCH($C58,'3. Costeo y Precios'!$A$14:$A$64,0)),"")</f>
        <v/>
      </c>
      <c r="E58" s="11"/>
      <c r="F58" s="11"/>
      <c r="G58" s="11"/>
      <c r="H58" s="22" t="str">
        <f aca="false">IFERROR(G58/(F58+G58),"")</f>
        <v/>
      </c>
      <c r="I58" s="11"/>
      <c r="J58" s="13" t="n">
        <f aca="false">IFERROR(INDEX('3. Costeo y Precios'!$M$14:$M$64,MATCH($C58,'3. Costeo y Precios'!$A$14:$A$64,0)),0)</f>
        <v>0</v>
      </c>
      <c r="K58" s="13" t="str">
        <f aca="false">IF($C58="","",G58*J58)</f>
        <v/>
      </c>
      <c r="L58" s="11"/>
    </row>
    <row r="59" customFormat="false" ht="15" hidden="false" customHeight="false" outlineLevel="0" collapsed="false">
      <c r="A59" s="27"/>
      <c r="B59" s="11"/>
      <c r="C59" s="11"/>
      <c r="D59" s="7" t="str">
        <f aca="false">IFERROR(INDEX('3. Costeo y Precios'!$B$14:$B$64,MATCH($C59,'3. Costeo y Precios'!$A$14:$A$64,0)),"")</f>
        <v/>
      </c>
      <c r="E59" s="11"/>
      <c r="F59" s="11"/>
      <c r="G59" s="11"/>
      <c r="H59" s="22" t="str">
        <f aca="false">IFERROR(G59/(F59+G59),"")</f>
        <v/>
      </c>
      <c r="I59" s="11"/>
      <c r="J59" s="13" t="n">
        <f aca="false">IFERROR(INDEX('3. Costeo y Precios'!$M$14:$M$64,MATCH($C59,'3. Costeo y Precios'!$A$14:$A$64,0)),0)</f>
        <v>0</v>
      </c>
      <c r="K59" s="13" t="str">
        <f aca="false">IF($C59="","",G59*J59)</f>
        <v/>
      </c>
      <c r="L59" s="11"/>
    </row>
    <row r="60" customFormat="false" ht="15" hidden="false" customHeight="false" outlineLevel="0" collapsed="false">
      <c r="A60" s="27"/>
      <c r="B60" s="11"/>
      <c r="C60" s="11"/>
      <c r="D60" s="7" t="str">
        <f aca="false">IFERROR(INDEX('3. Costeo y Precios'!$B$14:$B$64,MATCH($C60,'3. Costeo y Precios'!$A$14:$A$64,0)),"")</f>
        <v/>
      </c>
      <c r="E60" s="11"/>
      <c r="F60" s="11"/>
      <c r="G60" s="11"/>
      <c r="H60" s="22" t="str">
        <f aca="false">IFERROR(G60/(F60+G60),"")</f>
        <v/>
      </c>
      <c r="I60" s="11"/>
      <c r="J60" s="13" t="n">
        <f aca="false">IFERROR(INDEX('3. Costeo y Precios'!$M$14:$M$64,MATCH($C60,'3. Costeo y Precios'!$A$14:$A$64,0)),0)</f>
        <v>0</v>
      </c>
      <c r="K60" s="13" t="str">
        <f aca="false">IF($C60="","",G60*J60)</f>
        <v/>
      </c>
      <c r="L60" s="11"/>
    </row>
    <row r="61" customFormat="false" ht="15" hidden="false" customHeight="false" outlineLevel="0" collapsed="false">
      <c r="A61" s="27"/>
      <c r="B61" s="11"/>
      <c r="C61" s="11"/>
      <c r="D61" s="7" t="str">
        <f aca="false">IFERROR(INDEX('3. Costeo y Precios'!$B$14:$B$64,MATCH($C61,'3. Costeo y Precios'!$A$14:$A$64,0)),"")</f>
        <v/>
      </c>
      <c r="E61" s="11"/>
      <c r="F61" s="11"/>
      <c r="G61" s="11"/>
      <c r="H61" s="22" t="str">
        <f aca="false">IFERROR(G61/(F61+G61),"")</f>
        <v/>
      </c>
      <c r="I61" s="11"/>
      <c r="J61" s="13" t="n">
        <f aca="false">IFERROR(INDEX('3. Costeo y Precios'!$M$14:$M$64,MATCH($C61,'3. Costeo y Precios'!$A$14:$A$64,0)),0)</f>
        <v>0</v>
      </c>
      <c r="K61" s="13" t="str">
        <f aca="false">IF($C61="","",G61*J61)</f>
        <v/>
      </c>
      <c r="L61" s="11"/>
    </row>
    <row r="62" customFormat="false" ht="15" hidden="false" customHeight="false" outlineLevel="0" collapsed="false">
      <c r="A62" s="27"/>
      <c r="B62" s="11"/>
      <c r="C62" s="11"/>
      <c r="D62" s="7" t="str">
        <f aca="false">IFERROR(INDEX('3. Costeo y Precios'!$B$14:$B$64,MATCH($C62,'3. Costeo y Precios'!$A$14:$A$64,0)),"")</f>
        <v/>
      </c>
      <c r="E62" s="11"/>
      <c r="F62" s="11"/>
      <c r="G62" s="11"/>
      <c r="H62" s="22" t="str">
        <f aca="false">IFERROR(G62/(F62+G62),"")</f>
        <v/>
      </c>
      <c r="I62" s="11"/>
      <c r="J62" s="13" t="n">
        <f aca="false">IFERROR(INDEX('3. Costeo y Precios'!$M$14:$M$64,MATCH($C62,'3. Costeo y Precios'!$A$14:$A$64,0)),0)</f>
        <v>0</v>
      </c>
      <c r="K62" s="13" t="str">
        <f aca="false">IF($C62="","",G62*J62)</f>
        <v/>
      </c>
      <c r="L62" s="11"/>
    </row>
    <row r="63" customFormat="false" ht="15" hidden="false" customHeight="false" outlineLevel="0" collapsed="false">
      <c r="A63" s="27"/>
      <c r="B63" s="11"/>
      <c r="C63" s="11"/>
      <c r="D63" s="7" t="str">
        <f aca="false">IFERROR(INDEX('3. Costeo y Precios'!$B$14:$B$64,MATCH($C63,'3. Costeo y Precios'!$A$14:$A$64,0)),"")</f>
        <v/>
      </c>
      <c r="E63" s="11"/>
      <c r="F63" s="11"/>
      <c r="G63" s="11"/>
      <c r="H63" s="22" t="str">
        <f aca="false">IFERROR(G63/(F63+G63),"")</f>
        <v/>
      </c>
      <c r="I63" s="11"/>
      <c r="J63" s="13" t="n">
        <f aca="false">IFERROR(INDEX('3. Costeo y Precios'!$M$14:$M$64,MATCH($C63,'3. Costeo y Precios'!$A$14:$A$64,0)),0)</f>
        <v>0</v>
      </c>
      <c r="K63" s="13" t="str">
        <f aca="false">IF($C63="","",G63*J63)</f>
        <v/>
      </c>
      <c r="L63" s="11"/>
    </row>
    <row r="64" customFormat="false" ht="15" hidden="false" customHeight="false" outlineLevel="0" collapsed="false">
      <c r="A64" s="27"/>
      <c r="B64" s="11"/>
      <c r="C64" s="11"/>
      <c r="D64" s="7" t="str">
        <f aca="false">IFERROR(INDEX('3. Costeo y Precios'!$B$14:$B$64,MATCH($C64,'3. Costeo y Precios'!$A$14:$A$64,0)),"")</f>
        <v/>
      </c>
      <c r="E64" s="11"/>
      <c r="F64" s="11"/>
      <c r="G64" s="11"/>
      <c r="H64" s="22" t="str">
        <f aca="false">IFERROR(G64/(F64+G64),"")</f>
        <v/>
      </c>
      <c r="I64" s="11"/>
      <c r="J64" s="13" t="n">
        <f aca="false">IFERROR(INDEX('3. Costeo y Precios'!$M$14:$M$64,MATCH($C64,'3. Costeo y Precios'!$A$14:$A$64,0)),0)</f>
        <v>0</v>
      </c>
      <c r="K64" s="13" t="str">
        <f aca="false">IF($C64="","",G64*J64)</f>
        <v/>
      </c>
      <c r="L64" s="11"/>
    </row>
    <row r="65" customFormat="false" ht="15" hidden="false" customHeight="false" outlineLevel="0" collapsed="false">
      <c r="A65" s="27"/>
      <c r="B65" s="11"/>
      <c r="C65" s="11"/>
      <c r="D65" s="7" t="str">
        <f aca="false">IFERROR(INDEX('3. Costeo y Precios'!$B$14:$B$64,MATCH($C65,'3. Costeo y Precios'!$A$14:$A$64,0)),"")</f>
        <v/>
      </c>
      <c r="E65" s="11"/>
      <c r="F65" s="11"/>
      <c r="G65" s="11"/>
      <c r="H65" s="22" t="str">
        <f aca="false">IFERROR(G65/(F65+G65),"")</f>
        <v/>
      </c>
      <c r="I65" s="11"/>
      <c r="J65" s="13" t="n">
        <f aca="false">IFERROR(INDEX('3. Costeo y Precios'!$M$14:$M$64,MATCH($C65,'3. Costeo y Precios'!$A$14:$A$64,0)),0)</f>
        <v>0</v>
      </c>
      <c r="K65" s="13" t="str">
        <f aca="false">IF($C65="","",G65*J65)</f>
        <v/>
      </c>
      <c r="L65" s="11"/>
    </row>
    <row r="66" customFormat="false" ht="15" hidden="false" customHeight="false" outlineLevel="0" collapsed="false">
      <c r="A66" s="27"/>
      <c r="B66" s="11"/>
      <c r="C66" s="11"/>
      <c r="D66" s="7" t="str">
        <f aca="false">IFERROR(INDEX('3. Costeo y Precios'!$B$14:$B$64,MATCH($C66,'3. Costeo y Precios'!$A$14:$A$64,0)),"")</f>
        <v/>
      </c>
      <c r="E66" s="11"/>
      <c r="F66" s="11"/>
      <c r="G66" s="11"/>
      <c r="H66" s="22" t="str">
        <f aca="false">IFERROR(G66/(F66+G66),"")</f>
        <v/>
      </c>
      <c r="I66" s="11"/>
      <c r="J66" s="13" t="n">
        <f aca="false">IFERROR(INDEX('3. Costeo y Precios'!$M$14:$M$64,MATCH($C66,'3. Costeo y Precios'!$A$14:$A$64,0)),0)</f>
        <v>0</v>
      </c>
      <c r="K66" s="13" t="str">
        <f aca="false">IF($C66="","",G66*J66)</f>
        <v/>
      </c>
      <c r="L66" s="11"/>
    </row>
    <row r="67" customFormat="false" ht="15" hidden="false" customHeight="false" outlineLevel="0" collapsed="false">
      <c r="A67" s="27"/>
      <c r="B67" s="11"/>
      <c r="C67" s="11"/>
      <c r="D67" s="7" t="str">
        <f aca="false">IFERROR(INDEX('3. Costeo y Precios'!$B$14:$B$64,MATCH($C67,'3. Costeo y Precios'!$A$14:$A$64,0)),"")</f>
        <v/>
      </c>
      <c r="E67" s="11"/>
      <c r="F67" s="11"/>
      <c r="G67" s="11"/>
      <c r="H67" s="22" t="str">
        <f aca="false">IFERROR(G67/(F67+G67),"")</f>
        <v/>
      </c>
      <c r="I67" s="11"/>
      <c r="J67" s="13" t="n">
        <f aca="false">IFERROR(INDEX('3. Costeo y Precios'!$M$14:$M$64,MATCH($C67,'3. Costeo y Precios'!$A$14:$A$64,0)),0)</f>
        <v>0</v>
      </c>
      <c r="K67" s="13" t="str">
        <f aca="false">IF($C67="","",G67*J67)</f>
        <v/>
      </c>
      <c r="L67" s="11"/>
    </row>
    <row r="68" customFormat="false" ht="15" hidden="false" customHeight="false" outlineLevel="0" collapsed="false">
      <c r="A68" s="27"/>
      <c r="B68" s="11"/>
      <c r="C68" s="11"/>
      <c r="D68" s="7" t="str">
        <f aca="false">IFERROR(INDEX('3. Costeo y Precios'!$B$14:$B$64,MATCH($C68,'3. Costeo y Precios'!$A$14:$A$64,0)),"")</f>
        <v/>
      </c>
      <c r="E68" s="11"/>
      <c r="F68" s="11"/>
      <c r="G68" s="11"/>
      <c r="H68" s="22" t="str">
        <f aca="false">IFERROR(G68/(F68+G68),"")</f>
        <v/>
      </c>
      <c r="I68" s="11"/>
      <c r="J68" s="13" t="n">
        <f aca="false">IFERROR(INDEX('3. Costeo y Precios'!$M$14:$M$64,MATCH($C68,'3. Costeo y Precios'!$A$14:$A$64,0)),0)</f>
        <v>0</v>
      </c>
      <c r="K68" s="13" t="str">
        <f aca="false">IF($C68="","",G68*J68)</f>
        <v/>
      </c>
      <c r="L68" s="11"/>
    </row>
    <row r="69" customFormat="false" ht="15" hidden="false" customHeight="false" outlineLevel="0" collapsed="false">
      <c r="A69" s="27"/>
      <c r="B69" s="11"/>
      <c r="C69" s="11"/>
      <c r="D69" s="7" t="str">
        <f aca="false">IFERROR(INDEX('3. Costeo y Precios'!$B$14:$B$64,MATCH($C69,'3. Costeo y Precios'!$A$14:$A$64,0)),"")</f>
        <v/>
      </c>
      <c r="E69" s="11"/>
      <c r="F69" s="11"/>
      <c r="G69" s="11"/>
      <c r="H69" s="22" t="str">
        <f aca="false">IFERROR(G69/(F69+G69),"")</f>
        <v/>
      </c>
      <c r="I69" s="11"/>
      <c r="J69" s="13" t="n">
        <f aca="false">IFERROR(INDEX('3. Costeo y Precios'!$M$14:$M$64,MATCH($C69,'3. Costeo y Precios'!$A$14:$A$64,0)),0)</f>
        <v>0</v>
      </c>
      <c r="K69" s="13" t="str">
        <f aca="false">IF($C69="","",G69*J69)</f>
        <v/>
      </c>
      <c r="L69" s="11"/>
    </row>
    <row r="70" customFormat="false" ht="15" hidden="false" customHeight="false" outlineLevel="0" collapsed="false">
      <c r="A70" s="27"/>
      <c r="B70" s="11"/>
      <c r="C70" s="11"/>
      <c r="D70" s="7" t="str">
        <f aca="false">IFERROR(INDEX('3. Costeo y Precios'!$B$14:$B$64,MATCH($C70,'3. Costeo y Precios'!$A$14:$A$64,0)),"")</f>
        <v/>
      </c>
      <c r="E70" s="11"/>
      <c r="F70" s="11"/>
      <c r="G70" s="11"/>
      <c r="H70" s="22" t="str">
        <f aca="false">IFERROR(G70/(F70+G70),"")</f>
        <v/>
      </c>
      <c r="I70" s="11"/>
      <c r="J70" s="13" t="n">
        <f aca="false">IFERROR(INDEX('3. Costeo y Precios'!$M$14:$M$64,MATCH($C70,'3. Costeo y Precios'!$A$14:$A$64,0)),0)</f>
        <v>0</v>
      </c>
      <c r="K70" s="13" t="str">
        <f aca="false">IF($C70="","",G70*J70)</f>
        <v/>
      </c>
      <c r="L70" s="11"/>
    </row>
    <row r="71" customFormat="false" ht="15" hidden="false" customHeight="false" outlineLevel="0" collapsed="false">
      <c r="A71" s="27"/>
      <c r="B71" s="11"/>
      <c r="C71" s="11"/>
      <c r="D71" s="7" t="str">
        <f aca="false">IFERROR(INDEX('3. Costeo y Precios'!$B$14:$B$64,MATCH($C71,'3. Costeo y Precios'!$A$14:$A$64,0)),"")</f>
        <v/>
      </c>
      <c r="E71" s="11"/>
      <c r="F71" s="11"/>
      <c r="G71" s="11"/>
      <c r="H71" s="22" t="str">
        <f aca="false">IFERROR(G71/(F71+G71),"")</f>
        <v/>
      </c>
      <c r="I71" s="11"/>
      <c r="J71" s="13" t="n">
        <f aca="false">IFERROR(INDEX('3. Costeo y Precios'!$M$14:$M$64,MATCH($C71,'3. Costeo y Precios'!$A$14:$A$64,0)),0)</f>
        <v>0</v>
      </c>
      <c r="K71" s="13" t="str">
        <f aca="false">IF($C71="","",G71*J71)</f>
        <v/>
      </c>
      <c r="L71" s="11"/>
    </row>
    <row r="72" customFormat="false" ht="15" hidden="false" customHeight="false" outlineLevel="0" collapsed="false">
      <c r="A72" s="27"/>
      <c r="B72" s="11"/>
      <c r="C72" s="11"/>
      <c r="D72" s="7" t="str">
        <f aca="false">IFERROR(INDEX('3. Costeo y Precios'!$B$14:$B$64,MATCH($C72,'3. Costeo y Precios'!$A$14:$A$64,0)),"")</f>
        <v/>
      </c>
      <c r="E72" s="11"/>
      <c r="F72" s="11"/>
      <c r="G72" s="11"/>
      <c r="H72" s="22" t="str">
        <f aca="false">IFERROR(G72/(F72+G72),"")</f>
        <v/>
      </c>
      <c r="I72" s="11"/>
      <c r="J72" s="13" t="n">
        <f aca="false">IFERROR(INDEX('3. Costeo y Precios'!$M$14:$M$64,MATCH($C72,'3. Costeo y Precios'!$A$14:$A$64,0)),0)</f>
        <v>0</v>
      </c>
      <c r="K72" s="13" t="str">
        <f aca="false">IF($C72="","",G72*J72)</f>
        <v/>
      </c>
      <c r="L72" s="11"/>
    </row>
    <row r="73" customFormat="false" ht="15" hidden="false" customHeight="false" outlineLevel="0" collapsed="false">
      <c r="A73" s="27"/>
      <c r="B73" s="11"/>
      <c r="C73" s="11"/>
      <c r="D73" s="7" t="str">
        <f aca="false">IFERROR(INDEX('3. Costeo y Precios'!$B$14:$B$64,MATCH($C73,'3. Costeo y Precios'!$A$14:$A$64,0)),"")</f>
        <v/>
      </c>
      <c r="E73" s="11"/>
      <c r="F73" s="11"/>
      <c r="G73" s="11"/>
      <c r="H73" s="22" t="str">
        <f aca="false">IFERROR(G73/(F73+G73),"")</f>
        <v/>
      </c>
      <c r="I73" s="11"/>
      <c r="J73" s="13" t="n">
        <f aca="false">IFERROR(INDEX('3. Costeo y Precios'!$M$14:$M$64,MATCH($C73,'3. Costeo y Precios'!$A$14:$A$64,0)),0)</f>
        <v>0</v>
      </c>
      <c r="K73" s="13" t="str">
        <f aca="false">IF($C73="","",G73*J73)</f>
        <v/>
      </c>
      <c r="L73" s="11"/>
    </row>
    <row r="74" customFormat="false" ht="15" hidden="false" customHeight="false" outlineLevel="0" collapsed="false">
      <c r="A74" s="27"/>
      <c r="B74" s="11"/>
      <c r="C74" s="11"/>
      <c r="D74" s="7" t="str">
        <f aca="false">IFERROR(INDEX('3. Costeo y Precios'!$B$14:$B$64,MATCH($C74,'3. Costeo y Precios'!$A$14:$A$64,0)),"")</f>
        <v/>
      </c>
      <c r="E74" s="11"/>
      <c r="F74" s="11"/>
      <c r="G74" s="11"/>
      <c r="H74" s="22" t="str">
        <f aca="false">IFERROR(G74/(F74+G74),"")</f>
        <v/>
      </c>
      <c r="I74" s="11"/>
      <c r="J74" s="13" t="n">
        <f aca="false">IFERROR(INDEX('3. Costeo y Precios'!$M$14:$M$64,MATCH($C74,'3. Costeo y Precios'!$A$14:$A$64,0)),0)</f>
        <v>0</v>
      </c>
      <c r="K74" s="13" t="str">
        <f aca="false">IF($C74="","",G74*J74)</f>
        <v/>
      </c>
      <c r="L74" s="11"/>
    </row>
    <row r="75" customFormat="false" ht="15" hidden="false" customHeight="false" outlineLevel="0" collapsed="false">
      <c r="A75" s="27"/>
      <c r="B75" s="11"/>
      <c r="C75" s="11"/>
      <c r="D75" s="7" t="str">
        <f aca="false">IFERROR(INDEX('3. Costeo y Precios'!$B$14:$B$64,MATCH($C75,'3. Costeo y Precios'!$A$14:$A$64,0)),"")</f>
        <v/>
      </c>
      <c r="E75" s="11"/>
      <c r="F75" s="11"/>
      <c r="G75" s="11"/>
      <c r="H75" s="22" t="str">
        <f aca="false">IFERROR(G75/(F75+G75),"")</f>
        <v/>
      </c>
      <c r="I75" s="11"/>
      <c r="J75" s="13" t="n">
        <f aca="false">IFERROR(INDEX('3. Costeo y Precios'!$M$14:$M$64,MATCH($C75,'3. Costeo y Precios'!$A$14:$A$64,0)),0)</f>
        <v>0</v>
      </c>
      <c r="K75" s="13" t="str">
        <f aca="false">IF($C75="","",G75*J75)</f>
        <v/>
      </c>
      <c r="L75" s="11"/>
    </row>
    <row r="76" customFormat="false" ht="15" hidden="false" customHeight="false" outlineLevel="0" collapsed="false">
      <c r="A76" s="27"/>
      <c r="B76" s="11"/>
      <c r="C76" s="11"/>
      <c r="D76" s="7" t="str">
        <f aca="false">IFERROR(INDEX('3. Costeo y Precios'!$B$14:$B$64,MATCH($C76,'3. Costeo y Precios'!$A$14:$A$64,0)),"")</f>
        <v/>
      </c>
      <c r="E76" s="11"/>
      <c r="F76" s="11"/>
      <c r="G76" s="11"/>
      <c r="H76" s="22" t="str">
        <f aca="false">IFERROR(G76/(F76+G76),"")</f>
        <v/>
      </c>
      <c r="I76" s="11"/>
      <c r="J76" s="13" t="n">
        <f aca="false">IFERROR(INDEX('3. Costeo y Precios'!$M$14:$M$64,MATCH($C76,'3. Costeo y Precios'!$A$14:$A$64,0)),0)</f>
        <v>0</v>
      </c>
      <c r="K76" s="13" t="str">
        <f aca="false">IF($C76="","",G76*J76)</f>
        <v/>
      </c>
      <c r="L76" s="11"/>
    </row>
    <row r="77" customFormat="false" ht="15" hidden="false" customHeight="false" outlineLevel="0" collapsed="false">
      <c r="A77" s="27"/>
      <c r="B77" s="11"/>
      <c r="C77" s="11"/>
      <c r="D77" s="7" t="str">
        <f aca="false">IFERROR(INDEX('3. Costeo y Precios'!$B$14:$B$64,MATCH($C77,'3. Costeo y Precios'!$A$14:$A$64,0)),"")</f>
        <v/>
      </c>
      <c r="E77" s="11"/>
      <c r="F77" s="11"/>
      <c r="G77" s="11"/>
      <c r="H77" s="22" t="str">
        <f aca="false">IFERROR(G77/(F77+G77),"")</f>
        <v/>
      </c>
      <c r="I77" s="11"/>
      <c r="J77" s="13" t="n">
        <f aca="false">IFERROR(INDEX('3. Costeo y Precios'!$M$14:$M$64,MATCH($C77,'3. Costeo y Precios'!$A$14:$A$64,0)),0)</f>
        <v>0</v>
      </c>
      <c r="K77" s="13" t="str">
        <f aca="false">IF($C77="","",G77*J77)</f>
        <v/>
      </c>
      <c r="L77" s="11"/>
    </row>
    <row r="78" customFormat="false" ht="15" hidden="false" customHeight="false" outlineLevel="0" collapsed="false">
      <c r="A78" s="27"/>
      <c r="B78" s="11"/>
      <c r="C78" s="11"/>
      <c r="D78" s="7" t="str">
        <f aca="false">IFERROR(INDEX('3. Costeo y Precios'!$B$14:$B$64,MATCH($C78,'3. Costeo y Precios'!$A$14:$A$64,0)),"")</f>
        <v/>
      </c>
      <c r="E78" s="11"/>
      <c r="F78" s="11"/>
      <c r="G78" s="11"/>
      <c r="H78" s="22" t="str">
        <f aca="false">IFERROR(G78/(F78+G78),"")</f>
        <v/>
      </c>
      <c r="I78" s="11"/>
      <c r="J78" s="13" t="n">
        <f aca="false">IFERROR(INDEX('3. Costeo y Precios'!$M$14:$M$64,MATCH($C78,'3. Costeo y Precios'!$A$14:$A$64,0)),0)</f>
        <v>0</v>
      </c>
      <c r="K78" s="13" t="str">
        <f aca="false">IF($C78="","",G78*J78)</f>
        <v/>
      </c>
      <c r="L78" s="11"/>
    </row>
    <row r="79" customFormat="false" ht="15" hidden="false" customHeight="false" outlineLevel="0" collapsed="false">
      <c r="A79" s="27"/>
      <c r="B79" s="11"/>
      <c r="C79" s="11"/>
      <c r="D79" s="7" t="str">
        <f aca="false">IFERROR(INDEX('3. Costeo y Precios'!$B$14:$B$64,MATCH($C79,'3. Costeo y Precios'!$A$14:$A$64,0)),"")</f>
        <v/>
      </c>
      <c r="E79" s="11"/>
      <c r="F79" s="11"/>
      <c r="G79" s="11"/>
      <c r="H79" s="22" t="str">
        <f aca="false">IFERROR(G79/(F79+G79),"")</f>
        <v/>
      </c>
      <c r="I79" s="11"/>
      <c r="J79" s="13" t="n">
        <f aca="false">IFERROR(INDEX('3. Costeo y Precios'!$M$14:$M$64,MATCH($C79,'3. Costeo y Precios'!$A$14:$A$64,0)),0)</f>
        <v>0</v>
      </c>
      <c r="K79" s="13" t="str">
        <f aca="false">IF($C79="","",G79*J79)</f>
        <v/>
      </c>
      <c r="L79" s="11"/>
    </row>
    <row r="80" customFormat="false" ht="15" hidden="false" customHeight="false" outlineLevel="0" collapsed="false">
      <c r="A80" s="27"/>
      <c r="B80" s="11"/>
      <c r="C80" s="11"/>
      <c r="D80" s="7" t="str">
        <f aca="false">IFERROR(INDEX('3. Costeo y Precios'!$B$14:$B$64,MATCH($C80,'3. Costeo y Precios'!$A$14:$A$64,0)),"")</f>
        <v/>
      </c>
      <c r="E80" s="11"/>
      <c r="F80" s="11"/>
      <c r="G80" s="11"/>
      <c r="H80" s="22" t="str">
        <f aca="false">IFERROR(G80/(F80+G80),"")</f>
        <v/>
      </c>
      <c r="I80" s="11"/>
      <c r="J80" s="13" t="n">
        <f aca="false">IFERROR(INDEX('3. Costeo y Precios'!$M$14:$M$64,MATCH($C80,'3. Costeo y Precios'!$A$14:$A$64,0)),0)</f>
        <v>0</v>
      </c>
      <c r="K80" s="13" t="str">
        <f aca="false">IF($C80="","",G80*J80)</f>
        <v/>
      </c>
      <c r="L80" s="11"/>
    </row>
    <row r="81" customFormat="false" ht="15" hidden="false" customHeight="false" outlineLevel="0" collapsed="false">
      <c r="A81" s="27"/>
      <c r="B81" s="11"/>
      <c r="C81" s="11"/>
      <c r="D81" s="7" t="str">
        <f aca="false">IFERROR(INDEX('3. Costeo y Precios'!$B$14:$B$64,MATCH($C81,'3. Costeo y Precios'!$A$14:$A$64,0)),"")</f>
        <v/>
      </c>
      <c r="E81" s="11"/>
      <c r="F81" s="11"/>
      <c r="G81" s="11"/>
      <c r="H81" s="22" t="str">
        <f aca="false">IFERROR(G81/(F81+G81),"")</f>
        <v/>
      </c>
      <c r="I81" s="11"/>
      <c r="J81" s="13" t="n">
        <f aca="false">IFERROR(INDEX('3. Costeo y Precios'!$M$14:$M$64,MATCH($C81,'3. Costeo y Precios'!$A$14:$A$64,0)),0)</f>
        <v>0</v>
      </c>
      <c r="K81" s="13" t="str">
        <f aca="false">IF($C81="","",G81*J81)</f>
        <v/>
      </c>
      <c r="L81" s="11"/>
    </row>
    <row r="82" customFormat="false" ht="15" hidden="false" customHeight="false" outlineLevel="0" collapsed="false">
      <c r="A82" s="27"/>
      <c r="B82" s="11"/>
      <c r="C82" s="11"/>
      <c r="D82" s="7" t="str">
        <f aca="false">IFERROR(INDEX('3. Costeo y Precios'!$B$14:$B$64,MATCH($C82,'3. Costeo y Precios'!$A$14:$A$64,0)),"")</f>
        <v/>
      </c>
      <c r="E82" s="11"/>
      <c r="F82" s="11"/>
      <c r="G82" s="11"/>
      <c r="H82" s="22" t="str">
        <f aca="false">IFERROR(G82/(F82+G82),"")</f>
        <v/>
      </c>
      <c r="I82" s="11"/>
      <c r="J82" s="13" t="n">
        <f aca="false">IFERROR(INDEX('3. Costeo y Precios'!$M$14:$M$64,MATCH($C82,'3. Costeo y Precios'!$A$14:$A$64,0)),0)</f>
        <v>0</v>
      </c>
      <c r="K82" s="13" t="str">
        <f aca="false">IF($C82="","",G82*J82)</f>
        <v/>
      </c>
      <c r="L82" s="11"/>
    </row>
    <row r="83" customFormat="false" ht="15" hidden="false" customHeight="false" outlineLevel="0" collapsed="false">
      <c r="A83" s="27"/>
      <c r="B83" s="11"/>
      <c r="C83" s="11"/>
      <c r="D83" s="7" t="str">
        <f aca="false">IFERROR(INDEX('3. Costeo y Precios'!$B$14:$B$64,MATCH($C83,'3. Costeo y Precios'!$A$14:$A$64,0)),"")</f>
        <v/>
      </c>
      <c r="E83" s="11"/>
      <c r="F83" s="11"/>
      <c r="G83" s="11"/>
      <c r="H83" s="22" t="str">
        <f aca="false">IFERROR(G83/(F83+G83),"")</f>
        <v/>
      </c>
      <c r="I83" s="11"/>
      <c r="J83" s="13" t="n">
        <f aca="false">IFERROR(INDEX('3. Costeo y Precios'!$M$14:$M$64,MATCH($C83,'3. Costeo y Precios'!$A$14:$A$64,0)),0)</f>
        <v>0</v>
      </c>
      <c r="K83" s="13" t="str">
        <f aca="false">IF($C83="","",G83*J83)</f>
        <v/>
      </c>
      <c r="L83" s="11"/>
    </row>
    <row r="84" customFormat="false" ht="15" hidden="false" customHeight="false" outlineLevel="0" collapsed="false">
      <c r="A84" s="27"/>
      <c r="B84" s="11"/>
      <c r="C84" s="11"/>
      <c r="D84" s="7" t="str">
        <f aca="false">IFERROR(INDEX('3. Costeo y Precios'!$B$14:$B$64,MATCH($C84,'3. Costeo y Precios'!$A$14:$A$64,0)),"")</f>
        <v/>
      </c>
      <c r="E84" s="11"/>
      <c r="F84" s="11"/>
      <c r="G84" s="11"/>
      <c r="H84" s="22" t="str">
        <f aca="false">IFERROR(G84/(F84+G84),"")</f>
        <v/>
      </c>
      <c r="I84" s="11"/>
      <c r="J84" s="13" t="n">
        <f aca="false">IFERROR(INDEX('3. Costeo y Precios'!$M$14:$M$64,MATCH($C84,'3. Costeo y Precios'!$A$14:$A$64,0)),0)</f>
        <v>0</v>
      </c>
      <c r="K84" s="13" t="str">
        <f aca="false">IF($C84="","",G84*J84)</f>
        <v/>
      </c>
      <c r="L84" s="11"/>
    </row>
    <row r="85" customFormat="false" ht="15" hidden="false" customHeight="false" outlineLevel="0" collapsed="false">
      <c r="A85" s="27"/>
      <c r="B85" s="11"/>
      <c r="C85" s="11"/>
      <c r="D85" s="7" t="str">
        <f aca="false">IFERROR(INDEX('3. Costeo y Precios'!$B$14:$B$64,MATCH($C85,'3. Costeo y Precios'!$A$14:$A$64,0)),"")</f>
        <v/>
      </c>
      <c r="E85" s="11"/>
      <c r="F85" s="11"/>
      <c r="G85" s="11"/>
      <c r="H85" s="22" t="str">
        <f aca="false">IFERROR(G85/(F85+G85),"")</f>
        <v/>
      </c>
      <c r="I85" s="11"/>
      <c r="J85" s="13" t="n">
        <f aca="false">IFERROR(INDEX('3. Costeo y Precios'!$M$14:$M$64,MATCH($C85,'3. Costeo y Precios'!$A$14:$A$64,0)),0)</f>
        <v>0</v>
      </c>
      <c r="K85" s="13" t="str">
        <f aca="false">IF($C85="","",G85*J85)</f>
        <v/>
      </c>
      <c r="L85" s="11"/>
    </row>
    <row r="86" customFormat="false" ht="15" hidden="false" customHeight="false" outlineLevel="0" collapsed="false">
      <c r="A86" s="27"/>
      <c r="B86" s="11"/>
      <c r="C86" s="11"/>
      <c r="D86" s="7" t="str">
        <f aca="false">IFERROR(INDEX('3. Costeo y Precios'!$B$14:$B$64,MATCH($C86,'3. Costeo y Precios'!$A$14:$A$64,0)),"")</f>
        <v/>
      </c>
      <c r="E86" s="11"/>
      <c r="F86" s="11"/>
      <c r="G86" s="11"/>
      <c r="H86" s="22" t="str">
        <f aca="false">IFERROR(G86/(F86+G86),"")</f>
        <v/>
      </c>
      <c r="I86" s="11"/>
      <c r="J86" s="13" t="n">
        <f aca="false">IFERROR(INDEX('3. Costeo y Precios'!$M$14:$M$64,MATCH($C86,'3. Costeo y Precios'!$A$14:$A$64,0)),0)</f>
        <v>0</v>
      </c>
      <c r="K86" s="13" t="str">
        <f aca="false">IF($C86="","",G86*J86)</f>
        <v/>
      </c>
      <c r="L86" s="11"/>
    </row>
    <row r="87" customFormat="false" ht="15" hidden="false" customHeight="false" outlineLevel="0" collapsed="false">
      <c r="A87" s="27"/>
      <c r="B87" s="11"/>
      <c r="C87" s="11"/>
      <c r="D87" s="7" t="str">
        <f aca="false">IFERROR(INDEX('3. Costeo y Precios'!$B$14:$B$64,MATCH($C87,'3. Costeo y Precios'!$A$14:$A$64,0)),"")</f>
        <v/>
      </c>
      <c r="E87" s="11"/>
      <c r="F87" s="11"/>
      <c r="G87" s="11"/>
      <c r="H87" s="22" t="str">
        <f aca="false">IFERROR(G87/(F87+G87),"")</f>
        <v/>
      </c>
      <c r="I87" s="11"/>
      <c r="J87" s="13" t="n">
        <f aca="false">IFERROR(INDEX('3. Costeo y Precios'!$M$14:$M$64,MATCH($C87,'3. Costeo y Precios'!$A$14:$A$64,0)),0)</f>
        <v>0</v>
      </c>
      <c r="K87" s="13" t="str">
        <f aca="false">IF($C87="","",G87*J87)</f>
        <v/>
      </c>
      <c r="L87" s="11"/>
    </row>
    <row r="88" customFormat="false" ht="15" hidden="false" customHeight="false" outlineLevel="0" collapsed="false">
      <c r="A88" s="27"/>
      <c r="B88" s="11"/>
      <c r="C88" s="11"/>
      <c r="D88" s="7" t="str">
        <f aca="false">IFERROR(INDEX('3. Costeo y Precios'!$B$14:$B$64,MATCH($C88,'3. Costeo y Precios'!$A$14:$A$64,0)),"")</f>
        <v/>
      </c>
      <c r="E88" s="11"/>
      <c r="F88" s="11"/>
      <c r="G88" s="11"/>
      <c r="H88" s="22" t="str">
        <f aca="false">IFERROR(G88/(F88+G88),"")</f>
        <v/>
      </c>
      <c r="I88" s="11"/>
      <c r="J88" s="13" t="n">
        <f aca="false">IFERROR(INDEX('3. Costeo y Precios'!$M$14:$M$64,MATCH($C88,'3. Costeo y Precios'!$A$14:$A$64,0)),0)</f>
        <v>0</v>
      </c>
      <c r="K88" s="13" t="str">
        <f aca="false">IF($C88="","",G88*J88)</f>
        <v/>
      </c>
      <c r="L88" s="11"/>
    </row>
    <row r="89" customFormat="false" ht="15" hidden="false" customHeight="false" outlineLevel="0" collapsed="false">
      <c r="A89" s="27"/>
      <c r="B89" s="11"/>
      <c r="C89" s="11"/>
      <c r="D89" s="7" t="str">
        <f aca="false">IFERROR(INDEX('3. Costeo y Precios'!$B$14:$B$64,MATCH($C89,'3. Costeo y Precios'!$A$14:$A$64,0)),"")</f>
        <v/>
      </c>
      <c r="E89" s="11"/>
      <c r="F89" s="11"/>
      <c r="G89" s="11"/>
      <c r="H89" s="22" t="str">
        <f aca="false">IFERROR(G89/(F89+G89),"")</f>
        <v/>
      </c>
      <c r="I89" s="11"/>
      <c r="J89" s="13" t="n">
        <f aca="false">IFERROR(INDEX('3. Costeo y Precios'!$M$14:$M$64,MATCH($C89,'3. Costeo y Precios'!$A$14:$A$64,0)),0)</f>
        <v>0</v>
      </c>
      <c r="K89" s="13" t="str">
        <f aca="false">IF($C89="","",G89*J89)</f>
        <v/>
      </c>
      <c r="L89" s="11"/>
    </row>
    <row r="90" customFormat="false" ht="15" hidden="false" customHeight="false" outlineLevel="0" collapsed="false">
      <c r="A90" s="27"/>
      <c r="B90" s="11"/>
      <c r="C90" s="11"/>
      <c r="D90" s="7" t="str">
        <f aca="false">IFERROR(INDEX('3. Costeo y Precios'!$B$14:$B$64,MATCH($C90,'3. Costeo y Precios'!$A$14:$A$64,0)),"")</f>
        <v/>
      </c>
      <c r="E90" s="11"/>
      <c r="F90" s="11"/>
      <c r="G90" s="11"/>
      <c r="H90" s="22" t="str">
        <f aca="false">IFERROR(G90/(F90+G90),"")</f>
        <v/>
      </c>
      <c r="I90" s="11"/>
      <c r="J90" s="13" t="n">
        <f aca="false">IFERROR(INDEX('3. Costeo y Precios'!$M$14:$M$64,MATCH($C90,'3. Costeo y Precios'!$A$14:$A$64,0)),0)</f>
        <v>0</v>
      </c>
      <c r="K90" s="13" t="str">
        <f aca="false">IF($C90="","",G90*J90)</f>
        <v/>
      </c>
      <c r="L90" s="11"/>
    </row>
    <row r="91" customFormat="false" ht="15" hidden="false" customHeight="false" outlineLevel="0" collapsed="false">
      <c r="A91" s="27"/>
      <c r="B91" s="11"/>
      <c r="C91" s="11"/>
      <c r="D91" s="7" t="str">
        <f aca="false">IFERROR(INDEX('3. Costeo y Precios'!$B$14:$B$64,MATCH($C91,'3. Costeo y Precios'!$A$14:$A$64,0)),"")</f>
        <v/>
      </c>
      <c r="E91" s="11"/>
      <c r="F91" s="11"/>
      <c r="G91" s="11"/>
      <c r="H91" s="22" t="str">
        <f aca="false">IFERROR(G91/(F91+G91),"")</f>
        <v/>
      </c>
      <c r="I91" s="11"/>
      <c r="J91" s="13" t="n">
        <f aca="false">IFERROR(INDEX('3. Costeo y Precios'!$M$14:$M$64,MATCH($C91,'3. Costeo y Precios'!$A$14:$A$64,0)),0)</f>
        <v>0</v>
      </c>
      <c r="K91" s="13" t="str">
        <f aca="false">IF($C91="","",G91*J91)</f>
        <v/>
      </c>
      <c r="L91" s="11"/>
    </row>
    <row r="92" customFormat="false" ht="15" hidden="false" customHeight="false" outlineLevel="0" collapsed="false">
      <c r="A92" s="27"/>
      <c r="B92" s="11"/>
      <c r="C92" s="11"/>
      <c r="D92" s="7" t="str">
        <f aca="false">IFERROR(INDEX('3. Costeo y Precios'!$B$14:$B$64,MATCH($C92,'3. Costeo y Precios'!$A$14:$A$64,0)),"")</f>
        <v/>
      </c>
      <c r="E92" s="11"/>
      <c r="F92" s="11"/>
      <c r="G92" s="11"/>
      <c r="H92" s="22" t="str">
        <f aca="false">IFERROR(G92/(F92+G92),"")</f>
        <v/>
      </c>
      <c r="I92" s="11"/>
      <c r="J92" s="13" t="n">
        <f aca="false">IFERROR(INDEX('3. Costeo y Precios'!$M$14:$M$64,MATCH($C92,'3. Costeo y Precios'!$A$14:$A$64,0)),0)</f>
        <v>0</v>
      </c>
      <c r="K92" s="13" t="str">
        <f aca="false">IF($C92="","",G92*J92)</f>
        <v/>
      </c>
      <c r="L92" s="11"/>
    </row>
    <row r="93" customFormat="false" ht="15" hidden="false" customHeight="false" outlineLevel="0" collapsed="false">
      <c r="A93" s="27"/>
      <c r="B93" s="11"/>
      <c r="C93" s="11"/>
      <c r="D93" s="7" t="str">
        <f aca="false">IFERROR(INDEX('3. Costeo y Precios'!$B$14:$B$64,MATCH($C93,'3. Costeo y Precios'!$A$14:$A$64,0)),"")</f>
        <v/>
      </c>
      <c r="E93" s="11"/>
      <c r="F93" s="11"/>
      <c r="G93" s="11"/>
      <c r="H93" s="22" t="str">
        <f aca="false">IFERROR(G93/(F93+G93),"")</f>
        <v/>
      </c>
      <c r="I93" s="11"/>
      <c r="J93" s="13" t="n">
        <f aca="false">IFERROR(INDEX('3. Costeo y Precios'!$M$14:$M$64,MATCH($C93,'3. Costeo y Precios'!$A$14:$A$64,0)),0)</f>
        <v>0</v>
      </c>
      <c r="K93" s="13" t="str">
        <f aca="false">IF($C93="","",G93*J93)</f>
        <v/>
      </c>
      <c r="L93" s="11"/>
    </row>
    <row r="94" customFormat="false" ht="15" hidden="false" customHeight="false" outlineLevel="0" collapsed="false">
      <c r="A94" s="27"/>
      <c r="B94" s="11"/>
      <c r="C94" s="11"/>
      <c r="D94" s="7" t="str">
        <f aca="false">IFERROR(INDEX('3. Costeo y Precios'!$B$14:$B$64,MATCH($C94,'3. Costeo y Precios'!$A$14:$A$64,0)),"")</f>
        <v/>
      </c>
      <c r="E94" s="11"/>
      <c r="F94" s="11"/>
      <c r="G94" s="11"/>
      <c r="H94" s="22" t="str">
        <f aca="false">IFERROR(G94/(F94+G94),"")</f>
        <v/>
      </c>
      <c r="I94" s="11"/>
      <c r="J94" s="13" t="n">
        <f aca="false">IFERROR(INDEX('3. Costeo y Precios'!$M$14:$M$64,MATCH($C94,'3. Costeo y Precios'!$A$14:$A$64,0)),0)</f>
        <v>0</v>
      </c>
      <c r="K94" s="13" t="str">
        <f aca="false">IF($C94="","",G94*J94)</f>
        <v/>
      </c>
      <c r="L94" s="11"/>
    </row>
    <row r="95" customFormat="false" ht="15" hidden="false" customHeight="false" outlineLevel="0" collapsed="false">
      <c r="A95" s="27"/>
      <c r="B95" s="11"/>
      <c r="C95" s="11"/>
      <c r="D95" s="7" t="str">
        <f aca="false">IFERROR(INDEX('3. Costeo y Precios'!$B$14:$B$64,MATCH($C95,'3. Costeo y Precios'!$A$14:$A$64,0)),"")</f>
        <v/>
      </c>
      <c r="E95" s="11"/>
      <c r="F95" s="11"/>
      <c r="G95" s="11"/>
      <c r="H95" s="22" t="str">
        <f aca="false">IFERROR(G95/(F95+G95),"")</f>
        <v/>
      </c>
      <c r="I95" s="11"/>
      <c r="J95" s="13" t="n">
        <f aca="false">IFERROR(INDEX('3. Costeo y Precios'!$M$14:$M$64,MATCH($C95,'3. Costeo y Precios'!$A$14:$A$64,0)),0)</f>
        <v>0</v>
      </c>
      <c r="K95" s="13" t="str">
        <f aca="false">IF($C95="","",G95*J95)</f>
        <v/>
      </c>
      <c r="L95" s="11"/>
    </row>
    <row r="96" customFormat="false" ht="15" hidden="false" customHeight="false" outlineLevel="0" collapsed="false">
      <c r="A96" s="27"/>
      <c r="B96" s="11"/>
      <c r="C96" s="11"/>
      <c r="D96" s="7" t="str">
        <f aca="false">IFERROR(INDEX('3. Costeo y Precios'!$B$14:$B$64,MATCH($C96,'3. Costeo y Precios'!$A$14:$A$64,0)),"")</f>
        <v/>
      </c>
      <c r="E96" s="11"/>
      <c r="F96" s="11"/>
      <c r="G96" s="11"/>
      <c r="H96" s="22" t="str">
        <f aca="false">IFERROR(G96/(F96+G96),"")</f>
        <v/>
      </c>
      <c r="I96" s="11"/>
      <c r="J96" s="13" t="n">
        <f aca="false">IFERROR(INDEX('3. Costeo y Precios'!$M$14:$M$64,MATCH($C96,'3. Costeo y Precios'!$A$14:$A$64,0)),0)</f>
        <v>0</v>
      </c>
      <c r="K96" s="13" t="str">
        <f aca="false">IF($C96="","",G96*J96)</f>
        <v/>
      </c>
      <c r="L96" s="11"/>
    </row>
    <row r="97" customFormat="false" ht="15" hidden="false" customHeight="false" outlineLevel="0" collapsed="false">
      <c r="A97" s="27"/>
      <c r="B97" s="11"/>
      <c r="C97" s="11"/>
      <c r="D97" s="7" t="str">
        <f aca="false">IFERROR(INDEX('3. Costeo y Precios'!$B$14:$B$64,MATCH($C97,'3. Costeo y Precios'!$A$14:$A$64,0)),"")</f>
        <v/>
      </c>
      <c r="E97" s="11"/>
      <c r="F97" s="11"/>
      <c r="G97" s="11"/>
      <c r="H97" s="22" t="str">
        <f aca="false">IFERROR(G97/(F97+G97),"")</f>
        <v/>
      </c>
      <c r="I97" s="11"/>
      <c r="J97" s="13" t="n">
        <f aca="false">IFERROR(INDEX('3. Costeo y Precios'!$M$14:$M$64,MATCH($C97,'3. Costeo y Precios'!$A$14:$A$64,0)),0)</f>
        <v>0</v>
      </c>
      <c r="K97" s="13" t="str">
        <f aca="false">IF($C97="","",G97*J97)</f>
        <v/>
      </c>
      <c r="L97" s="11"/>
    </row>
    <row r="98" customFormat="false" ht="15" hidden="false" customHeight="false" outlineLevel="0" collapsed="false">
      <c r="A98" s="27"/>
      <c r="B98" s="11"/>
      <c r="C98" s="11"/>
      <c r="D98" s="7" t="str">
        <f aca="false">IFERROR(INDEX('3. Costeo y Precios'!$B$14:$B$64,MATCH($C98,'3. Costeo y Precios'!$A$14:$A$64,0)),"")</f>
        <v/>
      </c>
      <c r="E98" s="11"/>
      <c r="F98" s="11"/>
      <c r="G98" s="11"/>
      <c r="H98" s="22" t="str">
        <f aca="false">IFERROR(G98/(F98+G98),"")</f>
        <v/>
      </c>
      <c r="I98" s="11"/>
      <c r="J98" s="13" t="n">
        <f aca="false">IFERROR(INDEX('3. Costeo y Precios'!$M$14:$M$64,MATCH($C98,'3. Costeo y Precios'!$A$14:$A$64,0)),0)</f>
        <v>0</v>
      </c>
      <c r="K98" s="13" t="str">
        <f aca="false">IF($C98="","",G98*J98)</f>
        <v/>
      </c>
      <c r="L98" s="11"/>
    </row>
    <row r="99" customFormat="false" ht="15" hidden="false" customHeight="false" outlineLevel="0" collapsed="false">
      <c r="A99" s="27"/>
      <c r="B99" s="11"/>
      <c r="C99" s="11"/>
      <c r="D99" s="7" t="str">
        <f aca="false">IFERROR(INDEX('3. Costeo y Precios'!$B$14:$B$64,MATCH($C99,'3. Costeo y Precios'!$A$14:$A$64,0)),"")</f>
        <v/>
      </c>
      <c r="E99" s="11"/>
      <c r="F99" s="11"/>
      <c r="G99" s="11"/>
      <c r="H99" s="22" t="str">
        <f aca="false">IFERROR(G99/(F99+G99),"")</f>
        <v/>
      </c>
      <c r="I99" s="11"/>
      <c r="J99" s="13" t="n">
        <f aca="false">IFERROR(INDEX('3. Costeo y Precios'!$M$14:$M$64,MATCH($C99,'3. Costeo y Precios'!$A$14:$A$64,0)),0)</f>
        <v>0</v>
      </c>
      <c r="K99" s="13" t="str">
        <f aca="false">IF($C99="","",G99*J99)</f>
        <v/>
      </c>
      <c r="L99" s="11"/>
    </row>
    <row r="100" customFormat="false" ht="15" hidden="false" customHeight="false" outlineLevel="0" collapsed="false">
      <c r="A100" s="27"/>
      <c r="B100" s="11"/>
      <c r="C100" s="11"/>
      <c r="D100" s="7" t="str">
        <f aca="false">IFERROR(INDEX('3. Costeo y Precios'!$B$14:$B$64,MATCH($C100,'3. Costeo y Precios'!$A$14:$A$64,0)),"")</f>
        <v/>
      </c>
      <c r="E100" s="11"/>
      <c r="F100" s="11"/>
      <c r="G100" s="11"/>
      <c r="H100" s="22" t="str">
        <f aca="false">IFERROR(G100/(F100+G100),"")</f>
        <v/>
      </c>
      <c r="I100" s="11"/>
      <c r="J100" s="13" t="n">
        <f aca="false">IFERROR(INDEX('3. Costeo y Precios'!$M$14:$M$64,MATCH($C100,'3. Costeo y Precios'!$A$14:$A$64,0)),0)</f>
        <v>0</v>
      </c>
      <c r="K100" s="13" t="str">
        <f aca="false">IF($C100="","",G100*J100)</f>
        <v/>
      </c>
      <c r="L100" s="11"/>
    </row>
    <row r="101" customFormat="false" ht="15" hidden="false" customHeight="false" outlineLevel="0" collapsed="false">
      <c r="A101" s="27"/>
      <c r="B101" s="11"/>
      <c r="C101" s="11"/>
      <c r="D101" s="7" t="str">
        <f aca="false">IFERROR(INDEX('3. Costeo y Precios'!$B$14:$B$64,MATCH($C101,'3. Costeo y Precios'!$A$14:$A$64,0)),"")</f>
        <v/>
      </c>
      <c r="E101" s="11"/>
      <c r="F101" s="11"/>
      <c r="G101" s="11"/>
      <c r="H101" s="22" t="str">
        <f aca="false">IFERROR(G101/(F101+G101),"")</f>
        <v/>
      </c>
      <c r="I101" s="11"/>
      <c r="J101" s="13" t="n">
        <f aca="false">IFERROR(INDEX('3. Costeo y Precios'!$M$14:$M$64,MATCH($C101,'3. Costeo y Precios'!$A$14:$A$64,0)),0)</f>
        <v>0</v>
      </c>
      <c r="K101" s="13" t="str">
        <f aca="false">IF($C101="","",G101*J101)</f>
        <v/>
      </c>
      <c r="L101" s="11"/>
    </row>
    <row r="102" customFormat="false" ht="15" hidden="false" customHeight="false" outlineLevel="0" collapsed="false">
      <c r="A102" s="27"/>
      <c r="B102" s="11"/>
      <c r="C102" s="11"/>
      <c r="D102" s="7" t="str">
        <f aca="false">IFERROR(INDEX('3. Costeo y Precios'!$B$14:$B$64,MATCH($C102,'3. Costeo y Precios'!$A$14:$A$64,0)),"")</f>
        <v/>
      </c>
      <c r="E102" s="11"/>
      <c r="F102" s="11"/>
      <c r="G102" s="11"/>
      <c r="H102" s="22" t="str">
        <f aca="false">IFERROR(G102/(F102+G102),"")</f>
        <v/>
      </c>
      <c r="I102" s="11"/>
      <c r="J102" s="13" t="n">
        <f aca="false">IFERROR(INDEX('3. Costeo y Precios'!$M$14:$M$64,MATCH($C102,'3. Costeo y Precios'!$A$14:$A$64,0)),0)</f>
        <v>0</v>
      </c>
      <c r="K102" s="13" t="str">
        <f aca="false">IF($C102="","",G102*J102)</f>
        <v/>
      </c>
      <c r="L102" s="11"/>
    </row>
    <row r="103" customFormat="false" ht="15" hidden="false" customHeight="false" outlineLevel="0" collapsed="false">
      <c r="A103" s="27"/>
      <c r="B103" s="11"/>
      <c r="C103" s="11"/>
      <c r="D103" s="7" t="str">
        <f aca="false">IFERROR(INDEX('3. Costeo y Precios'!$B$14:$B$64,MATCH($C103,'3. Costeo y Precios'!$A$14:$A$64,0)),"")</f>
        <v/>
      </c>
      <c r="E103" s="11"/>
      <c r="F103" s="11"/>
      <c r="G103" s="11"/>
      <c r="H103" s="22" t="str">
        <f aca="false">IFERROR(G103/(F103+G103),"")</f>
        <v/>
      </c>
      <c r="I103" s="11"/>
      <c r="J103" s="13" t="n">
        <f aca="false">IFERROR(INDEX('3. Costeo y Precios'!$M$14:$M$64,MATCH($C103,'3. Costeo y Precios'!$A$14:$A$64,0)),0)</f>
        <v>0</v>
      </c>
      <c r="K103" s="13" t="str">
        <f aca="false">IF($C103="","",G103*J103)</f>
        <v/>
      </c>
      <c r="L103" s="11"/>
    </row>
    <row r="104" customFormat="false" ht="15" hidden="false" customHeight="false" outlineLevel="0" collapsed="false">
      <c r="A104" s="27"/>
      <c r="B104" s="11"/>
      <c r="C104" s="11"/>
      <c r="D104" s="7" t="str">
        <f aca="false">IFERROR(INDEX('3. Costeo y Precios'!$B$14:$B$64,MATCH($C104,'3. Costeo y Precios'!$A$14:$A$64,0)),"")</f>
        <v/>
      </c>
      <c r="E104" s="11"/>
      <c r="F104" s="11"/>
      <c r="G104" s="11"/>
      <c r="H104" s="22" t="str">
        <f aca="false">IFERROR(G104/(F104+G104),"")</f>
        <v/>
      </c>
      <c r="I104" s="11"/>
      <c r="J104" s="13" t="n">
        <f aca="false">IFERROR(INDEX('3. Costeo y Precios'!$M$14:$M$64,MATCH($C104,'3. Costeo y Precios'!$A$14:$A$64,0)),0)</f>
        <v>0</v>
      </c>
      <c r="K104" s="13" t="str">
        <f aca="false">IF($C104="","",G104*J104)</f>
        <v/>
      </c>
      <c r="L104" s="11"/>
    </row>
    <row r="105" customFormat="false" ht="15" hidden="false" customHeight="false" outlineLevel="0" collapsed="false">
      <c r="A105" s="27"/>
      <c r="B105" s="11"/>
      <c r="C105" s="11"/>
      <c r="D105" s="7" t="str">
        <f aca="false">IFERROR(INDEX('3. Costeo y Precios'!$B$14:$B$64,MATCH($C105,'3. Costeo y Precios'!$A$14:$A$64,0)),"")</f>
        <v/>
      </c>
      <c r="E105" s="11"/>
      <c r="F105" s="11"/>
      <c r="G105" s="11"/>
      <c r="H105" s="22" t="str">
        <f aca="false">IFERROR(G105/(F105+G105),"")</f>
        <v/>
      </c>
      <c r="I105" s="11"/>
      <c r="J105" s="13" t="n">
        <f aca="false">IFERROR(INDEX('3. Costeo y Precios'!$M$14:$M$64,MATCH($C105,'3. Costeo y Precios'!$A$14:$A$64,0)),0)</f>
        <v>0</v>
      </c>
      <c r="K105" s="13" t="str">
        <f aca="false">IF($C105="","",G105*J105)</f>
        <v/>
      </c>
      <c r="L105" s="11"/>
    </row>
    <row r="106" customFormat="false" ht="15" hidden="false" customHeight="false" outlineLevel="0" collapsed="false">
      <c r="A106" s="27"/>
      <c r="B106" s="11"/>
      <c r="C106" s="11"/>
      <c r="D106" s="7" t="str">
        <f aca="false">IFERROR(INDEX('3. Costeo y Precios'!$B$14:$B$64,MATCH($C106,'3. Costeo y Precios'!$A$14:$A$64,0)),"")</f>
        <v/>
      </c>
      <c r="E106" s="11"/>
      <c r="F106" s="11"/>
      <c r="G106" s="11"/>
      <c r="H106" s="22" t="str">
        <f aca="false">IFERROR(G106/(F106+G106),"")</f>
        <v/>
      </c>
      <c r="I106" s="11"/>
      <c r="J106" s="13" t="n">
        <f aca="false">IFERROR(INDEX('3. Costeo y Precios'!$M$14:$M$64,MATCH($C106,'3. Costeo y Precios'!$A$14:$A$64,0)),0)</f>
        <v>0</v>
      </c>
      <c r="K106" s="13" t="str">
        <f aca="false">IF($C106="","",G106*J106)</f>
        <v/>
      </c>
      <c r="L106" s="11"/>
    </row>
    <row r="107" customFormat="false" ht="15" hidden="false" customHeight="false" outlineLevel="0" collapsed="false">
      <c r="A107" s="27"/>
      <c r="B107" s="11"/>
      <c r="C107" s="11"/>
      <c r="D107" s="7" t="str">
        <f aca="false">IFERROR(INDEX('3. Costeo y Precios'!$B$14:$B$64,MATCH($C107,'3. Costeo y Precios'!$A$14:$A$64,0)),"")</f>
        <v/>
      </c>
      <c r="E107" s="11"/>
      <c r="F107" s="11"/>
      <c r="G107" s="11"/>
      <c r="H107" s="22" t="str">
        <f aca="false">IFERROR(G107/(F107+G107),"")</f>
        <v/>
      </c>
      <c r="I107" s="11"/>
      <c r="J107" s="13" t="n">
        <f aca="false">IFERROR(INDEX('3. Costeo y Precios'!$M$14:$M$64,MATCH($C107,'3. Costeo y Precios'!$A$14:$A$64,0)),0)</f>
        <v>0</v>
      </c>
      <c r="K107" s="13" t="str">
        <f aca="false">IF($C107="","",G107*J107)</f>
        <v/>
      </c>
      <c r="L107" s="11"/>
    </row>
    <row r="108" customFormat="false" ht="15" hidden="false" customHeight="false" outlineLevel="0" collapsed="false">
      <c r="A108" s="27"/>
      <c r="B108" s="11"/>
      <c r="C108" s="11"/>
      <c r="D108" s="7" t="str">
        <f aca="false">IFERROR(INDEX('3. Costeo y Precios'!$B$14:$B$64,MATCH($C108,'3. Costeo y Precios'!$A$14:$A$64,0)),"")</f>
        <v/>
      </c>
      <c r="E108" s="11"/>
      <c r="F108" s="11"/>
      <c r="G108" s="11"/>
      <c r="H108" s="22" t="str">
        <f aca="false">IFERROR(G108/(F108+G108),"")</f>
        <v/>
      </c>
      <c r="I108" s="11"/>
      <c r="J108" s="13" t="n">
        <f aca="false">IFERROR(INDEX('3. Costeo y Precios'!$M$14:$M$64,MATCH($C108,'3. Costeo y Precios'!$A$14:$A$64,0)),0)</f>
        <v>0</v>
      </c>
      <c r="K108" s="13" t="str">
        <f aca="false">IF($C108="","",G108*J108)</f>
        <v/>
      </c>
      <c r="L108" s="11"/>
    </row>
    <row r="109" customFormat="false" ht="15" hidden="false" customHeight="false" outlineLevel="0" collapsed="false">
      <c r="A109" s="27"/>
      <c r="B109" s="11"/>
      <c r="C109" s="11"/>
      <c r="D109" s="7" t="str">
        <f aca="false">IFERROR(INDEX('3. Costeo y Precios'!$B$14:$B$64,MATCH($C109,'3. Costeo y Precios'!$A$14:$A$64,0)),"")</f>
        <v/>
      </c>
      <c r="E109" s="11"/>
      <c r="F109" s="11"/>
      <c r="G109" s="11"/>
      <c r="H109" s="22" t="str">
        <f aca="false">IFERROR(G109/(F109+G109),"")</f>
        <v/>
      </c>
      <c r="I109" s="11"/>
      <c r="J109" s="13" t="n">
        <f aca="false">IFERROR(INDEX('3. Costeo y Precios'!$M$14:$M$64,MATCH($C109,'3. Costeo y Precios'!$A$14:$A$64,0)),0)</f>
        <v>0</v>
      </c>
      <c r="K109" s="13" t="str">
        <f aca="false">IF($C109="","",G109*J109)</f>
        <v/>
      </c>
      <c r="L109" s="11"/>
    </row>
    <row r="110" customFormat="false" ht="15" hidden="false" customHeight="false" outlineLevel="0" collapsed="false">
      <c r="A110" s="27"/>
      <c r="B110" s="11"/>
      <c r="C110" s="11"/>
      <c r="D110" s="7" t="str">
        <f aca="false">IFERROR(INDEX('3. Costeo y Precios'!$B$14:$B$64,MATCH($C110,'3. Costeo y Precios'!$A$14:$A$64,0)),"")</f>
        <v/>
      </c>
      <c r="E110" s="11"/>
      <c r="F110" s="11"/>
      <c r="G110" s="11"/>
      <c r="H110" s="22" t="str">
        <f aca="false">IFERROR(G110/(F110+G110),"")</f>
        <v/>
      </c>
      <c r="I110" s="11"/>
      <c r="J110" s="13" t="n">
        <f aca="false">IFERROR(INDEX('3. Costeo y Precios'!$M$14:$M$64,MATCH($C110,'3. Costeo y Precios'!$A$14:$A$64,0)),0)</f>
        <v>0</v>
      </c>
      <c r="K110" s="13" t="str">
        <f aca="false">IF($C110="","",G110*J110)</f>
        <v/>
      </c>
      <c r="L110" s="11"/>
    </row>
    <row r="111" customFormat="false" ht="15" hidden="false" customHeight="false" outlineLevel="0" collapsed="false">
      <c r="A111" s="27"/>
      <c r="B111" s="11"/>
      <c r="C111" s="11"/>
      <c r="D111" s="7" t="str">
        <f aca="false">IFERROR(INDEX('3. Costeo y Precios'!$B$14:$B$64,MATCH($C111,'3. Costeo y Precios'!$A$14:$A$64,0)),"")</f>
        <v/>
      </c>
      <c r="E111" s="11"/>
      <c r="F111" s="11"/>
      <c r="G111" s="11"/>
      <c r="H111" s="22" t="str">
        <f aca="false">IFERROR(G111/(F111+G111),"")</f>
        <v/>
      </c>
      <c r="I111" s="11"/>
      <c r="J111" s="13" t="n">
        <f aca="false">IFERROR(INDEX('3. Costeo y Precios'!$M$14:$M$64,MATCH($C111,'3. Costeo y Precios'!$A$14:$A$64,0)),0)</f>
        <v>0</v>
      </c>
      <c r="K111" s="13" t="str">
        <f aca="false">IF($C111="","",G111*J111)</f>
        <v/>
      </c>
      <c r="L111" s="11"/>
    </row>
    <row r="112" customFormat="false" ht="15" hidden="false" customHeight="false" outlineLevel="0" collapsed="false">
      <c r="A112" s="27"/>
      <c r="B112" s="11"/>
      <c r="C112" s="11"/>
      <c r="D112" s="7" t="str">
        <f aca="false">IFERROR(INDEX('3. Costeo y Precios'!$B$14:$B$64,MATCH($C112,'3. Costeo y Precios'!$A$14:$A$64,0)),"")</f>
        <v/>
      </c>
      <c r="E112" s="11"/>
      <c r="F112" s="11"/>
      <c r="G112" s="11"/>
      <c r="H112" s="22" t="str">
        <f aca="false">IFERROR(G112/(F112+G112),"")</f>
        <v/>
      </c>
      <c r="I112" s="11"/>
      <c r="J112" s="13" t="n">
        <f aca="false">IFERROR(INDEX('3. Costeo y Precios'!$M$14:$M$64,MATCH($C112,'3. Costeo y Precios'!$A$14:$A$64,0)),0)</f>
        <v>0</v>
      </c>
      <c r="K112" s="13" t="str">
        <f aca="false">IF($C112="","",G112*J112)</f>
        <v/>
      </c>
      <c r="L112" s="11"/>
    </row>
    <row r="113" customFormat="false" ht="15" hidden="false" customHeight="false" outlineLevel="0" collapsed="false">
      <c r="A113" s="27"/>
      <c r="B113" s="11"/>
      <c r="C113" s="11"/>
      <c r="D113" s="7" t="str">
        <f aca="false">IFERROR(INDEX('3. Costeo y Precios'!$B$14:$B$64,MATCH($C113,'3. Costeo y Precios'!$A$14:$A$64,0)),"")</f>
        <v/>
      </c>
      <c r="E113" s="11"/>
      <c r="F113" s="11"/>
      <c r="G113" s="11"/>
      <c r="H113" s="22" t="str">
        <f aca="false">IFERROR(G113/(F113+G113),"")</f>
        <v/>
      </c>
      <c r="I113" s="11"/>
      <c r="J113" s="13" t="n">
        <f aca="false">IFERROR(INDEX('3. Costeo y Precios'!$M$14:$M$64,MATCH($C113,'3. Costeo y Precios'!$A$14:$A$64,0)),0)</f>
        <v>0</v>
      </c>
      <c r="K113" s="13" t="str">
        <f aca="false">IF($C113="","",G113*J113)</f>
        <v/>
      </c>
      <c r="L113" s="11"/>
    </row>
    <row r="114" customFormat="false" ht="15" hidden="false" customHeight="false" outlineLevel="0" collapsed="false">
      <c r="A114" s="27"/>
      <c r="B114" s="11"/>
      <c r="C114" s="11"/>
      <c r="D114" s="7" t="str">
        <f aca="false">IFERROR(INDEX('3. Costeo y Precios'!$B$14:$B$64,MATCH($C114,'3. Costeo y Precios'!$A$14:$A$64,0)),"")</f>
        <v/>
      </c>
      <c r="E114" s="11"/>
      <c r="F114" s="11"/>
      <c r="G114" s="11"/>
      <c r="H114" s="22" t="str">
        <f aca="false">IFERROR(G114/(F114+G114),"")</f>
        <v/>
      </c>
      <c r="I114" s="11"/>
      <c r="J114" s="13" t="n">
        <f aca="false">IFERROR(INDEX('3. Costeo y Precios'!$M$14:$M$64,MATCH($C114,'3. Costeo y Precios'!$A$14:$A$64,0)),0)</f>
        <v>0</v>
      </c>
      <c r="K114" s="13" t="str">
        <f aca="false">IF($C114="","",G114*J114)</f>
        <v/>
      </c>
      <c r="L114" s="11"/>
    </row>
    <row r="115" customFormat="false" ht="15" hidden="false" customHeight="false" outlineLevel="0" collapsed="false">
      <c r="A115" s="27"/>
      <c r="B115" s="11"/>
      <c r="C115" s="11"/>
      <c r="D115" s="7" t="str">
        <f aca="false">IFERROR(INDEX('3. Costeo y Precios'!$B$14:$B$64,MATCH($C115,'3. Costeo y Precios'!$A$14:$A$64,0)),"")</f>
        <v/>
      </c>
      <c r="E115" s="11"/>
      <c r="F115" s="11"/>
      <c r="G115" s="11"/>
      <c r="H115" s="22" t="str">
        <f aca="false">IFERROR(G115/(F115+G115),"")</f>
        <v/>
      </c>
      <c r="I115" s="11"/>
      <c r="J115" s="13" t="n">
        <f aca="false">IFERROR(INDEX('3. Costeo y Precios'!$M$14:$M$64,MATCH($C115,'3. Costeo y Precios'!$A$14:$A$64,0)),0)</f>
        <v>0</v>
      </c>
      <c r="K115" s="13" t="str">
        <f aca="false">IF($C115="","",G115*J115)</f>
        <v/>
      </c>
      <c r="L115" s="11"/>
    </row>
    <row r="116" customFormat="false" ht="15" hidden="false" customHeight="false" outlineLevel="0" collapsed="false">
      <c r="A116" s="27"/>
      <c r="B116" s="11"/>
      <c r="C116" s="11"/>
      <c r="D116" s="7" t="str">
        <f aca="false">IFERROR(INDEX('3. Costeo y Precios'!$B$14:$B$64,MATCH($C116,'3. Costeo y Precios'!$A$14:$A$64,0)),"")</f>
        <v/>
      </c>
      <c r="E116" s="11"/>
      <c r="F116" s="11"/>
      <c r="G116" s="11"/>
      <c r="H116" s="22" t="str">
        <f aca="false">IFERROR(G116/(F116+G116),"")</f>
        <v/>
      </c>
      <c r="I116" s="11"/>
      <c r="J116" s="13" t="n">
        <f aca="false">IFERROR(INDEX('3. Costeo y Precios'!$M$14:$M$64,MATCH($C116,'3. Costeo y Precios'!$A$14:$A$64,0)),0)</f>
        <v>0</v>
      </c>
      <c r="K116" s="13" t="str">
        <f aca="false">IF($C116="","",G116*J116)</f>
        <v/>
      </c>
      <c r="L116" s="11"/>
    </row>
    <row r="117" customFormat="false" ht="15" hidden="false" customHeight="false" outlineLevel="0" collapsed="false">
      <c r="A117" s="27"/>
      <c r="B117" s="11"/>
      <c r="C117" s="11"/>
      <c r="D117" s="7" t="str">
        <f aca="false">IFERROR(INDEX('3. Costeo y Precios'!$B$14:$B$64,MATCH($C117,'3. Costeo y Precios'!$A$14:$A$64,0)),"")</f>
        <v/>
      </c>
      <c r="E117" s="11"/>
      <c r="F117" s="11"/>
      <c r="G117" s="11"/>
      <c r="H117" s="22" t="str">
        <f aca="false">IFERROR(G117/(F117+G117),"")</f>
        <v/>
      </c>
      <c r="I117" s="11"/>
      <c r="J117" s="13" t="n">
        <f aca="false">IFERROR(INDEX('3. Costeo y Precios'!$M$14:$M$64,MATCH($C117,'3. Costeo y Precios'!$A$14:$A$64,0)),0)</f>
        <v>0</v>
      </c>
      <c r="K117" s="13" t="str">
        <f aca="false">IF($C117="","",G117*J117)</f>
        <v/>
      </c>
      <c r="L117" s="11"/>
    </row>
    <row r="118" customFormat="false" ht="15" hidden="false" customHeight="false" outlineLevel="0" collapsed="false">
      <c r="A118" s="27"/>
      <c r="B118" s="11"/>
      <c r="C118" s="11"/>
      <c r="D118" s="7" t="str">
        <f aca="false">IFERROR(INDEX('3. Costeo y Precios'!$B$14:$B$64,MATCH($C118,'3. Costeo y Precios'!$A$14:$A$64,0)),"")</f>
        <v/>
      </c>
      <c r="E118" s="11"/>
      <c r="F118" s="11"/>
      <c r="G118" s="11"/>
      <c r="H118" s="22" t="str">
        <f aca="false">IFERROR(G118/(F118+G118),"")</f>
        <v/>
      </c>
      <c r="I118" s="11"/>
      <c r="J118" s="13" t="n">
        <f aca="false">IFERROR(INDEX('3. Costeo y Precios'!$M$14:$M$64,MATCH($C118,'3. Costeo y Precios'!$A$14:$A$64,0)),0)</f>
        <v>0</v>
      </c>
      <c r="K118" s="13" t="str">
        <f aca="false">IF($C118="","",G118*J118)</f>
        <v/>
      </c>
      <c r="L118" s="11"/>
    </row>
    <row r="119" customFormat="false" ht="15" hidden="false" customHeight="false" outlineLevel="0" collapsed="false">
      <c r="A119" s="27"/>
      <c r="B119" s="11"/>
      <c r="C119" s="11"/>
      <c r="D119" s="7" t="str">
        <f aca="false">IFERROR(INDEX('3. Costeo y Precios'!$B$14:$B$64,MATCH($C119,'3. Costeo y Precios'!$A$14:$A$64,0)),"")</f>
        <v/>
      </c>
      <c r="E119" s="11"/>
      <c r="F119" s="11"/>
      <c r="G119" s="11"/>
      <c r="H119" s="22" t="str">
        <f aca="false">IFERROR(G119/(F119+G119),"")</f>
        <v/>
      </c>
      <c r="I119" s="11"/>
      <c r="J119" s="13" t="n">
        <f aca="false">IFERROR(INDEX('3. Costeo y Precios'!$M$14:$M$64,MATCH($C119,'3. Costeo y Precios'!$A$14:$A$64,0)),0)</f>
        <v>0</v>
      </c>
      <c r="K119" s="13" t="str">
        <f aca="false">IF($C119="","",G119*J119)</f>
        <v/>
      </c>
      <c r="L119" s="11"/>
    </row>
    <row r="120" customFormat="false" ht="15" hidden="false" customHeight="false" outlineLevel="0" collapsed="false">
      <c r="A120" s="27"/>
      <c r="B120" s="11"/>
      <c r="C120" s="11"/>
      <c r="D120" s="7" t="str">
        <f aca="false">IFERROR(INDEX('3. Costeo y Precios'!$B$14:$B$64,MATCH($C120,'3. Costeo y Precios'!$A$14:$A$64,0)),"")</f>
        <v/>
      </c>
      <c r="E120" s="11"/>
      <c r="F120" s="11"/>
      <c r="G120" s="11"/>
      <c r="H120" s="22" t="str">
        <f aca="false">IFERROR(G120/(F120+G120),"")</f>
        <v/>
      </c>
      <c r="I120" s="11"/>
      <c r="J120" s="13" t="n">
        <f aca="false">IFERROR(INDEX('3. Costeo y Precios'!$M$14:$M$64,MATCH($C120,'3. Costeo y Precios'!$A$14:$A$64,0)),0)</f>
        <v>0</v>
      </c>
      <c r="K120" s="13" t="str">
        <f aca="false">IF($C120="","",G120*J120)</f>
        <v/>
      </c>
      <c r="L120" s="11"/>
    </row>
    <row r="121" customFormat="false" ht="15" hidden="false" customHeight="false" outlineLevel="0" collapsed="false">
      <c r="A121" s="27"/>
      <c r="B121" s="11"/>
      <c r="C121" s="11"/>
      <c r="D121" s="7" t="str">
        <f aca="false">IFERROR(INDEX('3. Costeo y Precios'!$B$14:$B$64,MATCH($C121,'3. Costeo y Precios'!$A$14:$A$64,0)),"")</f>
        <v/>
      </c>
      <c r="E121" s="11"/>
      <c r="F121" s="11"/>
      <c r="G121" s="11"/>
      <c r="H121" s="22" t="str">
        <f aca="false">IFERROR(G121/(F121+G121),"")</f>
        <v/>
      </c>
      <c r="I121" s="11"/>
      <c r="J121" s="13" t="n">
        <f aca="false">IFERROR(INDEX('3. Costeo y Precios'!$M$14:$M$64,MATCH($C121,'3. Costeo y Precios'!$A$14:$A$64,0)),0)</f>
        <v>0</v>
      </c>
      <c r="K121" s="13" t="str">
        <f aca="false">IF($C121="","",G121*J121)</f>
        <v/>
      </c>
      <c r="L121" s="11"/>
    </row>
    <row r="122" customFormat="false" ht="15" hidden="false" customHeight="false" outlineLevel="0" collapsed="false">
      <c r="A122" s="27"/>
      <c r="B122" s="11"/>
      <c r="C122" s="11"/>
      <c r="D122" s="7" t="str">
        <f aca="false">IFERROR(INDEX('3. Costeo y Precios'!$B$14:$B$64,MATCH($C122,'3. Costeo y Precios'!$A$14:$A$64,0)),"")</f>
        <v/>
      </c>
      <c r="E122" s="11"/>
      <c r="F122" s="11"/>
      <c r="G122" s="11"/>
      <c r="H122" s="22" t="str">
        <f aca="false">IFERROR(G122/(F122+G122),"")</f>
        <v/>
      </c>
      <c r="I122" s="11"/>
      <c r="J122" s="13" t="n">
        <f aca="false">IFERROR(INDEX('3. Costeo y Precios'!$M$14:$M$64,MATCH($C122,'3. Costeo y Precios'!$A$14:$A$64,0)),0)</f>
        <v>0</v>
      </c>
      <c r="K122" s="13" t="str">
        <f aca="false">IF($C122="","",G122*J122)</f>
        <v/>
      </c>
      <c r="L122" s="11"/>
    </row>
    <row r="123" customFormat="false" ht="15" hidden="false" customHeight="false" outlineLevel="0" collapsed="false">
      <c r="A123" s="27"/>
      <c r="B123" s="11"/>
      <c r="C123" s="11"/>
      <c r="D123" s="7" t="str">
        <f aca="false">IFERROR(INDEX('3. Costeo y Precios'!$B$14:$B$64,MATCH($C123,'3. Costeo y Precios'!$A$14:$A$64,0)),"")</f>
        <v/>
      </c>
      <c r="E123" s="11"/>
      <c r="F123" s="11"/>
      <c r="G123" s="11"/>
      <c r="H123" s="22" t="str">
        <f aca="false">IFERROR(G123/(F123+G123),"")</f>
        <v/>
      </c>
      <c r="I123" s="11"/>
      <c r="J123" s="13" t="n">
        <f aca="false">IFERROR(INDEX('3. Costeo y Precios'!$M$14:$M$64,MATCH($C123,'3. Costeo y Precios'!$A$14:$A$64,0)),0)</f>
        <v>0</v>
      </c>
      <c r="K123" s="13" t="str">
        <f aca="false">IF($C123="","",G123*J123)</f>
        <v/>
      </c>
      <c r="L123" s="11"/>
    </row>
    <row r="124" customFormat="false" ht="15" hidden="false" customHeight="false" outlineLevel="0" collapsed="false">
      <c r="A124" s="27"/>
      <c r="B124" s="11"/>
      <c r="C124" s="11"/>
      <c r="D124" s="7" t="str">
        <f aca="false">IFERROR(INDEX('3. Costeo y Precios'!$B$14:$B$64,MATCH($C124,'3. Costeo y Precios'!$A$14:$A$64,0)),"")</f>
        <v/>
      </c>
      <c r="E124" s="11"/>
      <c r="F124" s="11"/>
      <c r="G124" s="11"/>
      <c r="H124" s="22" t="str">
        <f aca="false">IFERROR(G124/(F124+G124),"")</f>
        <v/>
      </c>
      <c r="I124" s="11"/>
      <c r="J124" s="13" t="n">
        <f aca="false">IFERROR(INDEX('3. Costeo y Precios'!$M$14:$M$64,MATCH($C124,'3. Costeo y Precios'!$A$14:$A$64,0)),0)</f>
        <v>0</v>
      </c>
      <c r="K124" s="13" t="str">
        <f aca="false">IF($C124="","",G124*J124)</f>
        <v/>
      </c>
      <c r="L124" s="11"/>
    </row>
    <row r="125" customFormat="false" ht="15" hidden="false" customHeight="false" outlineLevel="0" collapsed="false">
      <c r="A125" s="27"/>
      <c r="B125" s="11"/>
      <c r="C125" s="11"/>
      <c r="D125" s="7" t="str">
        <f aca="false">IFERROR(INDEX('3. Costeo y Precios'!$B$14:$B$64,MATCH($C125,'3. Costeo y Precios'!$A$14:$A$64,0)),"")</f>
        <v/>
      </c>
      <c r="E125" s="11"/>
      <c r="F125" s="11"/>
      <c r="G125" s="11"/>
      <c r="H125" s="22" t="str">
        <f aca="false">IFERROR(G125/(F125+G125),"")</f>
        <v/>
      </c>
      <c r="I125" s="11"/>
      <c r="J125" s="13" t="n">
        <f aca="false">IFERROR(INDEX('3. Costeo y Precios'!$M$14:$M$64,MATCH($C125,'3. Costeo y Precios'!$A$14:$A$64,0)),0)</f>
        <v>0</v>
      </c>
      <c r="K125" s="13" t="str">
        <f aca="false">IF($C125="","",G125*J125)</f>
        <v/>
      </c>
      <c r="L125" s="11"/>
    </row>
    <row r="126" customFormat="false" ht="15" hidden="false" customHeight="false" outlineLevel="0" collapsed="false">
      <c r="A126" s="27"/>
      <c r="B126" s="11"/>
      <c r="C126" s="11"/>
      <c r="D126" s="7" t="str">
        <f aca="false">IFERROR(INDEX('3. Costeo y Precios'!$B$14:$B$64,MATCH($C126,'3. Costeo y Precios'!$A$14:$A$64,0)),"")</f>
        <v/>
      </c>
      <c r="E126" s="11"/>
      <c r="F126" s="11"/>
      <c r="G126" s="11"/>
      <c r="H126" s="22" t="str">
        <f aca="false">IFERROR(G126/(F126+G126),"")</f>
        <v/>
      </c>
      <c r="I126" s="11"/>
      <c r="J126" s="13" t="n">
        <f aca="false">IFERROR(INDEX('3. Costeo y Precios'!$M$14:$M$64,MATCH($C126,'3. Costeo y Precios'!$A$14:$A$64,0)),0)</f>
        <v>0</v>
      </c>
      <c r="K126" s="13" t="str">
        <f aca="false">IF($C126="","",G126*J126)</f>
        <v/>
      </c>
      <c r="L126" s="11"/>
    </row>
    <row r="127" customFormat="false" ht="15" hidden="false" customHeight="false" outlineLevel="0" collapsed="false">
      <c r="A127" s="27"/>
      <c r="B127" s="11"/>
      <c r="C127" s="11"/>
      <c r="D127" s="7" t="str">
        <f aca="false">IFERROR(INDEX('3. Costeo y Precios'!$B$14:$B$64,MATCH($C127,'3. Costeo y Precios'!$A$14:$A$64,0)),"")</f>
        <v/>
      </c>
      <c r="E127" s="11"/>
      <c r="F127" s="11"/>
      <c r="G127" s="11"/>
      <c r="H127" s="22" t="str">
        <f aca="false">IFERROR(G127/(F127+G127),"")</f>
        <v/>
      </c>
      <c r="I127" s="11"/>
      <c r="J127" s="13" t="n">
        <f aca="false">IFERROR(INDEX('3. Costeo y Precios'!$M$14:$M$64,MATCH($C127,'3. Costeo y Precios'!$A$14:$A$64,0)),0)</f>
        <v>0</v>
      </c>
      <c r="K127" s="13" t="str">
        <f aca="false">IF($C127="","",G127*J127)</f>
        <v/>
      </c>
      <c r="L127" s="11"/>
    </row>
    <row r="128" customFormat="false" ht="15" hidden="false" customHeight="false" outlineLevel="0" collapsed="false">
      <c r="A128" s="27"/>
      <c r="B128" s="11"/>
      <c r="C128" s="11"/>
      <c r="D128" s="7" t="str">
        <f aca="false">IFERROR(INDEX('3. Costeo y Precios'!$B$14:$B$64,MATCH($C128,'3. Costeo y Precios'!$A$14:$A$64,0)),"")</f>
        <v/>
      </c>
      <c r="E128" s="11"/>
      <c r="F128" s="11"/>
      <c r="G128" s="11"/>
      <c r="H128" s="22" t="str">
        <f aca="false">IFERROR(G128/(F128+G128),"")</f>
        <v/>
      </c>
      <c r="I128" s="11"/>
      <c r="J128" s="13" t="n">
        <f aca="false">IFERROR(INDEX('3. Costeo y Precios'!$M$14:$M$64,MATCH($C128,'3. Costeo y Precios'!$A$14:$A$64,0)),0)</f>
        <v>0</v>
      </c>
      <c r="K128" s="13" t="str">
        <f aca="false">IF($C128="","",G128*J128)</f>
        <v/>
      </c>
      <c r="L128" s="11"/>
    </row>
    <row r="129" customFormat="false" ht="15" hidden="false" customHeight="false" outlineLevel="0" collapsed="false">
      <c r="A129" s="27"/>
      <c r="B129" s="11"/>
      <c r="C129" s="11"/>
      <c r="D129" s="7" t="str">
        <f aca="false">IFERROR(INDEX('3. Costeo y Precios'!$B$14:$B$64,MATCH($C129,'3. Costeo y Precios'!$A$14:$A$64,0)),"")</f>
        <v/>
      </c>
      <c r="E129" s="11"/>
      <c r="F129" s="11"/>
      <c r="G129" s="11"/>
      <c r="H129" s="22" t="str">
        <f aca="false">IFERROR(G129/(F129+G129),"")</f>
        <v/>
      </c>
      <c r="I129" s="11"/>
      <c r="J129" s="13" t="n">
        <f aca="false">IFERROR(INDEX('3. Costeo y Precios'!$M$14:$M$64,MATCH($C129,'3. Costeo y Precios'!$A$14:$A$64,0)),0)</f>
        <v>0</v>
      </c>
      <c r="K129" s="13" t="str">
        <f aca="false">IF($C129="","",G129*J129)</f>
        <v/>
      </c>
      <c r="L129" s="11"/>
    </row>
    <row r="130" customFormat="false" ht="15" hidden="false" customHeight="false" outlineLevel="0" collapsed="false">
      <c r="A130" s="27"/>
      <c r="B130" s="11"/>
      <c r="C130" s="11"/>
      <c r="D130" s="7" t="str">
        <f aca="false">IFERROR(INDEX('3. Costeo y Precios'!$B$14:$B$64,MATCH($C130,'3. Costeo y Precios'!$A$14:$A$64,0)),"")</f>
        <v/>
      </c>
      <c r="E130" s="11"/>
      <c r="F130" s="11"/>
      <c r="G130" s="11"/>
      <c r="H130" s="22" t="str">
        <f aca="false">IFERROR(G130/(F130+G130),"")</f>
        <v/>
      </c>
      <c r="I130" s="11"/>
      <c r="J130" s="13" t="n">
        <f aca="false">IFERROR(INDEX('3. Costeo y Precios'!$M$14:$M$64,MATCH($C130,'3. Costeo y Precios'!$A$14:$A$64,0)),0)</f>
        <v>0</v>
      </c>
      <c r="K130" s="13" t="str">
        <f aca="false">IF($C130="","",G130*J130)</f>
        <v/>
      </c>
      <c r="L130" s="11"/>
    </row>
    <row r="131" customFormat="false" ht="15" hidden="false" customHeight="false" outlineLevel="0" collapsed="false">
      <c r="A131" s="27"/>
      <c r="B131" s="11"/>
      <c r="C131" s="11"/>
      <c r="D131" s="7" t="str">
        <f aca="false">IFERROR(INDEX('3. Costeo y Precios'!$B$14:$B$64,MATCH($C131,'3. Costeo y Precios'!$A$14:$A$64,0)),"")</f>
        <v/>
      </c>
      <c r="E131" s="11"/>
      <c r="F131" s="11"/>
      <c r="G131" s="11"/>
      <c r="H131" s="22" t="str">
        <f aca="false">IFERROR(G131/(F131+G131),"")</f>
        <v/>
      </c>
      <c r="I131" s="11"/>
      <c r="J131" s="13" t="n">
        <f aca="false">IFERROR(INDEX('3. Costeo y Precios'!$M$14:$M$64,MATCH($C131,'3. Costeo y Precios'!$A$14:$A$64,0)),0)</f>
        <v>0</v>
      </c>
      <c r="K131" s="13" t="str">
        <f aca="false">IF($C131="","",G131*J131)</f>
        <v/>
      </c>
      <c r="L131" s="11"/>
    </row>
    <row r="132" customFormat="false" ht="15" hidden="false" customHeight="false" outlineLevel="0" collapsed="false">
      <c r="A132" s="27"/>
      <c r="B132" s="11"/>
      <c r="C132" s="11"/>
      <c r="D132" s="7" t="str">
        <f aca="false">IFERROR(INDEX('3. Costeo y Precios'!$B$14:$B$64,MATCH($C132,'3. Costeo y Precios'!$A$14:$A$64,0)),"")</f>
        <v/>
      </c>
      <c r="E132" s="11"/>
      <c r="F132" s="11"/>
      <c r="G132" s="11"/>
      <c r="H132" s="22" t="str">
        <f aca="false">IFERROR(G132/(F132+G132),"")</f>
        <v/>
      </c>
      <c r="I132" s="11"/>
      <c r="J132" s="13" t="n">
        <f aca="false">IFERROR(INDEX('3. Costeo y Precios'!$M$14:$M$64,MATCH($C132,'3. Costeo y Precios'!$A$14:$A$64,0)),0)</f>
        <v>0</v>
      </c>
      <c r="K132" s="13" t="str">
        <f aca="false">IF($C132="","",G132*J132)</f>
        <v/>
      </c>
      <c r="L132" s="11"/>
    </row>
    <row r="133" customFormat="false" ht="15" hidden="false" customHeight="false" outlineLevel="0" collapsed="false">
      <c r="A133" s="27"/>
      <c r="B133" s="11"/>
      <c r="C133" s="11"/>
      <c r="D133" s="7" t="str">
        <f aca="false">IFERROR(INDEX('3. Costeo y Precios'!$B$14:$B$64,MATCH($C133,'3. Costeo y Precios'!$A$14:$A$64,0)),"")</f>
        <v/>
      </c>
      <c r="E133" s="11"/>
      <c r="F133" s="11"/>
      <c r="G133" s="11"/>
      <c r="H133" s="22" t="str">
        <f aca="false">IFERROR(G133/(F133+G133),"")</f>
        <v/>
      </c>
      <c r="I133" s="11"/>
      <c r="J133" s="13" t="n">
        <f aca="false">IFERROR(INDEX('3. Costeo y Precios'!$M$14:$M$64,MATCH($C133,'3. Costeo y Precios'!$A$14:$A$64,0)),0)</f>
        <v>0</v>
      </c>
      <c r="K133" s="13" t="str">
        <f aca="false">IF($C133="","",G133*J133)</f>
        <v/>
      </c>
      <c r="L133" s="11"/>
    </row>
    <row r="134" customFormat="false" ht="15" hidden="false" customHeight="false" outlineLevel="0" collapsed="false">
      <c r="A134" s="27"/>
      <c r="B134" s="11"/>
      <c r="C134" s="11"/>
      <c r="D134" s="7" t="str">
        <f aca="false">IFERROR(INDEX('3. Costeo y Precios'!$B$14:$B$64,MATCH($C134,'3. Costeo y Precios'!$A$14:$A$64,0)),"")</f>
        <v/>
      </c>
      <c r="E134" s="11"/>
      <c r="F134" s="11"/>
      <c r="G134" s="11"/>
      <c r="H134" s="22" t="str">
        <f aca="false">IFERROR(G134/(F134+G134),"")</f>
        <v/>
      </c>
      <c r="I134" s="11"/>
      <c r="J134" s="13" t="n">
        <f aca="false">IFERROR(INDEX('3. Costeo y Precios'!$M$14:$M$64,MATCH($C134,'3. Costeo y Precios'!$A$14:$A$64,0)),0)</f>
        <v>0</v>
      </c>
      <c r="K134" s="13" t="str">
        <f aca="false">IF($C134="","",G134*J134)</f>
        <v/>
      </c>
      <c r="L134" s="11"/>
    </row>
    <row r="135" customFormat="false" ht="15" hidden="false" customHeight="false" outlineLevel="0" collapsed="false">
      <c r="A135" s="27"/>
      <c r="B135" s="11"/>
      <c r="C135" s="11"/>
      <c r="D135" s="7" t="str">
        <f aca="false">IFERROR(INDEX('3. Costeo y Precios'!$B$14:$B$64,MATCH($C135,'3. Costeo y Precios'!$A$14:$A$64,0)),"")</f>
        <v/>
      </c>
      <c r="E135" s="11"/>
      <c r="F135" s="11"/>
      <c r="G135" s="11"/>
      <c r="H135" s="22" t="str">
        <f aca="false">IFERROR(G135/(F135+G135),"")</f>
        <v/>
      </c>
      <c r="I135" s="11"/>
      <c r="J135" s="13" t="n">
        <f aca="false">IFERROR(INDEX('3. Costeo y Precios'!$M$14:$M$64,MATCH($C135,'3. Costeo y Precios'!$A$14:$A$64,0)),0)</f>
        <v>0</v>
      </c>
      <c r="K135" s="13" t="str">
        <f aca="false">IF($C135="","",G135*J135)</f>
        <v/>
      </c>
      <c r="L135" s="11"/>
    </row>
    <row r="136" customFormat="false" ht="15" hidden="false" customHeight="false" outlineLevel="0" collapsed="false">
      <c r="A136" s="27"/>
      <c r="B136" s="11"/>
      <c r="C136" s="11"/>
      <c r="D136" s="7" t="str">
        <f aca="false">IFERROR(INDEX('3. Costeo y Precios'!$B$14:$B$64,MATCH($C136,'3. Costeo y Precios'!$A$14:$A$64,0)),"")</f>
        <v/>
      </c>
      <c r="E136" s="11"/>
      <c r="F136" s="11"/>
      <c r="G136" s="11"/>
      <c r="H136" s="22" t="str">
        <f aca="false">IFERROR(G136/(F136+G136),"")</f>
        <v/>
      </c>
      <c r="I136" s="11"/>
      <c r="J136" s="13" t="n">
        <f aca="false">IFERROR(INDEX('3. Costeo y Precios'!$M$14:$M$64,MATCH($C136,'3. Costeo y Precios'!$A$14:$A$64,0)),0)</f>
        <v>0</v>
      </c>
      <c r="K136" s="13" t="str">
        <f aca="false">IF($C136="","",G136*J136)</f>
        <v/>
      </c>
      <c r="L136" s="11"/>
    </row>
    <row r="137" customFormat="false" ht="15" hidden="false" customHeight="false" outlineLevel="0" collapsed="false">
      <c r="A137" s="27"/>
      <c r="B137" s="11"/>
      <c r="C137" s="11"/>
      <c r="D137" s="7" t="str">
        <f aca="false">IFERROR(INDEX('3. Costeo y Precios'!$B$14:$B$64,MATCH($C137,'3. Costeo y Precios'!$A$14:$A$64,0)),"")</f>
        <v/>
      </c>
      <c r="E137" s="11"/>
      <c r="F137" s="11"/>
      <c r="G137" s="11"/>
      <c r="H137" s="22" t="str">
        <f aca="false">IFERROR(G137/(F137+G137),"")</f>
        <v/>
      </c>
      <c r="I137" s="11"/>
      <c r="J137" s="13" t="n">
        <f aca="false">IFERROR(INDEX('3. Costeo y Precios'!$M$14:$M$64,MATCH($C137,'3. Costeo y Precios'!$A$14:$A$64,0)),0)</f>
        <v>0</v>
      </c>
      <c r="K137" s="13" t="str">
        <f aca="false">IF($C137="","",G137*J137)</f>
        <v/>
      </c>
      <c r="L137" s="11"/>
    </row>
    <row r="138" customFormat="false" ht="15" hidden="false" customHeight="false" outlineLevel="0" collapsed="false">
      <c r="A138" s="27"/>
      <c r="B138" s="11"/>
      <c r="C138" s="11"/>
      <c r="D138" s="7" t="str">
        <f aca="false">IFERROR(INDEX('3. Costeo y Precios'!$B$14:$B$64,MATCH($C138,'3. Costeo y Precios'!$A$14:$A$64,0)),"")</f>
        <v/>
      </c>
      <c r="E138" s="11"/>
      <c r="F138" s="11"/>
      <c r="G138" s="11"/>
      <c r="H138" s="22" t="str">
        <f aca="false">IFERROR(G138/(F138+G138),"")</f>
        <v/>
      </c>
      <c r="I138" s="11"/>
      <c r="J138" s="13" t="n">
        <f aca="false">IFERROR(INDEX('3. Costeo y Precios'!$M$14:$M$64,MATCH($C138,'3. Costeo y Precios'!$A$14:$A$64,0)),0)</f>
        <v>0</v>
      </c>
      <c r="K138" s="13" t="str">
        <f aca="false">IF($C138="","",G138*J138)</f>
        <v/>
      </c>
      <c r="L138" s="11"/>
    </row>
    <row r="139" customFormat="false" ht="15" hidden="false" customHeight="false" outlineLevel="0" collapsed="false">
      <c r="A139" s="27"/>
      <c r="B139" s="11"/>
      <c r="C139" s="11"/>
      <c r="D139" s="7" t="str">
        <f aca="false">IFERROR(INDEX('3. Costeo y Precios'!$B$14:$B$64,MATCH($C139,'3. Costeo y Precios'!$A$14:$A$64,0)),"")</f>
        <v/>
      </c>
      <c r="E139" s="11"/>
      <c r="F139" s="11"/>
      <c r="G139" s="11"/>
      <c r="H139" s="22" t="str">
        <f aca="false">IFERROR(G139/(F139+G139),"")</f>
        <v/>
      </c>
      <c r="I139" s="11"/>
      <c r="J139" s="13" t="n">
        <f aca="false">IFERROR(INDEX('3. Costeo y Precios'!$M$14:$M$64,MATCH($C139,'3. Costeo y Precios'!$A$14:$A$64,0)),0)</f>
        <v>0</v>
      </c>
      <c r="K139" s="13" t="str">
        <f aca="false">IF($C139="","",G139*J139)</f>
        <v/>
      </c>
      <c r="L139" s="11"/>
    </row>
    <row r="140" customFormat="false" ht="15" hidden="false" customHeight="false" outlineLevel="0" collapsed="false">
      <c r="A140" s="27"/>
      <c r="B140" s="11"/>
      <c r="C140" s="11"/>
      <c r="D140" s="7" t="str">
        <f aca="false">IFERROR(INDEX('3. Costeo y Precios'!$B$14:$B$64,MATCH($C140,'3. Costeo y Precios'!$A$14:$A$64,0)),"")</f>
        <v/>
      </c>
      <c r="E140" s="11"/>
      <c r="F140" s="11"/>
      <c r="G140" s="11"/>
      <c r="H140" s="22" t="str">
        <f aca="false">IFERROR(G140/(F140+G140),"")</f>
        <v/>
      </c>
      <c r="I140" s="11"/>
      <c r="J140" s="13" t="n">
        <f aca="false">IFERROR(INDEX('3. Costeo y Precios'!$M$14:$M$64,MATCH($C140,'3. Costeo y Precios'!$A$14:$A$64,0)),0)</f>
        <v>0</v>
      </c>
      <c r="K140" s="13" t="str">
        <f aca="false">IF($C140="","",G140*J140)</f>
        <v/>
      </c>
      <c r="L140" s="11"/>
    </row>
    <row r="141" customFormat="false" ht="15" hidden="false" customHeight="false" outlineLevel="0" collapsed="false">
      <c r="A141" s="27"/>
      <c r="B141" s="11"/>
      <c r="C141" s="11"/>
      <c r="D141" s="7" t="str">
        <f aca="false">IFERROR(INDEX('3. Costeo y Precios'!$B$14:$B$64,MATCH($C141,'3. Costeo y Precios'!$A$14:$A$64,0)),"")</f>
        <v/>
      </c>
      <c r="E141" s="11"/>
      <c r="F141" s="11"/>
      <c r="G141" s="11"/>
      <c r="H141" s="22" t="str">
        <f aca="false">IFERROR(G141/(F141+G141),"")</f>
        <v/>
      </c>
      <c r="I141" s="11"/>
      <c r="J141" s="13" t="n">
        <f aca="false">IFERROR(INDEX('3. Costeo y Precios'!$M$14:$M$64,MATCH($C141,'3. Costeo y Precios'!$A$14:$A$64,0)),0)</f>
        <v>0</v>
      </c>
      <c r="K141" s="13" t="str">
        <f aca="false">IF($C141="","",G141*J141)</f>
        <v/>
      </c>
      <c r="L141" s="11"/>
    </row>
    <row r="142" customFormat="false" ht="15" hidden="false" customHeight="false" outlineLevel="0" collapsed="false">
      <c r="A142" s="27"/>
      <c r="B142" s="11"/>
      <c r="C142" s="11"/>
      <c r="D142" s="7" t="str">
        <f aca="false">IFERROR(INDEX('3. Costeo y Precios'!$B$14:$B$64,MATCH($C142,'3. Costeo y Precios'!$A$14:$A$64,0)),"")</f>
        <v/>
      </c>
      <c r="E142" s="11"/>
      <c r="F142" s="11"/>
      <c r="G142" s="11"/>
      <c r="H142" s="22" t="str">
        <f aca="false">IFERROR(G142/(F142+G142),"")</f>
        <v/>
      </c>
      <c r="I142" s="11"/>
      <c r="J142" s="13" t="n">
        <f aca="false">IFERROR(INDEX('3. Costeo y Precios'!$M$14:$M$64,MATCH($C142,'3. Costeo y Precios'!$A$14:$A$64,0)),0)</f>
        <v>0</v>
      </c>
      <c r="K142" s="13" t="str">
        <f aca="false">IF($C142="","",G142*J142)</f>
        <v/>
      </c>
      <c r="L142" s="11"/>
    </row>
    <row r="143" customFormat="false" ht="15" hidden="false" customHeight="false" outlineLevel="0" collapsed="false">
      <c r="A143" s="27"/>
      <c r="B143" s="11"/>
      <c r="C143" s="11"/>
      <c r="D143" s="7" t="str">
        <f aca="false">IFERROR(INDEX('3. Costeo y Precios'!$B$14:$B$64,MATCH($C143,'3. Costeo y Precios'!$A$14:$A$64,0)),"")</f>
        <v/>
      </c>
      <c r="E143" s="11"/>
      <c r="F143" s="11"/>
      <c r="G143" s="11"/>
      <c r="H143" s="22" t="str">
        <f aca="false">IFERROR(G143/(F143+G143),"")</f>
        <v/>
      </c>
      <c r="I143" s="11"/>
      <c r="J143" s="13" t="n">
        <f aca="false">IFERROR(INDEX('3. Costeo y Precios'!$M$14:$M$64,MATCH($C143,'3. Costeo y Precios'!$A$14:$A$64,0)),0)</f>
        <v>0</v>
      </c>
      <c r="K143" s="13" t="str">
        <f aca="false">IF($C143="","",G143*J143)</f>
        <v/>
      </c>
      <c r="L143" s="11"/>
    </row>
    <row r="144" customFormat="false" ht="15" hidden="false" customHeight="false" outlineLevel="0" collapsed="false">
      <c r="A144" s="27"/>
      <c r="B144" s="11"/>
      <c r="C144" s="11"/>
      <c r="D144" s="7" t="str">
        <f aca="false">IFERROR(INDEX('3. Costeo y Precios'!$B$14:$B$64,MATCH($C144,'3. Costeo y Precios'!$A$14:$A$64,0)),"")</f>
        <v/>
      </c>
      <c r="E144" s="11"/>
      <c r="F144" s="11"/>
      <c r="G144" s="11"/>
      <c r="H144" s="22" t="str">
        <f aca="false">IFERROR(G144/(F144+G144),"")</f>
        <v/>
      </c>
      <c r="I144" s="11"/>
      <c r="J144" s="13" t="n">
        <f aca="false">IFERROR(INDEX('3. Costeo y Precios'!$M$14:$M$64,MATCH($C144,'3. Costeo y Precios'!$A$14:$A$64,0)),0)</f>
        <v>0</v>
      </c>
      <c r="K144" s="13" t="str">
        <f aca="false">IF($C144="","",G144*J144)</f>
        <v/>
      </c>
      <c r="L144" s="11"/>
    </row>
    <row r="145" customFormat="false" ht="15" hidden="false" customHeight="false" outlineLevel="0" collapsed="false">
      <c r="A145" s="27"/>
      <c r="B145" s="11"/>
      <c r="C145" s="11"/>
      <c r="D145" s="7" t="str">
        <f aca="false">IFERROR(INDEX('3. Costeo y Precios'!$B$14:$B$64,MATCH($C145,'3. Costeo y Precios'!$A$14:$A$64,0)),"")</f>
        <v/>
      </c>
      <c r="E145" s="11"/>
      <c r="F145" s="11"/>
      <c r="G145" s="11"/>
      <c r="H145" s="22" t="str">
        <f aca="false">IFERROR(G145/(F145+G145),"")</f>
        <v/>
      </c>
      <c r="I145" s="11"/>
      <c r="J145" s="13" t="n">
        <f aca="false">IFERROR(INDEX('3. Costeo y Precios'!$M$14:$M$64,MATCH($C145,'3. Costeo y Precios'!$A$14:$A$64,0)),0)</f>
        <v>0</v>
      </c>
      <c r="K145" s="13" t="str">
        <f aca="false">IF($C145="","",G145*J145)</f>
        <v/>
      </c>
      <c r="L145" s="11"/>
    </row>
    <row r="146" customFormat="false" ht="15" hidden="false" customHeight="false" outlineLevel="0" collapsed="false">
      <c r="A146" s="27"/>
      <c r="B146" s="11"/>
      <c r="C146" s="11"/>
      <c r="D146" s="7" t="str">
        <f aca="false">IFERROR(INDEX('3. Costeo y Precios'!$B$14:$B$64,MATCH($C146,'3. Costeo y Precios'!$A$14:$A$64,0)),"")</f>
        <v/>
      </c>
      <c r="E146" s="11"/>
      <c r="F146" s="11"/>
      <c r="G146" s="11"/>
      <c r="H146" s="22" t="str">
        <f aca="false">IFERROR(G146/(F146+G146),"")</f>
        <v/>
      </c>
      <c r="I146" s="11"/>
      <c r="J146" s="13" t="n">
        <f aca="false">IFERROR(INDEX('3. Costeo y Precios'!$M$14:$M$64,MATCH($C146,'3. Costeo y Precios'!$A$14:$A$64,0)),0)</f>
        <v>0</v>
      </c>
      <c r="K146" s="13" t="str">
        <f aca="false">IF($C146="","",G146*J146)</f>
        <v/>
      </c>
      <c r="L146" s="11"/>
    </row>
    <row r="147" customFormat="false" ht="15" hidden="false" customHeight="false" outlineLevel="0" collapsed="false">
      <c r="A147" s="27"/>
      <c r="B147" s="11"/>
      <c r="C147" s="11"/>
      <c r="D147" s="7" t="str">
        <f aca="false">IFERROR(INDEX('3. Costeo y Precios'!$B$14:$B$64,MATCH($C147,'3. Costeo y Precios'!$A$14:$A$64,0)),"")</f>
        <v/>
      </c>
      <c r="E147" s="11"/>
      <c r="F147" s="11"/>
      <c r="G147" s="11"/>
      <c r="H147" s="22" t="str">
        <f aca="false">IFERROR(G147/(F147+G147),"")</f>
        <v/>
      </c>
      <c r="I147" s="11"/>
      <c r="J147" s="13" t="n">
        <f aca="false">IFERROR(INDEX('3. Costeo y Precios'!$M$14:$M$64,MATCH($C147,'3. Costeo y Precios'!$A$14:$A$64,0)),0)</f>
        <v>0</v>
      </c>
      <c r="K147" s="13" t="str">
        <f aca="false">IF($C147="","",G147*J147)</f>
        <v/>
      </c>
      <c r="L147" s="11"/>
    </row>
    <row r="148" customFormat="false" ht="15" hidden="false" customHeight="false" outlineLevel="0" collapsed="false">
      <c r="A148" s="27"/>
      <c r="B148" s="11"/>
      <c r="C148" s="11"/>
      <c r="D148" s="7" t="str">
        <f aca="false">IFERROR(INDEX('3. Costeo y Precios'!$B$14:$B$64,MATCH($C148,'3. Costeo y Precios'!$A$14:$A$64,0)),"")</f>
        <v/>
      </c>
      <c r="E148" s="11"/>
      <c r="F148" s="11"/>
      <c r="G148" s="11"/>
      <c r="H148" s="22" t="str">
        <f aca="false">IFERROR(G148/(F148+G148),"")</f>
        <v/>
      </c>
      <c r="I148" s="11"/>
      <c r="J148" s="13" t="n">
        <f aca="false">IFERROR(INDEX('3. Costeo y Precios'!$M$14:$M$64,MATCH($C148,'3. Costeo y Precios'!$A$14:$A$64,0)),0)</f>
        <v>0</v>
      </c>
      <c r="K148" s="13" t="str">
        <f aca="false">IF($C148="","",G148*J148)</f>
        <v/>
      </c>
      <c r="L148" s="11"/>
    </row>
    <row r="149" customFormat="false" ht="15" hidden="false" customHeight="false" outlineLevel="0" collapsed="false">
      <c r="A149" s="27"/>
      <c r="B149" s="11"/>
      <c r="C149" s="11"/>
      <c r="D149" s="7" t="str">
        <f aca="false">IFERROR(INDEX('3. Costeo y Precios'!$B$14:$B$64,MATCH($C149,'3. Costeo y Precios'!$A$14:$A$64,0)),"")</f>
        <v/>
      </c>
      <c r="E149" s="11"/>
      <c r="F149" s="11"/>
      <c r="G149" s="11"/>
      <c r="H149" s="22" t="str">
        <f aca="false">IFERROR(G149/(F149+G149),"")</f>
        <v/>
      </c>
      <c r="I149" s="11"/>
      <c r="J149" s="13" t="n">
        <f aca="false">IFERROR(INDEX('3. Costeo y Precios'!$M$14:$M$64,MATCH($C149,'3. Costeo y Precios'!$A$14:$A$64,0)),0)</f>
        <v>0</v>
      </c>
      <c r="K149" s="13" t="str">
        <f aca="false">IF($C149="","",G149*J149)</f>
        <v/>
      </c>
      <c r="L149" s="11"/>
    </row>
    <row r="150" customFormat="false" ht="15" hidden="false" customHeight="false" outlineLevel="0" collapsed="false">
      <c r="A150" s="27"/>
      <c r="B150" s="11"/>
      <c r="C150" s="11"/>
      <c r="D150" s="7" t="str">
        <f aca="false">IFERROR(INDEX('3. Costeo y Precios'!$B$14:$B$64,MATCH($C150,'3. Costeo y Precios'!$A$14:$A$64,0)),"")</f>
        <v/>
      </c>
      <c r="E150" s="11"/>
      <c r="F150" s="11"/>
      <c r="G150" s="11"/>
      <c r="H150" s="22" t="str">
        <f aca="false">IFERROR(G150/(F150+G150),"")</f>
        <v/>
      </c>
      <c r="I150" s="11"/>
      <c r="J150" s="13" t="n">
        <f aca="false">IFERROR(INDEX('3. Costeo y Precios'!$M$14:$M$64,MATCH($C150,'3. Costeo y Precios'!$A$14:$A$64,0)),0)</f>
        <v>0</v>
      </c>
      <c r="K150" s="13" t="str">
        <f aca="false">IF($C150="","",G150*J150)</f>
        <v/>
      </c>
      <c r="L150" s="11"/>
    </row>
    <row r="151" customFormat="false" ht="15" hidden="false" customHeight="false" outlineLevel="0" collapsed="false">
      <c r="A151" s="27"/>
      <c r="B151" s="11"/>
      <c r="C151" s="11"/>
      <c r="D151" s="7" t="str">
        <f aca="false">IFERROR(INDEX('3. Costeo y Precios'!$B$14:$B$64,MATCH($C151,'3. Costeo y Precios'!$A$14:$A$64,0)),"")</f>
        <v/>
      </c>
      <c r="E151" s="11"/>
      <c r="F151" s="11"/>
      <c r="G151" s="11"/>
      <c r="H151" s="22" t="str">
        <f aca="false">IFERROR(G151/(F151+G151),"")</f>
        <v/>
      </c>
      <c r="I151" s="11"/>
      <c r="J151" s="13" t="n">
        <f aca="false">IFERROR(INDEX('3. Costeo y Precios'!$M$14:$M$64,MATCH($C151,'3. Costeo y Precios'!$A$14:$A$64,0)),0)</f>
        <v>0</v>
      </c>
      <c r="K151" s="13" t="str">
        <f aca="false">IF($C151="","",G151*J151)</f>
        <v/>
      </c>
      <c r="L151" s="11"/>
    </row>
    <row r="152" customFormat="false" ht="15" hidden="false" customHeight="false" outlineLevel="0" collapsed="false">
      <c r="A152" s="27"/>
      <c r="B152" s="11"/>
      <c r="C152" s="11"/>
      <c r="D152" s="7" t="str">
        <f aca="false">IFERROR(INDEX('3. Costeo y Precios'!$B$14:$B$64,MATCH($C152,'3. Costeo y Precios'!$A$14:$A$64,0)),"")</f>
        <v/>
      </c>
      <c r="E152" s="11"/>
      <c r="F152" s="11"/>
      <c r="G152" s="11"/>
      <c r="H152" s="22" t="str">
        <f aca="false">IFERROR(G152/(F152+G152),"")</f>
        <v/>
      </c>
      <c r="I152" s="11"/>
      <c r="J152" s="13" t="n">
        <f aca="false">IFERROR(INDEX('3. Costeo y Precios'!$M$14:$M$64,MATCH($C152,'3. Costeo y Precios'!$A$14:$A$64,0)),0)</f>
        <v>0</v>
      </c>
      <c r="K152" s="13" t="str">
        <f aca="false">IF($C152="","",G152*J152)</f>
        <v/>
      </c>
      <c r="L152" s="11"/>
    </row>
    <row r="153" customFormat="false" ht="15" hidden="false" customHeight="false" outlineLevel="0" collapsed="false">
      <c r="A153" s="27"/>
      <c r="B153" s="11"/>
      <c r="C153" s="11"/>
      <c r="D153" s="7" t="str">
        <f aca="false">IFERROR(INDEX('3. Costeo y Precios'!$B$14:$B$64,MATCH($C153,'3. Costeo y Precios'!$A$14:$A$64,0)),"")</f>
        <v/>
      </c>
      <c r="E153" s="11"/>
      <c r="F153" s="11"/>
      <c r="G153" s="11"/>
      <c r="H153" s="22" t="str">
        <f aca="false">IFERROR(G153/(F153+G153),"")</f>
        <v/>
      </c>
      <c r="I153" s="11"/>
      <c r="J153" s="13" t="n">
        <f aca="false">IFERROR(INDEX('3. Costeo y Precios'!$M$14:$M$64,MATCH($C153,'3. Costeo y Precios'!$A$14:$A$64,0)),0)</f>
        <v>0</v>
      </c>
      <c r="K153" s="13" t="str">
        <f aca="false">IF($C153="","",G153*J153)</f>
        <v/>
      </c>
      <c r="L153" s="11"/>
    </row>
    <row r="154" customFormat="false" ht="15" hidden="false" customHeight="false" outlineLevel="0" collapsed="false">
      <c r="A154" s="27"/>
      <c r="B154" s="11"/>
      <c r="C154" s="11"/>
      <c r="D154" s="7" t="str">
        <f aca="false">IFERROR(INDEX('3. Costeo y Precios'!$B$14:$B$64,MATCH($C154,'3. Costeo y Precios'!$A$14:$A$64,0)),"")</f>
        <v/>
      </c>
      <c r="E154" s="11"/>
      <c r="F154" s="11"/>
      <c r="G154" s="11"/>
      <c r="H154" s="22" t="str">
        <f aca="false">IFERROR(G154/(F154+G154),"")</f>
        <v/>
      </c>
      <c r="I154" s="11"/>
      <c r="J154" s="13" t="n">
        <f aca="false">IFERROR(INDEX('3. Costeo y Precios'!$M$14:$M$64,MATCH($C154,'3. Costeo y Precios'!$A$14:$A$64,0)),0)</f>
        <v>0</v>
      </c>
      <c r="K154" s="13" t="str">
        <f aca="false">IF($C154="","",G154*J154)</f>
        <v/>
      </c>
      <c r="L154" s="11"/>
    </row>
    <row r="155" customFormat="false" ht="15" hidden="false" customHeight="false" outlineLevel="0" collapsed="false">
      <c r="A155" s="27"/>
      <c r="B155" s="11"/>
      <c r="C155" s="11"/>
      <c r="D155" s="7" t="str">
        <f aca="false">IFERROR(INDEX('3. Costeo y Precios'!$B$14:$B$64,MATCH($C155,'3. Costeo y Precios'!$A$14:$A$64,0)),"")</f>
        <v/>
      </c>
      <c r="E155" s="11"/>
      <c r="F155" s="11"/>
      <c r="G155" s="11"/>
      <c r="H155" s="22" t="str">
        <f aca="false">IFERROR(G155/(F155+G155),"")</f>
        <v/>
      </c>
      <c r="I155" s="11"/>
      <c r="J155" s="13" t="n">
        <f aca="false">IFERROR(INDEX('3. Costeo y Precios'!$M$14:$M$64,MATCH($C155,'3. Costeo y Precios'!$A$14:$A$64,0)),0)</f>
        <v>0</v>
      </c>
      <c r="K155" s="13" t="str">
        <f aca="false">IF($C155="","",G155*J155)</f>
        <v/>
      </c>
      <c r="L155" s="11"/>
    </row>
    <row r="156" customFormat="false" ht="15" hidden="false" customHeight="false" outlineLevel="0" collapsed="false">
      <c r="A156" s="27"/>
      <c r="B156" s="11"/>
      <c r="C156" s="11"/>
      <c r="D156" s="7" t="str">
        <f aca="false">IFERROR(INDEX('3. Costeo y Precios'!$B$14:$B$64,MATCH($C156,'3. Costeo y Precios'!$A$14:$A$64,0)),"")</f>
        <v/>
      </c>
      <c r="E156" s="11"/>
      <c r="F156" s="11"/>
      <c r="G156" s="11"/>
      <c r="H156" s="22" t="str">
        <f aca="false">IFERROR(G156/(F156+G156),"")</f>
        <v/>
      </c>
      <c r="I156" s="11"/>
      <c r="J156" s="13" t="n">
        <f aca="false">IFERROR(INDEX('3. Costeo y Precios'!$M$14:$M$64,MATCH($C156,'3. Costeo y Precios'!$A$14:$A$64,0)),0)</f>
        <v>0</v>
      </c>
      <c r="K156" s="13" t="str">
        <f aca="false">IF($C156="","",G156*J156)</f>
        <v/>
      </c>
      <c r="L156" s="11"/>
    </row>
    <row r="157" customFormat="false" ht="15" hidden="false" customHeight="false" outlineLevel="0" collapsed="false">
      <c r="A157" s="27"/>
      <c r="B157" s="11"/>
      <c r="C157" s="11"/>
      <c r="D157" s="7" t="str">
        <f aca="false">IFERROR(INDEX('3. Costeo y Precios'!$B$14:$B$64,MATCH($C157,'3. Costeo y Precios'!$A$14:$A$64,0)),"")</f>
        <v/>
      </c>
      <c r="E157" s="11"/>
      <c r="F157" s="11"/>
      <c r="G157" s="11"/>
      <c r="H157" s="22" t="str">
        <f aca="false">IFERROR(G157/(F157+G157),"")</f>
        <v/>
      </c>
      <c r="I157" s="11"/>
      <c r="J157" s="13" t="n">
        <f aca="false">IFERROR(INDEX('3. Costeo y Precios'!$M$14:$M$64,MATCH($C157,'3. Costeo y Precios'!$A$14:$A$64,0)),0)</f>
        <v>0</v>
      </c>
      <c r="K157" s="13" t="str">
        <f aca="false">IF($C157="","",G157*J157)</f>
        <v/>
      </c>
      <c r="L157" s="11"/>
    </row>
    <row r="158" customFormat="false" ht="15" hidden="false" customHeight="false" outlineLevel="0" collapsed="false">
      <c r="A158" s="27"/>
      <c r="B158" s="11"/>
      <c r="C158" s="11"/>
      <c r="D158" s="7" t="str">
        <f aca="false">IFERROR(INDEX('3. Costeo y Precios'!$B$14:$B$64,MATCH($C158,'3. Costeo y Precios'!$A$14:$A$64,0)),"")</f>
        <v/>
      </c>
      <c r="E158" s="11"/>
      <c r="F158" s="11"/>
      <c r="G158" s="11"/>
      <c r="H158" s="22" t="str">
        <f aca="false">IFERROR(G158/(F158+G158),"")</f>
        <v/>
      </c>
      <c r="I158" s="11"/>
      <c r="J158" s="13" t="n">
        <f aca="false">IFERROR(INDEX('3. Costeo y Precios'!$M$14:$M$64,MATCH($C158,'3. Costeo y Precios'!$A$14:$A$64,0)),0)</f>
        <v>0</v>
      </c>
      <c r="K158" s="13" t="str">
        <f aca="false">IF($C158="","",G158*J158)</f>
        <v/>
      </c>
      <c r="L158" s="11"/>
    </row>
    <row r="159" customFormat="false" ht="15" hidden="false" customHeight="false" outlineLevel="0" collapsed="false">
      <c r="A159" s="27"/>
      <c r="B159" s="11"/>
      <c r="C159" s="11"/>
      <c r="D159" s="7" t="str">
        <f aca="false">IFERROR(INDEX('3. Costeo y Precios'!$B$14:$B$64,MATCH($C159,'3. Costeo y Precios'!$A$14:$A$64,0)),"")</f>
        <v/>
      </c>
      <c r="E159" s="11"/>
      <c r="F159" s="11"/>
      <c r="G159" s="11"/>
      <c r="H159" s="22" t="str">
        <f aca="false">IFERROR(G159/(F159+G159),"")</f>
        <v/>
      </c>
      <c r="I159" s="11"/>
      <c r="J159" s="13" t="n">
        <f aca="false">IFERROR(INDEX('3. Costeo y Precios'!$M$14:$M$64,MATCH($C159,'3. Costeo y Precios'!$A$14:$A$64,0)),0)</f>
        <v>0</v>
      </c>
      <c r="K159" s="13" t="str">
        <f aca="false">IF($C159="","",G159*J159)</f>
        <v/>
      </c>
      <c r="L159" s="11"/>
    </row>
    <row r="160" customFormat="false" ht="15" hidden="false" customHeight="false" outlineLevel="0" collapsed="false">
      <c r="A160" s="27"/>
      <c r="B160" s="11"/>
      <c r="C160" s="11"/>
      <c r="D160" s="7" t="str">
        <f aca="false">IFERROR(INDEX('3. Costeo y Precios'!$B$14:$B$64,MATCH($C160,'3. Costeo y Precios'!$A$14:$A$64,0)),"")</f>
        <v/>
      </c>
      <c r="E160" s="11"/>
      <c r="F160" s="11"/>
      <c r="G160" s="11"/>
      <c r="H160" s="22" t="str">
        <f aca="false">IFERROR(G160/(F160+G160),"")</f>
        <v/>
      </c>
      <c r="I160" s="11"/>
      <c r="J160" s="13" t="n">
        <f aca="false">IFERROR(INDEX('3. Costeo y Precios'!$M$14:$M$64,MATCH($C160,'3. Costeo y Precios'!$A$14:$A$64,0)),0)</f>
        <v>0</v>
      </c>
      <c r="K160" s="13" t="str">
        <f aca="false">IF($C160="","",G160*J160)</f>
        <v/>
      </c>
      <c r="L160" s="11"/>
    </row>
    <row r="161" customFormat="false" ht="15" hidden="false" customHeight="false" outlineLevel="0" collapsed="false">
      <c r="A161" s="27"/>
      <c r="B161" s="11"/>
      <c r="C161" s="11"/>
      <c r="D161" s="7" t="str">
        <f aca="false">IFERROR(INDEX('3. Costeo y Precios'!$B$14:$B$64,MATCH($C161,'3. Costeo y Precios'!$A$14:$A$64,0)),"")</f>
        <v/>
      </c>
      <c r="E161" s="11"/>
      <c r="F161" s="11"/>
      <c r="G161" s="11"/>
      <c r="H161" s="22" t="str">
        <f aca="false">IFERROR(G161/(F161+G161),"")</f>
        <v/>
      </c>
      <c r="I161" s="11"/>
      <c r="J161" s="13" t="n">
        <f aca="false">IFERROR(INDEX('3. Costeo y Precios'!$M$14:$M$64,MATCH($C161,'3. Costeo y Precios'!$A$14:$A$64,0)),0)</f>
        <v>0</v>
      </c>
      <c r="K161" s="13" t="str">
        <f aca="false">IF($C161="","",G161*J161)</f>
        <v/>
      </c>
      <c r="L161" s="11"/>
    </row>
    <row r="162" customFormat="false" ht="15" hidden="false" customHeight="false" outlineLevel="0" collapsed="false">
      <c r="A162" s="27"/>
      <c r="B162" s="11"/>
      <c r="C162" s="11"/>
      <c r="D162" s="7" t="str">
        <f aca="false">IFERROR(INDEX('3. Costeo y Precios'!$B$14:$B$64,MATCH($C162,'3. Costeo y Precios'!$A$14:$A$64,0)),"")</f>
        <v/>
      </c>
      <c r="E162" s="11"/>
      <c r="F162" s="11"/>
      <c r="G162" s="11"/>
      <c r="H162" s="22" t="str">
        <f aca="false">IFERROR(G162/(F162+G162),"")</f>
        <v/>
      </c>
      <c r="I162" s="11"/>
      <c r="J162" s="13" t="n">
        <f aca="false">IFERROR(INDEX('3. Costeo y Precios'!$M$14:$M$64,MATCH($C162,'3. Costeo y Precios'!$A$14:$A$64,0)),0)</f>
        <v>0</v>
      </c>
      <c r="K162" s="13" t="str">
        <f aca="false">IF($C162="","",G162*J162)</f>
        <v/>
      </c>
      <c r="L162" s="11"/>
    </row>
    <row r="163" customFormat="false" ht="15" hidden="false" customHeight="false" outlineLevel="0" collapsed="false">
      <c r="A163" s="27"/>
      <c r="B163" s="11"/>
      <c r="C163" s="11"/>
      <c r="D163" s="7" t="str">
        <f aca="false">IFERROR(INDEX('3. Costeo y Precios'!$B$14:$B$64,MATCH($C163,'3. Costeo y Precios'!$A$14:$A$64,0)),"")</f>
        <v/>
      </c>
      <c r="E163" s="11"/>
      <c r="F163" s="11"/>
      <c r="G163" s="11"/>
      <c r="H163" s="22" t="str">
        <f aca="false">IFERROR(G163/(F163+G163),"")</f>
        <v/>
      </c>
      <c r="I163" s="11"/>
      <c r="J163" s="13" t="n">
        <f aca="false">IFERROR(INDEX('3. Costeo y Precios'!$M$14:$M$64,MATCH($C163,'3. Costeo y Precios'!$A$14:$A$64,0)),0)</f>
        <v>0</v>
      </c>
      <c r="K163" s="13" t="str">
        <f aca="false">IF($C163="","",G163*J163)</f>
        <v/>
      </c>
      <c r="L163" s="11"/>
    </row>
    <row r="164" customFormat="false" ht="15" hidden="false" customHeight="false" outlineLevel="0" collapsed="false">
      <c r="A164" s="27"/>
      <c r="B164" s="11"/>
      <c r="C164" s="11"/>
      <c r="D164" s="7" t="str">
        <f aca="false">IFERROR(INDEX('3. Costeo y Precios'!$B$14:$B$64,MATCH($C164,'3. Costeo y Precios'!$A$14:$A$64,0)),"")</f>
        <v/>
      </c>
      <c r="E164" s="11"/>
      <c r="F164" s="11"/>
      <c r="G164" s="11"/>
      <c r="H164" s="22" t="str">
        <f aca="false">IFERROR(G164/(F164+G164),"")</f>
        <v/>
      </c>
      <c r="I164" s="11"/>
      <c r="J164" s="13" t="n">
        <f aca="false">IFERROR(INDEX('3. Costeo y Precios'!$M$14:$M$64,MATCH($C164,'3. Costeo y Precios'!$A$14:$A$64,0)),0)</f>
        <v>0</v>
      </c>
      <c r="K164" s="13" t="str">
        <f aca="false">IF($C164="","",G164*J164)</f>
        <v/>
      </c>
      <c r="L164" s="11"/>
    </row>
    <row r="165" customFormat="false" ht="15" hidden="false" customHeight="false" outlineLevel="0" collapsed="false">
      <c r="A165" s="27"/>
      <c r="B165" s="11"/>
      <c r="C165" s="11"/>
      <c r="D165" s="7" t="str">
        <f aca="false">IFERROR(INDEX('3. Costeo y Precios'!$B$14:$B$64,MATCH($C165,'3. Costeo y Precios'!$A$14:$A$64,0)),"")</f>
        <v/>
      </c>
      <c r="E165" s="11"/>
      <c r="F165" s="11"/>
      <c r="G165" s="11"/>
      <c r="H165" s="22" t="str">
        <f aca="false">IFERROR(G165/(F165+G165),"")</f>
        <v/>
      </c>
      <c r="I165" s="11"/>
      <c r="J165" s="13" t="n">
        <f aca="false">IFERROR(INDEX('3. Costeo y Precios'!$M$14:$M$64,MATCH($C165,'3. Costeo y Precios'!$A$14:$A$64,0)),0)</f>
        <v>0</v>
      </c>
      <c r="K165" s="13" t="str">
        <f aca="false">IF($C165="","",G165*J165)</f>
        <v/>
      </c>
      <c r="L165" s="11"/>
    </row>
    <row r="166" customFormat="false" ht="15" hidden="false" customHeight="false" outlineLevel="0" collapsed="false">
      <c r="A166" s="27"/>
      <c r="B166" s="11"/>
      <c r="C166" s="11"/>
      <c r="D166" s="7" t="str">
        <f aca="false">IFERROR(INDEX('3. Costeo y Precios'!$B$14:$B$64,MATCH($C166,'3. Costeo y Precios'!$A$14:$A$64,0)),"")</f>
        <v/>
      </c>
      <c r="E166" s="11"/>
      <c r="F166" s="11"/>
      <c r="G166" s="11"/>
      <c r="H166" s="22" t="str">
        <f aca="false">IFERROR(G166/(F166+G166),"")</f>
        <v/>
      </c>
      <c r="I166" s="11"/>
      <c r="J166" s="13" t="n">
        <f aca="false">IFERROR(INDEX('3. Costeo y Precios'!$M$14:$M$64,MATCH($C166,'3. Costeo y Precios'!$A$14:$A$64,0)),0)</f>
        <v>0</v>
      </c>
      <c r="K166" s="13" t="str">
        <f aca="false">IF($C166="","",G166*J166)</f>
        <v/>
      </c>
      <c r="L166" s="11"/>
    </row>
    <row r="167" customFormat="false" ht="15" hidden="false" customHeight="false" outlineLevel="0" collapsed="false">
      <c r="A167" s="27"/>
      <c r="B167" s="11"/>
      <c r="C167" s="11"/>
      <c r="D167" s="7" t="str">
        <f aca="false">IFERROR(INDEX('3. Costeo y Precios'!$B$14:$B$64,MATCH($C167,'3. Costeo y Precios'!$A$14:$A$64,0)),"")</f>
        <v/>
      </c>
      <c r="E167" s="11"/>
      <c r="F167" s="11"/>
      <c r="G167" s="11"/>
      <c r="H167" s="22" t="str">
        <f aca="false">IFERROR(G167/(F167+G167),"")</f>
        <v/>
      </c>
      <c r="I167" s="11"/>
      <c r="J167" s="13" t="n">
        <f aca="false">IFERROR(INDEX('3. Costeo y Precios'!$M$14:$M$64,MATCH($C167,'3. Costeo y Precios'!$A$14:$A$64,0)),0)</f>
        <v>0</v>
      </c>
      <c r="K167" s="13" t="str">
        <f aca="false">IF($C167="","",G167*J167)</f>
        <v/>
      </c>
      <c r="L167" s="11"/>
    </row>
    <row r="168" customFormat="false" ht="15" hidden="false" customHeight="false" outlineLevel="0" collapsed="false">
      <c r="A168" s="27"/>
      <c r="B168" s="11"/>
      <c r="C168" s="11"/>
      <c r="D168" s="7" t="str">
        <f aca="false">IFERROR(INDEX('3. Costeo y Precios'!$B$14:$B$64,MATCH($C168,'3. Costeo y Precios'!$A$14:$A$64,0)),"")</f>
        <v/>
      </c>
      <c r="E168" s="11"/>
      <c r="F168" s="11"/>
      <c r="G168" s="11"/>
      <c r="H168" s="22" t="str">
        <f aca="false">IFERROR(G168/(F168+G168),"")</f>
        <v/>
      </c>
      <c r="I168" s="11"/>
      <c r="J168" s="13" t="n">
        <f aca="false">IFERROR(INDEX('3. Costeo y Precios'!$M$14:$M$64,MATCH($C168,'3. Costeo y Precios'!$A$14:$A$64,0)),0)</f>
        <v>0</v>
      </c>
      <c r="K168" s="13" t="str">
        <f aca="false">IF($C168="","",G168*J168)</f>
        <v/>
      </c>
      <c r="L168" s="11"/>
    </row>
    <row r="169" customFormat="false" ht="15" hidden="false" customHeight="false" outlineLevel="0" collapsed="false">
      <c r="A169" s="27"/>
      <c r="B169" s="11"/>
      <c r="C169" s="11"/>
      <c r="D169" s="7" t="str">
        <f aca="false">IFERROR(INDEX('3. Costeo y Precios'!$B$14:$B$64,MATCH($C169,'3. Costeo y Precios'!$A$14:$A$64,0)),"")</f>
        <v/>
      </c>
      <c r="E169" s="11"/>
      <c r="F169" s="11"/>
      <c r="G169" s="11"/>
      <c r="H169" s="22" t="str">
        <f aca="false">IFERROR(G169/(F169+G169),"")</f>
        <v/>
      </c>
      <c r="I169" s="11"/>
      <c r="J169" s="13" t="n">
        <f aca="false">IFERROR(INDEX('3. Costeo y Precios'!$M$14:$M$64,MATCH($C169,'3. Costeo y Precios'!$A$14:$A$64,0)),0)</f>
        <v>0</v>
      </c>
      <c r="K169" s="13" t="str">
        <f aca="false">IF($C169="","",G169*J169)</f>
        <v/>
      </c>
      <c r="L169" s="11"/>
    </row>
    <row r="170" customFormat="false" ht="15" hidden="false" customHeight="false" outlineLevel="0" collapsed="false">
      <c r="A170" s="27"/>
      <c r="B170" s="11"/>
      <c r="C170" s="11"/>
      <c r="D170" s="7" t="str">
        <f aca="false">IFERROR(INDEX('3. Costeo y Precios'!$B$14:$B$64,MATCH($C170,'3. Costeo y Precios'!$A$14:$A$64,0)),"")</f>
        <v/>
      </c>
      <c r="E170" s="11"/>
      <c r="F170" s="11"/>
      <c r="G170" s="11"/>
      <c r="H170" s="22" t="str">
        <f aca="false">IFERROR(G170/(F170+G170),"")</f>
        <v/>
      </c>
      <c r="I170" s="11"/>
      <c r="J170" s="13" t="n">
        <f aca="false">IFERROR(INDEX('3. Costeo y Precios'!$M$14:$M$64,MATCH($C170,'3. Costeo y Precios'!$A$14:$A$64,0)),0)</f>
        <v>0</v>
      </c>
      <c r="K170" s="13" t="str">
        <f aca="false">IF($C170="","",G170*J170)</f>
        <v/>
      </c>
      <c r="L170" s="11"/>
    </row>
    <row r="171" customFormat="false" ht="15" hidden="false" customHeight="false" outlineLevel="0" collapsed="false">
      <c r="A171" s="27"/>
      <c r="B171" s="11"/>
      <c r="C171" s="11"/>
      <c r="D171" s="7" t="str">
        <f aca="false">IFERROR(INDEX('3. Costeo y Precios'!$B$14:$B$64,MATCH($C171,'3. Costeo y Precios'!$A$14:$A$64,0)),"")</f>
        <v/>
      </c>
      <c r="E171" s="11"/>
      <c r="F171" s="11"/>
      <c r="G171" s="11"/>
      <c r="H171" s="22" t="str">
        <f aca="false">IFERROR(G171/(F171+G171),"")</f>
        <v/>
      </c>
      <c r="I171" s="11"/>
      <c r="J171" s="13" t="n">
        <f aca="false">IFERROR(INDEX('3. Costeo y Precios'!$M$14:$M$64,MATCH($C171,'3. Costeo y Precios'!$A$14:$A$64,0)),0)</f>
        <v>0</v>
      </c>
      <c r="K171" s="13" t="str">
        <f aca="false">IF($C171="","",G171*J171)</f>
        <v/>
      </c>
      <c r="L171" s="11"/>
    </row>
    <row r="172" customFormat="false" ht="15" hidden="false" customHeight="false" outlineLevel="0" collapsed="false">
      <c r="A172" s="27"/>
      <c r="B172" s="11"/>
      <c r="C172" s="11"/>
      <c r="D172" s="7" t="str">
        <f aca="false">IFERROR(INDEX('3. Costeo y Precios'!$B$14:$B$64,MATCH($C172,'3. Costeo y Precios'!$A$14:$A$64,0)),"")</f>
        <v/>
      </c>
      <c r="E172" s="11"/>
      <c r="F172" s="11"/>
      <c r="G172" s="11"/>
      <c r="H172" s="22" t="str">
        <f aca="false">IFERROR(G172/(F172+G172),"")</f>
        <v/>
      </c>
      <c r="I172" s="11"/>
      <c r="J172" s="13" t="n">
        <f aca="false">IFERROR(INDEX('3. Costeo y Precios'!$M$14:$M$64,MATCH($C172,'3. Costeo y Precios'!$A$14:$A$64,0)),0)</f>
        <v>0</v>
      </c>
      <c r="K172" s="13" t="str">
        <f aca="false">IF($C172="","",G172*J172)</f>
        <v/>
      </c>
      <c r="L172" s="11"/>
    </row>
    <row r="173" customFormat="false" ht="15" hidden="false" customHeight="false" outlineLevel="0" collapsed="false">
      <c r="A173" s="27"/>
      <c r="B173" s="11"/>
      <c r="C173" s="11"/>
      <c r="D173" s="7" t="str">
        <f aca="false">IFERROR(INDEX('3. Costeo y Precios'!$B$14:$B$64,MATCH($C173,'3. Costeo y Precios'!$A$14:$A$64,0)),"")</f>
        <v/>
      </c>
      <c r="E173" s="11"/>
      <c r="F173" s="11"/>
      <c r="G173" s="11"/>
      <c r="H173" s="22" t="str">
        <f aca="false">IFERROR(G173/(F173+G173),"")</f>
        <v/>
      </c>
      <c r="I173" s="11"/>
      <c r="J173" s="13" t="n">
        <f aca="false">IFERROR(INDEX('3. Costeo y Precios'!$M$14:$M$64,MATCH($C173,'3. Costeo y Precios'!$A$14:$A$64,0)),0)</f>
        <v>0</v>
      </c>
      <c r="K173" s="13" t="str">
        <f aca="false">IF($C173="","",G173*J173)</f>
        <v/>
      </c>
      <c r="L173" s="11"/>
    </row>
    <row r="174" customFormat="false" ht="15" hidden="false" customHeight="false" outlineLevel="0" collapsed="false">
      <c r="A174" s="27"/>
      <c r="B174" s="11"/>
      <c r="C174" s="11"/>
      <c r="D174" s="7" t="str">
        <f aca="false">IFERROR(INDEX('3. Costeo y Precios'!$B$14:$B$64,MATCH($C174,'3. Costeo y Precios'!$A$14:$A$64,0)),"")</f>
        <v/>
      </c>
      <c r="E174" s="11"/>
      <c r="F174" s="11"/>
      <c r="G174" s="11"/>
      <c r="H174" s="22" t="str">
        <f aca="false">IFERROR(G174/(F174+G174),"")</f>
        <v/>
      </c>
      <c r="I174" s="11"/>
      <c r="J174" s="13" t="n">
        <f aca="false">IFERROR(INDEX('3. Costeo y Precios'!$M$14:$M$64,MATCH($C174,'3. Costeo y Precios'!$A$14:$A$64,0)),0)</f>
        <v>0</v>
      </c>
      <c r="K174" s="13" t="str">
        <f aca="false">IF($C174="","",G174*J174)</f>
        <v/>
      </c>
      <c r="L174" s="11"/>
    </row>
    <row r="175" customFormat="false" ht="15" hidden="false" customHeight="false" outlineLevel="0" collapsed="false">
      <c r="A175" s="27"/>
      <c r="B175" s="11"/>
      <c r="C175" s="11"/>
      <c r="D175" s="7" t="str">
        <f aca="false">IFERROR(INDEX('3. Costeo y Precios'!$B$14:$B$64,MATCH($C175,'3. Costeo y Precios'!$A$14:$A$64,0)),"")</f>
        <v/>
      </c>
      <c r="E175" s="11"/>
      <c r="F175" s="11"/>
      <c r="G175" s="11"/>
      <c r="H175" s="22" t="str">
        <f aca="false">IFERROR(G175/(F175+G175),"")</f>
        <v/>
      </c>
      <c r="I175" s="11"/>
      <c r="J175" s="13" t="n">
        <f aca="false">IFERROR(INDEX('3. Costeo y Precios'!$M$14:$M$64,MATCH($C175,'3. Costeo y Precios'!$A$14:$A$64,0)),0)</f>
        <v>0</v>
      </c>
      <c r="K175" s="13" t="str">
        <f aca="false">IF($C175="","",G175*J175)</f>
        <v/>
      </c>
      <c r="L175" s="11"/>
    </row>
    <row r="176" customFormat="false" ht="15" hidden="false" customHeight="false" outlineLevel="0" collapsed="false">
      <c r="A176" s="27"/>
      <c r="B176" s="11"/>
      <c r="C176" s="11"/>
      <c r="D176" s="7" t="str">
        <f aca="false">IFERROR(INDEX('3. Costeo y Precios'!$B$14:$B$64,MATCH($C176,'3. Costeo y Precios'!$A$14:$A$64,0)),"")</f>
        <v/>
      </c>
      <c r="E176" s="11"/>
      <c r="F176" s="11"/>
      <c r="G176" s="11"/>
      <c r="H176" s="22" t="str">
        <f aca="false">IFERROR(G176/(F176+G176),"")</f>
        <v/>
      </c>
      <c r="I176" s="11"/>
      <c r="J176" s="13" t="n">
        <f aca="false">IFERROR(INDEX('3. Costeo y Precios'!$M$14:$M$64,MATCH($C176,'3. Costeo y Precios'!$A$14:$A$64,0)),0)</f>
        <v>0</v>
      </c>
      <c r="K176" s="13" t="str">
        <f aca="false">IF($C176="","",G176*J176)</f>
        <v/>
      </c>
      <c r="L176" s="11"/>
    </row>
    <row r="177" customFormat="false" ht="15" hidden="false" customHeight="false" outlineLevel="0" collapsed="false">
      <c r="A177" s="27"/>
      <c r="B177" s="11"/>
      <c r="C177" s="11"/>
      <c r="D177" s="7" t="str">
        <f aca="false">IFERROR(INDEX('3. Costeo y Precios'!$B$14:$B$64,MATCH($C177,'3. Costeo y Precios'!$A$14:$A$64,0)),"")</f>
        <v/>
      </c>
      <c r="E177" s="11"/>
      <c r="F177" s="11"/>
      <c r="G177" s="11"/>
      <c r="H177" s="22" t="str">
        <f aca="false">IFERROR(G177/(F177+G177),"")</f>
        <v/>
      </c>
      <c r="I177" s="11"/>
      <c r="J177" s="13" t="n">
        <f aca="false">IFERROR(INDEX('3. Costeo y Precios'!$M$14:$M$64,MATCH($C177,'3. Costeo y Precios'!$A$14:$A$64,0)),0)</f>
        <v>0</v>
      </c>
      <c r="K177" s="13" t="str">
        <f aca="false">IF($C177="","",G177*J177)</f>
        <v/>
      </c>
      <c r="L177" s="11"/>
    </row>
    <row r="178" customFormat="false" ht="15" hidden="false" customHeight="false" outlineLevel="0" collapsed="false">
      <c r="A178" s="27"/>
      <c r="B178" s="11"/>
      <c r="C178" s="11"/>
      <c r="D178" s="7" t="str">
        <f aca="false">IFERROR(INDEX('3. Costeo y Precios'!$B$14:$B$64,MATCH($C178,'3. Costeo y Precios'!$A$14:$A$64,0)),"")</f>
        <v/>
      </c>
      <c r="E178" s="11"/>
      <c r="F178" s="11"/>
      <c r="G178" s="11"/>
      <c r="H178" s="22" t="str">
        <f aca="false">IFERROR(G178/(F178+G178),"")</f>
        <v/>
      </c>
      <c r="I178" s="11"/>
      <c r="J178" s="13" t="n">
        <f aca="false">IFERROR(INDEX('3. Costeo y Precios'!$M$14:$M$64,MATCH($C178,'3. Costeo y Precios'!$A$14:$A$64,0)),0)</f>
        <v>0</v>
      </c>
      <c r="K178" s="13" t="str">
        <f aca="false">IF($C178="","",G178*J178)</f>
        <v/>
      </c>
      <c r="L178" s="11"/>
    </row>
    <row r="179" customFormat="false" ht="15" hidden="false" customHeight="false" outlineLevel="0" collapsed="false">
      <c r="A179" s="27"/>
      <c r="B179" s="11"/>
      <c r="C179" s="11"/>
      <c r="D179" s="7" t="str">
        <f aca="false">IFERROR(INDEX('3. Costeo y Precios'!$B$14:$B$64,MATCH($C179,'3. Costeo y Precios'!$A$14:$A$64,0)),"")</f>
        <v/>
      </c>
      <c r="E179" s="11"/>
      <c r="F179" s="11"/>
      <c r="G179" s="11"/>
      <c r="H179" s="22" t="str">
        <f aca="false">IFERROR(G179/(F179+G179),"")</f>
        <v/>
      </c>
      <c r="I179" s="11"/>
      <c r="J179" s="13" t="n">
        <f aca="false">IFERROR(INDEX('3. Costeo y Precios'!$M$14:$M$64,MATCH($C179,'3. Costeo y Precios'!$A$14:$A$64,0)),0)</f>
        <v>0</v>
      </c>
      <c r="K179" s="13" t="str">
        <f aca="false">IF($C179="","",G179*J179)</f>
        <v/>
      </c>
      <c r="L179" s="11"/>
    </row>
    <row r="180" customFormat="false" ht="15" hidden="false" customHeight="false" outlineLevel="0" collapsed="false">
      <c r="A180" s="27"/>
      <c r="B180" s="11"/>
      <c r="C180" s="11"/>
      <c r="D180" s="7" t="str">
        <f aca="false">IFERROR(INDEX('3. Costeo y Precios'!$B$14:$B$64,MATCH($C180,'3. Costeo y Precios'!$A$14:$A$64,0)),"")</f>
        <v/>
      </c>
      <c r="E180" s="11"/>
      <c r="F180" s="11"/>
      <c r="G180" s="11"/>
      <c r="H180" s="22" t="str">
        <f aca="false">IFERROR(G180/(F180+G180),"")</f>
        <v/>
      </c>
      <c r="I180" s="11"/>
      <c r="J180" s="13" t="n">
        <f aca="false">IFERROR(INDEX('3. Costeo y Precios'!$M$14:$M$64,MATCH($C180,'3. Costeo y Precios'!$A$14:$A$64,0)),0)</f>
        <v>0</v>
      </c>
      <c r="K180" s="13" t="str">
        <f aca="false">IF($C180="","",G180*J180)</f>
        <v/>
      </c>
      <c r="L180" s="11"/>
    </row>
    <row r="181" customFormat="false" ht="15" hidden="false" customHeight="false" outlineLevel="0" collapsed="false">
      <c r="A181" s="27"/>
      <c r="B181" s="11"/>
      <c r="C181" s="11"/>
      <c r="D181" s="7" t="str">
        <f aca="false">IFERROR(INDEX('3. Costeo y Precios'!$B$14:$B$64,MATCH($C181,'3. Costeo y Precios'!$A$14:$A$64,0)),"")</f>
        <v/>
      </c>
      <c r="E181" s="11"/>
      <c r="F181" s="11"/>
      <c r="G181" s="11"/>
      <c r="H181" s="22" t="str">
        <f aca="false">IFERROR(G181/(F181+G181),"")</f>
        <v/>
      </c>
      <c r="I181" s="11"/>
      <c r="J181" s="13" t="n">
        <f aca="false">IFERROR(INDEX('3. Costeo y Precios'!$M$14:$M$64,MATCH($C181,'3. Costeo y Precios'!$A$14:$A$64,0)),0)</f>
        <v>0</v>
      </c>
      <c r="K181" s="13" t="str">
        <f aca="false">IF($C181="","",G181*J181)</f>
        <v/>
      </c>
      <c r="L181" s="11"/>
    </row>
    <row r="182" customFormat="false" ht="15" hidden="false" customHeight="false" outlineLevel="0" collapsed="false">
      <c r="A182" s="27"/>
      <c r="B182" s="11"/>
      <c r="C182" s="11"/>
      <c r="D182" s="7" t="str">
        <f aca="false">IFERROR(INDEX('3. Costeo y Precios'!$B$14:$B$64,MATCH($C182,'3. Costeo y Precios'!$A$14:$A$64,0)),"")</f>
        <v/>
      </c>
      <c r="E182" s="11"/>
      <c r="F182" s="11"/>
      <c r="G182" s="11"/>
      <c r="H182" s="22" t="str">
        <f aca="false">IFERROR(G182/(F182+G182),"")</f>
        <v/>
      </c>
      <c r="I182" s="11"/>
      <c r="J182" s="13" t="n">
        <f aca="false">IFERROR(INDEX('3. Costeo y Precios'!$M$14:$M$64,MATCH($C182,'3. Costeo y Precios'!$A$14:$A$64,0)),0)</f>
        <v>0</v>
      </c>
      <c r="K182" s="13" t="str">
        <f aca="false">IF($C182="","",G182*J182)</f>
        <v/>
      </c>
      <c r="L182" s="11"/>
    </row>
    <row r="183" customFormat="false" ht="15" hidden="false" customHeight="false" outlineLevel="0" collapsed="false">
      <c r="A183" s="27"/>
      <c r="B183" s="11"/>
      <c r="C183" s="11"/>
      <c r="D183" s="7" t="str">
        <f aca="false">IFERROR(INDEX('3. Costeo y Precios'!$B$14:$B$64,MATCH($C183,'3. Costeo y Precios'!$A$14:$A$64,0)),"")</f>
        <v/>
      </c>
      <c r="E183" s="11"/>
      <c r="F183" s="11"/>
      <c r="G183" s="11"/>
      <c r="H183" s="22" t="str">
        <f aca="false">IFERROR(G183/(F183+G183),"")</f>
        <v/>
      </c>
      <c r="I183" s="11"/>
      <c r="J183" s="13" t="n">
        <f aca="false">IFERROR(INDEX('3. Costeo y Precios'!$M$14:$M$64,MATCH($C183,'3. Costeo y Precios'!$A$14:$A$64,0)),0)</f>
        <v>0</v>
      </c>
      <c r="K183" s="13" t="str">
        <f aca="false">IF($C183="","",G183*J183)</f>
        <v/>
      </c>
      <c r="L183" s="11"/>
    </row>
    <row r="184" customFormat="false" ht="15" hidden="false" customHeight="false" outlineLevel="0" collapsed="false">
      <c r="A184" s="27"/>
      <c r="B184" s="11"/>
      <c r="C184" s="11"/>
      <c r="D184" s="7" t="str">
        <f aca="false">IFERROR(INDEX('3. Costeo y Precios'!$B$14:$B$64,MATCH($C184,'3. Costeo y Precios'!$A$14:$A$64,0)),"")</f>
        <v/>
      </c>
      <c r="E184" s="11"/>
      <c r="F184" s="11"/>
      <c r="G184" s="11"/>
      <c r="H184" s="22" t="str">
        <f aca="false">IFERROR(G184/(F184+G184),"")</f>
        <v/>
      </c>
      <c r="I184" s="11"/>
      <c r="J184" s="13" t="n">
        <f aca="false">IFERROR(INDEX('3. Costeo y Precios'!$M$14:$M$64,MATCH($C184,'3. Costeo y Precios'!$A$14:$A$64,0)),0)</f>
        <v>0</v>
      </c>
      <c r="K184" s="13" t="str">
        <f aca="false">IF($C184="","",G184*J184)</f>
        <v/>
      </c>
      <c r="L184" s="11"/>
    </row>
    <row r="185" customFormat="false" ht="15" hidden="false" customHeight="false" outlineLevel="0" collapsed="false">
      <c r="A185" s="27"/>
      <c r="B185" s="11"/>
      <c r="C185" s="11"/>
      <c r="D185" s="7" t="str">
        <f aca="false">IFERROR(INDEX('3. Costeo y Precios'!$B$14:$B$64,MATCH($C185,'3. Costeo y Precios'!$A$14:$A$64,0)),"")</f>
        <v/>
      </c>
      <c r="E185" s="11"/>
      <c r="F185" s="11"/>
      <c r="G185" s="11"/>
      <c r="H185" s="22" t="str">
        <f aca="false">IFERROR(G185/(F185+G185),"")</f>
        <v/>
      </c>
      <c r="I185" s="11"/>
      <c r="J185" s="13" t="n">
        <f aca="false">IFERROR(INDEX('3. Costeo y Precios'!$M$14:$M$64,MATCH($C185,'3. Costeo y Precios'!$A$14:$A$64,0)),0)</f>
        <v>0</v>
      </c>
      <c r="K185" s="13" t="str">
        <f aca="false">IF($C185="","",G185*J185)</f>
        <v/>
      </c>
      <c r="L185" s="11"/>
    </row>
    <row r="186" customFormat="false" ht="15" hidden="false" customHeight="false" outlineLevel="0" collapsed="false">
      <c r="A186" s="27"/>
      <c r="B186" s="11"/>
      <c r="C186" s="11"/>
      <c r="D186" s="7" t="str">
        <f aca="false">IFERROR(INDEX('3. Costeo y Precios'!$B$14:$B$64,MATCH($C186,'3. Costeo y Precios'!$A$14:$A$64,0)),"")</f>
        <v/>
      </c>
      <c r="E186" s="11"/>
      <c r="F186" s="11"/>
      <c r="G186" s="11"/>
      <c r="H186" s="22" t="str">
        <f aca="false">IFERROR(G186/(F186+G186),"")</f>
        <v/>
      </c>
      <c r="I186" s="11"/>
      <c r="J186" s="13" t="n">
        <f aca="false">IFERROR(INDEX('3. Costeo y Precios'!$M$14:$M$64,MATCH($C186,'3. Costeo y Precios'!$A$14:$A$64,0)),0)</f>
        <v>0</v>
      </c>
      <c r="K186" s="13" t="str">
        <f aca="false">IF($C186="","",G186*J186)</f>
        <v/>
      </c>
      <c r="L186" s="11"/>
    </row>
    <row r="187" customFormat="false" ht="15" hidden="false" customHeight="false" outlineLevel="0" collapsed="false">
      <c r="A187" s="27"/>
      <c r="B187" s="11"/>
      <c r="C187" s="11"/>
      <c r="D187" s="7" t="str">
        <f aca="false">IFERROR(INDEX('3. Costeo y Precios'!$B$14:$B$64,MATCH($C187,'3. Costeo y Precios'!$A$14:$A$64,0)),"")</f>
        <v/>
      </c>
      <c r="E187" s="11"/>
      <c r="F187" s="11"/>
      <c r="G187" s="11"/>
      <c r="H187" s="22" t="str">
        <f aca="false">IFERROR(G187/(F187+G187),"")</f>
        <v/>
      </c>
      <c r="I187" s="11"/>
      <c r="J187" s="13" t="n">
        <f aca="false">IFERROR(INDEX('3. Costeo y Precios'!$M$14:$M$64,MATCH($C187,'3. Costeo y Precios'!$A$14:$A$64,0)),0)</f>
        <v>0</v>
      </c>
      <c r="K187" s="13" t="str">
        <f aca="false">IF($C187="","",G187*J187)</f>
        <v/>
      </c>
      <c r="L187" s="11"/>
    </row>
    <row r="188" customFormat="false" ht="15" hidden="false" customHeight="false" outlineLevel="0" collapsed="false">
      <c r="A188" s="27"/>
      <c r="B188" s="11"/>
      <c r="C188" s="11"/>
      <c r="D188" s="7" t="str">
        <f aca="false">IFERROR(INDEX('3. Costeo y Precios'!$B$14:$B$64,MATCH($C188,'3. Costeo y Precios'!$A$14:$A$64,0)),"")</f>
        <v/>
      </c>
      <c r="E188" s="11"/>
      <c r="F188" s="11"/>
      <c r="G188" s="11"/>
      <c r="H188" s="22" t="str">
        <f aca="false">IFERROR(G188/(F188+G188),"")</f>
        <v/>
      </c>
      <c r="I188" s="11"/>
      <c r="J188" s="13" t="n">
        <f aca="false">IFERROR(INDEX('3. Costeo y Precios'!$M$14:$M$64,MATCH($C188,'3. Costeo y Precios'!$A$14:$A$64,0)),0)</f>
        <v>0</v>
      </c>
      <c r="K188" s="13" t="str">
        <f aca="false">IF($C188="","",G188*J188)</f>
        <v/>
      </c>
      <c r="L188" s="11"/>
    </row>
    <row r="189" customFormat="false" ht="15" hidden="false" customHeight="false" outlineLevel="0" collapsed="false">
      <c r="A189" s="27"/>
      <c r="B189" s="11"/>
      <c r="C189" s="11"/>
      <c r="D189" s="7" t="str">
        <f aca="false">IFERROR(INDEX('3. Costeo y Precios'!$B$14:$B$64,MATCH($C189,'3. Costeo y Precios'!$A$14:$A$64,0)),"")</f>
        <v/>
      </c>
      <c r="E189" s="11"/>
      <c r="F189" s="11"/>
      <c r="G189" s="11"/>
      <c r="H189" s="22" t="str">
        <f aca="false">IFERROR(G189/(F189+G189),"")</f>
        <v/>
      </c>
      <c r="I189" s="11"/>
      <c r="J189" s="13" t="n">
        <f aca="false">IFERROR(INDEX('3. Costeo y Precios'!$M$14:$M$64,MATCH($C189,'3. Costeo y Precios'!$A$14:$A$64,0)),0)</f>
        <v>0</v>
      </c>
      <c r="K189" s="13" t="str">
        <f aca="false">IF($C189="","",G189*J189)</f>
        <v/>
      </c>
      <c r="L189" s="11"/>
    </row>
    <row r="190" customFormat="false" ht="15" hidden="false" customHeight="false" outlineLevel="0" collapsed="false">
      <c r="A190" s="27"/>
      <c r="B190" s="11"/>
      <c r="C190" s="11"/>
      <c r="D190" s="7" t="str">
        <f aca="false">IFERROR(INDEX('3. Costeo y Precios'!$B$14:$B$64,MATCH($C190,'3. Costeo y Precios'!$A$14:$A$64,0)),"")</f>
        <v/>
      </c>
      <c r="E190" s="11"/>
      <c r="F190" s="11"/>
      <c r="G190" s="11"/>
      <c r="H190" s="22" t="str">
        <f aca="false">IFERROR(G190/(F190+G190),"")</f>
        <v/>
      </c>
      <c r="I190" s="11"/>
      <c r="J190" s="13" t="n">
        <f aca="false">IFERROR(INDEX('3. Costeo y Precios'!$M$14:$M$64,MATCH($C190,'3. Costeo y Precios'!$A$14:$A$64,0)),0)</f>
        <v>0</v>
      </c>
      <c r="K190" s="13" t="str">
        <f aca="false">IF($C190="","",G190*J190)</f>
        <v/>
      </c>
      <c r="L190" s="11"/>
    </row>
    <row r="191" customFormat="false" ht="15" hidden="false" customHeight="false" outlineLevel="0" collapsed="false">
      <c r="A191" s="27"/>
      <c r="B191" s="11"/>
      <c r="C191" s="11"/>
      <c r="D191" s="7" t="str">
        <f aca="false">IFERROR(INDEX('3. Costeo y Precios'!$B$14:$B$64,MATCH($C191,'3. Costeo y Precios'!$A$14:$A$64,0)),"")</f>
        <v/>
      </c>
      <c r="E191" s="11"/>
      <c r="F191" s="11"/>
      <c r="G191" s="11"/>
      <c r="H191" s="22" t="str">
        <f aca="false">IFERROR(G191/(F191+G191),"")</f>
        <v/>
      </c>
      <c r="I191" s="11"/>
      <c r="J191" s="13" t="n">
        <f aca="false">IFERROR(INDEX('3. Costeo y Precios'!$M$14:$M$64,MATCH($C191,'3. Costeo y Precios'!$A$14:$A$64,0)),0)</f>
        <v>0</v>
      </c>
      <c r="K191" s="13" t="str">
        <f aca="false">IF($C191="","",G191*J191)</f>
        <v/>
      </c>
      <c r="L191" s="11"/>
    </row>
    <row r="192" customFormat="false" ht="15" hidden="false" customHeight="false" outlineLevel="0" collapsed="false">
      <c r="A192" s="27"/>
      <c r="B192" s="11"/>
      <c r="C192" s="11"/>
      <c r="D192" s="7" t="str">
        <f aca="false">IFERROR(INDEX('3. Costeo y Precios'!$B$14:$B$64,MATCH($C192,'3. Costeo y Precios'!$A$14:$A$64,0)),"")</f>
        <v/>
      </c>
      <c r="E192" s="11"/>
      <c r="F192" s="11"/>
      <c r="G192" s="11"/>
      <c r="H192" s="22" t="str">
        <f aca="false">IFERROR(G192/(F192+G192),"")</f>
        <v/>
      </c>
      <c r="I192" s="11"/>
      <c r="J192" s="13" t="n">
        <f aca="false">IFERROR(INDEX('3. Costeo y Precios'!$M$14:$M$64,MATCH($C192,'3. Costeo y Precios'!$A$14:$A$64,0)),0)</f>
        <v>0</v>
      </c>
      <c r="K192" s="13" t="str">
        <f aca="false">IF($C192="","",G192*J192)</f>
        <v/>
      </c>
      <c r="L192" s="11"/>
    </row>
    <row r="193" customFormat="false" ht="15" hidden="false" customHeight="false" outlineLevel="0" collapsed="false">
      <c r="A193" s="27"/>
      <c r="B193" s="11"/>
      <c r="C193" s="11"/>
      <c r="D193" s="7" t="str">
        <f aca="false">IFERROR(INDEX('3. Costeo y Precios'!$B$14:$B$64,MATCH($C193,'3. Costeo y Precios'!$A$14:$A$64,0)),"")</f>
        <v/>
      </c>
      <c r="E193" s="11"/>
      <c r="F193" s="11"/>
      <c r="G193" s="11"/>
      <c r="H193" s="22" t="str">
        <f aca="false">IFERROR(G193/(F193+G193),"")</f>
        <v/>
      </c>
      <c r="I193" s="11"/>
      <c r="J193" s="13" t="n">
        <f aca="false">IFERROR(INDEX('3. Costeo y Precios'!$M$14:$M$64,MATCH($C193,'3. Costeo y Precios'!$A$14:$A$64,0)),0)</f>
        <v>0</v>
      </c>
      <c r="K193" s="13" t="str">
        <f aca="false">IF($C193="","",G193*J193)</f>
        <v/>
      </c>
      <c r="L193" s="11"/>
    </row>
    <row r="194" customFormat="false" ht="15" hidden="false" customHeight="false" outlineLevel="0" collapsed="false">
      <c r="A194" s="27"/>
      <c r="B194" s="11"/>
      <c r="C194" s="11"/>
      <c r="D194" s="7" t="str">
        <f aca="false">IFERROR(INDEX('3. Costeo y Precios'!$B$14:$B$64,MATCH($C194,'3. Costeo y Precios'!$A$14:$A$64,0)),"")</f>
        <v/>
      </c>
      <c r="E194" s="11"/>
      <c r="F194" s="11"/>
      <c r="G194" s="11"/>
      <c r="H194" s="22" t="str">
        <f aca="false">IFERROR(G194/(F194+G194),"")</f>
        <v/>
      </c>
      <c r="I194" s="11"/>
      <c r="J194" s="13" t="n">
        <f aca="false">IFERROR(INDEX('3. Costeo y Precios'!$M$14:$M$64,MATCH($C194,'3. Costeo y Precios'!$A$14:$A$64,0)),0)</f>
        <v>0</v>
      </c>
      <c r="K194" s="13" t="str">
        <f aca="false">IF($C194="","",G194*J194)</f>
        <v/>
      </c>
      <c r="L194" s="11"/>
    </row>
    <row r="195" customFormat="false" ht="15" hidden="false" customHeight="false" outlineLevel="0" collapsed="false">
      <c r="A195" s="27"/>
      <c r="B195" s="11"/>
      <c r="C195" s="11"/>
      <c r="D195" s="7" t="str">
        <f aca="false">IFERROR(INDEX('3. Costeo y Precios'!$B$14:$B$64,MATCH($C195,'3. Costeo y Precios'!$A$14:$A$64,0)),"")</f>
        <v/>
      </c>
      <c r="E195" s="11"/>
      <c r="F195" s="11"/>
      <c r="G195" s="11"/>
      <c r="H195" s="22" t="str">
        <f aca="false">IFERROR(G195/(F195+G195),"")</f>
        <v/>
      </c>
      <c r="I195" s="11"/>
      <c r="J195" s="13" t="n">
        <f aca="false">IFERROR(INDEX('3. Costeo y Precios'!$M$14:$M$64,MATCH($C195,'3. Costeo y Precios'!$A$14:$A$64,0)),0)</f>
        <v>0</v>
      </c>
      <c r="K195" s="13" t="str">
        <f aca="false">IF($C195="","",G195*J195)</f>
        <v/>
      </c>
      <c r="L195" s="11"/>
    </row>
    <row r="196" customFormat="false" ht="15" hidden="false" customHeight="false" outlineLevel="0" collapsed="false">
      <c r="A196" s="27"/>
      <c r="B196" s="11"/>
      <c r="C196" s="11"/>
      <c r="D196" s="7" t="str">
        <f aca="false">IFERROR(INDEX('3. Costeo y Precios'!$B$14:$B$64,MATCH($C196,'3. Costeo y Precios'!$A$14:$A$64,0)),"")</f>
        <v/>
      </c>
      <c r="E196" s="11"/>
      <c r="F196" s="11"/>
      <c r="G196" s="11"/>
      <c r="H196" s="22" t="str">
        <f aca="false">IFERROR(G196/(F196+G196),"")</f>
        <v/>
      </c>
      <c r="I196" s="11"/>
      <c r="J196" s="13" t="n">
        <f aca="false">IFERROR(INDEX('3. Costeo y Precios'!$M$14:$M$64,MATCH($C196,'3. Costeo y Precios'!$A$14:$A$64,0)),0)</f>
        <v>0</v>
      </c>
      <c r="K196" s="13" t="str">
        <f aca="false">IF($C196="","",G196*J196)</f>
        <v/>
      </c>
      <c r="L196" s="11"/>
    </row>
    <row r="197" customFormat="false" ht="15" hidden="false" customHeight="false" outlineLevel="0" collapsed="false">
      <c r="A197" s="27"/>
      <c r="B197" s="11"/>
      <c r="C197" s="11"/>
      <c r="D197" s="7" t="str">
        <f aca="false">IFERROR(INDEX('3. Costeo y Precios'!$B$14:$B$64,MATCH($C197,'3. Costeo y Precios'!$A$14:$A$64,0)),"")</f>
        <v/>
      </c>
      <c r="E197" s="11"/>
      <c r="F197" s="11"/>
      <c r="G197" s="11"/>
      <c r="H197" s="22" t="str">
        <f aca="false">IFERROR(G197/(F197+G197),"")</f>
        <v/>
      </c>
      <c r="I197" s="11"/>
      <c r="J197" s="13" t="n">
        <f aca="false">IFERROR(INDEX('3. Costeo y Precios'!$M$14:$M$64,MATCH($C197,'3. Costeo y Precios'!$A$14:$A$64,0)),0)</f>
        <v>0</v>
      </c>
      <c r="K197" s="13" t="str">
        <f aca="false">IF($C197="","",G197*J197)</f>
        <v/>
      </c>
      <c r="L197" s="11"/>
    </row>
    <row r="198" customFormat="false" ht="15" hidden="false" customHeight="false" outlineLevel="0" collapsed="false">
      <c r="A198" s="27"/>
      <c r="B198" s="11"/>
      <c r="C198" s="11"/>
      <c r="D198" s="7" t="str">
        <f aca="false">IFERROR(INDEX('3. Costeo y Precios'!$B$14:$B$64,MATCH($C198,'3. Costeo y Precios'!$A$14:$A$64,0)),"")</f>
        <v/>
      </c>
      <c r="E198" s="11"/>
      <c r="F198" s="11"/>
      <c r="G198" s="11"/>
      <c r="H198" s="22" t="str">
        <f aca="false">IFERROR(G198/(F198+G198),"")</f>
        <v/>
      </c>
      <c r="I198" s="11"/>
      <c r="J198" s="13" t="n">
        <f aca="false">IFERROR(INDEX('3. Costeo y Precios'!$M$14:$M$64,MATCH($C198,'3. Costeo y Precios'!$A$14:$A$64,0)),0)</f>
        <v>0</v>
      </c>
      <c r="K198" s="13" t="str">
        <f aca="false">IF($C198="","",G198*J198)</f>
        <v/>
      </c>
      <c r="L198" s="11"/>
    </row>
    <row r="199" customFormat="false" ht="15" hidden="false" customHeight="false" outlineLevel="0" collapsed="false">
      <c r="A199" s="27"/>
      <c r="B199" s="11"/>
      <c r="C199" s="11"/>
      <c r="D199" s="7" t="str">
        <f aca="false">IFERROR(INDEX('3. Costeo y Precios'!$B$14:$B$64,MATCH($C199,'3. Costeo y Precios'!$A$14:$A$64,0)),"")</f>
        <v/>
      </c>
      <c r="E199" s="11"/>
      <c r="F199" s="11"/>
      <c r="G199" s="11"/>
      <c r="H199" s="22" t="str">
        <f aca="false">IFERROR(G199/(F199+G199),"")</f>
        <v/>
      </c>
      <c r="I199" s="11"/>
      <c r="J199" s="13" t="n">
        <f aca="false">IFERROR(INDEX('3. Costeo y Precios'!$M$14:$M$64,MATCH($C199,'3. Costeo y Precios'!$A$14:$A$64,0)),0)</f>
        <v>0</v>
      </c>
      <c r="K199" s="13" t="str">
        <f aca="false">IF($C199="","",G199*J199)</f>
        <v/>
      </c>
      <c r="L199" s="11"/>
    </row>
    <row r="200" customFormat="false" ht="15" hidden="false" customHeight="false" outlineLevel="0" collapsed="false">
      <c r="A200" s="27"/>
      <c r="B200" s="11"/>
      <c r="C200" s="11"/>
      <c r="D200" s="7" t="str">
        <f aca="false">IFERROR(INDEX('3. Costeo y Precios'!$B$14:$B$64,MATCH($C200,'3. Costeo y Precios'!$A$14:$A$64,0)),"")</f>
        <v/>
      </c>
      <c r="E200" s="11"/>
      <c r="F200" s="11"/>
      <c r="G200" s="11"/>
      <c r="H200" s="22" t="str">
        <f aca="false">IFERROR(G200/(F200+G200),"")</f>
        <v/>
      </c>
      <c r="I200" s="11"/>
      <c r="J200" s="13" t="n">
        <f aca="false">IFERROR(INDEX('3. Costeo y Precios'!$M$14:$M$64,MATCH($C200,'3. Costeo y Precios'!$A$14:$A$64,0)),0)</f>
        <v>0</v>
      </c>
      <c r="K200" s="13" t="str">
        <f aca="false">IF($C200="","",G200*J200)</f>
        <v/>
      </c>
      <c r="L200" s="11"/>
    </row>
    <row r="201" customFormat="false" ht="15" hidden="false" customHeight="false" outlineLevel="0" collapsed="false">
      <c r="A201" s="27"/>
      <c r="B201" s="11"/>
      <c r="C201" s="11"/>
      <c r="D201" s="7" t="str">
        <f aca="false">IFERROR(INDEX('3. Costeo y Precios'!$B$14:$B$64,MATCH($C201,'3. Costeo y Precios'!$A$14:$A$64,0)),"")</f>
        <v/>
      </c>
      <c r="E201" s="11"/>
      <c r="F201" s="11"/>
      <c r="G201" s="11"/>
      <c r="H201" s="22" t="str">
        <f aca="false">IFERROR(G201/(F201+G201),"")</f>
        <v/>
      </c>
      <c r="I201" s="11"/>
      <c r="J201" s="13" t="n">
        <f aca="false">IFERROR(INDEX('3. Costeo y Precios'!$M$14:$M$64,MATCH($C201,'3. Costeo y Precios'!$A$14:$A$64,0)),0)</f>
        <v>0</v>
      </c>
      <c r="K201" s="13" t="str">
        <f aca="false">IF($C201="","",G201*J201)</f>
        <v/>
      </c>
      <c r="L201" s="11"/>
    </row>
    <row r="202" customFormat="false" ht="15" hidden="false" customHeight="false" outlineLevel="0" collapsed="false">
      <c r="A202" s="27"/>
      <c r="B202" s="11"/>
      <c r="C202" s="11"/>
      <c r="D202" s="7" t="str">
        <f aca="false">IFERROR(INDEX('3. Costeo y Precios'!$B$14:$B$64,MATCH($C202,'3. Costeo y Precios'!$A$14:$A$64,0)),"")</f>
        <v/>
      </c>
      <c r="E202" s="11"/>
      <c r="F202" s="11"/>
      <c r="G202" s="11"/>
      <c r="H202" s="22" t="str">
        <f aca="false">IFERROR(G202/(F202+G202),"")</f>
        <v/>
      </c>
      <c r="I202" s="11"/>
      <c r="J202" s="13" t="n">
        <f aca="false">IFERROR(INDEX('3. Costeo y Precios'!$M$14:$M$64,MATCH($C202,'3. Costeo y Precios'!$A$14:$A$64,0)),0)</f>
        <v>0</v>
      </c>
      <c r="K202" s="13" t="str">
        <f aca="false">IF($C202="","",G202*J202)</f>
        <v/>
      </c>
      <c r="L202" s="11"/>
    </row>
    <row r="203" customFormat="false" ht="15" hidden="false" customHeight="false" outlineLevel="0" collapsed="false">
      <c r="A203" s="27"/>
      <c r="B203" s="11"/>
      <c r="C203" s="11"/>
      <c r="D203" s="7" t="str">
        <f aca="false">IFERROR(INDEX('3. Costeo y Precios'!$B$14:$B$64,MATCH($C203,'3. Costeo y Precios'!$A$14:$A$64,0)),"")</f>
        <v/>
      </c>
      <c r="E203" s="11"/>
      <c r="F203" s="11"/>
      <c r="G203" s="11"/>
      <c r="H203" s="22" t="str">
        <f aca="false">IFERROR(G203/(F203+G203),"")</f>
        <v/>
      </c>
      <c r="I203" s="11"/>
      <c r="J203" s="13" t="n">
        <f aca="false">IFERROR(INDEX('3. Costeo y Precios'!$M$14:$M$64,MATCH($C203,'3. Costeo y Precios'!$A$14:$A$64,0)),0)</f>
        <v>0</v>
      </c>
      <c r="K203" s="13" t="str">
        <f aca="false">IF($C203="","",G203*J203)</f>
        <v/>
      </c>
      <c r="L203" s="11"/>
    </row>
    <row r="204" customFormat="false" ht="15" hidden="false" customHeight="false" outlineLevel="0" collapsed="false">
      <c r="A204" s="27"/>
      <c r="B204" s="11"/>
      <c r="C204" s="11"/>
      <c r="D204" s="7" t="str">
        <f aca="false">IFERROR(INDEX('3. Costeo y Precios'!$B$14:$B$64,MATCH($C204,'3. Costeo y Precios'!$A$14:$A$64,0)),"")</f>
        <v/>
      </c>
      <c r="E204" s="11"/>
      <c r="F204" s="11"/>
      <c r="G204" s="11"/>
      <c r="H204" s="22" t="str">
        <f aca="false">IFERROR(G204/(F204+G204),"")</f>
        <v/>
      </c>
      <c r="I204" s="11"/>
      <c r="J204" s="13" t="n">
        <f aca="false">IFERROR(INDEX('3. Costeo y Precios'!$M$14:$M$64,MATCH($C204,'3. Costeo y Precios'!$A$14:$A$64,0)),0)</f>
        <v>0</v>
      </c>
      <c r="K204" s="13" t="str">
        <f aca="false">IF($C204="","",G204*J204)</f>
        <v/>
      </c>
      <c r="L204" s="11"/>
    </row>
    <row r="205" customFormat="false" ht="15" hidden="false" customHeight="false" outlineLevel="0" collapsed="false">
      <c r="A205" s="27"/>
      <c r="B205" s="11"/>
      <c r="C205" s="11"/>
      <c r="D205" s="7" t="str">
        <f aca="false">IFERROR(INDEX('3. Costeo y Precios'!$B$14:$B$64,MATCH($C205,'3. Costeo y Precios'!$A$14:$A$64,0)),"")</f>
        <v/>
      </c>
      <c r="E205" s="11"/>
      <c r="F205" s="11"/>
      <c r="G205" s="11"/>
      <c r="H205" s="22" t="str">
        <f aca="false">IFERROR(G205/(F205+G205),"")</f>
        <v/>
      </c>
      <c r="I205" s="11"/>
      <c r="J205" s="13" t="n">
        <f aca="false">IFERROR(INDEX('3. Costeo y Precios'!$M$14:$M$64,MATCH($C205,'3. Costeo y Precios'!$A$14:$A$64,0)),0)</f>
        <v>0</v>
      </c>
      <c r="K205" s="13" t="str">
        <f aca="false">IF($C205="","",G205*J205)</f>
        <v/>
      </c>
      <c r="L205" s="11"/>
    </row>
    <row r="206" customFormat="false" ht="15" hidden="false" customHeight="false" outlineLevel="0" collapsed="false">
      <c r="A206" s="27"/>
      <c r="B206" s="11"/>
      <c r="C206" s="11"/>
      <c r="D206" s="7" t="str">
        <f aca="false">IFERROR(INDEX('3. Costeo y Precios'!$B$14:$B$64,MATCH($C206,'3. Costeo y Precios'!$A$14:$A$64,0)),"")</f>
        <v/>
      </c>
      <c r="E206" s="11"/>
      <c r="F206" s="11"/>
      <c r="G206" s="11"/>
      <c r="H206" s="22" t="str">
        <f aca="false">IFERROR(G206/(F206+G206),"")</f>
        <v/>
      </c>
      <c r="I206" s="11"/>
      <c r="J206" s="13" t="n">
        <f aca="false">IFERROR(INDEX('3. Costeo y Precios'!$M$14:$M$64,MATCH($C206,'3. Costeo y Precios'!$A$14:$A$64,0)),0)</f>
        <v>0</v>
      </c>
      <c r="K206" s="13" t="str">
        <f aca="false">IF($C206="","",G206*J206)</f>
        <v/>
      </c>
      <c r="L206" s="11"/>
    </row>
    <row r="207" customFormat="false" ht="15" hidden="false" customHeight="false" outlineLevel="0" collapsed="false">
      <c r="A207" s="27"/>
      <c r="B207" s="11"/>
      <c r="C207" s="11"/>
      <c r="D207" s="7" t="str">
        <f aca="false">IFERROR(INDEX('3. Costeo y Precios'!$B$14:$B$64,MATCH($C207,'3. Costeo y Precios'!$A$14:$A$64,0)),"")</f>
        <v/>
      </c>
      <c r="E207" s="11"/>
      <c r="F207" s="11"/>
      <c r="G207" s="11"/>
      <c r="H207" s="22" t="str">
        <f aca="false">IFERROR(G207/(F207+G207),"")</f>
        <v/>
      </c>
      <c r="I207" s="11"/>
      <c r="J207" s="13" t="n">
        <f aca="false">IFERROR(INDEX('3. Costeo y Precios'!$M$14:$M$64,MATCH($C207,'3. Costeo y Precios'!$A$14:$A$64,0)),0)</f>
        <v>0</v>
      </c>
      <c r="K207" s="13" t="str">
        <f aca="false">IF($C207="","",G207*J207)</f>
        <v/>
      </c>
      <c r="L207" s="11"/>
    </row>
  </sheetData>
  <dataValidations count="1">
    <dataValidation allowBlank="true" errorStyle="stop" operator="between" showDropDown="false" showErrorMessage="false" showInputMessage="false" sqref="I8:I207" type="list">
      <formula1>"Tamal abierto en la vaporera,Masa cruda al centro,Masa apelmazada,Lote salado,Hoja rota al amarrar,Relleno mal repartido,Falla de cadena de frío,Pieza de prueba / tamal testigo,Devolución de cliente,Otro"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9" min="6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553</v>
      </c>
    </row>
    <row r="2" customFormat="false" ht="15" hidden="false" customHeight="false" outlineLevel="0" collapsed="false">
      <c r="A2" s="2" t="s">
        <v>554</v>
      </c>
    </row>
    <row r="3" customFormat="false" ht="15" hidden="false" customHeight="false" outlineLevel="0" collapsed="false">
      <c r="A3" s="4" t="s">
        <v>555</v>
      </c>
      <c r="D3" s="24" t="n">
        <f aca="false">SUM(E8:E407)</f>
        <v>96</v>
      </c>
    </row>
    <row r="4" customFormat="false" ht="15" hidden="false" customHeight="false" outlineLevel="0" collapsed="false">
      <c r="A4" s="4" t="s">
        <v>556</v>
      </c>
      <c r="D4" s="26" t="n">
        <f aca="false">SUM(G8:G407)</f>
        <v>9660</v>
      </c>
    </row>
    <row r="5" customFormat="false" ht="15" hidden="false" customHeight="false" outlineLevel="0" collapsed="false">
      <c r="A5" s="4" t="s">
        <v>557</v>
      </c>
      <c r="D5" s="26" t="n">
        <f aca="false">SUM(L8:L407)</f>
        <v>5821.77516233766</v>
      </c>
    </row>
    <row r="6" customFormat="false" ht="15" hidden="false" customHeight="false" outlineLevel="0" collapsed="false">
      <c r="A6" s="4" t="s">
        <v>558</v>
      </c>
      <c r="D6" s="25" t="n">
        <f aca="false">IFERROR(D5/D4,0)</f>
        <v>0.602668236266839</v>
      </c>
    </row>
    <row r="7" customFormat="false" ht="27.75" hidden="false" customHeight="true" outlineLevel="0" collapsed="false">
      <c r="A7" s="6" t="s">
        <v>538</v>
      </c>
      <c r="B7" s="6" t="s">
        <v>540</v>
      </c>
      <c r="C7" s="6" t="s">
        <v>157</v>
      </c>
      <c r="D7" s="6" t="s">
        <v>559</v>
      </c>
      <c r="E7" s="6" t="s">
        <v>560</v>
      </c>
      <c r="F7" s="6" t="s">
        <v>561</v>
      </c>
      <c r="G7" s="6" t="s">
        <v>562</v>
      </c>
      <c r="H7" s="6" t="s">
        <v>546</v>
      </c>
      <c r="I7" s="6" t="s">
        <v>563</v>
      </c>
      <c r="J7" s="6" t="s">
        <v>564</v>
      </c>
      <c r="K7" s="6" t="s">
        <v>565</v>
      </c>
      <c r="L7" s="6" t="s">
        <v>566</v>
      </c>
      <c r="M7" s="6" t="s">
        <v>567</v>
      </c>
      <c r="N7" s="6" t="s">
        <v>568</v>
      </c>
    </row>
    <row r="8" customFormat="false" ht="15" hidden="false" customHeight="false" outlineLevel="0" collapsed="false">
      <c r="A8" s="27" t="n">
        <v>46236</v>
      </c>
      <c r="B8" s="11" t="n">
        <v>1</v>
      </c>
      <c r="C8" s="7" t="str">
        <f aca="false">IFERROR(INDEX('3. Costeo y Precios'!$B$14:$B$64,MATCH($B8,'3. Costeo y Precios'!$A$14:$A$64,0)),"")</f>
        <v>Baja California: Tamal Estilo Tijuana de Carne de Res Adobada en Hoja de Maíz</v>
      </c>
      <c r="D8" s="11" t="s">
        <v>569</v>
      </c>
      <c r="E8" s="11" t="n">
        <v>12</v>
      </c>
      <c r="F8" s="9" t="n">
        <v>95</v>
      </c>
      <c r="G8" s="13" t="n">
        <f aca="false">IF($B8="","",E8*F8)</f>
        <v>1140</v>
      </c>
      <c r="H8" s="13" t="n">
        <f aca="false">IFERROR(INDEX('3. Costeo y Precios'!$M$14:$M$64,MATCH($B8,'3. Costeo y Precios'!$A$14:$A$64,0)),0)</f>
        <v>41.9524485930736</v>
      </c>
      <c r="I8" s="13" t="n">
        <f aca="false">IF($B8="","",E8*H8)</f>
        <v>503.429383116883</v>
      </c>
      <c r="J8" s="28"/>
      <c r="K8" s="13" t="n">
        <f aca="false">IF($B8="","",G8*J8)</f>
        <v>0</v>
      </c>
      <c r="L8" s="13" t="n">
        <f aca="false">IF($B8="","",G8-I8-K8)</f>
        <v>636.570616883117</v>
      </c>
      <c r="M8" s="22" t="n">
        <f aca="false">IFERROR(L8/G8,"")</f>
        <v>0.558395277967646</v>
      </c>
      <c r="N8" s="11"/>
    </row>
    <row r="9" customFormat="false" ht="15" hidden="false" customHeight="false" outlineLevel="0" collapsed="false">
      <c r="A9" s="27" t="n">
        <v>46238</v>
      </c>
      <c r="B9" s="11" t="n">
        <v>19</v>
      </c>
      <c r="C9" s="7" t="str">
        <f aca="false">IFERROR(INDEX('3. Costeo y Precios'!$B$14:$B$64,MATCH($B9,'3. Costeo y Precios'!$A$14:$A$64,0)),"")</f>
        <v>San Luis Potosí: Zacahuil Huasteco Tradicional de Masa Martajada (Porción Individual Estandarizada)</v>
      </c>
      <c r="D9" s="11" t="s">
        <v>570</v>
      </c>
      <c r="E9" s="11" t="n">
        <v>24</v>
      </c>
      <c r="F9" s="9" t="n">
        <v>80</v>
      </c>
      <c r="G9" s="13" t="n">
        <f aca="false">IF($B9="","",E9*F9)</f>
        <v>1920</v>
      </c>
      <c r="H9" s="13" t="n">
        <f aca="false">IFERROR(INDEX('3. Costeo y Precios'!$M$14:$M$64,MATCH($B9,'3. Costeo y Precios'!$A$14:$A$64,0)),0)</f>
        <v>53.3200757575758</v>
      </c>
      <c r="I9" s="13" t="n">
        <f aca="false">IF($B9="","",E9*H9)</f>
        <v>1279.68181818182</v>
      </c>
      <c r="J9" s="28"/>
      <c r="K9" s="13" t="n">
        <f aca="false">IF($B9="","",G9*J9)</f>
        <v>0</v>
      </c>
      <c r="L9" s="13" t="n">
        <f aca="false">IF($B9="","",G9-I9-K9)</f>
        <v>640.318181818182</v>
      </c>
      <c r="M9" s="22" t="n">
        <f aca="false">IFERROR(L9/G9,"")</f>
        <v>0.333499053030303</v>
      </c>
      <c r="N9" s="11"/>
    </row>
    <row r="10" customFormat="false" ht="15" hidden="false" customHeight="false" outlineLevel="0" collapsed="false">
      <c r="A10" s="27" t="n">
        <v>46242</v>
      </c>
      <c r="B10" s="11" t="n">
        <v>35</v>
      </c>
      <c r="C10" s="7" t="str">
        <f aca="false">IFERROR(INDEX('3. Costeo y Precios'!$B$14:$B$64,MATCH($B10,'3. Costeo y Precios'!$A$14:$A$64,0)),"")</f>
        <v>Morelos: Tamal de Frijol con Manteca y Flor de Tzompantle (Colorín)</v>
      </c>
      <c r="D10" s="11" t="s">
        <v>571</v>
      </c>
      <c r="E10" s="11" t="n">
        <v>60</v>
      </c>
      <c r="F10" s="9" t="n">
        <v>110</v>
      </c>
      <c r="G10" s="13" t="n">
        <f aca="false">IF($B10="","",E10*F10)</f>
        <v>6600</v>
      </c>
      <c r="H10" s="13" t="n">
        <f aca="false">IFERROR(INDEX('3. Costeo y Precios'!$M$14:$M$64,MATCH($B10,'3. Costeo y Precios'!$A$14:$A$64,0)),0)</f>
        <v>34.2518939393939</v>
      </c>
      <c r="I10" s="13" t="n">
        <f aca="false">IF($B10="","",E10*H10)</f>
        <v>2055.11363636364</v>
      </c>
      <c r="J10" s="28"/>
      <c r="K10" s="13" t="n">
        <f aca="false">IF($B10="","",G10*J10)</f>
        <v>0</v>
      </c>
      <c r="L10" s="13" t="n">
        <f aca="false">IF($B10="","",G10-I10-K10)</f>
        <v>4544.88636363636</v>
      </c>
      <c r="M10" s="22" t="n">
        <f aca="false">IFERROR(L10/G10,"")</f>
        <v>0.68861914600551</v>
      </c>
      <c r="N10" s="11"/>
    </row>
    <row r="11" customFormat="false" ht="15" hidden="false" customHeight="false" outlineLevel="0" collapsed="false">
      <c r="A11" s="27"/>
      <c r="B11" s="11"/>
      <c r="C11" s="7" t="str">
        <f aca="false">IFERROR(INDEX('3. Costeo y Precios'!$B$14:$B$64,MATCH($B11,'3. Costeo y Precios'!$A$14:$A$64,0)),"")</f>
        <v/>
      </c>
      <c r="D11" s="11"/>
      <c r="E11" s="11"/>
      <c r="F11" s="9"/>
      <c r="G11" s="13" t="str">
        <f aca="false">IF($B11="","",E11*F11)</f>
        <v/>
      </c>
      <c r="H11" s="13" t="n">
        <f aca="false">IFERROR(INDEX('3. Costeo y Precios'!$M$14:$M$64,MATCH($B11,'3. Costeo y Precios'!$A$14:$A$64,0)),0)</f>
        <v>0</v>
      </c>
      <c r="I11" s="13" t="str">
        <f aca="false">IF($B11="","",E11*H11)</f>
        <v/>
      </c>
      <c r="J11" s="28"/>
      <c r="K11" s="13" t="str">
        <f aca="false">IF($B11="","",G11*J11)</f>
        <v/>
      </c>
      <c r="L11" s="13" t="str">
        <f aca="false">IF($B11="","",G11-I11-K11)</f>
        <v/>
      </c>
      <c r="M11" s="22" t="str">
        <f aca="false">IFERROR(L11/G11,"")</f>
        <v/>
      </c>
      <c r="N11" s="11"/>
    </row>
    <row r="12" customFormat="false" ht="15" hidden="false" customHeight="false" outlineLevel="0" collapsed="false">
      <c r="A12" s="27"/>
      <c r="B12" s="11"/>
      <c r="C12" s="7" t="str">
        <f aca="false">IFERROR(INDEX('3. Costeo y Precios'!$B$14:$B$64,MATCH($B12,'3. Costeo y Precios'!$A$14:$A$64,0)),"")</f>
        <v/>
      </c>
      <c r="D12" s="11"/>
      <c r="E12" s="11"/>
      <c r="F12" s="9"/>
      <c r="G12" s="13" t="str">
        <f aca="false">IF($B12="","",E12*F12)</f>
        <v/>
      </c>
      <c r="H12" s="13" t="n">
        <f aca="false">IFERROR(INDEX('3. Costeo y Precios'!$M$14:$M$64,MATCH($B12,'3. Costeo y Precios'!$A$14:$A$64,0)),0)</f>
        <v>0</v>
      </c>
      <c r="I12" s="13" t="str">
        <f aca="false">IF($B12="","",E12*H12)</f>
        <v/>
      </c>
      <c r="J12" s="28"/>
      <c r="K12" s="13" t="str">
        <f aca="false">IF($B12="","",G12*J12)</f>
        <v/>
      </c>
      <c r="L12" s="13" t="str">
        <f aca="false">IF($B12="","",G12-I12-K12)</f>
        <v/>
      </c>
      <c r="M12" s="22" t="str">
        <f aca="false">IFERROR(L12/G12,"")</f>
        <v/>
      </c>
      <c r="N12" s="11"/>
    </row>
    <row r="13" customFormat="false" ht="15" hidden="false" customHeight="false" outlineLevel="0" collapsed="false">
      <c r="A13" s="27"/>
      <c r="B13" s="11"/>
      <c r="C13" s="7" t="str">
        <f aca="false">IFERROR(INDEX('3. Costeo y Precios'!$B$14:$B$64,MATCH($B13,'3. Costeo y Precios'!$A$14:$A$64,0)),"")</f>
        <v/>
      </c>
      <c r="D13" s="11"/>
      <c r="E13" s="11"/>
      <c r="F13" s="9"/>
      <c r="G13" s="13" t="str">
        <f aca="false">IF($B13="","",E13*F13)</f>
        <v/>
      </c>
      <c r="H13" s="13" t="n">
        <f aca="false">IFERROR(INDEX('3. Costeo y Precios'!$M$14:$M$64,MATCH($B13,'3. Costeo y Precios'!$A$14:$A$64,0)),0)</f>
        <v>0</v>
      </c>
      <c r="I13" s="13" t="str">
        <f aca="false">IF($B13="","",E13*H13)</f>
        <v/>
      </c>
      <c r="J13" s="28"/>
      <c r="K13" s="13" t="str">
        <f aca="false">IF($B13="","",G13*J13)</f>
        <v/>
      </c>
      <c r="L13" s="13" t="str">
        <f aca="false">IF($B13="","",G13-I13-K13)</f>
        <v/>
      </c>
      <c r="M13" s="22" t="str">
        <f aca="false">IFERROR(L13/G13,"")</f>
        <v/>
      </c>
      <c r="N13" s="11"/>
    </row>
    <row r="14" customFormat="false" ht="15" hidden="false" customHeight="false" outlineLevel="0" collapsed="false">
      <c r="A14" s="27"/>
      <c r="B14" s="11"/>
      <c r="C14" s="7" t="str">
        <f aca="false">IFERROR(INDEX('3. Costeo y Precios'!$B$14:$B$64,MATCH($B14,'3. Costeo y Precios'!$A$14:$A$64,0)),"")</f>
        <v/>
      </c>
      <c r="D14" s="11"/>
      <c r="E14" s="11"/>
      <c r="F14" s="9"/>
      <c r="G14" s="13" t="str">
        <f aca="false">IF($B14="","",E14*F14)</f>
        <v/>
      </c>
      <c r="H14" s="13" t="n">
        <f aca="false">IFERROR(INDEX('3. Costeo y Precios'!$M$14:$M$64,MATCH($B14,'3. Costeo y Precios'!$A$14:$A$64,0)),0)</f>
        <v>0</v>
      </c>
      <c r="I14" s="13" t="str">
        <f aca="false">IF($B14="","",E14*H14)</f>
        <v/>
      </c>
      <c r="J14" s="28"/>
      <c r="K14" s="13" t="str">
        <f aca="false">IF($B14="","",G14*J14)</f>
        <v/>
      </c>
      <c r="L14" s="13" t="str">
        <f aca="false">IF($B14="","",G14-I14-K14)</f>
        <v/>
      </c>
      <c r="M14" s="22" t="str">
        <f aca="false">IFERROR(L14/G14,"")</f>
        <v/>
      </c>
      <c r="N14" s="11"/>
    </row>
    <row r="15" customFormat="false" ht="15" hidden="false" customHeight="false" outlineLevel="0" collapsed="false">
      <c r="A15" s="27"/>
      <c r="B15" s="11"/>
      <c r="C15" s="7" t="str">
        <f aca="false">IFERROR(INDEX('3. Costeo y Precios'!$B$14:$B$64,MATCH($B15,'3. Costeo y Precios'!$A$14:$A$64,0)),"")</f>
        <v/>
      </c>
      <c r="D15" s="11"/>
      <c r="E15" s="11"/>
      <c r="F15" s="9"/>
      <c r="G15" s="13" t="str">
        <f aca="false">IF($B15="","",E15*F15)</f>
        <v/>
      </c>
      <c r="H15" s="13" t="n">
        <f aca="false">IFERROR(INDEX('3. Costeo y Precios'!$M$14:$M$64,MATCH($B15,'3. Costeo y Precios'!$A$14:$A$64,0)),0)</f>
        <v>0</v>
      </c>
      <c r="I15" s="13" t="str">
        <f aca="false">IF($B15="","",E15*H15)</f>
        <v/>
      </c>
      <c r="J15" s="28"/>
      <c r="K15" s="13" t="str">
        <f aca="false">IF($B15="","",G15*J15)</f>
        <v/>
      </c>
      <c r="L15" s="13" t="str">
        <f aca="false">IF($B15="","",G15-I15-K15)</f>
        <v/>
      </c>
      <c r="M15" s="22" t="str">
        <f aca="false">IFERROR(L15/G15,"")</f>
        <v/>
      </c>
      <c r="N15" s="11"/>
    </row>
    <row r="16" customFormat="false" ht="15" hidden="false" customHeight="false" outlineLevel="0" collapsed="false">
      <c r="A16" s="27"/>
      <c r="B16" s="11"/>
      <c r="C16" s="7" t="str">
        <f aca="false">IFERROR(INDEX('3. Costeo y Precios'!$B$14:$B$64,MATCH($B16,'3. Costeo y Precios'!$A$14:$A$64,0)),"")</f>
        <v/>
      </c>
      <c r="D16" s="11"/>
      <c r="E16" s="11"/>
      <c r="F16" s="9"/>
      <c r="G16" s="13" t="str">
        <f aca="false">IF($B16="","",E16*F16)</f>
        <v/>
      </c>
      <c r="H16" s="13" t="n">
        <f aca="false">IFERROR(INDEX('3. Costeo y Precios'!$M$14:$M$64,MATCH($B16,'3. Costeo y Precios'!$A$14:$A$64,0)),0)</f>
        <v>0</v>
      </c>
      <c r="I16" s="13" t="str">
        <f aca="false">IF($B16="","",E16*H16)</f>
        <v/>
      </c>
      <c r="J16" s="28"/>
      <c r="K16" s="13" t="str">
        <f aca="false">IF($B16="","",G16*J16)</f>
        <v/>
      </c>
      <c r="L16" s="13" t="str">
        <f aca="false">IF($B16="","",G16-I16-K16)</f>
        <v/>
      </c>
      <c r="M16" s="22" t="str">
        <f aca="false">IFERROR(L16/G16,"")</f>
        <v/>
      </c>
      <c r="N16" s="11"/>
    </row>
    <row r="17" customFormat="false" ht="15" hidden="false" customHeight="false" outlineLevel="0" collapsed="false">
      <c r="A17" s="27"/>
      <c r="B17" s="11"/>
      <c r="C17" s="7" t="str">
        <f aca="false">IFERROR(INDEX('3. Costeo y Precios'!$B$14:$B$64,MATCH($B17,'3. Costeo y Precios'!$A$14:$A$64,0)),"")</f>
        <v/>
      </c>
      <c r="D17" s="11"/>
      <c r="E17" s="11"/>
      <c r="F17" s="9"/>
      <c r="G17" s="13" t="str">
        <f aca="false">IF($B17="","",E17*F17)</f>
        <v/>
      </c>
      <c r="H17" s="13" t="n">
        <f aca="false">IFERROR(INDEX('3. Costeo y Precios'!$M$14:$M$64,MATCH($B17,'3. Costeo y Precios'!$A$14:$A$64,0)),0)</f>
        <v>0</v>
      </c>
      <c r="I17" s="13" t="str">
        <f aca="false">IF($B17="","",E17*H17)</f>
        <v/>
      </c>
      <c r="J17" s="28"/>
      <c r="K17" s="13" t="str">
        <f aca="false">IF($B17="","",G17*J17)</f>
        <v/>
      </c>
      <c r="L17" s="13" t="str">
        <f aca="false">IF($B17="","",G17-I17-K17)</f>
        <v/>
      </c>
      <c r="M17" s="22" t="str">
        <f aca="false">IFERROR(L17/G17,"")</f>
        <v/>
      </c>
      <c r="N17" s="11"/>
    </row>
    <row r="18" customFormat="false" ht="15" hidden="false" customHeight="false" outlineLevel="0" collapsed="false">
      <c r="A18" s="27"/>
      <c r="B18" s="11"/>
      <c r="C18" s="7" t="str">
        <f aca="false">IFERROR(INDEX('3. Costeo y Precios'!$B$14:$B$64,MATCH($B18,'3. Costeo y Precios'!$A$14:$A$64,0)),"")</f>
        <v/>
      </c>
      <c r="D18" s="11"/>
      <c r="E18" s="11"/>
      <c r="F18" s="9"/>
      <c r="G18" s="13" t="str">
        <f aca="false">IF($B18="","",E18*F18)</f>
        <v/>
      </c>
      <c r="H18" s="13" t="n">
        <f aca="false">IFERROR(INDEX('3. Costeo y Precios'!$M$14:$M$64,MATCH($B18,'3. Costeo y Precios'!$A$14:$A$64,0)),0)</f>
        <v>0</v>
      </c>
      <c r="I18" s="13" t="str">
        <f aca="false">IF($B18="","",E18*H18)</f>
        <v/>
      </c>
      <c r="J18" s="28"/>
      <c r="K18" s="13" t="str">
        <f aca="false">IF($B18="","",G18*J18)</f>
        <v/>
      </c>
      <c r="L18" s="13" t="str">
        <f aca="false">IF($B18="","",G18-I18-K18)</f>
        <v/>
      </c>
      <c r="M18" s="22" t="str">
        <f aca="false">IFERROR(L18/G18,"")</f>
        <v/>
      </c>
      <c r="N18" s="11"/>
    </row>
    <row r="19" customFormat="false" ht="15" hidden="false" customHeight="false" outlineLevel="0" collapsed="false">
      <c r="A19" s="27"/>
      <c r="B19" s="11"/>
      <c r="C19" s="7" t="str">
        <f aca="false">IFERROR(INDEX('3. Costeo y Precios'!$B$14:$B$64,MATCH($B19,'3. Costeo y Precios'!$A$14:$A$64,0)),"")</f>
        <v/>
      </c>
      <c r="D19" s="11"/>
      <c r="E19" s="11"/>
      <c r="F19" s="9"/>
      <c r="G19" s="13" t="str">
        <f aca="false">IF($B19="","",E19*F19)</f>
        <v/>
      </c>
      <c r="H19" s="13" t="n">
        <f aca="false">IFERROR(INDEX('3. Costeo y Precios'!$M$14:$M$64,MATCH($B19,'3. Costeo y Precios'!$A$14:$A$64,0)),0)</f>
        <v>0</v>
      </c>
      <c r="I19" s="13" t="str">
        <f aca="false">IF($B19="","",E19*H19)</f>
        <v/>
      </c>
      <c r="J19" s="28"/>
      <c r="K19" s="13" t="str">
        <f aca="false">IF($B19="","",G19*J19)</f>
        <v/>
      </c>
      <c r="L19" s="13" t="str">
        <f aca="false">IF($B19="","",G19-I19-K19)</f>
        <v/>
      </c>
      <c r="M19" s="22" t="str">
        <f aca="false">IFERROR(L19/G19,"")</f>
        <v/>
      </c>
      <c r="N19" s="11"/>
    </row>
    <row r="20" customFormat="false" ht="15" hidden="false" customHeight="false" outlineLevel="0" collapsed="false">
      <c r="A20" s="27"/>
      <c r="B20" s="11"/>
      <c r="C20" s="7" t="str">
        <f aca="false">IFERROR(INDEX('3. Costeo y Precios'!$B$14:$B$64,MATCH($B20,'3. Costeo y Precios'!$A$14:$A$64,0)),"")</f>
        <v/>
      </c>
      <c r="D20" s="11"/>
      <c r="E20" s="11"/>
      <c r="F20" s="9"/>
      <c r="G20" s="13" t="str">
        <f aca="false">IF($B20="","",E20*F20)</f>
        <v/>
      </c>
      <c r="H20" s="13" t="n">
        <f aca="false">IFERROR(INDEX('3. Costeo y Precios'!$M$14:$M$64,MATCH($B20,'3. Costeo y Precios'!$A$14:$A$64,0)),0)</f>
        <v>0</v>
      </c>
      <c r="I20" s="13" t="str">
        <f aca="false">IF($B20="","",E20*H20)</f>
        <v/>
      </c>
      <c r="J20" s="28"/>
      <c r="K20" s="13" t="str">
        <f aca="false">IF($B20="","",G20*J20)</f>
        <v/>
      </c>
      <c r="L20" s="13" t="str">
        <f aca="false">IF($B20="","",G20-I20-K20)</f>
        <v/>
      </c>
      <c r="M20" s="22" t="str">
        <f aca="false">IFERROR(L20/G20,"")</f>
        <v/>
      </c>
      <c r="N20" s="11"/>
    </row>
    <row r="21" customFormat="false" ht="15" hidden="false" customHeight="false" outlineLevel="0" collapsed="false">
      <c r="A21" s="27"/>
      <c r="B21" s="11"/>
      <c r="C21" s="7" t="str">
        <f aca="false">IFERROR(INDEX('3. Costeo y Precios'!$B$14:$B$64,MATCH($B21,'3. Costeo y Precios'!$A$14:$A$64,0)),"")</f>
        <v/>
      </c>
      <c r="D21" s="11"/>
      <c r="E21" s="11"/>
      <c r="F21" s="9"/>
      <c r="G21" s="13" t="str">
        <f aca="false">IF($B21="","",E21*F21)</f>
        <v/>
      </c>
      <c r="H21" s="13" t="n">
        <f aca="false">IFERROR(INDEX('3. Costeo y Precios'!$M$14:$M$64,MATCH($B21,'3. Costeo y Precios'!$A$14:$A$64,0)),0)</f>
        <v>0</v>
      </c>
      <c r="I21" s="13" t="str">
        <f aca="false">IF($B21="","",E21*H21)</f>
        <v/>
      </c>
      <c r="J21" s="28"/>
      <c r="K21" s="13" t="str">
        <f aca="false">IF($B21="","",G21*J21)</f>
        <v/>
      </c>
      <c r="L21" s="13" t="str">
        <f aca="false">IF($B21="","",G21-I21-K21)</f>
        <v/>
      </c>
      <c r="M21" s="22" t="str">
        <f aca="false">IFERROR(L21/G21,"")</f>
        <v/>
      </c>
      <c r="N21" s="11"/>
    </row>
    <row r="22" customFormat="false" ht="15" hidden="false" customHeight="false" outlineLevel="0" collapsed="false">
      <c r="A22" s="27"/>
      <c r="B22" s="11"/>
      <c r="C22" s="7" t="str">
        <f aca="false">IFERROR(INDEX('3. Costeo y Precios'!$B$14:$B$64,MATCH($B22,'3. Costeo y Precios'!$A$14:$A$64,0)),"")</f>
        <v/>
      </c>
      <c r="D22" s="11"/>
      <c r="E22" s="11"/>
      <c r="F22" s="9"/>
      <c r="G22" s="13" t="str">
        <f aca="false">IF($B22="","",E22*F22)</f>
        <v/>
      </c>
      <c r="H22" s="13" t="n">
        <f aca="false">IFERROR(INDEX('3. Costeo y Precios'!$M$14:$M$64,MATCH($B22,'3. Costeo y Precios'!$A$14:$A$64,0)),0)</f>
        <v>0</v>
      </c>
      <c r="I22" s="13" t="str">
        <f aca="false">IF($B22="","",E22*H22)</f>
        <v/>
      </c>
      <c r="J22" s="28"/>
      <c r="K22" s="13" t="str">
        <f aca="false">IF($B22="","",G22*J22)</f>
        <v/>
      </c>
      <c r="L22" s="13" t="str">
        <f aca="false">IF($B22="","",G22-I22-K22)</f>
        <v/>
      </c>
      <c r="M22" s="22" t="str">
        <f aca="false">IFERROR(L22/G22,"")</f>
        <v/>
      </c>
      <c r="N22" s="11"/>
    </row>
    <row r="23" customFormat="false" ht="15" hidden="false" customHeight="false" outlineLevel="0" collapsed="false">
      <c r="A23" s="27"/>
      <c r="B23" s="11"/>
      <c r="C23" s="7" t="str">
        <f aca="false">IFERROR(INDEX('3. Costeo y Precios'!$B$14:$B$64,MATCH($B23,'3. Costeo y Precios'!$A$14:$A$64,0)),"")</f>
        <v/>
      </c>
      <c r="D23" s="11"/>
      <c r="E23" s="11"/>
      <c r="F23" s="9"/>
      <c r="G23" s="13" t="str">
        <f aca="false">IF($B23="","",E23*F23)</f>
        <v/>
      </c>
      <c r="H23" s="13" t="n">
        <f aca="false">IFERROR(INDEX('3. Costeo y Precios'!$M$14:$M$64,MATCH($B23,'3. Costeo y Precios'!$A$14:$A$64,0)),0)</f>
        <v>0</v>
      </c>
      <c r="I23" s="13" t="str">
        <f aca="false">IF($B23="","",E23*H23)</f>
        <v/>
      </c>
      <c r="J23" s="28"/>
      <c r="K23" s="13" t="str">
        <f aca="false">IF($B23="","",G23*J23)</f>
        <v/>
      </c>
      <c r="L23" s="13" t="str">
        <f aca="false">IF($B23="","",G23-I23-K23)</f>
        <v/>
      </c>
      <c r="M23" s="22" t="str">
        <f aca="false">IFERROR(L23/G23,"")</f>
        <v/>
      </c>
      <c r="N23" s="11"/>
    </row>
    <row r="24" customFormat="false" ht="15" hidden="false" customHeight="false" outlineLevel="0" collapsed="false">
      <c r="A24" s="27"/>
      <c r="B24" s="11"/>
      <c r="C24" s="7" t="str">
        <f aca="false">IFERROR(INDEX('3. Costeo y Precios'!$B$14:$B$64,MATCH($B24,'3. Costeo y Precios'!$A$14:$A$64,0)),"")</f>
        <v/>
      </c>
      <c r="D24" s="11"/>
      <c r="E24" s="11"/>
      <c r="F24" s="9"/>
      <c r="G24" s="13" t="str">
        <f aca="false">IF($B24="","",E24*F24)</f>
        <v/>
      </c>
      <c r="H24" s="13" t="n">
        <f aca="false">IFERROR(INDEX('3. Costeo y Precios'!$M$14:$M$64,MATCH($B24,'3. Costeo y Precios'!$A$14:$A$64,0)),0)</f>
        <v>0</v>
      </c>
      <c r="I24" s="13" t="str">
        <f aca="false">IF($B24="","",E24*H24)</f>
        <v/>
      </c>
      <c r="J24" s="28"/>
      <c r="K24" s="13" t="str">
        <f aca="false">IF($B24="","",G24*J24)</f>
        <v/>
      </c>
      <c r="L24" s="13" t="str">
        <f aca="false">IF($B24="","",G24-I24-K24)</f>
        <v/>
      </c>
      <c r="M24" s="22" t="str">
        <f aca="false">IFERROR(L24/G24,"")</f>
        <v/>
      </c>
      <c r="N24" s="11"/>
    </row>
    <row r="25" customFormat="false" ht="15" hidden="false" customHeight="false" outlineLevel="0" collapsed="false">
      <c r="A25" s="27"/>
      <c r="B25" s="11"/>
      <c r="C25" s="7" t="str">
        <f aca="false">IFERROR(INDEX('3. Costeo y Precios'!$B$14:$B$64,MATCH($B25,'3. Costeo y Precios'!$A$14:$A$64,0)),"")</f>
        <v/>
      </c>
      <c r="D25" s="11"/>
      <c r="E25" s="11"/>
      <c r="F25" s="9"/>
      <c r="G25" s="13" t="str">
        <f aca="false">IF($B25="","",E25*F25)</f>
        <v/>
      </c>
      <c r="H25" s="13" t="n">
        <f aca="false">IFERROR(INDEX('3. Costeo y Precios'!$M$14:$M$64,MATCH($B25,'3. Costeo y Precios'!$A$14:$A$64,0)),0)</f>
        <v>0</v>
      </c>
      <c r="I25" s="13" t="str">
        <f aca="false">IF($B25="","",E25*H25)</f>
        <v/>
      </c>
      <c r="J25" s="28"/>
      <c r="K25" s="13" t="str">
        <f aca="false">IF($B25="","",G25*J25)</f>
        <v/>
      </c>
      <c r="L25" s="13" t="str">
        <f aca="false">IF($B25="","",G25-I25-K25)</f>
        <v/>
      </c>
      <c r="M25" s="22" t="str">
        <f aca="false">IFERROR(L25/G25,"")</f>
        <v/>
      </c>
      <c r="N25" s="11"/>
    </row>
    <row r="26" customFormat="false" ht="15" hidden="false" customHeight="false" outlineLevel="0" collapsed="false">
      <c r="A26" s="27"/>
      <c r="B26" s="11"/>
      <c r="C26" s="7" t="str">
        <f aca="false">IFERROR(INDEX('3. Costeo y Precios'!$B$14:$B$64,MATCH($B26,'3. Costeo y Precios'!$A$14:$A$64,0)),"")</f>
        <v/>
      </c>
      <c r="D26" s="11"/>
      <c r="E26" s="11"/>
      <c r="F26" s="9"/>
      <c r="G26" s="13" t="str">
        <f aca="false">IF($B26="","",E26*F26)</f>
        <v/>
      </c>
      <c r="H26" s="13" t="n">
        <f aca="false">IFERROR(INDEX('3. Costeo y Precios'!$M$14:$M$64,MATCH($B26,'3. Costeo y Precios'!$A$14:$A$64,0)),0)</f>
        <v>0</v>
      </c>
      <c r="I26" s="13" t="str">
        <f aca="false">IF($B26="","",E26*H26)</f>
        <v/>
      </c>
      <c r="J26" s="28"/>
      <c r="K26" s="13" t="str">
        <f aca="false">IF($B26="","",G26*J26)</f>
        <v/>
      </c>
      <c r="L26" s="13" t="str">
        <f aca="false">IF($B26="","",G26-I26-K26)</f>
        <v/>
      </c>
      <c r="M26" s="22" t="str">
        <f aca="false">IFERROR(L26/G26,"")</f>
        <v/>
      </c>
      <c r="N26" s="11"/>
    </row>
    <row r="27" customFormat="false" ht="15" hidden="false" customHeight="false" outlineLevel="0" collapsed="false">
      <c r="A27" s="27"/>
      <c r="B27" s="11"/>
      <c r="C27" s="7" t="str">
        <f aca="false">IFERROR(INDEX('3. Costeo y Precios'!$B$14:$B$64,MATCH($B27,'3. Costeo y Precios'!$A$14:$A$64,0)),"")</f>
        <v/>
      </c>
      <c r="D27" s="11"/>
      <c r="E27" s="11"/>
      <c r="F27" s="9"/>
      <c r="G27" s="13" t="str">
        <f aca="false">IF($B27="","",E27*F27)</f>
        <v/>
      </c>
      <c r="H27" s="13" t="n">
        <f aca="false">IFERROR(INDEX('3. Costeo y Precios'!$M$14:$M$64,MATCH($B27,'3. Costeo y Precios'!$A$14:$A$64,0)),0)</f>
        <v>0</v>
      </c>
      <c r="I27" s="13" t="str">
        <f aca="false">IF($B27="","",E27*H27)</f>
        <v/>
      </c>
      <c r="J27" s="28"/>
      <c r="K27" s="13" t="str">
        <f aca="false">IF($B27="","",G27*J27)</f>
        <v/>
      </c>
      <c r="L27" s="13" t="str">
        <f aca="false">IF($B27="","",G27-I27-K27)</f>
        <v/>
      </c>
      <c r="M27" s="22" t="str">
        <f aca="false">IFERROR(L27/G27,"")</f>
        <v/>
      </c>
      <c r="N27" s="11"/>
    </row>
    <row r="28" customFormat="false" ht="15" hidden="false" customHeight="false" outlineLevel="0" collapsed="false">
      <c r="A28" s="27"/>
      <c r="B28" s="11"/>
      <c r="C28" s="7" t="str">
        <f aca="false">IFERROR(INDEX('3. Costeo y Precios'!$B$14:$B$64,MATCH($B28,'3. Costeo y Precios'!$A$14:$A$64,0)),"")</f>
        <v/>
      </c>
      <c r="D28" s="11"/>
      <c r="E28" s="11"/>
      <c r="F28" s="9"/>
      <c r="G28" s="13" t="str">
        <f aca="false">IF($B28="","",E28*F28)</f>
        <v/>
      </c>
      <c r="H28" s="13" t="n">
        <f aca="false">IFERROR(INDEX('3. Costeo y Precios'!$M$14:$M$64,MATCH($B28,'3. Costeo y Precios'!$A$14:$A$64,0)),0)</f>
        <v>0</v>
      </c>
      <c r="I28" s="13" t="str">
        <f aca="false">IF($B28="","",E28*H28)</f>
        <v/>
      </c>
      <c r="J28" s="28"/>
      <c r="K28" s="13" t="str">
        <f aca="false">IF($B28="","",G28*J28)</f>
        <v/>
      </c>
      <c r="L28" s="13" t="str">
        <f aca="false">IF($B28="","",G28-I28-K28)</f>
        <v/>
      </c>
      <c r="M28" s="22" t="str">
        <f aca="false">IFERROR(L28/G28,"")</f>
        <v/>
      </c>
      <c r="N28" s="11"/>
    </row>
    <row r="29" customFormat="false" ht="15" hidden="false" customHeight="false" outlineLevel="0" collapsed="false">
      <c r="A29" s="27"/>
      <c r="B29" s="11"/>
      <c r="C29" s="7" t="str">
        <f aca="false">IFERROR(INDEX('3. Costeo y Precios'!$B$14:$B$64,MATCH($B29,'3. Costeo y Precios'!$A$14:$A$64,0)),"")</f>
        <v/>
      </c>
      <c r="D29" s="11"/>
      <c r="E29" s="11"/>
      <c r="F29" s="9"/>
      <c r="G29" s="13" t="str">
        <f aca="false">IF($B29="","",E29*F29)</f>
        <v/>
      </c>
      <c r="H29" s="13" t="n">
        <f aca="false">IFERROR(INDEX('3. Costeo y Precios'!$M$14:$M$64,MATCH($B29,'3. Costeo y Precios'!$A$14:$A$64,0)),0)</f>
        <v>0</v>
      </c>
      <c r="I29" s="13" t="str">
        <f aca="false">IF($B29="","",E29*H29)</f>
        <v/>
      </c>
      <c r="J29" s="28"/>
      <c r="K29" s="13" t="str">
        <f aca="false">IF($B29="","",G29*J29)</f>
        <v/>
      </c>
      <c r="L29" s="13" t="str">
        <f aca="false">IF($B29="","",G29-I29-K29)</f>
        <v/>
      </c>
      <c r="M29" s="22" t="str">
        <f aca="false">IFERROR(L29/G29,"")</f>
        <v/>
      </c>
      <c r="N29" s="11"/>
    </row>
    <row r="30" customFormat="false" ht="15" hidden="false" customHeight="false" outlineLevel="0" collapsed="false">
      <c r="A30" s="27"/>
      <c r="B30" s="11"/>
      <c r="C30" s="7" t="str">
        <f aca="false">IFERROR(INDEX('3. Costeo y Precios'!$B$14:$B$64,MATCH($B30,'3. Costeo y Precios'!$A$14:$A$64,0)),"")</f>
        <v/>
      </c>
      <c r="D30" s="11"/>
      <c r="E30" s="11"/>
      <c r="F30" s="9"/>
      <c r="G30" s="13" t="str">
        <f aca="false">IF($B30="","",E30*F30)</f>
        <v/>
      </c>
      <c r="H30" s="13" t="n">
        <f aca="false">IFERROR(INDEX('3. Costeo y Precios'!$M$14:$M$64,MATCH($B30,'3. Costeo y Precios'!$A$14:$A$64,0)),0)</f>
        <v>0</v>
      </c>
      <c r="I30" s="13" t="str">
        <f aca="false">IF($B30="","",E30*H30)</f>
        <v/>
      </c>
      <c r="J30" s="28"/>
      <c r="K30" s="13" t="str">
        <f aca="false">IF($B30="","",G30*J30)</f>
        <v/>
      </c>
      <c r="L30" s="13" t="str">
        <f aca="false">IF($B30="","",G30-I30-K30)</f>
        <v/>
      </c>
      <c r="M30" s="22" t="str">
        <f aca="false">IFERROR(L30/G30,"")</f>
        <v/>
      </c>
      <c r="N30" s="11"/>
    </row>
    <row r="31" customFormat="false" ht="15" hidden="false" customHeight="false" outlineLevel="0" collapsed="false">
      <c r="A31" s="27"/>
      <c r="B31" s="11"/>
      <c r="C31" s="7" t="str">
        <f aca="false">IFERROR(INDEX('3. Costeo y Precios'!$B$14:$B$64,MATCH($B31,'3. Costeo y Precios'!$A$14:$A$64,0)),"")</f>
        <v/>
      </c>
      <c r="D31" s="11"/>
      <c r="E31" s="11"/>
      <c r="F31" s="9"/>
      <c r="G31" s="13" t="str">
        <f aca="false">IF($B31="","",E31*F31)</f>
        <v/>
      </c>
      <c r="H31" s="13" t="n">
        <f aca="false">IFERROR(INDEX('3. Costeo y Precios'!$M$14:$M$64,MATCH($B31,'3. Costeo y Precios'!$A$14:$A$64,0)),0)</f>
        <v>0</v>
      </c>
      <c r="I31" s="13" t="str">
        <f aca="false">IF($B31="","",E31*H31)</f>
        <v/>
      </c>
      <c r="J31" s="28"/>
      <c r="K31" s="13" t="str">
        <f aca="false">IF($B31="","",G31*J31)</f>
        <v/>
      </c>
      <c r="L31" s="13" t="str">
        <f aca="false">IF($B31="","",G31-I31-K31)</f>
        <v/>
      </c>
      <c r="M31" s="22" t="str">
        <f aca="false">IFERROR(L31/G31,"")</f>
        <v/>
      </c>
      <c r="N31" s="11"/>
    </row>
    <row r="32" customFormat="false" ht="15" hidden="false" customHeight="false" outlineLevel="0" collapsed="false">
      <c r="A32" s="27"/>
      <c r="B32" s="11"/>
      <c r="C32" s="7" t="str">
        <f aca="false">IFERROR(INDEX('3. Costeo y Precios'!$B$14:$B$64,MATCH($B32,'3. Costeo y Precios'!$A$14:$A$64,0)),"")</f>
        <v/>
      </c>
      <c r="D32" s="11"/>
      <c r="E32" s="11"/>
      <c r="F32" s="9"/>
      <c r="G32" s="13" t="str">
        <f aca="false">IF($B32="","",E32*F32)</f>
        <v/>
      </c>
      <c r="H32" s="13" t="n">
        <f aca="false">IFERROR(INDEX('3. Costeo y Precios'!$M$14:$M$64,MATCH($B32,'3. Costeo y Precios'!$A$14:$A$64,0)),0)</f>
        <v>0</v>
      </c>
      <c r="I32" s="13" t="str">
        <f aca="false">IF($B32="","",E32*H32)</f>
        <v/>
      </c>
      <c r="J32" s="28"/>
      <c r="K32" s="13" t="str">
        <f aca="false">IF($B32="","",G32*J32)</f>
        <v/>
      </c>
      <c r="L32" s="13" t="str">
        <f aca="false">IF($B32="","",G32-I32-K32)</f>
        <v/>
      </c>
      <c r="M32" s="22" t="str">
        <f aca="false">IFERROR(L32/G32,"")</f>
        <v/>
      </c>
      <c r="N32" s="11"/>
    </row>
    <row r="33" customFormat="false" ht="15" hidden="false" customHeight="false" outlineLevel="0" collapsed="false">
      <c r="A33" s="27"/>
      <c r="B33" s="11"/>
      <c r="C33" s="7" t="str">
        <f aca="false">IFERROR(INDEX('3. Costeo y Precios'!$B$14:$B$64,MATCH($B33,'3. Costeo y Precios'!$A$14:$A$64,0)),"")</f>
        <v/>
      </c>
      <c r="D33" s="11"/>
      <c r="E33" s="11"/>
      <c r="F33" s="9"/>
      <c r="G33" s="13" t="str">
        <f aca="false">IF($B33="","",E33*F33)</f>
        <v/>
      </c>
      <c r="H33" s="13" t="n">
        <f aca="false">IFERROR(INDEX('3. Costeo y Precios'!$M$14:$M$64,MATCH($B33,'3. Costeo y Precios'!$A$14:$A$64,0)),0)</f>
        <v>0</v>
      </c>
      <c r="I33" s="13" t="str">
        <f aca="false">IF($B33="","",E33*H33)</f>
        <v/>
      </c>
      <c r="J33" s="28"/>
      <c r="K33" s="13" t="str">
        <f aca="false">IF($B33="","",G33*J33)</f>
        <v/>
      </c>
      <c r="L33" s="13" t="str">
        <f aca="false">IF($B33="","",G33-I33-K33)</f>
        <v/>
      </c>
      <c r="M33" s="22" t="str">
        <f aca="false">IFERROR(L33/G33,"")</f>
        <v/>
      </c>
      <c r="N33" s="11"/>
    </row>
    <row r="34" customFormat="false" ht="15" hidden="false" customHeight="false" outlineLevel="0" collapsed="false">
      <c r="A34" s="27"/>
      <c r="B34" s="11"/>
      <c r="C34" s="7" t="str">
        <f aca="false">IFERROR(INDEX('3. Costeo y Precios'!$B$14:$B$64,MATCH($B34,'3. Costeo y Precios'!$A$14:$A$64,0)),"")</f>
        <v/>
      </c>
      <c r="D34" s="11"/>
      <c r="E34" s="11"/>
      <c r="F34" s="9"/>
      <c r="G34" s="13" t="str">
        <f aca="false">IF($B34="","",E34*F34)</f>
        <v/>
      </c>
      <c r="H34" s="13" t="n">
        <f aca="false">IFERROR(INDEX('3. Costeo y Precios'!$M$14:$M$64,MATCH($B34,'3. Costeo y Precios'!$A$14:$A$64,0)),0)</f>
        <v>0</v>
      </c>
      <c r="I34" s="13" t="str">
        <f aca="false">IF($B34="","",E34*H34)</f>
        <v/>
      </c>
      <c r="J34" s="28"/>
      <c r="K34" s="13" t="str">
        <f aca="false">IF($B34="","",G34*J34)</f>
        <v/>
      </c>
      <c r="L34" s="13" t="str">
        <f aca="false">IF($B34="","",G34-I34-K34)</f>
        <v/>
      </c>
      <c r="M34" s="22" t="str">
        <f aca="false">IFERROR(L34/G34,"")</f>
        <v/>
      </c>
      <c r="N34" s="11"/>
    </row>
    <row r="35" customFormat="false" ht="15" hidden="false" customHeight="false" outlineLevel="0" collapsed="false">
      <c r="A35" s="27"/>
      <c r="B35" s="11"/>
      <c r="C35" s="7" t="str">
        <f aca="false">IFERROR(INDEX('3. Costeo y Precios'!$B$14:$B$64,MATCH($B35,'3. Costeo y Precios'!$A$14:$A$64,0)),"")</f>
        <v/>
      </c>
      <c r="D35" s="11"/>
      <c r="E35" s="11"/>
      <c r="F35" s="9"/>
      <c r="G35" s="13" t="str">
        <f aca="false">IF($B35="","",E35*F35)</f>
        <v/>
      </c>
      <c r="H35" s="13" t="n">
        <f aca="false">IFERROR(INDEX('3. Costeo y Precios'!$M$14:$M$64,MATCH($B35,'3. Costeo y Precios'!$A$14:$A$64,0)),0)</f>
        <v>0</v>
      </c>
      <c r="I35" s="13" t="str">
        <f aca="false">IF($B35="","",E35*H35)</f>
        <v/>
      </c>
      <c r="J35" s="28"/>
      <c r="K35" s="13" t="str">
        <f aca="false">IF($B35="","",G35*J35)</f>
        <v/>
      </c>
      <c r="L35" s="13" t="str">
        <f aca="false">IF($B35="","",G35-I35-K35)</f>
        <v/>
      </c>
      <c r="M35" s="22" t="str">
        <f aca="false">IFERROR(L35/G35,"")</f>
        <v/>
      </c>
      <c r="N35" s="11"/>
    </row>
    <row r="36" customFormat="false" ht="15" hidden="false" customHeight="false" outlineLevel="0" collapsed="false">
      <c r="A36" s="27"/>
      <c r="B36" s="11"/>
      <c r="C36" s="7" t="str">
        <f aca="false">IFERROR(INDEX('3. Costeo y Precios'!$B$14:$B$64,MATCH($B36,'3. Costeo y Precios'!$A$14:$A$64,0)),"")</f>
        <v/>
      </c>
      <c r="D36" s="11"/>
      <c r="E36" s="11"/>
      <c r="F36" s="9"/>
      <c r="G36" s="13" t="str">
        <f aca="false">IF($B36="","",E36*F36)</f>
        <v/>
      </c>
      <c r="H36" s="13" t="n">
        <f aca="false">IFERROR(INDEX('3. Costeo y Precios'!$M$14:$M$64,MATCH($B36,'3. Costeo y Precios'!$A$14:$A$64,0)),0)</f>
        <v>0</v>
      </c>
      <c r="I36" s="13" t="str">
        <f aca="false">IF($B36="","",E36*H36)</f>
        <v/>
      </c>
      <c r="J36" s="28"/>
      <c r="K36" s="13" t="str">
        <f aca="false">IF($B36="","",G36*J36)</f>
        <v/>
      </c>
      <c r="L36" s="13" t="str">
        <f aca="false">IF($B36="","",G36-I36-K36)</f>
        <v/>
      </c>
      <c r="M36" s="22" t="str">
        <f aca="false">IFERROR(L36/G36,"")</f>
        <v/>
      </c>
      <c r="N36" s="11"/>
    </row>
    <row r="37" customFormat="false" ht="15" hidden="false" customHeight="false" outlineLevel="0" collapsed="false">
      <c r="A37" s="27"/>
      <c r="B37" s="11"/>
      <c r="C37" s="7" t="str">
        <f aca="false">IFERROR(INDEX('3. Costeo y Precios'!$B$14:$B$64,MATCH($B37,'3. Costeo y Precios'!$A$14:$A$64,0)),"")</f>
        <v/>
      </c>
      <c r="D37" s="11"/>
      <c r="E37" s="11"/>
      <c r="F37" s="9"/>
      <c r="G37" s="13" t="str">
        <f aca="false">IF($B37="","",E37*F37)</f>
        <v/>
      </c>
      <c r="H37" s="13" t="n">
        <f aca="false">IFERROR(INDEX('3. Costeo y Precios'!$M$14:$M$64,MATCH($B37,'3. Costeo y Precios'!$A$14:$A$64,0)),0)</f>
        <v>0</v>
      </c>
      <c r="I37" s="13" t="str">
        <f aca="false">IF($B37="","",E37*H37)</f>
        <v/>
      </c>
      <c r="J37" s="28"/>
      <c r="K37" s="13" t="str">
        <f aca="false">IF($B37="","",G37*J37)</f>
        <v/>
      </c>
      <c r="L37" s="13" t="str">
        <f aca="false">IF($B37="","",G37-I37-K37)</f>
        <v/>
      </c>
      <c r="M37" s="22" t="str">
        <f aca="false">IFERROR(L37/G37,"")</f>
        <v/>
      </c>
      <c r="N37" s="11"/>
    </row>
    <row r="38" customFormat="false" ht="15" hidden="false" customHeight="false" outlineLevel="0" collapsed="false">
      <c r="A38" s="27"/>
      <c r="B38" s="11"/>
      <c r="C38" s="7" t="str">
        <f aca="false">IFERROR(INDEX('3. Costeo y Precios'!$B$14:$B$64,MATCH($B38,'3. Costeo y Precios'!$A$14:$A$64,0)),"")</f>
        <v/>
      </c>
      <c r="D38" s="11"/>
      <c r="E38" s="11"/>
      <c r="F38" s="9"/>
      <c r="G38" s="13" t="str">
        <f aca="false">IF($B38="","",E38*F38)</f>
        <v/>
      </c>
      <c r="H38" s="13" t="n">
        <f aca="false">IFERROR(INDEX('3. Costeo y Precios'!$M$14:$M$64,MATCH($B38,'3. Costeo y Precios'!$A$14:$A$64,0)),0)</f>
        <v>0</v>
      </c>
      <c r="I38" s="13" t="str">
        <f aca="false">IF($B38="","",E38*H38)</f>
        <v/>
      </c>
      <c r="J38" s="28"/>
      <c r="K38" s="13" t="str">
        <f aca="false">IF($B38="","",G38*J38)</f>
        <v/>
      </c>
      <c r="L38" s="13" t="str">
        <f aca="false">IF($B38="","",G38-I38-K38)</f>
        <v/>
      </c>
      <c r="M38" s="22" t="str">
        <f aca="false">IFERROR(L38/G38,"")</f>
        <v/>
      </c>
      <c r="N38" s="11"/>
    </row>
    <row r="39" customFormat="false" ht="15" hidden="false" customHeight="false" outlineLevel="0" collapsed="false">
      <c r="A39" s="27"/>
      <c r="B39" s="11"/>
      <c r="C39" s="7" t="str">
        <f aca="false">IFERROR(INDEX('3. Costeo y Precios'!$B$14:$B$64,MATCH($B39,'3. Costeo y Precios'!$A$14:$A$64,0)),"")</f>
        <v/>
      </c>
      <c r="D39" s="11"/>
      <c r="E39" s="11"/>
      <c r="F39" s="9"/>
      <c r="G39" s="13" t="str">
        <f aca="false">IF($B39="","",E39*F39)</f>
        <v/>
      </c>
      <c r="H39" s="13" t="n">
        <f aca="false">IFERROR(INDEX('3. Costeo y Precios'!$M$14:$M$64,MATCH($B39,'3. Costeo y Precios'!$A$14:$A$64,0)),0)</f>
        <v>0</v>
      </c>
      <c r="I39" s="13" t="str">
        <f aca="false">IF($B39="","",E39*H39)</f>
        <v/>
      </c>
      <c r="J39" s="28"/>
      <c r="K39" s="13" t="str">
        <f aca="false">IF($B39="","",G39*J39)</f>
        <v/>
      </c>
      <c r="L39" s="13" t="str">
        <f aca="false">IF($B39="","",G39-I39-K39)</f>
        <v/>
      </c>
      <c r="M39" s="22" t="str">
        <f aca="false">IFERROR(L39/G39,"")</f>
        <v/>
      </c>
      <c r="N39" s="11"/>
    </row>
    <row r="40" customFormat="false" ht="15" hidden="false" customHeight="false" outlineLevel="0" collapsed="false">
      <c r="A40" s="27"/>
      <c r="B40" s="11"/>
      <c r="C40" s="7" t="str">
        <f aca="false">IFERROR(INDEX('3. Costeo y Precios'!$B$14:$B$64,MATCH($B40,'3. Costeo y Precios'!$A$14:$A$64,0)),"")</f>
        <v/>
      </c>
      <c r="D40" s="11"/>
      <c r="E40" s="11"/>
      <c r="F40" s="9"/>
      <c r="G40" s="13" t="str">
        <f aca="false">IF($B40="","",E40*F40)</f>
        <v/>
      </c>
      <c r="H40" s="13" t="n">
        <f aca="false">IFERROR(INDEX('3. Costeo y Precios'!$M$14:$M$64,MATCH($B40,'3. Costeo y Precios'!$A$14:$A$64,0)),0)</f>
        <v>0</v>
      </c>
      <c r="I40" s="13" t="str">
        <f aca="false">IF($B40="","",E40*H40)</f>
        <v/>
      </c>
      <c r="J40" s="28"/>
      <c r="K40" s="13" t="str">
        <f aca="false">IF($B40="","",G40*J40)</f>
        <v/>
      </c>
      <c r="L40" s="13" t="str">
        <f aca="false">IF($B40="","",G40-I40-K40)</f>
        <v/>
      </c>
      <c r="M40" s="22" t="str">
        <f aca="false">IFERROR(L40/G40,"")</f>
        <v/>
      </c>
      <c r="N40" s="11"/>
    </row>
    <row r="41" customFormat="false" ht="15" hidden="false" customHeight="false" outlineLevel="0" collapsed="false">
      <c r="A41" s="27"/>
      <c r="B41" s="11"/>
      <c r="C41" s="7" t="str">
        <f aca="false">IFERROR(INDEX('3. Costeo y Precios'!$B$14:$B$64,MATCH($B41,'3. Costeo y Precios'!$A$14:$A$64,0)),"")</f>
        <v/>
      </c>
      <c r="D41" s="11"/>
      <c r="E41" s="11"/>
      <c r="F41" s="9"/>
      <c r="G41" s="13" t="str">
        <f aca="false">IF($B41="","",E41*F41)</f>
        <v/>
      </c>
      <c r="H41" s="13" t="n">
        <f aca="false">IFERROR(INDEX('3. Costeo y Precios'!$M$14:$M$64,MATCH($B41,'3. Costeo y Precios'!$A$14:$A$64,0)),0)</f>
        <v>0</v>
      </c>
      <c r="I41" s="13" t="str">
        <f aca="false">IF($B41="","",E41*H41)</f>
        <v/>
      </c>
      <c r="J41" s="28"/>
      <c r="K41" s="13" t="str">
        <f aca="false">IF($B41="","",G41*J41)</f>
        <v/>
      </c>
      <c r="L41" s="13" t="str">
        <f aca="false">IF($B41="","",G41-I41-K41)</f>
        <v/>
      </c>
      <c r="M41" s="22" t="str">
        <f aca="false">IFERROR(L41/G41,"")</f>
        <v/>
      </c>
      <c r="N41" s="11"/>
    </row>
    <row r="42" customFormat="false" ht="15" hidden="false" customHeight="false" outlineLevel="0" collapsed="false">
      <c r="A42" s="27"/>
      <c r="B42" s="11"/>
      <c r="C42" s="7" t="str">
        <f aca="false">IFERROR(INDEX('3. Costeo y Precios'!$B$14:$B$64,MATCH($B42,'3. Costeo y Precios'!$A$14:$A$64,0)),"")</f>
        <v/>
      </c>
      <c r="D42" s="11"/>
      <c r="E42" s="11"/>
      <c r="F42" s="9"/>
      <c r="G42" s="13" t="str">
        <f aca="false">IF($B42="","",E42*F42)</f>
        <v/>
      </c>
      <c r="H42" s="13" t="n">
        <f aca="false">IFERROR(INDEX('3. Costeo y Precios'!$M$14:$M$64,MATCH($B42,'3. Costeo y Precios'!$A$14:$A$64,0)),0)</f>
        <v>0</v>
      </c>
      <c r="I42" s="13" t="str">
        <f aca="false">IF($B42="","",E42*H42)</f>
        <v/>
      </c>
      <c r="J42" s="28"/>
      <c r="K42" s="13" t="str">
        <f aca="false">IF($B42="","",G42*J42)</f>
        <v/>
      </c>
      <c r="L42" s="13" t="str">
        <f aca="false">IF($B42="","",G42-I42-K42)</f>
        <v/>
      </c>
      <c r="M42" s="22" t="str">
        <f aca="false">IFERROR(L42/G42,"")</f>
        <v/>
      </c>
      <c r="N42" s="11"/>
    </row>
    <row r="43" customFormat="false" ht="15" hidden="false" customHeight="false" outlineLevel="0" collapsed="false">
      <c r="A43" s="27"/>
      <c r="B43" s="11"/>
      <c r="C43" s="7" t="str">
        <f aca="false">IFERROR(INDEX('3. Costeo y Precios'!$B$14:$B$64,MATCH($B43,'3. Costeo y Precios'!$A$14:$A$64,0)),"")</f>
        <v/>
      </c>
      <c r="D43" s="11"/>
      <c r="E43" s="11"/>
      <c r="F43" s="9"/>
      <c r="G43" s="13" t="str">
        <f aca="false">IF($B43="","",E43*F43)</f>
        <v/>
      </c>
      <c r="H43" s="13" t="n">
        <f aca="false">IFERROR(INDEX('3. Costeo y Precios'!$M$14:$M$64,MATCH($B43,'3. Costeo y Precios'!$A$14:$A$64,0)),0)</f>
        <v>0</v>
      </c>
      <c r="I43" s="13" t="str">
        <f aca="false">IF($B43="","",E43*H43)</f>
        <v/>
      </c>
      <c r="J43" s="28"/>
      <c r="K43" s="13" t="str">
        <f aca="false">IF($B43="","",G43*J43)</f>
        <v/>
      </c>
      <c r="L43" s="13" t="str">
        <f aca="false">IF($B43="","",G43-I43-K43)</f>
        <v/>
      </c>
      <c r="M43" s="22" t="str">
        <f aca="false">IFERROR(L43/G43,"")</f>
        <v/>
      </c>
      <c r="N43" s="11"/>
    </row>
    <row r="44" customFormat="false" ht="15" hidden="false" customHeight="false" outlineLevel="0" collapsed="false">
      <c r="A44" s="27"/>
      <c r="B44" s="11"/>
      <c r="C44" s="7" t="str">
        <f aca="false">IFERROR(INDEX('3. Costeo y Precios'!$B$14:$B$64,MATCH($B44,'3. Costeo y Precios'!$A$14:$A$64,0)),"")</f>
        <v/>
      </c>
      <c r="D44" s="11"/>
      <c r="E44" s="11"/>
      <c r="F44" s="9"/>
      <c r="G44" s="13" t="str">
        <f aca="false">IF($B44="","",E44*F44)</f>
        <v/>
      </c>
      <c r="H44" s="13" t="n">
        <f aca="false">IFERROR(INDEX('3. Costeo y Precios'!$M$14:$M$64,MATCH($B44,'3. Costeo y Precios'!$A$14:$A$64,0)),0)</f>
        <v>0</v>
      </c>
      <c r="I44" s="13" t="str">
        <f aca="false">IF($B44="","",E44*H44)</f>
        <v/>
      </c>
      <c r="J44" s="28"/>
      <c r="K44" s="13" t="str">
        <f aca="false">IF($B44="","",G44*J44)</f>
        <v/>
      </c>
      <c r="L44" s="13" t="str">
        <f aca="false">IF($B44="","",G44-I44-K44)</f>
        <v/>
      </c>
      <c r="M44" s="22" t="str">
        <f aca="false">IFERROR(L44/G44,"")</f>
        <v/>
      </c>
      <c r="N44" s="11"/>
    </row>
    <row r="45" customFormat="false" ht="15" hidden="false" customHeight="false" outlineLevel="0" collapsed="false">
      <c r="A45" s="27"/>
      <c r="B45" s="11"/>
      <c r="C45" s="7" t="str">
        <f aca="false">IFERROR(INDEX('3. Costeo y Precios'!$B$14:$B$64,MATCH($B45,'3. Costeo y Precios'!$A$14:$A$64,0)),"")</f>
        <v/>
      </c>
      <c r="D45" s="11"/>
      <c r="E45" s="11"/>
      <c r="F45" s="9"/>
      <c r="G45" s="13" t="str">
        <f aca="false">IF($B45="","",E45*F45)</f>
        <v/>
      </c>
      <c r="H45" s="13" t="n">
        <f aca="false">IFERROR(INDEX('3. Costeo y Precios'!$M$14:$M$64,MATCH($B45,'3. Costeo y Precios'!$A$14:$A$64,0)),0)</f>
        <v>0</v>
      </c>
      <c r="I45" s="13" t="str">
        <f aca="false">IF($B45="","",E45*H45)</f>
        <v/>
      </c>
      <c r="J45" s="28"/>
      <c r="K45" s="13" t="str">
        <f aca="false">IF($B45="","",G45*J45)</f>
        <v/>
      </c>
      <c r="L45" s="13" t="str">
        <f aca="false">IF($B45="","",G45-I45-K45)</f>
        <v/>
      </c>
      <c r="M45" s="22" t="str">
        <f aca="false">IFERROR(L45/G45,"")</f>
        <v/>
      </c>
      <c r="N45" s="11"/>
    </row>
    <row r="46" customFormat="false" ht="15" hidden="false" customHeight="false" outlineLevel="0" collapsed="false">
      <c r="A46" s="27"/>
      <c r="B46" s="11"/>
      <c r="C46" s="7" t="str">
        <f aca="false">IFERROR(INDEX('3. Costeo y Precios'!$B$14:$B$64,MATCH($B46,'3. Costeo y Precios'!$A$14:$A$64,0)),"")</f>
        <v/>
      </c>
      <c r="D46" s="11"/>
      <c r="E46" s="11"/>
      <c r="F46" s="9"/>
      <c r="G46" s="13" t="str">
        <f aca="false">IF($B46="","",E46*F46)</f>
        <v/>
      </c>
      <c r="H46" s="13" t="n">
        <f aca="false">IFERROR(INDEX('3. Costeo y Precios'!$M$14:$M$64,MATCH($B46,'3. Costeo y Precios'!$A$14:$A$64,0)),0)</f>
        <v>0</v>
      </c>
      <c r="I46" s="13" t="str">
        <f aca="false">IF($B46="","",E46*H46)</f>
        <v/>
      </c>
      <c r="J46" s="28"/>
      <c r="K46" s="13" t="str">
        <f aca="false">IF($B46="","",G46*J46)</f>
        <v/>
      </c>
      <c r="L46" s="13" t="str">
        <f aca="false">IF($B46="","",G46-I46-K46)</f>
        <v/>
      </c>
      <c r="M46" s="22" t="str">
        <f aca="false">IFERROR(L46/G46,"")</f>
        <v/>
      </c>
      <c r="N46" s="11"/>
    </row>
    <row r="47" customFormat="false" ht="15" hidden="false" customHeight="false" outlineLevel="0" collapsed="false">
      <c r="A47" s="27"/>
      <c r="B47" s="11"/>
      <c r="C47" s="7" t="str">
        <f aca="false">IFERROR(INDEX('3. Costeo y Precios'!$B$14:$B$64,MATCH($B47,'3. Costeo y Precios'!$A$14:$A$64,0)),"")</f>
        <v/>
      </c>
      <c r="D47" s="11"/>
      <c r="E47" s="11"/>
      <c r="F47" s="9"/>
      <c r="G47" s="13" t="str">
        <f aca="false">IF($B47="","",E47*F47)</f>
        <v/>
      </c>
      <c r="H47" s="13" t="n">
        <f aca="false">IFERROR(INDEX('3. Costeo y Precios'!$M$14:$M$64,MATCH($B47,'3. Costeo y Precios'!$A$14:$A$64,0)),0)</f>
        <v>0</v>
      </c>
      <c r="I47" s="13" t="str">
        <f aca="false">IF($B47="","",E47*H47)</f>
        <v/>
      </c>
      <c r="J47" s="28"/>
      <c r="K47" s="13" t="str">
        <f aca="false">IF($B47="","",G47*J47)</f>
        <v/>
      </c>
      <c r="L47" s="13" t="str">
        <f aca="false">IF($B47="","",G47-I47-K47)</f>
        <v/>
      </c>
      <c r="M47" s="22" t="str">
        <f aca="false">IFERROR(L47/G47,"")</f>
        <v/>
      </c>
      <c r="N47" s="11"/>
    </row>
    <row r="48" customFormat="false" ht="15" hidden="false" customHeight="false" outlineLevel="0" collapsed="false">
      <c r="A48" s="27"/>
      <c r="B48" s="11"/>
      <c r="C48" s="7" t="str">
        <f aca="false">IFERROR(INDEX('3. Costeo y Precios'!$B$14:$B$64,MATCH($B48,'3. Costeo y Precios'!$A$14:$A$64,0)),"")</f>
        <v/>
      </c>
      <c r="D48" s="11"/>
      <c r="E48" s="11"/>
      <c r="F48" s="9"/>
      <c r="G48" s="13" t="str">
        <f aca="false">IF($B48="","",E48*F48)</f>
        <v/>
      </c>
      <c r="H48" s="13" t="n">
        <f aca="false">IFERROR(INDEX('3. Costeo y Precios'!$M$14:$M$64,MATCH($B48,'3. Costeo y Precios'!$A$14:$A$64,0)),0)</f>
        <v>0</v>
      </c>
      <c r="I48" s="13" t="str">
        <f aca="false">IF($B48="","",E48*H48)</f>
        <v/>
      </c>
      <c r="J48" s="28"/>
      <c r="K48" s="13" t="str">
        <f aca="false">IF($B48="","",G48*J48)</f>
        <v/>
      </c>
      <c r="L48" s="13" t="str">
        <f aca="false">IF($B48="","",G48-I48-K48)</f>
        <v/>
      </c>
      <c r="M48" s="22" t="str">
        <f aca="false">IFERROR(L48/G48,"")</f>
        <v/>
      </c>
      <c r="N48" s="11"/>
    </row>
    <row r="49" customFormat="false" ht="15" hidden="false" customHeight="false" outlineLevel="0" collapsed="false">
      <c r="A49" s="27"/>
      <c r="B49" s="11"/>
      <c r="C49" s="7" t="str">
        <f aca="false">IFERROR(INDEX('3. Costeo y Precios'!$B$14:$B$64,MATCH($B49,'3. Costeo y Precios'!$A$14:$A$64,0)),"")</f>
        <v/>
      </c>
      <c r="D49" s="11"/>
      <c r="E49" s="11"/>
      <c r="F49" s="9"/>
      <c r="G49" s="13" t="str">
        <f aca="false">IF($B49="","",E49*F49)</f>
        <v/>
      </c>
      <c r="H49" s="13" t="n">
        <f aca="false">IFERROR(INDEX('3. Costeo y Precios'!$M$14:$M$64,MATCH($B49,'3. Costeo y Precios'!$A$14:$A$64,0)),0)</f>
        <v>0</v>
      </c>
      <c r="I49" s="13" t="str">
        <f aca="false">IF($B49="","",E49*H49)</f>
        <v/>
      </c>
      <c r="J49" s="28"/>
      <c r="K49" s="13" t="str">
        <f aca="false">IF($B49="","",G49*J49)</f>
        <v/>
      </c>
      <c r="L49" s="13" t="str">
        <f aca="false">IF($B49="","",G49-I49-K49)</f>
        <v/>
      </c>
      <c r="M49" s="22" t="str">
        <f aca="false">IFERROR(L49/G49,"")</f>
        <v/>
      </c>
      <c r="N49" s="11"/>
    </row>
    <row r="50" customFormat="false" ht="15" hidden="false" customHeight="false" outlineLevel="0" collapsed="false">
      <c r="A50" s="27"/>
      <c r="B50" s="11"/>
      <c r="C50" s="7" t="str">
        <f aca="false">IFERROR(INDEX('3. Costeo y Precios'!$B$14:$B$64,MATCH($B50,'3. Costeo y Precios'!$A$14:$A$64,0)),"")</f>
        <v/>
      </c>
      <c r="D50" s="11"/>
      <c r="E50" s="11"/>
      <c r="F50" s="9"/>
      <c r="G50" s="13" t="str">
        <f aca="false">IF($B50="","",E50*F50)</f>
        <v/>
      </c>
      <c r="H50" s="13" t="n">
        <f aca="false">IFERROR(INDEX('3. Costeo y Precios'!$M$14:$M$64,MATCH($B50,'3. Costeo y Precios'!$A$14:$A$64,0)),0)</f>
        <v>0</v>
      </c>
      <c r="I50" s="13" t="str">
        <f aca="false">IF($B50="","",E50*H50)</f>
        <v/>
      </c>
      <c r="J50" s="28"/>
      <c r="K50" s="13" t="str">
        <f aca="false">IF($B50="","",G50*J50)</f>
        <v/>
      </c>
      <c r="L50" s="13" t="str">
        <f aca="false">IF($B50="","",G50-I50-K50)</f>
        <v/>
      </c>
      <c r="M50" s="22" t="str">
        <f aca="false">IFERROR(L50/G50,"")</f>
        <v/>
      </c>
      <c r="N50" s="11"/>
    </row>
    <row r="51" customFormat="false" ht="15" hidden="false" customHeight="false" outlineLevel="0" collapsed="false">
      <c r="A51" s="27"/>
      <c r="B51" s="11"/>
      <c r="C51" s="7" t="str">
        <f aca="false">IFERROR(INDEX('3. Costeo y Precios'!$B$14:$B$64,MATCH($B51,'3. Costeo y Precios'!$A$14:$A$64,0)),"")</f>
        <v/>
      </c>
      <c r="D51" s="11"/>
      <c r="E51" s="11"/>
      <c r="F51" s="9"/>
      <c r="G51" s="13" t="str">
        <f aca="false">IF($B51="","",E51*F51)</f>
        <v/>
      </c>
      <c r="H51" s="13" t="n">
        <f aca="false">IFERROR(INDEX('3. Costeo y Precios'!$M$14:$M$64,MATCH($B51,'3. Costeo y Precios'!$A$14:$A$64,0)),0)</f>
        <v>0</v>
      </c>
      <c r="I51" s="13" t="str">
        <f aca="false">IF($B51="","",E51*H51)</f>
        <v/>
      </c>
      <c r="J51" s="28"/>
      <c r="K51" s="13" t="str">
        <f aca="false">IF($B51="","",G51*J51)</f>
        <v/>
      </c>
      <c r="L51" s="13" t="str">
        <f aca="false">IF($B51="","",G51-I51-K51)</f>
        <v/>
      </c>
      <c r="M51" s="22" t="str">
        <f aca="false">IFERROR(L51/G51,"")</f>
        <v/>
      </c>
      <c r="N51" s="11"/>
    </row>
    <row r="52" customFormat="false" ht="15" hidden="false" customHeight="false" outlineLevel="0" collapsed="false">
      <c r="A52" s="27"/>
      <c r="B52" s="11"/>
      <c r="C52" s="7" t="str">
        <f aca="false">IFERROR(INDEX('3. Costeo y Precios'!$B$14:$B$64,MATCH($B52,'3. Costeo y Precios'!$A$14:$A$64,0)),"")</f>
        <v/>
      </c>
      <c r="D52" s="11"/>
      <c r="E52" s="11"/>
      <c r="F52" s="9"/>
      <c r="G52" s="13" t="str">
        <f aca="false">IF($B52="","",E52*F52)</f>
        <v/>
      </c>
      <c r="H52" s="13" t="n">
        <f aca="false">IFERROR(INDEX('3. Costeo y Precios'!$M$14:$M$64,MATCH($B52,'3. Costeo y Precios'!$A$14:$A$64,0)),0)</f>
        <v>0</v>
      </c>
      <c r="I52" s="13" t="str">
        <f aca="false">IF($B52="","",E52*H52)</f>
        <v/>
      </c>
      <c r="J52" s="28"/>
      <c r="K52" s="13" t="str">
        <f aca="false">IF($B52="","",G52*J52)</f>
        <v/>
      </c>
      <c r="L52" s="13" t="str">
        <f aca="false">IF($B52="","",G52-I52-K52)</f>
        <v/>
      </c>
      <c r="M52" s="22" t="str">
        <f aca="false">IFERROR(L52/G52,"")</f>
        <v/>
      </c>
      <c r="N52" s="11"/>
    </row>
    <row r="53" customFormat="false" ht="15" hidden="false" customHeight="false" outlineLevel="0" collapsed="false">
      <c r="A53" s="27"/>
      <c r="B53" s="11"/>
      <c r="C53" s="7" t="str">
        <f aca="false">IFERROR(INDEX('3. Costeo y Precios'!$B$14:$B$64,MATCH($B53,'3. Costeo y Precios'!$A$14:$A$64,0)),"")</f>
        <v/>
      </c>
      <c r="D53" s="11"/>
      <c r="E53" s="11"/>
      <c r="F53" s="9"/>
      <c r="G53" s="13" t="str">
        <f aca="false">IF($B53="","",E53*F53)</f>
        <v/>
      </c>
      <c r="H53" s="13" t="n">
        <f aca="false">IFERROR(INDEX('3. Costeo y Precios'!$M$14:$M$64,MATCH($B53,'3. Costeo y Precios'!$A$14:$A$64,0)),0)</f>
        <v>0</v>
      </c>
      <c r="I53" s="13" t="str">
        <f aca="false">IF($B53="","",E53*H53)</f>
        <v/>
      </c>
      <c r="J53" s="28"/>
      <c r="K53" s="13" t="str">
        <f aca="false">IF($B53="","",G53*J53)</f>
        <v/>
      </c>
      <c r="L53" s="13" t="str">
        <f aca="false">IF($B53="","",G53-I53-K53)</f>
        <v/>
      </c>
      <c r="M53" s="22" t="str">
        <f aca="false">IFERROR(L53/G53,"")</f>
        <v/>
      </c>
      <c r="N53" s="11"/>
    </row>
    <row r="54" customFormat="false" ht="15" hidden="false" customHeight="false" outlineLevel="0" collapsed="false">
      <c r="A54" s="27"/>
      <c r="B54" s="11"/>
      <c r="C54" s="7" t="str">
        <f aca="false">IFERROR(INDEX('3. Costeo y Precios'!$B$14:$B$64,MATCH($B54,'3. Costeo y Precios'!$A$14:$A$64,0)),"")</f>
        <v/>
      </c>
      <c r="D54" s="11"/>
      <c r="E54" s="11"/>
      <c r="F54" s="9"/>
      <c r="G54" s="13" t="str">
        <f aca="false">IF($B54="","",E54*F54)</f>
        <v/>
      </c>
      <c r="H54" s="13" t="n">
        <f aca="false">IFERROR(INDEX('3. Costeo y Precios'!$M$14:$M$64,MATCH($B54,'3. Costeo y Precios'!$A$14:$A$64,0)),0)</f>
        <v>0</v>
      </c>
      <c r="I54" s="13" t="str">
        <f aca="false">IF($B54="","",E54*H54)</f>
        <v/>
      </c>
      <c r="J54" s="28"/>
      <c r="K54" s="13" t="str">
        <f aca="false">IF($B54="","",G54*J54)</f>
        <v/>
      </c>
      <c r="L54" s="13" t="str">
        <f aca="false">IF($B54="","",G54-I54-K54)</f>
        <v/>
      </c>
      <c r="M54" s="22" t="str">
        <f aca="false">IFERROR(L54/G54,"")</f>
        <v/>
      </c>
      <c r="N54" s="11"/>
    </row>
    <row r="55" customFormat="false" ht="15" hidden="false" customHeight="false" outlineLevel="0" collapsed="false">
      <c r="A55" s="27"/>
      <c r="B55" s="11"/>
      <c r="C55" s="7" t="str">
        <f aca="false">IFERROR(INDEX('3. Costeo y Precios'!$B$14:$B$64,MATCH($B55,'3. Costeo y Precios'!$A$14:$A$64,0)),"")</f>
        <v/>
      </c>
      <c r="D55" s="11"/>
      <c r="E55" s="11"/>
      <c r="F55" s="9"/>
      <c r="G55" s="13" t="str">
        <f aca="false">IF($B55="","",E55*F55)</f>
        <v/>
      </c>
      <c r="H55" s="13" t="n">
        <f aca="false">IFERROR(INDEX('3. Costeo y Precios'!$M$14:$M$64,MATCH($B55,'3. Costeo y Precios'!$A$14:$A$64,0)),0)</f>
        <v>0</v>
      </c>
      <c r="I55" s="13" t="str">
        <f aca="false">IF($B55="","",E55*H55)</f>
        <v/>
      </c>
      <c r="J55" s="28"/>
      <c r="K55" s="13" t="str">
        <f aca="false">IF($B55="","",G55*J55)</f>
        <v/>
      </c>
      <c r="L55" s="13" t="str">
        <f aca="false">IF($B55="","",G55-I55-K55)</f>
        <v/>
      </c>
      <c r="M55" s="22" t="str">
        <f aca="false">IFERROR(L55/G55,"")</f>
        <v/>
      </c>
      <c r="N55" s="11"/>
    </row>
    <row r="56" customFormat="false" ht="15" hidden="false" customHeight="false" outlineLevel="0" collapsed="false">
      <c r="A56" s="27"/>
      <c r="B56" s="11"/>
      <c r="C56" s="7" t="str">
        <f aca="false">IFERROR(INDEX('3. Costeo y Precios'!$B$14:$B$64,MATCH($B56,'3. Costeo y Precios'!$A$14:$A$64,0)),"")</f>
        <v/>
      </c>
      <c r="D56" s="11"/>
      <c r="E56" s="11"/>
      <c r="F56" s="9"/>
      <c r="G56" s="13" t="str">
        <f aca="false">IF($B56="","",E56*F56)</f>
        <v/>
      </c>
      <c r="H56" s="13" t="n">
        <f aca="false">IFERROR(INDEX('3. Costeo y Precios'!$M$14:$M$64,MATCH($B56,'3. Costeo y Precios'!$A$14:$A$64,0)),0)</f>
        <v>0</v>
      </c>
      <c r="I56" s="13" t="str">
        <f aca="false">IF($B56="","",E56*H56)</f>
        <v/>
      </c>
      <c r="J56" s="28"/>
      <c r="K56" s="13" t="str">
        <f aca="false">IF($B56="","",G56*J56)</f>
        <v/>
      </c>
      <c r="L56" s="13" t="str">
        <f aca="false">IF($B56="","",G56-I56-K56)</f>
        <v/>
      </c>
      <c r="M56" s="22" t="str">
        <f aca="false">IFERROR(L56/G56,"")</f>
        <v/>
      </c>
      <c r="N56" s="11"/>
    </row>
    <row r="57" customFormat="false" ht="15" hidden="false" customHeight="false" outlineLevel="0" collapsed="false">
      <c r="A57" s="27"/>
      <c r="B57" s="11"/>
      <c r="C57" s="7" t="str">
        <f aca="false">IFERROR(INDEX('3. Costeo y Precios'!$B$14:$B$64,MATCH($B57,'3. Costeo y Precios'!$A$14:$A$64,0)),"")</f>
        <v/>
      </c>
      <c r="D57" s="11"/>
      <c r="E57" s="11"/>
      <c r="F57" s="9"/>
      <c r="G57" s="13" t="str">
        <f aca="false">IF($B57="","",E57*F57)</f>
        <v/>
      </c>
      <c r="H57" s="13" t="n">
        <f aca="false">IFERROR(INDEX('3. Costeo y Precios'!$M$14:$M$64,MATCH($B57,'3. Costeo y Precios'!$A$14:$A$64,0)),0)</f>
        <v>0</v>
      </c>
      <c r="I57" s="13" t="str">
        <f aca="false">IF($B57="","",E57*H57)</f>
        <v/>
      </c>
      <c r="J57" s="28"/>
      <c r="K57" s="13" t="str">
        <f aca="false">IF($B57="","",G57*J57)</f>
        <v/>
      </c>
      <c r="L57" s="13" t="str">
        <f aca="false">IF($B57="","",G57-I57-K57)</f>
        <v/>
      </c>
      <c r="M57" s="22" t="str">
        <f aca="false">IFERROR(L57/G57,"")</f>
        <v/>
      </c>
      <c r="N57" s="11"/>
    </row>
    <row r="58" customFormat="false" ht="15" hidden="false" customHeight="false" outlineLevel="0" collapsed="false">
      <c r="A58" s="27"/>
      <c r="B58" s="11"/>
      <c r="C58" s="7" t="str">
        <f aca="false">IFERROR(INDEX('3. Costeo y Precios'!$B$14:$B$64,MATCH($B58,'3. Costeo y Precios'!$A$14:$A$64,0)),"")</f>
        <v/>
      </c>
      <c r="D58" s="11"/>
      <c r="E58" s="11"/>
      <c r="F58" s="9"/>
      <c r="G58" s="13" t="str">
        <f aca="false">IF($B58="","",E58*F58)</f>
        <v/>
      </c>
      <c r="H58" s="13" t="n">
        <f aca="false">IFERROR(INDEX('3. Costeo y Precios'!$M$14:$M$64,MATCH($B58,'3. Costeo y Precios'!$A$14:$A$64,0)),0)</f>
        <v>0</v>
      </c>
      <c r="I58" s="13" t="str">
        <f aca="false">IF($B58="","",E58*H58)</f>
        <v/>
      </c>
      <c r="J58" s="28"/>
      <c r="K58" s="13" t="str">
        <f aca="false">IF($B58="","",G58*J58)</f>
        <v/>
      </c>
      <c r="L58" s="13" t="str">
        <f aca="false">IF($B58="","",G58-I58-K58)</f>
        <v/>
      </c>
      <c r="M58" s="22" t="str">
        <f aca="false">IFERROR(L58/G58,"")</f>
        <v/>
      </c>
      <c r="N58" s="11"/>
    </row>
    <row r="59" customFormat="false" ht="15" hidden="false" customHeight="false" outlineLevel="0" collapsed="false">
      <c r="A59" s="27"/>
      <c r="B59" s="11"/>
      <c r="C59" s="7" t="str">
        <f aca="false">IFERROR(INDEX('3. Costeo y Precios'!$B$14:$B$64,MATCH($B59,'3. Costeo y Precios'!$A$14:$A$64,0)),"")</f>
        <v/>
      </c>
      <c r="D59" s="11"/>
      <c r="E59" s="11"/>
      <c r="F59" s="9"/>
      <c r="G59" s="13" t="str">
        <f aca="false">IF($B59="","",E59*F59)</f>
        <v/>
      </c>
      <c r="H59" s="13" t="n">
        <f aca="false">IFERROR(INDEX('3. Costeo y Precios'!$M$14:$M$64,MATCH($B59,'3. Costeo y Precios'!$A$14:$A$64,0)),0)</f>
        <v>0</v>
      </c>
      <c r="I59" s="13" t="str">
        <f aca="false">IF($B59="","",E59*H59)</f>
        <v/>
      </c>
      <c r="J59" s="28"/>
      <c r="K59" s="13" t="str">
        <f aca="false">IF($B59="","",G59*J59)</f>
        <v/>
      </c>
      <c r="L59" s="13" t="str">
        <f aca="false">IF($B59="","",G59-I59-K59)</f>
        <v/>
      </c>
      <c r="M59" s="22" t="str">
        <f aca="false">IFERROR(L59/G59,"")</f>
        <v/>
      </c>
      <c r="N59" s="11"/>
    </row>
    <row r="60" customFormat="false" ht="15" hidden="false" customHeight="false" outlineLevel="0" collapsed="false">
      <c r="A60" s="27"/>
      <c r="B60" s="11"/>
      <c r="C60" s="7" t="str">
        <f aca="false">IFERROR(INDEX('3. Costeo y Precios'!$B$14:$B$64,MATCH($B60,'3. Costeo y Precios'!$A$14:$A$64,0)),"")</f>
        <v/>
      </c>
      <c r="D60" s="11"/>
      <c r="E60" s="11"/>
      <c r="F60" s="9"/>
      <c r="G60" s="13" t="str">
        <f aca="false">IF($B60="","",E60*F60)</f>
        <v/>
      </c>
      <c r="H60" s="13" t="n">
        <f aca="false">IFERROR(INDEX('3. Costeo y Precios'!$M$14:$M$64,MATCH($B60,'3. Costeo y Precios'!$A$14:$A$64,0)),0)</f>
        <v>0</v>
      </c>
      <c r="I60" s="13" t="str">
        <f aca="false">IF($B60="","",E60*H60)</f>
        <v/>
      </c>
      <c r="J60" s="28"/>
      <c r="K60" s="13" t="str">
        <f aca="false">IF($B60="","",G60*J60)</f>
        <v/>
      </c>
      <c r="L60" s="13" t="str">
        <f aca="false">IF($B60="","",G60-I60-K60)</f>
        <v/>
      </c>
      <c r="M60" s="22" t="str">
        <f aca="false">IFERROR(L60/G60,"")</f>
        <v/>
      </c>
      <c r="N60" s="11"/>
    </row>
    <row r="61" customFormat="false" ht="15" hidden="false" customHeight="false" outlineLevel="0" collapsed="false">
      <c r="A61" s="27"/>
      <c r="B61" s="11"/>
      <c r="C61" s="7" t="str">
        <f aca="false">IFERROR(INDEX('3. Costeo y Precios'!$B$14:$B$64,MATCH($B61,'3. Costeo y Precios'!$A$14:$A$64,0)),"")</f>
        <v/>
      </c>
      <c r="D61" s="11"/>
      <c r="E61" s="11"/>
      <c r="F61" s="9"/>
      <c r="G61" s="13" t="str">
        <f aca="false">IF($B61="","",E61*F61)</f>
        <v/>
      </c>
      <c r="H61" s="13" t="n">
        <f aca="false">IFERROR(INDEX('3. Costeo y Precios'!$M$14:$M$64,MATCH($B61,'3. Costeo y Precios'!$A$14:$A$64,0)),0)</f>
        <v>0</v>
      </c>
      <c r="I61" s="13" t="str">
        <f aca="false">IF($B61="","",E61*H61)</f>
        <v/>
      </c>
      <c r="J61" s="28"/>
      <c r="K61" s="13" t="str">
        <f aca="false">IF($B61="","",G61*J61)</f>
        <v/>
      </c>
      <c r="L61" s="13" t="str">
        <f aca="false">IF($B61="","",G61-I61-K61)</f>
        <v/>
      </c>
      <c r="M61" s="22" t="str">
        <f aca="false">IFERROR(L61/G61,"")</f>
        <v/>
      </c>
      <c r="N61" s="11"/>
    </row>
    <row r="62" customFormat="false" ht="15" hidden="false" customHeight="false" outlineLevel="0" collapsed="false">
      <c r="A62" s="27"/>
      <c r="B62" s="11"/>
      <c r="C62" s="7" t="str">
        <f aca="false">IFERROR(INDEX('3. Costeo y Precios'!$B$14:$B$64,MATCH($B62,'3. Costeo y Precios'!$A$14:$A$64,0)),"")</f>
        <v/>
      </c>
      <c r="D62" s="11"/>
      <c r="E62" s="11"/>
      <c r="F62" s="9"/>
      <c r="G62" s="13" t="str">
        <f aca="false">IF($B62="","",E62*F62)</f>
        <v/>
      </c>
      <c r="H62" s="13" t="n">
        <f aca="false">IFERROR(INDEX('3. Costeo y Precios'!$M$14:$M$64,MATCH($B62,'3. Costeo y Precios'!$A$14:$A$64,0)),0)</f>
        <v>0</v>
      </c>
      <c r="I62" s="13" t="str">
        <f aca="false">IF($B62="","",E62*H62)</f>
        <v/>
      </c>
      <c r="J62" s="28"/>
      <c r="K62" s="13" t="str">
        <f aca="false">IF($B62="","",G62*J62)</f>
        <v/>
      </c>
      <c r="L62" s="13" t="str">
        <f aca="false">IF($B62="","",G62-I62-K62)</f>
        <v/>
      </c>
      <c r="M62" s="22" t="str">
        <f aca="false">IFERROR(L62/G62,"")</f>
        <v/>
      </c>
      <c r="N62" s="11"/>
    </row>
    <row r="63" customFormat="false" ht="15" hidden="false" customHeight="false" outlineLevel="0" collapsed="false">
      <c r="A63" s="27"/>
      <c r="B63" s="11"/>
      <c r="C63" s="7" t="str">
        <f aca="false">IFERROR(INDEX('3. Costeo y Precios'!$B$14:$B$64,MATCH($B63,'3. Costeo y Precios'!$A$14:$A$64,0)),"")</f>
        <v/>
      </c>
      <c r="D63" s="11"/>
      <c r="E63" s="11"/>
      <c r="F63" s="9"/>
      <c r="G63" s="13" t="str">
        <f aca="false">IF($B63="","",E63*F63)</f>
        <v/>
      </c>
      <c r="H63" s="13" t="n">
        <f aca="false">IFERROR(INDEX('3. Costeo y Precios'!$M$14:$M$64,MATCH($B63,'3. Costeo y Precios'!$A$14:$A$64,0)),0)</f>
        <v>0</v>
      </c>
      <c r="I63" s="13" t="str">
        <f aca="false">IF($B63="","",E63*H63)</f>
        <v/>
      </c>
      <c r="J63" s="28"/>
      <c r="K63" s="13" t="str">
        <f aca="false">IF($B63="","",G63*J63)</f>
        <v/>
      </c>
      <c r="L63" s="13" t="str">
        <f aca="false">IF($B63="","",G63-I63-K63)</f>
        <v/>
      </c>
      <c r="M63" s="22" t="str">
        <f aca="false">IFERROR(L63/G63,"")</f>
        <v/>
      </c>
      <c r="N63" s="11"/>
    </row>
    <row r="64" customFormat="false" ht="15" hidden="false" customHeight="false" outlineLevel="0" collapsed="false">
      <c r="A64" s="27"/>
      <c r="B64" s="11"/>
      <c r="C64" s="7" t="str">
        <f aca="false">IFERROR(INDEX('3. Costeo y Precios'!$B$14:$B$64,MATCH($B64,'3. Costeo y Precios'!$A$14:$A$64,0)),"")</f>
        <v/>
      </c>
      <c r="D64" s="11"/>
      <c r="E64" s="11"/>
      <c r="F64" s="9"/>
      <c r="G64" s="13" t="str">
        <f aca="false">IF($B64="","",E64*F64)</f>
        <v/>
      </c>
      <c r="H64" s="13" t="n">
        <f aca="false">IFERROR(INDEX('3. Costeo y Precios'!$M$14:$M$64,MATCH($B64,'3. Costeo y Precios'!$A$14:$A$64,0)),0)</f>
        <v>0</v>
      </c>
      <c r="I64" s="13" t="str">
        <f aca="false">IF($B64="","",E64*H64)</f>
        <v/>
      </c>
      <c r="J64" s="28"/>
      <c r="K64" s="13" t="str">
        <f aca="false">IF($B64="","",G64*J64)</f>
        <v/>
      </c>
      <c r="L64" s="13" t="str">
        <f aca="false">IF($B64="","",G64-I64-K64)</f>
        <v/>
      </c>
      <c r="M64" s="22" t="str">
        <f aca="false">IFERROR(L64/G64,"")</f>
        <v/>
      </c>
      <c r="N64" s="11"/>
    </row>
    <row r="65" customFormat="false" ht="15" hidden="false" customHeight="false" outlineLevel="0" collapsed="false">
      <c r="A65" s="27"/>
      <c r="B65" s="11"/>
      <c r="C65" s="7" t="str">
        <f aca="false">IFERROR(INDEX('3. Costeo y Precios'!$B$14:$B$64,MATCH($B65,'3. Costeo y Precios'!$A$14:$A$64,0)),"")</f>
        <v/>
      </c>
      <c r="D65" s="11"/>
      <c r="E65" s="11"/>
      <c r="F65" s="9"/>
      <c r="G65" s="13" t="str">
        <f aca="false">IF($B65="","",E65*F65)</f>
        <v/>
      </c>
      <c r="H65" s="13" t="n">
        <f aca="false">IFERROR(INDEX('3. Costeo y Precios'!$M$14:$M$64,MATCH($B65,'3. Costeo y Precios'!$A$14:$A$64,0)),0)</f>
        <v>0</v>
      </c>
      <c r="I65" s="13" t="str">
        <f aca="false">IF($B65="","",E65*H65)</f>
        <v/>
      </c>
      <c r="J65" s="28"/>
      <c r="K65" s="13" t="str">
        <f aca="false">IF($B65="","",G65*J65)</f>
        <v/>
      </c>
      <c r="L65" s="13" t="str">
        <f aca="false">IF($B65="","",G65-I65-K65)</f>
        <v/>
      </c>
      <c r="M65" s="22" t="str">
        <f aca="false">IFERROR(L65/G65,"")</f>
        <v/>
      </c>
      <c r="N65" s="11"/>
    </row>
    <row r="66" customFormat="false" ht="15" hidden="false" customHeight="false" outlineLevel="0" collapsed="false">
      <c r="A66" s="27"/>
      <c r="B66" s="11"/>
      <c r="C66" s="7" t="str">
        <f aca="false">IFERROR(INDEX('3. Costeo y Precios'!$B$14:$B$64,MATCH($B66,'3. Costeo y Precios'!$A$14:$A$64,0)),"")</f>
        <v/>
      </c>
      <c r="D66" s="11"/>
      <c r="E66" s="11"/>
      <c r="F66" s="9"/>
      <c r="G66" s="13" t="str">
        <f aca="false">IF($B66="","",E66*F66)</f>
        <v/>
      </c>
      <c r="H66" s="13" t="n">
        <f aca="false">IFERROR(INDEX('3. Costeo y Precios'!$M$14:$M$64,MATCH($B66,'3. Costeo y Precios'!$A$14:$A$64,0)),0)</f>
        <v>0</v>
      </c>
      <c r="I66" s="13" t="str">
        <f aca="false">IF($B66="","",E66*H66)</f>
        <v/>
      </c>
      <c r="J66" s="28"/>
      <c r="K66" s="13" t="str">
        <f aca="false">IF($B66="","",G66*J66)</f>
        <v/>
      </c>
      <c r="L66" s="13" t="str">
        <f aca="false">IF($B66="","",G66-I66-K66)</f>
        <v/>
      </c>
      <c r="M66" s="22" t="str">
        <f aca="false">IFERROR(L66/G66,"")</f>
        <v/>
      </c>
      <c r="N66" s="11"/>
    </row>
    <row r="67" customFormat="false" ht="15" hidden="false" customHeight="false" outlineLevel="0" collapsed="false">
      <c r="A67" s="27"/>
      <c r="B67" s="11"/>
      <c r="C67" s="7" t="str">
        <f aca="false">IFERROR(INDEX('3. Costeo y Precios'!$B$14:$B$64,MATCH($B67,'3. Costeo y Precios'!$A$14:$A$64,0)),"")</f>
        <v/>
      </c>
      <c r="D67" s="11"/>
      <c r="E67" s="11"/>
      <c r="F67" s="9"/>
      <c r="G67" s="13" t="str">
        <f aca="false">IF($B67="","",E67*F67)</f>
        <v/>
      </c>
      <c r="H67" s="13" t="n">
        <f aca="false">IFERROR(INDEX('3. Costeo y Precios'!$M$14:$M$64,MATCH($B67,'3. Costeo y Precios'!$A$14:$A$64,0)),0)</f>
        <v>0</v>
      </c>
      <c r="I67" s="13" t="str">
        <f aca="false">IF($B67="","",E67*H67)</f>
        <v/>
      </c>
      <c r="J67" s="28"/>
      <c r="K67" s="13" t="str">
        <f aca="false">IF($B67="","",G67*J67)</f>
        <v/>
      </c>
      <c r="L67" s="13" t="str">
        <f aca="false">IF($B67="","",G67-I67-K67)</f>
        <v/>
      </c>
      <c r="M67" s="22" t="str">
        <f aca="false">IFERROR(L67/G67,"")</f>
        <v/>
      </c>
      <c r="N67" s="11"/>
    </row>
    <row r="68" customFormat="false" ht="15" hidden="false" customHeight="false" outlineLevel="0" collapsed="false">
      <c r="A68" s="27"/>
      <c r="B68" s="11"/>
      <c r="C68" s="7" t="str">
        <f aca="false">IFERROR(INDEX('3. Costeo y Precios'!$B$14:$B$64,MATCH($B68,'3. Costeo y Precios'!$A$14:$A$64,0)),"")</f>
        <v/>
      </c>
      <c r="D68" s="11"/>
      <c r="E68" s="11"/>
      <c r="F68" s="9"/>
      <c r="G68" s="13" t="str">
        <f aca="false">IF($B68="","",E68*F68)</f>
        <v/>
      </c>
      <c r="H68" s="13" t="n">
        <f aca="false">IFERROR(INDEX('3. Costeo y Precios'!$M$14:$M$64,MATCH($B68,'3. Costeo y Precios'!$A$14:$A$64,0)),0)</f>
        <v>0</v>
      </c>
      <c r="I68" s="13" t="str">
        <f aca="false">IF($B68="","",E68*H68)</f>
        <v/>
      </c>
      <c r="J68" s="28"/>
      <c r="K68" s="13" t="str">
        <f aca="false">IF($B68="","",G68*J68)</f>
        <v/>
      </c>
      <c r="L68" s="13" t="str">
        <f aca="false">IF($B68="","",G68-I68-K68)</f>
        <v/>
      </c>
      <c r="M68" s="22" t="str">
        <f aca="false">IFERROR(L68/G68,"")</f>
        <v/>
      </c>
      <c r="N68" s="11"/>
    </row>
    <row r="69" customFormat="false" ht="15" hidden="false" customHeight="false" outlineLevel="0" collapsed="false">
      <c r="A69" s="27"/>
      <c r="B69" s="11"/>
      <c r="C69" s="7" t="str">
        <f aca="false">IFERROR(INDEX('3. Costeo y Precios'!$B$14:$B$64,MATCH($B69,'3. Costeo y Precios'!$A$14:$A$64,0)),"")</f>
        <v/>
      </c>
      <c r="D69" s="11"/>
      <c r="E69" s="11"/>
      <c r="F69" s="9"/>
      <c r="G69" s="13" t="str">
        <f aca="false">IF($B69="","",E69*F69)</f>
        <v/>
      </c>
      <c r="H69" s="13" t="n">
        <f aca="false">IFERROR(INDEX('3. Costeo y Precios'!$M$14:$M$64,MATCH($B69,'3. Costeo y Precios'!$A$14:$A$64,0)),0)</f>
        <v>0</v>
      </c>
      <c r="I69" s="13" t="str">
        <f aca="false">IF($B69="","",E69*H69)</f>
        <v/>
      </c>
      <c r="J69" s="28"/>
      <c r="K69" s="13" t="str">
        <f aca="false">IF($B69="","",G69*J69)</f>
        <v/>
      </c>
      <c r="L69" s="13" t="str">
        <f aca="false">IF($B69="","",G69-I69-K69)</f>
        <v/>
      </c>
      <c r="M69" s="22" t="str">
        <f aca="false">IFERROR(L69/G69,"")</f>
        <v/>
      </c>
      <c r="N69" s="11"/>
    </row>
    <row r="70" customFormat="false" ht="15" hidden="false" customHeight="false" outlineLevel="0" collapsed="false">
      <c r="A70" s="27"/>
      <c r="B70" s="11"/>
      <c r="C70" s="7" t="str">
        <f aca="false">IFERROR(INDEX('3. Costeo y Precios'!$B$14:$B$64,MATCH($B70,'3. Costeo y Precios'!$A$14:$A$64,0)),"")</f>
        <v/>
      </c>
      <c r="D70" s="11"/>
      <c r="E70" s="11"/>
      <c r="F70" s="9"/>
      <c r="G70" s="13" t="str">
        <f aca="false">IF($B70="","",E70*F70)</f>
        <v/>
      </c>
      <c r="H70" s="13" t="n">
        <f aca="false">IFERROR(INDEX('3. Costeo y Precios'!$M$14:$M$64,MATCH($B70,'3. Costeo y Precios'!$A$14:$A$64,0)),0)</f>
        <v>0</v>
      </c>
      <c r="I70" s="13" t="str">
        <f aca="false">IF($B70="","",E70*H70)</f>
        <v/>
      </c>
      <c r="J70" s="28"/>
      <c r="K70" s="13" t="str">
        <f aca="false">IF($B70="","",G70*J70)</f>
        <v/>
      </c>
      <c r="L70" s="13" t="str">
        <f aca="false">IF($B70="","",G70-I70-K70)</f>
        <v/>
      </c>
      <c r="M70" s="22" t="str">
        <f aca="false">IFERROR(L70/G70,"")</f>
        <v/>
      </c>
      <c r="N70" s="11"/>
    </row>
    <row r="71" customFormat="false" ht="15" hidden="false" customHeight="false" outlineLevel="0" collapsed="false">
      <c r="A71" s="27"/>
      <c r="B71" s="11"/>
      <c r="C71" s="7" t="str">
        <f aca="false">IFERROR(INDEX('3. Costeo y Precios'!$B$14:$B$64,MATCH($B71,'3. Costeo y Precios'!$A$14:$A$64,0)),"")</f>
        <v/>
      </c>
      <c r="D71" s="11"/>
      <c r="E71" s="11"/>
      <c r="F71" s="9"/>
      <c r="G71" s="13" t="str">
        <f aca="false">IF($B71="","",E71*F71)</f>
        <v/>
      </c>
      <c r="H71" s="13" t="n">
        <f aca="false">IFERROR(INDEX('3. Costeo y Precios'!$M$14:$M$64,MATCH($B71,'3. Costeo y Precios'!$A$14:$A$64,0)),0)</f>
        <v>0</v>
      </c>
      <c r="I71" s="13" t="str">
        <f aca="false">IF($B71="","",E71*H71)</f>
        <v/>
      </c>
      <c r="J71" s="28"/>
      <c r="K71" s="13" t="str">
        <f aca="false">IF($B71="","",G71*J71)</f>
        <v/>
      </c>
      <c r="L71" s="13" t="str">
        <f aca="false">IF($B71="","",G71-I71-K71)</f>
        <v/>
      </c>
      <c r="M71" s="22" t="str">
        <f aca="false">IFERROR(L71/G71,"")</f>
        <v/>
      </c>
      <c r="N71" s="11"/>
    </row>
    <row r="72" customFormat="false" ht="15" hidden="false" customHeight="false" outlineLevel="0" collapsed="false">
      <c r="A72" s="27"/>
      <c r="B72" s="11"/>
      <c r="C72" s="7" t="str">
        <f aca="false">IFERROR(INDEX('3. Costeo y Precios'!$B$14:$B$64,MATCH($B72,'3. Costeo y Precios'!$A$14:$A$64,0)),"")</f>
        <v/>
      </c>
      <c r="D72" s="11"/>
      <c r="E72" s="11"/>
      <c r="F72" s="9"/>
      <c r="G72" s="13" t="str">
        <f aca="false">IF($B72="","",E72*F72)</f>
        <v/>
      </c>
      <c r="H72" s="13" t="n">
        <f aca="false">IFERROR(INDEX('3. Costeo y Precios'!$M$14:$M$64,MATCH($B72,'3. Costeo y Precios'!$A$14:$A$64,0)),0)</f>
        <v>0</v>
      </c>
      <c r="I72" s="13" t="str">
        <f aca="false">IF($B72="","",E72*H72)</f>
        <v/>
      </c>
      <c r="J72" s="28"/>
      <c r="K72" s="13" t="str">
        <f aca="false">IF($B72="","",G72*J72)</f>
        <v/>
      </c>
      <c r="L72" s="13" t="str">
        <f aca="false">IF($B72="","",G72-I72-K72)</f>
        <v/>
      </c>
      <c r="M72" s="22" t="str">
        <f aca="false">IFERROR(L72/G72,"")</f>
        <v/>
      </c>
      <c r="N72" s="11"/>
    </row>
    <row r="73" customFormat="false" ht="15" hidden="false" customHeight="false" outlineLevel="0" collapsed="false">
      <c r="A73" s="27"/>
      <c r="B73" s="11"/>
      <c r="C73" s="7" t="str">
        <f aca="false">IFERROR(INDEX('3. Costeo y Precios'!$B$14:$B$64,MATCH($B73,'3. Costeo y Precios'!$A$14:$A$64,0)),"")</f>
        <v/>
      </c>
      <c r="D73" s="11"/>
      <c r="E73" s="11"/>
      <c r="F73" s="9"/>
      <c r="G73" s="13" t="str">
        <f aca="false">IF($B73="","",E73*F73)</f>
        <v/>
      </c>
      <c r="H73" s="13" t="n">
        <f aca="false">IFERROR(INDEX('3. Costeo y Precios'!$M$14:$M$64,MATCH($B73,'3. Costeo y Precios'!$A$14:$A$64,0)),0)</f>
        <v>0</v>
      </c>
      <c r="I73" s="13" t="str">
        <f aca="false">IF($B73="","",E73*H73)</f>
        <v/>
      </c>
      <c r="J73" s="28"/>
      <c r="K73" s="13" t="str">
        <f aca="false">IF($B73="","",G73*J73)</f>
        <v/>
      </c>
      <c r="L73" s="13" t="str">
        <f aca="false">IF($B73="","",G73-I73-K73)</f>
        <v/>
      </c>
      <c r="M73" s="22" t="str">
        <f aca="false">IFERROR(L73/G73,"")</f>
        <v/>
      </c>
      <c r="N73" s="11"/>
    </row>
    <row r="74" customFormat="false" ht="15" hidden="false" customHeight="false" outlineLevel="0" collapsed="false">
      <c r="A74" s="27"/>
      <c r="B74" s="11"/>
      <c r="C74" s="7" t="str">
        <f aca="false">IFERROR(INDEX('3. Costeo y Precios'!$B$14:$B$64,MATCH($B74,'3. Costeo y Precios'!$A$14:$A$64,0)),"")</f>
        <v/>
      </c>
      <c r="D74" s="11"/>
      <c r="E74" s="11"/>
      <c r="F74" s="9"/>
      <c r="G74" s="13" t="str">
        <f aca="false">IF($B74="","",E74*F74)</f>
        <v/>
      </c>
      <c r="H74" s="13" t="n">
        <f aca="false">IFERROR(INDEX('3. Costeo y Precios'!$M$14:$M$64,MATCH($B74,'3. Costeo y Precios'!$A$14:$A$64,0)),0)</f>
        <v>0</v>
      </c>
      <c r="I74" s="13" t="str">
        <f aca="false">IF($B74="","",E74*H74)</f>
        <v/>
      </c>
      <c r="J74" s="28"/>
      <c r="K74" s="13" t="str">
        <f aca="false">IF($B74="","",G74*J74)</f>
        <v/>
      </c>
      <c r="L74" s="13" t="str">
        <f aca="false">IF($B74="","",G74-I74-K74)</f>
        <v/>
      </c>
      <c r="M74" s="22" t="str">
        <f aca="false">IFERROR(L74/G74,"")</f>
        <v/>
      </c>
      <c r="N74" s="11"/>
    </row>
    <row r="75" customFormat="false" ht="15" hidden="false" customHeight="false" outlineLevel="0" collapsed="false">
      <c r="A75" s="27"/>
      <c r="B75" s="11"/>
      <c r="C75" s="7" t="str">
        <f aca="false">IFERROR(INDEX('3. Costeo y Precios'!$B$14:$B$64,MATCH($B75,'3. Costeo y Precios'!$A$14:$A$64,0)),"")</f>
        <v/>
      </c>
      <c r="D75" s="11"/>
      <c r="E75" s="11"/>
      <c r="F75" s="9"/>
      <c r="G75" s="13" t="str">
        <f aca="false">IF($B75="","",E75*F75)</f>
        <v/>
      </c>
      <c r="H75" s="13" t="n">
        <f aca="false">IFERROR(INDEX('3. Costeo y Precios'!$M$14:$M$64,MATCH($B75,'3. Costeo y Precios'!$A$14:$A$64,0)),0)</f>
        <v>0</v>
      </c>
      <c r="I75" s="13" t="str">
        <f aca="false">IF($B75="","",E75*H75)</f>
        <v/>
      </c>
      <c r="J75" s="28"/>
      <c r="K75" s="13" t="str">
        <f aca="false">IF($B75="","",G75*J75)</f>
        <v/>
      </c>
      <c r="L75" s="13" t="str">
        <f aca="false">IF($B75="","",G75-I75-K75)</f>
        <v/>
      </c>
      <c r="M75" s="22" t="str">
        <f aca="false">IFERROR(L75/G75,"")</f>
        <v/>
      </c>
      <c r="N75" s="11"/>
    </row>
    <row r="76" customFormat="false" ht="15" hidden="false" customHeight="false" outlineLevel="0" collapsed="false">
      <c r="A76" s="27"/>
      <c r="B76" s="11"/>
      <c r="C76" s="7" t="str">
        <f aca="false">IFERROR(INDEX('3. Costeo y Precios'!$B$14:$B$64,MATCH($B76,'3. Costeo y Precios'!$A$14:$A$64,0)),"")</f>
        <v/>
      </c>
      <c r="D76" s="11"/>
      <c r="E76" s="11"/>
      <c r="F76" s="9"/>
      <c r="G76" s="13" t="str">
        <f aca="false">IF($B76="","",E76*F76)</f>
        <v/>
      </c>
      <c r="H76" s="13" t="n">
        <f aca="false">IFERROR(INDEX('3. Costeo y Precios'!$M$14:$M$64,MATCH($B76,'3. Costeo y Precios'!$A$14:$A$64,0)),0)</f>
        <v>0</v>
      </c>
      <c r="I76" s="13" t="str">
        <f aca="false">IF($B76="","",E76*H76)</f>
        <v/>
      </c>
      <c r="J76" s="28"/>
      <c r="K76" s="13" t="str">
        <f aca="false">IF($B76="","",G76*J76)</f>
        <v/>
      </c>
      <c r="L76" s="13" t="str">
        <f aca="false">IF($B76="","",G76-I76-K76)</f>
        <v/>
      </c>
      <c r="M76" s="22" t="str">
        <f aca="false">IFERROR(L76/G76,"")</f>
        <v/>
      </c>
      <c r="N76" s="11"/>
    </row>
    <row r="77" customFormat="false" ht="15" hidden="false" customHeight="false" outlineLevel="0" collapsed="false">
      <c r="A77" s="27"/>
      <c r="B77" s="11"/>
      <c r="C77" s="7" t="str">
        <f aca="false">IFERROR(INDEX('3. Costeo y Precios'!$B$14:$B$64,MATCH($B77,'3. Costeo y Precios'!$A$14:$A$64,0)),"")</f>
        <v/>
      </c>
      <c r="D77" s="11"/>
      <c r="E77" s="11"/>
      <c r="F77" s="9"/>
      <c r="G77" s="13" t="str">
        <f aca="false">IF($B77="","",E77*F77)</f>
        <v/>
      </c>
      <c r="H77" s="13" t="n">
        <f aca="false">IFERROR(INDEX('3. Costeo y Precios'!$M$14:$M$64,MATCH($B77,'3. Costeo y Precios'!$A$14:$A$64,0)),0)</f>
        <v>0</v>
      </c>
      <c r="I77" s="13" t="str">
        <f aca="false">IF($B77="","",E77*H77)</f>
        <v/>
      </c>
      <c r="J77" s="28"/>
      <c r="K77" s="13" t="str">
        <f aca="false">IF($B77="","",G77*J77)</f>
        <v/>
      </c>
      <c r="L77" s="13" t="str">
        <f aca="false">IF($B77="","",G77-I77-K77)</f>
        <v/>
      </c>
      <c r="M77" s="22" t="str">
        <f aca="false">IFERROR(L77/G77,"")</f>
        <v/>
      </c>
      <c r="N77" s="11"/>
    </row>
    <row r="78" customFormat="false" ht="15" hidden="false" customHeight="false" outlineLevel="0" collapsed="false">
      <c r="A78" s="27"/>
      <c r="B78" s="11"/>
      <c r="C78" s="7" t="str">
        <f aca="false">IFERROR(INDEX('3. Costeo y Precios'!$B$14:$B$64,MATCH($B78,'3. Costeo y Precios'!$A$14:$A$64,0)),"")</f>
        <v/>
      </c>
      <c r="D78" s="11"/>
      <c r="E78" s="11"/>
      <c r="F78" s="9"/>
      <c r="G78" s="13" t="str">
        <f aca="false">IF($B78="","",E78*F78)</f>
        <v/>
      </c>
      <c r="H78" s="13" t="n">
        <f aca="false">IFERROR(INDEX('3. Costeo y Precios'!$M$14:$M$64,MATCH($B78,'3. Costeo y Precios'!$A$14:$A$64,0)),0)</f>
        <v>0</v>
      </c>
      <c r="I78" s="13" t="str">
        <f aca="false">IF($B78="","",E78*H78)</f>
        <v/>
      </c>
      <c r="J78" s="28"/>
      <c r="K78" s="13" t="str">
        <f aca="false">IF($B78="","",G78*J78)</f>
        <v/>
      </c>
      <c r="L78" s="13" t="str">
        <f aca="false">IF($B78="","",G78-I78-K78)</f>
        <v/>
      </c>
      <c r="M78" s="22" t="str">
        <f aca="false">IFERROR(L78/G78,"")</f>
        <v/>
      </c>
      <c r="N78" s="11"/>
    </row>
    <row r="79" customFormat="false" ht="15" hidden="false" customHeight="false" outlineLevel="0" collapsed="false">
      <c r="A79" s="27"/>
      <c r="B79" s="11"/>
      <c r="C79" s="7" t="str">
        <f aca="false">IFERROR(INDEX('3. Costeo y Precios'!$B$14:$B$64,MATCH($B79,'3. Costeo y Precios'!$A$14:$A$64,0)),"")</f>
        <v/>
      </c>
      <c r="D79" s="11"/>
      <c r="E79" s="11"/>
      <c r="F79" s="9"/>
      <c r="G79" s="13" t="str">
        <f aca="false">IF($B79="","",E79*F79)</f>
        <v/>
      </c>
      <c r="H79" s="13" t="n">
        <f aca="false">IFERROR(INDEX('3. Costeo y Precios'!$M$14:$M$64,MATCH($B79,'3. Costeo y Precios'!$A$14:$A$64,0)),0)</f>
        <v>0</v>
      </c>
      <c r="I79" s="13" t="str">
        <f aca="false">IF($B79="","",E79*H79)</f>
        <v/>
      </c>
      <c r="J79" s="28"/>
      <c r="K79" s="13" t="str">
        <f aca="false">IF($B79="","",G79*J79)</f>
        <v/>
      </c>
      <c r="L79" s="13" t="str">
        <f aca="false">IF($B79="","",G79-I79-K79)</f>
        <v/>
      </c>
      <c r="M79" s="22" t="str">
        <f aca="false">IFERROR(L79/G79,"")</f>
        <v/>
      </c>
      <c r="N79" s="11"/>
    </row>
    <row r="80" customFormat="false" ht="15" hidden="false" customHeight="false" outlineLevel="0" collapsed="false">
      <c r="A80" s="27"/>
      <c r="B80" s="11"/>
      <c r="C80" s="7" t="str">
        <f aca="false">IFERROR(INDEX('3. Costeo y Precios'!$B$14:$B$64,MATCH($B80,'3. Costeo y Precios'!$A$14:$A$64,0)),"")</f>
        <v/>
      </c>
      <c r="D80" s="11"/>
      <c r="E80" s="11"/>
      <c r="F80" s="9"/>
      <c r="G80" s="13" t="str">
        <f aca="false">IF($B80="","",E80*F80)</f>
        <v/>
      </c>
      <c r="H80" s="13" t="n">
        <f aca="false">IFERROR(INDEX('3. Costeo y Precios'!$M$14:$M$64,MATCH($B80,'3. Costeo y Precios'!$A$14:$A$64,0)),0)</f>
        <v>0</v>
      </c>
      <c r="I80" s="13" t="str">
        <f aca="false">IF($B80="","",E80*H80)</f>
        <v/>
      </c>
      <c r="J80" s="28"/>
      <c r="K80" s="13" t="str">
        <f aca="false">IF($B80="","",G80*J80)</f>
        <v/>
      </c>
      <c r="L80" s="13" t="str">
        <f aca="false">IF($B80="","",G80-I80-K80)</f>
        <v/>
      </c>
      <c r="M80" s="22" t="str">
        <f aca="false">IFERROR(L80/G80,"")</f>
        <v/>
      </c>
      <c r="N80" s="11"/>
    </row>
    <row r="81" customFormat="false" ht="15" hidden="false" customHeight="false" outlineLevel="0" collapsed="false">
      <c r="A81" s="27"/>
      <c r="B81" s="11"/>
      <c r="C81" s="7" t="str">
        <f aca="false">IFERROR(INDEX('3. Costeo y Precios'!$B$14:$B$64,MATCH($B81,'3. Costeo y Precios'!$A$14:$A$64,0)),"")</f>
        <v/>
      </c>
      <c r="D81" s="11"/>
      <c r="E81" s="11"/>
      <c r="F81" s="9"/>
      <c r="G81" s="13" t="str">
        <f aca="false">IF($B81="","",E81*F81)</f>
        <v/>
      </c>
      <c r="H81" s="13" t="n">
        <f aca="false">IFERROR(INDEX('3. Costeo y Precios'!$M$14:$M$64,MATCH($B81,'3. Costeo y Precios'!$A$14:$A$64,0)),0)</f>
        <v>0</v>
      </c>
      <c r="I81" s="13" t="str">
        <f aca="false">IF($B81="","",E81*H81)</f>
        <v/>
      </c>
      <c r="J81" s="28"/>
      <c r="K81" s="13" t="str">
        <f aca="false">IF($B81="","",G81*J81)</f>
        <v/>
      </c>
      <c r="L81" s="13" t="str">
        <f aca="false">IF($B81="","",G81-I81-K81)</f>
        <v/>
      </c>
      <c r="M81" s="22" t="str">
        <f aca="false">IFERROR(L81/G81,"")</f>
        <v/>
      </c>
      <c r="N81" s="11"/>
    </row>
    <row r="82" customFormat="false" ht="15" hidden="false" customHeight="false" outlineLevel="0" collapsed="false">
      <c r="A82" s="27"/>
      <c r="B82" s="11"/>
      <c r="C82" s="7" t="str">
        <f aca="false">IFERROR(INDEX('3. Costeo y Precios'!$B$14:$B$64,MATCH($B82,'3. Costeo y Precios'!$A$14:$A$64,0)),"")</f>
        <v/>
      </c>
      <c r="D82" s="11"/>
      <c r="E82" s="11"/>
      <c r="F82" s="9"/>
      <c r="G82" s="13" t="str">
        <f aca="false">IF($B82="","",E82*F82)</f>
        <v/>
      </c>
      <c r="H82" s="13" t="n">
        <f aca="false">IFERROR(INDEX('3. Costeo y Precios'!$M$14:$M$64,MATCH($B82,'3. Costeo y Precios'!$A$14:$A$64,0)),0)</f>
        <v>0</v>
      </c>
      <c r="I82" s="13" t="str">
        <f aca="false">IF($B82="","",E82*H82)</f>
        <v/>
      </c>
      <c r="J82" s="28"/>
      <c r="K82" s="13" t="str">
        <f aca="false">IF($B82="","",G82*J82)</f>
        <v/>
      </c>
      <c r="L82" s="13" t="str">
        <f aca="false">IF($B82="","",G82-I82-K82)</f>
        <v/>
      </c>
      <c r="M82" s="22" t="str">
        <f aca="false">IFERROR(L82/G82,"")</f>
        <v/>
      </c>
      <c r="N82" s="11"/>
    </row>
    <row r="83" customFormat="false" ht="15" hidden="false" customHeight="false" outlineLevel="0" collapsed="false">
      <c r="A83" s="27"/>
      <c r="B83" s="11"/>
      <c r="C83" s="7" t="str">
        <f aca="false">IFERROR(INDEX('3. Costeo y Precios'!$B$14:$B$64,MATCH($B83,'3. Costeo y Precios'!$A$14:$A$64,0)),"")</f>
        <v/>
      </c>
      <c r="D83" s="11"/>
      <c r="E83" s="11"/>
      <c r="F83" s="9"/>
      <c r="G83" s="13" t="str">
        <f aca="false">IF($B83="","",E83*F83)</f>
        <v/>
      </c>
      <c r="H83" s="13" t="n">
        <f aca="false">IFERROR(INDEX('3. Costeo y Precios'!$M$14:$M$64,MATCH($B83,'3. Costeo y Precios'!$A$14:$A$64,0)),0)</f>
        <v>0</v>
      </c>
      <c r="I83" s="13" t="str">
        <f aca="false">IF($B83="","",E83*H83)</f>
        <v/>
      </c>
      <c r="J83" s="28"/>
      <c r="K83" s="13" t="str">
        <f aca="false">IF($B83="","",G83*J83)</f>
        <v/>
      </c>
      <c r="L83" s="13" t="str">
        <f aca="false">IF($B83="","",G83-I83-K83)</f>
        <v/>
      </c>
      <c r="M83" s="22" t="str">
        <f aca="false">IFERROR(L83/G83,"")</f>
        <v/>
      </c>
      <c r="N83" s="11"/>
    </row>
    <row r="84" customFormat="false" ht="15" hidden="false" customHeight="false" outlineLevel="0" collapsed="false">
      <c r="A84" s="27"/>
      <c r="B84" s="11"/>
      <c r="C84" s="7" t="str">
        <f aca="false">IFERROR(INDEX('3. Costeo y Precios'!$B$14:$B$64,MATCH($B84,'3. Costeo y Precios'!$A$14:$A$64,0)),"")</f>
        <v/>
      </c>
      <c r="D84" s="11"/>
      <c r="E84" s="11"/>
      <c r="F84" s="9"/>
      <c r="G84" s="13" t="str">
        <f aca="false">IF($B84="","",E84*F84)</f>
        <v/>
      </c>
      <c r="H84" s="13" t="n">
        <f aca="false">IFERROR(INDEX('3. Costeo y Precios'!$M$14:$M$64,MATCH($B84,'3. Costeo y Precios'!$A$14:$A$64,0)),0)</f>
        <v>0</v>
      </c>
      <c r="I84" s="13" t="str">
        <f aca="false">IF($B84="","",E84*H84)</f>
        <v/>
      </c>
      <c r="J84" s="28"/>
      <c r="K84" s="13" t="str">
        <f aca="false">IF($B84="","",G84*J84)</f>
        <v/>
      </c>
      <c r="L84" s="13" t="str">
        <f aca="false">IF($B84="","",G84-I84-K84)</f>
        <v/>
      </c>
      <c r="M84" s="22" t="str">
        <f aca="false">IFERROR(L84/G84,"")</f>
        <v/>
      </c>
      <c r="N84" s="11"/>
    </row>
    <row r="85" customFormat="false" ht="15" hidden="false" customHeight="false" outlineLevel="0" collapsed="false">
      <c r="A85" s="27"/>
      <c r="B85" s="11"/>
      <c r="C85" s="7" t="str">
        <f aca="false">IFERROR(INDEX('3. Costeo y Precios'!$B$14:$B$64,MATCH($B85,'3. Costeo y Precios'!$A$14:$A$64,0)),"")</f>
        <v/>
      </c>
      <c r="D85" s="11"/>
      <c r="E85" s="11"/>
      <c r="F85" s="9"/>
      <c r="G85" s="13" t="str">
        <f aca="false">IF($B85="","",E85*F85)</f>
        <v/>
      </c>
      <c r="H85" s="13" t="n">
        <f aca="false">IFERROR(INDEX('3. Costeo y Precios'!$M$14:$M$64,MATCH($B85,'3. Costeo y Precios'!$A$14:$A$64,0)),0)</f>
        <v>0</v>
      </c>
      <c r="I85" s="13" t="str">
        <f aca="false">IF($B85="","",E85*H85)</f>
        <v/>
      </c>
      <c r="J85" s="28"/>
      <c r="K85" s="13" t="str">
        <f aca="false">IF($B85="","",G85*J85)</f>
        <v/>
      </c>
      <c r="L85" s="13" t="str">
        <f aca="false">IF($B85="","",G85-I85-K85)</f>
        <v/>
      </c>
      <c r="M85" s="22" t="str">
        <f aca="false">IFERROR(L85/G85,"")</f>
        <v/>
      </c>
      <c r="N85" s="11"/>
    </row>
    <row r="86" customFormat="false" ht="15" hidden="false" customHeight="false" outlineLevel="0" collapsed="false">
      <c r="A86" s="27"/>
      <c r="B86" s="11"/>
      <c r="C86" s="7" t="str">
        <f aca="false">IFERROR(INDEX('3. Costeo y Precios'!$B$14:$B$64,MATCH($B86,'3. Costeo y Precios'!$A$14:$A$64,0)),"")</f>
        <v/>
      </c>
      <c r="D86" s="11"/>
      <c r="E86" s="11"/>
      <c r="F86" s="9"/>
      <c r="G86" s="13" t="str">
        <f aca="false">IF($B86="","",E86*F86)</f>
        <v/>
      </c>
      <c r="H86" s="13" t="n">
        <f aca="false">IFERROR(INDEX('3. Costeo y Precios'!$M$14:$M$64,MATCH($B86,'3. Costeo y Precios'!$A$14:$A$64,0)),0)</f>
        <v>0</v>
      </c>
      <c r="I86" s="13" t="str">
        <f aca="false">IF($B86="","",E86*H86)</f>
        <v/>
      </c>
      <c r="J86" s="28"/>
      <c r="K86" s="13" t="str">
        <f aca="false">IF($B86="","",G86*J86)</f>
        <v/>
      </c>
      <c r="L86" s="13" t="str">
        <f aca="false">IF($B86="","",G86-I86-K86)</f>
        <v/>
      </c>
      <c r="M86" s="22" t="str">
        <f aca="false">IFERROR(L86/G86,"")</f>
        <v/>
      </c>
      <c r="N86" s="11"/>
    </row>
    <row r="87" customFormat="false" ht="15" hidden="false" customHeight="false" outlineLevel="0" collapsed="false">
      <c r="A87" s="27"/>
      <c r="B87" s="11"/>
      <c r="C87" s="7" t="str">
        <f aca="false">IFERROR(INDEX('3. Costeo y Precios'!$B$14:$B$64,MATCH($B87,'3. Costeo y Precios'!$A$14:$A$64,0)),"")</f>
        <v/>
      </c>
      <c r="D87" s="11"/>
      <c r="E87" s="11"/>
      <c r="F87" s="9"/>
      <c r="G87" s="13" t="str">
        <f aca="false">IF($B87="","",E87*F87)</f>
        <v/>
      </c>
      <c r="H87" s="13" t="n">
        <f aca="false">IFERROR(INDEX('3. Costeo y Precios'!$M$14:$M$64,MATCH($B87,'3. Costeo y Precios'!$A$14:$A$64,0)),0)</f>
        <v>0</v>
      </c>
      <c r="I87" s="13" t="str">
        <f aca="false">IF($B87="","",E87*H87)</f>
        <v/>
      </c>
      <c r="J87" s="28"/>
      <c r="K87" s="13" t="str">
        <f aca="false">IF($B87="","",G87*J87)</f>
        <v/>
      </c>
      <c r="L87" s="13" t="str">
        <f aca="false">IF($B87="","",G87-I87-K87)</f>
        <v/>
      </c>
      <c r="M87" s="22" t="str">
        <f aca="false">IFERROR(L87/G87,"")</f>
        <v/>
      </c>
      <c r="N87" s="11"/>
    </row>
    <row r="88" customFormat="false" ht="15" hidden="false" customHeight="false" outlineLevel="0" collapsed="false">
      <c r="A88" s="27"/>
      <c r="B88" s="11"/>
      <c r="C88" s="7" t="str">
        <f aca="false">IFERROR(INDEX('3. Costeo y Precios'!$B$14:$B$64,MATCH($B88,'3. Costeo y Precios'!$A$14:$A$64,0)),"")</f>
        <v/>
      </c>
      <c r="D88" s="11"/>
      <c r="E88" s="11"/>
      <c r="F88" s="9"/>
      <c r="G88" s="13" t="str">
        <f aca="false">IF($B88="","",E88*F88)</f>
        <v/>
      </c>
      <c r="H88" s="13" t="n">
        <f aca="false">IFERROR(INDEX('3. Costeo y Precios'!$M$14:$M$64,MATCH($B88,'3. Costeo y Precios'!$A$14:$A$64,0)),0)</f>
        <v>0</v>
      </c>
      <c r="I88" s="13" t="str">
        <f aca="false">IF($B88="","",E88*H88)</f>
        <v/>
      </c>
      <c r="J88" s="28"/>
      <c r="K88" s="13" t="str">
        <f aca="false">IF($B88="","",G88*J88)</f>
        <v/>
      </c>
      <c r="L88" s="13" t="str">
        <f aca="false">IF($B88="","",G88-I88-K88)</f>
        <v/>
      </c>
      <c r="M88" s="22" t="str">
        <f aca="false">IFERROR(L88/G88,"")</f>
        <v/>
      </c>
      <c r="N88" s="11"/>
    </row>
    <row r="89" customFormat="false" ht="15" hidden="false" customHeight="false" outlineLevel="0" collapsed="false">
      <c r="A89" s="27"/>
      <c r="B89" s="11"/>
      <c r="C89" s="7" t="str">
        <f aca="false">IFERROR(INDEX('3. Costeo y Precios'!$B$14:$B$64,MATCH($B89,'3. Costeo y Precios'!$A$14:$A$64,0)),"")</f>
        <v/>
      </c>
      <c r="D89" s="11"/>
      <c r="E89" s="11"/>
      <c r="F89" s="9"/>
      <c r="G89" s="13" t="str">
        <f aca="false">IF($B89="","",E89*F89)</f>
        <v/>
      </c>
      <c r="H89" s="13" t="n">
        <f aca="false">IFERROR(INDEX('3. Costeo y Precios'!$M$14:$M$64,MATCH($B89,'3. Costeo y Precios'!$A$14:$A$64,0)),0)</f>
        <v>0</v>
      </c>
      <c r="I89" s="13" t="str">
        <f aca="false">IF($B89="","",E89*H89)</f>
        <v/>
      </c>
      <c r="J89" s="28"/>
      <c r="K89" s="13" t="str">
        <f aca="false">IF($B89="","",G89*J89)</f>
        <v/>
      </c>
      <c r="L89" s="13" t="str">
        <f aca="false">IF($B89="","",G89-I89-K89)</f>
        <v/>
      </c>
      <c r="M89" s="22" t="str">
        <f aca="false">IFERROR(L89/G89,"")</f>
        <v/>
      </c>
      <c r="N89" s="11"/>
    </row>
    <row r="90" customFormat="false" ht="15" hidden="false" customHeight="false" outlineLevel="0" collapsed="false">
      <c r="A90" s="27"/>
      <c r="B90" s="11"/>
      <c r="C90" s="7" t="str">
        <f aca="false">IFERROR(INDEX('3. Costeo y Precios'!$B$14:$B$64,MATCH($B90,'3. Costeo y Precios'!$A$14:$A$64,0)),"")</f>
        <v/>
      </c>
      <c r="D90" s="11"/>
      <c r="E90" s="11"/>
      <c r="F90" s="9"/>
      <c r="G90" s="13" t="str">
        <f aca="false">IF($B90="","",E90*F90)</f>
        <v/>
      </c>
      <c r="H90" s="13" t="n">
        <f aca="false">IFERROR(INDEX('3. Costeo y Precios'!$M$14:$M$64,MATCH($B90,'3. Costeo y Precios'!$A$14:$A$64,0)),0)</f>
        <v>0</v>
      </c>
      <c r="I90" s="13" t="str">
        <f aca="false">IF($B90="","",E90*H90)</f>
        <v/>
      </c>
      <c r="J90" s="28"/>
      <c r="K90" s="13" t="str">
        <f aca="false">IF($B90="","",G90*J90)</f>
        <v/>
      </c>
      <c r="L90" s="13" t="str">
        <f aca="false">IF($B90="","",G90-I90-K90)</f>
        <v/>
      </c>
      <c r="M90" s="22" t="str">
        <f aca="false">IFERROR(L90/G90,"")</f>
        <v/>
      </c>
      <c r="N90" s="11"/>
    </row>
    <row r="91" customFormat="false" ht="15" hidden="false" customHeight="false" outlineLevel="0" collapsed="false">
      <c r="A91" s="27"/>
      <c r="B91" s="11"/>
      <c r="C91" s="7" t="str">
        <f aca="false">IFERROR(INDEX('3. Costeo y Precios'!$B$14:$B$64,MATCH($B91,'3. Costeo y Precios'!$A$14:$A$64,0)),"")</f>
        <v/>
      </c>
      <c r="D91" s="11"/>
      <c r="E91" s="11"/>
      <c r="F91" s="9"/>
      <c r="G91" s="13" t="str">
        <f aca="false">IF($B91="","",E91*F91)</f>
        <v/>
      </c>
      <c r="H91" s="13" t="n">
        <f aca="false">IFERROR(INDEX('3. Costeo y Precios'!$M$14:$M$64,MATCH($B91,'3. Costeo y Precios'!$A$14:$A$64,0)),0)</f>
        <v>0</v>
      </c>
      <c r="I91" s="13" t="str">
        <f aca="false">IF($B91="","",E91*H91)</f>
        <v/>
      </c>
      <c r="J91" s="28"/>
      <c r="K91" s="13" t="str">
        <f aca="false">IF($B91="","",G91*J91)</f>
        <v/>
      </c>
      <c r="L91" s="13" t="str">
        <f aca="false">IF($B91="","",G91-I91-K91)</f>
        <v/>
      </c>
      <c r="M91" s="22" t="str">
        <f aca="false">IFERROR(L91/G91,"")</f>
        <v/>
      </c>
      <c r="N91" s="11"/>
    </row>
    <row r="92" customFormat="false" ht="15" hidden="false" customHeight="false" outlineLevel="0" collapsed="false">
      <c r="A92" s="27"/>
      <c r="B92" s="11"/>
      <c r="C92" s="7" t="str">
        <f aca="false">IFERROR(INDEX('3. Costeo y Precios'!$B$14:$B$64,MATCH($B92,'3. Costeo y Precios'!$A$14:$A$64,0)),"")</f>
        <v/>
      </c>
      <c r="D92" s="11"/>
      <c r="E92" s="11"/>
      <c r="F92" s="9"/>
      <c r="G92" s="13" t="str">
        <f aca="false">IF($B92="","",E92*F92)</f>
        <v/>
      </c>
      <c r="H92" s="13" t="n">
        <f aca="false">IFERROR(INDEX('3. Costeo y Precios'!$M$14:$M$64,MATCH($B92,'3. Costeo y Precios'!$A$14:$A$64,0)),0)</f>
        <v>0</v>
      </c>
      <c r="I92" s="13" t="str">
        <f aca="false">IF($B92="","",E92*H92)</f>
        <v/>
      </c>
      <c r="J92" s="28"/>
      <c r="K92" s="13" t="str">
        <f aca="false">IF($B92="","",G92*J92)</f>
        <v/>
      </c>
      <c r="L92" s="13" t="str">
        <f aca="false">IF($B92="","",G92-I92-K92)</f>
        <v/>
      </c>
      <c r="M92" s="22" t="str">
        <f aca="false">IFERROR(L92/G92,"")</f>
        <v/>
      </c>
      <c r="N92" s="11"/>
    </row>
    <row r="93" customFormat="false" ht="15" hidden="false" customHeight="false" outlineLevel="0" collapsed="false">
      <c r="A93" s="27"/>
      <c r="B93" s="11"/>
      <c r="C93" s="7" t="str">
        <f aca="false">IFERROR(INDEX('3. Costeo y Precios'!$B$14:$B$64,MATCH($B93,'3. Costeo y Precios'!$A$14:$A$64,0)),"")</f>
        <v/>
      </c>
      <c r="D93" s="11"/>
      <c r="E93" s="11"/>
      <c r="F93" s="9"/>
      <c r="G93" s="13" t="str">
        <f aca="false">IF($B93="","",E93*F93)</f>
        <v/>
      </c>
      <c r="H93" s="13" t="n">
        <f aca="false">IFERROR(INDEX('3. Costeo y Precios'!$M$14:$M$64,MATCH($B93,'3. Costeo y Precios'!$A$14:$A$64,0)),0)</f>
        <v>0</v>
      </c>
      <c r="I93" s="13" t="str">
        <f aca="false">IF($B93="","",E93*H93)</f>
        <v/>
      </c>
      <c r="J93" s="28"/>
      <c r="K93" s="13" t="str">
        <f aca="false">IF($B93="","",G93*J93)</f>
        <v/>
      </c>
      <c r="L93" s="13" t="str">
        <f aca="false">IF($B93="","",G93-I93-K93)</f>
        <v/>
      </c>
      <c r="M93" s="22" t="str">
        <f aca="false">IFERROR(L93/G93,"")</f>
        <v/>
      </c>
      <c r="N93" s="11"/>
    </row>
    <row r="94" customFormat="false" ht="15" hidden="false" customHeight="false" outlineLevel="0" collapsed="false">
      <c r="A94" s="27"/>
      <c r="B94" s="11"/>
      <c r="C94" s="7" t="str">
        <f aca="false">IFERROR(INDEX('3. Costeo y Precios'!$B$14:$B$64,MATCH($B94,'3. Costeo y Precios'!$A$14:$A$64,0)),"")</f>
        <v/>
      </c>
      <c r="D94" s="11"/>
      <c r="E94" s="11"/>
      <c r="F94" s="9"/>
      <c r="G94" s="13" t="str">
        <f aca="false">IF($B94="","",E94*F94)</f>
        <v/>
      </c>
      <c r="H94" s="13" t="n">
        <f aca="false">IFERROR(INDEX('3. Costeo y Precios'!$M$14:$M$64,MATCH($B94,'3. Costeo y Precios'!$A$14:$A$64,0)),0)</f>
        <v>0</v>
      </c>
      <c r="I94" s="13" t="str">
        <f aca="false">IF($B94="","",E94*H94)</f>
        <v/>
      </c>
      <c r="J94" s="28"/>
      <c r="K94" s="13" t="str">
        <f aca="false">IF($B94="","",G94*J94)</f>
        <v/>
      </c>
      <c r="L94" s="13" t="str">
        <f aca="false">IF($B94="","",G94-I94-K94)</f>
        <v/>
      </c>
      <c r="M94" s="22" t="str">
        <f aca="false">IFERROR(L94/G94,"")</f>
        <v/>
      </c>
      <c r="N94" s="11"/>
    </row>
    <row r="95" customFormat="false" ht="15" hidden="false" customHeight="false" outlineLevel="0" collapsed="false">
      <c r="A95" s="27"/>
      <c r="B95" s="11"/>
      <c r="C95" s="7" t="str">
        <f aca="false">IFERROR(INDEX('3. Costeo y Precios'!$B$14:$B$64,MATCH($B95,'3. Costeo y Precios'!$A$14:$A$64,0)),"")</f>
        <v/>
      </c>
      <c r="D95" s="11"/>
      <c r="E95" s="11"/>
      <c r="F95" s="9"/>
      <c r="G95" s="13" t="str">
        <f aca="false">IF($B95="","",E95*F95)</f>
        <v/>
      </c>
      <c r="H95" s="13" t="n">
        <f aca="false">IFERROR(INDEX('3. Costeo y Precios'!$M$14:$M$64,MATCH($B95,'3. Costeo y Precios'!$A$14:$A$64,0)),0)</f>
        <v>0</v>
      </c>
      <c r="I95" s="13" t="str">
        <f aca="false">IF($B95="","",E95*H95)</f>
        <v/>
      </c>
      <c r="J95" s="28"/>
      <c r="K95" s="13" t="str">
        <f aca="false">IF($B95="","",G95*J95)</f>
        <v/>
      </c>
      <c r="L95" s="13" t="str">
        <f aca="false">IF($B95="","",G95-I95-K95)</f>
        <v/>
      </c>
      <c r="M95" s="22" t="str">
        <f aca="false">IFERROR(L95/G95,"")</f>
        <v/>
      </c>
      <c r="N95" s="11"/>
    </row>
    <row r="96" customFormat="false" ht="15" hidden="false" customHeight="false" outlineLevel="0" collapsed="false">
      <c r="A96" s="27"/>
      <c r="B96" s="11"/>
      <c r="C96" s="7" t="str">
        <f aca="false">IFERROR(INDEX('3. Costeo y Precios'!$B$14:$B$64,MATCH($B96,'3. Costeo y Precios'!$A$14:$A$64,0)),"")</f>
        <v/>
      </c>
      <c r="D96" s="11"/>
      <c r="E96" s="11"/>
      <c r="F96" s="9"/>
      <c r="G96" s="13" t="str">
        <f aca="false">IF($B96="","",E96*F96)</f>
        <v/>
      </c>
      <c r="H96" s="13" t="n">
        <f aca="false">IFERROR(INDEX('3. Costeo y Precios'!$M$14:$M$64,MATCH($B96,'3. Costeo y Precios'!$A$14:$A$64,0)),0)</f>
        <v>0</v>
      </c>
      <c r="I96" s="13" t="str">
        <f aca="false">IF($B96="","",E96*H96)</f>
        <v/>
      </c>
      <c r="J96" s="28"/>
      <c r="K96" s="13" t="str">
        <f aca="false">IF($B96="","",G96*J96)</f>
        <v/>
      </c>
      <c r="L96" s="13" t="str">
        <f aca="false">IF($B96="","",G96-I96-K96)</f>
        <v/>
      </c>
      <c r="M96" s="22" t="str">
        <f aca="false">IFERROR(L96/G96,"")</f>
        <v/>
      </c>
      <c r="N96" s="11"/>
    </row>
    <row r="97" customFormat="false" ht="15" hidden="false" customHeight="false" outlineLevel="0" collapsed="false">
      <c r="A97" s="27"/>
      <c r="B97" s="11"/>
      <c r="C97" s="7" t="str">
        <f aca="false">IFERROR(INDEX('3. Costeo y Precios'!$B$14:$B$64,MATCH($B97,'3. Costeo y Precios'!$A$14:$A$64,0)),"")</f>
        <v/>
      </c>
      <c r="D97" s="11"/>
      <c r="E97" s="11"/>
      <c r="F97" s="9"/>
      <c r="G97" s="13" t="str">
        <f aca="false">IF($B97="","",E97*F97)</f>
        <v/>
      </c>
      <c r="H97" s="13" t="n">
        <f aca="false">IFERROR(INDEX('3. Costeo y Precios'!$M$14:$M$64,MATCH($B97,'3. Costeo y Precios'!$A$14:$A$64,0)),0)</f>
        <v>0</v>
      </c>
      <c r="I97" s="13" t="str">
        <f aca="false">IF($B97="","",E97*H97)</f>
        <v/>
      </c>
      <c r="J97" s="28"/>
      <c r="K97" s="13" t="str">
        <f aca="false">IF($B97="","",G97*J97)</f>
        <v/>
      </c>
      <c r="L97" s="13" t="str">
        <f aca="false">IF($B97="","",G97-I97-K97)</f>
        <v/>
      </c>
      <c r="M97" s="22" t="str">
        <f aca="false">IFERROR(L97/G97,"")</f>
        <v/>
      </c>
      <c r="N97" s="11"/>
    </row>
    <row r="98" customFormat="false" ht="15" hidden="false" customHeight="false" outlineLevel="0" collapsed="false">
      <c r="A98" s="27"/>
      <c r="B98" s="11"/>
      <c r="C98" s="7" t="str">
        <f aca="false">IFERROR(INDEX('3. Costeo y Precios'!$B$14:$B$64,MATCH($B98,'3. Costeo y Precios'!$A$14:$A$64,0)),"")</f>
        <v/>
      </c>
      <c r="D98" s="11"/>
      <c r="E98" s="11"/>
      <c r="F98" s="9"/>
      <c r="G98" s="13" t="str">
        <f aca="false">IF($B98="","",E98*F98)</f>
        <v/>
      </c>
      <c r="H98" s="13" t="n">
        <f aca="false">IFERROR(INDEX('3. Costeo y Precios'!$M$14:$M$64,MATCH($B98,'3. Costeo y Precios'!$A$14:$A$64,0)),0)</f>
        <v>0</v>
      </c>
      <c r="I98" s="13" t="str">
        <f aca="false">IF($B98="","",E98*H98)</f>
        <v/>
      </c>
      <c r="J98" s="28"/>
      <c r="K98" s="13" t="str">
        <f aca="false">IF($B98="","",G98*J98)</f>
        <v/>
      </c>
      <c r="L98" s="13" t="str">
        <f aca="false">IF($B98="","",G98-I98-K98)</f>
        <v/>
      </c>
      <c r="M98" s="22" t="str">
        <f aca="false">IFERROR(L98/G98,"")</f>
        <v/>
      </c>
      <c r="N98" s="11"/>
    </row>
    <row r="99" customFormat="false" ht="15" hidden="false" customHeight="false" outlineLevel="0" collapsed="false">
      <c r="A99" s="27"/>
      <c r="B99" s="11"/>
      <c r="C99" s="7" t="str">
        <f aca="false">IFERROR(INDEX('3. Costeo y Precios'!$B$14:$B$64,MATCH($B99,'3. Costeo y Precios'!$A$14:$A$64,0)),"")</f>
        <v/>
      </c>
      <c r="D99" s="11"/>
      <c r="E99" s="11"/>
      <c r="F99" s="9"/>
      <c r="G99" s="13" t="str">
        <f aca="false">IF($B99="","",E99*F99)</f>
        <v/>
      </c>
      <c r="H99" s="13" t="n">
        <f aca="false">IFERROR(INDEX('3. Costeo y Precios'!$M$14:$M$64,MATCH($B99,'3. Costeo y Precios'!$A$14:$A$64,0)),0)</f>
        <v>0</v>
      </c>
      <c r="I99" s="13" t="str">
        <f aca="false">IF($B99="","",E99*H99)</f>
        <v/>
      </c>
      <c r="J99" s="28"/>
      <c r="K99" s="13" t="str">
        <f aca="false">IF($B99="","",G99*J99)</f>
        <v/>
      </c>
      <c r="L99" s="13" t="str">
        <f aca="false">IF($B99="","",G99-I99-K99)</f>
        <v/>
      </c>
      <c r="M99" s="22" t="str">
        <f aca="false">IFERROR(L99/G99,"")</f>
        <v/>
      </c>
      <c r="N99" s="11"/>
    </row>
    <row r="100" customFormat="false" ht="15" hidden="false" customHeight="false" outlineLevel="0" collapsed="false">
      <c r="A100" s="27"/>
      <c r="B100" s="11"/>
      <c r="C100" s="7" t="str">
        <f aca="false">IFERROR(INDEX('3. Costeo y Precios'!$B$14:$B$64,MATCH($B100,'3. Costeo y Precios'!$A$14:$A$64,0)),"")</f>
        <v/>
      </c>
      <c r="D100" s="11"/>
      <c r="E100" s="11"/>
      <c r="F100" s="9"/>
      <c r="G100" s="13" t="str">
        <f aca="false">IF($B100="","",E100*F100)</f>
        <v/>
      </c>
      <c r="H100" s="13" t="n">
        <f aca="false">IFERROR(INDEX('3. Costeo y Precios'!$M$14:$M$64,MATCH($B100,'3. Costeo y Precios'!$A$14:$A$64,0)),0)</f>
        <v>0</v>
      </c>
      <c r="I100" s="13" t="str">
        <f aca="false">IF($B100="","",E100*H100)</f>
        <v/>
      </c>
      <c r="J100" s="28"/>
      <c r="K100" s="13" t="str">
        <f aca="false">IF($B100="","",G100*J100)</f>
        <v/>
      </c>
      <c r="L100" s="13" t="str">
        <f aca="false">IF($B100="","",G100-I100-K100)</f>
        <v/>
      </c>
      <c r="M100" s="22" t="str">
        <f aca="false">IFERROR(L100/G100,"")</f>
        <v/>
      </c>
      <c r="N100" s="11"/>
    </row>
    <row r="101" customFormat="false" ht="15" hidden="false" customHeight="false" outlineLevel="0" collapsed="false">
      <c r="A101" s="27"/>
      <c r="B101" s="11"/>
      <c r="C101" s="7" t="str">
        <f aca="false">IFERROR(INDEX('3. Costeo y Precios'!$B$14:$B$64,MATCH($B101,'3. Costeo y Precios'!$A$14:$A$64,0)),"")</f>
        <v/>
      </c>
      <c r="D101" s="11"/>
      <c r="E101" s="11"/>
      <c r="F101" s="9"/>
      <c r="G101" s="13" t="str">
        <f aca="false">IF($B101="","",E101*F101)</f>
        <v/>
      </c>
      <c r="H101" s="13" t="n">
        <f aca="false">IFERROR(INDEX('3. Costeo y Precios'!$M$14:$M$64,MATCH($B101,'3. Costeo y Precios'!$A$14:$A$64,0)),0)</f>
        <v>0</v>
      </c>
      <c r="I101" s="13" t="str">
        <f aca="false">IF($B101="","",E101*H101)</f>
        <v/>
      </c>
      <c r="J101" s="28"/>
      <c r="K101" s="13" t="str">
        <f aca="false">IF($B101="","",G101*J101)</f>
        <v/>
      </c>
      <c r="L101" s="13" t="str">
        <f aca="false">IF($B101="","",G101-I101-K101)</f>
        <v/>
      </c>
      <c r="M101" s="22" t="str">
        <f aca="false">IFERROR(L101/G101,"")</f>
        <v/>
      </c>
      <c r="N101" s="11"/>
    </row>
    <row r="102" customFormat="false" ht="15" hidden="false" customHeight="false" outlineLevel="0" collapsed="false">
      <c r="A102" s="27"/>
      <c r="B102" s="11"/>
      <c r="C102" s="7" t="str">
        <f aca="false">IFERROR(INDEX('3. Costeo y Precios'!$B$14:$B$64,MATCH($B102,'3. Costeo y Precios'!$A$14:$A$64,0)),"")</f>
        <v/>
      </c>
      <c r="D102" s="11"/>
      <c r="E102" s="11"/>
      <c r="F102" s="9"/>
      <c r="G102" s="13" t="str">
        <f aca="false">IF($B102="","",E102*F102)</f>
        <v/>
      </c>
      <c r="H102" s="13" t="n">
        <f aca="false">IFERROR(INDEX('3. Costeo y Precios'!$M$14:$M$64,MATCH($B102,'3. Costeo y Precios'!$A$14:$A$64,0)),0)</f>
        <v>0</v>
      </c>
      <c r="I102" s="13" t="str">
        <f aca="false">IF($B102="","",E102*H102)</f>
        <v/>
      </c>
      <c r="J102" s="28"/>
      <c r="K102" s="13" t="str">
        <f aca="false">IF($B102="","",G102*J102)</f>
        <v/>
      </c>
      <c r="L102" s="13" t="str">
        <f aca="false">IF($B102="","",G102-I102-K102)</f>
        <v/>
      </c>
      <c r="M102" s="22" t="str">
        <f aca="false">IFERROR(L102/G102,"")</f>
        <v/>
      </c>
      <c r="N102" s="11"/>
    </row>
    <row r="103" customFormat="false" ht="15" hidden="false" customHeight="false" outlineLevel="0" collapsed="false">
      <c r="A103" s="27"/>
      <c r="B103" s="11"/>
      <c r="C103" s="7" t="str">
        <f aca="false">IFERROR(INDEX('3. Costeo y Precios'!$B$14:$B$64,MATCH($B103,'3. Costeo y Precios'!$A$14:$A$64,0)),"")</f>
        <v/>
      </c>
      <c r="D103" s="11"/>
      <c r="E103" s="11"/>
      <c r="F103" s="9"/>
      <c r="G103" s="13" t="str">
        <f aca="false">IF($B103="","",E103*F103)</f>
        <v/>
      </c>
      <c r="H103" s="13" t="n">
        <f aca="false">IFERROR(INDEX('3. Costeo y Precios'!$M$14:$M$64,MATCH($B103,'3. Costeo y Precios'!$A$14:$A$64,0)),0)</f>
        <v>0</v>
      </c>
      <c r="I103" s="13" t="str">
        <f aca="false">IF($B103="","",E103*H103)</f>
        <v/>
      </c>
      <c r="J103" s="28"/>
      <c r="K103" s="13" t="str">
        <f aca="false">IF($B103="","",G103*J103)</f>
        <v/>
      </c>
      <c r="L103" s="13" t="str">
        <f aca="false">IF($B103="","",G103-I103-K103)</f>
        <v/>
      </c>
      <c r="M103" s="22" t="str">
        <f aca="false">IFERROR(L103/G103,"")</f>
        <v/>
      </c>
      <c r="N103" s="11"/>
    </row>
    <row r="104" customFormat="false" ht="15" hidden="false" customHeight="false" outlineLevel="0" collapsed="false">
      <c r="A104" s="27"/>
      <c r="B104" s="11"/>
      <c r="C104" s="7" t="str">
        <f aca="false">IFERROR(INDEX('3. Costeo y Precios'!$B$14:$B$64,MATCH($B104,'3. Costeo y Precios'!$A$14:$A$64,0)),"")</f>
        <v/>
      </c>
      <c r="D104" s="11"/>
      <c r="E104" s="11"/>
      <c r="F104" s="9"/>
      <c r="G104" s="13" t="str">
        <f aca="false">IF($B104="","",E104*F104)</f>
        <v/>
      </c>
      <c r="H104" s="13" t="n">
        <f aca="false">IFERROR(INDEX('3. Costeo y Precios'!$M$14:$M$64,MATCH($B104,'3. Costeo y Precios'!$A$14:$A$64,0)),0)</f>
        <v>0</v>
      </c>
      <c r="I104" s="13" t="str">
        <f aca="false">IF($B104="","",E104*H104)</f>
        <v/>
      </c>
      <c r="J104" s="28"/>
      <c r="K104" s="13" t="str">
        <f aca="false">IF($B104="","",G104*J104)</f>
        <v/>
      </c>
      <c r="L104" s="13" t="str">
        <f aca="false">IF($B104="","",G104-I104-K104)</f>
        <v/>
      </c>
      <c r="M104" s="22" t="str">
        <f aca="false">IFERROR(L104/G104,"")</f>
        <v/>
      </c>
      <c r="N104" s="11"/>
    </row>
    <row r="105" customFormat="false" ht="15" hidden="false" customHeight="false" outlineLevel="0" collapsed="false">
      <c r="A105" s="27"/>
      <c r="B105" s="11"/>
      <c r="C105" s="7" t="str">
        <f aca="false">IFERROR(INDEX('3. Costeo y Precios'!$B$14:$B$64,MATCH($B105,'3. Costeo y Precios'!$A$14:$A$64,0)),"")</f>
        <v/>
      </c>
      <c r="D105" s="11"/>
      <c r="E105" s="11"/>
      <c r="F105" s="9"/>
      <c r="G105" s="13" t="str">
        <f aca="false">IF($B105="","",E105*F105)</f>
        <v/>
      </c>
      <c r="H105" s="13" t="n">
        <f aca="false">IFERROR(INDEX('3. Costeo y Precios'!$M$14:$M$64,MATCH($B105,'3. Costeo y Precios'!$A$14:$A$64,0)),0)</f>
        <v>0</v>
      </c>
      <c r="I105" s="13" t="str">
        <f aca="false">IF($B105="","",E105*H105)</f>
        <v/>
      </c>
      <c r="J105" s="28"/>
      <c r="K105" s="13" t="str">
        <f aca="false">IF($B105="","",G105*J105)</f>
        <v/>
      </c>
      <c r="L105" s="13" t="str">
        <f aca="false">IF($B105="","",G105-I105-K105)</f>
        <v/>
      </c>
      <c r="M105" s="22" t="str">
        <f aca="false">IFERROR(L105/G105,"")</f>
        <v/>
      </c>
      <c r="N105" s="11"/>
    </row>
    <row r="106" customFormat="false" ht="15" hidden="false" customHeight="false" outlineLevel="0" collapsed="false">
      <c r="A106" s="27"/>
      <c r="B106" s="11"/>
      <c r="C106" s="7" t="str">
        <f aca="false">IFERROR(INDEX('3. Costeo y Precios'!$B$14:$B$64,MATCH($B106,'3. Costeo y Precios'!$A$14:$A$64,0)),"")</f>
        <v/>
      </c>
      <c r="D106" s="11"/>
      <c r="E106" s="11"/>
      <c r="F106" s="9"/>
      <c r="G106" s="13" t="str">
        <f aca="false">IF($B106="","",E106*F106)</f>
        <v/>
      </c>
      <c r="H106" s="13" t="n">
        <f aca="false">IFERROR(INDEX('3. Costeo y Precios'!$M$14:$M$64,MATCH($B106,'3. Costeo y Precios'!$A$14:$A$64,0)),0)</f>
        <v>0</v>
      </c>
      <c r="I106" s="13" t="str">
        <f aca="false">IF($B106="","",E106*H106)</f>
        <v/>
      </c>
      <c r="J106" s="28"/>
      <c r="K106" s="13" t="str">
        <f aca="false">IF($B106="","",G106*J106)</f>
        <v/>
      </c>
      <c r="L106" s="13" t="str">
        <f aca="false">IF($B106="","",G106-I106-K106)</f>
        <v/>
      </c>
      <c r="M106" s="22" t="str">
        <f aca="false">IFERROR(L106/G106,"")</f>
        <v/>
      </c>
      <c r="N106" s="11"/>
    </row>
    <row r="107" customFormat="false" ht="15" hidden="false" customHeight="false" outlineLevel="0" collapsed="false">
      <c r="A107" s="27"/>
      <c r="B107" s="11"/>
      <c r="C107" s="7" t="str">
        <f aca="false">IFERROR(INDEX('3. Costeo y Precios'!$B$14:$B$64,MATCH($B107,'3. Costeo y Precios'!$A$14:$A$64,0)),"")</f>
        <v/>
      </c>
      <c r="D107" s="11"/>
      <c r="E107" s="11"/>
      <c r="F107" s="9"/>
      <c r="G107" s="13" t="str">
        <f aca="false">IF($B107="","",E107*F107)</f>
        <v/>
      </c>
      <c r="H107" s="13" t="n">
        <f aca="false">IFERROR(INDEX('3. Costeo y Precios'!$M$14:$M$64,MATCH($B107,'3. Costeo y Precios'!$A$14:$A$64,0)),0)</f>
        <v>0</v>
      </c>
      <c r="I107" s="13" t="str">
        <f aca="false">IF($B107="","",E107*H107)</f>
        <v/>
      </c>
      <c r="J107" s="28"/>
      <c r="K107" s="13" t="str">
        <f aca="false">IF($B107="","",G107*J107)</f>
        <v/>
      </c>
      <c r="L107" s="13" t="str">
        <f aca="false">IF($B107="","",G107-I107-K107)</f>
        <v/>
      </c>
      <c r="M107" s="22" t="str">
        <f aca="false">IFERROR(L107/G107,"")</f>
        <v/>
      </c>
      <c r="N107" s="11"/>
    </row>
    <row r="108" customFormat="false" ht="15" hidden="false" customHeight="false" outlineLevel="0" collapsed="false">
      <c r="A108" s="27"/>
      <c r="B108" s="11"/>
      <c r="C108" s="7" t="str">
        <f aca="false">IFERROR(INDEX('3. Costeo y Precios'!$B$14:$B$64,MATCH($B108,'3. Costeo y Precios'!$A$14:$A$64,0)),"")</f>
        <v/>
      </c>
      <c r="D108" s="11"/>
      <c r="E108" s="11"/>
      <c r="F108" s="9"/>
      <c r="G108" s="13" t="str">
        <f aca="false">IF($B108="","",E108*F108)</f>
        <v/>
      </c>
      <c r="H108" s="13" t="n">
        <f aca="false">IFERROR(INDEX('3. Costeo y Precios'!$M$14:$M$64,MATCH($B108,'3. Costeo y Precios'!$A$14:$A$64,0)),0)</f>
        <v>0</v>
      </c>
      <c r="I108" s="13" t="str">
        <f aca="false">IF($B108="","",E108*H108)</f>
        <v/>
      </c>
      <c r="J108" s="28"/>
      <c r="K108" s="13" t="str">
        <f aca="false">IF($B108="","",G108*J108)</f>
        <v/>
      </c>
      <c r="L108" s="13" t="str">
        <f aca="false">IF($B108="","",G108-I108-K108)</f>
        <v/>
      </c>
      <c r="M108" s="22" t="str">
        <f aca="false">IFERROR(L108/G108,"")</f>
        <v/>
      </c>
      <c r="N108" s="11"/>
    </row>
    <row r="109" customFormat="false" ht="15" hidden="false" customHeight="false" outlineLevel="0" collapsed="false">
      <c r="A109" s="27"/>
      <c r="B109" s="11"/>
      <c r="C109" s="7" t="str">
        <f aca="false">IFERROR(INDEX('3. Costeo y Precios'!$B$14:$B$64,MATCH($B109,'3. Costeo y Precios'!$A$14:$A$64,0)),"")</f>
        <v/>
      </c>
      <c r="D109" s="11"/>
      <c r="E109" s="11"/>
      <c r="F109" s="9"/>
      <c r="G109" s="13" t="str">
        <f aca="false">IF($B109="","",E109*F109)</f>
        <v/>
      </c>
      <c r="H109" s="13" t="n">
        <f aca="false">IFERROR(INDEX('3. Costeo y Precios'!$M$14:$M$64,MATCH($B109,'3. Costeo y Precios'!$A$14:$A$64,0)),0)</f>
        <v>0</v>
      </c>
      <c r="I109" s="13" t="str">
        <f aca="false">IF($B109="","",E109*H109)</f>
        <v/>
      </c>
      <c r="J109" s="28"/>
      <c r="K109" s="13" t="str">
        <f aca="false">IF($B109="","",G109*J109)</f>
        <v/>
      </c>
      <c r="L109" s="13" t="str">
        <f aca="false">IF($B109="","",G109-I109-K109)</f>
        <v/>
      </c>
      <c r="M109" s="22" t="str">
        <f aca="false">IFERROR(L109/G109,"")</f>
        <v/>
      </c>
      <c r="N109" s="11"/>
    </row>
    <row r="110" customFormat="false" ht="15" hidden="false" customHeight="false" outlineLevel="0" collapsed="false">
      <c r="A110" s="27"/>
      <c r="B110" s="11"/>
      <c r="C110" s="7" t="str">
        <f aca="false">IFERROR(INDEX('3. Costeo y Precios'!$B$14:$B$64,MATCH($B110,'3. Costeo y Precios'!$A$14:$A$64,0)),"")</f>
        <v/>
      </c>
      <c r="D110" s="11"/>
      <c r="E110" s="11"/>
      <c r="F110" s="9"/>
      <c r="G110" s="13" t="str">
        <f aca="false">IF($B110="","",E110*F110)</f>
        <v/>
      </c>
      <c r="H110" s="13" t="n">
        <f aca="false">IFERROR(INDEX('3. Costeo y Precios'!$M$14:$M$64,MATCH($B110,'3. Costeo y Precios'!$A$14:$A$64,0)),0)</f>
        <v>0</v>
      </c>
      <c r="I110" s="13" t="str">
        <f aca="false">IF($B110="","",E110*H110)</f>
        <v/>
      </c>
      <c r="J110" s="28"/>
      <c r="K110" s="13" t="str">
        <f aca="false">IF($B110="","",G110*J110)</f>
        <v/>
      </c>
      <c r="L110" s="13" t="str">
        <f aca="false">IF($B110="","",G110-I110-K110)</f>
        <v/>
      </c>
      <c r="M110" s="22" t="str">
        <f aca="false">IFERROR(L110/G110,"")</f>
        <v/>
      </c>
      <c r="N110" s="11"/>
    </row>
    <row r="111" customFormat="false" ht="15" hidden="false" customHeight="false" outlineLevel="0" collapsed="false">
      <c r="A111" s="27"/>
      <c r="B111" s="11"/>
      <c r="C111" s="7" t="str">
        <f aca="false">IFERROR(INDEX('3. Costeo y Precios'!$B$14:$B$64,MATCH($B111,'3. Costeo y Precios'!$A$14:$A$64,0)),"")</f>
        <v/>
      </c>
      <c r="D111" s="11"/>
      <c r="E111" s="11"/>
      <c r="F111" s="9"/>
      <c r="G111" s="13" t="str">
        <f aca="false">IF($B111="","",E111*F111)</f>
        <v/>
      </c>
      <c r="H111" s="13" t="n">
        <f aca="false">IFERROR(INDEX('3. Costeo y Precios'!$M$14:$M$64,MATCH($B111,'3. Costeo y Precios'!$A$14:$A$64,0)),0)</f>
        <v>0</v>
      </c>
      <c r="I111" s="13" t="str">
        <f aca="false">IF($B111="","",E111*H111)</f>
        <v/>
      </c>
      <c r="J111" s="28"/>
      <c r="K111" s="13" t="str">
        <f aca="false">IF($B111="","",G111*J111)</f>
        <v/>
      </c>
      <c r="L111" s="13" t="str">
        <f aca="false">IF($B111="","",G111-I111-K111)</f>
        <v/>
      </c>
      <c r="M111" s="22" t="str">
        <f aca="false">IFERROR(L111/G111,"")</f>
        <v/>
      </c>
      <c r="N111" s="11"/>
    </row>
    <row r="112" customFormat="false" ht="15" hidden="false" customHeight="false" outlineLevel="0" collapsed="false">
      <c r="A112" s="27"/>
      <c r="B112" s="11"/>
      <c r="C112" s="7" t="str">
        <f aca="false">IFERROR(INDEX('3. Costeo y Precios'!$B$14:$B$64,MATCH($B112,'3. Costeo y Precios'!$A$14:$A$64,0)),"")</f>
        <v/>
      </c>
      <c r="D112" s="11"/>
      <c r="E112" s="11"/>
      <c r="F112" s="9"/>
      <c r="G112" s="13" t="str">
        <f aca="false">IF($B112="","",E112*F112)</f>
        <v/>
      </c>
      <c r="H112" s="13" t="n">
        <f aca="false">IFERROR(INDEX('3. Costeo y Precios'!$M$14:$M$64,MATCH($B112,'3. Costeo y Precios'!$A$14:$A$64,0)),0)</f>
        <v>0</v>
      </c>
      <c r="I112" s="13" t="str">
        <f aca="false">IF($B112="","",E112*H112)</f>
        <v/>
      </c>
      <c r="J112" s="28"/>
      <c r="K112" s="13" t="str">
        <f aca="false">IF($B112="","",G112*J112)</f>
        <v/>
      </c>
      <c r="L112" s="13" t="str">
        <f aca="false">IF($B112="","",G112-I112-K112)</f>
        <v/>
      </c>
      <c r="M112" s="22" t="str">
        <f aca="false">IFERROR(L112/G112,"")</f>
        <v/>
      </c>
      <c r="N112" s="11"/>
    </row>
    <row r="113" customFormat="false" ht="15" hidden="false" customHeight="false" outlineLevel="0" collapsed="false">
      <c r="A113" s="27"/>
      <c r="B113" s="11"/>
      <c r="C113" s="7" t="str">
        <f aca="false">IFERROR(INDEX('3. Costeo y Precios'!$B$14:$B$64,MATCH($B113,'3. Costeo y Precios'!$A$14:$A$64,0)),"")</f>
        <v/>
      </c>
      <c r="D113" s="11"/>
      <c r="E113" s="11"/>
      <c r="F113" s="9"/>
      <c r="G113" s="13" t="str">
        <f aca="false">IF($B113="","",E113*F113)</f>
        <v/>
      </c>
      <c r="H113" s="13" t="n">
        <f aca="false">IFERROR(INDEX('3. Costeo y Precios'!$M$14:$M$64,MATCH($B113,'3. Costeo y Precios'!$A$14:$A$64,0)),0)</f>
        <v>0</v>
      </c>
      <c r="I113" s="13" t="str">
        <f aca="false">IF($B113="","",E113*H113)</f>
        <v/>
      </c>
      <c r="J113" s="28"/>
      <c r="K113" s="13" t="str">
        <f aca="false">IF($B113="","",G113*J113)</f>
        <v/>
      </c>
      <c r="L113" s="13" t="str">
        <f aca="false">IF($B113="","",G113-I113-K113)</f>
        <v/>
      </c>
      <c r="M113" s="22" t="str">
        <f aca="false">IFERROR(L113/G113,"")</f>
        <v/>
      </c>
      <c r="N113" s="11"/>
    </row>
    <row r="114" customFormat="false" ht="15" hidden="false" customHeight="false" outlineLevel="0" collapsed="false">
      <c r="A114" s="27"/>
      <c r="B114" s="11"/>
      <c r="C114" s="7" t="str">
        <f aca="false">IFERROR(INDEX('3. Costeo y Precios'!$B$14:$B$64,MATCH($B114,'3. Costeo y Precios'!$A$14:$A$64,0)),"")</f>
        <v/>
      </c>
      <c r="D114" s="11"/>
      <c r="E114" s="11"/>
      <c r="F114" s="9"/>
      <c r="G114" s="13" t="str">
        <f aca="false">IF($B114="","",E114*F114)</f>
        <v/>
      </c>
      <c r="H114" s="13" t="n">
        <f aca="false">IFERROR(INDEX('3. Costeo y Precios'!$M$14:$M$64,MATCH($B114,'3. Costeo y Precios'!$A$14:$A$64,0)),0)</f>
        <v>0</v>
      </c>
      <c r="I114" s="13" t="str">
        <f aca="false">IF($B114="","",E114*H114)</f>
        <v/>
      </c>
      <c r="J114" s="28"/>
      <c r="K114" s="13" t="str">
        <f aca="false">IF($B114="","",G114*J114)</f>
        <v/>
      </c>
      <c r="L114" s="13" t="str">
        <f aca="false">IF($B114="","",G114-I114-K114)</f>
        <v/>
      </c>
      <c r="M114" s="22" t="str">
        <f aca="false">IFERROR(L114/G114,"")</f>
        <v/>
      </c>
      <c r="N114" s="11"/>
    </row>
    <row r="115" customFormat="false" ht="15" hidden="false" customHeight="false" outlineLevel="0" collapsed="false">
      <c r="A115" s="27"/>
      <c r="B115" s="11"/>
      <c r="C115" s="7" t="str">
        <f aca="false">IFERROR(INDEX('3. Costeo y Precios'!$B$14:$B$64,MATCH($B115,'3. Costeo y Precios'!$A$14:$A$64,0)),"")</f>
        <v/>
      </c>
      <c r="D115" s="11"/>
      <c r="E115" s="11"/>
      <c r="F115" s="9"/>
      <c r="G115" s="13" t="str">
        <f aca="false">IF($B115="","",E115*F115)</f>
        <v/>
      </c>
      <c r="H115" s="13" t="n">
        <f aca="false">IFERROR(INDEX('3. Costeo y Precios'!$M$14:$M$64,MATCH($B115,'3. Costeo y Precios'!$A$14:$A$64,0)),0)</f>
        <v>0</v>
      </c>
      <c r="I115" s="13" t="str">
        <f aca="false">IF($B115="","",E115*H115)</f>
        <v/>
      </c>
      <c r="J115" s="28"/>
      <c r="K115" s="13" t="str">
        <f aca="false">IF($B115="","",G115*J115)</f>
        <v/>
      </c>
      <c r="L115" s="13" t="str">
        <f aca="false">IF($B115="","",G115-I115-K115)</f>
        <v/>
      </c>
      <c r="M115" s="22" t="str">
        <f aca="false">IFERROR(L115/G115,"")</f>
        <v/>
      </c>
      <c r="N115" s="11"/>
    </row>
    <row r="116" customFormat="false" ht="15" hidden="false" customHeight="false" outlineLevel="0" collapsed="false">
      <c r="A116" s="27"/>
      <c r="B116" s="11"/>
      <c r="C116" s="7" t="str">
        <f aca="false">IFERROR(INDEX('3. Costeo y Precios'!$B$14:$B$64,MATCH($B116,'3. Costeo y Precios'!$A$14:$A$64,0)),"")</f>
        <v/>
      </c>
      <c r="D116" s="11"/>
      <c r="E116" s="11"/>
      <c r="F116" s="9"/>
      <c r="G116" s="13" t="str">
        <f aca="false">IF($B116="","",E116*F116)</f>
        <v/>
      </c>
      <c r="H116" s="13" t="n">
        <f aca="false">IFERROR(INDEX('3. Costeo y Precios'!$M$14:$M$64,MATCH($B116,'3. Costeo y Precios'!$A$14:$A$64,0)),0)</f>
        <v>0</v>
      </c>
      <c r="I116" s="13" t="str">
        <f aca="false">IF($B116="","",E116*H116)</f>
        <v/>
      </c>
      <c r="J116" s="28"/>
      <c r="K116" s="13" t="str">
        <f aca="false">IF($B116="","",G116*J116)</f>
        <v/>
      </c>
      <c r="L116" s="13" t="str">
        <f aca="false">IF($B116="","",G116-I116-K116)</f>
        <v/>
      </c>
      <c r="M116" s="22" t="str">
        <f aca="false">IFERROR(L116/G116,"")</f>
        <v/>
      </c>
      <c r="N116" s="11"/>
    </row>
    <row r="117" customFormat="false" ht="15" hidden="false" customHeight="false" outlineLevel="0" collapsed="false">
      <c r="A117" s="27"/>
      <c r="B117" s="11"/>
      <c r="C117" s="7" t="str">
        <f aca="false">IFERROR(INDEX('3. Costeo y Precios'!$B$14:$B$64,MATCH($B117,'3. Costeo y Precios'!$A$14:$A$64,0)),"")</f>
        <v/>
      </c>
      <c r="D117" s="11"/>
      <c r="E117" s="11"/>
      <c r="F117" s="9"/>
      <c r="G117" s="13" t="str">
        <f aca="false">IF($B117="","",E117*F117)</f>
        <v/>
      </c>
      <c r="H117" s="13" t="n">
        <f aca="false">IFERROR(INDEX('3. Costeo y Precios'!$M$14:$M$64,MATCH($B117,'3. Costeo y Precios'!$A$14:$A$64,0)),0)</f>
        <v>0</v>
      </c>
      <c r="I117" s="13" t="str">
        <f aca="false">IF($B117="","",E117*H117)</f>
        <v/>
      </c>
      <c r="J117" s="28"/>
      <c r="K117" s="13" t="str">
        <f aca="false">IF($B117="","",G117*J117)</f>
        <v/>
      </c>
      <c r="L117" s="13" t="str">
        <f aca="false">IF($B117="","",G117-I117-K117)</f>
        <v/>
      </c>
      <c r="M117" s="22" t="str">
        <f aca="false">IFERROR(L117/G117,"")</f>
        <v/>
      </c>
      <c r="N117" s="11"/>
    </row>
    <row r="118" customFormat="false" ht="15" hidden="false" customHeight="false" outlineLevel="0" collapsed="false">
      <c r="A118" s="27"/>
      <c r="B118" s="11"/>
      <c r="C118" s="7" t="str">
        <f aca="false">IFERROR(INDEX('3. Costeo y Precios'!$B$14:$B$64,MATCH($B118,'3. Costeo y Precios'!$A$14:$A$64,0)),"")</f>
        <v/>
      </c>
      <c r="D118" s="11"/>
      <c r="E118" s="11"/>
      <c r="F118" s="9"/>
      <c r="G118" s="13" t="str">
        <f aca="false">IF($B118="","",E118*F118)</f>
        <v/>
      </c>
      <c r="H118" s="13" t="n">
        <f aca="false">IFERROR(INDEX('3. Costeo y Precios'!$M$14:$M$64,MATCH($B118,'3. Costeo y Precios'!$A$14:$A$64,0)),0)</f>
        <v>0</v>
      </c>
      <c r="I118" s="13" t="str">
        <f aca="false">IF($B118="","",E118*H118)</f>
        <v/>
      </c>
      <c r="J118" s="28"/>
      <c r="K118" s="13" t="str">
        <f aca="false">IF($B118="","",G118*J118)</f>
        <v/>
      </c>
      <c r="L118" s="13" t="str">
        <f aca="false">IF($B118="","",G118-I118-K118)</f>
        <v/>
      </c>
      <c r="M118" s="22" t="str">
        <f aca="false">IFERROR(L118/G118,"")</f>
        <v/>
      </c>
      <c r="N118" s="11"/>
    </row>
    <row r="119" customFormat="false" ht="15" hidden="false" customHeight="false" outlineLevel="0" collapsed="false">
      <c r="A119" s="27"/>
      <c r="B119" s="11"/>
      <c r="C119" s="7" t="str">
        <f aca="false">IFERROR(INDEX('3. Costeo y Precios'!$B$14:$B$64,MATCH($B119,'3. Costeo y Precios'!$A$14:$A$64,0)),"")</f>
        <v/>
      </c>
      <c r="D119" s="11"/>
      <c r="E119" s="11"/>
      <c r="F119" s="9"/>
      <c r="G119" s="13" t="str">
        <f aca="false">IF($B119="","",E119*F119)</f>
        <v/>
      </c>
      <c r="H119" s="13" t="n">
        <f aca="false">IFERROR(INDEX('3. Costeo y Precios'!$M$14:$M$64,MATCH($B119,'3. Costeo y Precios'!$A$14:$A$64,0)),0)</f>
        <v>0</v>
      </c>
      <c r="I119" s="13" t="str">
        <f aca="false">IF($B119="","",E119*H119)</f>
        <v/>
      </c>
      <c r="J119" s="28"/>
      <c r="K119" s="13" t="str">
        <f aca="false">IF($B119="","",G119*J119)</f>
        <v/>
      </c>
      <c r="L119" s="13" t="str">
        <f aca="false">IF($B119="","",G119-I119-K119)</f>
        <v/>
      </c>
      <c r="M119" s="22" t="str">
        <f aca="false">IFERROR(L119/G119,"")</f>
        <v/>
      </c>
      <c r="N119" s="11"/>
    </row>
    <row r="120" customFormat="false" ht="15" hidden="false" customHeight="false" outlineLevel="0" collapsed="false">
      <c r="A120" s="27"/>
      <c r="B120" s="11"/>
      <c r="C120" s="7" t="str">
        <f aca="false">IFERROR(INDEX('3. Costeo y Precios'!$B$14:$B$64,MATCH($B120,'3. Costeo y Precios'!$A$14:$A$64,0)),"")</f>
        <v/>
      </c>
      <c r="D120" s="11"/>
      <c r="E120" s="11"/>
      <c r="F120" s="9"/>
      <c r="G120" s="13" t="str">
        <f aca="false">IF($B120="","",E120*F120)</f>
        <v/>
      </c>
      <c r="H120" s="13" t="n">
        <f aca="false">IFERROR(INDEX('3. Costeo y Precios'!$M$14:$M$64,MATCH($B120,'3. Costeo y Precios'!$A$14:$A$64,0)),0)</f>
        <v>0</v>
      </c>
      <c r="I120" s="13" t="str">
        <f aca="false">IF($B120="","",E120*H120)</f>
        <v/>
      </c>
      <c r="J120" s="28"/>
      <c r="K120" s="13" t="str">
        <f aca="false">IF($B120="","",G120*J120)</f>
        <v/>
      </c>
      <c r="L120" s="13" t="str">
        <f aca="false">IF($B120="","",G120-I120-K120)</f>
        <v/>
      </c>
      <c r="M120" s="22" t="str">
        <f aca="false">IFERROR(L120/G120,"")</f>
        <v/>
      </c>
      <c r="N120" s="11"/>
    </row>
    <row r="121" customFormat="false" ht="15" hidden="false" customHeight="false" outlineLevel="0" collapsed="false">
      <c r="A121" s="27"/>
      <c r="B121" s="11"/>
      <c r="C121" s="7" t="str">
        <f aca="false">IFERROR(INDEX('3. Costeo y Precios'!$B$14:$B$64,MATCH($B121,'3. Costeo y Precios'!$A$14:$A$64,0)),"")</f>
        <v/>
      </c>
      <c r="D121" s="11"/>
      <c r="E121" s="11"/>
      <c r="F121" s="9"/>
      <c r="G121" s="13" t="str">
        <f aca="false">IF($B121="","",E121*F121)</f>
        <v/>
      </c>
      <c r="H121" s="13" t="n">
        <f aca="false">IFERROR(INDEX('3. Costeo y Precios'!$M$14:$M$64,MATCH($B121,'3. Costeo y Precios'!$A$14:$A$64,0)),0)</f>
        <v>0</v>
      </c>
      <c r="I121" s="13" t="str">
        <f aca="false">IF($B121="","",E121*H121)</f>
        <v/>
      </c>
      <c r="J121" s="28"/>
      <c r="K121" s="13" t="str">
        <f aca="false">IF($B121="","",G121*J121)</f>
        <v/>
      </c>
      <c r="L121" s="13" t="str">
        <f aca="false">IF($B121="","",G121-I121-K121)</f>
        <v/>
      </c>
      <c r="M121" s="22" t="str">
        <f aca="false">IFERROR(L121/G121,"")</f>
        <v/>
      </c>
      <c r="N121" s="11"/>
    </row>
    <row r="122" customFormat="false" ht="15" hidden="false" customHeight="false" outlineLevel="0" collapsed="false">
      <c r="A122" s="27"/>
      <c r="B122" s="11"/>
      <c r="C122" s="7" t="str">
        <f aca="false">IFERROR(INDEX('3. Costeo y Precios'!$B$14:$B$64,MATCH($B122,'3. Costeo y Precios'!$A$14:$A$64,0)),"")</f>
        <v/>
      </c>
      <c r="D122" s="11"/>
      <c r="E122" s="11"/>
      <c r="F122" s="9"/>
      <c r="G122" s="13" t="str">
        <f aca="false">IF($B122="","",E122*F122)</f>
        <v/>
      </c>
      <c r="H122" s="13" t="n">
        <f aca="false">IFERROR(INDEX('3. Costeo y Precios'!$M$14:$M$64,MATCH($B122,'3. Costeo y Precios'!$A$14:$A$64,0)),0)</f>
        <v>0</v>
      </c>
      <c r="I122" s="13" t="str">
        <f aca="false">IF($B122="","",E122*H122)</f>
        <v/>
      </c>
      <c r="J122" s="28"/>
      <c r="K122" s="13" t="str">
        <f aca="false">IF($B122="","",G122*J122)</f>
        <v/>
      </c>
      <c r="L122" s="13" t="str">
        <f aca="false">IF($B122="","",G122-I122-K122)</f>
        <v/>
      </c>
      <c r="M122" s="22" t="str">
        <f aca="false">IFERROR(L122/G122,"")</f>
        <v/>
      </c>
      <c r="N122" s="11"/>
    </row>
    <row r="123" customFormat="false" ht="15" hidden="false" customHeight="false" outlineLevel="0" collapsed="false">
      <c r="A123" s="27"/>
      <c r="B123" s="11"/>
      <c r="C123" s="7" t="str">
        <f aca="false">IFERROR(INDEX('3. Costeo y Precios'!$B$14:$B$64,MATCH($B123,'3. Costeo y Precios'!$A$14:$A$64,0)),"")</f>
        <v/>
      </c>
      <c r="D123" s="11"/>
      <c r="E123" s="11"/>
      <c r="F123" s="9"/>
      <c r="G123" s="13" t="str">
        <f aca="false">IF($B123="","",E123*F123)</f>
        <v/>
      </c>
      <c r="H123" s="13" t="n">
        <f aca="false">IFERROR(INDEX('3. Costeo y Precios'!$M$14:$M$64,MATCH($B123,'3. Costeo y Precios'!$A$14:$A$64,0)),0)</f>
        <v>0</v>
      </c>
      <c r="I123" s="13" t="str">
        <f aca="false">IF($B123="","",E123*H123)</f>
        <v/>
      </c>
      <c r="J123" s="28"/>
      <c r="K123" s="13" t="str">
        <f aca="false">IF($B123="","",G123*J123)</f>
        <v/>
      </c>
      <c r="L123" s="13" t="str">
        <f aca="false">IF($B123="","",G123-I123-K123)</f>
        <v/>
      </c>
      <c r="M123" s="22" t="str">
        <f aca="false">IFERROR(L123/G123,"")</f>
        <v/>
      </c>
      <c r="N123" s="11"/>
    </row>
    <row r="124" customFormat="false" ht="15" hidden="false" customHeight="false" outlineLevel="0" collapsed="false">
      <c r="A124" s="27"/>
      <c r="B124" s="11"/>
      <c r="C124" s="7" t="str">
        <f aca="false">IFERROR(INDEX('3. Costeo y Precios'!$B$14:$B$64,MATCH($B124,'3. Costeo y Precios'!$A$14:$A$64,0)),"")</f>
        <v/>
      </c>
      <c r="D124" s="11"/>
      <c r="E124" s="11"/>
      <c r="F124" s="9"/>
      <c r="G124" s="13" t="str">
        <f aca="false">IF($B124="","",E124*F124)</f>
        <v/>
      </c>
      <c r="H124" s="13" t="n">
        <f aca="false">IFERROR(INDEX('3. Costeo y Precios'!$M$14:$M$64,MATCH($B124,'3. Costeo y Precios'!$A$14:$A$64,0)),0)</f>
        <v>0</v>
      </c>
      <c r="I124" s="13" t="str">
        <f aca="false">IF($B124="","",E124*H124)</f>
        <v/>
      </c>
      <c r="J124" s="28"/>
      <c r="K124" s="13" t="str">
        <f aca="false">IF($B124="","",G124*J124)</f>
        <v/>
      </c>
      <c r="L124" s="13" t="str">
        <f aca="false">IF($B124="","",G124-I124-K124)</f>
        <v/>
      </c>
      <c r="M124" s="22" t="str">
        <f aca="false">IFERROR(L124/G124,"")</f>
        <v/>
      </c>
      <c r="N124" s="11"/>
    </row>
    <row r="125" customFormat="false" ht="15" hidden="false" customHeight="false" outlineLevel="0" collapsed="false">
      <c r="A125" s="27"/>
      <c r="B125" s="11"/>
      <c r="C125" s="7" t="str">
        <f aca="false">IFERROR(INDEX('3. Costeo y Precios'!$B$14:$B$64,MATCH($B125,'3. Costeo y Precios'!$A$14:$A$64,0)),"")</f>
        <v/>
      </c>
      <c r="D125" s="11"/>
      <c r="E125" s="11"/>
      <c r="F125" s="9"/>
      <c r="G125" s="13" t="str">
        <f aca="false">IF($B125="","",E125*F125)</f>
        <v/>
      </c>
      <c r="H125" s="13" t="n">
        <f aca="false">IFERROR(INDEX('3. Costeo y Precios'!$M$14:$M$64,MATCH($B125,'3. Costeo y Precios'!$A$14:$A$64,0)),0)</f>
        <v>0</v>
      </c>
      <c r="I125" s="13" t="str">
        <f aca="false">IF($B125="","",E125*H125)</f>
        <v/>
      </c>
      <c r="J125" s="28"/>
      <c r="K125" s="13" t="str">
        <f aca="false">IF($B125="","",G125*J125)</f>
        <v/>
      </c>
      <c r="L125" s="13" t="str">
        <f aca="false">IF($B125="","",G125-I125-K125)</f>
        <v/>
      </c>
      <c r="M125" s="22" t="str">
        <f aca="false">IFERROR(L125/G125,"")</f>
        <v/>
      </c>
      <c r="N125" s="11"/>
    </row>
    <row r="126" customFormat="false" ht="15" hidden="false" customHeight="false" outlineLevel="0" collapsed="false">
      <c r="A126" s="27"/>
      <c r="B126" s="11"/>
      <c r="C126" s="7" t="str">
        <f aca="false">IFERROR(INDEX('3. Costeo y Precios'!$B$14:$B$64,MATCH($B126,'3. Costeo y Precios'!$A$14:$A$64,0)),"")</f>
        <v/>
      </c>
      <c r="D126" s="11"/>
      <c r="E126" s="11"/>
      <c r="F126" s="9"/>
      <c r="G126" s="13" t="str">
        <f aca="false">IF($B126="","",E126*F126)</f>
        <v/>
      </c>
      <c r="H126" s="13" t="n">
        <f aca="false">IFERROR(INDEX('3. Costeo y Precios'!$M$14:$M$64,MATCH($B126,'3. Costeo y Precios'!$A$14:$A$64,0)),0)</f>
        <v>0</v>
      </c>
      <c r="I126" s="13" t="str">
        <f aca="false">IF($B126="","",E126*H126)</f>
        <v/>
      </c>
      <c r="J126" s="28"/>
      <c r="K126" s="13" t="str">
        <f aca="false">IF($B126="","",G126*J126)</f>
        <v/>
      </c>
      <c r="L126" s="13" t="str">
        <f aca="false">IF($B126="","",G126-I126-K126)</f>
        <v/>
      </c>
      <c r="M126" s="22" t="str">
        <f aca="false">IFERROR(L126/G126,"")</f>
        <v/>
      </c>
      <c r="N126" s="11"/>
    </row>
    <row r="127" customFormat="false" ht="15" hidden="false" customHeight="false" outlineLevel="0" collapsed="false">
      <c r="A127" s="27"/>
      <c r="B127" s="11"/>
      <c r="C127" s="7" t="str">
        <f aca="false">IFERROR(INDEX('3. Costeo y Precios'!$B$14:$B$64,MATCH($B127,'3. Costeo y Precios'!$A$14:$A$64,0)),"")</f>
        <v/>
      </c>
      <c r="D127" s="11"/>
      <c r="E127" s="11"/>
      <c r="F127" s="9"/>
      <c r="G127" s="13" t="str">
        <f aca="false">IF($B127="","",E127*F127)</f>
        <v/>
      </c>
      <c r="H127" s="13" t="n">
        <f aca="false">IFERROR(INDEX('3. Costeo y Precios'!$M$14:$M$64,MATCH($B127,'3. Costeo y Precios'!$A$14:$A$64,0)),0)</f>
        <v>0</v>
      </c>
      <c r="I127" s="13" t="str">
        <f aca="false">IF($B127="","",E127*H127)</f>
        <v/>
      </c>
      <c r="J127" s="28"/>
      <c r="K127" s="13" t="str">
        <f aca="false">IF($B127="","",G127*J127)</f>
        <v/>
      </c>
      <c r="L127" s="13" t="str">
        <f aca="false">IF($B127="","",G127-I127-K127)</f>
        <v/>
      </c>
      <c r="M127" s="22" t="str">
        <f aca="false">IFERROR(L127/G127,"")</f>
        <v/>
      </c>
      <c r="N127" s="11"/>
    </row>
    <row r="128" customFormat="false" ht="15" hidden="false" customHeight="false" outlineLevel="0" collapsed="false">
      <c r="A128" s="27"/>
      <c r="B128" s="11"/>
      <c r="C128" s="7" t="str">
        <f aca="false">IFERROR(INDEX('3. Costeo y Precios'!$B$14:$B$64,MATCH($B128,'3. Costeo y Precios'!$A$14:$A$64,0)),"")</f>
        <v/>
      </c>
      <c r="D128" s="11"/>
      <c r="E128" s="11"/>
      <c r="F128" s="9"/>
      <c r="G128" s="13" t="str">
        <f aca="false">IF($B128="","",E128*F128)</f>
        <v/>
      </c>
      <c r="H128" s="13" t="n">
        <f aca="false">IFERROR(INDEX('3. Costeo y Precios'!$M$14:$M$64,MATCH($B128,'3. Costeo y Precios'!$A$14:$A$64,0)),0)</f>
        <v>0</v>
      </c>
      <c r="I128" s="13" t="str">
        <f aca="false">IF($B128="","",E128*H128)</f>
        <v/>
      </c>
      <c r="J128" s="28"/>
      <c r="K128" s="13" t="str">
        <f aca="false">IF($B128="","",G128*J128)</f>
        <v/>
      </c>
      <c r="L128" s="13" t="str">
        <f aca="false">IF($B128="","",G128-I128-K128)</f>
        <v/>
      </c>
      <c r="M128" s="22" t="str">
        <f aca="false">IFERROR(L128/G128,"")</f>
        <v/>
      </c>
      <c r="N128" s="11"/>
    </row>
    <row r="129" customFormat="false" ht="15" hidden="false" customHeight="false" outlineLevel="0" collapsed="false">
      <c r="A129" s="27"/>
      <c r="B129" s="11"/>
      <c r="C129" s="7" t="str">
        <f aca="false">IFERROR(INDEX('3. Costeo y Precios'!$B$14:$B$64,MATCH($B129,'3. Costeo y Precios'!$A$14:$A$64,0)),"")</f>
        <v/>
      </c>
      <c r="D129" s="11"/>
      <c r="E129" s="11"/>
      <c r="F129" s="9"/>
      <c r="G129" s="13" t="str">
        <f aca="false">IF($B129="","",E129*F129)</f>
        <v/>
      </c>
      <c r="H129" s="13" t="n">
        <f aca="false">IFERROR(INDEX('3. Costeo y Precios'!$M$14:$M$64,MATCH($B129,'3. Costeo y Precios'!$A$14:$A$64,0)),0)</f>
        <v>0</v>
      </c>
      <c r="I129" s="13" t="str">
        <f aca="false">IF($B129="","",E129*H129)</f>
        <v/>
      </c>
      <c r="J129" s="28"/>
      <c r="K129" s="13" t="str">
        <f aca="false">IF($B129="","",G129*J129)</f>
        <v/>
      </c>
      <c r="L129" s="13" t="str">
        <f aca="false">IF($B129="","",G129-I129-K129)</f>
        <v/>
      </c>
      <c r="M129" s="22" t="str">
        <f aca="false">IFERROR(L129/G129,"")</f>
        <v/>
      </c>
      <c r="N129" s="11"/>
    </row>
    <row r="130" customFormat="false" ht="15" hidden="false" customHeight="false" outlineLevel="0" collapsed="false">
      <c r="A130" s="27"/>
      <c r="B130" s="11"/>
      <c r="C130" s="7" t="str">
        <f aca="false">IFERROR(INDEX('3. Costeo y Precios'!$B$14:$B$64,MATCH($B130,'3. Costeo y Precios'!$A$14:$A$64,0)),"")</f>
        <v/>
      </c>
      <c r="D130" s="11"/>
      <c r="E130" s="11"/>
      <c r="F130" s="9"/>
      <c r="G130" s="13" t="str">
        <f aca="false">IF($B130="","",E130*F130)</f>
        <v/>
      </c>
      <c r="H130" s="13" t="n">
        <f aca="false">IFERROR(INDEX('3. Costeo y Precios'!$M$14:$M$64,MATCH($B130,'3. Costeo y Precios'!$A$14:$A$64,0)),0)</f>
        <v>0</v>
      </c>
      <c r="I130" s="13" t="str">
        <f aca="false">IF($B130="","",E130*H130)</f>
        <v/>
      </c>
      <c r="J130" s="28"/>
      <c r="K130" s="13" t="str">
        <f aca="false">IF($B130="","",G130*J130)</f>
        <v/>
      </c>
      <c r="L130" s="13" t="str">
        <f aca="false">IF($B130="","",G130-I130-K130)</f>
        <v/>
      </c>
      <c r="M130" s="22" t="str">
        <f aca="false">IFERROR(L130/G130,"")</f>
        <v/>
      </c>
      <c r="N130" s="11"/>
    </row>
    <row r="131" customFormat="false" ht="15" hidden="false" customHeight="false" outlineLevel="0" collapsed="false">
      <c r="A131" s="27"/>
      <c r="B131" s="11"/>
      <c r="C131" s="7" t="str">
        <f aca="false">IFERROR(INDEX('3. Costeo y Precios'!$B$14:$B$64,MATCH($B131,'3. Costeo y Precios'!$A$14:$A$64,0)),"")</f>
        <v/>
      </c>
      <c r="D131" s="11"/>
      <c r="E131" s="11"/>
      <c r="F131" s="9"/>
      <c r="G131" s="13" t="str">
        <f aca="false">IF($B131="","",E131*F131)</f>
        <v/>
      </c>
      <c r="H131" s="13" t="n">
        <f aca="false">IFERROR(INDEX('3. Costeo y Precios'!$M$14:$M$64,MATCH($B131,'3. Costeo y Precios'!$A$14:$A$64,0)),0)</f>
        <v>0</v>
      </c>
      <c r="I131" s="13" t="str">
        <f aca="false">IF($B131="","",E131*H131)</f>
        <v/>
      </c>
      <c r="J131" s="28"/>
      <c r="K131" s="13" t="str">
        <f aca="false">IF($B131="","",G131*J131)</f>
        <v/>
      </c>
      <c r="L131" s="13" t="str">
        <f aca="false">IF($B131="","",G131-I131-K131)</f>
        <v/>
      </c>
      <c r="M131" s="22" t="str">
        <f aca="false">IFERROR(L131/G131,"")</f>
        <v/>
      </c>
      <c r="N131" s="11"/>
    </row>
    <row r="132" customFormat="false" ht="15" hidden="false" customHeight="false" outlineLevel="0" collapsed="false">
      <c r="A132" s="27"/>
      <c r="B132" s="11"/>
      <c r="C132" s="7" t="str">
        <f aca="false">IFERROR(INDEX('3. Costeo y Precios'!$B$14:$B$64,MATCH($B132,'3. Costeo y Precios'!$A$14:$A$64,0)),"")</f>
        <v/>
      </c>
      <c r="D132" s="11"/>
      <c r="E132" s="11"/>
      <c r="F132" s="9"/>
      <c r="G132" s="13" t="str">
        <f aca="false">IF($B132="","",E132*F132)</f>
        <v/>
      </c>
      <c r="H132" s="13" t="n">
        <f aca="false">IFERROR(INDEX('3. Costeo y Precios'!$M$14:$M$64,MATCH($B132,'3. Costeo y Precios'!$A$14:$A$64,0)),0)</f>
        <v>0</v>
      </c>
      <c r="I132" s="13" t="str">
        <f aca="false">IF($B132="","",E132*H132)</f>
        <v/>
      </c>
      <c r="J132" s="28"/>
      <c r="K132" s="13" t="str">
        <f aca="false">IF($B132="","",G132*J132)</f>
        <v/>
      </c>
      <c r="L132" s="13" t="str">
        <f aca="false">IF($B132="","",G132-I132-K132)</f>
        <v/>
      </c>
      <c r="M132" s="22" t="str">
        <f aca="false">IFERROR(L132/G132,"")</f>
        <v/>
      </c>
      <c r="N132" s="11"/>
    </row>
    <row r="133" customFormat="false" ht="15" hidden="false" customHeight="false" outlineLevel="0" collapsed="false">
      <c r="A133" s="27"/>
      <c r="B133" s="11"/>
      <c r="C133" s="7" t="str">
        <f aca="false">IFERROR(INDEX('3. Costeo y Precios'!$B$14:$B$64,MATCH($B133,'3. Costeo y Precios'!$A$14:$A$64,0)),"")</f>
        <v/>
      </c>
      <c r="D133" s="11"/>
      <c r="E133" s="11"/>
      <c r="F133" s="9"/>
      <c r="G133" s="13" t="str">
        <f aca="false">IF($B133="","",E133*F133)</f>
        <v/>
      </c>
      <c r="H133" s="13" t="n">
        <f aca="false">IFERROR(INDEX('3. Costeo y Precios'!$M$14:$M$64,MATCH($B133,'3. Costeo y Precios'!$A$14:$A$64,0)),0)</f>
        <v>0</v>
      </c>
      <c r="I133" s="13" t="str">
        <f aca="false">IF($B133="","",E133*H133)</f>
        <v/>
      </c>
      <c r="J133" s="28"/>
      <c r="K133" s="13" t="str">
        <f aca="false">IF($B133="","",G133*J133)</f>
        <v/>
      </c>
      <c r="L133" s="13" t="str">
        <f aca="false">IF($B133="","",G133-I133-K133)</f>
        <v/>
      </c>
      <c r="M133" s="22" t="str">
        <f aca="false">IFERROR(L133/G133,"")</f>
        <v/>
      </c>
      <c r="N133" s="11"/>
    </row>
    <row r="134" customFormat="false" ht="15" hidden="false" customHeight="false" outlineLevel="0" collapsed="false">
      <c r="A134" s="27"/>
      <c r="B134" s="11"/>
      <c r="C134" s="7" t="str">
        <f aca="false">IFERROR(INDEX('3. Costeo y Precios'!$B$14:$B$64,MATCH($B134,'3. Costeo y Precios'!$A$14:$A$64,0)),"")</f>
        <v/>
      </c>
      <c r="D134" s="11"/>
      <c r="E134" s="11"/>
      <c r="F134" s="9"/>
      <c r="G134" s="13" t="str">
        <f aca="false">IF($B134="","",E134*F134)</f>
        <v/>
      </c>
      <c r="H134" s="13" t="n">
        <f aca="false">IFERROR(INDEX('3. Costeo y Precios'!$M$14:$M$64,MATCH($B134,'3. Costeo y Precios'!$A$14:$A$64,0)),0)</f>
        <v>0</v>
      </c>
      <c r="I134" s="13" t="str">
        <f aca="false">IF($B134="","",E134*H134)</f>
        <v/>
      </c>
      <c r="J134" s="28"/>
      <c r="K134" s="13" t="str">
        <f aca="false">IF($B134="","",G134*J134)</f>
        <v/>
      </c>
      <c r="L134" s="13" t="str">
        <f aca="false">IF($B134="","",G134-I134-K134)</f>
        <v/>
      </c>
      <c r="M134" s="22" t="str">
        <f aca="false">IFERROR(L134/G134,"")</f>
        <v/>
      </c>
      <c r="N134" s="11"/>
    </row>
    <row r="135" customFormat="false" ht="15" hidden="false" customHeight="false" outlineLevel="0" collapsed="false">
      <c r="A135" s="27"/>
      <c r="B135" s="11"/>
      <c r="C135" s="7" t="str">
        <f aca="false">IFERROR(INDEX('3. Costeo y Precios'!$B$14:$B$64,MATCH($B135,'3. Costeo y Precios'!$A$14:$A$64,0)),"")</f>
        <v/>
      </c>
      <c r="D135" s="11"/>
      <c r="E135" s="11"/>
      <c r="F135" s="9"/>
      <c r="G135" s="13" t="str">
        <f aca="false">IF($B135="","",E135*F135)</f>
        <v/>
      </c>
      <c r="H135" s="13" t="n">
        <f aca="false">IFERROR(INDEX('3. Costeo y Precios'!$M$14:$M$64,MATCH($B135,'3. Costeo y Precios'!$A$14:$A$64,0)),0)</f>
        <v>0</v>
      </c>
      <c r="I135" s="13" t="str">
        <f aca="false">IF($B135="","",E135*H135)</f>
        <v/>
      </c>
      <c r="J135" s="28"/>
      <c r="K135" s="13" t="str">
        <f aca="false">IF($B135="","",G135*J135)</f>
        <v/>
      </c>
      <c r="L135" s="13" t="str">
        <f aca="false">IF($B135="","",G135-I135-K135)</f>
        <v/>
      </c>
      <c r="M135" s="22" t="str">
        <f aca="false">IFERROR(L135/G135,"")</f>
        <v/>
      </c>
      <c r="N135" s="11"/>
    </row>
    <row r="136" customFormat="false" ht="15" hidden="false" customHeight="false" outlineLevel="0" collapsed="false">
      <c r="A136" s="27"/>
      <c r="B136" s="11"/>
      <c r="C136" s="7" t="str">
        <f aca="false">IFERROR(INDEX('3. Costeo y Precios'!$B$14:$B$64,MATCH($B136,'3. Costeo y Precios'!$A$14:$A$64,0)),"")</f>
        <v/>
      </c>
      <c r="D136" s="11"/>
      <c r="E136" s="11"/>
      <c r="F136" s="9"/>
      <c r="G136" s="13" t="str">
        <f aca="false">IF($B136="","",E136*F136)</f>
        <v/>
      </c>
      <c r="H136" s="13" t="n">
        <f aca="false">IFERROR(INDEX('3. Costeo y Precios'!$M$14:$M$64,MATCH($B136,'3. Costeo y Precios'!$A$14:$A$64,0)),0)</f>
        <v>0</v>
      </c>
      <c r="I136" s="13" t="str">
        <f aca="false">IF($B136="","",E136*H136)</f>
        <v/>
      </c>
      <c r="J136" s="28"/>
      <c r="K136" s="13" t="str">
        <f aca="false">IF($B136="","",G136*J136)</f>
        <v/>
      </c>
      <c r="L136" s="13" t="str">
        <f aca="false">IF($B136="","",G136-I136-K136)</f>
        <v/>
      </c>
      <c r="M136" s="22" t="str">
        <f aca="false">IFERROR(L136/G136,"")</f>
        <v/>
      </c>
      <c r="N136" s="11"/>
    </row>
    <row r="137" customFormat="false" ht="15" hidden="false" customHeight="false" outlineLevel="0" collapsed="false">
      <c r="A137" s="27"/>
      <c r="B137" s="11"/>
      <c r="C137" s="7" t="str">
        <f aca="false">IFERROR(INDEX('3. Costeo y Precios'!$B$14:$B$64,MATCH($B137,'3. Costeo y Precios'!$A$14:$A$64,0)),"")</f>
        <v/>
      </c>
      <c r="D137" s="11"/>
      <c r="E137" s="11"/>
      <c r="F137" s="9"/>
      <c r="G137" s="13" t="str">
        <f aca="false">IF($B137="","",E137*F137)</f>
        <v/>
      </c>
      <c r="H137" s="13" t="n">
        <f aca="false">IFERROR(INDEX('3. Costeo y Precios'!$M$14:$M$64,MATCH($B137,'3. Costeo y Precios'!$A$14:$A$64,0)),0)</f>
        <v>0</v>
      </c>
      <c r="I137" s="13" t="str">
        <f aca="false">IF($B137="","",E137*H137)</f>
        <v/>
      </c>
      <c r="J137" s="28"/>
      <c r="K137" s="13" t="str">
        <f aca="false">IF($B137="","",G137*J137)</f>
        <v/>
      </c>
      <c r="L137" s="13" t="str">
        <f aca="false">IF($B137="","",G137-I137-K137)</f>
        <v/>
      </c>
      <c r="M137" s="22" t="str">
        <f aca="false">IFERROR(L137/G137,"")</f>
        <v/>
      </c>
      <c r="N137" s="11"/>
    </row>
    <row r="138" customFormat="false" ht="15" hidden="false" customHeight="false" outlineLevel="0" collapsed="false">
      <c r="A138" s="27"/>
      <c r="B138" s="11"/>
      <c r="C138" s="7" t="str">
        <f aca="false">IFERROR(INDEX('3. Costeo y Precios'!$B$14:$B$64,MATCH($B138,'3. Costeo y Precios'!$A$14:$A$64,0)),"")</f>
        <v/>
      </c>
      <c r="D138" s="11"/>
      <c r="E138" s="11"/>
      <c r="F138" s="9"/>
      <c r="G138" s="13" t="str">
        <f aca="false">IF($B138="","",E138*F138)</f>
        <v/>
      </c>
      <c r="H138" s="13" t="n">
        <f aca="false">IFERROR(INDEX('3. Costeo y Precios'!$M$14:$M$64,MATCH($B138,'3. Costeo y Precios'!$A$14:$A$64,0)),0)</f>
        <v>0</v>
      </c>
      <c r="I138" s="13" t="str">
        <f aca="false">IF($B138="","",E138*H138)</f>
        <v/>
      </c>
      <c r="J138" s="28"/>
      <c r="K138" s="13" t="str">
        <f aca="false">IF($B138="","",G138*J138)</f>
        <v/>
      </c>
      <c r="L138" s="13" t="str">
        <f aca="false">IF($B138="","",G138-I138-K138)</f>
        <v/>
      </c>
      <c r="M138" s="22" t="str">
        <f aca="false">IFERROR(L138/G138,"")</f>
        <v/>
      </c>
      <c r="N138" s="11"/>
    </row>
    <row r="139" customFormat="false" ht="15" hidden="false" customHeight="false" outlineLevel="0" collapsed="false">
      <c r="A139" s="27"/>
      <c r="B139" s="11"/>
      <c r="C139" s="7" t="str">
        <f aca="false">IFERROR(INDEX('3. Costeo y Precios'!$B$14:$B$64,MATCH($B139,'3. Costeo y Precios'!$A$14:$A$64,0)),"")</f>
        <v/>
      </c>
      <c r="D139" s="11"/>
      <c r="E139" s="11"/>
      <c r="F139" s="9"/>
      <c r="G139" s="13" t="str">
        <f aca="false">IF($B139="","",E139*F139)</f>
        <v/>
      </c>
      <c r="H139" s="13" t="n">
        <f aca="false">IFERROR(INDEX('3. Costeo y Precios'!$M$14:$M$64,MATCH($B139,'3. Costeo y Precios'!$A$14:$A$64,0)),0)</f>
        <v>0</v>
      </c>
      <c r="I139" s="13" t="str">
        <f aca="false">IF($B139="","",E139*H139)</f>
        <v/>
      </c>
      <c r="J139" s="28"/>
      <c r="K139" s="13" t="str">
        <f aca="false">IF($B139="","",G139*J139)</f>
        <v/>
      </c>
      <c r="L139" s="13" t="str">
        <f aca="false">IF($B139="","",G139-I139-K139)</f>
        <v/>
      </c>
      <c r="M139" s="22" t="str">
        <f aca="false">IFERROR(L139/G139,"")</f>
        <v/>
      </c>
      <c r="N139" s="11"/>
    </row>
    <row r="140" customFormat="false" ht="15" hidden="false" customHeight="false" outlineLevel="0" collapsed="false">
      <c r="A140" s="27"/>
      <c r="B140" s="11"/>
      <c r="C140" s="7" t="str">
        <f aca="false">IFERROR(INDEX('3. Costeo y Precios'!$B$14:$B$64,MATCH($B140,'3. Costeo y Precios'!$A$14:$A$64,0)),"")</f>
        <v/>
      </c>
      <c r="D140" s="11"/>
      <c r="E140" s="11"/>
      <c r="F140" s="9"/>
      <c r="G140" s="13" t="str">
        <f aca="false">IF($B140="","",E140*F140)</f>
        <v/>
      </c>
      <c r="H140" s="13" t="n">
        <f aca="false">IFERROR(INDEX('3. Costeo y Precios'!$M$14:$M$64,MATCH($B140,'3. Costeo y Precios'!$A$14:$A$64,0)),0)</f>
        <v>0</v>
      </c>
      <c r="I140" s="13" t="str">
        <f aca="false">IF($B140="","",E140*H140)</f>
        <v/>
      </c>
      <c r="J140" s="28"/>
      <c r="K140" s="13" t="str">
        <f aca="false">IF($B140="","",G140*J140)</f>
        <v/>
      </c>
      <c r="L140" s="13" t="str">
        <f aca="false">IF($B140="","",G140-I140-K140)</f>
        <v/>
      </c>
      <c r="M140" s="22" t="str">
        <f aca="false">IFERROR(L140/G140,"")</f>
        <v/>
      </c>
      <c r="N140" s="11"/>
    </row>
    <row r="141" customFormat="false" ht="15" hidden="false" customHeight="false" outlineLevel="0" collapsed="false">
      <c r="A141" s="27"/>
      <c r="B141" s="11"/>
      <c r="C141" s="7" t="str">
        <f aca="false">IFERROR(INDEX('3. Costeo y Precios'!$B$14:$B$64,MATCH($B141,'3. Costeo y Precios'!$A$14:$A$64,0)),"")</f>
        <v/>
      </c>
      <c r="D141" s="11"/>
      <c r="E141" s="11"/>
      <c r="F141" s="9"/>
      <c r="G141" s="13" t="str">
        <f aca="false">IF($B141="","",E141*F141)</f>
        <v/>
      </c>
      <c r="H141" s="13" t="n">
        <f aca="false">IFERROR(INDEX('3. Costeo y Precios'!$M$14:$M$64,MATCH($B141,'3. Costeo y Precios'!$A$14:$A$64,0)),0)</f>
        <v>0</v>
      </c>
      <c r="I141" s="13" t="str">
        <f aca="false">IF($B141="","",E141*H141)</f>
        <v/>
      </c>
      <c r="J141" s="28"/>
      <c r="K141" s="13" t="str">
        <f aca="false">IF($B141="","",G141*J141)</f>
        <v/>
      </c>
      <c r="L141" s="13" t="str">
        <f aca="false">IF($B141="","",G141-I141-K141)</f>
        <v/>
      </c>
      <c r="M141" s="22" t="str">
        <f aca="false">IFERROR(L141/G141,"")</f>
        <v/>
      </c>
      <c r="N141" s="11"/>
    </row>
    <row r="142" customFormat="false" ht="15" hidden="false" customHeight="false" outlineLevel="0" collapsed="false">
      <c r="A142" s="27"/>
      <c r="B142" s="11"/>
      <c r="C142" s="7" t="str">
        <f aca="false">IFERROR(INDEX('3. Costeo y Precios'!$B$14:$B$64,MATCH($B142,'3. Costeo y Precios'!$A$14:$A$64,0)),"")</f>
        <v/>
      </c>
      <c r="D142" s="11"/>
      <c r="E142" s="11"/>
      <c r="F142" s="9"/>
      <c r="G142" s="13" t="str">
        <f aca="false">IF($B142="","",E142*F142)</f>
        <v/>
      </c>
      <c r="H142" s="13" t="n">
        <f aca="false">IFERROR(INDEX('3. Costeo y Precios'!$M$14:$M$64,MATCH($B142,'3. Costeo y Precios'!$A$14:$A$64,0)),0)</f>
        <v>0</v>
      </c>
      <c r="I142" s="13" t="str">
        <f aca="false">IF($B142="","",E142*H142)</f>
        <v/>
      </c>
      <c r="J142" s="28"/>
      <c r="K142" s="13" t="str">
        <f aca="false">IF($B142="","",G142*J142)</f>
        <v/>
      </c>
      <c r="L142" s="13" t="str">
        <f aca="false">IF($B142="","",G142-I142-K142)</f>
        <v/>
      </c>
      <c r="M142" s="22" t="str">
        <f aca="false">IFERROR(L142/G142,"")</f>
        <v/>
      </c>
      <c r="N142" s="11"/>
    </row>
    <row r="143" customFormat="false" ht="15" hidden="false" customHeight="false" outlineLevel="0" collapsed="false">
      <c r="A143" s="27"/>
      <c r="B143" s="11"/>
      <c r="C143" s="7" t="str">
        <f aca="false">IFERROR(INDEX('3. Costeo y Precios'!$B$14:$B$64,MATCH($B143,'3. Costeo y Precios'!$A$14:$A$64,0)),"")</f>
        <v/>
      </c>
      <c r="D143" s="11"/>
      <c r="E143" s="11"/>
      <c r="F143" s="9"/>
      <c r="G143" s="13" t="str">
        <f aca="false">IF($B143="","",E143*F143)</f>
        <v/>
      </c>
      <c r="H143" s="13" t="n">
        <f aca="false">IFERROR(INDEX('3. Costeo y Precios'!$M$14:$M$64,MATCH($B143,'3. Costeo y Precios'!$A$14:$A$64,0)),0)</f>
        <v>0</v>
      </c>
      <c r="I143" s="13" t="str">
        <f aca="false">IF($B143="","",E143*H143)</f>
        <v/>
      </c>
      <c r="J143" s="28"/>
      <c r="K143" s="13" t="str">
        <f aca="false">IF($B143="","",G143*J143)</f>
        <v/>
      </c>
      <c r="L143" s="13" t="str">
        <f aca="false">IF($B143="","",G143-I143-K143)</f>
        <v/>
      </c>
      <c r="M143" s="22" t="str">
        <f aca="false">IFERROR(L143/G143,"")</f>
        <v/>
      </c>
      <c r="N143" s="11"/>
    </row>
    <row r="144" customFormat="false" ht="15" hidden="false" customHeight="false" outlineLevel="0" collapsed="false">
      <c r="A144" s="27"/>
      <c r="B144" s="11"/>
      <c r="C144" s="7" t="str">
        <f aca="false">IFERROR(INDEX('3. Costeo y Precios'!$B$14:$B$64,MATCH($B144,'3. Costeo y Precios'!$A$14:$A$64,0)),"")</f>
        <v/>
      </c>
      <c r="D144" s="11"/>
      <c r="E144" s="11"/>
      <c r="F144" s="9"/>
      <c r="G144" s="13" t="str">
        <f aca="false">IF($B144="","",E144*F144)</f>
        <v/>
      </c>
      <c r="H144" s="13" t="n">
        <f aca="false">IFERROR(INDEX('3. Costeo y Precios'!$M$14:$M$64,MATCH($B144,'3. Costeo y Precios'!$A$14:$A$64,0)),0)</f>
        <v>0</v>
      </c>
      <c r="I144" s="13" t="str">
        <f aca="false">IF($B144="","",E144*H144)</f>
        <v/>
      </c>
      <c r="J144" s="28"/>
      <c r="K144" s="13" t="str">
        <f aca="false">IF($B144="","",G144*J144)</f>
        <v/>
      </c>
      <c r="L144" s="13" t="str">
        <f aca="false">IF($B144="","",G144-I144-K144)</f>
        <v/>
      </c>
      <c r="M144" s="22" t="str">
        <f aca="false">IFERROR(L144/G144,"")</f>
        <v/>
      </c>
      <c r="N144" s="11"/>
    </row>
    <row r="145" customFormat="false" ht="15" hidden="false" customHeight="false" outlineLevel="0" collapsed="false">
      <c r="A145" s="27"/>
      <c r="B145" s="11"/>
      <c r="C145" s="7" t="str">
        <f aca="false">IFERROR(INDEX('3. Costeo y Precios'!$B$14:$B$64,MATCH($B145,'3. Costeo y Precios'!$A$14:$A$64,0)),"")</f>
        <v/>
      </c>
      <c r="D145" s="11"/>
      <c r="E145" s="11"/>
      <c r="F145" s="9"/>
      <c r="G145" s="13" t="str">
        <f aca="false">IF($B145="","",E145*F145)</f>
        <v/>
      </c>
      <c r="H145" s="13" t="n">
        <f aca="false">IFERROR(INDEX('3. Costeo y Precios'!$M$14:$M$64,MATCH($B145,'3. Costeo y Precios'!$A$14:$A$64,0)),0)</f>
        <v>0</v>
      </c>
      <c r="I145" s="13" t="str">
        <f aca="false">IF($B145="","",E145*H145)</f>
        <v/>
      </c>
      <c r="J145" s="28"/>
      <c r="K145" s="13" t="str">
        <f aca="false">IF($B145="","",G145*J145)</f>
        <v/>
      </c>
      <c r="L145" s="13" t="str">
        <f aca="false">IF($B145="","",G145-I145-K145)</f>
        <v/>
      </c>
      <c r="M145" s="22" t="str">
        <f aca="false">IFERROR(L145/G145,"")</f>
        <v/>
      </c>
      <c r="N145" s="11"/>
    </row>
    <row r="146" customFormat="false" ht="15" hidden="false" customHeight="false" outlineLevel="0" collapsed="false">
      <c r="A146" s="27"/>
      <c r="B146" s="11"/>
      <c r="C146" s="7" t="str">
        <f aca="false">IFERROR(INDEX('3. Costeo y Precios'!$B$14:$B$64,MATCH($B146,'3. Costeo y Precios'!$A$14:$A$64,0)),"")</f>
        <v/>
      </c>
      <c r="D146" s="11"/>
      <c r="E146" s="11"/>
      <c r="F146" s="9"/>
      <c r="G146" s="13" t="str">
        <f aca="false">IF($B146="","",E146*F146)</f>
        <v/>
      </c>
      <c r="H146" s="13" t="n">
        <f aca="false">IFERROR(INDEX('3. Costeo y Precios'!$M$14:$M$64,MATCH($B146,'3. Costeo y Precios'!$A$14:$A$64,0)),0)</f>
        <v>0</v>
      </c>
      <c r="I146" s="13" t="str">
        <f aca="false">IF($B146="","",E146*H146)</f>
        <v/>
      </c>
      <c r="J146" s="28"/>
      <c r="K146" s="13" t="str">
        <f aca="false">IF($B146="","",G146*J146)</f>
        <v/>
      </c>
      <c r="L146" s="13" t="str">
        <f aca="false">IF($B146="","",G146-I146-K146)</f>
        <v/>
      </c>
      <c r="M146" s="22" t="str">
        <f aca="false">IFERROR(L146/G146,"")</f>
        <v/>
      </c>
      <c r="N146" s="11"/>
    </row>
    <row r="147" customFormat="false" ht="15" hidden="false" customHeight="false" outlineLevel="0" collapsed="false">
      <c r="A147" s="27"/>
      <c r="B147" s="11"/>
      <c r="C147" s="7" t="str">
        <f aca="false">IFERROR(INDEX('3. Costeo y Precios'!$B$14:$B$64,MATCH($B147,'3. Costeo y Precios'!$A$14:$A$64,0)),"")</f>
        <v/>
      </c>
      <c r="D147" s="11"/>
      <c r="E147" s="11"/>
      <c r="F147" s="9"/>
      <c r="G147" s="13" t="str">
        <f aca="false">IF($B147="","",E147*F147)</f>
        <v/>
      </c>
      <c r="H147" s="13" t="n">
        <f aca="false">IFERROR(INDEX('3. Costeo y Precios'!$M$14:$M$64,MATCH($B147,'3. Costeo y Precios'!$A$14:$A$64,0)),0)</f>
        <v>0</v>
      </c>
      <c r="I147" s="13" t="str">
        <f aca="false">IF($B147="","",E147*H147)</f>
        <v/>
      </c>
      <c r="J147" s="28"/>
      <c r="K147" s="13" t="str">
        <f aca="false">IF($B147="","",G147*J147)</f>
        <v/>
      </c>
      <c r="L147" s="13" t="str">
        <f aca="false">IF($B147="","",G147-I147-K147)</f>
        <v/>
      </c>
      <c r="M147" s="22" t="str">
        <f aca="false">IFERROR(L147/G147,"")</f>
        <v/>
      </c>
      <c r="N147" s="11"/>
    </row>
    <row r="148" customFormat="false" ht="15" hidden="false" customHeight="false" outlineLevel="0" collapsed="false">
      <c r="A148" s="27"/>
      <c r="B148" s="11"/>
      <c r="C148" s="7" t="str">
        <f aca="false">IFERROR(INDEX('3. Costeo y Precios'!$B$14:$B$64,MATCH($B148,'3. Costeo y Precios'!$A$14:$A$64,0)),"")</f>
        <v/>
      </c>
      <c r="D148" s="11"/>
      <c r="E148" s="11"/>
      <c r="F148" s="9"/>
      <c r="G148" s="13" t="str">
        <f aca="false">IF($B148="","",E148*F148)</f>
        <v/>
      </c>
      <c r="H148" s="13" t="n">
        <f aca="false">IFERROR(INDEX('3. Costeo y Precios'!$M$14:$M$64,MATCH($B148,'3. Costeo y Precios'!$A$14:$A$64,0)),0)</f>
        <v>0</v>
      </c>
      <c r="I148" s="13" t="str">
        <f aca="false">IF($B148="","",E148*H148)</f>
        <v/>
      </c>
      <c r="J148" s="28"/>
      <c r="K148" s="13" t="str">
        <f aca="false">IF($B148="","",G148*J148)</f>
        <v/>
      </c>
      <c r="L148" s="13" t="str">
        <f aca="false">IF($B148="","",G148-I148-K148)</f>
        <v/>
      </c>
      <c r="M148" s="22" t="str">
        <f aca="false">IFERROR(L148/G148,"")</f>
        <v/>
      </c>
      <c r="N148" s="11"/>
    </row>
    <row r="149" customFormat="false" ht="15" hidden="false" customHeight="false" outlineLevel="0" collapsed="false">
      <c r="A149" s="27"/>
      <c r="B149" s="11"/>
      <c r="C149" s="7" t="str">
        <f aca="false">IFERROR(INDEX('3. Costeo y Precios'!$B$14:$B$64,MATCH($B149,'3. Costeo y Precios'!$A$14:$A$64,0)),"")</f>
        <v/>
      </c>
      <c r="D149" s="11"/>
      <c r="E149" s="11"/>
      <c r="F149" s="9"/>
      <c r="G149" s="13" t="str">
        <f aca="false">IF($B149="","",E149*F149)</f>
        <v/>
      </c>
      <c r="H149" s="13" t="n">
        <f aca="false">IFERROR(INDEX('3. Costeo y Precios'!$M$14:$M$64,MATCH($B149,'3. Costeo y Precios'!$A$14:$A$64,0)),0)</f>
        <v>0</v>
      </c>
      <c r="I149" s="13" t="str">
        <f aca="false">IF($B149="","",E149*H149)</f>
        <v/>
      </c>
      <c r="J149" s="28"/>
      <c r="K149" s="13" t="str">
        <f aca="false">IF($B149="","",G149*J149)</f>
        <v/>
      </c>
      <c r="L149" s="13" t="str">
        <f aca="false">IF($B149="","",G149-I149-K149)</f>
        <v/>
      </c>
      <c r="M149" s="22" t="str">
        <f aca="false">IFERROR(L149/G149,"")</f>
        <v/>
      </c>
      <c r="N149" s="11"/>
    </row>
    <row r="150" customFormat="false" ht="15" hidden="false" customHeight="false" outlineLevel="0" collapsed="false">
      <c r="A150" s="27"/>
      <c r="B150" s="11"/>
      <c r="C150" s="7" t="str">
        <f aca="false">IFERROR(INDEX('3. Costeo y Precios'!$B$14:$B$64,MATCH($B150,'3. Costeo y Precios'!$A$14:$A$64,0)),"")</f>
        <v/>
      </c>
      <c r="D150" s="11"/>
      <c r="E150" s="11"/>
      <c r="F150" s="9"/>
      <c r="G150" s="13" t="str">
        <f aca="false">IF($B150="","",E150*F150)</f>
        <v/>
      </c>
      <c r="H150" s="13" t="n">
        <f aca="false">IFERROR(INDEX('3. Costeo y Precios'!$M$14:$M$64,MATCH($B150,'3. Costeo y Precios'!$A$14:$A$64,0)),0)</f>
        <v>0</v>
      </c>
      <c r="I150" s="13" t="str">
        <f aca="false">IF($B150="","",E150*H150)</f>
        <v/>
      </c>
      <c r="J150" s="28"/>
      <c r="K150" s="13" t="str">
        <f aca="false">IF($B150="","",G150*J150)</f>
        <v/>
      </c>
      <c r="L150" s="13" t="str">
        <f aca="false">IF($B150="","",G150-I150-K150)</f>
        <v/>
      </c>
      <c r="M150" s="22" t="str">
        <f aca="false">IFERROR(L150/G150,"")</f>
        <v/>
      </c>
      <c r="N150" s="11"/>
    </row>
    <row r="151" customFormat="false" ht="15" hidden="false" customHeight="false" outlineLevel="0" collapsed="false">
      <c r="A151" s="27"/>
      <c r="B151" s="11"/>
      <c r="C151" s="7" t="str">
        <f aca="false">IFERROR(INDEX('3. Costeo y Precios'!$B$14:$B$64,MATCH($B151,'3. Costeo y Precios'!$A$14:$A$64,0)),"")</f>
        <v/>
      </c>
      <c r="D151" s="11"/>
      <c r="E151" s="11"/>
      <c r="F151" s="9"/>
      <c r="G151" s="13" t="str">
        <f aca="false">IF($B151="","",E151*F151)</f>
        <v/>
      </c>
      <c r="H151" s="13" t="n">
        <f aca="false">IFERROR(INDEX('3. Costeo y Precios'!$M$14:$M$64,MATCH($B151,'3. Costeo y Precios'!$A$14:$A$64,0)),0)</f>
        <v>0</v>
      </c>
      <c r="I151" s="13" t="str">
        <f aca="false">IF($B151="","",E151*H151)</f>
        <v/>
      </c>
      <c r="J151" s="28"/>
      <c r="K151" s="13" t="str">
        <f aca="false">IF($B151="","",G151*J151)</f>
        <v/>
      </c>
      <c r="L151" s="13" t="str">
        <f aca="false">IF($B151="","",G151-I151-K151)</f>
        <v/>
      </c>
      <c r="M151" s="22" t="str">
        <f aca="false">IFERROR(L151/G151,"")</f>
        <v/>
      </c>
      <c r="N151" s="11"/>
    </row>
    <row r="152" customFormat="false" ht="15" hidden="false" customHeight="false" outlineLevel="0" collapsed="false">
      <c r="A152" s="27"/>
      <c r="B152" s="11"/>
      <c r="C152" s="7" t="str">
        <f aca="false">IFERROR(INDEX('3. Costeo y Precios'!$B$14:$B$64,MATCH($B152,'3. Costeo y Precios'!$A$14:$A$64,0)),"")</f>
        <v/>
      </c>
      <c r="D152" s="11"/>
      <c r="E152" s="11"/>
      <c r="F152" s="9"/>
      <c r="G152" s="13" t="str">
        <f aca="false">IF($B152="","",E152*F152)</f>
        <v/>
      </c>
      <c r="H152" s="13" t="n">
        <f aca="false">IFERROR(INDEX('3. Costeo y Precios'!$M$14:$M$64,MATCH($B152,'3. Costeo y Precios'!$A$14:$A$64,0)),0)</f>
        <v>0</v>
      </c>
      <c r="I152" s="13" t="str">
        <f aca="false">IF($B152="","",E152*H152)</f>
        <v/>
      </c>
      <c r="J152" s="28"/>
      <c r="K152" s="13" t="str">
        <f aca="false">IF($B152="","",G152*J152)</f>
        <v/>
      </c>
      <c r="L152" s="13" t="str">
        <f aca="false">IF($B152="","",G152-I152-K152)</f>
        <v/>
      </c>
      <c r="M152" s="22" t="str">
        <f aca="false">IFERROR(L152/G152,"")</f>
        <v/>
      </c>
      <c r="N152" s="11"/>
    </row>
    <row r="153" customFormat="false" ht="15" hidden="false" customHeight="false" outlineLevel="0" collapsed="false">
      <c r="A153" s="27"/>
      <c r="B153" s="11"/>
      <c r="C153" s="7" t="str">
        <f aca="false">IFERROR(INDEX('3. Costeo y Precios'!$B$14:$B$64,MATCH($B153,'3. Costeo y Precios'!$A$14:$A$64,0)),"")</f>
        <v/>
      </c>
      <c r="D153" s="11"/>
      <c r="E153" s="11"/>
      <c r="F153" s="9"/>
      <c r="G153" s="13" t="str">
        <f aca="false">IF($B153="","",E153*F153)</f>
        <v/>
      </c>
      <c r="H153" s="13" t="n">
        <f aca="false">IFERROR(INDEX('3. Costeo y Precios'!$M$14:$M$64,MATCH($B153,'3. Costeo y Precios'!$A$14:$A$64,0)),0)</f>
        <v>0</v>
      </c>
      <c r="I153" s="13" t="str">
        <f aca="false">IF($B153="","",E153*H153)</f>
        <v/>
      </c>
      <c r="J153" s="28"/>
      <c r="K153" s="13" t="str">
        <f aca="false">IF($B153="","",G153*J153)</f>
        <v/>
      </c>
      <c r="L153" s="13" t="str">
        <f aca="false">IF($B153="","",G153-I153-K153)</f>
        <v/>
      </c>
      <c r="M153" s="22" t="str">
        <f aca="false">IFERROR(L153/G153,"")</f>
        <v/>
      </c>
      <c r="N153" s="11"/>
    </row>
    <row r="154" customFormat="false" ht="15" hidden="false" customHeight="false" outlineLevel="0" collapsed="false">
      <c r="A154" s="27"/>
      <c r="B154" s="11"/>
      <c r="C154" s="7" t="str">
        <f aca="false">IFERROR(INDEX('3. Costeo y Precios'!$B$14:$B$64,MATCH($B154,'3. Costeo y Precios'!$A$14:$A$64,0)),"")</f>
        <v/>
      </c>
      <c r="D154" s="11"/>
      <c r="E154" s="11"/>
      <c r="F154" s="9"/>
      <c r="G154" s="13" t="str">
        <f aca="false">IF($B154="","",E154*F154)</f>
        <v/>
      </c>
      <c r="H154" s="13" t="n">
        <f aca="false">IFERROR(INDEX('3. Costeo y Precios'!$M$14:$M$64,MATCH($B154,'3. Costeo y Precios'!$A$14:$A$64,0)),0)</f>
        <v>0</v>
      </c>
      <c r="I154" s="13" t="str">
        <f aca="false">IF($B154="","",E154*H154)</f>
        <v/>
      </c>
      <c r="J154" s="28"/>
      <c r="K154" s="13" t="str">
        <f aca="false">IF($B154="","",G154*J154)</f>
        <v/>
      </c>
      <c r="L154" s="13" t="str">
        <f aca="false">IF($B154="","",G154-I154-K154)</f>
        <v/>
      </c>
      <c r="M154" s="22" t="str">
        <f aca="false">IFERROR(L154/G154,"")</f>
        <v/>
      </c>
      <c r="N154" s="11"/>
    </row>
    <row r="155" customFormat="false" ht="15" hidden="false" customHeight="false" outlineLevel="0" collapsed="false">
      <c r="A155" s="27"/>
      <c r="B155" s="11"/>
      <c r="C155" s="7" t="str">
        <f aca="false">IFERROR(INDEX('3. Costeo y Precios'!$B$14:$B$64,MATCH($B155,'3. Costeo y Precios'!$A$14:$A$64,0)),"")</f>
        <v/>
      </c>
      <c r="D155" s="11"/>
      <c r="E155" s="11"/>
      <c r="F155" s="9"/>
      <c r="G155" s="13" t="str">
        <f aca="false">IF($B155="","",E155*F155)</f>
        <v/>
      </c>
      <c r="H155" s="13" t="n">
        <f aca="false">IFERROR(INDEX('3. Costeo y Precios'!$M$14:$M$64,MATCH($B155,'3. Costeo y Precios'!$A$14:$A$64,0)),0)</f>
        <v>0</v>
      </c>
      <c r="I155" s="13" t="str">
        <f aca="false">IF($B155="","",E155*H155)</f>
        <v/>
      </c>
      <c r="J155" s="28"/>
      <c r="K155" s="13" t="str">
        <f aca="false">IF($B155="","",G155*J155)</f>
        <v/>
      </c>
      <c r="L155" s="13" t="str">
        <f aca="false">IF($B155="","",G155-I155-K155)</f>
        <v/>
      </c>
      <c r="M155" s="22" t="str">
        <f aca="false">IFERROR(L155/G155,"")</f>
        <v/>
      </c>
      <c r="N155" s="11"/>
    </row>
    <row r="156" customFormat="false" ht="15" hidden="false" customHeight="false" outlineLevel="0" collapsed="false">
      <c r="A156" s="27"/>
      <c r="B156" s="11"/>
      <c r="C156" s="7" t="str">
        <f aca="false">IFERROR(INDEX('3. Costeo y Precios'!$B$14:$B$64,MATCH($B156,'3. Costeo y Precios'!$A$14:$A$64,0)),"")</f>
        <v/>
      </c>
      <c r="D156" s="11"/>
      <c r="E156" s="11"/>
      <c r="F156" s="9"/>
      <c r="G156" s="13" t="str">
        <f aca="false">IF($B156="","",E156*F156)</f>
        <v/>
      </c>
      <c r="H156" s="13" t="n">
        <f aca="false">IFERROR(INDEX('3. Costeo y Precios'!$M$14:$M$64,MATCH($B156,'3. Costeo y Precios'!$A$14:$A$64,0)),0)</f>
        <v>0</v>
      </c>
      <c r="I156" s="13" t="str">
        <f aca="false">IF($B156="","",E156*H156)</f>
        <v/>
      </c>
      <c r="J156" s="28"/>
      <c r="K156" s="13" t="str">
        <f aca="false">IF($B156="","",G156*J156)</f>
        <v/>
      </c>
      <c r="L156" s="13" t="str">
        <f aca="false">IF($B156="","",G156-I156-K156)</f>
        <v/>
      </c>
      <c r="M156" s="22" t="str">
        <f aca="false">IFERROR(L156/G156,"")</f>
        <v/>
      </c>
      <c r="N156" s="11"/>
    </row>
    <row r="157" customFormat="false" ht="15" hidden="false" customHeight="false" outlineLevel="0" collapsed="false">
      <c r="A157" s="27"/>
      <c r="B157" s="11"/>
      <c r="C157" s="7" t="str">
        <f aca="false">IFERROR(INDEX('3. Costeo y Precios'!$B$14:$B$64,MATCH($B157,'3. Costeo y Precios'!$A$14:$A$64,0)),"")</f>
        <v/>
      </c>
      <c r="D157" s="11"/>
      <c r="E157" s="11"/>
      <c r="F157" s="9"/>
      <c r="G157" s="13" t="str">
        <f aca="false">IF($B157="","",E157*F157)</f>
        <v/>
      </c>
      <c r="H157" s="13" t="n">
        <f aca="false">IFERROR(INDEX('3. Costeo y Precios'!$M$14:$M$64,MATCH($B157,'3. Costeo y Precios'!$A$14:$A$64,0)),0)</f>
        <v>0</v>
      </c>
      <c r="I157" s="13" t="str">
        <f aca="false">IF($B157="","",E157*H157)</f>
        <v/>
      </c>
      <c r="J157" s="28"/>
      <c r="K157" s="13" t="str">
        <f aca="false">IF($B157="","",G157*J157)</f>
        <v/>
      </c>
      <c r="L157" s="13" t="str">
        <f aca="false">IF($B157="","",G157-I157-K157)</f>
        <v/>
      </c>
      <c r="M157" s="22" t="str">
        <f aca="false">IFERROR(L157/G157,"")</f>
        <v/>
      </c>
      <c r="N157" s="11"/>
    </row>
    <row r="158" customFormat="false" ht="15" hidden="false" customHeight="false" outlineLevel="0" collapsed="false">
      <c r="A158" s="27"/>
      <c r="B158" s="11"/>
      <c r="C158" s="7" t="str">
        <f aca="false">IFERROR(INDEX('3. Costeo y Precios'!$B$14:$B$64,MATCH($B158,'3. Costeo y Precios'!$A$14:$A$64,0)),"")</f>
        <v/>
      </c>
      <c r="D158" s="11"/>
      <c r="E158" s="11"/>
      <c r="F158" s="9"/>
      <c r="G158" s="13" t="str">
        <f aca="false">IF($B158="","",E158*F158)</f>
        <v/>
      </c>
      <c r="H158" s="13" t="n">
        <f aca="false">IFERROR(INDEX('3. Costeo y Precios'!$M$14:$M$64,MATCH($B158,'3. Costeo y Precios'!$A$14:$A$64,0)),0)</f>
        <v>0</v>
      </c>
      <c r="I158" s="13" t="str">
        <f aca="false">IF($B158="","",E158*H158)</f>
        <v/>
      </c>
      <c r="J158" s="28"/>
      <c r="K158" s="13" t="str">
        <f aca="false">IF($B158="","",G158*J158)</f>
        <v/>
      </c>
      <c r="L158" s="13" t="str">
        <f aca="false">IF($B158="","",G158-I158-K158)</f>
        <v/>
      </c>
      <c r="M158" s="22" t="str">
        <f aca="false">IFERROR(L158/G158,"")</f>
        <v/>
      </c>
      <c r="N158" s="11"/>
    </row>
    <row r="159" customFormat="false" ht="15" hidden="false" customHeight="false" outlineLevel="0" collapsed="false">
      <c r="A159" s="27"/>
      <c r="B159" s="11"/>
      <c r="C159" s="7" t="str">
        <f aca="false">IFERROR(INDEX('3. Costeo y Precios'!$B$14:$B$64,MATCH($B159,'3. Costeo y Precios'!$A$14:$A$64,0)),"")</f>
        <v/>
      </c>
      <c r="D159" s="11"/>
      <c r="E159" s="11"/>
      <c r="F159" s="9"/>
      <c r="G159" s="13" t="str">
        <f aca="false">IF($B159="","",E159*F159)</f>
        <v/>
      </c>
      <c r="H159" s="13" t="n">
        <f aca="false">IFERROR(INDEX('3. Costeo y Precios'!$M$14:$M$64,MATCH($B159,'3. Costeo y Precios'!$A$14:$A$64,0)),0)</f>
        <v>0</v>
      </c>
      <c r="I159" s="13" t="str">
        <f aca="false">IF($B159="","",E159*H159)</f>
        <v/>
      </c>
      <c r="J159" s="28"/>
      <c r="K159" s="13" t="str">
        <f aca="false">IF($B159="","",G159*J159)</f>
        <v/>
      </c>
      <c r="L159" s="13" t="str">
        <f aca="false">IF($B159="","",G159-I159-K159)</f>
        <v/>
      </c>
      <c r="M159" s="22" t="str">
        <f aca="false">IFERROR(L159/G159,"")</f>
        <v/>
      </c>
      <c r="N159" s="11"/>
    </row>
    <row r="160" customFormat="false" ht="15" hidden="false" customHeight="false" outlineLevel="0" collapsed="false">
      <c r="A160" s="27"/>
      <c r="B160" s="11"/>
      <c r="C160" s="7" t="str">
        <f aca="false">IFERROR(INDEX('3. Costeo y Precios'!$B$14:$B$64,MATCH($B160,'3. Costeo y Precios'!$A$14:$A$64,0)),"")</f>
        <v/>
      </c>
      <c r="D160" s="11"/>
      <c r="E160" s="11"/>
      <c r="F160" s="9"/>
      <c r="G160" s="13" t="str">
        <f aca="false">IF($B160="","",E160*F160)</f>
        <v/>
      </c>
      <c r="H160" s="13" t="n">
        <f aca="false">IFERROR(INDEX('3. Costeo y Precios'!$M$14:$M$64,MATCH($B160,'3. Costeo y Precios'!$A$14:$A$64,0)),0)</f>
        <v>0</v>
      </c>
      <c r="I160" s="13" t="str">
        <f aca="false">IF($B160="","",E160*H160)</f>
        <v/>
      </c>
      <c r="J160" s="28"/>
      <c r="K160" s="13" t="str">
        <f aca="false">IF($B160="","",G160*J160)</f>
        <v/>
      </c>
      <c r="L160" s="13" t="str">
        <f aca="false">IF($B160="","",G160-I160-K160)</f>
        <v/>
      </c>
      <c r="M160" s="22" t="str">
        <f aca="false">IFERROR(L160/G160,"")</f>
        <v/>
      </c>
      <c r="N160" s="11"/>
    </row>
    <row r="161" customFormat="false" ht="15" hidden="false" customHeight="false" outlineLevel="0" collapsed="false">
      <c r="A161" s="27"/>
      <c r="B161" s="11"/>
      <c r="C161" s="7" t="str">
        <f aca="false">IFERROR(INDEX('3. Costeo y Precios'!$B$14:$B$64,MATCH($B161,'3. Costeo y Precios'!$A$14:$A$64,0)),"")</f>
        <v/>
      </c>
      <c r="D161" s="11"/>
      <c r="E161" s="11"/>
      <c r="F161" s="9"/>
      <c r="G161" s="13" t="str">
        <f aca="false">IF($B161="","",E161*F161)</f>
        <v/>
      </c>
      <c r="H161" s="13" t="n">
        <f aca="false">IFERROR(INDEX('3. Costeo y Precios'!$M$14:$M$64,MATCH($B161,'3. Costeo y Precios'!$A$14:$A$64,0)),0)</f>
        <v>0</v>
      </c>
      <c r="I161" s="13" t="str">
        <f aca="false">IF($B161="","",E161*H161)</f>
        <v/>
      </c>
      <c r="J161" s="28"/>
      <c r="K161" s="13" t="str">
        <f aca="false">IF($B161="","",G161*J161)</f>
        <v/>
      </c>
      <c r="L161" s="13" t="str">
        <f aca="false">IF($B161="","",G161-I161-K161)</f>
        <v/>
      </c>
      <c r="M161" s="22" t="str">
        <f aca="false">IFERROR(L161/G161,"")</f>
        <v/>
      </c>
      <c r="N161" s="11"/>
    </row>
    <row r="162" customFormat="false" ht="15" hidden="false" customHeight="false" outlineLevel="0" collapsed="false">
      <c r="A162" s="27"/>
      <c r="B162" s="11"/>
      <c r="C162" s="7" t="str">
        <f aca="false">IFERROR(INDEX('3. Costeo y Precios'!$B$14:$B$64,MATCH($B162,'3. Costeo y Precios'!$A$14:$A$64,0)),"")</f>
        <v/>
      </c>
      <c r="D162" s="11"/>
      <c r="E162" s="11"/>
      <c r="F162" s="9"/>
      <c r="G162" s="13" t="str">
        <f aca="false">IF($B162="","",E162*F162)</f>
        <v/>
      </c>
      <c r="H162" s="13" t="n">
        <f aca="false">IFERROR(INDEX('3. Costeo y Precios'!$M$14:$M$64,MATCH($B162,'3. Costeo y Precios'!$A$14:$A$64,0)),0)</f>
        <v>0</v>
      </c>
      <c r="I162" s="13" t="str">
        <f aca="false">IF($B162="","",E162*H162)</f>
        <v/>
      </c>
      <c r="J162" s="28"/>
      <c r="K162" s="13" t="str">
        <f aca="false">IF($B162="","",G162*J162)</f>
        <v/>
      </c>
      <c r="L162" s="13" t="str">
        <f aca="false">IF($B162="","",G162-I162-K162)</f>
        <v/>
      </c>
      <c r="M162" s="22" t="str">
        <f aca="false">IFERROR(L162/G162,"")</f>
        <v/>
      </c>
      <c r="N162" s="11"/>
    </row>
    <row r="163" customFormat="false" ht="15" hidden="false" customHeight="false" outlineLevel="0" collapsed="false">
      <c r="A163" s="27"/>
      <c r="B163" s="11"/>
      <c r="C163" s="7" t="str">
        <f aca="false">IFERROR(INDEX('3. Costeo y Precios'!$B$14:$B$64,MATCH($B163,'3. Costeo y Precios'!$A$14:$A$64,0)),"")</f>
        <v/>
      </c>
      <c r="D163" s="11"/>
      <c r="E163" s="11"/>
      <c r="F163" s="9"/>
      <c r="G163" s="13" t="str">
        <f aca="false">IF($B163="","",E163*F163)</f>
        <v/>
      </c>
      <c r="H163" s="13" t="n">
        <f aca="false">IFERROR(INDEX('3. Costeo y Precios'!$M$14:$M$64,MATCH($B163,'3. Costeo y Precios'!$A$14:$A$64,0)),0)</f>
        <v>0</v>
      </c>
      <c r="I163" s="13" t="str">
        <f aca="false">IF($B163="","",E163*H163)</f>
        <v/>
      </c>
      <c r="J163" s="28"/>
      <c r="K163" s="13" t="str">
        <f aca="false">IF($B163="","",G163*J163)</f>
        <v/>
      </c>
      <c r="L163" s="13" t="str">
        <f aca="false">IF($B163="","",G163-I163-K163)</f>
        <v/>
      </c>
      <c r="M163" s="22" t="str">
        <f aca="false">IFERROR(L163/G163,"")</f>
        <v/>
      </c>
      <c r="N163" s="11"/>
    </row>
    <row r="164" customFormat="false" ht="15" hidden="false" customHeight="false" outlineLevel="0" collapsed="false">
      <c r="A164" s="27"/>
      <c r="B164" s="11"/>
      <c r="C164" s="7" t="str">
        <f aca="false">IFERROR(INDEX('3. Costeo y Precios'!$B$14:$B$64,MATCH($B164,'3. Costeo y Precios'!$A$14:$A$64,0)),"")</f>
        <v/>
      </c>
      <c r="D164" s="11"/>
      <c r="E164" s="11"/>
      <c r="F164" s="9"/>
      <c r="G164" s="13" t="str">
        <f aca="false">IF($B164="","",E164*F164)</f>
        <v/>
      </c>
      <c r="H164" s="13" t="n">
        <f aca="false">IFERROR(INDEX('3. Costeo y Precios'!$M$14:$M$64,MATCH($B164,'3. Costeo y Precios'!$A$14:$A$64,0)),0)</f>
        <v>0</v>
      </c>
      <c r="I164" s="13" t="str">
        <f aca="false">IF($B164="","",E164*H164)</f>
        <v/>
      </c>
      <c r="J164" s="28"/>
      <c r="K164" s="13" t="str">
        <f aca="false">IF($B164="","",G164*J164)</f>
        <v/>
      </c>
      <c r="L164" s="13" t="str">
        <f aca="false">IF($B164="","",G164-I164-K164)</f>
        <v/>
      </c>
      <c r="M164" s="22" t="str">
        <f aca="false">IFERROR(L164/G164,"")</f>
        <v/>
      </c>
      <c r="N164" s="11"/>
    </row>
    <row r="165" customFormat="false" ht="15" hidden="false" customHeight="false" outlineLevel="0" collapsed="false">
      <c r="A165" s="27"/>
      <c r="B165" s="11"/>
      <c r="C165" s="7" t="str">
        <f aca="false">IFERROR(INDEX('3. Costeo y Precios'!$B$14:$B$64,MATCH($B165,'3. Costeo y Precios'!$A$14:$A$64,0)),"")</f>
        <v/>
      </c>
      <c r="D165" s="11"/>
      <c r="E165" s="11"/>
      <c r="F165" s="9"/>
      <c r="G165" s="13" t="str">
        <f aca="false">IF($B165="","",E165*F165)</f>
        <v/>
      </c>
      <c r="H165" s="13" t="n">
        <f aca="false">IFERROR(INDEX('3. Costeo y Precios'!$M$14:$M$64,MATCH($B165,'3. Costeo y Precios'!$A$14:$A$64,0)),0)</f>
        <v>0</v>
      </c>
      <c r="I165" s="13" t="str">
        <f aca="false">IF($B165="","",E165*H165)</f>
        <v/>
      </c>
      <c r="J165" s="28"/>
      <c r="K165" s="13" t="str">
        <f aca="false">IF($B165="","",G165*J165)</f>
        <v/>
      </c>
      <c r="L165" s="13" t="str">
        <f aca="false">IF($B165="","",G165-I165-K165)</f>
        <v/>
      </c>
      <c r="M165" s="22" t="str">
        <f aca="false">IFERROR(L165/G165,"")</f>
        <v/>
      </c>
      <c r="N165" s="11"/>
    </row>
    <row r="166" customFormat="false" ht="15" hidden="false" customHeight="false" outlineLevel="0" collapsed="false">
      <c r="A166" s="27"/>
      <c r="B166" s="11"/>
      <c r="C166" s="7" t="str">
        <f aca="false">IFERROR(INDEX('3. Costeo y Precios'!$B$14:$B$64,MATCH($B166,'3. Costeo y Precios'!$A$14:$A$64,0)),"")</f>
        <v/>
      </c>
      <c r="D166" s="11"/>
      <c r="E166" s="11"/>
      <c r="F166" s="9"/>
      <c r="G166" s="13" t="str">
        <f aca="false">IF($B166="","",E166*F166)</f>
        <v/>
      </c>
      <c r="H166" s="13" t="n">
        <f aca="false">IFERROR(INDEX('3. Costeo y Precios'!$M$14:$M$64,MATCH($B166,'3. Costeo y Precios'!$A$14:$A$64,0)),0)</f>
        <v>0</v>
      </c>
      <c r="I166" s="13" t="str">
        <f aca="false">IF($B166="","",E166*H166)</f>
        <v/>
      </c>
      <c r="J166" s="28"/>
      <c r="K166" s="13" t="str">
        <f aca="false">IF($B166="","",G166*J166)</f>
        <v/>
      </c>
      <c r="L166" s="13" t="str">
        <f aca="false">IF($B166="","",G166-I166-K166)</f>
        <v/>
      </c>
      <c r="M166" s="22" t="str">
        <f aca="false">IFERROR(L166/G166,"")</f>
        <v/>
      </c>
      <c r="N166" s="11"/>
    </row>
    <row r="167" customFormat="false" ht="15" hidden="false" customHeight="false" outlineLevel="0" collapsed="false">
      <c r="A167" s="27"/>
      <c r="B167" s="11"/>
      <c r="C167" s="7" t="str">
        <f aca="false">IFERROR(INDEX('3. Costeo y Precios'!$B$14:$B$64,MATCH($B167,'3. Costeo y Precios'!$A$14:$A$64,0)),"")</f>
        <v/>
      </c>
      <c r="D167" s="11"/>
      <c r="E167" s="11"/>
      <c r="F167" s="9"/>
      <c r="G167" s="13" t="str">
        <f aca="false">IF($B167="","",E167*F167)</f>
        <v/>
      </c>
      <c r="H167" s="13" t="n">
        <f aca="false">IFERROR(INDEX('3. Costeo y Precios'!$M$14:$M$64,MATCH($B167,'3. Costeo y Precios'!$A$14:$A$64,0)),0)</f>
        <v>0</v>
      </c>
      <c r="I167" s="13" t="str">
        <f aca="false">IF($B167="","",E167*H167)</f>
        <v/>
      </c>
      <c r="J167" s="28"/>
      <c r="K167" s="13" t="str">
        <f aca="false">IF($B167="","",G167*J167)</f>
        <v/>
      </c>
      <c r="L167" s="13" t="str">
        <f aca="false">IF($B167="","",G167-I167-K167)</f>
        <v/>
      </c>
      <c r="M167" s="22" t="str">
        <f aca="false">IFERROR(L167/G167,"")</f>
        <v/>
      </c>
      <c r="N167" s="11"/>
    </row>
    <row r="168" customFormat="false" ht="15" hidden="false" customHeight="false" outlineLevel="0" collapsed="false">
      <c r="A168" s="27"/>
      <c r="B168" s="11"/>
      <c r="C168" s="7" t="str">
        <f aca="false">IFERROR(INDEX('3. Costeo y Precios'!$B$14:$B$64,MATCH($B168,'3. Costeo y Precios'!$A$14:$A$64,0)),"")</f>
        <v/>
      </c>
      <c r="D168" s="11"/>
      <c r="E168" s="11"/>
      <c r="F168" s="9"/>
      <c r="G168" s="13" t="str">
        <f aca="false">IF($B168="","",E168*F168)</f>
        <v/>
      </c>
      <c r="H168" s="13" t="n">
        <f aca="false">IFERROR(INDEX('3. Costeo y Precios'!$M$14:$M$64,MATCH($B168,'3. Costeo y Precios'!$A$14:$A$64,0)),0)</f>
        <v>0</v>
      </c>
      <c r="I168" s="13" t="str">
        <f aca="false">IF($B168="","",E168*H168)</f>
        <v/>
      </c>
      <c r="J168" s="28"/>
      <c r="K168" s="13" t="str">
        <f aca="false">IF($B168="","",G168*J168)</f>
        <v/>
      </c>
      <c r="L168" s="13" t="str">
        <f aca="false">IF($B168="","",G168-I168-K168)</f>
        <v/>
      </c>
      <c r="M168" s="22" t="str">
        <f aca="false">IFERROR(L168/G168,"")</f>
        <v/>
      </c>
      <c r="N168" s="11"/>
    </row>
    <row r="169" customFormat="false" ht="15" hidden="false" customHeight="false" outlineLevel="0" collapsed="false">
      <c r="A169" s="27"/>
      <c r="B169" s="11"/>
      <c r="C169" s="7" t="str">
        <f aca="false">IFERROR(INDEX('3. Costeo y Precios'!$B$14:$B$64,MATCH($B169,'3. Costeo y Precios'!$A$14:$A$64,0)),"")</f>
        <v/>
      </c>
      <c r="D169" s="11"/>
      <c r="E169" s="11"/>
      <c r="F169" s="9"/>
      <c r="G169" s="13" t="str">
        <f aca="false">IF($B169="","",E169*F169)</f>
        <v/>
      </c>
      <c r="H169" s="13" t="n">
        <f aca="false">IFERROR(INDEX('3. Costeo y Precios'!$M$14:$M$64,MATCH($B169,'3. Costeo y Precios'!$A$14:$A$64,0)),0)</f>
        <v>0</v>
      </c>
      <c r="I169" s="13" t="str">
        <f aca="false">IF($B169="","",E169*H169)</f>
        <v/>
      </c>
      <c r="J169" s="28"/>
      <c r="K169" s="13" t="str">
        <f aca="false">IF($B169="","",G169*J169)</f>
        <v/>
      </c>
      <c r="L169" s="13" t="str">
        <f aca="false">IF($B169="","",G169-I169-K169)</f>
        <v/>
      </c>
      <c r="M169" s="22" t="str">
        <f aca="false">IFERROR(L169/G169,"")</f>
        <v/>
      </c>
      <c r="N169" s="11"/>
    </row>
    <row r="170" customFormat="false" ht="15" hidden="false" customHeight="false" outlineLevel="0" collapsed="false">
      <c r="A170" s="27"/>
      <c r="B170" s="11"/>
      <c r="C170" s="7" t="str">
        <f aca="false">IFERROR(INDEX('3. Costeo y Precios'!$B$14:$B$64,MATCH($B170,'3. Costeo y Precios'!$A$14:$A$64,0)),"")</f>
        <v/>
      </c>
      <c r="D170" s="11"/>
      <c r="E170" s="11"/>
      <c r="F170" s="9"/>
      <c r="G170" s="13" t="str">
        <f aca="false">IF($B170="","",E170*F170)</f>
        <v/>
      </c>
      <c r="H170" s="13" t="n">
        <f aca="false">IFERROR(INDEX('3. Costeo y Precios'!$M$14:$M$64,MATCH($B170,'3. Costeo y Precios'!$A$14:$A$64,0)),0)</f>
        <v>0</v>
      </c>
      <c r="I170" s="13" t="str">
        <f aca="false">IF($B170="","",E170*H170)</f>
        <v/>
      </c>
      <c r="J170" s="28"/>
      <c r="K170" s="13" t="str">
        <f aca="false">IF($B170="","",G170*J170)</f>
        <v/>
      </c>
      <c r="L170" s="13" t="str">
        <f aca="false">IF($B170="","",G170-I170-K170)</f>
        <v/>
      </c>
      <c r="M170" s="22" t="str">
        <f aca="false">IFERROR(L170/G170,"")</f>
        <v/>
      </c>
      <c r="N170" s="11"/>
    </row>
    <row r="171" customFormat="false" ht="15" hidden="false" customHeight="false" outlineLevel="0" collapsed="false">
      <c r="A171" s="27"/>
      <c r="B171" s="11"/>
      <c r="C171" s="7" t="str">
        <f aca="false">IFERROR(INDEX('3. Costeo y Precios'!$B$14:$B$64,MATCH($B171,'3. Costeo y Precios'!$A$14:$A$64,0)),"")</f>
        <v/>
      </c>
      <c r="D171" s="11"/>
      <c r="E171" s="11"/>
      <c r="F171" s="9"/>
      <c r="G171" s="13" t="str">
        <f aca="false">IF($B171="","",E171*F171)</f>
        <v/>
      </c>
      <c r="H171" s="13" t="n">
        <f aca="false">IFERROR(INDEX('3. Costeo y Precios'!$M$14:$M$64,MATCH($B171,'3. Costeo y Precios'!$A$14:$A$64,0)),0)</f>
        <v>0</v>
      </c>
      <c r="I171" s="13" t="str">
        <f aca="false">IF($B171="","",E171*H171)</f>
        <v/>
      </c>
      <c r="J171" s="28"/>
      <c r="K171" s="13" t="str">
        <f aca="false">IF($B171="","",G171*J171)</f>
        <v/>
      </c>
      <c r="L171" s="13" t="str">
        <f aca="false">IF($B171="","",G171-I171-K171)</f>
        <v/>
      </c>
      <c r="M171" s="22" t="str">
        <f aca="false">IFERROR(L171/G171,"")</f>
        <v/>
      </c>
      <c r="N171" s="11"/>
    </row>
    <row r="172" customFormat="false" ht="15" hidden="false" customHeight="false" outlineLevel="0" collapsed="false">
      <c r="A172" s="27"/>
      <c r="B172" s="11"/>
      <c r="C172" s="7" t="str">
        <f aca="false">IFERROR(INDEX('3. Costeo y Precios'!$B$14:$B$64,MATCH($B172,'3. Costeo y Precios'!$A$14:$A$64,0)),"")</f>
        <v/>
      </c>
      <c r="D172" s="11"/>
      <c r="E172" s="11"/>
      <c r="F172" s="9"/>
      <c r="G172" s="13" t="str">
        <f aca="false">IF($B172="","",E172*F172)</f>
        <v/>
      </c>
      <c r="H172" s="13" t="n">
        <f aca="false">IFERROR(INDEX('3. Costeo y Precios'!$M$14:$M$64,MATCH($B172,'3. Costeo y Precios'!$A$14:$A$64,0)),0)</f>
        <v>0</v>
      </c>
      <c r="I172" s="13" t="str">
        <f aca="false">IF($B172="","",E172*H172)</f>
        <v/>
      </c>
      <c r="J172" s="28"/>
      <c r="K172" s="13" t="str">
        <f aca="false">IF($B172="","",G172*J172)</f>
        <v/>
      </c>
      <c r="L172" s="13" t="str">
        <f aca="false">IF($B172="","",G172-I172-K172)</f>
        <v/>
      </c>
      <c r="M172" s="22" t="str">
        <f aca="false">IFERROR(L172/G172,"")</f>
        <v/>
      </c>
      <c r="N172" s="11"/>
    </row>
    <row r="173" customFormat="false" ht="15" hidden="false" customHeight="false" outlineLevel="0" collapsed="false">
      <c r="A173" s="27"/>
      <c r="B173" s="11"/>
      <c r="C173" s="7" t="str">
        <f aca="false">IFERROR(INDEX('3. Costeo y Precios'!$B$14:$B$64,MATCH($B173,'3. Costeo y Precios'!$A$14:$A$64,0)),"")</f>
        <v/>
      </c>
      <c r="D173" s="11"/>
      <c r="E173" s="11"/>
      <c r="F173" s="9"/>
      <c r="G173" s="13" t="str">
        <f aca="false">IF($B173="","",E173*F173)</f>
        <v/>
      </c>
      <c r="H173" s="13" t="n">
        <f aca="false">IFERROR(INDEX('3. Costeo y Precios'!$M$14:$M$64,MATCH($B173,'3. Costeo y Precios'!$A$14:$A$64,0)),0)</f>
        <v>0</v>
      </c>
      <c r="I173" s="13" t="str">
        <f aca="false">IF($B173="","",E173*H173)</f>
        <v/>
      </c>
      <c r="J173" s="28"/>
      <c r="K173" s="13" t="str">
        <f aca="false">IF($B173="","",G173*J173)</f>
        <v/>
      </c>
      <c r="L173" s="13" t="str">
        <f aca="false">IF($B173="","",G173-I173-K173)</f>
        <v/>
      </c>
      <c r="M173" s="22" t="str">
        <f aca="false">IFERROR(L173/G173,"")</f>
        <v/>
      </c>
      <c r="N173" s="11"/>
    </row>
    <row r="174" customFormat="false" ht="15" hidden="false" customHeight="false" outlineLevel="0" collapsed="false">
      <c r="A174" s="27"/>
      <c r="B174" s="11"/>
      <c r="C174" s="7" t="str">
        <f aca="false">IFERROR(INDEX('3. Costeo y Precios'!$B$14:$B$64,MATCH($B174,'3. Costeo y Precios'!$A$14:$A$64,0)),"")</f>
        <v/>
      </c>
      <c r="D174" s="11"/>
      <c r="E174" s="11"/>
      <c r="F174" s="9"/>
      <c r="G174" s="13" t="str">
        <f aca="false">IF($B174="","",E174*F174)</f>
        <v/>
      </c>
      <c r="H174" s="13" t="n">
        <f aca="false">IFERROR(INDEX('3. Costeo y Precios'!$M$14:$M$64,MATCH($B174,'3. Costeo y Precios'!$A$14:$A$64,0)),0)</f>
        <v>0</v>
      </c>
      <c r="I174" s="13" t="str">
        <f aca="false">IF($B174="","",E174*H174)</f>
        <v/>
      </c>
      <c r="J174" s="28"/>
      <c r="K174" s="13" t="str">
        <f aca="false">IF($B174="","",G174*J174)</f>
        <v/>
      </c>
      <c r="L174" s="13" t="str">
        <f aca="false">IF($B174="","",G174-I174-K174)</f>
        <v/>
      </c>
      <c r="M174" s="22" t="str">
        <f aca="false">IFERROR(L174/G174,"")</f>
        <v/>
      </c>
      <c r="N174" s="11"/>
    </row>
    <row r="175" customFormat="false" ht="15" hidden="false" customHeight="false" outlineLevel="0" collapsed="false">
      <c r="A175" s="27"/>
      <c r="B175" s="11"/>
      <c r="C175" s="7" t="str">
        <f aca="false">IFERROR(INDEX('3. Costeo y Precios'!$B$14:$B$64,MATCH($B175,'3. Costeo y Precios'!$A$14:$A$64,0)),"")</f>
        <v/>
      </c>
      <c r="D175" s="11"/>
      <c r="E175" s="11"/>
      <c r="F175" s="9"/>
      <c r="G175" s="13" t="str">
        <f aca="false">IF($B175="","",E175*F175)</f>
        <v/>
      </c>
      <c r="H175" s="13" t="n">
        <f aca="false">IFERROR(INDEX('3. Costeo y Precios'!$M$14:$M$64,MATCH($B175,'3. Costeo y Precios'!$A$14:$A$64,0)),0)</f>
        <v>0</v>
      </c>
      <c r="I175" s="13" t="str">
        <f aca="false">IF($B175="","",E175*H175)</f>
        <v/>
      </c>
      <c r="J175" s="28"/>
      <c r="K175" s="13" t="str">
        <f aca="false">IF($B175="","",G175*J175)</f>
        <v/>
      </c>
      <c r="L175" s="13" t="str">
        <f aca="false">IF($B175="","",G175-I175-K175)</f>
        <v/>
      </c>
      <c r="M175" s="22" t="str">
        <f aca="false">IFERROR(L175/G175,"")</f>
        <v/>
      </c>
      <c r="N175" s="11"/>
    </row>
    <row r="176" customFormat="false" ht="15" hidden="false" customHeight="false" outlineLevel="0" collapsed="false">
      <c r="A176" s="27"/>
      <c r="B176" s="11"/>
      <c r="C176" s="7" t="str">
        <f aca="false">IFERROR(INDEX('3. Costeo y Precios'!$B$14:$B$64,MATCH($B176,'3. Costeo y Precios'!$A$14:$A$64,0)),"")</f>
        <v/>
      </c>
      <c r="D176" s="11"/>
      <c r="E176" s="11"/>
      <c r="F176" s="9"/>
      <c r="G176" s="13" t="str">
        <f aca="false">IF($B176="","",E176*F176)</f>
        <v/>
      </c>
      <c r="H176" s="13" t="n">
        <f aca="false">IFERROR(INDEX('3. Costeo y Precios'!$M$14:$M$64,MATCH($B176,'3. Costeo y Precios'!$A$14:$A$64,0)),0)</f>
        <v>0</v>
      </c>
      <c r="I176" s="13" t="str">
        <f aca="false">IF($B176="","",E176*H176)</f>
        <v/>
      </c>
      <c r="J176" s="28"/>
      <c r="K176" s="13" t="str">
        <f aca="false">IF($B176="","",G176*J176)</f>
        <v/>
      </c>
      <c r="L176" s="13" t="str">
        <f aca="false">IF($B176="","",G176-I176-K176)</f>
        <v/>
      </c>
      <c r="M176" s="22" t="str">
        <f aca="false">IFERROR(L176/G176,"")</f>
        <v/>
      </c>
      <c r="N176" s="11"/>
    </row>
    <row r="177" customFormat="false" ht="15" hidden="false" customHeight="false" outlineLevel="0" collapsed="false">
      <c r="A177" s="27"/>
      <c r="B177" s="11"/>
      <c r="C177" s="7" t="str">
        <f aca="false">IFERROR(INDEX('3. Costeo y Precios'!$B$14:$B$64,MATCH($B177,'3. Costeo y Precios'!$A$14:$A$64,0)),"")</f>
        <v/>
      </c>
      <c r="D177" s="11"/>
      <c r="E177" s="11"/>
      <c r="F177" s="9"/>
      <c r="G177" s="13" t="str">
        <f aca="false">IF($B177="","",E177*F177)</f>
        <v/>
      </c>
      <c r="H177" s="13" t="n">
        <f aca="false">IFERROR(INDEX('3. Costeo y Precios'!$M$14:$M$64,MATCH($B177,'3. Costeo y Precios'!$A$14:$A$64,0)),0)</f>
        <v>0</v>
      </c>
      <c r="I177" s="13" t="str">
        <f aca="false">IF($B177="","",E177*H177)</f>
        <v/>
      </c>
      <c r="J177" s="28"/>
      <c r="K177" s="13" t="str">
        <f aca="false">IF($B177="","",G177*J177)</f>
        <v/>
      </c>
      <c r="L177" s="13" t="str">
        <f aca="false">IF($B177="","",G177-I177-K177)</f>
        <v/>
      </c>
      <c r="M177" s="22" t="str">
        <f aca="false">IFERROR(L177/G177,"")</f>
        <v/>
      </c>
      <c r="N177" s="11"/>
    </row>
    <row r="178" customFormat="false" ht="15" hidden="false" customHeight="false" outlineLevel="0" collapsed="false">
      <c r="A178" s="27"/>
      <c r="B178" s="11"/>
      <c r="C178" s="7" t="str">
        <f aca="false">IFERROR(INDEX('3. Costeo y Precios'!$B$14:$B$64,MATCH($B178,'3. Costeo y Precios'!$A$14:$A$64,0)),"")</f>
        <v/>
      </c>
      <c r="D178" s="11"/>
      <c r="E178" s="11"/>
      <c r="F178" s="9"/>
      <c r="G178" s="13" t="str">
        <f aca="false">IF($B178="","",E178*F178)</f>
        <v/>
      </c>
      <c r="H178" s="13" t="n">
        <f aca="false">IFERROR(INDEX('3. Costeo y Precios'!$M$14:$M$64,MATCH($B178,'3. Costeo y Precios'!$A$14:$A$64,0)),0)</f>
        <v>0</v>
      </c>
      <c r="I178" s="13" t="str">
        <f aca="false">IF($B178="","",E178*H178)</f>
        <v/>
      </c>
      <c r="J178" s="28"/>
      <c r="K178" s="13" t="str">
        <f aca="false">IF($B178="","",G178*J178)</f>
        <v/>
      </c>
      <c r="L178" s="13" t="str">
        <f aca="false">IF($B178="","",G178-I178-K178)</f>
        <v/>
      </c>
      <c r="M178" s="22" t="str">
        <f aca="false">IFERROR(L178/G178,"")</f>
        <v/>
      </c>
      <c r="N178" s="11"/>
    </row>
    <row r="179" customFormat="false" ht="15" hidden="false" customHeight="false" outlineLevel="0" collapsed="false">
      <c r="A179" s="27"/>
      <c r="B179" s="11"/>
      <c r="C179" s="7" t="str">
        <f aca="false">IFERROR(INDEX('3. Costeo y Precios'!$B$14:$B$64,MATCH($B179,'3. Costeo y Precios'!$A$14:$A$64,0)),"")</f>
        <v/>
      </c>
      <c r="D179" s="11"/>
      <c r="E179" s="11"/>
      <c r="F179" s="9"/>
      <c r="G179" s="13" t="str">
        <f aca="false">IF($B179="","",E179*F179)</f>
        <v/>
      </c>
      <c r="H179" s="13" t="n">
        <f aca="false">IFERROR(INDEX('3. Costeo y Precios'!$M$14:$M$64,MATCH($B179,'3. Costeo y Precios'!$A$14:$A$64,0)),0)</f>
        <v>0</v>
      </c>
      <c r="I179" s="13" t="str">
        <f aca="false">IF($B179="","",E179*H179)</f>
        <v/>
      </c>
      <c r="J179" s="28"/>
      <c r="K179" s="13" t="str">
        <f aca="false">IF($B179="","",G179*J179)</f>
        <v/>
      </c>
      <c r="L179" s="13" t="str">
        <f aca="false">IF($B179="","",G179-I179-K179)</f>
        <v/>
      </c>
      <c r="M179" s="22" t="str">
        <f aca="false">IFERROR(L179/G179,"")</f>
        <v/>
      </c>
      <c r="N179" s="11"/>
    </row>
    <row r="180" customFormat="false" ht="15" hidden="false" customHeight="false" outlineLevel="0" collapsed="false">
      <c r="A180" s="27"/>
      <c r="B180" s="11"/>
      <c r="C180" s="7" t="str">
        <f aca="false">IFERROR(INDEX('3. Costeo y Precios'!$B$14:$B$64,MATCH($B180,'3. Costeo y Precios'!$A$14:$A$64,0)),"")</f>
        <v/>
      </c>
      <c r="D180" s="11"/>
      <c r="E180" s="11"/>
      <c r="F180" s="9"/>
      <c r="G180" s="13" t="str">
        <f aca="false">IF($B180="","",E180*F180)</f>
        <v/>
      </c>
      <c r="H180" s="13" t="n">
        <f aca="false">IFERROR(INDEX('3. Costeo y Precios'!$M$14:$M$64,MATCH($B180,'3. Costeo y Precios'!$A$14:$A$64,0)),0)</f>
        <v>0</v>
      </c>
      <c r="I180" s="13" t="str">
        <f aca="false">IF($B180="","",E180*H180)</f>
        <v/>
      </c>
      <c r="J180" s="28"/>
      <c r="K180" s="13" t="str">
        <f aca="false">IF($B180="","",G180*J180)</f>
        <v/>
      </c>
      <c r="L180" s="13" t="str">
        <f aca="false">IF($B180="","",G180-I180-K180)</f>
        <v/>
      </c>
      <c r="M180" s="22" t="str">
        <f aca="false">IFERROR(L180/G180,"")</f>
        <v/>
      </c>
      <c r="N180" s="11"/>
    </row>
    <row r="181" customFormat="false" ht="15" hidden="false" customHeight="false" outlineLevel="0" collapsed="false">
      <c r="A181" s="27"/>
      <c r="B181" s="11"/>
      <c r="C181" s="7" t="str">
        <f aca="false">IFERROR(INDEX('3. Costeo y Precios'!$B$14:$B$64,MATCH($B181,'3. Costeo y Precios'!$A$14:$A$64,0)),"")</f>
        <v/>
      </c>
      <c r="D181" s="11"/>
      <c r="E181" s="11"/>
      <c r="F181" s="9"/>
      <c r="G181" s="13" t="str">
        <f aca="false">IF($B181="","",E181*F181)</f>
        <v/>
      </c>
      <c r="H181" s="13" t="n">
        <f aca="false">IFERROR(INDEX('3. Costeo y Precios'!$M$14:$M$64,MATCH($B181,'3. Costeo y Precios'!$A$14:$A$64,0)),0)</f>
        <v>0</v>
      </c>
      <c r="I181" s="13" t="str">
        <f aca="false">IF($B181="","",E181*H181)</f>
        <v/>
      </c>
      <c r="J181" s="28"/>
      <c r="K181" s="13" t="str">
        <f aca="false">IF($B181="","",G181*J181)</f>
        <v/>
      </c>
      <c r="L181" s="13" t="str">
        <f aca="false">IF($B181="","",G181-I181-K181)</f>
        <v/>
      </c>
      <c r="M181" s="22" t="str">
        <f aca="false">IFERROR(L181/G181,"")</f>
        <v/>
      </c>
      <c r="N181" s="11"/>
    </row>
    <row r="182" customFormat="false" ht="15" hidden="false" customHeight="false" outlineLevel="0" collapsed="false">
      <c r="A182" s="27"/>
      <c r="B182" s="11"/>
      <c r="C182" s="7" t="str">
        <f aca="false">IFERROR(INDEX('3. Costeo y Precios'!$B$14:$B$64,MATCH($B182,'3. Costeo y Precios'!$A$14:$A$64,0)),"")</f>
        <v/>
      </c>
      <c r="D182" s="11"/>
      <c r="E182" s="11"/>
      <c r="F182" s="9"/>
      <c r="G182" s="13" t="str">
        <f aca="false">IF($B182="","",E182*F182)</f>
        <v/>
      </c>
      <c r="H182" s="13" t="n">
        <f aca="false">IFERROR(INDEX('3. Costeo y Precios'!$M$14:$M$64,MATCH($B182,'3. Costeo y Precios'!$A$14:$A$64,0)),0)</f>
        <v>0</v>
      </c>
      <c r="I182" s="13" t="str">
        <f aca="false">IF($B182="","",E182*H182)</f>
        <v/>
      </c>
      <c r="J182" s="28"/>
      <c r="K182" s="13" t="str">
        <f aca="false">IF($B182="","",G182*J182)</f>
        <v/>
      </c>
      <c r="L182" s="13" t="str">
        <f aca="false">IF($B182="","",G182-I182-K182)</f>
        <v/>
      </c>
      <c r="M182" s="22" t="str">
        <f aca="false">IFERROR(L182/G182,"")</f>
        <v/>
      </c>
      <c r="N182" s="11"/>
    </row>
    <row r="183" customFormat="false" ht="15" hidden="false" customHeight="false" outlineLevel="0" collapsed="false">
      <c r="A183" s="27"/>
      <c r="B183" s="11"/>
      <c r="C183" s="7" t="str">
        <f aca="false">IFERROR(INDEX('3. Costeo y Precios'!$B$14:$B$64,MATCH($B183,'3. Costeo y Precios'!$A$14:$A$64,0)),"")</f>
        <v/>
      </c>
      <c r="D183" s="11"/>
      <c r="E183" s="11"/>
      <c r="F183" s="9"/>
      <c r="G183" s="13" t="str">
        <f aca="false">IF($B183="","",E183*F183)</f>
        <v/>
      </c>
      <c r="H183" s="13" t="n">
        <f aca="false">IFERROR(INDEX('3. Costeo y Precios'!$M$14:$M$64,MATCH($B183,'3. Costeo y Precios'!$A$14:$A$64,0)),0)</f>
        <v>0</v>
      </c>
      <c r="I183" s="13" t="str">
        <f aca="false">IF($B183="","",E183*H183)</f>
        <v/>
      </c>
      <c r="J183" s="28"/>
      <c r="K183" s="13" t="str">
        <f aca="false">IF($B183="","",G183*J183)</f>
        <v/>
      </c>
      <c r="L183" s="13" t="str">
        <f aca="false">IF($B183="","",G183-I183-K183)</f>
        <v/>
      </c>
      <c r="M183" s="22" t="str">
        <f aca="false">IFERROR(L183/G183,"")</f>
        <v/>
      </c>
      <c r="N183" s="11"/>
    </row>
    <row r="184" customFormat="false" ht="15" hidden="false" customHeight="false" outlineLevel="0" collapsed="false">
      <c r="A184" s="27"/>
      <c r="B184" s="11"/>
      <c r="C184" s="7" t="str">
        <f aca="false">IFERROR(INDEX('3. Costeo y Precios'!$B$14:$B$64,MATCH($B184,'3. Costeo y Precios'!$A$14:$A$64,0)),"")</f>
        <v/>
      </c>
      <c r="D184" s="11"/>
      <c r="E184" s="11"/>
      <c r="F184" s="9"/>
      <c r="G184" s="13" t="str">
        <f aca="false">IF($B184="","",E184*F184)</f>
        <v/>
      </c>
      <c r="H184" s="13" t="n">
        <f aca="false">IFERROR(INDEX('3. Costeo y Precios'!$M$14:$M$64,MATCH($B184,'3. Costeo y Precios'!$A$14:$A$64,0)),0)</f>
        <v>0</v>
      </c>
      <c r="I184" s="13" t="str">
        <f aca="false">IF($B184="","",E184*H184)</f>
        <v/>
      </c>
      <c r="J184" s="28"/>
      <c r="K184" s="13" t="str">
        <f aca="false">IF($B184="","",G184*J184)</f>
        <v/>
      </c>
      <c r="L184" s="13" t="str">
        <f aca="false">IF($B184="","",G184-I184-K184)</f>
        <v/>
      </c>
      <c r="M184" s="22" t="str">
        <f aca="false">IFERROR(L184/G184,"")</f>
        <v/>
      </c>
      <c r="N184" s="11"/>
    </row>
    <row r="185" customFormat="false" ht="15" hidden="false" customHeight="false" outlineLevel="0" collapsed="false">
      <c r="A185" s="27"/>
      <c r="B185" s="11"/>
      <c r="C185" s="7" t="str">
        <f aca="false">IFERROR(INDEX('3. Costeo y Precios'!$B$14:$B$64,MATCH($B185,'3. Costeo y Precios'!$A$14:$A$64,0)),"")</f>
        <v/>
      </c>
      <c r="D185" s="11"/>
      <c r="E185" s="11"/>
      <c r="F185" s="9"/>
      <c r="G185" s="13" t="str">
        <f aca="false">IF($B185="","",E185*F185)</f>
        <v/>
      </c>
      <c r="H185" s="13" t="n">
        <f aca="false">IFERROR(INDEX('3. Costeo y Precios'!$M$14:$M$64,MATCH($B185,'3. Costeo y Precios'!$A$14:$A$64,0)),0)</f>
        <v>0</v>
      </c>
      <c r="I185" s="13" t="str">
        <f aca="false">IF($B185="","",E185*H185)</f>
        <v/>
      </c>
      <c r="J185" s="28"/>
      <c r="K185" s="13" t="str">
        <f aca="false">IF($B185="","",G185*J185)</f>
        <v/>
      </c>
      <c r="L185" s="13" t="str">
        <f aca="false">IF($B185="","",G185-I185-K185)</f>
        <v/>
      </c>
      <c r="M185" s="22" t="str">
        <f aca="false">IFERROR(L185/G185,"")</f>
        <v/>
      </c>
      <c r="N185" s="11"/>
    </row>
    <row r="186" customFormat="false" ht="15" hidden="false" customHeight="false" outlineLevel="0" collapsed="false">
      <c r="A186" s="27"/>
      <c r="B186" s="11"/>
      <c r="C186" s="7" t="str">
        <f aca="false">IFERROR(INDEX('3. Costeo y Precios'!$B$14:$B$64,MATCH($B186,'3. Costeo y Precios'!$A$14:$A$64,0)),"")</f>
        <v/>
      </c>
      <c r="D186" s="11"/>
      <c r="E186" s="11"/>
      <c r="F186" s="9"/>
      <c r="G186" s="13" t="str">
        <f aca="false">IF($B186="","",E186*F186)</f>
        <v/>
      </c>
      <c r="H186" s="13" t="n">
        <f aca="false">IFERROR(INDEX('3. Costeo y Precios'!$M$14:$M$64,MATCH($B186,'3. Costeo y Precios'!$A$14:$A$64,0)),0)</f>
        <v>0</v>
      </c>
      <c r="I186" s="13" t="str">
        <f aca="false">IF($B186="","",E186*H186)</f>
        <v/>
      </c>
      <c r="J186" s="28"/>
      <c r="K186" s="13" t="str">
        <f aca="false">IF($B186="","",G186*J186)</f>
        <v/>
      </c>
      <c r="L186" s="13" t="str">
        <f aca="false">IF($B186="","",G186-I186-K186)</f>
        <v/>
      </c>
      <c r="M186" s="22" t="str">
        <f aca="false">IFERROR(L186/G186,"")</f>
        <v/>
      </c>
      <c r="N186" s="11"/>
    </row>
    <row r="187" customFormat="false" ht="15" hidden="false" customHeight="false" outlineLevel="0" collapsed="false">
      <c r="A187" s="27"/>
      <c r="B187" s="11"/>
      <c r="C187" s="7" t="str">
        <f aca="false">IFERROR(INDEX('3. Costeo y Precios'!$B$14:$B$64,MATCH($B187,'3. Costeo y Precios'!$A$14:$A$64,0)),"")</f>
        <v/>
      </c>
      <c r="D187" s="11"/>
      <c r="E187" s="11"/>
      <c r="F187" s="9"/>
      <c r="G187" s="13" t="str">
        <f aca="false">IF($B187="","",E187*F187)</f>
        <v/>
      </c>
      <c r="H187" s="13" t="n">
        <f aca="false">IFERROR(INDEX('3. Costeo y Precios'!$M$14:$M$64,MATCH($B187,'3. Costeo y Precios'!$A$14:$A$64,0)),0)</f>
        <v>0</v>
      </c>
      <c r="I187" s="13" t="str">
        <f aca="false">IF($B187="","",E187*H187)</f>
        <v/>
      </c>
      <c r="J187" s="28"/>
      <c r="K187" s="13" t="str">
        <f aca="false">IF($B187="","",G187*J187)</f>
        <v/>
      </c>
      <c r="L187" s="13" t="str">
        <f aca="false">IF($B187="","",G187-I187-K187)</f>
        <v/>
      </c>
      <c r="M187" s="22" t="str">
        <f aca="false">IFERROR(L187/G187,"")</f>
        <v/>
      </c>
      <c r="N187" s="11"/>
    </row>
    <row r="188" customFormat="false" ht="15" hidden="false" customHeight="false" outlineLevel="0" collapsed="false">
      <c r="A188" s="27"/>
      <c r="B188" s="11"/>
      <c r="C188" s="7" t="str">
        <f aca="false">IFERROR(INDEX('3. Costeo y Precios'!$B$14:$B$64,MATCH($B188,'3. Costeo y Precios'!$A$14:$A$64,0)),"")</f>
        <v/>
      </c>
      <c r="D188" s="11"/>
      <c r="E188" s="11"/>
      <c r="F188" s="9"/>
      <c r="G188" s="13" t="str">
        <f aca="false">IF($B188="","",E188*F188)</f>
        <v/>
      </c>
      <c r="H188" s="13" t="n">
        <f aca="false">IFERROR(INDEX('3. Costeo y Precios'!$M$14:$M$64,MATCH($B188,'3. Costeo y Precios'!$A$14:$A$64,0)),0)</f>
        <v>0</v>
      </c>
      <c r="I188" s="13" t="str">
        <f aca="false">IF($B188="","",E188*H188)</f>
        <v/>
      </c>
      <c r="J188" s="28"/>
      <c r="K188" s="13" t="str">
        <f aca="false">IF($B188="","",G188*J188)</f>
        <v/>
      </c>
      <c r="L188" s="13" t="str">
        <f aca="false">IF($B188="","",G188-I188-K188)</f>
        <v/>
      </c>
      <c r="M188" s="22" t="str">
        <f aca="false">IFERROR(L188/G188,"")</f>
        <v/>
      </c>
      <c r="N188" s="11"/>
    </row>
    <row r="189" customFormat="false" ht="15" hidden="false" customHeight="false" outlineLevel="0" collapsed="false">
      <c r="A189" s="27"/>
      <c r="B189" s="11"/>
      <c r="C189" s="7" t="str">
        <f aca="false">IFERROR(INDEX('3. Costeo y Precios'!$B$14:$B$64,MATCH($B189,'3. Costeo y Precios'!$A$14:$A$64,0)),"")</f>
        <v/>
      </c>
      <c r="D189" s="11"/>
      <c r="E189" s="11"/>
      <c r="F189" s="9"/>
      <c r="G189" s="13" t="str">
        <f aca="false">IF($B189="","",E189*F189)</f>
        <v/>
      </c>
      <c r="H189" s="13" t="n">
        <f aca="false">IFERROR(INDEX('3. Costeo y Precios'!$M$14:$M$64,MATCH($B189,'3. Costeo y Precios'!$A$14:$A$64,0)),0)</f>
        <v>0</v>
      </c>
      <c r="I189" s="13" t="str">
        <f aca="false">IF($B189="","",E189*H189)</f>
        <v/>
      </c>
      <c r="J189" s="28"/>
      <c r="K189" s="13" t="str">
        <f aca="false">IF($B189="","",G189*J189)</f>
        <v/>
      </c>
      <c r="L189" s="13" t="str">
        <f aca="false">IF($B189="","",G189-I189-K189)</f>
        <v/>
      </c>
      <c r="M189" s="22" t="str">
        <f aca="false">IFERROR(L189/G189,"")</f>
        <v/>
      </c>
      <c r="N189" s="11"/>
    </row>
    <row r="190" customFormat="false" ht="15" hidden="false" customHeight="false" outlineLevel="0" collapsed="false">
      <c r="A190" s="27"/>
      <c r="B190" s="11"/>
      <c r="C190" s="7" t="str">
        <f aca="false">IFERROR(INDEX('3. Costeo y Precios'!$B$14:$B$64,MATCH($B190,'3. Costeo y Precios'!$A$14:$A$64,0)),"")</f>
        <v/>
      </c>
      <c r="D190" s="11"/>
      <c r="E190" s="11"/>
      <c r="F190" s="9"/>
      <c r="G190" s="13" t="str">
        <f aca="false">IF($B190="","",E190*F190)</f>
        <v/>
      </c>
      <c r="H190" s="13" t="n">
        <f aca="false">IFERROR(INDEX('3. Costeo y Precios'!$M$14:$M$64,MATCH($B190,'3. Costeo y Precios'!$A$14:$A$64,0)),0)</f>
        <v>0</v>
      </c>
      <c r="I190" s="13" t="str">
        <f aca="false">IF($B190="","",E190*H190)</f>
        <v/>
      </c>
      <c r="J190" s="28"/>
      <c r="K190" s="13" t="str">
        <f aca="false">IF($B190="","",G190*J190)</f>
        <v/>
      </c>
      <c r="L190" s="13" t="str">
        <f aca="false">IF($B190="","",G190-I190-K190)</f>
        <v/>
      </c>
      <c r="M190" s="22" t="str">
        <f aca="false">IFERROR(L190/G190,"")</f>
        <v/>
      </c>
      <c r="N190" s="11"/>
    </row>
    <row r="191" customFormat="false" ht="15" hidden="false" customHeight="false" outlineLevel="0" collapsed="false">
      <c r="A191" s="27"/>
      <c r="B191" s="11"/>
      <c r="C191" s="7" t="str">
        <f aca="false">IFERROR(INDEX('3. Costeo y Precios'!$B$14:$B$64,MATCH($B191,'3. Costeo y Precios'!$A$14:$A$64,0)),"")</f>
        <v/>
      </c>
      <c r="D191" s="11"/>
      <c r="E191" s="11"/>
      <c r="F191" s="9"/>
      <c r="G191" s="13" t="str">
        <f aca="false">IF($B191="","",E191*F191)</f>
        <v/>
      </c>
      <c r="H191" s="13" t="n">
        <f aca="false">IFERROR(INDEX('3. Costeo y Precios'!$M$14:$M$64,MATCH($B191,'3. Costeo y Precios'!$A$14:$A$64,0)),0)</f>
        <v>0</v>
      </c>
      <c r="I191" s="13" t="str">
        <f aca="false">IF($B191="","",E191*H191)</f>
        <v/>
      </c>
      <c r="J191" s="28"/>
      <c r="K191" s="13" t="str">
        <f aca="false">IF($B191="","",G191*J191)</f>
        <v/>
      </c>
      <c r="L191" s="13" t="str">
        <f aca="false">IF($B191="","",G191-I191-K191)</f>
        <v/>
      </c>
      <c r="M191" s="22" t="str">
        <f aca="false">IFERROR(L191/G191,"")</f>
        <v/>
      </c>
      <c r="N191" s="11"/>
    </row>
    <row r="192" customFormat="false" ht="15" hidden="false" customHeight="false" outlineLevel="0" collapsed="false">
      <c r="A192" s="27"/>
      <c r="B192" s="11"/>
      <c r="C192" s="7" t="str">
        <f aca="false">IFERROR(INDEX('3. Costeo y Precios'!$B$14:$B$64,MATCH($B192,'3. Costeo y Precios'!$A$14:$A$64,0)),"")</f>
        <v/>
      </c>
      <c r="D192" s="11"/>
      <c r="E192" s="11"/>
      <c r="F192" s="9"/>
      <c r="G192" s="13" t="str">
        <f aca="false">IF($B192="","",E192*F192)</f>
        <v/>
      </c>
      <c r="H192" s="13" t="n">
        <f aca="false">IFERROR(INDEX('3. Costeo y Precios'!$M$14:$M$64,MATCH($B192,'3. Costeo y Precios'!$A$14:$A$64,0)),0)</f>
        <v>0</v>
      </c>
      <c r="I192" s="13" t="str">
        <f aca="false">IF($B192="","",E192*H192)</f>
        <v/>
      </c>
      <c r="J192" s="28"/>
      <c r="K192" s="13" t="str">
        <f aca="false">IF($B192="","",G192*J192)</f>
        <v/>
      </c>
      <c r="L192" s="13" t="str">
        <f aca="false">IF($B192="","",G192-I192-K192)</f>
        <v/>
      </c>
      <c r="M192" s="22" t="str">
        <f aca="false">IFERROR(L192/G192,"")</f>
        <v/>
      </c>
      <c r="N192" s="11"/>
    </row>
    <row r="193" customFormat="false" ht="15" hidden="false" customHeight="false" outlineLevel="0" collapsed="false">
      <c r="A193" s="27"/>
      <c r="B193" s="11"/>
      <c r="C193" s="7" t="str">
        <f aca="false">IFERROR(INDEX('3. Costeo y Precios'!$B$14:$B$64,MATCH($B193,'3. Costeo y Precios'!$A$14:$A$64,0)),"")</f>
        <v/>
      </c>
      <c r="D193" s="11"/>
      <c r="E193" s="11"/>
      <c r="F193" s="9"/>
      <c r="G193" s="13" t="str">
        <f aca="false">IF($B193="","",E193*F193)</f>
        <v/>
      </c>
      <c r="H193" s="13" t="n">
        <f aca="false">IFERROR(INDEX('3. Costeo y Precios'!$M$14:$M$64,MATCH($B193,'3. Costeo y Precios'!$A$14:$A$64,0)),0)</f>
        <v>0</v>
      </c>
      <c r="I193" s="13" t="str">
        <f aca="false">IF($B193="","",E193*H193)</f>
        <v/>
      </c>
      <c r="J193" s="28"/>
      <c r="K193" s="13" t="str">
        <f aca="false">IF($B193="","",G193*J193)</f>
        <v/>
      </c>
      <c r="L193" s="13" t="str">
        <f aca="false">IF($B193="","",G193-I193-K193)</f>
        <v/>
      </c>
      <c r="M193" s="22" t="str">
        <f aca="false">IFERROR(L193/G193,"")</f>
        <v/>
      </c>
      <c r="N193" s="11"/>
    </row>
    <row r="194" customFormat="false" ht="15" hidden="false" customHeight="false" outlineLevel="0" collapsed="false">
      <c r="A194" s="27"/>
      <c r="B194" s="11"/>
      <c r="C194" s="7" t="str">
        <f aca="false">IFERROR(INDEX('3. Costeo y Precios'!$B$14:$B$64,MATCH($B194,'3. Costeo y Precios'!$A$14:$A$64,0)),"")</f>
        <v/>
      </c>
      <c r="D194" s="11"/>
      <c r="E194" s="11"/>
      <c r="F194" s="9"/>
      <c r="G194" s="13" t="str">
        <f aca="false">IF($B194="","",E194*F194)</f>
        <v/>
      </c>
      <c r="H194" s="13" t="n">
        <f aca="false">IFERROR(INDEX('3. Costeo y Precios'!$M$14:$M$64,MATCH($B194,'3. Costeo y Precios'!$A$14:$A$64,0)),0)</f>
        <v>0</v>
      </c>
      <c r="I194" s="13" t="str">
        <f aca="false">IF($B194="","",E194*H194)</f>
        <v/>
      </c>
      <c r="J194" s="28"/>
      <c r="K194" s="13" t="str">
        <f aca="false">IF($B194="","",G194*J194)</f>
        <v/>
      </c>
      <c r="L194" s="13" t="str">
        <f aca="false">IF($B194="","",G194-I194-K194)</f>
        <v/>
      </c>
      <c r="M194" s="22" t="str">
        <f aca="false">IFERROR(L194/G194,"")</f>
        <v/>
      </c>
      <c r="N194" s="11"/>
    </row>
    <row r="195" customFormat="false" ht="15" hidden="false" customHeight="false" outlineLevel="0" collapsed="false">
      <c r="A195" s="27"/>
      <c r="B195" s="11"/>
      <c r="C195" s="7" t="str">
        <f aca="false">IFERROR(INDEX('3. Costeo y Precios'!$B$14:$B$64,MATCH($B195,'3. Costeo y Precios'!$A$14:$A$64,0)),"")</f>
        <v/>
      </c>
      <c r="D195" s="11"/>
      <c r="E195" s="11"/>
      <c r="F195" s="9"/>
      <c r="G195" s="13" t="str">
        <f aca="false">IF($B195="","",E195*F195)</f>
        <v/>
      </c>
      <c r="H195" s="13" t="n">
        <f aca="false">IFERROR(INDEX('3. Costeo y Precios'!$M$14:$M$64,MATCH($B195,'3. Costeo y Precios'!$A$14:$A$64,0)),0)</f>
        <v>0</v>
      </c>
      <c r="I195" s="13" t="str">
        <f aca="false">IF($B195="","",E195*H195)</f>
        <v/>
      </c>
      <c r="J195" s="28"/>
      <c r="K195" s="13" t="str">
        <f aca="false">IF($B195="","",G195*J195)</f>
        <v/>
      </c>
      <c r="L195" s="13" t="str">
        <f aca="false">IF($B195="","",G195-I195-K195)</f>
        <v/>
      </c>
      <c r="M195" s="22" t="str">
        <f aca="false">IFERROR(L195/G195,"")</f>
        <v/>
      </c>
      <c r="N195" s="11"/>
    </row>
    <row r="196" customFormat="false" ht="15" hidden="false" customHeight="false" outlineLevel="0" collapsed="false">
      <c r="A196" s="27"/>
      <c r="B196" s="11"/>
      <c r="C196" s="7" t="str">
        <f aca="false">IFERROR(INDEX('3. Costeo y Precios'!$B$14:$B$64,MATCH($B196,'3. Costeo y Precios'!$A$14:$A$64,0)),"")</f>
        <v/>
      </c>
      <c r="D196" s="11"/>
      <c r="E196" s="11"/>
      <c r="F196" s="9"/>
      <c r="G196" s="13" t="str">
        <f aca="false">IF($B196="","",E196*F196)</f>
        <v/>
      </c>
      <c r="H196" s="13" t="n">
        <f aca="false">IFERROR(INDEX('3. Costeo y Precios'!$M$14:$M$64,MATCH($B196,'3. Costeo y Precios'!$A$14:$A$64,0)),0)</f>
        <v>0</v>
      </c>
      <c r="I196" s="13" t="str">
        <f aca="false">IF($B196="","",E196*H196)</f>
        <v/>
      </c>
      <c r="J196" s="28"/>
      <c r="K196" s="13" t="str">
        <f aca="false">IF($B196="","",G196*J196)</f>
        <v/>
      </c>
      <c r="L196" s="13" t="str">
        <f aca="false">IF($B196="","",G196-I196-K196)</f>
        <v/>
      </c>
      <c r="M196" s="22" t="str">
        <f aca="false">IFERROR(L196/G196,"")</f>
        <v/>
      </c>
      <c r="N196" s="11"/>
    </row>
    <row r="197" customFormat="false" ht="15" hidden="false" customHeight="false" outlineLevel="0" collapsed="false">
      <c r="A197" s="27"/>
      <c r="B197" s="11"/>
      <c r="C197" s="7" t="str">
        <f aca="false">IFERROR(INDEX('3. Costeo y Precios'!$B$14:$B$64,MATCH($B197,'3. Costeo y Precios'!$A$14:$A$64,0)),"")</f>
        <v/>
      </c>
      <c r="D197" s="11"/>
      <c r="E197" s="11"/>
      <c r="F197" s="9"/>
      <c r="G197" s="13" t="str">
        <f aca="false">IF($B197="","",E197*F197)</f>
        <v/>
      </c>
      <c r="H197" s="13" t="n">
        <f aca="false">IFERROR(INDEX('3. Costeo y Precios'!$M$14:$M$64,MATCH($B197,'3. Costeo y Precios'!$A$14:$A$64,0)),0)</f>
        <v>0</v>
      </c>
      <c r="I197" s="13" t="str">
        <f aca="false">IF($B197="","",E197*H197)</f>
        <v/>
      </c>
      <c r="J197" s="28"/>
      <c r="K197" s="13" t="str">
        <f aca="false">IF($B197="","",G197*J197)</f>
        <v/>
      </c>
      <c r="L197" s="13" t="str">
        <f aca="false">IF($B197="","",G197-I197-K197)</f>
        <v/>
      </c>
      <c r="M197" s="22" t="str">
        <f aca="false">IFERROR(L197/G197,"")</f>
        <v/>
      </c>
      <c r="N197" s="11"/>
    </row>
    <row r="198" customFormat="false" ht="15" hidden="false" customHeight="false" outlineLevel="0" collapsed="false">
      <c r="A198" s="27"/>
      <c r="B198" s="11"/>
      <c r="C198" s="7" t="str">
        <f aca="false">IFERROR(INDEX('3. Costeo y Precios'!$B$14:$B$64,MATCH($B198,'3. Costeo y Precios'!$A$14:$A$64,0)),"")</f>
        <v/>
      </c>
      <c r="D198" s="11"/>
      <c r="E198" s="11"/>
      <c r="F198" s="9"/>
      <c r="G198" s="13" t="str">
        <f aca="false">IF($B198="","",E198*F198)</f>
        <v/>
      </c>
      <c r="H198" s="13" t="n">
        <f aca="false">IFERROR(INDEX('3. Costeo y Precios'!$M$14:$M$64,MATCH($B198,'3. Costeo y Precios'!$A$14:$A$64,0)),0)</f>
        <v>0</v>
      </c>
      <c r="I198" s="13" t="str">
        <f aca="false">IF($B198="","",E198*H198)</f>
        <v/>
      </c>
      <c r="J198" s="28"/>
      <c r="K198" s="13" t="str">
        <f aca="false">IF($B198="","",G198*J198)</f>
        <v/>
      </c>
      <c r="L198" s="13" t="str">
        <f aca="false">IF($B198="","",G198-I198-K198)</f>
        <v/>
      </c>
      <c r="M198" s="22" t="str">
        <f aca="false">IFERROR(L198/G198,"")</f>
        <v/>
      </c>
      <c r="N198" s="11"/>
    </row>
    <row r="199" customFormat="false" ht="15" hidden="false" customHeight="false" outlineLevel="0" collapsed="false">
      <c r="A199" s="27"/>
      <c r="B199" s="11"/>
      <c r="C199" s="7" t="str">
        <f aca="false">IFERROR(INDEX('3. Costeo y Precios'!$B$14:$B$64,MATCH($B199,'3. Costeo y Precios'!$A$14:$A$64,0)),"")</f>
        <v/>
      </c>
      <c r="D199" s="11"/>
      <c r="E199" s="11"/>
      <c r="F199" s="9"/>
      <c r="G199" s="13" t="str">
        <f aca="false">IF($B199="","",E199*F199)</f>
        <v/>
      </c>
      <c r="H199" s="13" t="n">
        <f aca="false">IFERROR(INDEX('3. Costeo y Precios'!$M$14:$M$64,MATCH($B199,'3. Costeo y Precios'!$A$14:$A$64,0)),0)</f>
        <v>0</v>
      </c>
      <c r="I199" s="13" t="str">
        <f aca="false">IF($B199="","",E199*H199)</f>
        <v/>
      </c>
      <c r="J199" s="28"/>
      <c r="K199" s="13" t="str">
        <f aca="false">IF($B199="","",G199*J199)</f>
        <v/>
      </c>
      <c r="L199" s="13" t="str">
        <f aca="false">IF($B199="","",G199-I199-K199)</f>
        <v/>
      </c>
      <c r="M199" s="22" t="str">
        <f aca="false">IFERROR(L199/G199,"")</f>
        <v/>
      </c>
      <c r="N199" s="11"/>
    </row>
    <row r="200" customFormat="false" ht="15" hidden="false" customHeight="false" outlineLevel="0" collapsed="false">
      <c r="A200" s="27"/>
      <c r="B200" s="11"/>
      <c r="C200" s="7" t="str">
        <f aca="false">IFERROR(INDEX('3. Costeo y Precios'!$B$14:$B$64,MATCH($B200,'3. Costeo y Precios'!$A$14:$A$64,0)),"")</f>
        <v/>
      </c>
      <c r="D200" s="11"/>
      <c r="E200" s="11"/>
      <c r="F200" s="9"/>
      <c r="G200" s="13" t="str">
        <f aca="false">IF($B200="","",E200*F200)</f>
        <v/>
      </c>
      <c r="H200" s="13" t="n">
        <f aca="false">IFERROR(INDEX('3. Costeo y Precios'!$M$14:$M$64,MATCH($B200,'3. Costeo y Precios'!$A$14:$A$64,0)),0)</f>
        <v>0</v>
      </c>
      <c r="I200" s="13" t="str">
        <f aca="false">IF($B200="","",E200*H200)</f>
        <v/>
      </c>
      <c r="J200" s="28"/>
      <c r="K200" s="13" t="str">
        <f aca="false">IF($B200="","",G200*J200)</f>
        <v/>
      </c>
      <c r="L200" s="13" t="str">
        <f aca="false">IF($B200="","",G200-I200-K200)</f>
        <v/>
      </c>
      <c r="M200" s="22" t="str">
        <f aca="false">IFERROR(L200/G200,"")</f>
        <v/>
      </c>
      <c r="N200" s="11"/>
    </row>
    <row r="201" customFormat="false" ht="15" hidden="false" customHeight="false" outlineLevel="0" collapsed="false">
      <c r="A201" s="27"/>
      <c r="B201" s="11"/>
      <c r="C201" s="7" t="str">
        <f aca="false">IFERROR(INDEX('3. Costeo y Precios'!$B$14:$B$64,MATCH($B201,'3. Costeo y Precios'!$A$14:$A$64,0)),"")</f>
        <v/>
      </c>
      <c r="D201" s="11"/>
      <c r="E201" s="11"/>
      <c r="F201" s="9"/>
      <c r="G201" s="13" t="str">
        <f aca="false">IF($B201="","",E201*F201)</f>
        <v/>
      </c>
      <c r="H201" s="13" t="n">
        <f aca="false">IFERROR(INDEX('3. Costeo y Precios'!$M$14:$M$64,MATCH($B201,'3. Costeo y Precios'!$A$14:$A$64,0)),0)</f>
        <v>0</v>
      </c>
      <c r="I201" s="13" t="str">
        <f aca="false">IF($B201="","",E201*H201)</f>
        <v/>
      </c>
      <c r="J201" s="28"/>
      <c r="K201" s="13" t="str">
        <f aca="false">IF($B201="","",G201*J201)</f>
        <v/>
      </c>
      <c r="L201" s="13" t="str">
        <f aca="false">IF($B201="","",G201-I201-K201)</f>
        <v/>
      </c>
      <c r="M201" s="22" t="str">
        <f aca="false">IFERROR(L201/G201,"")</f>
        <v/>
      </c>
      <c r="N201" s="11"/>
    </row>
    <row r="202" customFormat="false" ht="15" hidden="false" customHeight="false" outlineLevel="0" collapsed="false">
      <c r="A202" s="27"/>
      <c r="B202" s="11"/>
      <c r="C202" s="7" t="str">
        <f aca="false">IFERROR(INDEX('3. Costeo y Precios'!$B$14:$B$64,MATCH($B202,'3. Costeo y Precios'!$A$14:$A$64,0)),"")</f>
        <v/>
      </c>
      <c r="D202" s="11"/>
      <c r="E202" s="11"/>
      <c r="F202" s="9"/>
      <c r="G202" s="13" t="str">
        <f aca="false">IF($B202="","",E202*F202)</f>
        <v/>
      </c>
      <c r="H202" s="13" t="n">
        <f aca="false">IFERROR(INDEX('3. Costeo y Precios'!$M$14:$M$64,MATCH($B202,'3. Costeo y Precios'!$A$14:$A$64,0)),0)</f>
        <v>0</v>
      </c>
      <c r="I202" s="13" t="str">
        <f aca="false">IF($B202="","",E202*H202)</f>
        <v/>
      </c>
      <c r="J202" s="28"/>
      <c r="K202" s="13" t="str">
        <f aca="false">IF($B202="","",G202*J202)</f>
        <v/>
      </c>
      <c r="L202" s="13" t="str">
        <f aca="false">IF($B202="","",G202-I202-K202)</f>
        <v/>
      </c>
      <c r="M202" s="22" t="str">
        <f aca="false">IFERROR(L202/G202,"")</f>
        <v/>
      </c>
      <c r="N202" s="11"/>
    </row>
    <row r="203" customFormat="false" ht="15" hidden="false" customHeight="false" outlineLevel="0" collapsed="false">
      <c r="A203" s="27"/>
      <c r="B203" s="11"/>
      <c r="C203" s="7" t="str">
        <f aca="false">IFERROR(INDEX('3. Costeo y Precios'!$B$14:$B$64,MATCH($B203,'3. Costeo y Precios'!$A$14:$A$64,0)),"")</f>
        <v/>
      </c>
      <c r="D203" s="11"/>
      <c r="E203" s="11"/>
      <c r="F203" s="9"/>
      <c r="G203" s="13" t="str">
        <f aca="false">IF($B203="","",E203*F203)</f>
        <v/>
      </c>
      <c r="H203" s="13" t="n">
        <f aca="false">IFERROR(INDEX('3. Costeo y Precios'!$M$14:$M$64,MATCH($B203,'3. Costeo y Precios'!$A$14:$A$64,0)),0)</f>
        <v>0</v>
      </c>
      <c r="I203" s="13" t="str">
        <f aca="false">IF($B203="","",E203*H203)</f>
        <v/>
      </c>
      <c r="J203" s="28"/>
      <c r="K203" s="13" t="str">
        <f aca="false">IF($B203="","",G203*J203)</f>
        <v/>
      </c>
      <c r="L203" s="13" t="str">
        <f aca="false">IF($B203="","",G203-I203-K203)</f>
        <v/>
      </c>
      <c r="M203" s="22" t="str">
        <f aca="false">IFERROR(L203/G203,"")</f>
        <v/>
      </c>
      <c r="N203" s="11"/>
    </row>
    <row r="204" customFormat="false" ht="15" hidden="false" customHeight="false" outlineLevel="0" collapsed="false">
      <c r="A204" s="27"/>
      <c r="B204" s="11"/>
      <c r="C204" s="7" t="str">
        <f aca="false">IFERROR(INDEX('3. Costeo y Precios'!$B$14:$B$64,MATCH($B204,'3. Costeo y Precios'!$A$14:$A$64,0)),"")</f>
        <v/>
      </c>
      <c r="D204" s="11"/>
      <c r="E204" s="11"/>
      <c r="F204" s="9"/>
      <c r="G204" s="13" t="str">
        <f aca="false">IF($B204="","",E204*F204)</f>
        <v/>
      </c>
      <c r="H204" s="13" t="n">
        <f aca="false">IFERROR(INDEX('3. Costeo y Precios'!$M$14:$M$64,MATCH($B204,'3. Costeo y Precios'!$A$14:$A$64,0)),0)</f>
        <v>0</v>
      </c>
      <c r="I204" s="13" t="str">
        <f aca="false">IF($B204="","",E204*H204)</f>
        <v/>
      </c>
      <c r="J204" s="28"/>
      <c r="K204" s="13" t="str">
        <f aca="false">IF($B204="","",G204*J204)</f>
        <v/>
      </c>
      <c r="L204" s="13" t="str">
        <f aca="false">IF($B204="","",G204-I204-K204)</f>
        <v/>
      </c>
      <c r="M204" s="22" t="str">
        <f aca="false">IFERROR(L204/G204,"")</f>
        <v/>
      </c>
      <c r="N204" s="11"/>
    </row>
    <row r="205" customFormat="false" ht="15" hidden="false" customHeight="false" outlineLevel="0" collapsed="false">
      <c r="A205" s="27"/>
      <c r="B205" s="11"/>
      <c r="C205" s="7" t="str">
        <f aca="false">IFERROR(INDEX('3. Costeo y Precios'!$B$14:$B$64,MATCH($B205,'3. Costeo y Precios'!$A$14:$A$64,0)),"")</f>
        <v/>
      </c>
      <c r="D205" s="11"/>
      <c r="E205" s="11"/>
      <c r="F205" s="9"/>
      <c r="G205" s="13" t="str">
        <f aca="false">IF($B205="","",E205*F205)</f>
        <v/>
      </c>
      <c r="H205" s="13" t="n">
        <f aca="false">IFERROR(INDEX('3. Costeo y Precios'!$M$14:$M$64,MATCH($B205,'3. Costeo y Precios'!$A$14:$A$64,0)),0)</f>
        <v>0</v>
      </c>
      <c r="I205" s="13" t="str">
        <f aca="false">IF($B205="","",E205*H205)</f>
        <v/>
      </c>
      <c r="J205" s="28"/>
      <c r="K205" s="13" t="str">
        <f aca="false">IF($B205="","",G205*J205)</f>
        <v/>
      </c>
      <c r="L205" s="13" t="str">
        <f aca="false">IF($B205="","",G205-I205-K205)</f>
        <v/>
      </c>
      <c r="M205" s="22" t="str">
        <f aca="false">IFERROR(L205/G205,"")</f>
        <v/>
      </c>
      <c r="N205" s="11"/>
    </row>
    <row r="206" customFormat="false" ht="15" hidden="false" customHeight="false" outlineLevel="0" collapsed="false">
      <c r="A206" s="27"/>
      <c r="B206" s="11"/>
      <c r="C206" s="7" t="str">
        <f aca="false">IFERROR(INDEX('3. Costeo y Precios'!$B$14:$B$64,MATCH($B206,'3. Costeo y Precios'!$A$14:$A$64,0)),"")</f>
        <v/>
      </c>
      <c r="D206" s="11"/>
      <c r="E206" s="11"/>
      <c r="F206" s="9"/>
      <c r="G206" s="13" t="str">
        <f aca="false">IF($B206="","",E206*F206)</f>
        <v/>
      </c>
      <c r="H206" s="13" t="n">
        <f aca="false">IFERROR(INDEX('3. Costeo y Precios'!$M$14:$M$64,MATCH($B206,'3. Costeo y Precios'!$A$14:$A$64,0)),0)</f>
        <v>0</v>
      </c>
      <c r="I206" s="13" t="str">
        <f aca="false">IF($B206="","",E206*H206)</f>
        <v/>
      </c>
      <c r="J206" s="28"/>
      <c r="K206" s="13" t="str">
        <f aca="false">IF($B206="","",G206*J206)</f>
        <v/>
      </c>
      <c r="L206" s="13" t="str">
        <f aca="false">IF($B206="","",G206-I206-K206)</f>
        <v/>
      </c>
      <c r="M206" s="22" t="str">
        <f aca="false">IFERROR(L206/G206,"")</f>
        <v/>
      </c>
      <c r="N206" s="11"/>
    </row>
    <row r="207" customFormat="false" ht="15" hidden="false" customHeight="false" outlineLevel="0" collapsed="false">
      <c r="A207" s="27"/>
      <c r="B207" s="11"/>
      <c r="C207" s="7" t="str">
        <f aca="false">IFERROR(INDEX('3. Costeo y Precios'!$B$14:$B$64,MATCH($B207,'3. Costeo y Precios'!$A$14:$A$64,0)),"")</f>
        <v/>
      </c>
      <c r="D207" s="11"/>
      <c r="E207" s="11"/>
      <c r="F207" s="9"/>
      <c r="G207" s="13" t="str">
        <f aca="false">IF($B207="","",E207*F207)</f>
        <v/>
      </c>
      <c r="H207" s="13" t="n">
        <f aca="false">IFERROR(INDEX('3. Costeo y Precios'!$M$14:$M$64,MATCH($B207,'3. Costeo y Precios'!$A$14:$A$64,0)),0)</f>
        <v>0</v>
      </c>
      <c r="I207" s="13" t="str">
        <f aca="false">IF($B207="","",E207*H207)</f>
        <v/>
      </c>
      <c r="J207" s="28"/>
      <c r="K207" s="13" t="str">
        <f aca="false">IF($B207="","",G207*J207)</f>
        <v/>
      </c>
      <c r="L207" s="13" t="str">
        <f aca="false">IF($B207="","",G207-I207-K207)</f>
        <v/>
      </c>
      <c r="M207" s="22" t="str">
        <f aca="false">IFERROR(L207/G207,"")</f>
        <v/>
      </c>
      <c r="N207" s="11"/>
    </row>
    <row r="208" customFormat="false" ht="15" hidden="false" customHeight="false" outlineLevel="0" collapsed="false">
      <c r="A208" s="27"/>
      <c r="B208" s="11"/>
      <c r="C208" s="7" t="str">
        <f aca="false">IFERROR(INDEX('3. Costeo y Precios'!$B$14:$B$64,MATCH($B208,'3. Costeo y Precios'!$A$14:$A$64,0)),"")</f>
        <v/>
      </c>
      <c r="D208" s="11"/>
      <c r="E208" s="11"/>
      <c r="F208" s="9"/>
      <c r="G208" s="13" t="str">
        <f aca="false">IF($B208="","",E208*F208)</f>
        <v/>
      </c>
      <c r="H208" s="13" t="n">
        <f aca="false">IFERROR(INDEX('3. Costeo y Precios'!$M$14:$M$64,MATCH($B208,'3. Costeo y Precios'!$A$14:$A$64,0)),0)</f>
        <v>0</v>
      </c>
      <c r="I208" s="13" t="str">
        <f aca="false">IF($B208="","",E208*H208)</f>
        <v/>
      </c>
      <c r="J208" s="28"/>
      <c r="K208" s="13" t="str">
        <f aca="false">IF($B208="","",G208*J208)</f>
        <v/>
      </c>
      <c r="L208" s="13" t="str">
        <f aca="false">IF($B208="","",G208-I208-K208)</f>
        <v/>
      </c>
      <c r="M208" s="22" t="str">
        <f aca="false">IFERROR(L208/G208,"")</f>
        <v/>
      </c>
      <c r="N208" s="11"/>
    </row>
    <row r="209" customFormat="false" ht="15" hidden="false" customHeight="false" outlineLevel="0" collapsed="false">
      <c r="A209" s="27"/>
      <c r="B209" s="11"/>
      <c r="C209" s="7" t="str">
        <f aca="false">IFERROR(INDEX('3. Costeo y Precios'!$B$14:$B$64,MATCH($B209,'3. Costeo y Precios'!$A$14:$A$64,0)),"")</f>
        <v/>
      </c>
      <c r="D209" s="11"/>
      <c r="E209" s="11"/>
      <c r="F209" s="9"/>
      <c r="G209" s="13" t="str">
        <f aca="false">IF($B209="","",E209*F209)</f>
        <v/>
      </c>
      <c r="H209" s="13" t="n">
        <f aca="false">IFERROR(INDEX('3. Costeo y Precios'!$M$14:$M$64,MATCH($B209,'3. Costeo y Precios'!$A$14:$A$64,0)),0)</f>
        <v>0</v>
      </c>
      <c r="I209" s="13" t="str">
        <f aca="false">IF($B209="","",E209*H209)</f>
        <v/>
      </c>
      <c r="J209" s="28"/>
      <c r="K209" s="13" t="str">
        <f aca="false">IF($B209="","",G209*J209)</f>
        <v/>
      </c>
      <c r="L209" s="13" t="str">
        <f aca="false">IF($B209="","",G209-I209-K209)</f>
        <v/>
      </c>
      <c r="M209" s="22" t="str">
        <f aca="false">IFERROR(L209/G209,"")</f>
        <v/>
      </c>
      <c r="N209" s="11"/>
    </row>
    <row r="210" customFormat="false" ht="15" hidden="false" customHeight="false" outlineLevel="0" collapsed="false">
      <c r="A210" s="27"/>
      <c r="B210" s="11"/>
      <c r="C210" s="7" t="str">
        <f aca="false">IFERROR(INDEX('3. Costeo y Precios'!$B$14:$B$64,MATCH($B210,'3. Costeo y Precios'!$A$14:$A$64,0)),"")</f>
        <v/>
      </c>
      <c r="D210" s="11"/>
      <c r="E210" s="11"/>
      <c r="F210" s="9"/>
      <c r="G210" s="13" t="str">
        <f aca="false">IF($B210="","",E210*F210)</f>
        <v/>
      </c>
      <c r="H210" s="13" t="n">
        <f aca="false">IFERROR(INDEX('3. Costeo y Precios'!$M$14:$M$64,MATCH($B210,'3. Costeo y Precios'!$A$14:$A$64,0)),0)</f>
        <v>0</v>
      </c>
      <c r="I210" s="13" t="str">
        <f aca="false">IF($B210="","",E210*H210)</f>
        <v/>
      </c>
      <c r="J210" s="28"/>
      <c r="K210" s="13" t="str">
        <f aca="false">IF($B210="","",G210*J210)</f>
        <v/>
      </c>
      <c r="L210" s="13" t="str">
        <f aca="false">IF($B210="","",G210-I210-K210)</f>
        <v/>
      </c>
      <c r="M210" s="22" t="str">
        <f aca="false">IFERROR(L210/G210,"")</f>
        <v/>
      </c>
      <c r="N210" s="11"/>
    </row>
    <row r="211" customFormat="false" ht="15" hidden="false" customHeight="false" outlineLevel="0" collapsed="false">
      <c r="A211" s="27"/>
      <c r="B211" s="11"/>
      <c r="C211" s="7" t="str">
        <f aca="false">IFERROR(INDEX('3. Costeo y Precios'!$B$14:$B$64,MATCH($B211,'3. Costeo y Precios'!$A$14:$A$64,0)),"")</f>
        <v/>
      </c>
      <c r="D211" s="11"/>
      <c r="E211" s="11"/>
      <c r="F211" s="9"/>
      <c r="G211" s="13" t="str">
        <f aca="false">IF($B211="","",E211*F211)</f>
        <v/>
      </c>
      <c r="H211" s="13" t="n">
        <f aca="false">IFERROR(INDEX('3. Costeo y Precios'!$M$14:$M$64,MATCH($B211,'3. Costeo y Precios'!$A$14:$A$64,0)),0)</f>
        <v>0</v>
      </c>
      <c r="I211" s="13" t="str">
        <f aca="false">IF($B211="","",E211*H211)</f>
        <v/>
      </c>
      <c r="J211" s="28"/>
      <c r="K211" s="13" t="str">
        <f aca="false">IF($B211="","",G211*J211)</f>
        <v/>
      </c>
      <c r="L211" s="13" t="str">
        <f aca="false">IF($B211="","",G211-I211-K211)</f>
        <v/>
      </c>
      <c r="M211" s="22" t="str">
        <f aca="false">IFERROR(L211/G211,"")</f>
        <v/>
      </c>
      <c r="N211" s="11"/>
    </row>
    <row r="212" customFormat="false" ht="15" hidden="false" customHeight="false" outlineLevel="0" collapsed="false">
      <c r="A212" s="27"/>
      <c r="B212" s="11"/>
      <c r="C212" s="7" t="str">
        <f aca="false">IFERROR(INDEX('3. Costeo y Precios'!$B$14:$B$64,MATCH($B212,'3. Costeo y Precios'!$A$14:$A$64,0)),"")</f>
        <v/>
      </c>
      <c r="D212" s="11"/>
      <c r="E212" s="11"/>
      <c r="F212" s="9"/>
      <c r="G212" s="13" t="str">
        <f aca="false">IF($B212="","",E212*F212)</f>
        <v/>
      </c>
      <c r="H212" s="13" t="n">
        <f aca="false">IFERROR(INDEX('3. Costeo y Precios'!$M$14:$M$64,MATCH($B212,'3. Costeo y Precios'!$A$14:$A$64,0)),0)</f>
        <v>0</v>
      </c>
      <c r="I212" s="13" t="str">
        <f aca="false">IF($B212="","",E212*H212)</f>
        <v/>
      </c>
      <c r="J212" s="28"/>
      <c r="K212" s="13" t="str">
        <f aca="false">IF($B212="","",G212*J212)</f>
        <v/>
      </c>
      <c r="L212" s="13" t="str">
        <f aca="false">IF($B212="","",G212-I212-K212)</f>
        <v/>
      </c>
      <c r="M212" s="22" t="str">
        <f aca="false">IFERROR(L212/G212,"")</f>
        <v/>
      </c>
      <c r="N212" s="11"/>
    </row>
    <row r="213" customFormat="false" ht="15" hidden="false" customHeight="false" outlineLevel="0" collapsed="false">
      <c r="A213" s="27"/>
      <c r="B213" s="11"/>
      <c r="C213" s="7" t="str">
        <f aca="false">IFERROR(INDEX('3. Costeo y Precios'!$B$14:$B$64,MATCH($B213,'3. Costeo y Precios'!$A$14:$A$64,0)),"")</f>
        <v/>
      </c>
      <c r="D213" s="11"/>
      <c r="E213" s="11"/>
      <c r="F213" s="9"/>
      <c r="G213" s="13" t="str">
        <f aca="false">IF($B213="","",E213*F213)</f>
        <v/>
      </c>
      <c r="H213" s="13" t="n">
        <f aca="false">IFERROR(INDEX('3. Costeo y Precios'!$M$14:$M$64,MATCH($B213,'3. Costeo y Precios'!$A$14:$A$64,0)),0)</f>
        <v>0</v>
      </c>
      <c r="I213" s="13" t="str">
        <f aca="false">IF($B213="","",E213*H213)</f>
        <v/>
      </c>
      <c r="J213" s="28"/>
      <c r="K213" s="13" t="str">
        <f aca="false">IF($B213="","",G213*J213)</f>
        <v/>
      </c>
      <c r="L213" s="13" t="str">
        <f aca="false">IF($B213="","",G213-I213-K213)</f>
        <v/>
      </c>
      <c r="M213" s="22" t="str">
        <f aca="false">IFERROR(L213/G213,"")</f>
        <v/>
      </c>
      <c r="N213" s="11"/>
    </row>
    <row r="214" customFormat="false" ht="15" hidden="false" customHeight="false" outlineLevel="0" collapsed="false">
      <c r="A214" s="27"/>
      <c r="B214" s="11"/>
      <c r="C214" s="7" t="str">
        <f aca="false">IFERROR(INDEX('3. Costeo y Precios'!$B$14:$B$64,MATCH($B214,'3. Costeo y Precios'!$A$14:$A$64,0)),"")</f>
        <v/>
      </c>
      <c r="D214" s="11"/>
      <c r="E214" s="11"/>
      <c r="F214" s="9"/>
      <c r="G214" s="13" t="str">
        <f aca="false">IF($B214="","",E214*F214)</f>
        <v/>
      </c>
      <c r="H214" s="13" t="n">
        <f aca="false">IFERROR(INDEX('3. Costeo y Precios'!$M$14:$M$64,MATCH($B214,'3. Costeo y Precios'!$A$14:$A$64,0)),0)</f>
        <v>0</v>
      </c>
      <c r="I214" s="13" t="str">
        <f aca="false">IF($B214="","",E214*H214)</f>
        <v/>
      </c>
      <c r="J214" s="28"/>
      <c r="K214" s="13" t="str">
        <f aca="false">IF($B214="","",G214*J214)</f>
        <v/>
      </c>
      <c r="L214" s="13" t="str">
        <f aca="false">IF($B214="","",G214-I214-K214)</f>
        <v/>
      </c>
      <c r="M214" s="22" t="str">
        <f aca="false">IFERROR(L214/G214,"")</f>
        <v/>
      </c>
      <c r="N214" s="11"/>
    </row>
    <row r="215" customFormat="false" ht="15" hidden="false" customHeight="false" outlineLevel="0" collapsed="false">
      <c r="A215" s="27"/>
      <c r="B215" s="11"/>
      <c r="C215" s="7" t="str">
        <f aca="false">IFERROR(INDEX('3. Costeo y Precios'!$B$14:$B$64,MATCH($B215,'3. Costeo y Precios'!$A$14:$A$64,0)),"")</f>
        <v/>
      </c>
      <c r="D215" s="11"/>
      <c r="E215" s="11"/>
      <c r="F215" s="9"/>
      <c r="G215" s="13" t="str">
        <f aca="false">IF($B215="","",E215*F215)</f>
        <v/>
      </c>
      <c r="H215" s="13" t="n">
        <f aca="false">IFERROR(INDEX('3. Costeo y Precios'!$M$14:$M$64,MATCH($B215,'3. Costeo y Precios'!$A$14:$A$64,0)),0)</f>
        <v>0</v>
      </c>
      <c r="I215" s="13" t="str">
        <f aca="false">IF($B215="","",E215*H215)</f>
        <v/>
      </c>
      <c r="J215" s="28"/>
      <c r="K215" s="13" t="str">
        <f aca="false">IF($B215="","",G215*J215)</f>
        <v/>
      </c>
      <c r="L215" s="13" t="str">
        <f aca="false">IF($B215="","",G215-I215-K215)</f>
        <v/>
      </c>
      <c r="M215" s="22" t="str">
        <f aca="false">IFERROR(L215/G215,"")</f>
        <v/>
      </c>
      <c r="N215" s="11"/>
    </row>
    <row r="216" customFormat="false" ht="15" hidden="false" customHeight="false" outlineLevel="0" collapsed="false">
      <c r="A216" s="27"/>
      <c r="B216" s="11"/>
      <c r="C216" s="7" t="str">
        <f aca="false">IFERROR(INDEX('3. Costeo y Precios'!$B$14:$B$64,MATCH($B216,'3. Costeo y Precios'!$A$14:$A$64,0)),"")</f>
        <v/>
      </c>
      <c r="D216" s="11"/>
      <c r="E216" s="11"/>
      <c r="F216" s="9"/>
      <c r="G216" s="13" t="str">
        <f aca="false">IF($B216="","",E216*F216)</f>
        <v/>
      </c>
      <c r="H216" s="13" t="n">
        <f aca="false">IFERROR(INDEX('3. Costeo y Precios'!$M$14:$M$64,MATCH($B216,'3. Costeo y Precios'!$A$14:$A$64,0)),0)</f>
        <v>0</v>
      </c>
      <c r="I216" s="13" t="str">
        <f aca="false">IF($B216="","",E216*H216)</f>
        <v/>
      </c>
      <c r="J216" s="28"/>
      <c r="K216" s="13" t="str">
        <f aca="false">IF($B216="","",G216*J216)</f>
        <v/>
      </c>
      <c r="L216" s="13" t="str">
        <f aca="false">IF($B216="","",G216-I216-K216)</f>
        <v/>
      </c>
      <c r="M216" s="22" t="str">
        <f aca="false">IFERROR(L216/G216,"")</f>
        <v/>
      </c>
      <c r="N216" s="11"/>
    </row>
    <row r="217" customFormat="false" ht="15" hidden="false" customHeight="false" outlineLevel="0" collapsed="false">
      <c r="A217" s="27"/>
      <c r="B217" s="11"/>
      <c r="C217" s="7" t="str">
        <f aca="false">IFERROR(INDEX('3. Costeo y Precios'!$B$14:$B$64,MATCH($B217,'3. Costeo y Precios'!$A$14:$A$64,0)),"")</f>
        <v/>
      </c>
      <c r="D217" s="11"/>
      <c r="E217" s="11"/>
      <c r="F217" s="9"/>
      <c r="G217" s="13" t="str">
        <f aca="false">IF($B217="","",E217*F217)</f>
        <v/>
      </c>
      <c r="H217" s="13" t="n">
        <f aca="false">IFERROR(INDEX('3. Costeo y Precios'!$M$14:$M$64,MATCH($B217,'3. Costeo y Precios'!$A$14:$A$64,0)),0)</f>
        <v>0</v>
      </c>
      <c r="I217" s="13" t="str">
        <f aca="false">IF($B217="","",E217*H217)</f>
        <v/>
      </c>
      <c r="J217" s="28"/>
      <c r="K217" s="13" t="str">
        <f aca="false">IF($B217="","",G217*J217)</f>
        <v/>
      </c>
      <c r="L217" s="13" t="str">
        <f aca="false">IF($B217="","",G217-I217-K217)</f>
        <v/>
      </c>
      <c r="M217" s="22" t="str">
        <f aca="false">IFERROR(L217/G217,"")</f>
        <v/>
      </c>
      <c r="N217" s="11"/>
    </row>
    <row r="218" customFormat="false" ht="15" hidden="false" customHeight="false" outlineLevel="0" collapsed="false">
      <c r="A218" s="27"/>
      <c r="B218" s="11"/>
      <c r="C218" s="7" t="str">
        <f aca="false">IFERROR(INDEX('3. Costeo y Precios'!$B$14:$B$64,MATCH($B218,'3. Costeo y Precios'!$A$14:$A$64,0)),"")</f>
        <v/>
      </c>
      <c r="D218" s="11"/>
      <c r="E218" s="11"/>
      <c r="F218" s="9"/>
      <c r="G218" s="13" t="str">
        <f aca="false">IF($B218="","",E218*F218)</f>
        <v/>
      </c>
      <c r="H218" s="13" t="n">
        <f aca="false">IFERROR(INDEX('3. Costeo y Precios'!$M$14:$M$64,MATCH($B218,'3. Costeo y Precios'!$A$14:$A$64,0)),0)</f>
        <v>0</v>
      </c>
      <c r="I218" s="13" t="str">
        <f aca="false">IF($B218="","",E218*H218)</f>
        <v/>
      </c>
      <c r="J218" s="28"/>
      <c r="K218" s="13" t="str">
        <f aca="false">IF($B218="","",G218*J218)</f>
        <v/>
      </c>
      <c r="L218" s="13" t="str">
        <f aca="false">IF($B218="","",G218-I218-K218)</f>
        <v/>
      </c>
      <c r="M218" s="22" t="str">
        <f aca="false">IFERROR(L218/G218,"")</f>
        <v/>
      </c>
      <c r="N218" s="11"/>
    </row>
    <row r="219" customFormat="false" ht="15" hidden="false" customHeight="false" outlineLevel="0" collapsed="false">
      <c r="A219" s="27"/>
      <c r="B219" s="11"/>
      <c r="C219" s="7" t="str">
        <f aca="false">IFERROR(INDEX('3. Costeo y Precios'!$B$14:$B$64,MATCH($B219,'3. Costeo y Precios'!$A$14:$A$64,0)),"")</f>
        <v/>
      </c>
      <c r="D219" s="11"/>
      <c r="E219" s="11"/>
      <c r="F219" s="9"/>
      <c r="G219" s="13" t="str">
        <f aca="false">IF($B219="","",E219*F219)</f>
        <v/>
      </c>
      <c r="H219" s="13" t="n">
        <f aca="false">IFERROR(INDEX('3. Costeo y Precios'!$M$14:$M$64,MATCH($B219,'3. Costeo y Precios'!$A$14:$A$64,0)),0)</f>
        <v>0</v>
      </c>
      <c r="I219" s="13" t="str">
        <f aca="false">IF($B219="","",E219*H219)</f>
        <v/>
      </c>
      <c r="J219" s="28"/>
      <c r="K219" s="13" t="str">
        <f aca="false">IF($B219="","",G219*J219)</f>
        <v/>
      </c>
      <c r="L219" s="13" t="str">
        <f aca="false">IF($B219="","",G219-I219-K219)</f>
        <v/>
      </c>
      <c r="M219" s="22" t="str">
        <f aca="false">IFERROR(L219/G219,"")</f>
        <v/>
      </c>
      <c r="N219" s="11"/>
    </row>
    <row r="220" customFormat="false" ht="15" hidden="false" customHeight="false" outlineLevel="0" collapsed="false">
      <c r="A220" s="27"/>
      <c r="B220" s="11"/>
      <c r="C220" s="7" t="str">
        <f aca="false">IFERROR(INDEX('3. Costeo y Precios'!$B$14:$B$64,MATCH($B220,'3. Costeo y Precios'!$A$14:$A$64,0)),"")</f>
        <v/>
      </c>
      <c r="D220" s="11"/>
      <c r="E220" s="11"/>
      <c r="F220" s="9"/>
      <c r="G220" s="13" t="str">
        <f aca="false">IF($B220="","",E220*F220)</f>
        <v/>
      </c>
      <c r="H220" s="13" t="n">
        <f aca="false">IFERROR(INDEX('3. Costeo y Precios'!$M$14:$M$64,MATCH($B220,'3. Costeo y Precios'!$A$14:$A$64,0)),0)</f>
        <v>0</v>
      </c>
      <c r="I220" s="13" t="str">
        <f aca="false">IF($B220="","",E220*H220)</f>
        <v/>
      </c>
      <c r="J220" s="28"/>
      <c r="K220" s="13" t="str">
        <f aca="false">IF($B220="","",G220*J220)</f>
        <v/>
      </c>
      <c r="L220" s="13" t="str">
        <f aca="false">IF($B220="","",G220-I220-K220)</f>
        <v/>
      </c>
      <c r="M220" s="22" t="str">
        <f aca="false">IFERROR(L220/G220,"")</f>
        <v/>
      </c>
      <c r="N220" s="11"/>
    </row>
    <row r="221" customFormat="false" ht="15" hidden="false" customHeight="false" outlineLevel="0" collapsed="false">
      <c r="A221" s="27"/>
      <c r="B221" s="11"/>
      <c r="C221" s="7" t="str">
        <f aca="false">IFERROR(INDEX('3. Costeo y Precios'!$B$14:$B$64,MATCH($B221,'3. Costeo y Precios'!$A$14:$A$64,0)),"")</f>
        <v/>
      </c>
      <c r="D221" s="11"/>
      <c r="E221" s="11"/>
      <c r="F221" s="9"/>
      <c r="G221" s="13" t="str">
        <f aca="false">IF($B221="","",E221*F221)</f>
        <v/>
      </c>
      <c r="H221" s="13" t="n">
        <f aca="false">IFERROR(INDEX('3. Costeo y Precios'!$M$14:$M$64,MATCH($B221,'3. Costeo y Precios'!$A$14:$A$64,0)),0)</f>
        <v>0</v>
      </c>
      <c r="I221" s="13" t="str">
        <f aca="false">IF($B221="","",E221*H221)</f>
        <v/>
      </c>
      <c r="J221" s="28"/>
      <c r="K221" s="13" t="str">
        <f aca="false">IF($B221="","",G221*J221)</f>
        <v/>
      </c>
      <c r="L221" s="13" t="str">
        <f aca="false">IF($B221="","",G221-I221-K221)</f>
        <v/>
      </c>
      <c r="M221" s="22" t="str">
        <f aca="false">IFERROR(L221/G221,"")</f>
        <v/>
      </c>
      <c r="N221" s="11"/>
    </row>
    <row r="222" customFormat="false" ht="15" hidden="false" customHeight="false" outlineLevel="0" collapsed="false">
      <c r="A222" s="27"/>
      <c r="B222" s="11"/>
      <c r="C222" s="7" t="str">
        <f aca="false">IFERROR(INDEX('3. Costeo y Precios'!$B$14:$B$64,MATCH($B222,'3. Costeo y Precios'!$A$14:$A$64,0)),"")</f>
        <v/>
      </c>
      <c r="D222" s="11"/>
      <c r="E222" s="11"/>
      <c r="F222" s="9"/>
      <c r="G222" s="13" t="str">
        <f aca="false">IF($B222="","",E222*F222)</f>
        <v/>
      </c>
      <c r="H222" s="13" t="n">
        <f aca="false">IFERROR(INDEX('3. Costeo y Precios'!$M$14:$M$64,MATCH($B222,'3. Costeo y Precios'!$A$14:$A$64,0)),0)</f>
        <v>0</v>
      </c>
      <c r="I222" s="13" t="str">
        <f aca="false">IF($B222="","",E222*H222)</f>
        <v/>
      </c>
      <c r="J222" s="28"/>
      <c r="K222" s="13" t="str">
        <f aca="false">IF($B222="","",G222*J222)</f>
        <v/>
      </c>
      <c r="L222" s="13" t="str">
        <f aca="false">IF($B222="","",G222-I222-K222)</f>
        <v/>
      </c>
      <c r="M222" s="22" t="str">
        <f aca="false">IFERROR(L222/G222,"")</f>
        <v/>
      </c>
      <c r="N222" s="11"/>
    </row>
    <row r="223" customFormat="false" ht="15" hidden="false" customHeight="false" outlineLevel="0" collapsed="false">
      <c r="A223" s="27"/>
      <c r="B223" s="11"/>
      <c r="C223" s="7" t="str">
        <f aca="false">IFERROR(INDEX('3. Costeo y Precios'!$B$14:$B$64,MATCH($B223,'3. Costeo y Precios'!$A$14:$A$64,0)),"")</f>
        <v/>
      </c>
      <c r="D223" s="11"/>
      <c r="E223" s="11"/>
      <c r="F223" s="9"/>
      <c r="G223" s="13" t="str">
        <f aca="false">IF($B223="","",E223*F223)</f>
        <v/>
      </c>
      <c r="H223" s="13" t="n">
        <f aca="false">IFERROR(INDEX('3. Costeo y Precios'!$M$14:$M$64,MATCH($B223,'3. Costeo y Precios'!$A$14:$A$64,0)),0)</f>
        <v>0</v>
      </c>
      <c r="I223" s="13" t="str">
        <f aca="false">IF($B223="","",E223*H223)</f>
        <v/>
      </c>
      <c r="J223" s="28"/>
      <c r="K223" s="13" t="str">
        <f aca="false">IF($B223="","",G223*J223)</f>
        <v/>
      </c>
      <c r="L223" s="13" t="str">
        <f aca="false">IF($B223="","",G223-I223-K223)</f>
        <v/>
      </c>
      <c r="M223" s="22" t="str">
        <f aca="false">IFERROR(L223/G223,"")</f>
        <v/>
      </c>
      <c r="N223" s="11"/>
    </row>
    <row r="224" customFormat="false" ht="15" hidden="false" customHeight="false" outlineLevel="0" collapsed="false">
      <c r="A224" s="27"/>
      <c r="B224" s="11"/>
      <c r="C224" s="7" t="str">
        <f aca="false">IFERROR(INDEX('3. Costeo y Precios'!$B$14:$B$64,MATCH($B224,'3. Costeo y Precios'!$A$14:$A$64,0)),"")</f>
        <v/>
      </c>
      <c r="D224" s="11"/>
      <c r="E224" s="11"/>
      <c r="F224" s="9"/>
      <c r="G224" s="13" t="str">
        <f aca="false">IF($B224="","",E224*F224)</f>
        <v/>
      </c>
      <c r="H224" s="13" t="n">
        <f aca="false">IFERROR(INDEX('3. Costeo y Precios'!$M$14:$M$64,MATCH($B224,'3. Costeo y Precios'!$A$14:$A$64,0)),0)</f>
        <v>0</v>
      </c>
      <c r="I224" s="13" t="str">
        <f aca="false">IF($B224="","",E224*H224)</f>
        <v/>
      </c>
      <c r="J224" s="28"/>
      <c r="K224" s="13" t="str">
        <f aca="false">IF($B224="","",G224*J224)</f>
        <v/>
      </c>
      <c r="L224" s="13" t="str">
        <f aca="false">IF($B224="","",G224-I224-K224)</f>
        <v/>
      </c>
      <c r="M224" s="22" t="str">
        <f aca="false">IFERROR(L224/G224,"")</f>
        <v/>
      </c>
      <c r="N224" s="11"/>
    </row>
    <row r="225" customFormat="false" ht="15" hidden="false" customHeight="false" outlineLevel="0" collapsed="false">
      <c r="A225" s="27"/>
      <c r="B225" s="11"/>
      <c r="C225" s="7" t="str">
        <f aca="false">IFERROR(INDEX('3. Costeo y Precios'!$B$14:$B$64,MATCH($B225,'3. Costeo y Precios'!$A$14:$A$64,0)),"")</f>
        <v/>
      </c>
      <c r="D225" s="11"/>
      <c r="E225" s="11"/>
      <c r="F225" s="9"/>
      <c r="G225" s="13" t="str">
        <f aca="false">IF($B225="","",E225*F225)</f>
        <v/>
      </c>
      <c r="H225" s="13" t="n">
        <f aca="false">IFERROR(INDEX('3. Costeo y Precios'!$M$14:$M$64,MATCH($B225,'3. Costeo y Precios'!$A$14:$A$64,0)),0)</f>
        <v>0</v>
      </c>
      <c r="I225" s="13" t="str">
        <f aca="false">IF($B225="","",E225*H225)</f>
        <v/>
      </c>
      <c r="J225" s="28"/>
      <c r="K225" s="13" t="str">
        <f aca="false">IF($B225="","",G225*J225)</f>
        <v/>
      </c>
      <c r="L225" s="13" t="str">
        <f aca="false">IF($B225="","",G225-I225-K225)</f>
        <v/>
      </c>
      <c r="M225" s="22" t="str">
        <f aca="false">IFERROR(L225/G225,"")</f>
        <v/>
      </c>
      <c r="N225" s="11"/>
    </row>
    <row r="226" customFormat="false" ht="15" hidden="false" customHeight="false" outlineLevel="0" collapsed="false">
      <c r="A226" s="27"/>
      <c r="B226" s="11"/>
      <c r="C226" s="7" t="str">
        <f aca="false">IFERROR(INDEX('3. Costeo y Precios'!$B$14:$B$64,MATCH($B226,'3. Costeo y Precios'!$A$14:$A$64,0)),"")</f>
        <v/>
      </c>
      <c r="D226" s="11"/>
      <c r="E226" s="11"/>
      <c r="F226" s="9"/>
      <c r="G226" s="13" t="str">
        <f aca="false">IF($B226="","",E226*F226)</f>
        <v/>
      </c>
      <c r="H226" s="13" t="n">
        <f aca="false">IFERROR(INDEX('3. Costeo y Precios'!$M$14:$M$64,MATCH($B226,'3. Costeo y Precios'!$A$14:$A$64,0)),0)</f>
        <v>0</v>
      </c>
      <c r="I226" s="13" t="str">
        <f aca="false">IF($B226="","",E226*H226)</f>
        <v/>
      </c>
      <c r="J226" s="28"/>
      <c r="K226" s="13" t="str">
        <f aca="false">IF($B226="","",G226*J226)</f>
        <v/>
      </c>
      <c r="L226" s="13" t="str">
        <f aca="false">IF($B226="","",G226-I226-K226)</f>
        <v/>
      </c>
      <c r="M226" s="22" t="str">
        <f aca="false">IFERROR(L226/G226,"")</f>
        <v/>
      </c>
      <c r="N226" s="11"/>
    </row>
    <row r="227" customFormat="false" ht="15" hidden="false" customHeight="false" outlineLevel="0" collapsed="false">
      <c r="A227" s="27"/>
      <c r="B227" s="11"/>
      <c r="C227" s="7" t="str">
        <f aca="false">IFERROR(INDEX('3. Costeo y Precios'!$B$14:$B$64,MATCH($B227,'3. Costeo y Precios'!$A$14:$A$64,0)),"")</f>
        <v/>
      </c>
      <c r="D227" s="11"/>
      <c r="E227" s="11"/>
      <c r="F227" s="9"/>
      <c r="G227" s="13" t="str">
        <f aca="false">IF($B227="","",E227*F227)</f>
        <v/>
      </c>
      <c r="H227" s="13" t="n">
        <f aca="false">IFERROR(INDEX('3. Costeo y Precios'!$M$14:$M$64,MATCH($B227,'3. Costeo y Precios'!$A$14:$A$64,0)),0)</f>
        <v>0</v>
      </c>
      <c r="I227" s="13" t="str">
        <f aca="false">IF($B227="","",E227*H227)</f>
        <v/>
      </c>
      <c r="J227" s="28"/>
      <c r="K227" s="13" t="str">
        <f aca="false">IF($B227="","",G227*J227)</f>
        <v/>
      </c>
      <c r="L227" s="13" t="str">
        <f aca="false">IF($B227="","",G227-I227-K227)</f>
        <v/>
      </c>
      <c r="M227" s="22" t="str">
        <f aca="false">IFERROR(L227/G227,"")</f>
        <v/>
      </c>
      <c r="N227" s="11"/>
    </row>
    <row r="228" customFormat="false" ht="15" hidden="false" customHeight="false" outlineLevel="0" collapsed="false">
      <c r="A228" s="27"/>
      <c r="B228" s="11"/>
      <c r="C228" s="7" t="str">
        <f aca="false">IFERROR(INDEX('3. Costeo y Precios'!$B$14:$B$64,MATCH($B228,'3. Costeo y Precios'!$A$14:$A$64,0)),"")</f>
        <v/>
      </c>
      <c r="D228" s="11"/>
      <c r="E228" s="11"/>
      <c r="F228" s="9"/>
      <c r="G228" s="13" t="str">
        <f aca="false">IF($B228="","",E228*F228)</f>
        <v/>
      </c>
      <c r="H228" s="13" t="n">
        <f aca="false">IFERROR(INDEX('3. Costeo y Precios'!$M$14:$M$64,MATCH($B228,'3. Costeo y Precios'!$A$14:$A$64,0)),0)</f>
        <v>0</v>
      </c>
      <c r="I228" s="13" t="str">
        <f aca="false">IF($B228="","",E228*H228)</f>
        <v/>
      </c>
      <c r="J228" s="28"/>
      <c r="K228" s="13" t="str">
        <f aca="false">IF($B228="","",G228*J228)</f>
        <v/>
      </c>
      <c r="L228" s="13" t="str">
        <f aca="false">IF($B228="","",G228-I228-K228)</f>
        <v/>
      </c>
      <c r="M228" s="22" t="str">
        <f aca="false">IFERROR(L228/G228,"")</f>
        <v/>
      </c>
      <c r="N228" s="11"/>
    </row>
    <row r="229" customFormat="false" ht="15" hidden="false" customHeight="false" outlineLevel="0" collapsed="false">
      <c r="A229" s="27"/>
      <c r="B229" s="11"/>
      <c r="C229" s="7" t="str">
        <f aca="false">IFERROR(INDEX('3. Costeo y Precios'!$B$14:$B$64,MATCH($B229,'3. Costeo y Precios'!$A$14:$A$64,0)),"")</f>
        <v/>
      </c>
      <c r="D229" s="11"/>
      <c r="E229" s="11"/>
      <c r="F229" s="9"/>
      <c r="G229" s="13" t="str">
        <f aca="false">IF($B229="","",E229*F229)</f>
        <v/>
      </c>
      <c r="H229" s="13" t="n">
        <f aca="false">IFERROR(INDEX('3. Costeo y Precios'!$M$14:$M$64,MATCH($B229,'3. Costeo y Precios'!$A$14:$A$64,0)),0)</f>
        <v>0</v>
      </c>
      <c r="I229" s="13" t="str">
        <f aca="false">IF($B229="","",E229*H229)</f>
        <v/>
      </c>
      <c r="J229" s="28"/>
      <c r="K229" s="13" t="str">
        <f aca="false">IF($B229="","",G229*J229)</f>
        <v/>
      </c>
      <c r="L229" s="13" t="str">
        <f aca="false">IF($B229="","",G229-I229-K229)</f>
        <v/>
      </c>
      <c r="M229" s="22" t="str">
        <f aca="false">IFERROR(L229/G229,"")</f>
        <v/>
      </c>
      <c r="N229" s="11"/>
    </row>
    <row r="230" customFormat="false" ht="15" hidden="false" customHeight="false" outlineLevel="0" collapsed="false">
      <c r="A230" s="27"/>
      <c r="B230" s="11"/>
      <c r="C230" s="7" t="str">
        <f aca="false">IFERROR(INDEX('3. Costeo y Precios'!$B$14:$B$64,MATCH($B230,'3. Costeo y Precios'!$A$14:$A$64,0)),"")</f>
        <v/>
      </c>
      <c r="D230" s="11"/>
      <c r="E230" s="11"/>
      <c r="F230" s="9"/>
      <c r="G230" s="13" t="str">
        <f aca="false">IF($B230="","",E230*F230)</f>
        <v/>
      </c>
      <c r="H230" s="13" t="n">
        <f aca="false">IFERROR(INDEX('3. Costeo y Precios'!$M$14:$M$64,MATCH($B230,'3. Costeo y Precios'!$A$14:$A$64,0)),0)</f>
        <v>0</v>
      </c>
      <c r="I230" s="13" t="str">
        <f aca="false">IF($B230="","",E230*H230)</f>
        <v/>
      </c>
      <c r="J230" s="28"/>
      <c r="K230" s="13" t="str">
        <f aca="false">IF($B230="","",G230*J230)</f>
        <v/>
      </c>
      <c r="L230" s="13" t="str">
        <f aca="false">IF($B230="","",G230-I230-K230)</f>
        <v/>
      </c>
      <c r="M230" s="22" t="str">
        <f aca="false">IFERROR(L230/G230,"")</f>
        <v/>
      </c>
      <c r="N230" s="11"/>
    </row>
    <row r="231" customFormat="false" ht="15" hidden="false" customHeight="false" outlineLevel="0" collapsed="false">
      <c r="A231" s="27"/>
      <c r="B231" s="11"/>
      <c r="C231" s="7" t="str">
        <f aca="false">IFERROR(INDEX('3. Costeo y Precios'!$B$14:$B$64,MATCH($B231,'3. Costeo y Precios'!$A$14:$A$64,0)),"")</f>
        <v/>
      </c>
      <c r="D231" s="11"/>
      <c r="E231" s="11"/>
      <c r="F231" s="9"/>
      <c r="G231" s="13" t="str">
        <f aca="false">IF($B231="","",E231*F231)</f>
        <v/>
      </c>
      <c r="H231" s="13" t="n">
        <f aca="false">IFERROR(INDEX('3. Costeo y Precios'!$M$14:$M$64,MATCH($B231,'3. Costeo y Precios'!$A$14:$A$64,0)),0)</f>
        <v>0</v>
      </c>
      <c r="I231" s="13" t="str">
        <f aca="false">IF($B231="","",E231*H231)</f>
        <v/>
      </c>
      <c r="J231" s="28"/>
      <c r="K231" s="13" t="str">
        <f aca="false">IF($B231="","",G231*J231)</f>
        <v/>
      </c>
      <c r="L231" s="13" t="str">
        <f aca="false">IF($B231="","",G231-I231-K231)</f>
        <v/>
      </c>
      <c r="M231" s="22" t="str">
        <f aca="false">IFERROR(L231/G231,"")</f>
        <v/>
      </c>
      <c r="N231" s="11"/>
    </row>
    <row r="232" customFormat="false" ht="15" hidden="false" customHeight="false" outlineLevel="0" collapsed="false">
      <c r="A232" s="27"/>
      <c r="B232" s="11"/>
      <c r="C232" s="7" t="str">
        <f aca="false">IFERROR(INDEX('3. Costeo y Precios'!$B$14:$B$64,MATCH($B232,'3. Costeo y Precios'!$A$14:$A$64,0)),"")</f>
        <v/>
      </c>
      <c r="D232" s="11"/>
      <c r="E232" s="11"/>
      <c r="F232" s="9"/>
      <c r="G232" s="13" t="str">
        <f aca="false">IF($B232="","",E232*F232)</f>
        <v/>
      </c>
      <c r="H232" s="13" t="n">
        <f aca="false">IFERROR(INDEX('3. Costeo y Precios'!$M$14:$M$64,MATCH($B232,'3. Costeo y Precios'!$A$14:$A$64,0)),0)</f>
        <v>0</v>
      </c>
      <c r="I232" s="13" t="str">
        <f aca="false">IF($B232="","",E232*H232)</f>
        <v/>
      </c>
      <c r="J232" s="28"/>
      <c r="K232" s="13" t="str">
        <f aca="false">IF($B232="","",G232*J232)</f>
        <v/>
      </c>
      <c r="L232" s="13" t="str">
        <f aca="false">IF($B232="","",G232-I232-K232)</f>
        <v/>
      </c>
      <c r="M232" s="22" t="str">
        <f aca="false">IFERROR(L232/G232,"")</f>
        <v/>
      </c>
      <c r="N232" s="11"/>
    </row>
    <row r="233" customFormat="false" ht="15" hidden="false" customHeight="false" outlineLevel="0" collapsed="false">
      <c r="A233" s="27"/>
      <c r="B233" s="11"/>
      <c r="C233" s="7" t="str">
        <f aca="false">IFERROR(INDEX('3. Costeo y Precios'!$B$14:$B$64,MATCH($B233,'3. Costeo y Precios'!$A$14:$A$64,0)),"")</f>
        <v/>
      </c>
      <c r="D233" s="11"/>
      <c r="E233" s="11"/>
      <c r="F233" s="9"/>
      <c r="G233" s="13" t="str">
        <f aca="false">IF($B233="","",E233*F233)</f>
        <v/>
      </c>
      <c r="H233" s="13" t="n">
        <f aca="false">IFERROR(INDEX('3. Costeo y Precios'!$M$14:$M$64,MATCH($B233,'3. Costeo y Precios'!$A$14:$A$64,0)),0)</f>
        <v>0</v>
      </c>
      <c r="I233" s="13" t="str">
        <f aca="false">IF($B233="","",E233*H233)</f>
        <v/>
      </c>
      <c r="J233" s="28"/>
      <c r="K233" s="13" t="str">
        <f aca="false">IF($B233="","",G233*J233)</f>
        <v/>
      </c>
      <c r="L233" s="13" t="str">
        <f aca="false">IF($B233="","",G233-I233-K233)</f>
        <v/>
      </c>
      <c r="M233" s="22" t="str">
        <f aca="false">IFERROR(L233/G233,"")</f>
        <v/>
      </c>
      <c r="N233" s="11"/>
    </row>
    <row r="234" customFormat="false" ht="15" hidden="false" customHeight="false" outlineLevel="0" collapsed="false">
      <c r="A234" s="27"/>
      <c r="B234" s="11"/>
      <c r="C234" s="7" t="str">
        <f aca="false">IFERROR(INDEX('3. Costeo y Precios'!$B$14:$B$64,MATCH($B234,'3. Costeo y Precios'!$A$14:$A$64,0)),"")</f>
        <v/>
      </c>
      <c r="D234" s="11"/>
      <c r="E234" s="11"/>
      <c r="F234" s="9"/>
      <c r="G234" s="13" t="str">
        <f aca="false">IF($B234="","",E234*F234)</f>
        <v/>
      </c>
      <c r="H234" s="13" t="n">
        <f aca="false">IFERROR(INDEX('3. Costeo y Precios'!$M$14:$M$64,MATCH($B234,'3. Costeo y Precios'!$A$14:$A$64,0)),0)</f>
        <v>0</v>
      </c>
      <c r="I234" s="13" t="str">
        <f aca="false">IF($B234="","",E234*H234)</f>
        <v/>
      </c>
      <c r="J234" s="28"/>
      <c r="K234" s="13" t="str">
        <f aca="false">IF($B234="","",G234*J234)</f>
        <v/>
      </c>
      <c r="L234" s="13" t="str">
        <f aca="false">IF($B234="","",G234-I234-K234)</f>
        <v/>
      </c>
      <c r="M234" s="22" t="str">
        <f aca="false">IFERROR(L234/G234,"")</f>
        <v/>
      </c>
      <c r="N234" s="11"/>
    </row>
    <row r="235" customFormat="false" ht="15" hidden="false" customHeight="false" outlineLevel="0" collapsed="false">
      <c r="A235" s="27"/>
      <c r="B235" s="11"/>
      <c r="C235" s="7" t="str">
        <f aca="false">IFERROR(INDEX('3. Costeo y Precios'!$B$14:$B$64,MATCH($B235,'3. Costeo y Precios'!$A$14:$A$64,0)),"")</f>
        <v/>
      </c>
      <c r="D235" s="11"/>
      <c r="E235" s="11"/>
      <c r="F235" s="9"/>
      <c r="G235" s="13" t="str">
        <f aca="false">IF($B235="","",E235*F235)</f>
        <v/>
      </c>
      <c r="H235" s="13" t="n">
        <f aca="false">IFERROR(INDEX('3. Costeo y Precios'!$M$14:$M$64,MATCH($B235,'3. Costeo y Precios'!$A$14:$A$64,0)),0)</f>
        <v>0</v>
      </c>
      <c r="I235" s="13" t="str">
        <f aca="false">IF($B235="","",E235*H235)</f>
        <v/>
      </c>
      <c r="J235" s="28"/>
      <c r="K235" s="13" t="str">
        <f aca="false">IF($B235="","",G235*J235)</f>
        <v/>
      </c>
      <c r="L235" s="13" t="str">
        <f aca="false">IF($B235="","",G235-I235-K235)</f>
        <v/>
      </c>
      <c r="M235" s="22" t="str">
        <f aca="false">IFERROR(L235/G235,"")</f>
        <v/>
      </c>
      <c r="N235" s="11"/>
    </row>
    <row r="236" customFormat="false" ht="15" hidden="false" customHeight="false" outlineLevel="0" collapsed="false">
      <c r="A236" s="27"/>
      <c r="B236" s="11"/>
      <c r="C236" s="7" t="str">
        <f aca="false">IFERROR(INDEX('3. Costeo y Precios'!$B$14:$B$64,MATCH($B236,'3. Costeo y Precios'!$A$14:$A$64,0)),"")</f>
        <v/>
      </c>
      <c r="D236" s="11"/>
      <c r="E236" s="11"/>
      <c r="F236" s="9"/>
      <c r="G236" s="13" t="str">
        <f aca="false">IF($B236="","",E236*F236)</f>
        <v/>
      </c>
      <c r="H236" s="13" t="n">
        <f aca="false">IFERROR(INDEX('3. Costeo y Precios'!$M$14:$M$64,MATCH($B236,'3. Costeo y Precios'!$A$14:$A$64,0)),0)</f>
        <v>0</v>
      </c>
      <c r="I236" s="13" t="str">
        <f aca="false">IF($B236="","",E236*H236)</f>
        <v/>
      </c>
      <c r="J236" s="28"/>
      <c r="K236" s="13" t="str">
        <f aca="false">IF($B236="","",G236*J236)</f>
        <v/>
      </c>
      <c r="L236" s="13" t="str">
        <f aca="false">IF($B236="","",G236-I236-K236)</f>
        <v/>
      </c>
      <c r="M236" s="22" t="str">
        <f aca="false">IFERROR(L236/G236,"")</f>
        <v/>
      </c>
      <c r="N236" s="11"/>
    </row>
    <row r="237" customFormat="false" ht="15" hidden="false" customHeight="false" outlineLevel="0" collapsed="false">
      <c r="A237" s="27"/>
      <c r="B237" s="11"/>
      <c r="C237" s="7" t="str">
        <f aca="false">IFERROR(INDEX('3. Costeo y Precios'!$B$14:$B$64,MATCH($B237,'3. Costeo y Precios'!$A$14:$A$64,0)),"")</f>
        <v/>
      </c>
      <c r="D237" s="11"/>
      <c r="E237" s="11"/>
      <c r="F237" s="9"/>
      <c r="G237" s="13" t="str">
        <f aca="false">IF($B237="","",E237*F237)</f>
        <v/>
      </c>
      <c r="H237" s="13" t="n">
        <f aca="false">IFERROR(INDEX('3. Costeo y Precios'!$M$14:$M$64,MATCH($B237,'3. Costeo y Precios'!$A$14:$A$64,0)),0)</f>
        <v>0</v>
      </c>
      <c r="I237" s="13" t="str">
        <f aca="false">IF($B237="","",E237*H237)</f>
        <v/>
      </c>
      <c r="J237" s="28"/>
      <c r="K237" s="13" t="str">
        <f aca="false">IF($B237="","",G237*J237)</f>
        <v/>
      </c>
      <c r="L237" s="13" t="str">
        <f aca="false">IF($B237="","",G237-I237-K237)</f>
        <v/>
      </c>
      <c r="M237" s="22" t="str">
        <f aca="false">IFERROR(L237/G237,"")</f>
        <v/>
      </c>
      <c r="N237" s="11"/>
    </row>
    <row r="238" customFormat="false" ht="15" hidden="false" customHeight="false" outlineLevel="0" collapsed="false">
      <c r="A238" s="27"/>
      <c r="B238" s="11"/>
      <c r="C238" s="7" t="str">
        <f aca="false">IFERROR(INDEX('3. Costeo y Precios'!$B$14:$B$64,MATCH($B238,'3. Costeo y Precios'!$A$14:$A$64,0)),"")</f>
        <v/>
      </c>
      <c r="D238" s="11"/>
      <c r="E238" s="11"/>
      <c r="F238" s="9"/>
      <c r="G238" s="13" t="str">
        <f aca="false">IF($B238="","",E238*F238)</f>
        <v/>
      </c>
      <c r="H238" s="13" t="n">
        <f aca="false">IFERROR(INDEX('3. Costeo y Precios'!$M$14:$M$64,MATCH($B238,'3. Costeo y Precios'!$A$14:$A$64,0)),0)</f>
        <v>0</v>
      </c>
      <c r="I238" s="13" t="str">
        <f aca="false">IF($B238="","",E238*H238)</f>
        <v/>
      </c>
      <c r="J238" s="28"/>
      <c r="K238" s="13" t="str">
        <f aca="false">IF($B238="","",G238*J238)</f>
        <v/>
      </c>
      <c r="L238" s="13" t="str">
        <f aca="false">IF($B238="","",G238-I238-K238)</f>
        <v/>
      </c>
      <c r="M238" s="22" t="str">
        <f aca="false">IFERROR(L238/G238,"")</f>
        <v/>
      </c>
      <c r="N238" s="11"/>
    </row>
    <row r="239" customFormat="false" ht="15" hidden="false" customHeight="false" outlineLevel="0" collapsed="false">
      <c r="A239" s="27"/>
      <c r="B239" s="11"/>
      <c r="C239" s="7" t="str">
        <f aca="false">IFERROR(INDEX('3. Costeo y Precios'!$B$14:$B$64,MATCH($B239,'3. Costeo y Precios'!$A$14:$A$64,0)),"")</f>
        <v/>
      </c>
      <c r="D239" s="11"/>
      <c r="E239" s="11"/>
      <c r="F239" s="9"/>
      <c r="G239" s="13" t="str">
        <f aca="false">IF($B239="","",E239*F239)</f>
        <v/>
      </c>
      <c r="H239" s="13" t="n">
        <f aca="false">IFERROR(INDEX('3. Costeo y Precios'!$M$14:$M$64,MATCH($B239,'3. Costeo y Precios'!$A$14:$A$64,0)),0)</f>
        <v>0</v>
      </c>
      <c r="I239" s="13" t="str">
        <f aca="false">IF($B239="","",E239*H239)</f>
        <v/>
      </c>
      <c r="J239" s="28"/>
      <c r="K239" s="13" t="str">
        <f aca="false">IF($B239="","",G239*J239)</f>
        <v/>
      </c>
      <c r="L239" s="13" t="str">
        <f aca="false">IF($B239="","",G239-I239-K239)</f>
        <v/>
      </c>
      <c r="M239" s="22" t="str">
        <f aca="false">IFERROR(L239/G239,"")</f>
        <v/>
      </c>
      <c r="N239" s="11"/>
    </row>
    <row r="240" customFormat="false" ht="15" hidden="false" customHeight="false" outlineLevel="0" collapsed="false">
      <c r="A240" s="27"/>
      <c r="B240" s="11"/>
      <c r="C240" s="7" t="str">
        <f aca="false">IFERROR(INDEX('3. Costeo y Precios'!$B$14:$B$64,MATCH($B240,'3. Costeo y Precios'!$A$14:$A$64,0)),"")</f>
        <v/>
      </c>
      <c r="D240" s="11"/>
      <c r="E240" s="11"/>
      <c r="F240" s="9"/>
      <c r="G240" s="13" t="str">
        <f aca="false">IF($B240="","",E240*F240)</f>
        <v/>
      </c>
      <c r="H240" s="13" t="n">
        <f aca="false">IFERROR(INDEX('3. Costeo y Precios'!$M$14:$M$64,MATCH($B240,'3. Costeo y Precios'!$A$14:$A$64,0)),0)</f>
        <v>0</v>
      </c>
      <c r="I240" s="13" t="str">
        <f aca="false">IF($B240="","",E240*H240)</f>
        <v/>
      </c>
      <c r="J240" s="28"/>
      <c r="K240" s="13" t="str">
        <f aca="false">IF($B240="","",G240*J240)</f>
        <v/>
      </c>
      <c r="L240" s="13" t="str">
        <f aca="false">IF($B240="","",G240-I240-K240)</f>
        <v/>
      </c>
      <c r="M240" s="22" t="str">
        <f aca="false">IFERROR(L240/G240,"")</f>
        <v/>
      </c>
      <c r="N240" s="11"/>
    </row>
    <row r="241" customFormat="false" ht="15" hidden="false" customHeight="false" outlineLevel="0" collapsed="false">
      <c r="A241" s="27"/>
      <c r="B241" s="11"/>
      <c r="C241" s="7" t="str">
        <f aca="false">IFERROR(INDEX('3. Costeo y Precios'!$B$14:$B$64,MATCH($B241,'3. Costeo y Precios'!$A$14:$A$64,0)),"")</f>
        <v/>
      </c>
      <c r="D241" s="11"/>
      <c r="E241" s="11"/>
      <c r="F241" s="9"/>
      <c r="G241" s="13" t="str">
        <f aca="false">IF($B241="","",E241*F241)</f>
        <v/>
      </c>
      <c r="H241" s="13" t="n">
        <f aca="false">IFERROR(INDEX('3. Costeo y Precios'!$M$14:$M$64,MATCH($B241,'3. Costeo y Precios'!$A$14:$A$64,0)),0)</f>
        <v>0</v>
      </c>
      <c r="I241" s="13" t="str">
        <f aca="false">IF($B241="","",E241*H241)</f>
        <v/>
      </c>
      <c r="J241" s="28"/>
      <c r="K241" s="13" t="str">
        <f aca="false">IF($B241="","",G241*J241)</f>
        <v/>
      </c>
      <c r="L241" s="13" t="str">
        <f aca="false">IF($B241="","",G241-I241-K241)</f>
        <v/>
      </c>
      <c r="M241" s="22" t="str">
        <f aca="false">IFERROR(L241/G241,"")</f>
        <v/>
      </c>
      <c r="N241" s="11"/>
    </row>
    <row r="242" customFormat="false" ht="15" hidden="false" customHeight="false" outlineLevel="0" collapsed="false">
      <c r="A242" s="27"/>
      <c r="B242" s="11"/>
      <c r="C242" s="7" t="str">
        <f aca="false">IFERROR(INDEX('3. Costeo y Precios'!$B$14:$B$64,MATCH($B242,'3. Costeo y Precios'!$A$14:$A$64,0)),"")</f>
        <v/>
      </c>
      <c r="D242" s="11"/>
      <c r="E242" s="11"/>
      <c r="F242" s="9"/>
      <c r="G242" s="13" t="str">
        <f aca="false">IF($B242="","",E242*F242)</f>
        <v/>
      </c>
      <c r="H242" s="13" t="n">
        <f aca="false">IFERROR(INDEX('3. Costeo y Precios'!$M$14:$M$64,MATCH($B242,'3. Costeo y Precios'!$A$14:$A$64,0)),0)</f>
        <v>0</v>
      </c>
      <c r="I242" s="13" t="str">
        <f aca="false">IF($B242="","",E242*H242)</f>
        <v/>
      </c>
      <c r="J242" s="28"/>
      <c r="K242" s="13" t="str">
        <f aca="false">IF($B242="","",G242*J242)</f>
        <v/>
      </c>
      <c r="L242" s="13" t="str">
        <f aca="false">IF($B242="","",G242-I242-K242)</f>
        <v/>
      </c>
      <c r="M242" s="22" t="str">
        <f aca="false">IFERROR(L242/G242,"")</f>
        <v/>
      </c>
      <c r="N242" s="11"/>
    </row>
    <row r="243" customFormat="false" ht="15" hidden="false" customHeight="false" outlineLevel="0" collapsed="false">
      <c r="A243" s="27"/>
      <c r="B243" s="11"/>
      <c r="C243" s="7" t="str">
        <f aca="false">IFERROR(INDEX('3. Costeo y Precios'!$B$14:$B$64,MATCH($B243,'3. Costeo y Precios'!$A$14:$A$64,0)),"")</f>
        <v/>
      </c>
      <c r="D243" s="11"/>
      <c r="E243" s="11"/>
      <c r="F243" s="9"/>
      <c r="G243" s="13" t="str">
        <f aca="false">IF($B243="","",E243*F243)</f>
        <v/>
      </c>
      <c r="H243" s="13" t="n">
        <f aca="false">IFERROR(INDEX('3. Costeo y Precios'!$M$14:$M$64,MATCH($B243,'3. Costeo y Precios'!$A$14:$A$64,0)),0)</f>
        <v>0</v>
      </c>
      <c r="I243" s="13" t="str">
        <f aca="false">IF($B243="","",E243*H243)</f>
        <v/>
      </c>
      <c r="J243" s="28"/>
      <c r="K243" s="13" t="str">
        <f aca="false">IF($B243="","",G243*J243)</f>
        <v/>
      </c>
      <c r="L243" s="13" t="str">
        <f aca="false">IF($B243="","",G243-I243-K243)</f>
        <v/>
      </c>
      <c r="M243" s="22" t="str">
        <f aca="false">IFERROR(L243/G243,"")</f>
        <v/>
      </c>
      <c r="N243" s="11"/>
    </row>
    <row r="244" customFormat="false" ht="15" hidden="false" customHeight="false" outlineLevel="0" collapsed="false">
      <c r="A244" s="27"/>
      <c r="B244" s="11"/>
      <c r="C244" s="7" t="str">
        <f aca="false">IFERROR(INDEX('3. Costeo y Precios'!$B$14:$B$64,MATCH($B244,'3. Costeo y Precios'!$A$14:$A$64,0)),"")</f>
        <v/>
      </c>
      <c r="D244" s="11"/>
      <c r="E244" s="11"/>
      <c r="F244" s="9"/>
      <c r="G244" s="13" t="str">
        <f aca="false">IF($B244="","",E244*F244)</f>
        <v/>
      </c>
      <c r="H244" s="13" t="n">
        <f aca="false">IFERROR(INDEX('3. Costeo y Precios'!$M$14:$M$64,MATCH($B244,'3. Costeo y Precios'!$A$14:$A$64,0)),0)</f>
        <v>0</v>
      </c>
      <c r="I244" s="13" t="str">
        <f aca="false">IF($B244="","",E244*H244)</f>
        <v/>
      </c>
      <c r="J244" s="28"/>
      <c r="K244" s="13" t="str">
        <f aca="false">IF($B244="","",G244*J244)</f>
        <v/>
      </c>
      <c r="L244" s="13" t="str">
        <f aca="false">IF($B244="","",G244-I244-K244)</f>
        <v/>
      </c>
      <c r="M244" s="22" t="str">
        <f aca="false">IFERROR(L244/G244,"")</f>
        <v/>
      </c>
      <c r="N244" s="11"/>
    </row>
    <row r="245" customFormat="false" ht="15" hidden="false" customHeight="false" outlineLevel="0" collapsed="false">
      <c r="A245" s="27"/>
      <c r="B245" s="11"/>
      <c r="C245" s="7" t="str">
        <f aca="false">IFERROR(INDEX('3. Costeo y Precios'!$B$14:$B$64,MATCH($B245,'3. Costeo y Precios'!$A$14:$A$64,0)),"")</f>
        <v/>
      </c>
      <c r="D245" s="11"/>
      <c r="E245" s="11"/>
      <c r="F245" s="9"/>
      <c r="G245" s="13" t="str">
        <f aca="false">IF($B245="","",E245*F245)</f>
        <v/>
      </c>
      <c r="H245" s="13" t="n">
        <f aca="false">IFERROR(INDEX('3. Costeo y Precios'!$M$14:$M$64,MATCH($B245,'3. Costeo y Precios'!$A$14:$A$64,0)),0)</f>
        <v>0</v>
      </c>
      <c r="I245" s="13" t="str">
        <f aca="false">IF($B245="","",E245*H245)</f>
        <v/>
      </c>
      <c r="J245" s="28"/>
      <c r="K245" s="13" t="str">
        <f aca="false">IF($B245="","",G245*J245)</f>
        <v/>
      </c>
      <c r="L245" s="13" t="str">
        <f aca="false">IF($B245="","",G245-I245-K245)</f>
        <v/>
      </c>
      <c r="M245" s="22" t="str">
        <f aca="false">IFERROR(L245/G245,"")</f>
        <v/>
      </c>
      <c r="N245" s="11"/>
    </row>
    <row r="246" customFormat="false" ht="15" hidden="false" customHeight="false" outlineLevel="0" collapsed="false">
      <c r="A246" s="27"/>
      <c r="B246" s="11"/>
      <c r="C246" s="7" t="str">
        <f aca="false">IFERROR(INDEX('3. Costeo y Precios'!$B$14:$B$64,MATCH($B246,'3. Costeo y Precios'!$A$14:$A$64,0)),"")</f>
        <v/>
      </c>
      <c r="D246" s="11"/>
      <c r="E246" s="11"/>
      <c r="F246" s="9"/>
      <c r="G246" s="13" t="str">
        <f aca="false">IF($B246="","",E246*F246)</f>
        <v/>
      </c>
      <c r="H246" s="13" t="n">
        <f aca="false">IFERROR(INDEX('3. Costeo y Precios'!$M$14:$M$64,MATCH($B246,'3. Costeo y Precios'!$A$14:$A$64,0)),0)</f>
        <v>0</v>
      </c>
      <c r="I246" s="13" t="str">
        <f aca="false">IF($B246="","",E246*H246)</f>
        <v/>
      </c>
      <c r="J246" s="28"/>
      <c r="K246" s="13" t="str">
        <f aca="false">IF($B246="","",G246*J246)</f>
        <v/>
      </c>
      <c r="L246" s="13" t="str">
        <f aca="false">IF($B246="","",G246-I246-K246)</f>
        <v/>
      </c>
      <c r="M246" s="22" t="str">
        <f aca="false">IFERROR(L246/G246,"")</f>
        <v/>
      </c>
      <c r="N246" s="11"/>
    </row>
    <row r="247" customFormat="false" ht="15" hidden="false" customHeight="false" outlineLevel="0" collapsed="false">
      <c r="A247" s="27"/>
      <c r="B247" s="11"/>
      <c r="C247" s="7" t="str">
        <f aca="false">IFERROR(INDEX('3. Costeo y Precios'!$B$14:$B$64,MATCH($B247,'3. Costeo y Precios'!$A$14:$A$64,0)),"")</f>
        <v/>
      </c>
      <c r="D247" s="11"/>
      <c r="E247" s="11"/>
      <c r="F247" s="9"/>
      <c r="G247" s="13" t="str">
        <f aca="false">IF($B247="","",E247*F247)</f>
        <v/>
      </c>
      <c r="H247" s="13" t="n">
        <f aca="false">IFERROR(INDEX('3. Costeo y Precios'!$M$14:$M$64,MATCH($B247,'3. Costeo y Precios'!$A$14:$A$64,0)),0)</f>
        <v>0</v>
      </c>
      <c r="I247" s="13" t="str">
        <f aca="false">IF($B247="","",E247*H247)</f>
        <v/>
      </c>
      <c r="J247" s="28"/>
      <c r="K247" s="13" t="str">
        <f aca="false">IF($B247="","",G247*J247)</f>
        <v/>
      </c>
      <c r="L247" s="13" t="str">
        <f aca="false">IF($B247="","",G247-I247-K247)</f>
        <v/>
      </c>
      <c r="M247" s="22" t="str">
        <f aca="false">IFERROR(L247/G247,"")</f>
        <v/>
      </c>
      <c r="N247" s="11"/>
    </row>
    <row r="248" customFormat="false" ht="15" hidden="false" customHeight="false" outlineLevel="0" collapsed="false">
      <c r="A248" s="27"/>
      <c r="B248" s="11"/>
      <c r="C248" s="7" t="str">
        <f aca="false">IFERROR(INDEX('3. Costeo y Precios'!$B$14:$B$64,MATCH($B248,'3. Costeo y Precios'!$A$14:$A$64,0)),"")</f>
        <v/>
      </c>
      <c r="D248" s="11"/>
      <c r="E248" s="11"/>
      <c r="F248" s="9"/>
      <c r="G248" s="13" t="str">
        <f aca="false">IF($B248="","",E248*F248)</f>
        <v/>
      </c>
      <c r="H248" s="13" t="n">
        <f aca="false">IFERROR(INDEX('3. Costeo y Precios'!$M$14:$M$64,MATCH($B248,'3. Costeo y Precios'!$A$14:$A$64,0)),0)</f>
        <v>0</v>
      </c>
      <c r="I248" s="13" t="str">
        <f aca="false">IF($B248="","",E248*H248)</f>
        <v/>
      </c>
      <c r="J248" s="28"/>
      <c r="K248" s="13" t="str">
        <f aca="false">IF($B248="","",G248*J248)</f>
        <v/>
      </c>
      <c r="L248" s="13" t="str">
        <f aca="false">IF($B248="","",G248-I248-K248)</f>
        <v/>
      </c>
      <c r="M248" s="22" t="str">
        <f aca="false">IFERROR(L248/G248,"")</f>
        <v/>
      </c>
      <c r="N248" s="11"/>
    </row>
    <row r="249" customFormat="false" ht="15" hidden="false" customHeight="false" outlineLevel="0" collapsed="false">
      <c r="A249" s="27"/>
      <c r="B249" s="11"/>
      <c r="C249" s="7" t="str">
        <f aca="false">IFERROR(INDEX('3. Costeo y Precios'!$B$14:$B$64,MATCH($B249,'3. Costeo y Precios'!$A$14:$A$64,0)),"")</f>
        <v/>
      </c>
      <c r="D249" s="11"/>
      <c r="E249" s="11"/>
      <c r="F249" s="9"/>
      <c r="G249" s="13" t="str">
        <f aca="false">IF($B249="","",E249*F249)</f>
        <v/>
      </c>
      <c r="H249" s="13" t="n">
        <f aca="false">IFERROR(INDEX('3. Costeo y Precios'!$M$14:$M$64,MATCH($B249,'3. Costeo y Precios'!$A$14:$A$64,0)),0)</f>
        <v>0</v>
      </c>
      <c r="I249" s="13" t="str">
        <f aca="false">IF($B249="","",E249*H249)</f>
        <v/>
      </c>
      <c r="J249" s="28"/>
      <c r="K249" s="13" t="str">
        <f aca="false">IF($B249="","",G249*J249)</f>
        <v/>
      </c>
      <c r="L249" s="13" t="str">
        <f aca="false">IF($B249="","",G249-I249-K249)</f>
        <v/>
      </c>
      <c r="M249" s="22" t="str">
        <f aca="false">IFERROR(L249/G249,"")</f>
        <v/>
      </c>
      <c r="N249" s="11"/>
    </row>
    <row r="250" customFormat="false" ht="15" hidden="false" customHeight="false" outlineLevel="0" collapsed="false">
      <c r="A250" s="27"/>
      <c r="B250" s="11"/>
      <c r="C250" s="7" t="str">
        <f aca="false">IFERROR(INDEX('3. Costeo y Precios'!$B$14:$B$64,MATCH($B250,'3. Costeo y Precios'!$A$14:$A$64,0)),"")</f>
        <v/>
      </c>
      <c r="D250" s="11"/>
      <c r="E250" s="11"/>
      <c r="F250" s="9"/>
      <c r="G250" s="13" t="str">
        <f aca="false">IF($B250="","",E250*F250)</f>
        <v/>
      </c>
      <c r="H250" s="13" t="n">
        <f aca="false">IFERROR(INDEX('3. Costeo y Precios'!$M$14:$M$64,MATCH($B250,'3. Costeo y Precios'!$A$14:$A$64,0)),0)</f>
        <v>0</v>
      </c>
      <c r="I250" s="13" t="str">
        <f aca="false">IF($B250="","",E250*H250)</f>
        <v/>
      </c>
      <c r="J250" s="28"/>
      <c r="K250" s="13" t="str">
        <f aca="false">IF($B250="","",G250*J250)</f>
        <v/>
      </c>
      <c r="L250" s="13" t="str">
        <f aca="false">IF($B250="","",G250-I250-K250)</f>
        <v/>
      </c>
      <c r="M250" s="22" t="str">
        <f aca="false">IFERROR(L250/G250,"")</f>
        <v/>
      </c>
      <c r="N250" s="11"/>
    </row>
    <row r="251" customFormat="false" ht="15" hidden="false" customHeight="false" outlineLevel="0" collapsed="false">
      <c r="A251" s="27"/>
      <c r="B251" s="11"/>
      <c r="C251" s="7" t="str">
        <f aca="false">IFERROR(INDEX('3. Costeo y Precios'!$B$14:$B$64,MATCH($B251,'3. Costeo y Precios'!$A$14:$A$64,0)),"")</f>
        <v/>
      </c>
      <c r="D251" s="11"/>
      <c r="E251" s="11"/>
      <c r="F251" s="9"/>
      <c r="G251" s="13" t="str">
        <f aca="false">IF($B251="","",E251*F251)</f>
        <v/>
      </c>
      <c r="H251" s="13" t="n">
        <f aca="false">IFERROR(INDEX('3. Costeo y Precios'!$M$14:$M$64,MATCH($B251,'3. Costeo y Precios'!$A$14:$A$64,0)),0)</f>
        <v>0</v>
      </c>
      <c r="I251" s="13" t="str">
        <f aca="false">IF($B251="","",E251*H251)</f>
        <v/>
      </c>
      <c r="J251" s="28"/>
      <c r="K251" s="13" t="str">
        <f aca="false">IF($B251="","",G251*J251)</f>
        <v/>
      </c>
      <c r="L251" s="13" t="str">
        <f aca="false">IF($B251="","",G251-I251-K251)</f>
        <v/>
      </c>
      <c r="M251" s="22" t="str">
        <f aca="false">IFERROR(L251/G251,"")</f>
        <v/>
      </c>
      <c r="N251" s="11"/>
    </row>
    <row r="252" customFormat="false" ht="15" hidden="false" customHeight="false" outlineLevel="0" collapsed="false">
      <c r="A252" s="27"/>
      <c r="B252" s="11"/>
      <c r="C252" s="7" t="str">
        <f aca="false">IFERROR(INDEX('3. Costeo y Precios'!$B$14:$B$64,MATCH($B252,'3. Costeo y Precios'!$A$14:$A$64,0)),"")</f>
        <v/>
      </c>
      <c r="D252" s="11"/>
      <c r="E252" s="11"/>
      <c r="F252" s="9"/>
      <c r="G252" s="13" t="str">
        <f aca="false">IF($B252="","",E252*F252)</f>
        <v/>
      </c>
      <c r="H252" s="13" t="n">
        <f aca="false">IFERROR(INDEX('3. Costeo y Precios'!$M$14:$M$64,MATCH($B252,'3. Costeo y Precios'!$A$14:$A$64,0)),0)</f>
        <v>0</v>
      </c>
      <c r="I252" s="13" t="str">
        <f aca="false">IF($B252="","",E252*H252)</f>
        <v/>
      </c>
      <c r="J252" s="28"/>
      <c r="K252" s="13" t="str">
        <f aca="false">IF($B252="","",G252*J252)</f>
        <v/>
      </c>
      <c r="L252" s="13" t="str">
        <f aca="false">IF($B252="","",G252-I252-K252)</f>
        <v/>
      </c>
      <c r="M252" s="22" t="str">
        <f aca="false">IFERROR(L252/G252,"")</f>
        <v/>
      </c>
      <c r="N252" s="11"/>
    </row>
    <row r="253" customFormat="false" ht="15" hidden="false" customHeight="false" outlineLevel="0" collapsed="false">
      <c r="A253" s="27"/>
      <c r="B253" s="11"/>
      <c r="C253" s="7" t="str">
        <f aca="false">IFERROR(INDEX('3. Costeo y Precios'!$B$14:$B$64,MATCH($B253,'3. Costeo y Precios'!$A$14:$A$64,0)),"")</f>
        <v/>
      </c>
      <c r="D253" s="11"/>
      <c r="E253" s="11"/>
      <c r="F253" s="9"/>
      <c r="G253" s="13" t="str">
        <f aca="false">IF($B253="","",E253*F253)</f>
        <v/>
      </c>
      <c r="H253" s="13" t="n">
        <f aca="false">IFERROR(INDEX('3. Costeo y Precios'!$M$14:$M$64,MATCH($B253,'3. Costeo y Precios'!$A$14:$A$64,0)),0)</f>
        <v>0</v>
      </c>
      <c r="I253" s="13" t="str">
        <f aca="false">IF($B253="","",E253*H253)</f>
        <v/>
      </c>
      <c r="J253" s="28"/>
      <c r="K253" s="13" t="str">
        <f aca="false">IF($B253="","",G253*J253)</f>
        <v/>
      </c>
      <c r="L253" s="13" t="str">
        <f aca="false">IF($B253="","",G253-I253-K253)</f>
        <v/>
      </c>
      <c r="M253" s="22" t="str">
        <f aca="false">IFERROR(L253/G253,"")</f>
        <v/>
      </c>
      <c r="N253" s="11"/>
    </row>
    <row r="254" customFormat="false" ht="15" hidden="false" customHeight="false" outlineLevel="0" collapsed="false">
      <c r="A254" s="27"/>
      <c r="B254" s="11"/>
      <c r="C254" s="7" t="str">
        <f aca="false">IFERROR(INDEX('3. Costeo y Precios'!$B$14:$B$64,MATCH($B254,'3. Costeo y Precios'!$A$14:$A$64,0)),"")</f>
        <v/>
      </c>
      <c r="D254" s="11"/>
      <c r="E254" s="11"/>
      <c r="F254" s="9"/>
      <c r="G254" s="13" t="str">
        <f aca="false">IF($B254="","",E254*F254)</f>
        <v/>
      </c>
      <c r="H254" s="13" t="n">
        <f aca="false">IFERROR(INDEX('3. Costeo y Precios'!$M$14:$M$64,MATCH($B254,'3. Costeo y Precios'!$A$14:$A$64,0)),0)</f>
        <v>0</v>
      </c>
      <c r="I254" s="13" t="str">
        <f aca="false">IF($B254="","",E254*H254)</f>
        <v/>
      </c>
      <c r="J254" s="28"/>
      <c r="K254" s="13" t="str">
        <f aca="false">IF($B254="","",G254*J254)</f>
        <v/>
      </c>
      <c r="L254" s="13" t="str">
        <f aca="false">IF($B254="","",G254-I254-K254)</f>
        <v/>
      </c>
      <c r="M254" s="22" t="str">
        <f aca="false">IFERROR(L254/G254,"")</f>
        <v/>
      </c>
      <c r="N254" s="11"/>
    </row>
    <row r="255" customFormat="false" ht="15" hidden="false" customHeight="false" outlineLevel="0" collapsed="false">
      <c r="A255" s="27"/>
      <c r="B255" s="11"/>
      <c r="C255" s="7" t="str">
        <f aca="false">IFERROR(INDEX('3. Costeo y Precios'!$B$14:$B$64,MATCH($B255,'3. Costeo y Precios'!$A$14:$A$64,0)),"")</f>
        <v/>
      </c>
      <c r="D255" s="11"/>
      <c r="E255" s="11"/>
      <c r="F255" s="9"/>
      <c r="G255" s="13" t="str">
        <f aca="false">IF($B255="","",E255*F255)</f>
        <v/>
      </c>
      <c r="H255" s="13" t="n">
        <f aca="false">IFERROR(INDEX('3. Costeo y Precios'!$M$14:$M$64,MATCH($B255,'3. Costeo y Precios'!$A$14:$A$64,0)),0)</f>
        <v>0</v>
      </c>
      <c r="I255" s="13" t="str">
        <f aca="false">IF($B255="","",E255*H255)</f>
        <v/>
      </c>
      <c r="J255" s="28"/>
      <c r="K255" s="13" t="str">
        <f aca="false">IF($B255="","",G255*J255)</f>
        <v/>
      </c>
      <c r="L255" s="13" t="str">
        <f aca="false">IF($B255="","",G255-I255-K255)</f>
        <v/>
      </c>
      <c r="M255" s="22" t="str">
        <f aca="false">IFERROR(L255/G255,"")</f>
        <v/>
      </c>
      <c r="N255" s="11"/>
    </row>
    <row r="256" customFormat="false" ht="15" hidden="false" customHeight="false" outlineLevel="0" collapsed="false">
      <c r="A256" s="27"/>
      <c r="B256" s="11"/>
      <c r="C256" s="7" t="str">
        <f aca="false">IFERROR(INDEX('3. Costeo y Precios'!$B$14:$B$64,MATCH($B256,'3. Costeo y Precios'!$A$14:$A$64,0)),"")</f>
        <v/>
      </c>
      <c r="D256" s="11"/>
      <c r="E256" s="11"/>
      <c r="F256" s="9"/>
      <c r="G256" s="13" t="str">
        <f aca="false">IF($B256="","",E256*F256)</f>
        <v/>
      </c>
      <c r="H256" s="13" t="n">
        <f aca="false">IFERROR(INDEX('3. Costeo y Precios'!$M$14:$M$64,MATCH($B256,'3. Costeo y Precios'!$A$14:$A$64,0)),0)</f>
        <v>0</v>
      </c>
      <c r="I256" s="13" t="str">
        <f aca="false">IF($B256="","",E256*H256)</f>
        <v/>
      </c>
      <c r="J256" s="28"/>
      <c r="K256" s="13" t="str">
        <f aca="false">IF($B256="","",G256*J256)</f>
        <v/>
      </c>
      <c r="L256" s="13" t="str">
        <f aca="false">IF($B256="","",G256-I256-K256)</f>
        <v/>
      </c>
      <c r="M256" s="22" t="str">
        <f aca="false">IFERROR(L256/G256,"")</f>
        <v/>
      </c>
      <c r="N256" s="11"/>
    </row>
    <row r="257" customFormat="false" ht="15" hidden="false" customHeight="false" outlineLevel="0" collapsed="false">
      <c r="A257" s="27"/>
      <c r="B257" s="11"/>
      <c r="C257" s="7" t="str">
        <f aca="false">IFERROR(INDEX('3. Costeo y Precios'!$B$14:$B$64,MATCH($B257,'3. Costeo y Precios'!$A$14:$A$64,0)),"")</f>
        <v/>
      </c>
      <c r="D257" s="11"/>
      <c r="E257" s="11"/>
      <c r="F257" s="9"/>
      <c r="G257" s="13" t="str">
        <f aca="false">IF($B257="","",E257*F257)</f>
        <v/>
      </c>
      <c r="H257" s="13" t="n">
        <f aca="false">IFERROR(INDEX('3. Costeo y Precios'!$M$14:$M$64,MATCH($B257,'3. Costeo y Precios'!$A$14:$A$64,0)),0)</f>
        <v>0</v>
      </c>
      <c r="I257" s="13" t="str">
        <f aca="false">IF($B257="","",E257*H257)</f>
        <v/>
      </c>
      <c r="J257" s="28"/>
      <c r="K257" s="13" t="str">
        <f aca="false">IF($B257="","",G257*J257)</f>
        <v/>
      </c>
      <c r="L257" s="13" t="str">
        <f aca="false">IF($B257="","",G257-I257-K257)</f>
        <v/>
      </c>
      <c r="M257" s="22" t="str">
        <f aca="false">IFERROR(L257/G257,"")</f>
        <v/>
      </c>
      <c r="N257" s="11"/>
    </row>
    <row r="258" customFormat="false" ht="15" hidden="false" customHeight="false" outlineLevel="0" collapsed="false">
      <c r="A258" s="27"/>
      <c r="B258" s="11"/>
      <c r="C258" s="7" t="str">
        <f aca="false">IFERROR(INDEX('3. Costeo y Precios'!$B$14:$B$64,MATCH($B258,'3. Costeo y Precios'!$A$14:$A$64,0)),"")</f>
        <v/>
      </c>
      <c r="D258" s="11"/>
      <c r="E258" s="11"/>
      <c r="F258" s="9"/>
      <c r="G258" s="13" t="str">
        <f aca="false">IF($B258="","",E258*F258)</f>
        <v/>
      </c>
      <c r="H258" s="13" t="n">
        <f aca="false">IFERROR(INDEX('3. Costeo y Precios'!$M$14:$M$64,MATCH($B258,'3. Costeo y Precios'!$A$14:$A$64,0)),0)</f>
        <v>0</v>
      </c>
      <c r="I258" s="13" t="str">
        <f aca="false">IF($B258="","",E258*H258)</f>
        <v/>
      </c>
      <c r="J258" s="28"/>
      <c r="K258" s="13" t="str">
        <f aca="false">IF($B258="","",G258*J258)</f>
        <v/>
      </c>
      <c r="L258" s="13" t="str">
        <f aca="false">IF($B258="","",G258-I258-K258)</f>
        <v/>
      </c>
      <c r="M258" s="22" t="str">
        <f aca="false">IFERROR(L258/G258,"")</f>
        <v/>
      </c>
      <c r="N258" s="11"/>
    </row>
    <row r="259" customFormat="false" ht="15" hidden="false" customHeight="false" outlineLevel="0" collapsed="false">
      <c r="A259" s="27"/>
      <c r="B259" s="11"/>
      <c r="C259" s="7" t="str">
        <f aca="false">IFERROR(INDEX('3. Costeo y Precios'!$B$14:$B$64,MATCH($B259,'3. Costeo y Precios'!$A$14:$A$64,0)),"")</f>
        <v/>
      </c>
      <c r="D259" s="11"/>
      <c r="E259" s="11"/>
      <c r="F259" s="9"/>
      <c r="G259" s="13" t="str">
        <f aca="false">IF($B259="","",E259*F259)</f>
        <v/>
      </c>
      <c r="H259" s="13" t="n">
        <f aca="false">IFERROR(INDEX('3. Costeo y Precios'!$M$14:$M$64,MATCH($B259,'3. Costeo y Precios'!$A$14:$A$64,0)),0)</f>
        <v>0</v>
      </c>
      <c r="I259" s="13" t="str">
        <f aca="false">IF($B259="","",E259*H259)</f>
        <v/>
      </c>
      <c r="J259" s="28"/>
      <c r="K259" s="13" t="str">
        <f aca="false">IF($B259="","",G259*J259)</f>
        <v/>
      </c>
      <c r="L259" s="13" t="str">
        <f aca="false">IF($B259="","",G259-I259-K259)</f>
        <v/>
      </c>
      <c r="M259" s="22" t="str">
        <f aca="false">IFERROR(L259/G259,"")</f>
        <v/>
      </c>
      <c r="N259" s="11"/>
    </row>
    <row r="260" customFormat="false" ht="15" hidden="false" customHeight="false" outlineLevel="0" collapsed="false">
      <c r="A260" s="27"/>
      <c r="B260" s="11"/>
      <c r="C260" s="7" t="str">
        <f aca="false">IFERROR(INDEX('3. Costeo y Precios'!$B$14:$B$64,MATCH($B260,'3. Costeo y Precios'!$A$14:$A$64,0)),"")</f>
        <v/>
      </c>
      <c r="D260" s="11"/>
      <c r="E260" s="11"/>
      <c r="F260" s="9"/>
      <c r="G260" s="13" t="str">
        <f aca="false">IF($B260="","",E260*F260)</f>
        <v/>
      </c>
      <c r="H260" s="13" t="n">
        <f aca="false">IFERROR(INDEX('3. Costeo y Precios'!$M$14:$M$64,MATCH($B260,'3. Costeo y Precios'!$A$14:$A$64,0)),0)</f>
        <v>0</v>
      </c>
      <c r="I260" s="13" t="str">
        <f aca="false">IF($B260="","",E260*H260)</f>
        <v/>
      </c>
      <c r="J260" s="28"/>
      <c r="K260" s="13" t="str">
        <f aca="false">IF($B260="","",G260*J260)</f>
        <v/>
      </c>
      <c r="L260" s="13" t="str">
        <f aca="false">IF($B260="","",G260-I260-K260)</f>
        <v/>
      </c>
      <c r="M260" s="22" t="str">
        <f aca="false">IFERROR(L260/G260,"")</f>
        <v/>
      </c>
      <c r="N260" s="11"/>
    </row>
    <row r="261" customFormat="false" ht="15" hidden="false" customHeight="false" outlineLevel="0" collapsed="false">
      <c r="A261" s="27"/>
      <c r="B261" s="11"/>
      <c r="C261" s="7" t="str">
        <f aca="false">IFERROR(INDEX('3. Costeo y Precios'!$B$14:$B$64,MATCH($B261,'3. Costeo y Precios'!$A$14:$A$64,0)),"")</f>
        <v/>
      </c>
      <c r="D261" s="11"/>
      <c r="E261" s="11"/>
      <c r="F261" s="9"/>
      <c r="G261" s="13" t="str">
        <f aca="false">IF($B261="","",E261*F261)</f>
        <v/>
      </c>
      <c r="H261" s="13" t="n">
        <f aca="false">IFERROR(INDEX('3. Costeo y Precios'!$M$14:$M$64,MATCH($B261,'3. Costeo y Precios'!$A$14:$A$64,0)),0)</f>
        <v>0</v>
      </c>
      <c r="I261" s="13" t="str">
        <f aca="false">IF($B261="","",E261*H261)</f>
        <v/>
      </c>
      <c r="J261" s="28"/>
      <c r="K261" s="13" t="str">
        <f aca="false">IF($B261="","",G261*J261)</f>
        <v/>
      </c>
      <c r="L261" s="13" t="str">
        <f aca="false">IF($B261="","",G261-I261-K261)</f>
        <v/>
      </c>
      <c r="M261" s="22" t="str">
        <f aca="false">IFERROR(L261/G261,"")</f>
        <v/>
      </c>
      <c r="N261" s="11"/>
    </row>
    <row r="262" customFormat="false" ht="15" hidden="false" customHeight="false" outlineLevel="0" collapsed="false">
      <c r="A262" s="27"/>
      <c r="B262" s="11"/>
      <c r="C262" s="7" t="str">
        <f aca="false">IFERROR(INDEX('3. Costeo y Precios'!$B$14:$B$64,MATCH($B262,'3. Costeo y Precios'!$A$14:$A$64,0)),"")</f>
        <v/>
      </c>
      <c r="D262" s="11"/>
      <c r="E262" s="11"/>
      <c r="F262" s="9"/>
      <c r="G262" s="13" t="str">
        <f aca="false">IF($B262="","",E262*F262)</f>
        <v/>
      </c>
      <c r="H262" s="13" t="n">
        <f aca="false">IFERROR(INDEX('3. Costeo y Precios'!$M$14:$M$64,MATCH($B262,'3. Costeo y Precios'!$A$14:$A$64,0)),0)</f>
        <v>0</v>
      </c>
      <c r="I262" s="13" t="str">
        <f aca="false">IF($B262="","",E262*H262)</f>
        <v/>
      </c>
      <c r="J262" s="28"/>
      <c r="K262" s="13" t="str">
        <f aca="false">IF($B262="","",G262*J262)</f>
        <v/>
      </c>
      <c r="L262" s="13" t="str">
        <f aca="false">IF($B262="","",G262-I262-K262)</f>
        <v/>
      </c>
      <c r="M262" s="22" t="str">
        <f aca="false">IFERROR(L262/G262,"")</f>
        <v/>
      </c>
      <c r="N262" s="11"/>
    </row>
    <row r="263" customFormat="false" ht="15" hidden="false" customHeight="false" outlineLevel="0" collapsed="false">
      <c r="A263" s="27"/>
      <c r="B263" s="11"/>
      <c r="C263" s="7" t="str">
        <f aca="false">IFERROR(INDEX('3. Costeo y Precios'!$B$14:$B$64,MATCH($B263,'3. Costeo y Precios'!$A$14:$A$64,0)),"")</f>
        <v/>
      </c>
      <c r="D263" s="11"/>
      <c r="E263" s="11"/>
      <c r="F263" s="9"/>
      <c r="G263" s="13" t="str">
        <f aca="false">IF($B263="","",E263*F263)</f>
        <v/>
      </c>
      <c r="H263" s="13" t="n">
        <f aca="false">IFERROR(INDEX('3. Costeo y Precios'!$M$14:$M$64,MATCH($B263,'3. Costeo y Precios'!$A$14:$A$64,0)),0)</f>
        <v>0</v>
      </c>
      <c r="I263" s="13" t="str">
        <f aca="false">IF($B263="","",E263*H263)</f>
        <v/>
      </c>
      <c r="J263" s="28"/>
      <c r="K263" s="13" t="str">
        <f aca="false">IF($B263="","",G263*J263)</f>
        <v/>
      </c>
      <c r="L263" s="13" t="str">
        <f aca="false">IF($B263="","",G263-I263-K263)</f>
        <v/>
      </c>
      <c r="M263" s="22" t="str">
        <f aca="false">IFERROR(L263/G263,"")</f>
        <v/>
      </c>
      <c r="N263" s="11"/>
    </row>
    <row r="264" customFormat="false" ht="15" hidden="false" customHeight="false" outlineLevel="0" collapsed="false">
      <c r="A264" s="27"/>
      <c r="B264" s="11"/>
      <c r="C264" s="7" t="str">
        <f aca="false">IFERROR(INDEX('3. Costeo y Precios'!$B$14:$B$64,MATCH($B264,'3. Costeo y Precios'!$A$14:$A$64,0)),"")</f>
        <v/>
      </c>
      <c r="D264" s="11"/>
      <c r="E264" s="11"/>
      <c r="F264" s="9"/>
      <c r="G264" s="13" t="str">
        <f aca="false">IF($B264="","",E264*F264)</f>
        <v/>
      </c>
      <c r="H264" s="13" t="n">
        <f aca="false">IFERROR(INDEX('3. Costeo y Precios'!$M$14:$M$64,MATCH($B264,'3. Costeo y Precios'!$A$14:$A$64,0)),0)</f>
        <v>0</v>
      </c>
      <c r="I264" s="13" t="str">
        <f aca="false">IF($B264="","",E264*H264)</f>
        <v/>
      </c>
      <c r="J264" s="28"/>
      <c r="K264" s="13" t="str">
        <f aca="false">IF($B264="","",G264*J264)</f>
        <v/>
      </c>
      <c r="L264" s="13" t="str">
        <f aca="false">IF($B264="","",G264-I264-K264)</f>
        <v/>
      </c>
      <c r="M264" s="22" t="str">
        <f aca="false">IFERROR(L264/G264,"")</f>
        <v/>
      </c>
      <c r="N264" s="11"/>
    </row>
    <row r="265" customFormat="false" ht="15" hidden="false" customHeight="false" outlineLevel="0" collapsed="false">
      <c r="A265" s="27"/>
      <c r="B265" s="11"/>
      <c r="C265" s="7" t="str">
        <f aca="false">IFERROR(INDEX('3. Costeo y Precios'!$B$14:$B$64,MATCH($B265,'3. Costeo y Precios'!$A$14:$A$64,0)),"")</f>
        <v/>
      </c>
      <c r="D265" s="11"/>
      <c r="E265" s="11"/>
      <c r="F265" s="9"/>
      <c r="G265" s="13" t="str">
        <f aca="false">IF($B265="","",E265*F265)</f>
        <v/>
      </c>
      <c r="H265" s="13" t="n">
        <f aca="false">IFERROR(INDEX('3. Costeo y Precios'!$M$14:$M$64,MATCH($B265,'3. Costeo y Precios'!$A$14:$A$64,0)),0)</f>
        <v>0</v>
      </c>
      <c r="I265" s="13" t="str">
        <f aca="false">IF($B265="","",E265*H265)</f>
        <v/>
      </c>
      <c r="J265" s="28"/>
      <c r="K265" s="13" t="str">
        <f aca="false">IF($B265="","",G265*J265)</f>
        <v/>
      </c>
      <c r="L265" s="13" t="str">
        <f aca="false">IF($B265="","",G265-I265-K265)</f>
        <v/>
      </c>
      <c r="M265" s="22" t="str">
        <f aca="false">IFERROR(L265/G265,"")</f>
        <v/>
      </c>
      <c r="N265" s="11"/>
    </row>
    <row r="266" customFormat="false" ht="15" hidden="false" customHeight="false" outlineLevel="0" collapsed="false">
      <c r="A266" s="27"/>
      <c r="B266" s="11"/>
      <c r="C266" s="7" t="str">
        <f aca="false">IFERROR(INDEX('3. Costeo y Precios'!$B$14:$B$64,MATCH($B266,'3. Costeo y Precios'!$A$14:$A$64,0)),"")</f>
        <v/>
      </c>
      <c r="D266" s="11"/>
      <c r="E266" s="11"/>
      <c r="F266" s="9"/>
      <c r="G266" s="13" t="str">
        <f aca="false">IF($B266="","",E266*F266)</f>
        <v/>
      </c>
      <c r="H266" s="13" t="n">
        <f aca="false">IFERROR(INDEX('3. Costeo y Precios'!$M$14:$M$64,MATCH($B266,'3. Costeo y Precios'!$A$14:$A$64,0)),0)</f>
        <v>0</v>
      </c>
      <c r="I266" s="13" t="str">
        <f aca="false">IF($B266="","",E266*H266)</f>
        <v/>
      </c>
      <c r="J266" s="28"/>
      <c r="K266" s="13" t="str">
        <f aca="false">IF($B266="","",G266*J266)</f>
        <v/>
      </c>
      <c r="L266" s="13" t="str">
        <f aca="false">IF($B266="","",G266-I266-K266)</f>
        <v/>
      </c>
      <c r="M266" s="22" t="str">
        <f aca="false">IFERROR(L266/G266,"")</f>
        <v/>
      </c>
      <c r="N266" s="11"/>
    </row>
    <row r="267" customFormat="false" ht="15" hidden="false" customHeight="false" outlineLevel="0" collapsed="false">
      <c r="A267" s="27"/>
      <c r="B267" s="11"/>
      <c r="C267" s="7" t="str">
        <f aca="false">IFERROR(INDEX('3. Costeo y Precios'!$B$14:$B$64,MATCH($B267,'3. Costeo y Precios'!$A$14:$A$64,0)),"")</f>
        <v/>
      </c>
      <c r="D267" s="11"/>
      <c r="E267" s="11"/>
      <c r="F267" s="9"/>
      <c r="G267" s="13" t="str">
        <f aca="false">IF($B267="","",E267*F267)</f>
        <v/>
      </c>
      <c r="H267" s="13" t="n">
        <f aca="false">IFERROR(INDEX('3. Costeo y Precios'!$M$14:$M$64,MATCH($B267,'3. Costeo y Precios'!$A$14:$A$64,0)),0)</f>
        <v>0</v>
      </c>
      <c r="I267" s="13" t="str">
        <f aca="false">IF($B267="","",E267*H267)</f>
        <v/>
      </c>
      <c r="J267" s="28"/>
      <c r="K267" s="13" t="str">
        <f aca="false">IF($B267="","",G267*J267)</f>
        <v/>
      </c>
      <c r="L267" s="13" t="str">
        <f aca="false">IF($B267="","",G267-I267-K267)</f>
        <v/>
      </c>
      <c r="M267" s="22" t="str">
        <f aca="false">IFERROR(L267/G267,"")</f>
        <v/>
      </c>
      <c r="N267" s="11"/>
    </row>
    <row r="268" customFormat="false" ht="15" hidden="false" customHeight="false" outlineLevel="0" collapsed="false">
      <c r="A268" s="27"/>
      <c r="B268" s="11"/>
      <c r="C268" s="7" t="str">
        <f aca="false">IFERROR(INDEX('3. Costeo y Precios'!$B$14:$B$64,MATCH($B268,'3. Costeo y Precios'!$A$14:$A$64,0)),"")</f>
        <v/>
      </c>
      <c r="D268" s="11"/>
      <c r="E268" s="11"/>
      <c r="F268" s="9"/>
      <c r="G268" s="13" t="str">
        <f aca="false">IF($B268="","",E268*F268)</f>
        <v/>
      </c>
      <c r="H268" s="13" t="n">
        <f aca="false">IFERROR(INDEX('3. Costeo y Precios'!$M$14:$M$64,MATCH($B268,'3. Costeo y Precios'!$A$14:$A$64,0)),0)</f>
        <v>0</v>
      </c>
      <c r="I268" s="13" t="str">
        <f aca="false">IF($B268="","",E268*H268)</f>
        <v/>
      </c>
      <c r="J268" s="28"/>
      <c r="K268" s="13" t="str">
        <f aca="false">IF($B268="","",G268*J268)</f>
        <v/>
      </c>
      <c r="L268" s="13" t="str">
        <f aca="false">IF($B268="","",G268-I268-K268)</f>
        <v/>
      </c>
      <c r="M268" s="22" t="str">
        <f aca="false">IFERROR(L268/G268,"")</f>
        <v/>
      </c>
      <c r="N268" s="11"/>
    </row>
    <row r="269" customFormat="false" ht="15" hidden="false" customHeight="false" outlineLevel="0" collapsed="false">
      <c r="A269" s="27"/>
      <c r="B269" s="11"/>
      <c r="C269" s="7" t="str">
        <f aca="false">IFERROR(INDEX('3. Costeo y Precios'!$B$14:$B$64,MATCH($B269,'3. Costeo y Precios'!$A$14:$A$64,0)),"")</f>
        <v/>
      </c>
      <c r="D269" s="11"/>
      <c r="E269" s="11"/>
      <c r="F269" s="9"/>
      <c r="G269" s="13" t="str">
        <f aca="false">IF($B269="","",E269*F269)</f>
        <v/>
      </c>
      <c r="H269" s="13" t="n">
        <f aca="false">IFERROR(INDEX('3. Costeo y Precios'!$M$14:$M$64,MATCH($B269,'3. Costeo y Precios'!$A$14:$A$64,0)),0)</f>
        <v>0</v>
      </c>
      <c r="I269" s="13" t="str">
        <f aca="false">IF($B269="","",E269*H269)</f>
        <v/>
      </c>
      <c r="J269" s="28"/>
      <c r="K269" s="13" t="str">
        <f aca="false">IF($B269="","",G269*J269)</f>
        <v/>
      </c>
      <c r="L269" s="13" t="str">
        <f aca="false">IF($B269="","",G269-I269-K269)</f>
        <v/>
      </c>
      <c r="M269" s="22" t="str">
        <f aca="false">IFERROR(L269/G269,"")</f>
        <v/>
      </c>
      <c r="N269" s="11"/>
    </row>
    <row r="270" customFormat="false" ht="15" hidden="false" customHeight="false" outlineLevel="0" collapsed="false">
      <c r="A270" s="27"/>
      <c r="B270" s="11"/>
      <c r="C270" s="7" t="str">
        <f aca="false">IFERROR(INDEX('3. Costeo y Precios'!$B$14:$B$64,MATCH($B270,'3. Costeo y Precios'!$A$14:$A$64,0)),"")</f>
        <v/>
      </c>
      <c r="D270" s="11"/>
      <c r="E270" s="11"/>
      <c r="F270" s="9"/>
      <c r="G270" s="13" t="str">
        <f aca="false">IF($B270="","",E270*F270)</f>
        <v/>
      </c>
      <c r="H270" s="13" t="n">
        <f aca="false">IFERROR(INDEX('3. Costeo y Precios'!$M$14:$M$64,MATCH($B270,'3. Costeo y Precios'!$A$14:$A$64,0)),0)</f>
        <v>0</v>
      </c>
      <c r="I270" s="13" t="str">
        <f aca="false">IF($B270="","",E270*H270)</f>
        <v/>
      </c>
      <c r="J270" s="28"/>
      <c r="K270" s="13" t="str">
        <f aca="false">IF($B270="","",G270*J270)</f>
        <v/>
      </c>
      <c r="L270" s="13" t="str">
        <f aca="false">IF($B270="","",G270-I270-K270)</f>
        <v/>
      </c>
      <c r="M270" s="22" t="str">
        <f aca="false">IFERROR(L270/G270,"")</f>
        <v/>
      </c>
      <c r="N270" s="11"/>
    </row>
    <row r="271" customFormat="false" ht="15" hidden="false" customHeight="false" outlineLevel="0" collapsed="false">
      <c r="A271" s="27"/>
      <c r="B271" s="11"/>
      <c r="C271" s="7" t="str">
        <f aca="false">IFERROR(INDEX('3. Costeo y Precios'!$B$14:$B$64,MATCH($B271,'3. Costeo y Precios'!$A$14:$A$64,0)),"")</f>
        <v/>
      </c>
      <c r="D271" s="11"/>
      <c r="E271" s="11"/>
      <c r="F271" s="9"/>
      <c r="G271" s="13" t="str">
        <f aca="false">IF($B271="","",E271*F271)</f>
        <v/>
      </c>
      <c r="H271" s="13" t="n">
        <f aca="false">IFERROR(INDEX('3. Costeo y Precios'!$M$14:$M$64,MATCH($B271,'3. Costeo y Precios'!$A$14:$A$64,0)),0)</f>
        <v>0</v>
      </c>
      <c r="I271" s="13" t="str">
        <f aca="false">IF($B271="","",E271*H271)</f>
        <v/>
      </c>
      <c r="J271" s="28"/>
      <c r="K271" s="13" t="str">
        <f aca="false">IF($B271="","",G271*J271)</f>
        <v/>
      </c>
      <c r="L271" s="13" t="str">
        <f aca="false">IF($B271="","",G271-I271-K271)</f>
        <v/>
      </c>
      <c r="M271" s="22" t="str">
        <f aca="false">IFERROR(L271/G271,"")</f>
        <v/>
      </c>
      <c r="N271" s="11"/>
    </row>
    <row r="272" customFormat="false" ht="15" hidden="false" customHeight="false" outlineLevel="0" collapsed="false">
      <c r="A272" s="27"/>
      <c r="B272" s="11"/>
      <c r="C272" s="7" t="str">
        <f aca="false">IFERROR(INDEX('3. Costeo y Precios'!$B$14:$B$64,MATCH($B272,'3. Costeo y Precios'!$A$14:$A$64,0)),"")</f>
        <v/>
      </c>
      <c r="D272" s="11"/>
      <c r="E272" s="11"/>
      <c r="F272" s="9"/>
      <c r="G272" s="13" t="str">
        <f aca="false">IF($B272="","",E272*F272)</f>
        <v/>
      </c>
      <c r="H272" s="13" t="n">
        <f aca="false">IFERROR(INDEX('3. Costeo y Precios'!$M$14:$M$64,MATCH($B272,'3. Costeo y Precios'!$A$14:$A$64,0)),0)</f>
        <v>0</v>
      </c>
      <c r="I272" s="13" t="str">
        <f aca="false">IF($B272="","",E272*H272)</f>
        <v/>
      </c>
      <c r="J272" s="28"/>
      <c r="K272" s="13" t="str">
        <f aca="false">IF($B272="","",G272*J272)</f>
        <v/>
      </c>
      <c r="L272" s="13" t="str">
        <f aca="false">IF($B272="","",G272-I272-K272)</f>
        <v/>
      </c>
      <c r="M272" s="22" t="str">
        <f aca="false">IFERROR(L272/G272,"")</f>
        <v/>
      </c>
      <c r="N272" s="11"/>
    </row>
    <row r="273" customFormat="false" ht="15" hidden="false" customHeight="false" outlineLevel="0" collapsed="false">
      <c r="A273" s="27"/>
      <c r="B273" s="11"/>
      <c r="C273" s="7" t="str">
        <f aca="false">IFERROR(INDEX('3. Costeo y Precios'!$B$14:$B$64,MATCH($B273,'3. Costeo y Precios'!$A$14:$A$64,0)),"")</f>
        <v/>
      </c>
      <c r="D273" s="11"/>
      <c r="E273" s="11"/>
      <c r="F273" s="9"/>
      <c r="G273" s="13" t="str">
        <f aca="false">IF($B273="","",E273*F273)</f>
        <v/>
      </c>
      <c r="H273" s="13" t="n">
        <f aca="false">IFERROR(INDEX('3. Costeo y Precios'!$M$14:$M$64,MATCH($B273,'3. Costeo y Precios'!$A$14:$A$64,0)),0)</f>
        <v>0</v>
      </c>
      <c r="I273" s="13" t="str">
        <f aca="false">IF($B273="","",E273*H273)</f>
        <v/>
      </c>
      <c r="J273" s="28"/>
      <c r="K273" s="13" t="str">
        <f aca="false">IF($B273="","",G273*J273)</f>
        <v/>
      </c>
      <c r="L273" s="13" t="str">
        <f aca="false">IF($B273="","",G273-I273-K273)</f>
        <v/>
      </c>
      <c r="M273" s="22" t="str">
        <f aca="false">IFERROR(L273/G273,"")</f>
        <v/>
      </c>
      <c r="N273" s="11"/>
    </row>
    <row r="274" customFormat="false" ht="15" hidden="false" customHeight="false" outlineLevel="0" collapsed="false">
      <c r="A274" s="27"/>
      <c r="B274" s="11"/>
      <c r="C274" s="7" t="str">
        <f aca="false">IFERROR(INDEX('3. Costeo y Precios'!$B$14:$B$64,MATCH($B274,'3. Costeo y Precios'!$A$14:$A$64,0)),"")</f>
        <v/>
      </c>
      <c r="D274" s="11"/>
      <c r="E274" s="11"/>
      <c r="F274" s="9"/>
      <c r="G274" s="13" t="str">
        <f aca="false">IF($B274="","",E274*F274)</f>
        <v/>
      </c>
      <c r="H274" s="13" t="n">
        <f aca="false">IFERROR(INDEX('3. Costeo y Precios'!$M$14:$M$64,MATCH($B274,'3. Costeo y Precios'!$A$14:$A$64,0)),0)</f>
        <v>0</v>
      </c>
      <c r="I274" s="13" t="str">
        <f aca="false">IF($B274="","",E274*H274)</f>
        <v/>
      </c>
      <c r="J274" s="28"/>
      <c r="K274" s="13" t="str">
        <f aca="false">IF($B274="","",G274*J274)</f>
        <v/>
      </c>
      <c r="L274" s="13" t="str">
        <f aca="false">IF($B274="","",G274-I274-K274)</f>
        <v/>
      </c>
      <c r="M274" s="22" t="str">
        <f aca="false">IFERROR(L274/G274,"")</f>
        <v/>
      </c>
      <c r="N274" s="11"/>
    </row>
    <row r="275" customFormat="false" ht="15" hidden="false" customHeight="false" outlineLevel="0" collapsed="false">
      <c r="A275" s="27"/>
      <c r="B275" s="11"/>
      <c r="C275" s="7" t="str">
        <f aca="false">IFERROR(INDEX('3. Costeo y Precios'!$B$14:$B$64,MATCH($B275,'3. Costeo y Precios'!$A$14:$A$64,0)),"")</f>
        <v/>
      </c>
      <c r="D275" s="11"/>
      <c r="E275" s="11"/>
      <c r="F275" s="9"/>
      <c r="G275" s="13" t="str">
        <f aca="false">IF($B275="","",E275*F275)</f>
        <v/>
      </c>
      <c r="H275" s="13" t="n">
        <f aca="false">IFERROR(INDEX('3. Costeo y Precios'!$M$14:$M$64,MATCH($B275,'3. Costeo y Precios'!$A$14:$A$64,0)),0)</f>
        <v>0</v>
      </c>
      <c r="I275" s="13" t="str">
        <f aca="false">IF($B275="","",E275*H275)</f>
        <v/>
      </c>
      <c r="J275" s="28"/>
      <c r="K275" s="13" t="str">
        <f aca="false">IF($B275="","",G275*J275)</f>
        <v/>
      </c>
      <c r="L275" s="13" t="str">
        <f aca="false">IF($B275="","",G275-I275-K275)</f>
        <v/>
      </c>
      <c r="M275" s="22" t="str">
        <f aca="false">IFERROR(L275/G275,"")</f>
        <v/>
      </c>
      <c r="N275" s="11"/>
    </row>
    <row r="276" customFormat="false" ht="15" hidden="false" customHeight="false" outlineLevel="0" collapsed="false">
      <c r="A276" s="27"/>
      <c r="B276" s="11"/>
      <c r="C276" s="7" t="str">
        <f aca="false">IFERROR(INDEX('3. Costeo y Precios'!$B$14:$B$64,MATCH($B276,'3. Costeo y Precios'!$A$14:$A$64,0)),"")</f>
        <v/>
      </c>
      <c r="D276" s="11"/>
      <c r="E276" s="11"/>
      <c r="F276" s="9"/>
      <c r="G276" s="13" t="str">
        <f aca="false">IF($B276="","",E276*F276)</f>
        <v/>
      </c>
      <c r="H276" s="13" t="n">
        <f aca="false">IFERROR(INDEX('3. Costeo y Precios'!$M$14:$M$64,MATCH($B276,'3. Costeo y Precios'!$A$14:$A$64,0)),0)</f>
        <v>0</v>
      </c>
      <c r="I276" s="13" t="str">
        <f aca="false">IF($B276="","",E276*H276)</f>
        <v/>
      </c>
      <c r="J276" s="28"/>
      <c r="K276" s="13" t="str">
        <f aca="false">IF($B276="","",G276*J276)</f>
        <v/>
      </c>
      <c r="L276" s="13" t="str">
        <f aca="false">IF($B276="","",G276-I276-K276)</f>
        <v/>
      </c>
      <c r="M276" s="22" t="str">
        <f aca="false">IFERROR(L276/G276,"")</f>
        <v/>
      </c>
      <c r="N276" s="11"/>
    </row>
    <row r="277" customFormat="false" ht="15" hidden="false" customHeight="false" outlineLevel="0" collapsed="false">
      <c r="A277" s="27"/>
      <c r="B277" s="11"/>
      <c r="C277" s="7" t="str">
        <f aca="false">IFERROR(INDEX('3. Costeo y Precios'!$B$14:$B$64,MATCH($B277,'3. Costeo y Precios'!$A$14:$A$64,0)),"")</f>
        <v/>
      </c>
      <c r="D277" s="11"/>
      <c r="E277" s="11"/>
      <c r="F277" s="9"/>
      <c r="G277" s="13" t="str">
        <f aca="false">IF($B277="","",E277*F277)</f>
        <v/>
      </c>
      <c r="H277" s="13" t="n">
        <f aca="false">IFERROR(INDEX('3. Costeo y Precios'!$M$14:$M$64,MATCH($B277,'3. Costeo y Precios'!$A$14:$A$64,0)),0)</f>
        <v>0</v>
      </c>
      <c r="I277" s="13" t="str">
        <f aca="false">IF($B277="","",E277*H277)</f>
        <v/>
      </c>
      <c r="J277" s="28"/>
      <c r="K277" s="13" t="str">
        <f aca="false">IF($B277="","",G277*J277)</f>
        <v/>
      </c>
      <c r="L277" s="13" t="str">
        <f aca="false">IF($B277="","",G277-I277-K277)</f>
        <v/>
      </c>
      <c r="M277" s="22" t="str">
        <f aca="false">IFERROR(L277/G277,"")</f>
        <v/>
      </c>
      <c r="N277" s="11"/>
    </row>
    <row r="278" customFormat="false" ht="15" hidden="false" customHeight="false" outlineLevel="0" collapsed="false">
      <c r="A278" s="27"/>
      <c r="B278" s="11"/>
      <c r="C278" s="7" t="str">
        <f aca="false">IFERROR(INDEX('3. Costeo y Precios'!$B$14:$B$64,MATCH($B278,'3. Costeo y Precios'!$A$14:$A$64,0)),"")</f>
        <v/>
      </c>
      <c r="D278" s="11"/>
      <c r="E278" s="11"/>
      <c r="F278" s="9"/>
      <c r="G278" s="13" t="str">
        <f aca="false">IF($B278="","",E278*F278)</f>
        <v/>
      </c>
      <c r="H278" s="13" t="n">
        <f aca="false">IFERROR(INDEX('3. Costeo y Precios'!$M$14:$M$64,MATCH($B278,'3. Costeo y Precios'!$A$14:$A$64,0)),0)</f>
        <v>0</v>
      </c>
      <c r="I278" s="13" t="str">
        <f aca="false">IF($B278="","",E278*H278)</f>
        <v/>
      </c>
      <c r="J278" s="28"/>
      <c r="K278" s="13" t="str">
        <f aca="false">IF($B278="","",G278*J278)</f>
        <v/>
      </c>
      <c r="L278" s="13" t="str">
        <f aca="false">IF($B278="","",G278-I278-K278)</f>
        <v/>
      </c>
      <c r="M278" s="22" t="str">
        <f aca="false">IFERROR(L278/G278,"")</f>
        <v/>
      </c>
      <c r="N278" s="11"/>
    </row>
    <row r="279" customFormat="false" ht="15" hidden="false" customHeight="false" outlineLevel="0" collapsed="false">
      <c r="A279" s="27"/>
      <c r="B279" s="11"/>
      <c r="C279" s="7" t="str">
        <f aca="false">IFERROR(INDEX('3. Costeo y Precios'!$B$14:$B$64,MATCH($B279,'3. Costeo y Precios'!$A$14:$A$64,0)),"")</f>
        <v/>
      </c>
      <c r="D279" s="11"/>
      <c r="E279" s="11"/>
      <c r="F279" s="9"/>
      <c r="G279" s="13" t="str">
        <f aca="false">IF($B279="","",E279*F279)</f>
        <v/>
      </c>
      <c r="H279" s="13" t="n">
        <f aca="false">IFERROR(INDEX('3. Costeo y Precios'!$M$14:$M$64,MATCH($B279,'3. Costeo y Precios'!$A$14:$A$64,0)),0)</f>
        <v>0</v>
      </c>
      <c r="I279" s="13" t="str">
        <f aca="false">IF($B279="","",E279*H279)</f>
        <v/>
      </c>
      <c r="J279" s="28"/>
      <c r="K279" s="13" t="str">
        <f aca="false">IF($B279="","",G279*J279)</f>
        <v/>
      </c>
      <c r="L279" s="13" t="str">
        <f aca="false">IF($B279="","",G279-I279-K279)</f>
        <v/>
      </c>
      <c r="M279" s="22" t="str">
        <f aca="false">IFERROR(L279/G279,"")</f>
        <v/>
      </c>
      <c r="N279" s="11"/>
    </row>
    <row r="280" customFormat="false" ht="15" hidden="false" customHeight="false" outlineLevel="0" collapsed="false">
      <c r="A280" s="27"/>
      <c r="B280" s="11"/>
      <c r="C280" s="7" t="str">
        <f aca="false">IFERROR(INDEX('3. Costeo y Precios'!$B$14:$B$64,MATCH($B280,'3. Costeo y Precios'!$A$14:$A$64,0)),"")</f>
        <v/>
      </c>
      <c r="D280" s="11"/>
      <c r="E280" s="11"/>
      <c r="F280" s="9"/>
      <c r="G280" s="13" t="str">
        <f aca="false">IF($B280="","",E280*F280)</f>
        <v/>
      </c>
      <c r="H280" s="13" t="n">
        <f aca="false">IFERROR(INDEX('3. Costeo y Precios'!$M$14:$M$64,MATCH($B280,'3. Costeo y Precios'!$A$14:$A$64,0)),0)</f>
        <v>0</v>
      </c>
      <c r="I280" s="13" t="str">
        <f aca="false">IF($B280="","",E280*H280)</f>
        <v/>
      </c>
      <c r="J280" s="28"/>
      <c r="K280" s="13" t="str">
        <f aca="false">IF($B280="","",G280*J280)</f>
        <v/>
      </c>
      <c r="L280" s="13" t="str">
        <f aca="false">IF($B280="","",G280-I280-K280)</f>
        <v/>
      </c>
      <c r="M280" s="22" t="str">
        <f aca="false">IFERROR(L280/G280,"")</f>
        <v/>
      </c>
      <c r="N280" s="11"/>
    </row>
    <row r="281" customFormat="false" ht="15" hidden="false" customHeight="false" outlineLevel="0" collapsed="false">
      <c r="A281" s="27"/>
      <c r="B281" s="11"/>
      <c r="C281" s="7" t="str">
        <f aca="false">IFERROR(INDEX('3. Costeo y Precios'!$B$14:$B$64,MATCH($B281,'3. Costeo y Precios'!$A$14:$A$64,0)),"")</f>
        <v/>
      </c>
      <c r="D281" s="11"/>
      <c r="E281" s="11"/>
      <c r="F281" s="9"/>
      <c r="G281" s="13" t="str">
        <f aca="false">IF($B281="","",E281*F281)</f>
        <v/>
      </c>
      <c r="H281" s="13" t="n">
        <f aca="false">IFERROR(INDEX('3. Costeo y Precios'!$M$14:$M$64,MATCH($B281,'3. Costeo y Precios'!$A$14:$A$64,0)),0)</f>
        <v>0</v>
      </c>
      <c r="I281" s="13" t="str">
        <f aca="false">IF($B281="","",E281*H281)</f>
        <v/>
      </c>
      <c r="J281" s="28"/>
      <c r="K281" s="13" t="str">
        <f aca="false">IF($B281="","",G281*J281)</f>
        <v/>
      </c>
      <c r="L281" s="13" t="str">
        <f aca="false">IF($B281="","",G281-I281-K281)</f>
        <v/>
      </c>
      <c r="M281" s="22" t="str">
        <f aca="false">IFERROR(L281/G281,"")</f>
        <v/>
      </c>
      <c r="N281" s="11"/>
    </row>
    <row r="282" customFormat="false" ht="15" hidden="false" customHeight="false" outlineLevel="0" collapsed="false">
      <c r="A282" s="27"/>
      <c r="B282" s="11"/>
      <c r="C282" s="7" t="str">
        <f aca="false">IFERROR(INDEX('3. Costeo y Precios'!$B$14:$B$64,MATCH($B282,'3. Costeo y Precios'!$A$14:$A$64,0)),"")</f>
        <v/>
      </c>
      <c r="D282" s="11"/>
      <c r="E282" s="11"/>
      <c r="F282" s="9"/>
      <c r="G282" s="13" t="str">
        <f aca="false">IF($B282="","",E282*F282)</f>
        <v/>
      </c>
      <c r="H282" s="13" t="n">
        <f aca="false">IFERROR(INDEX('3. Costeo y Precios'!$M$14:$M$64,MATCH($B282,'3. Costeo y Precios'!$A$14:$A$64,0)),0)</f>
        <v>0</v>
      </c>
      <c r="I282" s="13" t="str">
        <f aca="false">IF($B282="","",E282*H282)</f>
        <v/>
      </c>
      <c r="J282" s="28"/>
      <c r="K282" s="13" t="str">
        <f aca="false">IF($B282="","",G282*J282)</f>
        <v/>
      </c>
      <c r="L282" s="13" t="str">
        <f aca="false">IF($B282="","",G282-I282-K282)</f>
        <v/>
      </c>
      <c r="M282" s="22" t="str">
        <f aca="false">IFERROR(L282/G282,"")</f>
        <v/>
      </c>
      <c r="N282" s="11"/>
    </row>
    <row r="283" customFormat="false" ht="15" hidden="false" customHeight="false" outlineLevel="0" collapsed="false">
      <c r="A283" s="27"/>
      <c r="B283" s="11"/>
      <c r="C283" s="7" t="str">
        <f aca="false">IFERROR(INDEX('3. Costeo y Precios'!$B$14:$B$64,MATCH($B283,'3. Costeo y Precios'!$A$14:$A$64,0)),"")</f>
        <v/>
      </c>
      <c r="D283" s="11"/>
      <c r="E283" s="11"/>
      <c r="F283" s="9"/>
      <c r="G283" s="13" t="str">
        <f aca="false">IF($B283="","",E283*F283)</f>
        <v/>
      </c>
      <c r="H283" s="13" t="n">
        <f aca="false">IFERROR(INDEX('3. Costeo y Precios'!$M$14:$M$64,MATCH($B283,'3. Costeo y Precios'!$A$14:$A$64,0)),0)</f>
        <v>0</v>
      </c>
      <c r="I283" s="13" t="str">
        <f aca="false">IF($B283="","",E283*H283)</f>
        <v/>
      </c>
      <c r="J283" s="28"/>
      <c r="K283" s="13" t="str">
        <f aca="false">IF($B283="","",G283*J283)</f>
        <v/>
      </c>
      <c r="L283" s="13" t="str">
        <f aca="false">IF($B283="","",G283-I283-K283)</f>
        <v/>
      </c>
      <c r="M283" s="22" t="str">
        <f aca="false">IFERROR(L283/G283,"")</f>
        <v/>
      </c>
      <c r="N283" s="11"/>
    </row>
    <row r="284" customFormat="false" ht="15" hidden="false" customHeight="false" outlineLevel="0" collapsed="false">
      <c r="A284" s="27"/>
      <c r="B284" s="11"/>
      <c r="C284" s="7" t="str">
        <f aca="false">IFERROR(INDEX('3. Costeo y Precios'!$B$14:$B$64,MATCH($B284,'3. Costeo y Precios'!$A$14:$A$64,0)),"")</f>
        <v/>
      </c>
      <c r="D284" s="11"/>
      <c r="E284" s="11"/>
      <c r="F284" s="9"/>
      <c r="G284" s="13" t="str">
        <f aca="false">IF($B284="","",E284*F284)</f>
        <v/>
      </c>
      <c r="H284" s="13" t="n">
        <f aca="false">IFERROR(INDEX('3. Costeo y Precios'!$M$14:$M$64,MATCH($B284,'3. Costeo y Precios'!$A$14:$A$64,0)),0)</f>
        <v>0</v>
      </c>
      <c r="I284" s="13" t="str">
        <f aca="false">IF($B284="","",E284*H284)</f>
        <v/>
      </c>
      <c r="J284" s="28"/>
      <c r="K284" s="13" t="str">
        <f aca="false">IF($B284="","",G284*J284)</f>
        <v/>
      </c>
      <c r="L284" s="13" t="str">
        <f aca="false">IF($B284="","",G284-I284-K284)</f>
        <v/>
      </c>
      <c r="M284" s="22" t="str">
        <f aca="false">IFERROR(L284/G284,"")</f>
        <v/>
      </c>
      <c r="N284" s="11"/>
    </row>
    <row r="285" customFormat="false" ht="15" hidden="false" customHeight="false" outlineLevel="0" collapsed="false">
      <c r="A285" s="27"/>
      <c r="B285" s="11"/>
      <c r="C285" s="7" t="str">
        <f aca="false">IFERROR(INDEX('3. Costeo y Precios'!$B$14:$B$64,MATCH($B285,'3. Costeo y Precios'!$A$14:$A$64,0)),"")</f>
        <v/>
      </c>
      <c r="D285" s="11"/>
      <c r="E285" s="11"/>
      <c r="F285" s="9"/>
      <c r="G285" s="13" t="str">
        <f aca="false">IF($B285="","",E285*F285)</f>
        <v/>
      </c>
      <c r="H285" s="13" t="n">
        <f aca="false">IFERROR(INDEX('3. Costeo y Precios'!$M$14:$M$64,MATCH($B285,'3. Costeo y Precios'!$A$14:$A$64,0)),0)</f>
        <v>0</v>
      </c>
      <c r="I285" s="13" t="str">
        <f aca="false">IF($B285="","",E285*H285)</f>
        <v/>
      </c>
      <c r="J285" s="28"/>
      <c r="K285" s="13" t="str">
        <f aca="false">IF($B285="","",G285*J285)</f>
        <v/>
      </c>
      <c r="L285" s="13" t="str">
        <f aca="false">IF($B285="","",G285-I285-K285)</f>
        <v/>
      </c>
      <c r="M285" s="22" t="str">
        <f aca="false">IFERROR(L285/G285,"")</f>
        <v/>
      </c>
      <c r="N285" s="11"/>
    </row>
    <row r="286" customFormat="false" ht="15" hidden="false" customHeight="false" outlineLevel="0" collapsed="false">
      <c r="A286" s="27"/>
      <c r="B286" s="11"/>
      <c r="C286" s="7" t="str">
        <f aca="false">IFERROR(INDEX('3. Costeo y Precios'!$B$14:$B$64,MATCH($B286,'3. Costeo y Precios'!$A$14:$A$64,0)),"")</f>
        <v/>
      </c>
      <c r="D286" s="11"/>
      <c r="E286" s="11"/>
      <c r="F286" s="9"/>
      <c r="G286" s="13" t="str">
        <f aca="false">IF($B286="","",E286*F286)</f>
        <v/>
      </c>
      <c r="H286" s="13" t="n">
        <f aca="false">IFERROR(INDEX('3. Costeo y Precios'!$M$14:$M$64,MATCH($B286,'3. Costeo y Precios'!$A$14:$A$64,0)),0)</f>
        <v>0</v>
      </c>
      <c r="I286" s="13" t="str">
        <f aca="false">IF($B286="","",E286*H286)</f>
        <v/>
      </c>
      <c r="J286" s="28"/>
      <c r="K286" s="13" t="str">
        <f aca="false">IF($B286="","",G286*J286)</f>
        <v/>
      </c>
      <c r="L286" s="13" t="str">
        <f aca="false">IF($B286="","",G286-I286-K286)</f>
        <v/>
      </c>
      <c r="M286" s="22" t="str">
        <f aca="false">IFERROR(L286/G286,"")</f>
        <v/>
      </c>
      <c r="N286" s="11"/>
    </row>
    <row r="287" customFormat="false" ht="15" hidden="false" customHeight="false" outlineLevel="0" collapsed="false">
      <c r="A287" s="27"/>
      <c r="B287" s="11"/>
      <c r="C287" s="7" t="str">
        <f aca="false">IFERROR(INDEX('3. Costeo y Precios'!$B$14:$B$64,MATCH($B287,'3. Costeo y Precios'!$A$14:$A$64,0)),"")</f>
        <v/>
      </c>
      <c r="D287" s="11"/>
      <c r="E287" s="11"/>
      <c r="F287" s="9"/>
      <c r="G287" s="13" t="str">
        <f aca="false">IF($B287="","",E287*F287)</f>
        <v/>
      </c>
      <c r="H287" s="13" t="n">
        <f aca="false">IFERROR(INDEX('3. Costeo y Precios'!$M$14:$M$64,MATCH($B287,'3. Costeo y Precios'!$A$14:$A$64,0)),0)</f>
        <v>0</v>
      </c>
      <c r="I287" s="13" t="str">
        <f aca="false">IF($B287="","",E287*H287)</f>
        <v/>
      </c>
      <c r="J287" s="28"/>
      <c r="K287" s="13" t="str">
        <f aca="false">IF($B287="","",G287*J287)</f>
        <v/>
      </c>
      <c r="L287" s="13" t="str">
        <f aca="false">IF($B287="","",G287-I287-K287)</f>
        <v/>
      </c>
      <c r="M287" s="22" t="str">
        <f aca="false">IFERROR(L287/G287,"")</f>
        <v/>
      </c>
      <c r="N287" s="11"/>
    </row>
    <row r="288" customFormat="false" ht="15" hidden="false" customHeight="false" outlineLevel="0" collapsed="false">
      <c r="A288" s="27"/>
      <c r="B288" s="11"/>
      <c r="C288" s="7" t="str">
        <f aca="false">IFERROR(INDEX('3. Costeo y Precios'!$B$14:$B$64,MATCH($B288,'3. Costeo y Precios'!$A$14:$A$64,0)),"")</f>
        <v/>
      </c>
      <c r="D288" s="11"/>
      <c r="E288" s="11"/>
      <c r="F288" s="9"/>
      <c r="G288" s="13" t="str">
        <f aca="false">IF($B288="","",E288*F288)</f>
        <v/>
      </c>
      <c r="H288" s="13" t="n">
        <f aca="false">IFERROR(INDEX('3. Costeo y Precios'!$M$14:$M$64,MATCH($B288,'3. Costeo y Precios'!$A$14:$A$64,0)),0)</f>
        <v>0</v>
      </c>
      <c r="I288" s="13" t="str">
        <f aca="false">IF($B288="","",E288*H288)</f>
        <v/>
      </c>
      <c r="J288" s="28"/>
      <c r="K288" s="13" t="str">
        <f aca="false">IF($B288="","",G288*J288)</f>
        <v/>
      </c>
      <c r="L288" s="13" t="str">
        <f aca="false">IF($B288="","",G288-I288-K288)</f>
        <v/>
      </c>
      <c r="M288" s="22" t="str">
        <f aca="false">IFERROR(L288/G288,"")</f>
        <v/>
      </c>
      <c r="N288" s="11"/>
    </row>
    <row r="289" customFormat="false" ht="15" hidden="false" customHeight="false" outlineLevel="0" collapsed="false">
      <c r="A289" s="27"/>
      <c r="B289" s="11"/>
      <c r="C289" s="7" t="str">
        <f aca="false">IFERROR(INDEX('3. Costeo y Precios'!$B$14:$B$64,MATCH($B289,'3. Costeo y Precios'!$A$14:$A$64,0)),"")</f>
        <v/>
      </c>
      <c r="D289" s="11"/>
      <c r="E289" s="11"/>
      <c r="F289" s="9"/>
      <c r="G289" s="13" t="str">
        <f aca="false">IF($B289="","",E289*F289)</f>
        <v/>
      </c>
      <c r="H289" s="13" t="n">
        <f aca="false">IFERROR(INDEX('3. Costeo y Precios'!$M$14:$M$64,MATCH($B289,'3. Costeo y Precios'!$A$14:$A$64,0)),0)</f>
        <v>0</v>
      </c>
      <c r="I289" s="13" t="str">
        <f aca="false">IF($B289="","",E289*H289)</f>
        <v/>
      </c>
      <c r="J289" s="28"/>
      <c r="K289" s="13" t="str">
        <f aca="false">IF($B289="","",G289*J289)</f>
        <v/>
      </c>
      <c r="L289" s="13" t="str">
        <f aca="false">IF($B289="","",G289-I289-K289)</f>
        <v/>
      </c>
      <c r="M289" s="22" t="str">
        <f aca="false">IFERROR(L289/G289,"")</f>
        <v/>
      </c>
      <c r="N289" s="11"/>
    </row>
    <row r="290" customFormat="false" ht="15" hidden="false" customHeight="false" outlineLevel="0" collapsed="false">
      <c r="A290" s="27"/>
      <c r="B290" s="11"/>
      <c r="C290" s="7" t="str">
        <f aca="false">IFERROR(INDEX('3. Costeo y Precios'!$B$14:$B$64,MATCH($B290,'3. Costeo y Precios'!$A$14:$A$64,0)),"")</f>
        <v/>
      </c>
      <c r="D290" s="11"/>
      <c r="E290" s="11"/>
      <c r="F290" s="9"/>
      <c r="G290" s="13" t="str">
        <f aca="false">IF($B290="","",E290*F290)</f>
        <v/>
      </c>
      <c r="H290" s="13" t="n">
        <f aca="false">IFERROR(INDEX('3. Costeo y Precios'!$M$14:$M$64,MATCH($B290,'3. Costeo y Precios'!$A$14:$A$64,0)),0)</f>
        <v>0</v>
      </c>
      <c r="I290" s="13" t="str">
        <f aca="false">IF($B290="","",E290*H290)</f>
        <v/>
      </c>
      <c r="J290" s="28"/>
      <c r="K290" s="13" t="str">
        <f aca="false">IF($B290="","",G290*J290)</f>
        <v/>
      </c>
      <c r="L290" s="13" t="str">
        <f aca="false">IF($B290="","",G290-I290-K290)</f>
        <v/>
      </c>
      <c r="M290" s="22" t="str">
        <f aca="false">IFERROR(L290/G290,"")</f>
        <v/>
      </c>
      <c r="N290" s="11"/>
    </row>
    <row r="291" customFormat="false" ht="15" hidden="false" customHeight="false" outlineLevel="0" collapsed="false">
      <c r="A291" s="27"/>
      <c r="B291" s="11"/>
      <c r="C291" s="7" t="str">
        <f aca="false">IFERROR(INDEX('3. Costeo y Precios'!$B$14:$B$64,MATCH($B291,'3. Costeo y Precios'!$A$14:$A$64,0)),"")</f>
        <v/>
      </c>
      <c r="D291" s="11"/>
      <c r="E291" s="11"/>
      <c r="F291" s="9"/>
      <c r="G291" s="13" t="str">
        <f aca="false">IF($B291="","",E291*F291)</f>
        <v/>
      </c>
      <c r="H291" s="13" t="n">
        <f aca="false">IFERROR(INDEX('3. Costeo y Precios'!$M$14:$M$64,MATCH($B291,'3. Costeo y Precios'!$A$14:$A$64,0)),0)</f>
        <v>0</v>
      </c>
      <c r="I291" s="13" t="str">
        <f aca="false">IF($B291="","",E291*H291)</f>
        <v/>
      </c>
      <c r="J291" s="28"/>
      <c r="K291" s="13" t="str">
        <f aca="false">IF($B291="","",G291*J291)</f>
        <v/>
      </c>
      <c r="L291" s="13" t="str">
        <f aca="false">IF($B291="","",G291-I291-K291)</f>
        <v/>
      </c>
      <c r="M291" s="22" t="str">
        <f aca="false">IFERROR(L291/G291,"")</f>
        <v/>
      </c>
      <c r="N291" s="11"/>
    </row>
    <row r="292" customFormat="false" ht="15" hidden="false" customHeight="false" outlineLevel="0" collapsed="false">
      <c r="A292" s="27"/>
      <c r="B292" s="11"/>
      <c r="C292" s="7" t="str">
        <f aca="false">IFERROR(INDEX('3. Costeo y Precios'!$B$14:$B$64,MATCH($B292,'3. Costeo y Precios'!$A$14:$A$64,0)),"")</f>
        <v/>
      </c>
      <c r="D292" s="11"/>
      <c r="E292" s="11"/>
      <c r="F292" s="9"/>
      <c r="G292" s="13" t="str">
        <f aca="false">IF($B292="","",E292*F292)</f>
        <v/>
      </c>
      <c r="H292" s="13" t="n">
        <f aca="false">IFERROR(INDEX('3. Costeo y Precios'!$M$14:$M$64,MATCH($B292,'3. Costeo y Precios'!$A$14:$A$64,0)),0)</f>
        <v>0</v>
      </c>
      <c r="I292" s="13" t="str">
        <f aca="false">IF($B292="","",E292*H292)</f>
        <v/>
      </c>
      <c r="J292" s="28"/>
      <c r="K292" s="13" t="str">
        <f aca="false">IF($B292="","",G292*J292)</f>
        <v/>
      </c>
      <c r="L292" s="13" t="str">
        <f aca="false">IF($B292="","",G292-I292-K292)</f>
        <v/>
      </c>
      <c r="M292" s="22" t="str">
        <f aca="false">IFERROR(L292/G292,"")</f>
        <v/>
      </c>
      <c r="N292" s="11"/>
    </row>
    <row r="293" customFormat="false" ht="15" hidden="false" customHeight="false" outlineLevel="0" collapsed="false">
      <c r="A293" s="27"/>
      <c r="B293" s="11"/>
      <c r="C293" s="7" t="str">
        <f aca="false">IFERROR(INDEX('3. Costeo y Precios'!$B$14:$B$64,MATCH($B293,'3. Costeo y Precios'!$A$14:$A$64,0)),"")</f>
        <v/>
      </c>
      <c r="D293" s="11"/>
      <c r="E293" s="11"/>
      <c r="F293" s="9"/>
      <c r="G293" s="13" t="str">
        <f aca="false">IF($B293="","",E293*F293)</f>
        <v/>
      </c>
      <c r="H293" s="13" t="n">
        <f aca="false">IFERROR(INDEX('3. Costeo y Precios'!$M$14:$M$64,MATCH($B293,'3. Costeo y Precios'!$A$14:$A$64,0)),0)</f>
        <v>0</v>
      </c>
      <c r="I293" s="13" t="str">
        <f aca="false">IF($B293="","",E293*H293)</f>
        <v/>
      </c>
      <c r="J293" s="28"/>
      <c r="K293" s="13" t="str">
        <f aca="false">IF($B293="","",G293*J293)</f>
        <v/>
      </c>
      <c r="L293" s="13" t="str">
        <f aca="false">IF($B293="","",G293-I293-K293)</f>
        <v/>
      </c>
      <c r="M293" s="22" t="str">
        <f aca="false">IFERROR(L293/G293,"")</f>
        <v/>
      </c>
      <c r="N293" s="11"/>
    </row>
    <row r="294" customFormat="false" ht="15" hidden="false" customHeight="false" outlineLevel="0" collapsed="false">
      <c r="A294" s="27"/>
      <c r="B294" s="11"/>
      <c r="C294" s="7" t="str">
        <f aca="false">IFERROR(INDEX('3. Costeo y Precios'!$B$14:$B$64,MATCH($B294,'3. Costeo y Precios'!$A$14:$A$64,0)),"")</f>
        <v/>
      </c>
      <c r="D294" s="11"/>
      <c r="E294" s="11"/>
      <c r="F294" s="9"/>
      <c r="G294" s="13" t="str">
        <f aca="false">IF($B294="","",E294*F294)</f>
        <v/>
      </c>
      <c r="H294" s="13" t="n">
        <f aca="false">IFERROR(INDEX('3. Costeo y Precios'!$M$14:$M$64,MATCH($B294,'3. Costeo y Precios'!$A$14:$A$64,0)),0)</f>
        <v>0</v>
      </c>
      <c r="I294" s="13" t="str">
        <f aca="false">IF($B294="","",E294*H294)</f>
        <v/>
      </c>
      <c r="J294" s="28"/>
      <c r="K294" s="13" t="str">
        <f aca="false">IF($B294="","",G294*J294)</f>
        <v/>
      </c>
      <c r="L294" s="13" t="str">
        <f aca="false">IF($B294="","",G294-I294-K294)</f>
        <v/>
      </c>
      <c r="M294" s="22" t="str">
        <f aca="false">IFERROR(L294/G294,"")</f>
        <v/>
      </c>
      <c r="N294" s="11"/>
    </row>
    <row r="295" customFormat="false" ht="15" hidden="false" customHeight="false" outlineLevel="0" collapsed="false">
      <c r="A295" s="27"/>
      <c r="B295" s="11"/>
      <c r="C295" s="7" t="str">
        <f aca="false">IFERROR(INDEX('3. Costeo y Precios'!$B$14:$B$64,MATCH($B295,'3. Costeo y Precios'!$A$14:$A$64,0)),"")</f>
        <v/>
      </c>
      <c r="D295" s="11"/>
      <c r="E295" s="11"/>
      <c r="F295" s="9"/>
      <c r="G295" s="13" t="str">
        <f aca="false">IF($B295="","",E295*F295)</f>
        <v/>
      </c>
      <c r="H295" s="13" t="n">
        <f aca="false">IFERROR(INDEX('3. Costeo y Precios'!$M$14:$M$64,MATCH($B295,'3. Costeo y Precios'!$A$14:$A$64,0)),0)</f>
        <v>0</v>
      </c>
      <c r="I295" s="13" t="str">
        <f aca="false">IF($B295="","",E295*H295)</f>
        <v/>
      </c>
      <c r="J295" s="28"/>
      <c r="K295" s="13" t="str">
        <f aca="false">IF($B295="","",G295*J295)</f>
        <v/>
      </c>
      <c r="L295" s="13" t="str">
        <f aca="false">IF($B295="","",G295-I295-K295)</f>
        <v/>
      </c>
      <c r="M295" s="22" t="str">
        <f aca="false">IFERROR(L295/G295,"")</f>
        <v/>
      </c>
      <c r="N295" s="11"/>
    </row>
    <row r="296" customFormat="false" ht="15" hidden="false" customHeight="false" outlineLevel="0" collapsed="false">
      <c r="A296" s="27"/>
      <c r="B296" s="11"/>
      <c r="C296" s="7" t="str">
        <f aca="false">IFERROR(INDEX('3. Costeo y Precios'!$B$14:$B$64,MATCH($B296,'3. Costeo y Precios'!$A$14:$A$64,0)),"")</f>
        <v/>
      </c>
      <c r="D296" s="11"/>
      <c r="E296" s="11"/>
      <c r="F296" s="9"/>
      <c r="G296" s="13" t="str">
        <f aca="false">IF($B296="","",E296*F296)</f>
        <v/>
      </c>
      <c r="H296" s="13" t="n">
        <f aca="false">IFERROR(INDEX('3. Costeo y Precios'!$M$14:$M$64,MATCH($B296,'3. Costeo y Precios'!$A$14:$A$64,0)),0)</f>
        <v>0</v>
      </c>
      <c r="I296" s="13" t="str">
        <f aca="false">IF($B296="","",E296*H296)</f>
        <v/>
      </c>
      <c r="J296" s="28"/>
      <c r="K296" s="13" t="str">
        <f aca="false">IF($B296="","",G296*J296)</f>
        <v/>
      </c>
      <c r="L296" s="13" t="str">
        <f aca="false">IF($B296="","",G296-I296-K296)</f>
        <v/>
      </c>
      <c r="M296" s="22" t="str">
        <f aca="false">IFERROR(L296/G296,"")</f>
        <v/>
      </c>
      <c r="N296" s="11"/>
    </row>
    <row r="297" customFormat="false" ht="15" hidden="false" customHeight="false" outlineLevel="0" collapsed="false">
      <c r="A297" s="27"/>
      <c r="B297" s="11"/>
      <c r="C297" s="7" t="str">
        <f aca="false">IFERROR(INDEX('3. Costeo y Precios'!$B$14:$B$64,MATCH($B297,'3. Costeo y Precios'!$A$14:$A$64,0)),"")</f>
        <v/>
      </c>
      <c r="D297" s="11"/>
      <c r="E297" s="11"/>
      <c r="F297" s="9"/>
      <c r="G297" s="13" t="str">
        <f aca="false">IF($B297="","",E297*F297)</f>
        <v/>
      </c>
      <c r="H297" s="13" t="n">
        <f aca="false">IFERROR(INDEX('3. Costeo y Precios'!$M$14:$M$64,MATCH($B297,'3. Costeo y Precios'!$A$14:$A$64,0)),0)</f>
        <v>0</v>
      </c>
      <c r="I297" s="13" t="str">
        <f aca="false">IF($B297="","",E297*H297)</f>
        <v/>
      </c>
      <c r="J297" s="28"/>
      <c r="K297" s="13" t="str">
        <f aca="false">IF($B297="","",G297*J297)</f>
        <v/>
      </c>
      <c r="L297" s="13" t="str">
        <f aca="false">IF($B297="","",G297-I297-K297)</f>
        <v/>
      </c>
      <c r="M297" s="22" t="str">
        <f aca="false">IFERROR(L297/G297,"")</f>
        <v/>
      </c>
      <c r="N297" s="11"/>
    </row>
    <row r="298" customFormat="false" ht="15" hidden="false" customHeight="false" outlineLevel="0" collapsed="false">
      <c r="A298" s="27"/>
      <c r="B298" s="11"/>
      <c r="C298" s="7" t="str">
        <f aca="false">IFERROR(INDEX('3. Costeo y Precios'!$B$14:$B$64,MATCH($B298,'3. Costeo y Precios'!$A$14:$A$64,0)),"")</f>
        <v/>
      </c>
      <c r="D298" s="11"/>
      <c r="E298" s="11"/>
      <c r="F298" s="9"/>
      <c r="G298" s="13" t="str">
        <f aca="false">IF($B298="","",E298*F298)</f>
        <v/>
      </c>
      <c r="H298" s="13" t="n">
        <f aca="false">IFERROR(INDEX('3. Costeo y Precios'!$M$14:$M$64,MATCH($B298,'3. Costeo y Precios'!$A$14:$A$64,0)),0)</f>
        <v>0</v>
      </c>
      <c r="I298" s="13" t="str">
        <f aca="false">IF($B298="","",E298*H298)</f>
        <v/>
      </c>
      <c r="J298" s="28"/>
      <c r="K298" s="13" t="str">
        <f aca="false">IF($B298="","",G298*J298)</f>
        <v/>
      </c>
      <c r="L298" s="13" t="str">
        <f aca="false">IF($B298="","",G298-I298-K298)</f>
        <v/>
      </c>
      <c r="M298" s="22" t="str">
        <f aca="false">IFERROR(L298/G298,"")</f>
        <v/>
      </c>
      <c r="N298" s="11"/>
    </row>
    <row r="299" customFormat="false" ht="15" hidden="false" customHeight="false" outlineLevel="0" collapsed="false">
      <c r="A299" s="27"/>
      <c r="B299" s="11"/>
      <c r="C299" s="7" t="str">
        <f aca="false">IFERROR(INDEX('3. Costeo y Precios'!$B$14:$B$64,MATCH($B299,'3. Costeo y Precios'!$A$14:$A$64,0)),"")</f>
        <v/>
      </c>
      <c r="D299" s="11"/>
      <c r="E299" s="11"/>
      <c r="F299" s="9"/>
      <c r="G299" s="13" t="str">
        <f aca="false">IF($B299="","",E299*F299)</f>
        <v/>
      </c>
      <c r="H299" s="13" t="n">
        <f aca="false">IFERROR(INDEX('3. Costeo y Precios'!$M$14:$M$64,MATCH($B299,'3. Costeo y Precios'!$A$14:$A$64,0)),0)</f>
        <v>0</v>
      </c>
      <c r="I299" s="13" t="str">
        <f aca="false">IF($B299="","",E299*H299)</f>
        <v/>
      </c>
      <c r="J299" s="28"/>
      <c r="K299" s="13" t="str">
        <f aca="false">IF($B299="","",G299*J299)</f>
        <v/>
      </c>
      <c r="L299" s="13" t="str">
        <f aca="false">IF($B299="","",G299-I299-K299)</f>
        <v/>
      </c>
      <c r="M299" s="22" t="str">
        <f aca="false">IFERROR(L299/G299,"")</f>
        <v/>
      </c>
      <c r="N299" s="11"/>
    </row>
    <row r="300" customFormat="false" ht="15" hidden="false" customHeight="false" outlineLevel="0" collapsed="false">
      <c r="A300" s="27"/>
      <c r="B300" s="11"/>
      <c r="C300" s="7" t="str">
        <f aca="false">IFERROR(INDEX('3. Costeo y Precios'!$B$14:$B$64,MATCH($B300,'3. Costeo y Precios'!$A$14:$A$64,0)),"")</f>
        <v/>
      </c>
      <c r="D300" s="11"/>
      <c r="E300" s="11"/>
      <c r="F300" s="9"/>
      <c r="G300" s="13" t="str">
        <f aca="false">IF($B300="","",E300*F300)</f>
        <v/>
      </c>
      <c r="H300" s="13" t="n">
        <f aca="false">IFERROR(INDEX('3. Costeo y Precios'!$M$14:$M$64,MATCH($B300,'3. Costeo y Precios'!$A$14:$A$64,0)),0)</f>
        <v>0</v>
      </c>
      <c r="I300" s="13" t="str">
        <f aca="false">IF($B300="","",E300*H300)</f>
        <v/>
      </c>
      <c r="J300" s="28"/>
      <c r="K300" s="13" t="str">
        <f aca="false">IF($B300="","",G300*J300)</f>
        <v/>
      </c>
      <c r="L300" s="13" t="str">
        <f aca="false">IF($B300="","",G300-I300-K300)</f>
        <v/>
      </c>
      <c r="M300" s="22" t="str">
        <f aca="false">IFERROR(L300/G300,"")</f>
        <v/>
      </c>
      <c r="N300" s="11"/>
    </row>
    <row r="301" customFormat="false" ht="15" hidden="false" customHeight="false" outlineLevel="0" collapsed="false">
      <c r="A301" s="27"/>
      <c r="B301" s="11"/>
      <c r="C301" s="7" t="str">
        <f aca="false">IFERROR(INDEX('3. Costeo y Precios'!$B$14:$B$64,MATCH($B301,'3. Costeo y Precios'!$A$14:$A$64,0)),"")</f>
        <v/>
      </c>
      <c r="D301" s="11"/>
      <c r="E301" s="11"/>
      <c r="F301" s="9"/>
      <c r="G301" s="13" t="str">
        <f aca="false">IF($B301="","",E301*F301)</f>
        <v/>
      </c>
      <c r="H301" s="13" t="n">
        <f aca="false">IFERROR(INDEX('3. Costeo y Precios'!$M$14:$M$64,MATCH($B301,'3. Costeo y Precios'!$A$14:$A$64,0)),0)</f>
        <v>0</v>
      </c>
      <c r="I301" s="13" t="str">
        <f aca="false">IF($B301="","",E301*H301)</f>
        <v/>
      </c>
      <c r="J301" s="28"/>
      <c r="K301" s="13" t="str">
        <f aca="false">IF($B301="","",G301*J301)</f>
        <v/>
      </c>
      <c r="L301" s="13" t="str">
        <f aca="false">IF($B301="","",G301-I301-K301)</f>
        <v/>
      </c>
      <c r="M301" s="22" t="str">
        <f aca="false">IFERROR(L301/G301,"")</f>
        <v/>
      </c>
      <c r="N301" s="11"/>
    </row>
    <row r="302" customFormat="false" ht="15" hidden="false" customHeight="false" outlineLevel="0" collapsed="false">
      <c r="A302" s="27"/>
      <c r="B302" s="11"/>
      <c r="C302" s="7" t="str">
        <f aca="false">IFERROR(INDEX('3. Costeo y Precios'!$B$14:$B$64,MATCH($B302,'3. Costeo y Precios'!$A$14:$A$64,0)),"")</f>
        <v/>
      </c>
      <c r="D302" s="11"/>
      <c r="E302" s="11"/>
      <c r="F302" s="9"/>
      <c r="G302" s="13" t="str">
        <f aca="false">IF($B302="","",E302*F302)</f>
        <v/>
      </c>
      <c r="H302" s="13" t="n">
        <f aca="false">IFERROR(INDEX('3. Costeo y Precios'!$M$14:$M$64,MATCH($B302,'3. Costeo y Precios'!$A$14:$A$64,0)),0)</f>
        <v>0</v>
      </c>
      <c r="I302" s="13" t="str">
        <f aca="false">IF($B302="","",E302*H302)</f>
        <v/>
      </c>
      <c r="J302" s="28"/>
      <c r="K302" s="13" t="str">
        <f aca="false">IF($B302="","",G302*J302)</f>
        <v/>
      </c>
      <c r="L302" s="13" t="str">
        <f aca="false">IF($B302="","",G302-I302-K302)</f>
        <v/>
      </c>
      <c r="M302" s="22" t="str">
        <f aca="false">IFERROR(L302/G302,"")</f>
        <v/>
      </c>
      <c r="N302" s="11"/>
    </row>
    <row r="303" customFormat="false" ht="15" hidden="false" customHeight="false" outlineLevel="0" collapsed="false">
      <c r="A303" s="27"/>
      <c r="B303" s="11"/>
      <c r="C303" s="7" t="str">
        <f aca="false">IFERROR(INDEX('3. Costeo y Precios'!$B$14:$B$64,MATCH($B303,'3. Costeo y Precios'!$A$14:$A$64,0)),"")</f>
        <v/>
      </c>
      <c r="D303" s="11"/>
      <c r="E303" s="11"/>
      <c r="F303" s="9"/>
      <c r="G303" s="13" t="str">
        <f aca="false">IF($B303="","",E303*F303)</f>
        <v/>
      </c>
      <c r="H303" s="13" t="n">
        <f aca="false">IFERROR(INDEX('3. Costeo y Precios'!$M$14:$M$64,MATCH($B303,'3. Costeo y Precios'!$A$14:$A$64,0)),0)</f>
        <v>0</v>
      </c>
      <c r="I303" s="13" t="str">
        <f aca="false">IF($B303="","",E303*H303)</f>
        <v/>
      </c>
      <c r="J303" s="28"/>
      <c r="K303" s="13" t="str">
        <f aca="false">IF($B303="","",G303*J303)</f>
        <v/>
      </c>
      <c r="L303" s="13" t="str">
        <f aca="false">IF($B303="","",G303-I303-K303)</f>
        <v/>
      </c>
      <c r="M303" s="22" t="str">
        <f aca="false">IFERROR(L303/G303,"")</f>
        <v/>
      </c>
      <c r="N303" s="11"/>
    </row>
    <row r="304" customFormat="false" ht="15" hidden="false" customHeight="false" outlineLevel="0" collapsed="false">
      <c r="A304" s="27"/>
      <c r="B304" s="11"/>
      <c r="C304" s="7" t="str">
        <f aca="false">IFERROR(INDEX('3. Costeo y Precios'!$B$14:$B$64,MATCH($B304,'3. Costeo y Precios'!$A$14:$A$64,0)),"")</f>
        <v/>
      </c>
      <c r="D304" s="11"/>
      <c r="E304" s="11"/>
      <c r="F304" s="9"/>
      <c r="G304" s="13" t="str">
        <f aca="false">IF($B304="","",E304*F304)</f>
        <v/>
      </c>
      <c r="H304" s="13" t="n">
        <f aca="false">IFERROR(INDEX('3. Costeo y Precios'!$M$14:$M$64,MATCH($B304,'3. Costeo y Precios'!$A$14:$A$64,0)),0)</f>
        <v>0</v>
      </c>
      <c r="I304" s="13" t="str">
        <f aca="false">IF($B304="","",E304*H304)</f>
        <v/>
      </c>
      <c r="J304" s="28"/>
      <c r="K304" s="13" t="str">
        <f aca="false">IF($B304="","",G304*J304)</f>
        <v/>
      </c>
      <c r="L304" s="13" t="str">
        <f aca="false">IF($B304="","",G304-I304-K304)</f>
        <v/>
      </c>
      <c r="M304" s="22" t="str">
        <f aca="false">IFERROR(L304/G304,"")</f>
        <v/>
      </c>
      <c r="N304" s="11"/>
    </row>
    <row r="305" customFormat="false" ht="15" hidden="false" customHeight="false" outlineLevel="0" collapsed="false">
      <c r="A305" s="27"/>
      <c r="B305" s="11"/>
      <c r="C305" s="7" t="str">
        <f aca="false">IFERROR(INDEX('3. Costeo y Precios'!$B$14:$B$64,MATCH($B305,'3. Costeo y Precios'!$A$14:$A$64,0)),"")</f>
        <v/>
      </c>
      <c r="D305" s="11"/>
      <c r="E305" s="11"/>
      <c r="F305" s="9"/>
      <c r="G305" s="13" t="str">
        <f aca="false">IF($B305="","",E305*F305)</f>
        <v/>
      </c>
      <c r="H305" s="13" t="n">
        <f aca="false">IFERROR(INDEX('3. Costeo y Precios'!$M$14:$M$64,MATCH($B305,'3. Costeo y Precios'!$A$14:$A$64,0)),0)</f>
        <v>0</v>
      </c>
      <c r="I305" s="13" t="str">
        <f aca="false">IF($B305="","",E305*H305)</f>
        <v/>
      </c>
      <c r="J305" s="28"/>
      <c r="K305" s="13" t="str">
        <f aca="false">IF($B305="","",G305*J305)</f>
        <v/>
      </c>
      <c r="L305" s="13" t="str">
        <f aca="false">IF($B305="","",G305-I305-K305)</f>
        <v/>
      </c>
      <c r="M305" s="22" t="str">
        <f aca="false">IFERROR(L305/G305,"")</f>
        <v/>
      </c>
      <c r="N305" s="11"/>
    </row>
    <row r="306" customFormat="false" ht="15" hidden="false" customHeight="false" outlineLevel="0" collapsed="false">
      <c r="A306" s="27"/>
      <c r="B306" s="11"/>
      <c r="C306" s="7" t="str">
        <f aca="false">IFERROR(INDEX('3. Costeo y Precios'!$B$14:$B$64,MATCH($B306,'3. Costeo y Precios'!$A$14:$A$64,0)),"")</f>
        <v/>
      </c>
      <c r="D306" s="11"/>
      <c r="E306" s="11"/>
      <c r="F306" s="9"/>
      <c r="G306" s="13" t="str">
        <f aca="false">IF($B306="","",E306*F306)</f>
        <v/>
      </c>
      <c r="H306" s="13" t="n">
        <f aca="false">IFERROR(INDEX('3. Costeo y Precios'!$M$14:$M$64,MATCH($B306,'3. Costeo y Precios'!$A$14:$A$64,0)),0)</f>
        <v>0</v>
      </c>
      <c r="I306" s="13" t="str">
        <f aca="false">IF($B306="","",E306*H306)</f>
        <v/>
      </c>
      <c r="J306" s="28"/>
      <c r="K306" s="13" t="str">
        <f aca="false">IF($B306="","",G306*J306)</f>
        <v/>
      </c>
      <c r="L306" s="13" t="str">
        <f aca="false">IF($B306="","",G306-I306-K306)</f>
        <v/>
      </c>
      <c r="M306" s="22" t="str">
        <f aca="false">IFERROR(L306/G306,"")</f>
        <v/>
      </c>
      <c r="N306" s="11"/>
    </row>
    <row r="307" customFormat="false" ht="15" hidden="false" customHeight="false" outlineLevel="0" collapsed="false">
      <c r="A307" s="27"/>
      <c r="B307" s="11"/>
      <c r="C307" s="7" t="str">
        <f aca="false">IFERROR(INDEX('3. Costeo y Precios'!$B$14:$B$64,MATCH($B307,'3. Costeo y Precios'!$A$14:$A$64,0)),"")</f>
        <v/>
      </c>
      <c r="D307" s="11"/>
      <c r="E307" s="11"/>
      <c r="F307" s="9"/>
      <c r="G307" s="13" t="str">
        <f aca="false">IF($B307="","",E307*F307)</f>
        <v/>
      </c>
      <c r="H307" s="13" t="n">
        <f aca="false">IFERROR(INDEX('3. Costeo y Precios'!$M$14:$M$64,MATCH($B307,'3. Costeo y Precios'!$A$14:$A$64,0)),0)</f>
        <v>0</v>
      </c>
      <c r="I307" s="13" t="str">
        <f aca="false">IF($B307="","",E307*H307)</f>
        <v/>
      </c>
      <c r="J307" s="28"/>
      <c r="K307" s="13" t="str">
        <f aca="false">IF($B307="","",G307*J307)</f>
        <v/>
      </c>
      <c r="L307" s="13" t="str">
        <f aca="false">IF($B307="","",G307-I307-K307)</f>
        <v/>
      </c>
      <c r="M307" s="22" t="str">
        <f aca="false">IFERROR(L307/G307,"")</f>
        <v/>
      </c>
      <c r="N307" s="11"/>
    </row>
    <row r="308" customFormat="false" ht="15" hidden="false" customHeight="false" outlineLevel="0" collapsed="false">
      <c r="A308" s="27"/>
      <c r="B308" s="11"/>
      <c r="C308" s="7" t="str">
        <f aca="false">IFERROR(INDEX('3. Costeo y Precios'!$B$14:$B$64,MATCH($B308,'3. Costeo y Precios'!$A$14:$A$64,0)),"")</f>
        <v/>
      </c>
      <c r="D308" s="11"/>
      <c r="E308" s="11"/>
      <c r="F308" s="9"/>
      <c r="G308" s="13" t="str">
        <f aca="false">IF($B308="","",E308*F308)</f>
        <v/>
      </c>
      <c r="H308" s="13" t="n">
        <f aca="false">IFERROR(INDEX('3. Costeo y Precios'!$M$14:$M$64,MATCH($B308,'3. Costeo y Precios'!$A$14:$A$64,0)),0)</f>
        <v>0</v>
      </c>
      <c r="I308" s="13" t="str">
        <f aca="false">IF($B308="","",E308*H308)</f>
        <v/>
      </c>
      <c r="J308" s="28"/>
      <c r="K308" s="13" t="str">
        <f aca="false">IF($B308="","",G308*J308)</f>
        <v/>
      </c>
      <c r="L308" s="13" t="str">
        <f aca="false">IF($B308="","",G308-I308-K308)</f>
        <v/>
      </c>
      <c r="M308" s="22" t="str">
        <f aca="false">IFERROR(L308/G308,"")</f>
        <v/>
      </c>
      <c r="N308" s="11"/>
    </row>
    <row r="309" customFormat="false" ht="15" hidden="false" customHeight="false" outlineLevel="0" collapsed="false">
      <c r="A309" s="27"/>
      <c r="B309" s="11"/>
      <c r="C309" s="7" t="str">
        <f aca="false">IFERROR(INDEX('3. Costeo y Precios'!$B$14:$B$64,MATCH($B309,'3. Costeo y Precios'!$A$14:$A$64,0)),"")</f>
        <v/>
      </c>
      <c r="D309" s="11"/>
      <c r="E309" s="11"/>
      <c r="F309" s="9"/>
      <c r="G309" s="13" t="str">
        <f aca="false">IF($B309="","",E309*F309)</f>
        <v/>
      </c>
      <c r="H309" s="13" t="n">
        <f aca="false">IFERROR(INDEX('3. Costeo y Precios'!$M$14:$M$64,MATCH($B309,'3. Costeo y Precios'!$A$14:$A$64,0)),0)</f>
        <v>0</v>
      </c>
      <c r="I309" s="13" t="str">
        <f aca="false">IF($B309="","",E309*H309)</f>
        <v/>
      </c>
      <c r="J309" s="28"/>
      <c r="K309" s="13" t="str">
        <f aca="false">IF($B309="","",G309*J309)</f>
        <v/>
      </c>
      <c r="L309" s="13" t="str">
        <f aca="false">IF($B309="","",G309-I309-K309)</f>
        <v/>
      </c>
      <c r="M309" s="22" t="str">
        <f aca="false">IFERROR(L309/G309,"")</f>
        <v/>
      </c>
      <c r="N309" s="11"/>
    </row>
    <row r="310" customFormat="false" ht="15" hidden="false" customHeight="false" outlineLevel="0" collapsed="false">
      <c r="A310" s="27"/>
      <c r="B310" s="11"/>
      <c r="C310" s="7" t="str">
        <f aca="false">IFERROR(INDEX('3. Costeo y Precios'!$B$14:$B$64,MATCH($B310,'3. Costeo y Precios'!$A$14:$A$64,0)),"")</f>
        <v/>
      </c>
      <c r="D310" s="11"/>
      <c r="E310" s="11"/>
      <c r="F310" s="9"/>
      <c r="G310" s="13" t="str">
        <f aca="false">IF($B310="","",E310*F310)</f>
        <v/>
      </c>
      <c r="H310" s="13" t="n">
        <f aca="false">IFERROR(INDEX('3. Costeo y Precios'!$M$14:$M$64,MATCH($B310,'3. Costeo y Precios'!$A$14:$A$64,0)),0)</f>
        <v>0</v>
      </c>
      <c r="I310" s="13" t="str">
        <f aca="false">IF($B310="","",E310*H310)</f>
        <v/>
      </c>
      <c r="J310" s="28"/>
      <c r="K310" s="13" t="str">
        <f aca="false">IF($B310="","",G310*J310)</f>
        <v/>
      </c>
      <c r="L310" s="13" t="str">
        <f aca="false">IF($B310="","",G310-I310-K310)</f>
        <v/>
      </c>
      <c r="M310" s="22" t="str">
        <f aca="false">IFERROR(L310/G310,"")</f>
        <v/>
      </c>
      <c r="N310" s="11"/>
    </row>
    <row r="311" customFormat="false" ht="15" hidden="false" customHeight="false" outlineLevel="0" collapsed="false">
      <c r="A311" s="27"/>
      <c r="B311" s="11"/>
      <c r="C311" s="7" t="str">
        <f aca="false">IFERROR(INDEX('3. Costeo y Precios'!$B$14:$B$64,MATCH($B311,'3. Costeo y Precios'!$A$14:$A$64,0)),"")</f>
        <v/>
      </c>
      <c r="D311" s="11"/>
      <c r="E311" s="11"/>
      <c r="F311" s="9"/>
      <c r="G311" s="13" t="str">
        <f aca="false">IF($B311="","",E311*F311)</f>
        <v/>
      </c>
      <c r="H311" s="13" t="n">
        <f aca="false">IFERROR(INDEX('3. Costeo y Precios'!$M$14:$M$64,MATCH($B311,'3. Costeo y Precios'!$A$14:$A$64,0)),0)</f>
        <v>0</v>
      </c>
      <c r="I311" s="13" t="str">
        <f aca="false">IF($B311="","",E311*H311)</f>
        <v/>
      </c>
      <c r="J311" s="28"/>
      <c r="K311" s="13" t="str">
        <f aca="false">IF($B311="","",G311*J311)</f>
        <v/>
      </c>
      <c r="L311" s="13" t="str">
        <f aca="false">IF($B311="","",G311-I311-K311)</f>
        <v/>
      </c>
      <c r="M311" s="22" t="str">
        <f aca="false">IFERROR(L311/G311,"")</f>
        <v/>
      </c>
      <c r="N311" s="11"/>
    </row>
    <row r="312" customFormat="false" ht="15" hidden="false" customHeight="false" outlineLevel="0" collapsed="false">
      <c r="A312" s="27"/>
      <c r="B312" s="11"/>
      <c r="C312" s="7" t="str">
        <f aca="false">IFERROR(INDEX('3. Costeo y Precios'!$B$14:$B$64,MATCH($B312,'3. Costeo y Precios'!$A$14:$A$64,0)),"")</f>
        <v/>
      </c>
      <c r="D312" s="11"/>
      <c r="E312" s="11"/>
      <c r="F312" s="9"/>
      <c r="G312" s="13" t="str">
        <f aca="false">IF($B312="","",E312*F312)</f>
        <v/>
      </c>
      <c r="H312" s="13" t="n">
        <f aca="false">IFERROR(INDEX('3. Costeo y Precios'!$M$14:$M$64,MATCH($B312,'3. Costeo y Precios'!$A$14:$A$64,0)),0)</f>
        <v>0</v>
      </c>
      <c r="I312" s="13" t="str">
        <f aca="false">IF($B312="","",E312*H312)</f>
        <v/>
      </c>
      <c r="J312" s="28"/>
      <c r="K312" s="13" t="str">
        <f aca="false">IF($B312="","",G312*J312)</f>
        <v/>
      </c>
      <c r="L312" s="13" t="str">
        <f aca="false">IF($B312="","",G312-I312-K312)</f>
        <v/>
      </c>
      <c r="M312" s="22" t="str">
        <f aca="false">IFERROR(L312/G312,"")</f>
        <v/>
      </c>
      <c r="N312" s="11"/>
    </row>
    <row r="313" customFormat="false" ht="15" hidden="false" customHeight="false" outlineLevel="0" collapsed="false">
      <c r="A313" s="27"/>
      <c r="B313" s="11"/>
      <c r="C313" s="7" t="str">
        <f aca="false">IFERROR(INDEX('3. Costeo y Precios'!$B$14:$B$64,MATCH($B313,'3. Costeo y Precios'!$A$14:$A$64,0)),"")</f>
        <v/>
      </c>
      <c r="D313" s="11"/>
      <c r="E313" s="11"/>
      <c r="F313" s="9"/>
      <c r="G313" s="13" t="str">
        <f aca="false">IF($B313="","",E313*F313)</f>
        <v/>
      </c>
      <c r="H313" s="13" t="n">
        <f aca="false">IFERROR(INDEX('3. Costeo y Precios'!$M$14:$M$64,MATCH($B313,'3. Costeo y Precios'!$A$14:$A$64,0)),0)</f>
        <v>0</v>
      </c>
      <c r="I313" s="13" t="str">
        <f aca="false">IF($B313="","",E313*H313)</f>
        <v/>
      </c>
      <c r="J313" s="28"/>
      <c r="K313" s="13" t="str">
        <f aca="false">IF($B313="","",G313*J313)</f>
        <v/>
      </c>
      <c r="L313" s="13" t="str">
        <f aca="false">IF($B313="","",G313-I313-K313)</f>
        <v/>
      </c>
      <c r="M313" s="22" t="str">
        <f aca="false">IFERROR(L313/G313,"")</f>
        <v/>
      </c>
      <c r="N313" s="11"/>
    </row>
    <row r="314" customFormat="false" ht="15" hidden="false" customHeight="false" outlineLevel="0" collapsed="false">
      <c r="A314" s="27"/>
      <c r="B314" s="11"/>
      <c r="C314" s="7" t="str">
        <f aca="false">IFERROR(INDEX('3. Costeo y Precios'!$B$14:$B$64,MATCH($B314,'3. Costeo y Precios'!$A$14:$A$64,0)),"")</f>
        <v/>
      </c>
      <c r="D314" s="11"/>
      <c r="E314" s="11"/>
      <c r="F314" s="9"/>
      <c r="G314" s="13" t="str">
        <f aca="false">IF($B314="","",E314*F314)</f>
        <v/>
      </c>
      <c r="H314" s="13" t="n">
        <f aca="false">IFERROR(INDEX('3. Costeo y Precios'!$M$14:$M$64,MATCH($B314,'3. Costeo y Precios'!$A$14:$A$64,0)),0)</f>
        <v>0</v>
      </c>
      <c r="I314" s="13" t="str">
        <f aca="false">IF($B314="","",E314*H314)</f>
        <v/>
      </c>
      <c r="J314" s="28"/>
      <c r="K314" s="13" t="str">
        <f aca="false">IF($B314="","",G314*J314)</f>
        <v/>
      </c>
      <c r="L314" s="13" t="str">
        <f aca="false">IF($B314="","",G314-I314-K314)</f>
        <v/>
      </c>
      <c r="M314" s="22" t="str">
        <f aca="false">IFERROR(L314/G314,"")</f>
        <v/>
      </c>
      <c r="N314" s="11"/>
    </row>
    <row r="315" customFormat="false" ht="15" hidden="false" customHeight="false" outlineLevel="0" collapsed="false">
      <c r="A315" s="27"/>
      <c r="B315" s="11"/>
      <c r="C315" s="7" t="str">
        <f aca="false">IFERROR(INDEX('3. Costeo y Precios'!$B$14:$B$64,MATCH($B315,'3. Costeo y Precios'!$A$14:$A$64,0)),"")</f>
        <v/>
      </c>
      <c r="D315" s="11"/>
      <c r="E315" s="11"/>
      <c r="F315" s="9"/>
      <c r="G315" s="13" t="str">
        <f aca="false">IF($B315="","",E315*F315)</f>
        <v/>
      </c>
      <c r="H315" s="13" t="n">
        <f aca="false">IFERROR(INDEX('3. Costeo y Precios'!$M$14:$M$64,MATCH($B315,'3. Costeo y Precios'!$A$14:$A$64,0)),0)</f>
        <v>0</v>
      </c>
      <c r="I315" s="13" t="str">
        <f aca="false">IF($B315="","",E315*H315)</f>
        <v/>
      </c>
      <c r="J315" s="28"/>
      <c r="K315" s="13" t="str">
        <f aca="false">IF($B315="","",G315*J315)</f>
        <v/>
      </c>
      <c r="L315" s="13" t="str">
        <f aca="false">IF($B315="","",G315-I315-K315)</f>
        <v/>
      </c>
      <c r="M315" s="22" t="str">
        <f aca="false">IFERROR(L315/G315,"")</f>
        <v/>
      </c>
      <c r="N315" s="11"/>
    </row>
    <row r="316" customFormat="false" ht="15" hidden="false" customHeight="false" outlineLevel="0" collapsed="false">
      <c r="A316" s="27"/>
      <c r="B316" s="11"/>
      <c r="C316" s="7" t="str">
        <f aca="false">IFERROR(INDEX('3. Costeo y Precios'!$B$14:$B$64,MATCH($B316,'3. Costeo y Precios'!$A$14:$A$64,0)),"")</f>
        <v/>
      </c>
      <c r="D316" s="11"/>
      <c r="E316" s="11"/>
      <c r="F316" s="9"/>
      <c r="G316" s="13" t="str">
        <f aca="false">IF($B316="","",E316*F316)</f>
        <v/>
      </c>
      <c r="H316" s="13" t="n">
        <f aca="false">IFERROR(INDEX('3. Costeo y Precios'!$M$14:$M$64,MATCH($B316,'3. Costeo y Precios'!$A$14:$A$64,0)),0)</f>
        <v>0</v>
      </c>
      <c r="I316" s="13" t="str">
        <f aca="false">IF($B316="","",E316*H316)</f>
        <v/>
      </c>
      <c r="J316" s="28"/>
      <c r="K316" s="13" t="str">
        <f aca="false">IF($B316="","",G316*J316)</f>
        <v/>
      </c>
      <c r="L316" s="13" t="str">
        <f aca="false">IF($B316="","",G316-I316-K316)</f>
        <v/>
      </c>
      <c r="M316" s="22" t="str">
        <f aca="false">IFERROR(L316/G316,"")</f>
        <v/>
      </c>
      <c r="N316" s="11"/>
    </row>
    <row r="317" customFormat="false" ht="15" hidden="false" customHeight="false" outlineLevel="0" collapsed="false">
      <c r="A317" s="27"/>
      <c r="B317" s="11"/>
      <c r="C317" s="7" t="str">
        <f aca="false">IFERROR(INDEX('3. Costeo y Precios'!$B$14:$B$64,MATCH($B317,'3. Costeo y Precios'!$A$14:$A$64,0)),"")</f>
        <v/>
      </c>
      <c r="D317" s="11"/>
      <c r="E317" s="11"/>
      <c r="F317" s="9"/>
      <c r="G317" s="13" t="str">
        <f aca="false">IF($B317="","",E317*F317)</f>
        <v/>
      </c>
      <c r="H317" s="13" t="n">
        <f aca="false">IFERROR(INDEX('3. Costeo y Precios'!$M$14:$M$64,MATCH($B317,'3. Costeo y Precios'!$A$14:$A$64,0)),0)</f>
        <v>0</v>
      </c>
      <c r="I317" s="13" t="str">
        <f aca="false">IF($B317="","",E317*H317)</f>
        <v/>
      </c>
      <c r="J317" s="28"/>
      <c r="K317" s="13" t="str">
        <f aca="false">IF($B317="","",G317*J317)</f>
        <v/>
      </c>
      <c r="L317" s="13" t="str">
        <f aca="false">IF($B317="","",G317-I317-K317)</f>
        <v/>
      </c>
      <c r="M317" s="22" t="str">
        <f aca="false">IFERROR(L317/G317,"")</f>
        <v/>
      </c>
      <c r="N317" s="11"/>
    </row>
    <row r="318" customFormat="false" ht="15" hidden="false" customHeight="false" outlineLevel="0" collapsed="false">
      <c r="A318" s="27"/>
      <c r="B318" s="11"/>
      <c r="C318" s="7" t="str">
        <f aca="false">IFERROR(INDEX('3. Costeo y Precios'!$B$14:$B$64,MATCH($B318,'3. Costeo y Precios'!$A$14:$A$64,0)),"")</f>
        <v/>
      </c>
      <c r="D318" s="11"/>
      <c r="E318" s="11"/>
      <c r="F318" s="9"/>
      <c r="G318" s="13" t="str">
        <f aca="false">IF($B318="","",E318*F318)</f>
        <v/>
      </c>
      <c r="H318" s="13" t="n">
        <f aca="false">IFERROR(INDEX('3. Costeo y Precios'!$M$14:$M$64,MATCH($B318,'3. Costeo y Precios'!$A$14:$A$64,0)),0)</f>
        <v>0</v>
      </c>
      <c r="I318" s="13" t="str">
        <f aca="false">IF($B318="","",E318*H318)</f>
        <v/>
      </c>
      <c r="J318" s="28"/>
      <c r="K318" s="13" t="str">
        <f aca="false">IF($B318="","",G318*J318)</f>
        <v/>
      </c>
      <c r="L318" s="13" t="str">
        <f aca="false">IF($B318="","",G318-I318-K318)</f>
        <v/>
      </c>
      <c r="M318" s="22" t="str">
        <f aca="false">IFERROR(L318/G318,"")</f>
        <v/>
      </c>
      <c r="N318" s="11"/>
    </row>
    <row r="319" customFormat="false" ht="15" hidden="false" customHeight="false" outlineLevel="0" collapsed="false">
      <c r="A319" s="27"/>
      <c r="B319" s="11"/>
      <c r="C319" s="7" t="str">
        <f aca="false">IFERROR(INDEX('3. Costeo y Precios'!$B$14:$B$64,MATCH($B319,'3. Costeo y Precios'!$A$14:$A$64,0)),"")</f>
        <v/>
      </c>
      <c r="D319" s="11"/>
      <c r="E319" s="11"/>
      <c r="F319" s="9"/>
      <c r="G319" s="13" t="str">
        <f aca="false">IF($B319="","",E319*F319)</f>
        <v/>
      </c>
      <c r="H319" s="13" t="n">
        <f aca="false">IFERROR(INDEX('3. Costeo y Precios'!$M$14:$M$64,MATCH($B319,'3. Costeo y Precios'!$A$14:$A$64,0)),0)</f>
        <v>0</v>
      </c>
      <c r="I319" s="13" t="str">
        <f aca="false">IF($B319="","",E319*H319)</f>
        <v/>
      </c>
      <c r="J319" s="28"/>
      <c r="K319" s="13" t="str">
        <f aca="false">IF($B319="","",G319*J319)</f>
        <v/>
      </c>
      <c r="L319" s="13" t="str">
        <f aca="false">IF($B319="","",G319-I319-K319)</f>
        <v/>
      </c>
      <c r="M319" s="22" t="str">
        <f aca="false">IFERROR(L319/G319,"")</f>
        <v/>
      </c>
      <c r="N319" s="11"/>
    </row>
    <row r="320" customFormat="false" ht="15" hidden="false" customHeight="false" outlineLevel="0" collapsed="false">
      <c r="A320" s="27"/>
      <c r="B320" s="11"/>
      <c r="C320" s="7" t="str">
        <f aca="false">IFERROR(INDEX('3. Costeo y Precios'!$B$14:$B$64,MATCH($B320,'3. Costeo y Precios'!$A$14:$A$64,0)),"")</f>
        <v/>
      </c>
      <c r="D320" s="11"/>
      <c r="E320" s="11"/>
      <c r="F320" s="9"/>
      <c r="G320" s="13" t="str">
        <f aca="false">IF($B320="","",E320*F320)</f>
        <v/>
      </c>
      <c r="H320" s="13" t="n">
        <f aca="false">IFERROR(INDEX('3. Costeo y Precios'!$M$14:$M$64,MATCH($B320,'3. Costeo y Precios'!$A$14:$A$64,0)),0)</f>
        <v>0</v>
      </c>
      <c r="I320" s="13" t="str">
        <f aca="false">IF($B320="","",E320*H320)</f>
        <v/>
      </c>
      <c r="J320" s="28"/>
      <c r="K320" s="13" t="str">
        <f aca="false">IF($B320="","",G320*J320)</f>
        <v/>
      </c>
      <c r="L320" s="13" t="str">
        <f aca="false">IF($B320="","",G320-I320-K320)</f>
        <v/>
      </c>
      <c r="M320" s="22" t="str">
        <f aca="false">IFERROR(L320/G320,"")</f>
        <v/>
      </c>
      <c r="N320" s="11"/>
    </row>
    <row r="321" customFormat="false" ht="15" hidden="false" customHeight="false" outlineLevel="0" collapsed="false">
      <c r="A321" s="27"/>
      <c r="B321" s="11"/>
      <c r="C321" s="7" t="str">
        <f aca="false">IFERROR(INDEX('3. Costeo y Precios'!$B$14:$B$64,MATCH($B321,'3. Costeo y Precios'!$A$14:$A$64,0)),"")</f>
        <v/>
      </c>
      <c r="D321" s="11"/>
      <c r="E321" s="11"/>
      <c r="F321" s="9"/>
      <c r="G321" s="13" t="str">
        <f aca="false">IF($B321="","",E321*F321)</f>
        <v/>
      </c>
      <c r="H321" s="13" t="n">
        <f aca="false">IFERROR(INDEX('3. Costeo y Precios'!$M$14:$M$64,MATCH($B321,'3. Costeo y Precios'!$A$14:$A$64,0)),0)</f>
        <v>0</v>
      </c>
      <c r="I321" s="13" t="str">
        <f aca="false">IF($B321="","",E321*H321)</f>
        <v/>
      </c>
      <c r="J321" s="28"/>
      <c r="K321" s="13" t="str">
        <f aca="false">IF($B321="","",G321*J321)</f>
        <v/>
      </c>
      <c r="L321" s="13" t="str">
        <f aca="false">IF($B321="","",G321-I321-K321)</f>
        <v/>
      </c>
      <c r="M321" s="22" t="str">
        <f aca="false">IFERROR(L321/G321,"")</f>
        <v/>
      </c>
      <c r="N321" s="11"/>
    </row>
    <row r="322" customFormat="false" ht="15" hidden="false" customHeight="false" outlineLevel="0" collapsed="false">
      <c r="A322" s="27"/>
      <c r="B322" s="11"/>
      <c r="C322" s="7" t="str">
        <f aca="false">IFERROR(INDEX('3. Costeo y Precios'!$B$14:$B$64,MATCH($B322,'3. Costeo y Precios'!$A$14:$A$64,0)),"")</f>
        <v/>
      </c>
      <c r="D322" s="11"/>
      <c r="E322" s="11"/>
      <c r="F322" s="9"/>
      <c r="G322" s="13" t="str">
        <f aca="false">IF($B322="","",E322*F322)</f>
        <v/>
      </c>
      <c r="H322" s="13" t="n">
        <f aca="false">IFERROR(INDEX('3. Costeo y Precios'!$M$14:$M$64,MATCH($B322,'3. Costeo y Precios'!$A$14:$A$64,0)),0)</f>
        <v>0</v>
      </c>
      <c r="I322" s="13" t="str">
        <f aca="false">IF($B322="","",E322*H322)</f>
        <v/>
      </c>
      <c r="J322" s="28"/>
      <c r="K322" s="13" t="str">
        <f aca="false">IF($B322="","",G322*J322)</f>
        <v/>
      </c>
      <c r="L322" s="13" t="str">
        <f aca="false">IF($B322="","",G322-I322-K322)</f>
        <v/>
      </c>
      <c r="M322" s="22" t="str">
        <f aca="false">IFERROR(L322/G322,"")</f>
        <v/>
      </c>
      <c r="N322" s="11"/>
    </row>
    <row r="323" customFormat="false" ht="15" hidden="false" customHeight="false" outlineLevel="0" collapsed="false">
      <c r="A323" s="27"/>
      <c r="B323" s="11"/>
      <c r="C323" s="7" t="str">
        <f aca="false">IFERROR(INDEX('3. Costeo y Precios'!$B$14:$B$64,MATCH($B323,'3. Costeo y Precios'!$A$14:$A$64,0)),"")</f>
        <v/>
      </c>
      <c r="D323" s="11"/>
      <c r="E323" s="11"/>
      <c r="F323" s="9"/>
      <c r="G323" s="13" t="str">
        <f aca="false">IF($B323="","",E323*F323)</f>
        <v/>
      </c>
      <c r="H323" s="13" t="n">
        <f aca="false">IFERROR(INDEX('3. Costeo y Precios'!$M$14:$M$64,MATCH($B323,'3. Costeo y Precios'!$A$14:$A$64,0)),0)</f>
        <v>0</v>
      </c>
      <c r="I323" s="13" t="str">
        <f aca="false">IF($B323="","",E323*H323)</f>
        <v/>
      </c>
      <c r="J323" s="28"/>
      <c r="K323" s="13" t="str">
        <f aca="false">IF($B323="","",G323*J323)</f>
        <v/>
      </c>
      <c r="L323" s="13" t="str">
        <f aca="false">IF($B323="","",G323-I323-K323)</f>
        <v/>
      </c>
      <c r="M323" s="22" t="str">
        <f aca="false">IFERROR(L323/G323,"")</f>
        <v/>
      </c>
      <c r="N323" s="11"/>
    </row>
    <row r="324" customFormat="false" ht="15" hidden="false" customHeight="false" outlineLevel="0" collapsed="false">
      <c r="A324" s="27"/>
      <c r="B324" s="11"/>
      <c r="C324" s="7" t="str">
        <f aca="false">IFERROR(INDEX('3. Costeo y Precios'!$B$14:$B$64,MATCH($B324,'3. Costeo y Precios'!$A$14:$A$64,0)),"")</f>
        <v/>
      </c>
      <c r="D324" s="11"/>
      <c r="E324" s="11"/>
      <c r="F324" s="9"/>
      <c r="G324" s="13" t="str">
        <f aca="false">IF($B324="","",E324*F324)</f>
        <v/>
      </c>
      <c r="H324" s="13" t="n">
        <f aca="false">IFERROR(INDEX('3. Costeo y Precios'!$M$14:$M$64,MATCH($B324,'3. Costeo y Precios'!$A$14:$A$64,0)),0)</f>
        <v>0</v>
      </c>
      <c r="I324" s="13" t="str">
        <f aca="false">IF($B324="","",E324*H324)</f>
        <v/>
      </c>
      <c r="J324" s="28"/>
      <c r="K324" s="13" t="str">
        <f aca="false">IF($B324="","",G324*J324)</f>
        <v/>
      </c>
      <c r="L324" s="13" t="str">
        <f aca="false">IF($B324="","",G324-I324-K324)</f>
        <v/>
      </c>
      <c r="M324" s="22" t="str">
        <f aca="false">IFERROR(L324/G324,"")</f>
        <v/>
      </c>
      <c r="N324" s="11"/>
    </row>
    <row r="325" customFormat="false" ht="15" hidden="false" customHeight="false" outlineLevel="0" collapsed="false">
      <c r="A325" s="27"/>
      <c r="B325" s="11"/>
      <c r="C325" s="7" t="str">
        <f aca="false">IFERROR(INDEX('3. Costeo y Precios'!$B$14:$B$64,MATCH($B325,'3. Costeo y Precios'!$A$14:$A$64,0)),"")</f>
        <v/>
      </c>
      <c r="D325" s="11"/>
      <c r="E325" s="11"/>
      <c r="F325" s="9"/>
      <c r="G325" s="13" t="str">
        <f aca="false">IF($B325="","",E325*F325)</f>
        <v/>
      </c>
      <c r="H325" s="13" t="n">
        <f aca="false">IFERROR(INDEX('3. Costeo y Precios'!$M$14:$M$64,MATCH($B325,'3. Costeo y Precios'!$A$14:$A$64,0)),0)</f>
        <v>0</v>
      </c>
      <c r="I325" s="13" t="str">
        <f aca="false">IF($B325="","",E325*H325)</f>
        <v/>
      </c>
      <c r="J325" s="28"/>
      <c r="K325" s="13" t="str">
        <f aca="false">IF($B325="","",G325*J325)</f>
        <v/>
      </c>
      <c r="L325" s="13" t="str">
        <f aca="false">IF($B325="","",G325-I325-K325)</f>
        <v/>
      </c>
      <c r="M325" s="22" t="str">
        <f aca="false">IFERROR(L325/G325,"")</f>
        <v/>
      </c>
      <c r="N325" s="11"/>
    </row>
    <row r="326" customFormat="false" ht="15" hidden="false" customHeight="false" outlineLevel="0" collapsed="false">
      <c r="A326" s="27"/>
      <c r="B326" s="11"/>
      <c r="C326" s="7" t="str">
        <f aca="false">IFERROR(INDEX('3. Costeo y Precios'!$B$14:$B$64,MATCH($B326,'3. Costeo y Precios'!$A$14:$A$64,0)),"")</f>
        <v/>
      </c>
      <c r="D326" s="11"/>
      <c r="E326" s="11"/>
      <c r="F326" s="9"/>
      <c r="G326" s="13" t="str">
        <f aca="false">IF($B326="","",E326*F326)</f>
        <v/>
      </c>
      <c r="H326" s="13" t="n">
        <f aca="false">IFERROR(INDEX('3. Costeo y Precios'!$M$14:$M$64,MATCH($B326,'3. Costeo y Precios'!$A$14:$A$64,0)),0)</f>
        <v>0</v>
      </c>
      <c r="I326" s="13" t="str">
        <f aca="false">IF($B326="","",E326*H326)</f>
        <v/>
      </c>
      <c r="J326" s="28"/>
      <c r="K326" s="13" t="str">
        <f aca="false">IF($B326="","",G326*J326)</f>
        <v/>
      </c>
      <c r="L326" s="13" t="str">
        <f aca="false">IF($B326="","",G326-I326-K326)</f>
        <v/>
      </c>
      <c r="M326" s="22" t="str">
        <f aca="false">IFERROR(L326/G326,"")</f>
        <v/>
      </c>
      <c r="N326" s="11"/>
    </row>
    <row r="327" customFormat="false" ht="15" hidden="false" customHeight="false" outlineLevel="0" collapsed="false">
      <c r="A327" s="27"/>
      <c r="B327" s="11"/>
      <c r="C327" s="7" t="str">
        <f aca="false">IFERROR(INDEX('3. Costeo y Precios'!$B$14:$B$64,MATCH($B327,'3. Costeo y Precios'!$A$14:$A$64,0)),"")</f>
        <v/>
      </c>
      <c r="D327" s="11"/>
      <c r="E327" s="11"/>
      <c r="F327" s="9"/>
      <c r="G327" s="13" t="str">
        <f aca="false">IF($B327="","",E327*F327)</f>
        <v/>
      </c>
      <c r="H327" s="13" t="n">
        <f aca="false">IFERROR(INDEX('3. Costeo y Precios'!$M$14:$M$64,MATCH($B327,'3. Costeo y Precios'!$A$14:$A$64,0)),0)</f>
        <v>0</v>
      </c>
      <c r="I327" s="13" t="str">
        <f aca="false">IF($B327="","",E327*H327)</f>
        <v/>
      </c>
      <c r="J327" s="28"/>
      <c r="K327" s="13" t="str">
        <f aca="false">IF($B327="","",G327*J327)</f>
        <v/>
      </c>
      <c r="L327" s="13" t="str">
        <f aca="false">IF($B327="","",G327-I327-K327)</f>
        <v/>
      </c>
      <c r="M327" s="22" t="str">
        <f aca="false">IFERROR(L327/G327,"")</f>
        <v/>
      </c>
      <c r="N327" s="11"/>
    </row>
    <row r="328" customFormat="false" ht="15" hidden="false" customHeight="false" outlineLevel="0" collapsed="false">
      <c r="A328" s="27"/>
      <c r="B328" s="11"/>
      <c r="C328" s="7" t="str">
        <f aca="false">IFERROR(INDEX('3. Costeo y Precios'!$B$14:$B$64,MATCH($B328,'3. Costeo y Precios'!$A$14:$A$64,0)),"")</f>
        <v/>
      </c>
      <c r="D328" s="11"/>
      <c r="E328" s="11"/>
      <c r="F328" s="9"/>
      <c r="G328" s="13" t="str">
        <f aca="false">IF($B328="","",E328*F328)</f>
        <v/>
      </c>
      <c r="H328" s="13" t="n">
        <f aca="false">IFERROR(INDEX('3. Costeo y Precios'!$M$14:$M$64,MATCH($B328,'3. Costeo y Precios'!$A$14:$A$64,0)),0)</f>
        <v>0</v>
      </c>
      <c r="I328" s="13" t="str">
        <f aca="false">IF($B328="","",E328*H328)</f>
        <v/>
      </c>
      <c r="J328" s="28"/>
      <c r="K328" s="13" t="str">
        <f aca="false">IF($B328="","",G328*J328)</f>
        <v/>
      </c>
      <c r="L328" s="13" t="str">
        <f aca="false">IF($B328="","",G328-I328-K328)</f>
        <v/>
      </c>
      <c r="M328" s="22" t="str">
        <f aca="false">IFERROR(L328/G328,"")</f>
        <v/>
      </c>
      <c r="N328" s="11"/>
    </row>
    <row r="329" customFormat="false" ht="15" hidden="false" customHeight="false" outlineLevel="0" collapsed="false">
      <c r="A329" s="27"/>
      <c r="B329" s="11"/>
      <c r="C329" s="7" t="str">
        <f aca="false">IFERROR(INDEX('3. Costeo y Precios'!$B$14:$B$64,MATCH($B329,'3. Costeo y Precios'!$A$14:$A$64,0)),"")</f>
        <v/>
      </c>
      <c r="D329" s="11"/>
      <c r="E329" s="11"/>
      <c r="F329" s="9"/>
      <c r="G329" s="13" t="str">
        <f aca="false">IF($B329="","",E329*F329)</f>
        <v/>
      </c>
      <c r="H329" s="13" t="n">
        <f aca="false">IFERROR(INDEX('3. Costeo y Precios'!$M$14:$M$64,MATCH($B329,'3. Costeo y Precios'!$A$14:$A$64,0)),0)</f>
        <v>0</v>
      </c>
      <c r="I329" s="13" t="str">
        <f aca="false">IF($B329="","",E329*H329)</f>
        <v/>
      </c>
      <c r="J329" s="28"/>
      <c r="K329" s="13" t="str">
        <f aca="false">IF($B329="","",G329*J329)</f>
        <v/>
      </c>
      <c r="L329" s="13" t="str">
        <f aca="false">IF($B329="","",G329-I329-K329)</f>
        <v/>
      </c>
      <c r="M329" s="22" t="str">
        <f aca="false">IFERROR(L329/G329,"")</f>
        <v/>
      </c>
      <c r="N329" s="11"/>
    </row>
    <row r="330" customFormat="false" ht="15" hidden="false" customHeight="false" outlineLevel="0" collapsed="false">
      <c r="A330" s="27"/>
      <c r="B330" s="11"/>
      <c r="C330" s="7" t="str">
        <f aca="false">IFERROR(INDEX('3. Costeo y Precios'!$B$14:$B$64,MATCH($B330,'3. Costeo y Precios'!$A$14:$A$64,0)),"")</f>
        <v/>
      </c>
      <c r="D330" s="11"/>
      <c r="E330" s="11"/>
      <c r="F330" s="9"/>
      <c r="G330" s="13" t="str">
        <f aca="false">IF($B330="","",E330*F330)</f>
        <v/>
      </c>
      <c r="H330" s="13" t="n">
        <f aca="false">IFERROR(INDEX('3. Costeo y Precios'!$M$14:$M$64,MATCH($B330,'3. Costeo y Precios'!$A$14:$A$64,0)),0)</f>
        <v>0</v>
      </c>
      <c r="I330" s="13" t="str">
        <f aca="false">IF($B330="","",E330*H330)</f>
        <v/>
      </c>
      <c r="J330" s="28"/>
      <c r="K330" s="13" t="str">
        <f aca="false">IF($B330="","",G330*J330)</f>
        <v/>
      </c>
      <c r="L330" s="13" t="str">
        <f aca="false">IF($B330="","",G330-I330-K330)</f>
        <v/>
      </c>
      <c r="M330" s="22" t="str">
        <f aca="false">IFERROR(L330/G330,"")</f>
        <v/>
      </c>
      <c r="N330" s="11"/>
    </row>
    <row r="331" customFormat="false" ht="15" hidden="false" customHeight="false" outlineLevel="0" collapsed="false">
      <c r="A331" s="27"/>
      <c r="B331" s="11"/>
      <c r="C331" s="7" t="str">
        <f aca="false">IFERROR(INDEX('3. Costeo y Precios'!$B$14:$B$64,MATCH($B331,'3. Costeo y Precios'!$A$14:$A$64,0)),"")</f>
        <v/>
      </c>
      <c r="D331" s="11"/>
      <c r="E331" s="11"/>
      <c r="F331" s="9"/>
      <c r="G331" s="13" t="str">
        <f aca="false">IF($B331="","",E331*F331)</f>
        <v/>
      </c>
      <c r="H331" s="13" t="n">
        <f aca="false">IFERROR(INDEX('3. Costeo y Precios'!$M$14:$M$64,MATCH($B331,'3. Costeo y Precios'!$A$14:$A$64,0)),0)</f>
        <v>0</v>
      </c>
      <c r="I331" s="13" t="str">
        <f aca="false">IF($B331="","",E331*H331)</f>
        <v/>
      </c>
      <c r="J331" s="28"/>
      <c r="K331" s="13" t="str">
        <f aca="false">IF($B331="","",G331*J331)</f>
        <v/>
      </c>
      <c r="L331" s="13" t="str">
        <f aca="false">IF($B331="","",G331-I331-K331)</f>
        <v/>
      </c>
      <c r="M331" s="22" t="str">
        <f aca="false">IFERROR(L331/G331,"")</f>
        <v/>
      </c>
      <c r="N331" s="11"/>
    </row>
    <row r="332" customFormat="false" ht="15" hidden="false" customHeight="false" outlineLevel="0" collapsed="false">
      <c r="A332" s="27"/>
      <c r="B332" s="11"/>
      <c r="C332" s="7" t="str">
        <f aca="false">IFERROR(INDEX('3. Costeo y Precios'!$B$14:$B$64,MATCH($B332,'3. Costeo y Precios'!$A$14:$A$64,0)),"")</f>
        <v/>
      </c>
      <c r="D332" s="11"/>
      <c r="E332" s="11"/>
      <c r="F332" s="9"/>
      <c r="G332" s="13" t="str">
        <f aca="false">IF($B332="","",E332*F332)</f>
        <v/>
      </c>
      <c r="H332" s="13" t="n">
        <f aca="false">IFERROR(INDEX('3. Costeo y Precios'!$M$14:$M$64,MATCH($B332,'3. Costeo y Precios'!$A$14:$A$64,0)),0)</f>
        <v>0</v>
      </c>
      <c r="I332" s="13" t="str">
        <f aca="false">IF($B332="","",E332*H332)</f>
        <v/>
      </c>
      <c r="J332" s="28"/>
      <c r="K332" s="13" t="str">
        <f aca="false">IF($B332="","",G332*J332)</f>
        <v/>
      </c>
      <c r="L332" s="13" t="str">
        <f aca="false">IF($B332="","",G332-I332-K332)</f>
        <v/>
      </c>
      <c r="M332" s="22" t="str">
        <f aca="false">IFERROR(L332/G332,"")</f>
        <v/>
      </c>
      <c r="N332" s="11"/>
    </row>
    <row r="333" customFormat="false" ht="15" hidden="false" customHeight="false" outlineLevel="0" collapsed="false">
      <c r="A333" s="27"/>
      <c r="B333" s="11"/>
      <c r="C333" s="7" t="str">
        <f aca="false">IFERROR(INDEX('3. Costeo y Precios'!$B$14:$B$64,MATCH($B333,'3. Costeo y Precios'!$A$14:$A$64,0)),"")</f>
        <v/>
      </c>
      <c r="D333" s="11"/>
      <c r="E333" s="11"/>
      <c r="F333" s="9"/>
      <c r="G333" s="13" t="str">
        <f aca="false">IF($B333="","",E333*F333)</f>
        <v/>
      </c>
      <c r="H333" s="13" t="n">
        <f aca="false">IFERROR(INDEX('3. Costeo y Precios'!$M$14:$M$64,MATCH($B333,'3. Costeo y Precios'!$A$14:$A$64,0)),0)</f>
        <v>0</v>
      </c>
      <c r="I333" s="13" t="str">
        <f aca="false">IF($B333="","",E333*H333)</f>
        <v/>
      </c>
      <c r="J333" s="28"/>
      <c r="K333" s="13" t="str">
        <f aca="false">IF($B333="","",G333*J333)</f>
        <v/>
      </c>
      <c r="L333" s="13" t="str">
        <f aca="false">IF($B333="","",G333-I333-K333)</f>
        <v/>
      </c>
      <c r="M333" s="22" t="str">
        <f aca="false">IFERROR(L333/G333,"")</f>
        <v/>
      </c>
      <c r="N333" s="11"/>
    </row>
    <row r="334" customFormat="false" ht="15" hidden="false" customHeight="false" outlineLevel="0" collapsed="false">
      <c r="A334" s="27"/>
      <c r="B334" s="11"/>
      <c r="C334" s="7" t="str">
        <f aca="false">IFERROR(INDEX('3. Costeo y Precios'!$B$14:$B$64,MATCH($B334,'3. Costeo y Precios'!$A$14:$A$64,0)),"")</f>
        <v/>
      </c>
      <c r="D334" s="11"/>
      <c r="E334" s="11"/>
      <c r="F334" s="9"/>
      <c r="G334" s="13" t="str">
        <f aca="false">IF($B334="","",E334*F334)</f>
        <v/>
      </c>
      <c r="H334" s="13" t="n">
        <f aca="false">IFERROR(INDEX('3. Costeo y Precios'!$M$14:$M$64,MATCH($B334,'3. Costeo y Precios'!$A$14:$A$64,0)),0)</f>
        <v>0</v>
      </c>
      <c r="I334" s="13" t="str">
        <f aca="false">IF($B334="","",E334*H334)</f>
        <v/>
      </c>
      <c r="J334" s="28"/>
      <c r="K334" s="13" t="str">
        <f aca="false">IF($B334="","",G334*J334)</f>
        <v/>
      </c>
      <c r="L334" s="13" t="str">
        <f aca="false">IF($B334="","",G334-I334-K334)</f>
        <v/>
      </c>
      <c r="M334" s="22" t="str">
        <f aca="false">IFERROR(L334/G334,"")</f>
        <v/>
      </c>
      <c r="N334" s="11"/>
    </row>
    <row r="335" customFormat="false" ht="15" hidden="false" customHeight="false" outlineLevel="0" collapsed="false">
      <c r="A335" s="27"/>
      <c r="B335" s="11"/>
      <c r="C335" s="7" t="str">
        <f aca="false">IFERROR(INDEX('3. Costeo y Precios'!$B$14:$B$64,MATCH($B335,'3. Costeo y Precios'!$A$14:$A$64,0)),"")</f>
        <v/>
      </c>
      <c r="D335" s="11"/>
      <c r="E335" s="11"/>
      <c r="F335" s="9"/>
      <c r="G335" s="13" t="str">
        <f aca="false">IF($B335="","",E335*F335)</f>
        <v/>
      </c>
      <c r="H335" s="13" t="n">
        <f aca="false">IFERROR(INDEX('3. Costeo y Precios'!$M$14:$M$64,MATCH($B335,'3. Costeo y Precios'!$A$14:$A$64,0)),0)</f>
        <v>0</v>
      </c>
      <c r="I335" s="13" t="str">
        <f aca="false">IF($B335="","",E335*H335)</f>
        <v/>
      </c>
      <c r="J335" s="28"/>
      <c r="K335" s="13" t="str">
        <f aca="false">IF($B335="","",G335*J335)</f>
        <v/>
      </c>
      <c r="L335" s="13" t="str">
        <f aca="false">IF($B335="","",G335-I335-K335)</f>
        <v/>
      </c>
      <c r="M335" s="22" t="str">
        <f aca="false">IFERROR(L335/G335,"")</f>
        <v/>
      </c>
      <c r="N335" s="11"/>
    </row>
    <row r="336" customFormat="false" ht="15" hidden="false" customHeight="false" outlineLevel="0" collapsed="false">
      <c r="A336" s="27"/>
      <c r="B336" s="11"/>
      <c r="C336" s="7" t="str">
        <f aca="false">IFERROR(INDEX('3. Costeo y Precios'!$B$14:$B$64,MATCH($B336,'3. Costeo y Precios'!$A$14:$A$64,0)),"")</f>
        <v/>
      </c>
      <c r="D336" s="11"/>
      <c r="E336" s="11"/>
      <c r="F336" s="9"/>
      <c r="G336" s="13" t="str">
        <f aca="false">IF($B336="","",E336*F336)</f>
        <v/>
      </c>
      <c r="H336" s="13" t="n">
        <f aca="false">IFERROR(INDEX('3. Costeo y Precios'!$M$14:$M$64,MATCH($B336,'3. Costeo y Precios'!$A$14:$A$64,0)),0)</f>
        <v>0</v>
      </c>
      <c r="I336" s="13" t="str">
        <f aca="false">IF($B336="","",E336*H336)</f>
        <v/>
      </c>
      <c r="J336" s="28"/>
      <c r="K336" s="13" t="str">
        <f aca="false">IF($B336="","",G336*J336)</f>
        <v/>
      </c>
      <c r="L336" s="13" t="str">
        <f aca="false">IF($B336="","",G336-I336-K336)</f>
        <v/>
      </c>
      <c r="M336" s="22" t="str">
        <f aca="false">IFERROR(L336/G336,"")</f>
        <v/>
      </c>
      <c r="N336" s="11"/>
    </row>
    <row r="337" customFormat="false" ht="15" hidden="false" customHeight="false" outlineLevel="0" collapsed="false">
      <c r="A337" s="27"/>
      <c r="B337" s="11"/>
      <c r="C337" s="7" t="str">
        <f aca="false">IFERROR(INDEX('3. Costeo y Precios'!$B$14:$B$64,MATCH($B337,'3. Costeo y Precios'!$A$14:$A$64,0)),"")</f>
        <v/>
      </c>
      <c r="D337" s="11"/>
      <c r="E337" s="11"/>
      <c r="F337" s="9"/>
      <c r="G337" s="13" t="str">
        <f aca="false">IF($B337="","",E337*F337)</f>
        <v/>
      </c>
      <c r="H337" s="13" t="n">
        <f aca="false">IFERROR(INDEX('3. Costeo y Precios'!$M$14:$M$64,MATCH($B337,'3. Costeo y Precios'!$A$14:$A$64,0)),0)</f>
        <v>0</v>
      </c>
      <c r="I337" s="13" t="str">
        <f aca="false">IF($B337="","",E337*H337)</f>
        <v/>
      </c>
      <c r="J337" s="28"/>
      <c r="K337" s="13" t="str">
        <f aca="false">IF($B337="","",G337*J337)</f>
        <v/>
      </c>
      <c r="L337" s="13" t="str">
        <f aca="false">IF($B337="","",G337-I337-K337)</f>
        <v/>
      </c>
      <c r="M337" s="22" t="str">
        <f aca="false">IFERROR(L337/G337,"")</f>
        <v/>
      </c>
      <c r="N337" s="11"/>
    </row>
    <row r="338" customFormat="false" ht="15" hidden="false" customHeight="false" outlineLevel="0" collapsed="false">
      <c r="A338" s="27"/>
      <c r="B338" s="11"/>
      <c r="C338" s="7" t="str">
        <f aca="false">IFERROR(INDEX('3. Costeo y Precios'!$B$14:$B$64,MATCH($B338,'3. Costeo y Precios'!$A$14:$A$64,0)),"")</f>
        <v/>
      </c>
      <c r="D338" s="11"/>
      <c r="E338" s="11"/>
      <c r="F338" s="9"/>
      <c r="G338" s="13" t="str">
        <f aca="false">IF($B338="","",E338*F338)</f>
        <v/>
      </c>
      <c r="H338" s="13" t="n">
        <f aca="false">IFERROR(INDEX('3. Costeo y Precios'!$M$14:$M$64,MATCH($B338,'3. Costeo y Precios'!$A$14:$A$64,0)),0)</f>
        <v>0</v>
      </c>
      <c r="I338" s="13" t="str">
        <f aca="false">IF($B338="","",E338*H338)</f>
        <v/>
      </c>
      <c r="J338" s="28"/>
      <c r="K338" s="13" t="str">
        <f aca="false">IF($B338="","",G338*J338)</f>
        <v/>
      </c>
      <c r="L338" s="13" t="str">
        <f aca="false">IF($B338="","",G338-I338-K338)</f>
        <v/>
      </c>
      <c r="M338" s="22" t="str">
        <f aca="false">IFERROR(L338/G338,"")</f>
        <v/>
      </c>
      <c r="N338" s="11"/>
    </row>
    <row r="339" customFormat="false" ht="15" hidden="false" customHeight="false" outlineLevel="0" collapsed="false">
      <c r="A339" s="27"/>
      <c r="B339" s="11"/>
      <c r="C339" s="7" t="str">
        <f aca="false">IFERROR(INDEX('3. Costeo y Precios'!$B$14:$B$64,MATCH($B339,'3. Costeo y Precios'!$A$14:$A$64,0)),"")</f>
        <v/>
      </c>
      <c r="D339" s="11"/>
      <c r="E339" s="11"/>
      <c r="F339" s="9"/>
      <c r="G339" s="13" t="str">
        <f aca="false">IF($B339="","",E339*F339)</f>
        <v/>
      </c>
      <c r="H339" s="13" t="n">
        <f aca="false">IFERROR(INDEX('3. Costeo y Precios'!$M$14:$M$64,MATCH($B339,'3. Costeo y Precios'!$A$14:$A$64,0)),0)</f>
        <v>0</v>
      </c>
      <c r="I339" s="13" t="str">
        <f aca="false">IF($B339="","",E339*H339)</f>
        <v/>
      </c>
      <c r="J339" s="28"/>
      <c r="K339" s="13" t="str">
        <f aca="false">IF($B339="","",G339*J339)</f>
        <v/>
      </c>
      <c r="L339" s="13" t="str">
        <f aca="false">IF($B339="","",G339-I339-K339)</f>
        <v/>
      </c>
      <c r="M339" s="22" t="str">
        <f aca="false">IFERROR(L339/G339,"")</f>
        <v/>
      </c>
      <c r="N339" s="11"/>
    </row>
    <row r="340" customFormat="false" ht="15" hidden="false" customHeight="false" outlineLevel="0" collapsed="false">
      <c r="A340" s="27"/>
      <c r="B340" s="11"/>
      <c r="C340" s="7" t="str">
        <f aca="false">IFERROR(INDEX('3. Costeo y Precios'!$B$14:$B$64,MATCH($B340,'3. Costeo y Precios'!$A$14:$A$64,0)),"")</f>
        <v/>
      </c>
      <c r="D340" s="11"/>
      <c r="E340" s="11"/>
      <c r="F340" s="9"/>
      <c r="G340" s="13" t="str">
        <f aca="false">IF($B340="","",E340*F340)</f>
        <v/>
      </c>
      <c r="H340" s="13" t="n">
        <f aca="false">IFERROR(INDEX('3. Costeo y Precios'!$M$14:$M$64,MATCH($B340,'3. Costeo y Precios'!$A$14:$A$64,0)),0)</f>
        <v>0</v>
      </c>
      <c r="I340" s="13" t="str">
        <f aca="false">IF($B340="","",E340*H340)</f>
        <v/>
      </c>
      <c r="J340" s="28"/>
      <c r="K340" s="13" t="str">
        <f aca="false">IF($B340="","",G340*J340)</f>
        <v/>
      </c>
      <c r="L340" s="13" t="str">
        <f aca="false">IF($B340="","",G340-I340-K340)</f>
        <v/>
      </c>
      <c r="M340" s="22" t="str">
        <f aca="false">IFERROR(L340/G340,"")</f>
        <v/>
      </c>
      <c r="N340" s="11"/>
    </row>
    <row r="341" customFormat="false" ht="15" hidden="false" customHeight="false" outlineLevel="0" collapsed="false">
      <c r="A341" s="27"/>
      <c r="B341" s="11"/>
      <c r="C341" s="7" t="str">
        <f aca="false">IFERROR(INDEX('3. Costeo y Precios'!$B$14:$B$64,MATCH($B341,'3. Costeo y Precios'!$A$14:$A$64,0)),"")</f>
        <v/>
      </c>
      <c r="D341" s="11"/>
      <c r="E341" s="11"/>
      <c r="F341" s="9"/>
      <c r="G341" s="13" t="str">
        <f aca="false">IF($B341="","",E341*F341)</f>
        <v/>
      </c>
      <c r="H341" s="13" t="n">
        <f aca="false">IFERROR(INDEX('3. Costeo y Precios'!$M$14:$M$64,MATCH($B341,'3. Costeo y Precios'!$A$14:$A$64,0)),0)</f>
        <v>0</v>
      </c>
      <c r="I341" s="13" t="str">
        <f aca="false">IF($B341="","",E341*H341)</f>
        <v/>
      </c>
      <c r="J341" s="28"/>
      <c r="K341" s="13" t="str">
        <f aca="false">IF($B341="","",G341*J341)</f>
        <v/>
      </c>
      <c r="L341" s="13" t="str">
        <f aca="false">IF($B341="","",G341-I341-K341)</f>
        <v/>
      </c>
      <c r="M341" s="22" t="str">
        <f aca="false">IFERROR(L341/G341,"")</f>
        <v/>
      </c>
      <c r="N341" s="11"/>
    </row>
    <row r="342" customFormat="false" ht="15" hidden="false" customHeight="false" outlineLevel="0" collapsed="false">
      <c r="A342" s="27"/>
      <c r="B342" s="11"/>
      <c r="C342" s="7" t="str">
        <f aca="false">IFERROR(INDEX('3. Costeo y Precios'!$B$14:$B$64,MATCH($B342,'3. Costeo y Precios'!$A$14:$A$64,0)),"")</f>
        <v/>
      </c>
      <c r="D342" s="11"/>
      <c r="E342" s="11"/>
      <c r="F342" s="9"/>
      <c r="G342" s="13" t="str">
        <f aca="false">IF($B342="","",E342*F342)</f>
        <v/>
      </c>
      <c r="H342" s="13" t="n">
        <f aca="false">IFERROR(INDEX('3. Costeo y Precios'!$M$14:$M$64,MATCH($B342,'3. Costeo y Precios'!$A$14:$A$64,0)),0)</f>
        <v>0</v>
      </c>
      <c r="I342" s="13" t="str">
        <f aca="false">IF($B342="","",E342*H342)</f>
        <v/>
      </c>
      <c r="J342" s="28"/>
      <c r="K342" s="13" t="str">
        <f aca="false">IF($B342="","",G342*J342)</f>
        <v/>
      </c>
      <c r="L342" s="13" t="str">
        <f aca="false">IF($B342="","",G342-I342-K342)</f>
        <v/>
      </c>
      <c r="M342" s="22" t="str">
        <f aca="false">IFERROR(L342/G342,"")</f>
        <v/>
      </c>
      <c r="N342" s="11"/>
    </row>
    <row r="343" customFormat="false" ht="15" hidden="false" customHeight="false" outlineLevel="0" collapsed="false">
      <c r="A343" s="27"/>
      <c r="B343" s="11"/>
      <c r="C343" s="7" t="str">
        <f aca="false">IFERROR(INDEX('3. Costeo y Precios'!$B$14:$B$64,MATCH($B343,'3. Costeo y Precios'!$A$14:$A$64,0)),"")</f>
        <v/>
      </c>
      <c r="D343" s="11"/>
      <c r="E343" s="11"/>
      <c r="F343" s="9"/>
      <c r="G343" s="13" t="str">
        <f aca="false">IF($B343="","",E343*F343)</f>
        <v/>
      </c>
      <c r="H343" s="13" t="n">
        <f aca="false">IFERROR(INDEX('3. Costeo y Precios'!$M$14:$M$64,MATCH($B343,'3. Costeo y Precios'!$A$14:$A$64,0)),0)</f>
        <v>0</v>
      </c>
      <c r="I343" s="13" t="str">
        <f aca="false">IF($B343="","",E343*H343)</f>
        <v/>
      </c>
      <c r="J343" s="28"/>
      <c r="K343" s="13" t="str">
        <f aca="false">IF($B343="","",G343*J343)</f>
        <v/>
      </c>
      <c r="L343" s="13" t="str">
        <f aca="false">IF($B343="","",G343-I343-K343)</f>
        <v/>
      </c>
      <c r="M343" s="22" t="str">
        <f aca="false">IFERROR(L343/G343,"")</f>
        <v/>
      </c>
      <c r="N343" s="11"/>
    </row>
    <row r="344" customFormat="false" ht="15" hidden="false" customHeight="false" outlineLevel="0" collapsed="false">
      <c r="A344" s="27"/>
      <c r="B344" s="11"/>
      <c r="C344" s="7" t="str">
        <f aca="false">IFERROR(INDEX('3. Costeo y Precios'!$B$14:$B$64,MATCH($B344,'3. Costeo y Precios'!$A$14:$A$64,0)),"")</f>
        <v/>
      </c>
      <c r="D344" s="11"/>
      <c r="E344" s="11"/>
      <c r="F344" s="9"/>
      <c r="G344" s="13" t="str">
        <f aca="false">IF($B344="","",E344*F344)</f>
        <v/>
      </c>
      <c r="H344" s="13" t="n">
        <f aca="false">IFERROR(INDEX('3. Costeo y Precios'!$M$14:$M$64,MATCH($B344,'3. Costeo y Precios'!$A$14:$A$64,0)),0)</f>
        <v>0</v>
      </c>
      <c r="I344" s="13" t="str">
        <f aca="false">IF($B344="","",E344*H344)</f>
        <v/>
      </c>
      <c r="J344" s="28"/>
      <c r="K344" s="13" t="str">
        <f aca="false">IF($B344="","",G344*J344)</f>
        <v/>
      </c>
      <c r="L344" s="13" t="str">
        <f aca="false">IF($B344="","",G344-I344-K344)</f>
        <v/>
      </c>
      <c r="M344" s="22" t="str">
        <f aca="false">IFERROR(L344/G344,"")</f>
        <v/>
      </c>
      <c r="N344" s="11"/>
    </row>
    <row r="345" customFormat="false" ht="15" hidden="false" customHeight="false" outlineLevel="0" collapsed="false">
      <c r="A345" s="27"/>
      <c r="B345" s="11"/>
      <c r="C345" s="7" t="str">
        <f aca="false">IFERROR(INDEX('3. Costeo y Precios'!$B$14:$B$64,MATCH($B345,'3. Costeo y Precios'!$A$14:$A$64,0)),"")</f>
        <v/>
      </c>
      <c r="D345" s="11"/>
      <c r="E345" s="11"/>
      <c r="F345" s="9"/>
      <c r="G345" s="13" t="str">
        <f aca="false">IF($B345="","",E345*F345)</f>
        <v/>
      </c>
      <c r="H345" s="13" t="n">
        <f aca="false">IFERROR(INDEX('3. Costeo y Precios'!$M$14:$M$64,MATCH($B345,'3. Costeo y Precios'!$A$14:$A$64,0)),0)</f>
        <v>0</v>
      </c>
      <c r="I345" s="13" t="str">
        <f aca="false">IF($B345="","",E345*H345)</f>
        <v/>
      </c>
      <c r="J345" s="28"/>
      <c r="K345" s="13" t="str">
        <f aca="false">IF($B345="","",G345*J345)</f>
        <v/>
      </c>
      <c r="L345" s="13" t="str">
        <f aca="false">IF($B345="","",G345-I345-K345)</f>
        <v/>
      </c>
      <c r="M345" s="22" t="str">
        <f aca="false">IFERROR(L345/G345,"")</f>
        <v/>
      </c>
      <c r="N345" s="11"/>
    </row>
    <row r="346" customFormat="false" ht="15" hidden="false" customHeight="false" outlineLevel="0" collapsed="false">
      <c r="A346" s="27"/>
      <c r="B346" s="11"/>
      <c r="C346" s="7" t="str">
        <f aca="false">IFERROR(INDEX('3. Costeo y Precios'!$B$14:$B$64,MATCH($B346,'3. Costeo y Precios'!$A$14:$A$64,0)),"")</f>
        <v/>
      </c>
      <c r="D346" s="11"/>
      <c r="E346" s="11"/>
      <c r="F346" s="9"/>
      <c r="G346" s="13" t="str">
        <f aca="false">IF($B346="","",E346*F346)</f>
        <v/>
      </c>
      <c r="H346" s="13" t="n">
        <f aca="false">IFERROR(INDEX('3. Costeo y Precios'!$M$14:$M$64,MATCH($B346,'3. Costeo y Precios'!$A$14:$A$64,0)),0)</f>
        <v>0</v>
      </c>
      <c r="I346" s="13" t="str">
        <f aca="false">IF($B346="","",E346*H346)</f>
        <v/>
      </c>
      <c r="J346" s="28"/>
      <c r="K346" s="13" t="str">
        <f aca="false">IF($B346="","",G346*J346)</f>
        <v/>
      </c>
      <c r="L346" s="13" t="str">
        <f aca="false">IF($B346="","",G346-I346-K346)</f>
        <v/>
      </c>
      <c r="M346" s="22" t="str">
        <f aca="false">IFERROR(L346/G346,"")</f>
        <v/>
      </c>
      <c r="N346" s="11"/>
    </row>
    <row r="347" customFormat="false" ht="15" hidden="false" customHeight="false" outlineLevel="0" collapsed="false">
      <c r="A347" s="27"/>
      <c r="B347" s="11"/>
      <c r="C347" s="7" t="str">
        <f aca="false">IFERROR(INDEX('3. Costeo y Precios'!$B$14:$B$64,MATCH($B347,'3. Costeo y Precios'!$A$14:$A$64,0)),"")</f>
        <v/>
      </c>
      <c r="D347" s="11"/>
      <c r="E347" s="11"/>
      <c r="F347" s="9"/>
      <c r="G347" s="13" t="str">
        <f aca="false">IF($B347="","",E347*F347)</f>
        <v/>
      </c>
      <c r="H347" s="13" t="n">
        <f aca="false">IFERROR(INDEX('3. Costeo y Precios'!$M$14:$M$64,MATCH($B347,'3. Costeo y Precios'!$A$14:$A$64,0)),0)</f>
        <v>0</v>
      </c>
      <c r="I347" s="13" t="str">
        <f aca="false">IF($B347="","",E347*H347)</f>
        <v/>
      </c>
      <c r="J347" s="28"/>
      <c r="K347" s="13" t="str">
        <f aca="false">IF($B347="","",G347*J347)</f>
        <v/>
      </c>
      <c r="L347" s="13" t="str">
        <f aca="false">IF($B347="","",G347-I347-K347)</f>
        <v/>
      </c>
      <c r="M347" s="22" t="str">
        <f aca="false">IFERROR(L347/G347,"")</f>
        <v/>
      </c>
      <c r="N347" s="11"/>
    </row>
    <row r="348" customFormat="false" ht="15" hidden="false" customHeight="false" outlineLevel="0" collapsed="false">
      <c r="A348" s="27"/>
      <c r="B348" s="11"/>
      <c r="C348" s="7" t="str">
        <f aca="false">IFERROR(INDEX('3. Costeo y Precios'!$B$14:$B$64,MATCH($B348,'3. Costeo y Precios'!$A$14:$A$64,0)),"")</f>
        <v/>
      </c>
      <c r="D348" s="11"/>
      <c r="E348" s="11"/>
      <c r="F348" s="9"/>
      <c r="G348" s="13" t="str">
        <f aca="false">IF($B348="","",E348*F348)</f>
        <v/>
      </c>
      <c r="H348" s="13" t="n">
        <f aca="false">IFERROR(INDEX('3. Costeo y Precios'!$M$14:$M$64,MATCH($B348,'3. Costeo y Precios'!$A$14:$A$64,0)),0)</f>
        <v>0</v>
      </c>
      <c r="I348" s="13" t="str">
        <f aca="false">IF($B348="","",E348*H348)</f>
        <v/>
      </c>
      <c r="J348" s="28"/>
      <c r="K348" s="13" t="str">
        <f aca="false">IF($B348="","",G348*J348)</f>
        <v/>
      </c>
      <c r="L348" s="13" t="str">
        <f aca="false">IF($B348="","",G348-I348-K348)</f>
        <v/>
      </c>
      <c r="M348" s="22" t="str">
        <f aca="false">IFERROR(L348/G348,"")</f>
        <v/>
      </c>
      <c r="N348" s="11"/>
    </row>
    <row r="349" customFormat="false" ht="15" hidden="false" customHeight="false" outlineLevel="0" collapsed="false">
      <c r="A349" s="27"/>
      <c r="B349" s="11"/>
      <c r="C349" s="7" t="str">
        <f aca="false">IFERROR(INDEX('3. Costeo y Precios'!$B$14:$B$64,MATCH($B349,'3. Costeo y Precios'!$A$14:$A$64,0)),"")</f>
        <v/>
      </c>
      <c r="D349" s="11"/>
      <c r="E349" s="11"/>
      <c r="F349" s="9"/>
      <c r="G349" s="13" t="str">
        <f aca="false">IF($B349="","",E349*F349)</f>
        <v/>
      </c>
      <c r="H349" s="13" t="n">
        <f aca="false">IFERROR(INDEX('3. Costeo y Precios'!$M$14:$M$64,MATCH($B349,'3. Costeo y Precios'!$A$14:$A$64,0)),0)</f>
        <v>0</v>
      </c>
      <c r="I349" s="13" t="str">
        <f aca="false">IF($B349="","",E349*H349)</f>
        <v/>
      </c>
      <c r="J349" s="28"/>
      <c r="K349" s="13" t="str">
        <f aca="false">IF($B349="","",G349*J349)</f>
        <v/>
      </c>
      <c r="L349" s="13" t="str">
        <f aca="false">IF($B349="","",G349-I349-K349)</f>
        <v/>
      </c>
      <c r="M349" s="22" t="str">
        <f aca="false">IFERROR(L349/G349,"")</f>
        <v/>
      </c>
      <c r="N349" s="11"/>
    </row>
    <row r="350" customFormat="false" ht="15" hidden="false" customHeight="false" outlineLevel="0" collapsed="false">
      <c r="A350" s="27"/>
      <c r="B350" s="11"/>
      <c r="C350" s="7" t="str">
        <f aca="false">IFERROR(INDEX('3. Costeo y Precios'!$B$14:$B$64,MATCH($B350,'3. Costeo y Precios'!$A$14:$A$64,0)),"")</f>
        <v/>
      </c>
      <c r="D350" s="11"/>
      <c r="E350" s="11"/>
      <c r="F350" s="9"/>
      <c r="G350" s="13" t="str">
        <f aca="false">IF($B350="","",E350*F350)</f>
        <v/>
      </c>
      <c r="H350" s="13" t="n">
        <f aca="false">IFERROR(INDEX('3. Costeo y Precios'!$M$14:$M$64,MATCH($B350,'3. Costeo y Precios'!$A$14:$A$64,0)),0)</f>
        <v>0</v>
      </c>
      <c r="I350" s="13" t="str">
        <f aca="false">IF($B350="","",E350*H350)</f>
        <v/>
      </c>
      <c r="J350" s="28"/>
      <c r="K350" s="13" t="str">
        <f aca="false">IF($B350="","",G350*J350)</f>
        <v/>
      </c>
      <c r="L350" s="13" t="str">
        <f aca="false">IF($B350="","",G350-I350-K350)</f>
        <v/>
      </c>
      <c r="M350" s="22" t="str">
        <f aca="false">IFERROR(L350/G350,"")</f>
        <v/>
      </c>
      <c r="N350" s="11"/>
    </row>
    <row r="351" customFormat="false" ht="15" hidden="false" customHeight="false" outlineLevel="0" collapsed="false">
      <c r="A351" s="27"/>
      <c r="B351" s="11"/>
      <c r="C351" s="7" t="str">
        <f aca="false">IFERROR(INDEX('3. Costeo y Precios'!$B$14:$B$64,MATCH($B351,'3. Costeo y Precios'!$A$14:$A$64,0)),"")</f>
        <v/>
      </c>
      <c r="D351" s="11"/>
      <c r="E351" s="11"/>
      <c r="F351" s="9"/>
      <c r="G351" s="13" t="str">
        <f aca="false">IF($B351="","",E351*F351)</f>
        <v/>
      </c>
      <c r="H351" s="13" t="n">
        <f aca="false">IFERROR(INDEX('3. Costeo y Precios'!$M$14:$M$64,MATCH($B351,'3. Costeo y Precios'!$A$14:$A$64,0)),0)</f>
        <v>0</v>
      </c>
      <c r="I351" s="13" t="str">
        <f aca="false">IF($B351="","",E351*H351)</f>
        <v/>
      </c>
      <c r="J351" s="28"/>
      <c r="K351" s="13" t="str">
        <f aca="false">IF($B351="","",G351*J351)</f>
        <v/>
      </c>
      <c r="L351" s="13" t="str">
        <f aca="false">IF($B351="","",G351-I351-K351)</f>
        <v/>
      </c>
      <c r="M351" s="22" t="str">
        <f aca="false">IFERROR(L351/G351,"")</f>
        <v/>
      </c>
      <c r="N351" s="11"/>
    </row>
    <row r="352" customFormat="false" ht="15" hidden="false" customHeight="false" outlineLevel="0" collapsed="false">
      <c r="A352" s="27"/>
      <c r="B352" s="11"/>
      <c r="C352" s="7" t="str">
        <f aca="false">IFERROR(INDEX('3. Costeo y Precios'!$B$14:$B$64,MATCH($B352,'3. Costeo y Precios'!$A$14:$A$64,0)),"")</f>
        <v/>
      </c>
      <c r="D352" s="11"/>
      <c r="E352" s="11"/>
      <c r="F352" s="9"/>
      <c r="G352" s="13" t="str">
        <f aca="false">IF($B352="","",E352*F352)</f>
        <v/>
      </c>
      <c r="H352" s="13" t="n">
        <f aca="false">IFERROR(INDEX('3. Costeo y Precios'!$M$14:$M$64,MATCH($B352,'3. Costeo y Precios'!$A$14:$A$64,0)),0)</f>
        <v>0</v>
      </c>
      <c r="I352" s="13" t="str">
        <f aca="false">IF($B352="","",E352*H352)</f>
        <v/>
      </c>
      <c r="J352" s="28"/>
      <c r="K352" s="13" t="str">
        <f aca="false">IF($B352="","",G352*J352)</f>
        <v/>
      </c>
      <c r="L352" s="13" t="str">
        <f aca="false">IF($B352="","",G352-I352-K352)</f>
        <v/>
      </c>
      <c r="M352" s="22" t="str">
        <f aca="false">IFERROR(L352/G352,"")</f>
        <v/>
      </c>
      <c r="N352" s="11"/>
    </row>
    <row r="353" customFormat="false" ht="15" hidden="false" customHeight="false" outlineLevel="0" collapsed="false">
      <c r="A353" s="27"/>
      <c r="B353" s="11"/>
      <c r="C353" s="7" t="str">
        <f aca="false">IFERROR(INDEX('3. Costeo y Precios'!$B$14:$B$64,MATCH($B353,'3. Costeo y Precios'!$A$14:$A$64,0)),"")</f>
        <v/>
      </c>
      <c r="D353" s="11"/>
      <c r="E353" s="11"/>
      <c r="F353" s="9"/>
      <c r="G353" s="13" t="str">
        <f aca="false">IF($B353="","",E353*F353)</f>
        <v/>
      </c>
      <c r="H353" s="13" t="n">
        <f aca="false">IFERROR(INDEX('3. Costeo y Precios'!$M$14:$M$64,MATCH($B353,'3. Costeo y Precios'!$A$14:$A$64,0)),0)</f>
        <v>0</v>
      </c>
      <c r="I353" s="13" t="str">
        <f aca="false">IF($B353="","",E353*H353)</f>
        <v/>
      </c>
      <c r="J353" s="28"/>
      <c r="K353" s="13" t="str">
        <f aca="false">IF($B353="","",G353*J353)</f>
        <v/>
      </c>
      <c r="L353" s="13" t="str">
        <f aca="false">IF($B353="","",G353-I353-K353)</f>
        <v/>
      </c>
      <c r="M353" s="22" t="str">
        <f aca="false">IFERROR(L353/G353,"")</f>
        <v/>
      </c>
      <c r="N353" s="11"/>
    </row>
    <row r="354" customFormat="false" ht="15" hidden="false" customHeight="false" outlineLevel="0" collapsed="false">
      <c r="A354" s="27"/>
      <c r="B354" s="11"/>
      <c r="C354" s="7" t="str">
        <f aca="false">IFERROR(INDEX('3. Costeo y Precios'!$B$14:$B$64,MATCH($B354,'3. Costeo y Precios'!$A$14:$A$64,0)),"")</f>
        <v/>
      </c>
      <c r="D354" s="11"/>
      <c r="E354" s="11"/>
      <c r="F354" s="9"/>
      <c r="G354" s="13" t="str">
        <f aca="false">IF($B354="","",E354*F354)</f>
        <v/>
      </c>
      <c r="H354" s="13" t="n">
        <f aca="false">IFERROR(INDEX('3. Costeo y Precios'!$M$14:$M$64,MATCH($B354,'3. Costeo y Precios'!$A$14:$A$64,0)),0)</f>
        <v>0</v>
      </c>
      <c r="I354" s="13" t="str">
        <f aca="false">IF($B354="","",E354*H354)</f>
        <v/>
      </c>
      <c r="J354" s="28"/>
      <c r="K354" s="13" t="str">
        <f aca="false">IF($B354="","",G354*J354)</f>
        <v/>
      </c>
      <c r="L354" s="13" t="str">
        <f aca="false">IF($B354="","",G354-I354-K354)</f>
        <v/>
      </c>
      <c r="M354" s="22" t="str">
        <f aca="false">IFERROR(L354/G354,"")</f>
        <v/>
      </c>
      <c r="N354" s="11"/>
    </row>
    <row r="355" customFormat="false" ht="15" hidden="false" customHeight="false" outlineLevel="0" collapsed="false">
      <c r="A355" s="27"/>
      <c r="B355" s="11"/>
      <c r="C355" s="7" t="str">
        <f aca="false">IFERROR(INDEX('3. Costeo y Precios'!$B$14:$B$64,MATCH($B355,'3. Costeo y Precios'!$A$14:$A$64,0)),"")</f>
        <v/>
      </c>
      <c r="D355" s="11"/>
      <c r="E355" s="11"/>
      <c r="F355" s="9"/>
      <c r="G355" s="13" t="str">
        <f aca="false">IF($B355="","",E355*F355)</f>
        <v/>
      </c>
      <c r="H355" s="13" t="n">
        <f aca="false">IFERROR(INDEX('3. Costeo y Precios'!$M$14:$M$64,MATCH($B355,'3. Costeo y Precios'!$A$14:$A$64,0)),0)</f>
        <v>0</v>
      </c>
      <c r="I355" s="13" t="str">
        <f aca="false">IF($B355="","",E355*H355)</f>
        <v/>
      </c>
      <c r="J355" s="28"/>
      <c r="K355" s="13" t="str">
        <f aca="false">IF($B355="","",G355*J355)</f>
        <v/>
      </c>
      <c r="L355" s="13" t="str">
        <f aca="false">IF($B355="","",G355-I355-K355)</f>
        <v/>
      </c>
      <c r="M355" s="22" t="str">
        <f aca="false">IFERROR(L355/G355,"")</f>
        <v/>
      </c>
      <c r="N355" s="11"/>
    </row>
    <row r="356" customFormat="false" ht="15" hidden="false" customHeight="false" outlineLevel="0" collapsed="false">
      <c r="A356" s="27"/>
      <c r="B356" s="11"/>
      <c r="C356" s="7" t="str">
        <f aca="false">IFERROR(INDEX('3. Costeo y Precios'!$B$14:$B$64,MATCH($B356,'3. Costeo y Precios'!$A$14:$A$64,0)),"")</f>
        <v/>
      </c>
      <c r="D356" s="11"/>
      <c r="E356" s="11"/>
      <c r="F356" s="9"/>
      <c r="G356" s="13" t="str">
        <f aca="false">IF($B356="","",E356*F356)</f>
        <v/>
      </c>
      <c r="H356" s="13" t="n">
        <f aca="false">IFERROR(INDEX('3. Costeo y Precios'!$M$14:$M$64,MATCH($B356,'3. Costeo y Precios'!$A$14:$A$64,0)),0)</f>
        <v>0</v>
      </c>
      <c r="I356" s="13" t="str">
        <f aca="false">IF($B356="","",E356*H356)</f>
        <v/>
      </c>
      <c r="J356" s="28"/>
      <c r="K356" s="13" t="str">
        <f aca="false">IF($B356="","",G356*J356)</f>
        <v/>
      </c>
      <c r="L356" s="13" t="str">
        <f aca="false">IF($B356="","",G356-I356-K356)</f>
        <v/>
      </c>
      <c r="M356" s="22" t="str">
        <f aca="false">IFERROR(L356/G356,"")</f>
        <v/>
      </c>
      <c r="N356" s="11"/>
    </row>
    <row r="357" customFormat="false" ht="15" hidden="false" customHeight="false" outlineLevel="0" collapsed="false">
      <c r="A357" s="27"/>
      <c r="B357" s="11"/>
      <c r="C357" s="7" t="str">
        <f aca="false">IFERROR(INDEX('3. Costeo y Precios'!$B$14:$B$64,MATCH($B357,'3. Costeo y Precios'!$A$14:$A$64,0)),"")</f>
        <v/>
      </c>
      <c r="D357" s="11"/>
      <c r="E357" s="11"/>
      <c r="F357" s="9"/>
      <c r="G357" s="13" t="str">
        <f aca="false">IF($B357="","",E357*F357)</f>
        <v/>
      </c>
      <c r="H357" s="13" t="n">
        <f aca="false">IFERROR(INDEX('3. Costeo y Precios'!$M$14:$M$64,MATCH($B357,'3. Costeo y Precios'!$A$14:$A$64,0)),0)</f>
        <v>0</v>
      </c>
      <c r="I357" s="13" t="str">
        <f aca="false">IF($B357="","",E357*H357)</f>
        <v/>
      </c>
      <c r="J357" s="28"/>
      <c r="K357" s="13" t="str">
        <f aca="false">IF($B357="","",G357*J357)</f>
        <v/>
      </c>
      <c r="L357" s="13" t="str">
        <f aca="false">IF($B357="","",G357-I357-K357)</f>
        <v/>
      </c>
      <c r="M357" s="22" t="str">
        <f aca="false">IFERROR(L357/G357,"")</f>
        <v/>
      </c>
      <c r="N357" s="11"/>
    </row>
    <row r="358" customFormat="false" ht="15" hidden="false" customHeight="false" outlineLevel="0" collapsed="false">
      <c r="A358" s="27"/>
      <c r="B358" s="11"/>
      <c r="C358" s="7" t="str">
        <f aca="false">IFERROR(INDEX('3. Costeo y Precios'!$B$14:$B$64,MATCH($B358,'3. Costeo y Precios'!$A$14:$A$64,0)),"")</f>
        <v/>
      </c>
      <c r="D358" s="11"/>
      <c r="E358" s="11"/>
      <c r="F358" s="9"/>
      <c r="G358" s="13" t="str">
        <f aca="false">IF($B358="","",E358*F358)</f>
        <v/>
      </c>
      <c r="H358" s="13" t="n">
        <f aca="false">IFERROR(INDEX('3. Costeo y Precios'!$M$14:$M$64,MATCH($B358,'3. Costeo y Precios'!$A$14:$A$64,0)),0)</f>
        <v>0</v>
      </c>
      <c r="I358" s="13" t="str">
        <f aca="false">IF($B358="","",E358*H358)</f>
        <v/>
      </c>
      <c r="J358" s="28"/>
      <c r="K358" s="13" t="str">
        <f aca="false">IF($B358="","",G358*J358)</f>
        <v/>
      </c>
      <c r="L358" s="13" t="str">
        <f aca="false">IF($B358="","",G358-I358-K358)</f>
        <v/>
      </c>
      <c r="M358" s="22" t="str">
        <f aca="false">IFERROR(L358/G358,"")</f>
        <v/>
      </c>
      <c r="N358" s="11"/>
    </row>
    <row r="359" customFormat="false" ht="15" hidden="false" customHeight="false" outlineLevel="0" collapsed="false">
      <c r="A359" s="27"/>
      <c r="B359" s="11"/>
      <c r="C359" s="7" t="str">
        <f aca="false">IFERROR(INDEX('3. Costeo y Precios'!$B$14:$B$64,MATCH($B359,'3. Costeo y Precios'!$A$14:$A$64,0)),"")</f>
        <v/>
      </c>
      <c r="D359" s="11"/>
      <c r="E359" s="11"/>
      <c r="F359" s="9"/>
      <c r="G359" s="13" t="str">
        <f aca="false">IF($B359="","",E359*F359)</f>
        <v/>
      </c>
      <c r="H359" s="13" t="n">
        <f aca="false">IFERROR(INDEX('3. Costeo y Precios'!$M$14:$M$64,MATCH($B359,'3. Costeo y Precios'!$A$14:$A$64,0)),0)</f>
        <v>0</v>
      </c>
      <c r="I359" s="13" t="str">
        <f aca="false">IF($B359="","",E359*H359)</f>
        <v/>
      </c>
      <c r="J359" s="28"/>
      <c r="K359" s="13" t="str">
        <f aca="false">IF($B359="","",G359*J359)</f>
        <v/>
      </c>
      <c r="L359" s="13" t="str">
        <f aca="false">IF($B359="","",G359-I359-K359)</f>
        <v/>
      </c>
      <c r="M359" s="22" t="str">
        <f aca="false">IFERROR(L359/G359,"")</f>
        <v/>
      </c>
      <c r="N359" s="11"/>
    </row>
    <row r="360" customFormat="false" ht="15" hidden="false" customHeight="false" outlineLevel="0" collapsed="false">
      <c r="A360" s="27"/>
      <c r="B360" s="11"/>
      <c r="C360" s="7" t="str">
        <f aca="false">IFERROR(INDEX('3. Costeo y Precios'!$B$14:$B$64,MATCH($B360,'3. Costeo y Precios'!$A$14:$A$64,0)),"")</f>
        <v/>
      </c>
      <c r="D360" s="11"/>
      <c r="E360" s="11"/>
      <c r="F360" s="9"/>
      <c r="G360" s="13" t="str">
        <f aca="false">IF($B360="","",E360*F360)</f>
        <v/>
      </c>
      <c r="H360" s="13" t="n">
        <f aca="false">IFERROR(INDEX('3. Costeo y Precios'!$M$14:$M$64,MATCH($B360,'3. Costeo y Precios'!$A$14:$A$64,0)),0)</f>
        <v>0</v>
      </c>
      <c r="I360" s="13" t="str">
        <f aca="false">IF($B360="","",E360*H360)</f>
        <v/>
      </c>
      <c r="J360" s="28"/>
      <c r="K360" s="13" t="str">
        <f aca="false">IF($B360="","",G360*J360)</f>
        <v/>
      </c>
      <c r="L360" s="13" t="str">
        <f aca="false">IF($B360="","",G360-I360-K360)</f>
        <v/>
      </c>
      <c r="M360" s="22" t="str">
        <f aca="false">IFERROR(L360/G360,"")</f>
        <v/>
      </c>
      <c r="N360" s="11"/>
    </row>
    <row r="361" customFormat="false" ht="15" hidden="false" customHeight="false" outlineLevel="0" collapsed="false">
      <c r="A361" s="27"/>
      <c r="B361" s="11"/>
      <c r="C361" s="7" t="str">
        <f aca="false">IFERROR(INDEX('3. Costeo y Precios'!$B$14:$B$64,MATCH($B361,'3. Costeo y Precios'!$A$14:$A$64,0)),"")</f>
        <v/>
      </c>
      <c r="D361" s="11"/>
      <c r="E361" s="11"/>
      <c r="F361" s="9"/>
      <c r="G361" s="13" t="str">
        <f aca="false">IF($B361="","",E361*F361)</f>
        <v/>
      </c>
      <c r="H361" s="13" t="n">
        <f aca="false">IFERROR(INDEX('3. Costeo y Precios'!$M$14:$M$64,MATCH($B361,'3. Costeo y Precios'!$A$14:$A$64,0)),0)</f>
        <v>0</v>
      </c>
      <c r="I361" s="13" t="str">
        <f aca="false">IF($B361="","",E361*H361)</f>
        <v/>
      </c>
      <c r="J361" s="28"/>
      <c r="K361" s="13" t="str">
        <f aca="false">IF($B361="","",G361*J361)</f>
        <v/>
      </c>
      <c r="L361" s="13" t="str">
        <f aca="false">IF($B361="","",G361-I361-K361)</f>
        <v/>
      </c>
      <c r="M361" s="22" t="str">
        <f aca="false">IFERROR(L361/G361,"")</f>
        <v/>
      </c>
      <c r="N361" s="11"/>
    </row>
    <row r="362" customFormat="false" ht="15" hidden="false" customHeight="false" outlineLevel="0" collapsed="false">
      <c r="A362" s="27"/>
      <c r="B362" s="11"/>
      <c r="C362" s="7" t="str">
        <f aca="false">IFERROR(INDEX('3. Costeo y Precios'!$B$14:$B$64,MATCH($B362,'3. Costeo y Precios'!$A$14:$A$64,0)),"")</f>
        <v/>
      </c>
      <c r="D362" s="11"/>
      <c r="E362" s="11"/>
      <c r="F362" s="9"/>
      <c r="G362" s="13" t="str">
        <f aca="false">IF($B362="","",E362*F362)</f>
        <v/>
      </c>
      <c r="H362" s="13" t="n">
        <f aca="false">IFERROR(INDEX('3. Costeo y Precios'!$M$14:$M$64,MATCH($B362,'3. Costeo y Precios'!$A$14:$A$64,0)),0)</f>
        <v>0</v>
      </c>
      <c r="I362" s="13" t="str">
        <f aca="false">IF($B362="","",E362*H362)</f>
        <v/>
      </c>
      <c r="J362" s="28"/>
      <c r="K362" s="13" t="str">
        <f aca="false">IF($B362="","",G362*J362)</f>
        <v/>
      </c>
      <c r="L362" s="13" t="str">
        <f aca="false">IF($B362="","",G362-I362-K362)</f>
        <v/>
      </c>
      <c r="M362" s="22" t="str">
        <f aca="false">IFERROR(L362/G362,"")</f>
        <v/>
      </c>
      <c r="N362" s="11"/>
    </row>
    <row r="363" customFormat="false" ht="15" hidden="false" customHeight="false" outlineLevel="0" collapsed="false">
      <c r="A363" s="27"/>
      <c r="B363" s="11"/>
      <c r="C363" s="7" t="str">
        <f aca="false">IFERROR(INDEX('3. Costeo y Precios'!$B$14:$B$64,MATCH($B363,'3. Costeo y Precios'!$A$14:$A$64,0)),"")</f>
        <v/>
      </c>
      <c r="D363" s="11"/>
      <c r="E363" s="11"/>
      <c r="F363" s="9"/>
      <c r="G363" s="13" t="str">
        <f aca="false">IF($B363="","",E363*F363)</f>
        <v/>
      </c>
      <c r="H363" s="13" t="n">
        <f aca="false">IFERROR(INDEX('3. Costeo y Precios'!$M$14:$M$64,MATCH($B363,'3. Costeo y Precios'!$A$14:$A$64,0)),0)</f>
        <v>0</v>
      </c>
      <c r="I363" s="13" t="str">
        <f aca="false">IF($B363="","",E363*H363)</f>
        <v/>
      </c>
      <c r="J363" s="28"/>
      <c r="K363" s="13" t="str">
        <f aca="false">IF($B363="","",G363*J363)</f>
        <v/>
      </c>
      <c r="L363" s="13" t="str">
        <f aca="false">IF($B363="","",G363-I363-K363)</f>
        <v/>
      </c>
      <c r="M363" s="22" t="str">
        <f aca="false">IFERROR(L363/G363,"")</f>
        <v/>
      </c>
      <c r="N363" s="11"/>
    </row>
    <row r="364" customFormat="false" ht="15" hidden="false" customHeight="false" outlineLevel="0" collapsed="false">
      <c r="A364" s="27"/>
      <c r="B364" s="11"/>
      <c r="C364" s="7" t="str">
        <f aca="false">IFERROR(INDEX('3. Costeo y Precios'!$B$14:$B$64,MATCH($B364,'3. Costeo y Precios'!$A$14:$A$64,0)),"")</f>
        <v/>
      </c>
      <c r="D364" s="11"/>
      <c r="E364" s="11"/>
      <c r="F364" s="9"/>
      <c r="G364" s="13" t="str">
        <f aca="false">IF($B364="","",E364*F364)</f>
        <v/>
      </c>
      <c r="H364" s="13" t="n">
        <f aca="false">IFERROR(INDEX('3. Costeo y Precios'!$M$14:$M$64,MATCH($B364,'3. Costeo y Precios'!$A$14:$A$64,0)),0)</f>
        <v>0</v>
      </c>
      <c r="I364" s="13" t="str">
        <f aca="false">IF($B364="","",E364*H364)</f>
        <v/>
      </c>
      <c r="J364" s="28"/>
      <c r="K364" s="13" t="str">
        <f aca="false">IF($B364="","",G364*J364)</f>
        <v/>
      </c>
      <c r="L364" s="13" t="str">
        <f aca="false">IF($B364="","",G364-I364-K364)</f>
        <v/>
      </c>
      <c r="M364" s="22" t="str">
        <f aca="false">IFERROR(L364/G364,"")</f>
        <v/>
      </c>
      <c r="N364" s="11"/>
    </row>
    <row r="365" customFormat="false" ht="15" hidden="false" customHeight="false" outlineLevel="0" collapsed="false">
      <c r="A365" s="27"/>
      <c r="B365" s="11"/>
      <c r="C365" s="7" t="str">
        <f aca="false">IFERROR(INDEX('3. Costeo y Precios'!$B$14:$B$64,MATCH($B365,'3. Costeo y Precios'!$A$14:$A$64,0)),"")</f>
        <v/>
      </c>
      <c r="D365" s="11"/>
      <c r="E365" s="11"/>
      <c r="F365" s="9"/>
      <c r="G365" s="13" t="str">
        <f aca="false">IF($B365="","",E365*F365)</f>
        <v/>
      </c>
      <c r="H365" s="13" t="n">
        <f aca="false">IFERROR(INDEX('3. Costeo y Precios'!$M$14:$M$64,MATCH($B365,'3. Costeo y Precios'!$A$14:$A$64,0)),0)</f>
        <v>0</v>
      </c>
      <c r="I365" s="13" t="str">
        <f aca="false">IF($B365="","",E365*H365)</f>
        <v/>
      </c>
      <c r="J365" s="28"/>
      <c r="K365" s="13" t="str">
        <f aca="false">IF($B365="","",G365*J365)</f>
        <v/>
      </c>
      <c r="L365" s="13" t="str">
        <f aca="false">IF($B365="","",G365-I365-K365)</f>
        <v/>
      </c>
      <c r="M365" s="22" t="str">
        <f aca="false">IFERROR(L365/G365,"")</f>
        <v/>
      </c>
      <c r="N365" s="11"/>
    </row>
    <row r="366" customFormat="false" ht="15" hidden="false" customHeight="false" outlineLevel="0" collapsed="false">
      <c r="A366" s="27"/>
      <c r="B366" s="11"/>
      <c r="C366" s="7" t="str">
        <f aca="false">IFERROR(INDEX('3. Costeo y Precios'!$B$14:$B$64,MATCH($B366,'3. Costeo y Precios'!$A$14:$A$64,0)),"")</f>
        <v/>
      </c>
      <c r="D366" s="11"/>
      <c r="E366" s="11"/>
      <c r="F366" s="9"/>
      <c r="G366" s="13" t="str">
        <f aca="false">IF($B366="","",E366*F366)</f>
        <v/>
      </c>
      <c r="H366" s="13" t="n">
        <f aca="false">IFERROR(INDEX('3. Costeo y Precios'!$M$14:$M$64,MATCH($B366,'3. Costeo y Precios'!$A$14:$A$64,0)),0)</f>
        <v>0</v>
      </c>
      <c r="I366" s="13" t="str">
        <f aca="false">IF($B366="","",E366*H366)</f>
        <v/>
      </c>
      <c r="J366" s="28"/>
      <c r="K366" s="13" t="str">
        <f aca="false">IF($B366="","",G366*J366)</f>
        <v/>
      </c>
      <c r="L366" s="13" t="str">
        <f aca="false">IF($B366="","",G366-I366-K366)</f>
        <v/>
      </c>
      <c r="M366" s="22" t="str">
        <f aca="false">IFERROR(L366/G366,"")</f>
        <v/>
      </c>
      <c r="N366" s="11"/>
    </row>
    <row r="367" customFormat="false" ht="15" hidden="false" customHeight="false" outlineLevel="0" collapsed="false">
      <c r="A367" s="27"/>
      <c r="B367" s="11"/>
      <c r="C367" s="7" t="str">
        <f aca="false">IFERROR(INDEX('3. Costeo y Precios'!$B$14:$B$64,MATCH($B367,'3. Costeo y Precios'!$A$14:$A$64,0)),"")</f>
        <v/>
      </c>
      <c r="D367" s="11"/>
      <c r="E367" s="11"/>
      <c r="F367" s="9"/>
      <c r="G367" s="13" t="str">
        <f aca="false">IF($B367="","",E367*F367)</f>
        <v/>
      </c>
      <c r="H367" s="13" t="n">
        <f aca="false">IFERROR(INDEX('3. Costeo y Precios'!$M$14:$M$64,MATCH($B367,'3. Costeo y Precios'!$A$14:$A$64,0)),0)</f>
        <v>0</v>
      </c>
      <c r="I367" s="13" t="str">
        <f aca="false">IF($B367="","",E367*H367)</f>
        <v/>
      </c>
      <c r="J367" s="28"/>
      <c r="K367" s="13" t="str">
        <f aca="false">IF($B367="","",G367*J367)</f>
        <v/>
      </c>
      <c r="L367" s="13" t="str">
        <f aca="false">IF($B367="","",G367-I367-K367)</f>
        <v/>
      </c>
      <c r="M367" s="22" t="str">
        <f aca="false">IFERROR(L367/G367,"")</f>
        <v/>
      </c>
      <c r="N367" s="11"/>
    </row>
    <row r="368" customFormat="false" ht="15" hidden="false" customHeight="false" outlineLevel="0" collapsed="false">
      <c r="A368" s="27"/>
      <c r="B368" s="11"/>
      <c r="C368" s="7" t="str">
        <f aca="false">IFERROR(INDEX('3. Costeo y Precios'!$B$14:$B$64,MATCH($B368,'3. Costeo y Precios'!$A$14:$A$64,0)),"")</f>
        <v/>
      </c>
      <c r="D368" s="11"/>
      <c r="E368" s="11"/>
      <c r="F368" s="9"/>
      <c r="G368" s="13" t="str">
        <f aca="false">IF($B368="","",E368*F368)</f>
        <v/>
      </c>
      <c r="H368" s="13" t="n">
        <f aca="false">IFERROR(INDEX('3. Costeo y Precios'!$M$14:$M$64,MATCH($B368,'3. Costeo y Precios'!$A$14:$A$64,0)),0)</f>
        <v>0</v>
      </c>
      <c r="I368" s="13" t="str">
        <f aca="false">IF($B368="","",E368*H368)</f>
        <v/>
      </c>
      <c r="J368" s="28"/>
      <c r="K368" s="13" t="str">
        <f aca="false">IF($B368="","",G368*J368)</f>
        <v/>
      </c>
      <c r="L368" s="13" t="str">
        <f aca="false">IF($B368="","",G368-I368-K368)</f>
        <v/>
      </c>
      <c r="M368" s="22" t="str">
        <f aca="false">IFERROR(L368/G368,"")</f>
        <v/>
      </c>
      <c r="N368" s="11"/>
    </row>
    <row r="369" customFormat="false" ht="15" hidden="false" customHeight="false" outlineLevel="0" collapsed="false">
      <c r="A369" s="27"/>
      <c r="B369" s="11"/>
      <c r="C369" s="7" t="str">
        <f aca="false">IFERROR(INDEX('3. Costeo y Precios'!$B$14:$B$64,MATCH($B369,'3. Costeo y Precios'!$A$14:$A$64,0)),"")</f>
        <v/>
      </c>
      <c r="D369" s="11"/>
      <c r="E369" s="11"/>
      <c r="F369" s="9"/>
      <c r="G369" s="13" t="str">
        <f aca="false">IF($B369="","",E369*F369)</f>
        <v/>
      </c>
      <c r="H369" s="13" t="n">
        <f aca="false">IFERROR(INDEX('3. Costeo y Precios'!$M$14:$M$64,MATCH($B369,'3. Costeo y Precios'!$A$14:$A$64,0)),0)</f>
        <v>0</v>
      </c>
      <c r="I369" s="13" t="str">
        <f aca="false">IF($B369="","",E369*H369)</f>
        <v/>
      </c>
      <c r="J369" s="28"/>
      <c r="K369" s="13" t="str">
        <f aca="false">IF($B369="","",G369*J369)</f>
        <v/>
      </c>
      <c r="L369" s="13" t="str">
        <f aca="false">IF($B369="","",G369-I369-K369)</f>
        <v/>
      </c>
      <c r="M369" s="22" t="str">
        <f aca="false">IFERROR(L369/G369,"")</f>
        <v/>
      </c>
      <c r="N369" s="11"/>
    </row>
    <row r="370" customFormat="false" ht="15" hidden="false" customHeight="false" outlineLevel="0" collapsed="false">
      <c r="A370" s="27"/>
      <c r="B370" s="11"/>
      <c r="C370" s="7" t="str">
        <f aca="false">IFERROR(INDEX('3. Costeo y Precios'!$B$14:$B$64,MATCH($B370,'3. Costeo y Precios'!$A$14:$A$64,0)),"")</f>
        <v/>
      </c>
      <c r="D370" s="11"/>
      <c r="E370" s="11"/>
      <c r="F370" s="9"/>
      <c r="G370" s="13" t="str">
        <f aca="false">IF($B370="","",E370*F370)</f>
        <v/>
      </c>
      <c r="H370" s="13" t="n">
        <f aca="false">IFERROR(INDEX('3. Costeo y Precios'!$M$14:$M$64,MATCH($B370,'3. Costeo y Precios'!$A$14:$A$64,0)),0)</f>
        <v>0</v>
      </c>
      <c r="I370" s="13" t="str">
        <f aca="false">IF($B370="","",E370*H370)</f>
        <v/>
      </c>
      <c r="J370" s="28"/>
      <c r="K370" s="13" t="str">
        <f aca="false">IF($B370="","",G370*J370)</f>
        <v/>
      </c>
      <c r="L370" s="13" t="str">
        <f aca="false">IF($B370="","",G370-I370-K370)</f>
        <v/>
      </c>
      <c r="M370" s="22" t="str">
        <f aca="false">IFERROR(L370/G370,"")</f>
        <v/>
      </c>
      <c r="N370" s="11"/>
    </row>
    <row r="371" customFormat="false" ht="15" hidden="false" customHeight="false" outlineLevel="0" collapsed="false">
      <c r="A371" s="27"/>
      <c r="B371" s="11"/>
      <c r="C371" s="7" t="str">
        <f aca="false">IFERROR(INDEX('3. Costeo y Precios'!$B$14:$B$64,MATCH($B371,'3. Costeo y Precios'!$A$14:$A$64,0)),"")</f>
        <v/>
      </c>
      <c r="D371" s="11"/>
      <c r="E371" s="11"/>
      <c r="F371" s="9"/>
      <c r="G371" s="13" t="str">
        <f aca="false">IF($B371="","",E371*F371)</f>
        <v/>
      </c>
      <c r="H371" s="13" t="n">
        <f aca="false">IFERROR(INDEX('3. Costeo y Precios'!$M$14:$M$64,MATCH($B371,'3. Costeo y Precios'!$A$14:$A$64,0)),0)</f>
        <v>0</v>
      </c>
      <c r="I371" s="13" t="str">
        <f aca="false">IF($B371="","",E371*H371)</f>
        <v/>
      </c>
      <c r="J371" s="28"/>
      <c r="K371" s="13" t="str">
        <f aca="false">IF($B371="","",G371*J371)</f>
        <v/>
      </c>
      <c r="L371" s="13" t="str">
        <f aca="false">IF($B371="","",G371-I371-K371)</f>
        <v/>
      </c>
      <c r="M371" s="22" t="str">
        <f aca="false">IFERROR(L371/G371,"")</f>
        <v/>
      </c>
      <c r="N371" s="11"/>
    </row>
    <row r="372" customFormat="false" ht="15" hidden="false" customHeight="false" outlineLevel="0" collapsed="false">
      <c r="A372" s="27"/>
      <c r="B372" s="11"/>
      <c r="C372" s="7" t="str">
        <f aca="false">IFERROR(INDEX('3. Costeo y Precios'!$B$14:$B$64,MATCH($B372,'3. Costeo y Precios'!$A$14:$A$64,0)),"")</f>
        <v/>
      </c>
      <c r="D372" s="11"/>
      <c r="E372" s="11"/>
      <c r="F372" s="9"/>
      <c r="G372" s="13" t="str">
        <f aca="false">IF($B372="","",E372*F372)</f>
        <v/>
      </c>
      <c r="H372" s="13" t="n">
        <f aca="false">IFERROR(INDEX('3. Costeo y Precios'!$M$14:$M$64,MATCH($B372,'3. Costeo y Precios'!$A$14:$A$64,0)),0)</f>
        <v>0</v>
      </c>
      <c r="I372" s="13" t="str">
        <f aca="false">IF($B372="","",E372*H372)</f>
        <v/>
      </c>
      <c r="J372" s="28"/>
      <c r="K372" s="13" t="str">
        <f aca="false">IF($B372="","",G372*J372)</f>
        <v/>
      </c>
      <c r="L372" s="13" t="str">
        <f aca="false">IF($B372="","",G372-I372-K372)</f>
        <v/>
      </c>
      <c r="M372" s="22" t="str">
        <f aca="false">IFERROR(L372/G372,"")</f>
        <v/>
      </c>
      <c r="N372" s="11"/>
    </row>
    <row r="373" customFormat="false" ht="15" hidden="false" customHeight="false" outlineLevel="0" collapsed="false">
      <c r="A373" s="27"/>
      <c r="B373" s="11"/>
      <c r="C373" s="7" t="str">
        <f aca="false">IFERROR(INDEX('3. Costeo y Precios'!$B$14:$B$64,MATCH($B373,'3. Costeo y Precios'!$A$14:$A$64,0)),"")</f>
        <v/>
      </c>
      <c r="D373" s="11"/>
      <c r="E373" s="11"/>
      <c r="F373" s="9"/>
      <c r="G373" s="13" t="str">
        <f aca="false">IF($B373="","",E373*F373)</f>
        <v/>
      </c>
      <c r="H373" s="13" t="n">
        <f aca="false">IFERROR(INDEX('3. Costeo y Precios'!$M$14:$M$64,MATCH($B373,'3. Costeo y Precios'!$A$14:$A$64,0)),0)</f>
        <v>0</v>
      </c>
      <c r="I373" s="13" t="str">
        <f aca="false">IF($B373="","",E373*H373)</f>
        <v/>
      </c>
      <c r="J373" s="28"/>
      <c r="K373" s="13" t="str">
        <f aca="false">IF($B373="","",G373*J373)</f>
        <v/>
      </c>
      <c r="L373" s="13" t="str">
        <f aca="false">IF($B373="","",G373-I373-K373)</f>
        <v/>
      </c>
      <c r="M373" s="22" t="str">
        <f aca="false">IFERROR(L373/G373,"")</f>
        <v/>
      </c>
      <c r="N373" s="11"/>
    </row>
    <row r="374" customFormat="false" ht="15" hidden="false" customHeight="false" outlineLevel="0" collapsed="false">
      <c r="A374" s="27"/>
      <c r="B374" s="11"/>
      <c r="C374" s="7" t="str">
        <f aca="false">IFERROR(INDEX('3. Costeo y Precios'!$B$14:$B$64,MATCH($B374,'3. Costeo y Precios'!$A$14:$A$64,0)),"")</f>
        <v/>
      </c>
      <c r="D374" s="11"/>
      <c r="E374" s="11"/>
      <c r="F374" s="9"/>
      <c r="G374" s="13" t="str">
        <f aca="false">IF($B374="","",E374*F374)</f>
        <v/>
      </c>
      <c r="H374" s="13" t="n">
        <f aca="false">IFERROR(INDEX('3. Costeo y Precios'!$M$14:$M$64,MATCH($B374,'3. Costeo y Precios'!$A$14:$A$64,0)),0)</f>
        <v>0</v>
      </c>
      <c r="I374" s="13" t="str">
        <f aca="false">IF($B374="","",E374*H374)</f>
        <v/>
      </c>
      <c r="J374" s="28"/>
      <c r="K374" s="13" t="str">
        <f aca="false">IF($B374="","",G374*J374)</f>
        <v/>
      </c>
      <c r="L374" s="13" t="str">
        <f aca="false">IF($B374="","",G374-I374-K374)</f>
        <v/>
      </c>
      <c r="M374" s="22" t="str">
        <f aca="false">IFERROR(L374/G374,"")</f>
        <v/>
      </c>
      <c r="N374" s="11"/>
    </row>
    <row r="375" customFormat="false" ht="15" hidden="false" customHeight="false" outlineLevel="0" collapsed="false">
      <c r="A375" s="27"/>
      <c r="B375" s="11"/>
      <c r="C375" s="7" t="str">
        <f aca="false">IFERROR(INDEX('3. Costeo y Precios'!$B$14:$B$64,MATCH($B375,'3. Costeo y Precios'!$A$14:$A$64,0)),"")</f>
        <v/>
      </c>
      <c r="D375" s="11"/>
      <c r="E375" s="11"/>
      <c r="F375" s="9"/>
      <c r="G375" s="13" t="str">
        <f aca="false">IF($B375="","",E375*F375)</f>
        <v/>
      </c>
      <c r="H375" s="13" t="n">
        <f aca="false">IFERROR(INDEX('3. Costeo y Precios'!$M$14:$M$64,MATCH($B375,'3. Costeo y Precios'!$A$14:$A$64,0)),0)</f>
        <v>0</v>
      </c>
      <c r="I375" s="13" t="str">
        <f aca="false">IF($B375="","",E375*H375)</f>
        <v/>
      </c>
      <c r="J375" s="28"/>
      <c r="K375" s="13" t="str">
        <f aca="false">IF($B375="","",G375*J375)</f>
        <v/>
      </c>
      <c r="L375" s="13" t="str">
        <f aca="false">IF($B375="","",G375-I375-K375)</f>
        <v/>
      </c>
      <c r="M375" s="22" t="str">
        <f aca="false">IFERROR(L375/G375,"")</f>
        <v/>
      </c>
      <c r="N375" s="11"/>
    </row>
    <row r="376" customFormat="false" ht="15" hidden="false" customHeight="false" outlineLevel="0" collapsed="false">
      <c r="A376" s="27"/>
      <c r="B376" s="11"/>
      <c r="C376" s="7" t="str">
        <f aca="false">IFERROR(INDEX('3. Costeo y Precios'!$B$14:$B$64,MATCH($B376,'3. Costeo y Precios'!$A$14:$A$64,0)),"")</f>
        <v/>
      </c>
      <c r="D376" s="11"/>
      <c r="E376" s="11"/>
      <c r="F376" s="9"/>
      <c r="G376" s="13" t="str">
        <f aca="false">IF($B376="","",E376*F376)</f>
        <v/>
      </c>
      <c r="H376" s="13" t="n">
        <f aca="false">IFERROR(INDEX('3. Costeo y Precios'!$M$14:$M$64,MATCH($B376,'3. Costeo y Precios'!$A$14:$A$64,0)),0)</f>
        <v>0</v>
      </c>
      <c r="I376" s="13" t="str">
        <f aca="false">IF($B376="","",E376*H376)</f>
        <v/>
      </c>
      <c r="J376" s="28"/>
      <c r="K376" s="13" t="str">
        <f aca="false">IF($B376="","",G376*J376)</f>
        <v/>
      </c>
      <c r="L376" s="13" t="str">
        <f aca="false">IF($B376="","",G376-I376-K376)</f>
        <v/>
      </c>
      <c r="M376" s="22" t="str">
        <f aca="false">IFERROR(L376/G376,"")</f>
        <v/>
      </c>
      <c r="N376" s="11"/>
    </row>
    <row r="377" customFormat="false" ht="15" hidden="false" customHeight="false" outlineLevel="0" collapsed="false">
      <c r="A377" s="27"/>
      <c r="B377" s="11"/>
      <c r="C377" s="7" t="str">
        <f aca="false">IFERROR(INDEX('3. Costeo y Precios'!$B$14:$B$64,MATCH($B377,'3. Costeo y Precios'!$A$14:$A$64,0)),"")</f>
        <v/>
      </c>
      <c r="D377" s="11"/>
      <c r="E377" s="11"/>
      <c r="F377" s="9"/>
      <c r="G377" s="13" t="str">
        <f aca="false">IF($B377="","",E377*F377)</f>
        <v/>
      </c>
      <c r="H377" s="13" t="n">
        <f aca="false">IFERROR(INDEX('3. Costeo y Precios'!$M$14:$M$64,MATCH($B377,'3. Costeo y Precios'!$A$14:$A$64,0)),0)</f>
        <v>0</v>
      </c>
      <c r="I377" s="13" t="str">
        <f aca="false">IF($B377="","",E377*H377)</f>
        <v/>
      </c>
      <c r="J377" s="28"/>
      <c r="K377" s="13" t="str">
        <f aca="false">IF($B377="","",G377*J377)</f>
        <v/>
      </c>
      <c r="L377" s="13" t="str">
        <f aca="false">IF($B377="","",G377-I377-K377)</f>
        <v/>
      </c>
      <c r="M377" s="22" t="str">
        <f aca="false">IFERROR(L377/G377,"")</f>
        <v/>
      </c>
      <c r="N377" s="11"/>
    </row>
    <row r="378" customFormat="false" ht="15" hidden="false" customHeight="false" outlineLevel="0" collapsed="false">
      <c r="A378" s="27"/>
      <c r="B378" s="11"/>
      <c r="C378" s="7" t="str">
        <f aca="false">IFERROR(INDEX('3. Costeo y Precios'!$B$14:$B$64,MATCH($B378,'3. Costeo y Precios'!$A$14:$A$64,0)),"")</f>
        <v/>
      </c>
      <c r="D378" s="11"/>
      <c r="E378" s="11"/>
      <c r="F378" s="9"/>
      <c r="G378" s="13" t="str">
        <f aca="false">IF($B378="","",E378*F378)</f>
        <v/>
      </c>
      <c r="H378" s="13" t="n">
        <f aca="false">IFERROR(INDEX('3. Costeo y Precios'!$M$14:$M$64,MATCH($B378,'3. Costeo y Precios'!$A$14:$A$64,0)),0)</f>
        <v>0</v>
      </c>
      <c r="I378" s="13" t="str">
        <f aca="false">IF($B378="","",E378*H378)</f>
        <v/>
      </c>
      <c r="J378" s="28"/>
      <c r="K378" s="13" t="str">
        <f aca="false">IF($B378="","",G378*J378)</f>
        <v/>
      </c>
      <c r="L378" s="13" t="str">
        <f aca="false">IF($B378="","",G378-I378-K378)</f>
        <v/>
      </c>
      <c r="M378" s="22" t="str">
        <f aca="false">IFERROR(L378/G378,"")</f>
        <v/>
      </c>
      <c r="N378" s="11"/>
    </row>
    <row r="379" customFormat="false" ht="15" hidden="false" customHeight="false" outlineLevel="0" collapsed="false">
      <c r="A379" s="27"/>
      <c r="B379" s="11"/>
      <c r="C379" s="7" t="str">
        <f aca="false">IFERROR(INDEX('3. Costeo y Precios'!$B$14:$B$64,MATCH($B379,'3. Costeo y Precios'!$A$14:$A$64,0)),"")</f>
        <v/>
      </c>
      <c r="D379" s="11"/>
      <c r="E379" s="11"/>
      <c r="F379" s="9"/>
      <c r="G379" s="13" t="str">
        <f aca="false">IF($B379="","",E379*F379)</f>
        <v/>
      </c>
      <c r="H379" s="13" t="n">
        <f aca="false">IFERROR(INDEX('3. Costeo y Precios'!$M$14:$M$64,MATCH($B379,'3. Costeo y Precios'!$A$14:$A$64,0)),0)</f>
        <v>0</v>
      </c>
      <c r="I379" s="13" t="str">
        <f aca="false">IF($B379="","",E379*H379)</f>
        <v/>
      </c>
      <c r="J379" s="28"/>
      <c r="K379" s="13" t="str">
        <f aca="false">IF($B379="","",G379*J379)</f>
        <v/>
      </c>
      <c r="L379" s="13" t="str">
        <f aca="false">IF($B379="","",G379-I379-K379)</f>
        <v/>
      </c>
      <c r="M379" s="22" t="str">
        <f aca="false">IFERROR(L379/G379,"")</f>
        <v/>
      </c>
      <c r="N379" s="11"/>
    </row>
    <row r="380" customFormat="false" ht="15" hidden="false" customHeight="false" outlineLevel="0" collapsed="false">
      <c r="A380" s="27"/>
      <c r="B380" s="11"/>
      <c r="C380" s="7" t="str">
        <f aca="false">IFERROR(INDEX('3. Costeo y Precios'!$B$14:$B$64,MATCH($B380,'3. Costeo y Precios'!$A$14:$A$64,0)),"")</f>
        <v/>
      </c>
      <c r="D380" s="11"/>
      <c r="E380" s="11"/>
      <c r="F380" s="9"/>
      <c r="G380" s="13" t="str">
        <f aca="false">IF($B380="","",E380*F380)</f>
        <v/>
      </c>
      <c r="H380" s="13" t="n">
        <f aca="false">IFERROR(INDEX('3. Costeo y Precios'!$M$14:$M$64,MATCH($B380,'3. Costeo y Precios'!$A$14:$A$64,0)),0)</f>
        <v>0</v>
      </c>
      <c r="I380" s="13" t="str">
        <f aca="false">IF($B380="","",E380*H380)</f>
        <v/>
      </c>
      <c r="J380" s="28"/>
      <c r="K380" s="13" t="str">
        <f aca="false">IF($B380="","",G380*J380)</f>
        <v/>
      </c>
      <c r="L380" s="13" t="str">
        <f aca="false">IF($B380="","",G380-I380-K380)</f>
        <v/>
      </c>
      <c r="M380" s="22" t="str">
        <f aca="false">IFERROR(L380/G380,"")</f>
        <v/>
      </c>
      <c r="N380" s="11"/>
    </row>
    <row r="381" customFormat="false" ht="15" hidden="false" customHeight="false" outlineLevel="0" collapsed="false">
      <c r="A381" s="27"/>
      <c r="B381" s="11"/>
      <c r="C381" s="7" t="str">
        <f aca="false">IFERROR(INDEX('3. Costeo y Precios'!$B$14:$B$64,MATCH($B381,'3. Costeo y Precios'!$A$14:$A$64,0)),"")</f>
        <v/>
      </c>
      <c r="D381" s="11"/>
      <c r="E381" s="11"/>
      <c r="F381" s="9"/>
      <c r="G381" s="13" t="str">
        <f aca="false">IF($B381="","",E381*F381)</f>
        <v/>
      </c>
      <c r="H381" s="13" t="n">
        <f aca="false">IFERROR(INDEX('3. Costeo y Precios'!$M$14:$M$64,MATCH($B381,'3. Costeo y Precios'!$A$14:$A$64,0)),0)</f>
        <v>0</v>
      </c>
      <c r="I381" s="13" t="str">
        <f aca="false">IF($B381="","",E381*H381)</f>
        <v/>
      </c>
      <c r="J381" s="28"/>
      <c r="K381" s="13" t="str">
        <f aca="false">IF($B381="","",G381*J381)</f>
        <v/>
      </c>
      <c r="L381" s="13" t="str">
        <f aca="false">IF($B381="","",G381-I381-K381)</f>
        <v/>
      </c>
      <c r="M381" s="22" t="str">
        <f aca="false">IFERROR(L381/G381,"")</f>
        <v/>
      </c>
      <c r="N381" s="11"/>
    </row>
    <row r="382" customFormat="false" ht="15" hidden="false" customHeight="false" outlineLevel="0" collapsed="false">
      <c r="A382" s="27"/>
      <c r="B382" s="11"/>
      <c r="C382" s="7" t="str">
        <f aca="false">IFERROR(INDEX('3. Costeo y Precios'!$B$14:$B$64,MATCH($B382,'3. Costeo y Precios'!$A$14:$A$64,0)),"")</f>
        <v/>
      </c>
      <c r="D382" s="11"/>
      <c r="E382" s="11"/>
      <c r="F382" s="9"/>
      <c r="G382" s="13" t="str">
        <f aca="false">IF($B382="","",E382*F382)</f>
        <v/>
      </c>
      <c r="H382" s="13" t="n">
        <f aca="false">IFERROR(INDEX('3. Costeo y Precios'!$M$14:$M$64,MATCH($B382,'3. Costeo y Precios'!$A$14:$A$64,0)),0)</f>
        <v>0</v>
      </c>
      <c r="I382" s="13" t="str">
        <f aca="false">IF($B382="","",E382*H382)</f>
        <v/>
      </c>
      <c r="J382" s="28"/>
      <c r="K382" s="13" t="str">
        <f aca="false">IF($B382="","",G382*J382)</f>
        <v/>
      </c>
      <c r="L382" s="13" t="str">
        <f aca="false">IF($B382="","",G382-I382-K382)</f>
        <v/>
      </c>
      <c r="M382" s="22" t="str">
        <f aca="false">IFERROR(L382/G382,"")</f>
        <v/>
      </c>
      <c r="N382" s="11"/>
    </row>
    <row r="383" customFormat="false" ht="15" hidden="false" customHeight="false" outlineLevel="0" collapsed="false">
      <c r="A383" s="27"/>
      <c r="B383" s="11"/>
      <c r="C383" s="7" t="str">
        <f aca="false">IFERROR(INDEX('3. Costeo y Precios'!$B$14:$B$64,MATCH($B383,'3. Costeo y Precios'!$A$14:$A$64,0)),"")</f>
        <v/>
      </c>
      <c r="D383" s="11"/>
      <c r="E383" s="11"/>
      <c r="F383" s="9"/>
      <c r="G383" s="13" t="str">
        <f aca="false">IF($B383="","",E383*F383)</f>
        <v/>
      </c>
      <c r="H383" s="13" t="n">
        <f aca="false">IFERROR(INDEX('3. Costeo y Precios'!$M$14:$M$64,MATCH($B383,'3. Costeo y Precios'!$A$14:$A$64,0)),0)</f>
        <v>0</v>
      </c>
      <c r="I383" s="13" t="str">
        <f aca="false">IF($B383="","",E383*H383)</f>
        <v/>
      </c>
      <c r="J383" s="28"/>
      <c r="K383" s="13" t="str">
        <f aca="false">IF($B383="","",G383*J383)</f>
        <v/>
      </c>
      <c r="L383" s="13" t="str">
        <f aca="false">IF($B383="","",G383-I383-K383)</f>
        <v/>
      </c>
      <c r="M383" s="22" t="str">
        <f aca="false">IFERROR(L383/G383,"")</f>
        <v/>
      </c>
      <c r="N383" s="11"/>
    </row>
    <row r="384" customFormat="false" ht="15" hidden="false" customHeight="false" outlineLevel="0" collapsed="false">
      <c r="A384" s="27"/>
      <c r="B384" s="11"/>
      <c r="C384" s="7" t="str">
        <f aca="false">IFERROR(INDEX('3. Costeo y Precios'!$B$14:$B$64,MATCH($B384,'3. Costeo y Precios'!$A$14:$A$64,0)),"")</f>
        <v/>
      </c>
      <c r="D384" s="11"/>
      <c r="E384" s="11"/>
      <c r="F384" s="9"/>
      <c r="G384" s="13" t="str">
        <f aca="false">IF($B384="","",E384*F384)</f>
        <v/>
      </c>
      <c r="H384" s="13" t="n">
        <f aca="false">IFERROR(INDEX('3. Costeo y Precios'!$M$14:$M$64,MATCH($B384,'3. Costeo y Precios'!$A$14:$A$64,0)),0)</f>
        <v>0</v>
      </c>
      <c r="I384" s="13" t="str">
        <f aca="false">IF($B384="","",E384*H384)</f>
        <v/>
      </c>
      <c r="J384" s="28"/>
      <c r="K384" s="13" t="str">
        <f aca="false">IF($B384="","",G384*J384)</f>
        <v/>
      </c>
      <c r="L384" s="13" t="str">
        <f aca="false">IF($B384="","",G384-I384-K384)</f>
        <v/>
      </c>
      <c r="M384" s="22" t="str">
        <f aca="false">IFERROR(L384/G384,"")</f>
        <v/>
      </c>
      <c r="N384" s="11"/>
    </row>
    <row r="385" customFormat="false" ht="15" hidden="false" customHeight="false" outlineLevel="0" collapsed="false">
      <c r="A385" s="27"/>
      <c r="B385" s="11"/>
      <c r="C385" s="7" t="str">
        <f aca="false">IFERROR(INDEX('3. Costeo y Precios'!$B$14:$B$64,MATCH($B385,'3. Costeo y Precios'!$A$14:$A$64,0)),"")</f>
        <v/>
      </c>
      <c r="D385" s="11"/>
      <c r="E385" s="11"/>
      <c r="F385" s="9"/>
      <c r="G385" s="13" t="str">
        <f aca="false">IF($B385="","",E385*F385)</f>
        <v/>
      </c>
      <c r="H385" s="13" t="n">
        <f aca="false">IFERROR(INDEX('3. Costeo y Precios'!$M$14:$M$64,MATCH($B385,'3. Costeo y Precios'!$A$14:$A$64,0)),0)</f>
        <v>0</v>
      </c>
      <c r="I385" s="13" t="str">
        <f aca="false">IF($B385="","",E385*H385)</f>
        <v/>
      </c>
      <c r="J385" s="28"/>
      <c r="K385" s="13" t="str">
        <f aca="false">IF($B385="","",G385*J385)</f>
        <v/>
      </c>
      <c r="L385" s="13" t="str">
        <f aca="false">IF($B385="","",G385-I385-K385)</f>
        <v/>
      </c>
      <c r="M385" s="22" t="str">
        <f aca="false">IFERROR(L385/G385,"")</f>
        <v/>
      </c>
      <c r="N385" s="11"/>
    </row>
    <row r="386" customFormat="false" ht="15" hidden="false" customHeight="false" outlineLevel="0" collapsed="false">
      <c r="A386" s="27"/>
      <c r="B386" s="11"/>
      <c r="C386" s="7" t="str">
        <f aca="false">IFERROR(INDEX('3. Costeo y Precios'!$B$14:$B$64,MATCH($B386,'3. Costeo y Precios'!$A$14:$A$64,0)),"")</f>
        <v/>
      </c>
      <c r="D386" s="11"/>
      <c r="E386" s="11"/>
      <c r="F386" s="9"/>
      <c r="G386" s="13" t="str">
        <f aca="false">IF($B386="","",E386*F386)</f>
        <v/>
      </c>
      <c r="H386" s="13" t="n">
        <f aca="false">IFERROR(INDEX('3. Costeo y Precios'!$M$14:$M$64,MATCH($B386,'3. Costeo y Precios'!$A$14:$A$64,0)),0)</f>
        <v>0</v>
      </c>
      <c r="I386" s="13" t="str">
        <f aca="false">IF($B386="","",E386*H386)</f>
        <v/>
      </c>
      <c r="J386" s="28"/>
      <c r="K386" s="13" t="str">
        <f aca="false">IF($B386="","",G386*J386)</f>
        <v/>
      </c>
      <c r="L386" s="13" t="str">
        <f aca="false">IF($B386="","",G386-I386-K386)</f>
        <v/>
      </c>
      <c r="M386" s="22" t="str">
        <f aca="false">IFERROR(L386/G386,"")</f>
        <v/>
      </c>
      <c r="N386" s="11"/>
    </row>
    <row r="387" customFormat="false" ht="15" hidden="false" customHeight="false" outlineLevel="0" collapsed="false">
      <c r="A387" s="27"/>
      <c r="B387" s="11"/>
      <c r="C387" s="7" t="str">
        <f aca="false">IFERROR(INDEX('3. Costeo y Precios'!$B$14:$B$64,MATCH($B387,'3. Costeo y Precios'!$A$14:$A$64,0)),"")</f>
        <v/>
      </c>
      <c r="D387" s="11"/>
      <c r="E387" s="11"/>
      <c r="F387" s="9"/>
      <c r="G387" s="13" t="str">
        <f aca="false">IF($B387="","",E387*F387)</f>
        <v/>
      </c>
      <c r="H387" s="13" t="n">
        <f aca="false">IFERROR(INDEX('3. Costeo y Precios'!$M$14:$M$64,MATCH($B387,'3. Costeo y Precios'!$A$14:$A$64,0)),0)</f>
        <v>0</v>
      </c>
      <c r="I387" s="13" t="str">
        <f aca="false">IF($B387="","",E387*H387)</f>
        <v/>
      </c>
      <c r="J387" s="28"/>
      <c r="K387" s="13" t="str">
        <f aca="false">IF($B387="","",G387*J387)</f>
        <v/>
      </c>
      <c r="L387" s="13" t="str">
        <f aca="false">IF($B387="","",G387-I387-K387)</f>
        <v/>
      </c>
      <c r="M387" s="22" t="str">
        <f aca="false">IFERROR(L387/G387,"")</f>
        <v/>
      </c>
      <c r="N387" s="11"/>
    </row>
    <row r="388" customFormat="false" ht="15" hidden="false" customHeight="false" outlineLevel="0" collapsed="false">
      <c r="A388" s="27"/>
      <c r="B388" s="11"/>
      <c r="C388" s="7" t="str">
        <f aca="false">IFERROR(INDEX('3. Costeo y Precios'!$B$14:$B$64,MATCH($B388,'3. Costeo y Precios'!$A$14:$A$64,0)),"")</f>
        <v/>
      </c>
      <c r="D388" s="11"/>
      <c r="E388" s="11"/>
      <c r="F388" s="9"/>
      <c r="G388" s="13" t="str">
        <f aca="false">IF($B388="","",E388*F388)</f>
        <v/>
      </c>
      <c r="H388" s="13" t="n">
        <f aca="false">IFERROR(INDEX('3. Costeo y Precios'!$M$14:$M$64,MATCH($B388,'3. Costeo y Precios'!$A$14:$A$64,0)),0)</f>
        <v>0</v>
      </c>
      <c r="I388" s="13" t="str">
        <f aca="false">IF($B388="","",E388*H388)</f>
        <v/>
      </c>
      <c r="J388" s="28"/>
      <c r="K388" s="13" t="str">
        <f aca="false">IF($B388="","",G388*J388)</f>
        <v/>
      </c>
      <c r="L388" s="13" t="str">
        <f aca="false">IF($B388="","",G388-I388-K388)</f>
        <v/>
      </c>
      <c r="M388" s="22" t="str">
        <f aca="false">IFERROR(L388/G388,"")</f>
        <v/>
      </c>
      <c r="N388" s="11"/>
    </row>
    <row r="389" customFormat="false" ht="15" hidden="false" customHeight="false" outlineLevel="0" collapsed="false">
      <c r="A389" s="27"/>
      <c r="B389" s="11"/>
      <c r="C389" s="7" t="str">
        <f aca="false">IFERROR(INDEX('3. Costeo y Precios'!$B$14:$B$64,MATCH($B389,'3. Costeo y Precios'!$A$14:$A$64,0)),"")</f>
        <v/>
      </c>
      <c r="D389" s="11"/>
      <c r="E389" s="11"/>
      <c r="F389" s="9"/>
      <c r="G389" s="13" t="str">
        <f aca="false">IF($B389="","",E389*F389)</f>
        <v/>
      </c>
      <c r="H389" s="13" t="n">
        <f aca="false">IFERROR(INDEX('3. Costeo y Precios'!$M$14:$M$64,MATCH($B389,'3. Costeo y Precios'!$A$14:$A$64,0)),0)</f>
        <v>0</v>
      </c>
      <c r="I389" s="13" t="str">
        <f aca="false">IF($B389="","",E389*H389)</f>
        <v/>
      </c>
      <c r="J389" s="28"/>
      <c r="K389" s="13" t="str">
        <f aca="false">IF($B389="","",G389*J389)</f>
        <v/>
      </c>
      <c r="L389" s="13" t="str">
        <f aca="false">IF($B389="","",G389-I389-K389)</f>
        <v/>
      </c>
      <c r="M389" s="22" t="str">
        <f aca="false">IFERROR(L389/G389,"")</f>
        <v/>
      </c>
      <c r="N389" s="11"/>
    </row>
    <row r="390" customFormat="false" ht="15" hidden="false" customHeight="false" outlineLevel="0" collapsed="false">
      <c r="A390" s="27"/>
      <c r="B390" s="11"/>
      <c r="C390" s="7" t="str">
        <f aca="false">IFERROR(INDEX('3. Costeo y Precios'!$B$14:$B$64,MATCH($B390,'3. Costeo y Precios'!$A$14:$A$64,0)),"")</f>
        <v/>
      </c>
      <c r="D390" s="11"/>
      <c r="E390" s="11"/>
      <c r="F390" s="9"/>
      <c r="G390" s="13" t="str">
        <f aca="false">IF($B390="","",E390*F390)</f>
        <v/>
      </c>
      <c r="H390" s="13" t="n">
        <f aca="false">IFERROR(INDEX('3. Costeo y Precios'!$M$14:$M$64,MATCH($B390,'3. Costeo y Precios'!$A$14:$A$64,0)),0)</f>
        <v>0</v>
      </c>
      <c r="I390" s="13" t="str">
        <f aca="false">IF($B390="","",E390*H390)</f>
        <v/>
      </c>
      <c r="J390" s="28"/>
      <c r="K390" s="13" t="str">
        <f aca="false">IF($B390="","",G390*J390)</f>
        <v/>
      </c>
      <c r="L390" s="13" t="str">
        <f aca="false">IF($B390="","",G390-I390-K390)</f>
        <v/>
      </c>
      <c r="M390" s="22" t="str">
        <f aca="false">IFERROR(L390/G390,"")</f>
        <v/>
      </c>
      <c r="N390" s="11"/>
    </row>
    <row r="391" customFormat="false" ht="15" hidden="false" customHeight="false" outlineLevel="0" collapsed="false">
      <c r="A391" s="27"/>
      <c r="B391" s="11"/>
      <c r="C391" s="7" t="str">
        <f aca="false">IFERROR(INDEX('3. Costeo y Precios'!$B$14:$B$64,MATCH($B391,'3. Costeo y Precios'!$A$14:$A$64,0)),"")</f>
        <v/>
      </c>
      <c r="D391" s="11"/>
      <c r="E391" s="11"/>
      <c r="F391" s="9"/>
      <c r="G391" s="13" t="str">
        <f aca="false">IF($B391="","",E391*F391)</f>
        <v/>
      </c>
      <c r="H391" s="13" t="n">
        <f aca="false">IFERROR(INDEX('3. Costeo y Precios'!$M$14:$M$64,MATCH($B391,'3. Costeo y Precios'!$A$14:$A$64,0)),0)</f>
        <v>0</v>
      </c>
      <c r="I391" s="13" t="str">
        <f aca="false">IF($B391="","",E391*H391)</f>
        <v/>
      </c>
      <c r="J391" s="28"/>
      <c r="K391" s="13" t="str">
        <f aca="false">IF($B391="","",G391*J391)</f>
        <v/>
      </c>
      <c r="L391" s="13" t="str">
        <f aca="false">IF($B391="","",G391-I391-K391)</f>
        <v/>
      </c>
      <c r="M391" s="22" t="str">
        <f aca="false">IFERROR(L391/G391,"")</f>
        <v/>
      </c>
      <c r="N391" s="11"/>
    </row>
    <row r="392" customFormat="false" ht="15" hidden="false" customHeight="false" outlineLevel="0" collapsed="false">
      <c r="A392" s="27"/>
      <c r="B392" s="11"/>
      <c r="C392" s="7" t="str">
        <f aca="false">IFERROR(INDEX('3. Costeo y Precios'!$B$14:$B$64,MATCH($B392,'3. Costeo y Precios'!$A$14:$A$64,0)),"")</f>
        <v/>
      </c>
      <c r="D392" s="11"/>
      <c r="E392" s="11"/>
      <c r="F392" s="9"/>
      <c r="G392" s="13" t="str">
        <f aca="false">IF($B392="","",E392*F392)</f>
        <v/>
      </c>
      <c r="H392" s="13" t="n">
        <f aca="false">IFERROR(INDEX('3. Costeo y Precios'!$M$14:$M$64,MATCH($B392,'3. Costeo y Precios'!$A$14:$A$64,0)),0)</f>
        <v>0</v>
      </c>
      <c r="I392" s="13" t="str">
        <f aca="false">IF($B392="","",E392*H392)</f>
        <v/>
      </c>
      <c r="J392" s="28"/>
      <c r="K392" s="13" t="str">
        <f aca="false">IF($B392="","",G392*J392)</f>
        <v/>
      </c>
      <c r="L392" s="13" t="str">
        <f aca="false">IF($B392="","",G392-I392-K392)</f>
        <v/>
      </c>
      <c r="M392" s="22" t="str">
        <f aca="false">IFERROR(L392/G392,"")</f>
        <v/>
      </c>
      <c r="N392" s="11"/>
    </row>
    <row r="393" customFormat="false" ht="15" hidden="false" customHeight="false" outlineLevel="0" collapsed="false">
      <c r="A393" s="27"/>
      <c r="B393" s="11"/>
      <c r="C393" s="7" t="str">
        <f aca="false">IFERROR(INDEX('3. Costeo y Precios'!$B$14:$B$64,MATCH($B393,'3. Costeo y Precios'!$A$14:$A$64,0)),"")</f>
        <v/>
      </c>
      <c r="D393" s="11"/>
      <c r="E393" s="11"/>
      <c r="F393" s="9"/>
      <c r="G393" s="13" t="str">
        <f aca="false">IF($B393="","",E393*F393)</f>
        <v/>
      </c>
      <c r="H393" s="13" t="n">
        <f aca="false">IFERROR(INDEX('3. Costeo y Precios'!$M$14:$M$64,MATCH($B393,'3. Costeo y Precios'!$A$14:$A$64,0)),0)</f>
        <v>0</v>
      </c>
      <c r="I393" s="13" t="str">
        <f aca="false">IF($B393="","",E393*H393)</f>
        <v/>
      </c>
      <c r="J393" s="28"/>
      <c r="K393" s="13" t="str">
        <f aca="false">IF($B393="","",G393*J393)</f>
        <v/>
      </c>
      <c r="L393" s="13" t="str">
        <f aca="false">IF($B393="","",G393-I393-K393)</f>
        <v/>
      </c>
      <c r="M393" s="22" t="str">
        <f aca="false">IFERROR(L393/G393,"")</f>
        <v/>
      </c>
      <c r="N393" s="11"/>
    </row>
    <row r="394" customFormat="false" ht="15" hidden="false" customHeight="false" outlineLevel="0" collapsed="false">
      <c r="A394" s="27"/>
      <c r="B394" s="11"/>
      <c r="C394" s="7" t="str">
        <f aca="false">IFERROR(INDEX('3. Costeo y Precios'!$B$14:$B$64,MATCH($B394,'3. Costeo y Precios'!$A$14:$A$64,0)),"")</f>
        <v/>
      </c>
      <c r="D394" s="11"/>
      <c r="E394" s="11"/>
      <c r="F394" s="9"/>
      <c r="G394" s="13" t="str">
        <f aca="false">IF($B394="","",E394*F394)</f>
        <v/>
      </c>
      <c r="H394" s="13" t="n">
        <f aca="false">IFERROR(INDEX('3. Costeo y Precios'!$M$14:$M$64,MATCH($B394,'3. Costeo y Precios'!$A$14:$A$64,0)),0)</f>
        <v>0</v>
      </c>
      <c r="I394" s="13" t="str">
        <f aca="false">IF($B394="","",E394*H394)</f>
        <v/>
      </c>
      <c r="J394" s="28"/>
      <c r="K394" s="13" t="str">
        <f aca="false">IF($B394="","",G394*J394)</f>
        <v/>
      </c>
      <c r="L394" s="13" t="str">
        <f aca="false">IF($B394="","",G394-I394-K394)</f>
        <v/>
      </c>
      <c r="M394" s="22" t="str">
        <f aca="false">IFERROR(L394/G394,"")</f>
        <v/>
      </c>
      <c r="N394" s="11"/>
    </row>
    <row r="395" customFormat="false" ht="15" hidden="false" customHeight="false" outlineLevel="0" collapsed="false">
      <c r="A395" s="27"/>
      <c r="B395" s="11"/>
      <c r="C395" s="7" t="str">
        <f aca="false">IFERROR(INDEX('3. Costeo y Precios'!$B$14:$B$64,MATCH($B395,'3. Costeo y Precios'!$A$14:$A$64,0)),"")</f>
        <v/>
      </c>
      <c r="D395" s="11"/>
      <c r="E395" s="11"/>
      <c r="F395" s="9"/>
      <c r="G395" s="13" t="str">
        <f aca="false">IF($B395="","",E395*F395)</f>
        <v/>
      </c>
      <c r="H395" s="13" t="n">
        <f aca="false">IFERROR(INDEX('3. Costeo y Precios'!$M$14:$M$64,MATCH($B395,'3. Costeo y Precios'!$A$14:$A$64,0)),0)</f>
        <v>0</v>
      </c>
      <c r="I395" s="13" t="str">
        <f aca="false">IF($B395="","",E395*H395)</f>
        <v/>
      </c>
      <c r="J395" s="28"/>
      <c r="K395" s="13" t="str">
        <f aca="false">IF($B395="","",G395*J395)</f>
        <v/>
      </c>
      <c r="L395" s="13" t="str">
        <f aca="false">IF($B395="","",G395-I395-K395)</f>
        <v/>
      </c>
      <c r="M395" s="22" t="str">
        <f aca="false">IFERROR(L395/G395,"")</f>
        <v/>
      </c>
      <c r="N395" s="11"/>
    </row>
    <row r="396" customFormat="false" ht="15" hidden="false" customHeight="false" outlineLevel="0" collapsed="false">
      <c r="A396" s="27"/>
      <c r="B396" s="11"/>
      <c r="C396" s="7" t="str">
        <f aca="false">IFERROR(INDEX('3. Costeo y Precios'!$B$14:$B$64,MATCH($B396,'3. Costeo y Precios'!$A$14:$A$64,0)),"")</f>
        <v/>
      </c>
      <c r="D396" s="11"/>
      <c r="E396" s="11"/>
      <c r="F396" s="9"/>
      <c r="G396" s="13" t="str">
        <f aca="false">IF($B396="","",E396*F396)</f>
        <v/>
      </c>
      <c r="H396" s="13" t="n">
        <f aca="false">IFERROR(INDEX('3. Costeo y Precios'!$M$14:$M$64,MATCH($B396,'3. Costeo y Precios'!$A$14:$A$64,0)),0)</f>
        <v>0</v>
      </c>
      <c r="I396" s="13" t="str">
        <f aca="false">IF($B396="","",E396*H396)</f>
        <v/>
      </c>
      <c r="J396" s="28"/>
      <c r="K396" s="13" t="str">
        <f aca="false">IF($B396="","",G396*J396)</f>
        <v/>
      </c>
      <c r="L396" s="13" t="str">
        <f aca="false">IF($B396="","",G396-I396-K396)</f>
        <v/>
      </c>
      <c r="M396" s="22" t="str">
        <f aca="false">IFERROR(L396/G396,"")</f>
        <v/>
      </c>
      <c r="N396" s="11"/>
    </row>
    <row r="397" customFormat="false" ht="15" hidden="false" customHeight="false" outlineLevel="0" collapsed="false">
      <c r="A397" s="27"/>
      <c r="B397" s="11"/>
      <c r="C397" s="7" t="str">
        <f aca="false">IFERROR(INDEX('3. Costeo y Precios'!$B$14:$B$64,MATCH($B397,'3. Costeo y Precios'!$A$14:$A$64,0)),"")</f>
        <v/>
      </c>
      <c r="D397" s="11"/>
      <c r="E397" s="11"/>
      <c r="F397" s="9"/>
      <c r="G397" s="13" t="str">
        <f aca="false">IF($B397="","",E397*F397)</f>
        <v/>
      </c>
      <c r="H397" s="13" t="n">
        <f aca="false">IFERROR(INDEX('3. Costeo y Precios'!$M$14:$M$64,MATCH($B397,'3. Costeo y Precios'!$A$14:$A$64,0)),0)</f>
        <v>0</v>
      </c>
      <c r="I397" s="13" t="str">
        <f aca="false">IF($B397="","",E397*H397)</f>
        <v/>
      </c>
      <c r="J397" s="28"/>
      <c r="K397" s="13" t="str">
        <f aca="false">IF($B397="","",G397*J397)</f>
        <v/>
      </c>
      <c r="L397" s="13" t="str">
        <f aca="false">IF($B397="","",G397-I397-K397)</f>
        <v/>
      </c>
      <c r="M397" s="22" t="str">
        <f aca="false">IFERROR(L397/G397,"")</f>
        <v/>
      </c>
      <c r="N397" s="11"/>
    </row>
    <row r="398" customFormat="false" ht="15" hidden="false" customHeight="false" outlineLevel="0" collapsed="false">
      <c r="A398" s="27"/>
      <c r="B398" s="11"/>
      <c r="C398" s="7" t="str">
        <f aca="false">IFERROR(INDEX('3. Costeo y Precios'!$B$14:$B$64,MATCH($B398,'3. Costeo y Precios'!$A$14:$A$64,0)),"")</f>
        <v/>
      </c>
      <c r="D398" s="11"/>
      <c r="E398" s="11"/>
      <c r="F398" s="9"/>
      <c r="G398" s="13" t="str">
        <f aca="false">IF($B398="","",E398*F398)</f>
        <v/>
      </c>
      <c r="H398" s="13" t="n">
        <f aca="false">IFERROR(INDEX('3. Costeo y Precios'!$M$14:$M$64,MATCH($B398,'3. Costeo y Precios'!$A$14:$A$64,0)),0)</f>
        <v>0</v>
      </c>
      <c r="I398" s="13" t="str">
        <f aca="false">IF($B398="","",E398*H398)</f>
        <v/>
      </c>
      <c r="J398" s="28"/>
      <c r="K398" s="13" t="str">
        <f aca="false">IF($B398="","",G398*J398)</f>
        <v/>
      </c>
      <c r="L398" s="13" t="str">
        <f aca="false">IF($B398="","",G398-I398-K398)</f>
        <v/>
      </c>
      <c r="M398" s="22" t="str">
        <f aca="false">IFERROR(L398/G398,"")</f>
        <v/>
      </c>
      <c r="N398" s="11"/>
    </row>
    <row r="399" customFormat="false" ht="15" hidden="false" customHeight="false" outlineLevel="0" collapsed="false">
      <c r="A399" s="27"/>
      <c r="B399" s="11"/>
      <c r="C399" s="7" t="str">
        <f aca="false">IFERROR(INDEX('3. Costeo y Precios'!$B$14:$B$64,MATCH($B399,'3. Costeo y Precios'!$A$14:$A$64,0)),"")</f>
        <v/>
      </c>
      <c r="D399" s="11"/>
      <c r="E399" s="11"/>
      <c r="F399" s="9"/>
      <c r="G399" s="13" t="str">
        <f aca="false">IF($B399="","",E399*F399)</f>
        <v/>
      </c>
      <c r="H399" s="13" t="n">
        <f aca="false">IFERROR(INDEX('3. Costeo y Precios'!$M$14:$M$64,MATCH($B399,'3. Costeo y Precios'!$A$14:$A$64,0)),0)</f>
        <v>0</v>
      </c>
      <c r="I399" s="13" t="str">
        <f aca="false">IF($B399="","",E399*H399)</f>
        <v/>
      </c>
      <c r="J399" s="28"/>
      <c r="K399" s="13" t="str">
        <f aca="false">IF($B399="","",G399*J399)</f>
        <v/>
      </c>
      <c r="L399" s="13" t="str">
        <f aca="false">IF($B399="","",G399-I399-K399)</f>
        <v/>
      </c>
      <c r="M399" s="22" t="str">
        <f aca="false">IFERROR(L399/G399,"")</f>
        <v/>
      </c>
      <c r="N399" s="11"/>
    </row>
    <row r="400" customFormat="false" ht="15" hidden="false" customHeight="false" outlineLevel="0" collapsed="false">
      <c r="A400" s="27"/>
      <c r="B400" s="11"/>
      <c r="C400" s="7" t="str">
        <f aca="false">IFERROR(INDEX('3. Costeo y Precios'!$B$14:$B$64,MATCH($B400,'3. Costeo y Precios'!$A$14:$A$64,0)),"")</f>
        <v/>
      </c>
      <c r="D400" s="11"/>
      <c r="E400" s="11"/>
      <c r="F400" s="9"/>
      <c r="G400" s="13" t="str">
        <f aca="false">IF($B400="","",E400*F400)</f>
        <v/>
      </c>
      <c r="H400" s="13" t="n">
        <f aca="false">IFERROR(INDEX('3. Costeo y Precios'!$M$14:$M$64,MATCH($B400,'3. Costeo y Precios'!$A$14:$A$64,0)),0)</f>
        <v>0</v>
      </c>
      <c r="I400" s="13" t="str">
        <f aca="false">IF($B400="","",E400*H400)</f>
        <v/>
      </c>
      <c r="J400" s="28"/>
      <c r="K400" s="13" t="str">
        <f aca="false">IF($B400="","",G400*J400)</f>
        <v/>
      </c>
      <c r="L400" s="13" t="str">
        <f aca="false">IF($B400="","",G400-I400-K400)</f>
        <v/>
      </c>
      <c r="M400" s="22" t="str">
        <f aca="false">IFERROR(L400/G400,"")</f>
        <v/>
      </c>
      <c r="N400" s="11"/>
    </row>
    <row r="401" customFormat="false" ht="15" hidden="false" customHeight="false" outlineLevel="0" collapsed="false">
      <c r="A401" s="27"/>
      <c r="B401" s="11"/>
      <c r="C401" s="7" t="str">
        <f aca="false">IFERROR(INDEX('3. Costeo y Precios'!$B$14:$B$64,MATCH($B401,'3. Costeo y Precios'!$A$14:$A$64,0)),"")</f>
        <v/>
      </c>
      <c r="D401" s="11"/>
      <c r="E401" s="11"/>
      <c r="F401" s="9"/>
      <c r="G401" s="13" t="str">
        <f aca="false">IF($B401="","",E401*F401)</f>
        <v/>
      </c>
      <c r="H401" s="13" t="n">
        <f aca="false">IFERROR(INDEX('3. Costeo y Precios'!$M$14:$M$64,MATCH($B401,'3. Costeo y Precios'!$A$14:$A$64,0)),0)</f>
        <v>0</v>
      </c>
      <c r="I401" s="13" t="str">
        <f aca="false">IF($B401="","",E401*H401)</f>
        <v/>
      </c>
      <c r="J401" s="28"/>
      <c r="K401" s="13" t="str">
        <f aca="false">IF($B401="","",G401*J401)</f>
        <v/>
      </c>
      <c r="L401" s="13" t="str">
        <f aca="false">IF($B401="","",G401-I401-K401)</f>
        <v/>
      </c>
      <c r="M401" s="22" t="str">
        <f aca="false">IFERROR(L401/G401,"")</f>
        <v/>
      </c>
      <c r="N401" s="11"/>
    </row>
    <row r="402" customFormat="false" ht="15" hidden="false" customHeight="false" outlineLevel="0" collapsed="false">
      <c r="A402" s="27"/>
      <c r="B402" s="11"/>
      <c r="C402" s="7" t="str">
        <f aca="false">IFERROR(INDEX('3. Costeo y Precios'!$B$14:$B$64,MATCH($B402,'3. Costeo y Precios'!$A$14:$A$64,0)),"")</f>
        <v/>
      </c>
      <c r="D402" s="11"/>
      <c r="E402" s="11"/>
      <c r="F402" s="9"/>
      <c r="G402" s="13" t="str">
        <f aca="false">IF($B402="","",E402*F402)</f>
        <v/>
      </c>
      <c r="H402" s="13" t="n">
        <f aca="false">IFERROR(INDEX('3. Costeo y Precios'!$M$14:$M$64,MATCH($B402,'3. Costeo y Precios'!$A$14:$A$64,0)),0)</f>
        <v>0</v>
      </c>
      <c r="I402" s="13" t="str">
        <f aca="false">IF($B402="","",E402*H402)</f>
        <v/>
      </c>
      <c r="J402" s="28"/>
      <c r="K402" s="13" t="str">
        <f aca="false">IF($B402="","",G402*J402)</f>
        <v/>
      </c>
      <c r="L402" s="13" t="str">
        <f aca="false">IF($B402="","",G402-I402-K402)</f>
        <v/>
      </c>
      <c r="M402" s="22" t="str">
        <f aca="false">IFERROR(L402/G402,"")</f>
        <v/>
      </c>
      <c r="N402" s="11"/>
    </row>
    <row r="403" customFormat="false" ht="15" hidden="false" customHeight="false" outlineLevel="0" collapsed="false">
      <c r="A403" s="27"/>
      <c r="B403" s="11"/>
      <c r="C403" s="7" t="str">
        <f aca="false">IFERROR(INDEX('3. Costeo y Precios'!$B$14:$B$64,MATCH($B403,'3. Costeo y Precios'!$A$14:$A$64,0)),"")</f>
        <v/>
      </c>
      <c r="D403" s="11"/>
      <c r="E403" s="11"/>
      <c r="F403" s="9"/>
      <c r="G403" s="13" t="str">
        <f aca="false">IF($B403="","",E403*F403)</f>
        <v/>
      </c>
      <c r="H403" s="13" t="n">
        <f aca="false">IFERROR(INDEX('3. Costeo y Precios'!$M$14:$M$64,MATCH($B403,'3. Costeo y Precios'!$A$14:$A$64,0)),0)</f>
        <v>0</v>
      </c>
      <c r="I403" s="13" t="str">
        <f aca="false">IF($B403="","",E403*H403)</f>
        <v/>
      </c>
      <c r="J403" s="28"/>
      <c r="K403" s="13" t="str">
        <f aca="false">IF($B403="","",G403*J403)</f>
        <v/>
      </c>
      <c r="L403" s="13" t="str">
        <f aca="false">IF($B403="","",G403-I403-K403)</f>
        <v/>
      </c>
      <c r="M403" s="22" t="str">
        <f aca="false">IFERROR(L403/G403,"")</f>
        <v/>
      </c>
      <c r="N403" s="11"/>
    </row>
    <row r="404" customFormat="false" ht="15" hidden="false" customHeight="false" outlineLevel="0" collapsed="false">
      <c r="A404" s="27"/>
      <c r="B404" s="11"/>
      <c r="C404" s="7" t="str">
        <f aca="false">IFERROR(INDEX('3. Costeo y Precios'!$B$14:$B$64,MATCH($B404,'3. Costeo y Precios'!$A$14:$A$64,0)),"")</f>
        <v/>
      </c>
      <c r="D404" s="11"/>
      <c r="E404" s="11"/>
      <c r="F404" s="9"/>
      <c r="G404" s="13" t="str">
        <f aca="false">IF($B404="","",E404*F404)</f>
        <v/>
      </c>
      <c r="H404" s="13" t="n">
        <f aca="false">IFERROR(INDEX('3. Costeo y Precios'!$M$14:$M$64,MATCH($B404,'3. Costeo y Precios'!$A$14:$A$64,0)),0)</f>
        <v>0</v>
      </c>
      <c r="I404" s="13" t="str">
        <f aca="false">IF($B404="","",E404*H404)</f>
        <v/>
      </c>
      <c r="J404" s="28"/>
      <c r="K404" s="13" t="str">
        <f aca="false">IF($B404="","",G404*J404)</f>
        <v/>
      </c>
      <c r="L404" s="13" t="str">
        <f aca="false">IF($B404="","",G404-I404-K404)</f>
        <v/>
      </c>
      <c r="M404" s="22" t="str">
        <f aca="false">IFERROR(L404/G404,"")</f>
        <v/>
      </c>
      <c r="N404" s="11"/>
    </row>
    <row r="405" customFormat="false" ht="15" hidden="false" customHeight="false" outlineLevel="0" collapsed="false">
      <c r="A405" s="27"/>
      <c r="B405" s="11"/>
      <c r="C405" s="7" t="str">
        <f aca="false">IFERROR(INDEX('3. Costeo y Precios'!$B$14:$B$64,MATCH($B405,'3. Costeo y Precios'!$A$14:$A$64,0)),"")</f>
        <v/>
      </c>
      <c r="D405" s="11"/>
      <c r="E405" s="11"/>
      <c r="F405" s="9"/>
      <c r="G405" s="13" t="str">
        <f aca="false">IF($B405="","",E405*F405)</f>
        <v/>
      </c>
      <c r="H405" s="13" t="n">
        <f aca="false">IFERROR(INDEX('3. Costeo y Precios'!$M$14:$M$64,MATCH($B405,'3. Costeo y Precios'!$A$14:$A$64,0)),0)</f>
        <v>0</v>
      </c>
      <c r="I405" s="13" t="str">
        <f aca="false">IF($B405="","",E405*H405)</f>
        <v/>
      </c>
      <c r="J405" s="28"/>
      <c r="K405" s="13" t="str">
        <f aca="false">IF($B405="","",G405*J405)</f>
        <v/>
      </c>
      <c r="L405" s="13" t="str">
        <f aca="false">IF($B405="","",G405-I405-K405)</f>
        <v/>
      </c>
      <c r="M405" s="22" t="str">
        <f aca="false">IFERROR(L405/G405,"")</f>
        <v/>
      </c>
      <c r="N405" s="11"/>
    </row>
    <row r="406" customFormat="false" ht="15" hidden="false" customHeight="false" outlineLevel="0" collapsed="false">
      <c r="A406" s="27"/>
      <c r="B406" s="11"/>
      <c r="C406" s="7" t="str">
        <f aca="false">IFERROR(INDEX('3. Costeo y Precios'!$B$14:$B$64,MATCH($B406,'3. Costeo y Precios'!$A$14:$A$64,0)),"")</f>
        <v/>
      </c>
      <c r="D406" s="11"/>
      <c r="E406" s="11"/>
      <c r="F406" s="9"/>
      <c r="G406" s="13" t="str">
        <f aca="false">IF($B406="","",E406*F406)</f>
        <v/>
      </c>
      <c r="H406" s="13" t="n">
        <f aca="false">IFERROR(INDEX('3. Costeo y Precios'!$M$14:$M$64,MATCH($B406,'3. Costeo y Precios'!$A$14:$A$64,0)),0)</f>
        <v>0</v>
      </c>
      <c r="I406" s="13" t="str">
        <f aca="false">IF($B406="","",E406*H406)</f>
        <v/>
      </c>
      <c r="J406" s="28"/>
      <c r="K406" s="13" t="str">
        <f aca="false">IF($B406="","",G406*J406)</f>
        <v/>
      </c>
      <c r="L406" s="13" t="str">
        <f aca="false">IF($B406="","",G406-I406-K406)</f>
        <v/>
      </c>
      <c r="M406" s="22" t="str">
        <f aca="false">IFERROR(L406/G406,"")</f>
        <v/>
      </c>
      <c r="N406" s="11"/>
    </row>
    <row r="407" customFormat="false" ht="15" hidden="false" customHeight="false" outlineLevel="0" collapsed="false">
      <c r="A407" s="27"/>
      <c r="B407" s="11"/>
      <c r="C407" s="7" t="str">
        <f aca="false">IFERROR(INDEX('3. Costeo y Precios'!$B$14:$B$64,MATCH($B407,'3. Costeo y Precios'!$A$14:$A$64,0)),"")</f>
        <v/>
      </c>
      <c r="D407" s="11"/>
      <c r="E407" s="11"/>
      <c r="F407" s="9"/>
      <c r="G407" s="13" t="str">
        <f aca="false">IF($B407="","",E407*F407)</f>
        <v/>
      </c>
      <c r="H407" s="13" t="n">
        <f aca="false">IFERROR(INDEX('3. Costeo y Precios'!$M$14:$M$64,MATCH($B407,'3. Costeo y Precios'!$A$14:$A$64,0)),0)</f>
        <v>0</v>
      </c>
      <c r="I407" s="13" t="str">
        <f aca="false">IF($B407="","",E407*H407)</f>
        <v/>
      </c>
      <c r="J407" s="28"/>
      <c r="K407" s="13" t="str">
        <f aca="false">IF($B407="","",G407*J407)</f>
        <v/>
      </c>
      <c r="L407" s="13" t="str">
        <f aca="false">IF($B407="","",G407-I407-K407)</f>
        <v/>
      </c>
      <c r="M407" s="22" t="str">
        <f aca="false">IFERROR(L407/G407,"")</f>
        <v/>
      </c>
      <c r="N407" s="11"/>
    </row>
  </sheetData>
  <dataValidations count="1">
    <dataValidation allowBlank="true" errorStyle="stop" operator="between" showDropDown="false" showErrorMessage="false" showInputMessage="false" sqref="D8:D407" type="list">
      <formula1>"Menudeo por pieza,Docena por encargo,Evento y banquete,Mayoreo / reventa,Temporada,Venta en línea"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54"/>
  </cols>
  <sheetData>
    <row r="1" customFormat="false" ht="17.35" hidden="false" customHeight="false" outlineLevel="0" collapsed="false">
      <c r="A1" s="1" t="s">
        <v>572</v>
      </c>
    </row>
    <row r="2" customFormat="false" ht="15" hidden="false" customHeight="false" outlineLevel="0" collapsed="false">
      <c r="A2" s="2" t="s">
        <v>573</v>
      </c>
    </row>
    <row r="4" customFormat="false" ht="15" hidden="false" customHeight="false" outlineLevel="0" collapsed="false">
      <c r="B4" s="3" t="s">
        <v>574</v>
      </c>
    </row>
    <row r="5" customFormat="false" ht="15" hidden="false" customHeight="false" outlineLevel="0" collapsed="false">
      <c r="B5" s="15" t="s">
        <v>575</v>
      </c>
      <c r="C5" s="29" t="n">
        <v>2500</v>
      </c>
    </row>
    <row r="6" customFormat="false" ht="15" hidden="false" customHeight="false" outlineLevel="0" collapsed="false">
      <c r="B6" s="15" t="s">
        <v>576</v>
      </c>
      <c r="C6" s="29" t="n">
        <v>900</v>
      </c>
    </row>
    <row r="7" customFormat="false" ht="15" hidden="false" customHeight="false" outlineLevel="0" collapsed="false">
      <c r="B7" s="15" t="s">
        <v>577</v>
      </c>
      <c r="C7" s="29" t="n">
        <v>600</v>
      </c>
    </row>
    <row r="8" customFormat="false" ht="15" hidden="false" customHeight="false" outlineLevel="0" collapsed="false">
      <c r="B8" s="15" t="s">
        <v>578</v>
      </c>
      <c r="C8" s="29" t="n">
        <v>1000</v>
      </c>
    </row>
    <row r="9" customFormat="false" ht="15" hidden="false" customHeight="false" outlineLevel="0" collapsed="false">
      <c r="B9" s="15" t="s">
        <v>579</v>
      </c>
      <c r="C9" s="29" t="n">
        <v>250</v>
      </c>
    </row>
    <row r="10" customFormat="false" ht="15" hidden="false" customHeight="false" outlineLevel="0" collapsed="false">
      <c r="B10" s="15" t="s">
        <v>580</v>
      </c>
      <c r="C10" s="29" t="n">
        <v>200</v>
      </c>
    </row>
    <row r="11" customFormat="false" ht="15" hidden="false" customHeight="false" outlineLevel="0" collapsed="false">
      <c r="B11" s="15" t="s">
        <v>581</v>
      </c>
      <c r="C11" s="29" t="n">
        <v>400</v>
      </c>
    </row>
    <row r="12" customFormat="false" ht="15" hidden="false" customHeight="false" outlineLevel="0" collapsed="false">
      <c r="B12" s="15" t="s">
        <v>582</v>
      </c>
      <c r="C12" s="29" t="n">
        <v>150</v>
      </c>
    </row>
    <row r="13" customFormat="false" ht="15" hidden="false" customHeight="false" outlineLevel="0" collapsed="false">
      <c r="B13" s="15" t="s">
        <v>583</v>
      </c>
      <c r="C13" s="29" t="n">
        <v>1000</v>
      </c>
    </row>
    <row r="14" customFormat="false" ht="15" hidden="false" customHeight="false" outlineLevel="0" collapsed="false">
      <c r="B14" s="15" t="s">
        <v>584</v>
      </c>
      <c r="C14" s="29" t="n">
        <v>150</v>
      </c>
    </row>
    <row r="15" customFormat="false" ht="15" hidden="false" customHeight="false" outlineLevel="0" collapsed="false">
      <c r="B15" s="30" t="s">
        <v>585</v>
      </c>
      <c r="C15" s="31" t="n">
        <f aca="false">SUM(C5:C14)</f>
        <v>7150</v>
      </c>
    </row>
    <row r="17" customFormat="false" ht="15" hidden="false" customHeight="false" outlineLevel="0" collapsed="false">
      <c r="B17" s="3" t="s">
        <v>586</v>
      </c>
    </row>
    <row r="18" customFormat="false" ht="15" hidden="false" customHeight="false" outlineLevel="0" collapsed="false">
      <c r="B18" s="15" t="s">
        <v>587</v>
      </c>
      <c r="C18" s="32" t="n">
        <v>1000</v>
      </c>
    </row>
    <row r="19" customFormat="false" ht="15" hidden="false" customHeight="false" outlineLevel="0" collapsed="false">
      <c r="B19" s="33" t="s">
        <v>588</v>
      </c>
      <c r="C19" s="18" t="n">
        <f aca="false">IFERROR($C$15/$C$18,0)</f>
        <v>7.15</v>
      </c>
      <c r="D19" s="17" t="s">
        <v>589</v>
      </c>
    </row>
    <row r="21" customFormat="false" ht="15" hidden="false" customHeight="false" outlineLevel="0" collapsed="false">
      <c r="B21" s="3" t="s">
        <v>590</v>
      </c>
    </row>
    <row r="22" customFormat="false" ht="15" hidden="false" customHeight="false" outlineLevel="0" collapsed="false">
      <c r="B22" s="15" t="s">
        <v>591</v>
      </c>
      <c r="C22" s="29" t="n">
        <v>12000</v>
      </c>
    </row>
    <row r="23" customFormat="false" ht="15" hidden="false" customHeight="false" outlineLevel="0" collapsed="false">
      <c r="B23" s="15" t="s">
        <v>592</v>
      </c>
      <c r="C23" s="32" t="n">
        <v>160</v>
      </c>
    </row>
    <row r="24" customFormat="false" ht="15" hidden="false" customHeight="false" outlineLevel="0" collapsed="false">
      <c r="B24" s="33" t="s">
        <v>593</v>
      </c>
      <c r="C24" s="18" t="n">
        <f aca="false">IFERROR($C$22/$C$23,0)</f>
        <v>75</v>
      </c>
    </row>
    <row r="26" customFormat="false" ht="15" hidden="false" customHeight="false" outlineLevel="0" collapsed="false">
      <c r="B26" s="3" t="s">
        <v>594</v>
      </c>
    </row>
    <row r="27" customFormat="false" ht="15" hidden="false" customHeight="false" outlineLevel="0" collapsed="false">
      <c r="B27" s="15" t="s">
        <v>595</v>
      </c>
      <c r="C27" s="18" t="n">
        <f aca="false">IFERROR(AVERAGE('3. Costeo y Precios'!$N$14:$N$64),0)</f>
        <v>90.6862745098039</v>
      </c>
      <c r="D27" s="17" t="s">
        <v>596</v>
      </c>
    </row>
    <row r="28" customFormat="false" ht="15" hidden="false" customHeight="false" outlineLevel="0" collapsed="false">
      <c r="B28" s="15" t="s">
        <v>597</v>
      </c>
      <c r="C28" s="18" t="n">
        <f aca="false">IFERROR(AVERAGE('3. Costeo y Precios'!$M$14:$M$64),0)</f>
        <v>44.148049107585</v>
      </c>
    </row>
    <row r="29" customFormat="false" ht="15" hidden="false" customHeight="false" outlineLevel="0" collapsed="false">
      <c r="B29" s="15" t="s">
        <v>598</v>
      </c>
      <c r="C29" s="18" t="n">
        <f aca="false">$C$27-$C$28</f>
        <v>46.538225402219</v>
      </c>
    </row>
    <row r="30" customFormat="false" ht="15" hidden="false" customHeight="false" outlineLevel="0" collapsed="false">
      <c r="B30" s="30" t="s">
        <v>599</v>
      </c>
      <c r="C30" s="34" t="n">
        <f aca="false">IFERROR(ROUNDUP($C$15/$C$29,0),0)</f>
        <v>154</v>
      </c>
    </row>
    <row r="31" customFormat="false" ht="15" hidden="false" customHeight="false" outlineLevel="0" collapsed="false">
      <c r="B31" s="33" t="s">
        <v>600</v>
      </c>
      <c r="C31" s="18" t="n">
        <f aca="false">$C$30*$C$27</f>
        <v>13965.6862745098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7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601</v>
      </c>
    </row>
    <row r="2" customFormat="false" ht="15" hidden="false" customHeight="false" outlineLevel="0" collapsed="false">
      <c r="A2" s="2" t="s">
        <v>602</v>
      </c>
    </row>
    <row r="4" customFormat="false" ht="15" hidden="false" customHeight="false" outlineLevel="0" collapsed="false">
      <c r="B4" s="4" t="s">
        <v>603</v>
      </c>
      <c r="C4" s="35" t="n">
        <v>46235</v>
      </c>
    </row>
    <row r="5" customFormat="false" ht="15" hidden="false" customHeight="false" outlineLevel="0" collapsed="false">
      <c r="B5" s="36" t="s">
        <v>604</v>
      </c>
      <c r="C5" s="37" t="n">
        <f aca="false">DATE(YEAR(C4),MONTH(C4),1)</f>
        <v>46235</v>
      </c>
    </row>
    <row r="6" customFormat="false" ht="15" hidden="false" customHeight="false" outlineLevel="0" collapsed="false">
      <c r="B6" s="36" t="s">
        <v>605</v>
      </c>
      <c r="C6" s="37" t="n">
        <f aca="false">DATE(YEAR(C4),MONTH(C4)+1,1)</f>
        <v>46266</v>
      </c>
    </row>
    <row r="8" customFormat="false" ht="15" hidden="false" customHeight="false" outlineLevel="0" collapsed="false">
      <c r="B8" s="3" t="s">
        <v>606</v>
      </c>
    </row>
    <row r="9" customFormat="false" ht="15" hidden="false" customHeight="false" outlineLevel="0" collapsed="false">
      <c r="B9" s="15" t="s">
        <v>607</v>
      </c>
      <c r="C9" s="38" t="n">
        <f aca="false">SUMIFS('5. Ventas'!$E$8:$E$407,'5. Ventas'!$A$8:$A$407,"&gt;="&amp;$C$5,'5. Ventas'!$A$8:$A$407,"&lt;"&amp;$C$6)</f>
        <v>96</v>
      </c>
      <c r="E9" s="15" t="s">
        <v>608</v>
      </c>
      <c r="F9" s="38" t="n">
        <f aca="false">SUMIFS('4. Producción y Merma'!$F$8:$F$207,'4. Producción y Merma'!$A$8:$A$207,"&gt;="&amp;$C$5,'4. Producción y Merma'!$A$8:$A$207,"&lt;"&amp;$C$6)</f>
        <v>56</v>
      </c>
    </row>
    <row r="10" customFormat="false" ht="15" hidden="false" customHeight="false" outlineLevel="0" collapsed="false">
      <c r="B10" s="15" t="s">
        <v>609</v>
      </c>
      <c r="C10" s="39" t="n">
        <f aca="false">SUMIFS('5. Ventas'!$G$8:$G$407,'5. Ventas'!$A$8:$A$407,"&gt;="&amp;$C$5,'5. Ventas'!$A$8:$A$407,"&lt;"&amp;$C$6)</f>
        <v>9660</v>
      </c>
      <c r="E10" s="15" t="s">
        <v>543</v>
      </c>
      <c r="F10" s="38" t="n">
        <f aca="false">SUMIFS('4. Producción y Merma'!$G$8:$G$207,'4. Producción y Merma'!$A$8:$A$207,"&gt;="&amp;$C$5,'4. Producción y Merma'!$A$8:$A$207,"&lt;"&amp;$C$6)</f>
        <v>4</v>
      </c>
    </row>
    <row r="11" customFormat="false" ht="15" hidden="false" customHeight="false" outlineLevel="0" collapsed="false">
      <c r="B11" s="15" t="s">
        <v>610</v>
      </c>
      <c r="C11" s="39" t="n">
        <f aca="false">SUMIFS('5. Ventas'!$I$8:$I$407,'5. Ventas'!$A$8:$A$407,"&gt;="&amp;$C$5,'5. Ventas'!$A$8:$A$407,"&lt;"&amp;$C$6)</f>
        <v>3838.22483766234</v>
      </c>
      <c r="E11" s="15" t="s">
        <v>611</v>
      </c>
      <c r="F11" s="40" t="n">
        <f aca="false">IFERROR(F10/(F9+F10),0)</f>
        <v>0.0666666666666667</v>
      </c>
    </row>
    <row r="12" customFormat="false" ht="15" hidden="false" customHeight="false" outlineLevel="0" collapsed="false">
      <c r="B12" s="15" t="s">
        <v>612</v>
      </c>
      <c r="C12" s="39" t="n">
        <f aca="false">SUMIFS('5. Ventas'!$L$8:$L$407,'5. Ventas'!$A$8:$A$407,"&gt;="&amp;$C$5,'5. Ventas'!$A$8:$A$407,"&lt;"&amp;$C$6)</f>
        <v>5821.77516233766</v>
      </c>
      <c r="E12" s="15" t="s">
        <v>613</v>
      </c>
      <c r="F12" s="39" t="n">
        <f aca="false">SUMIFS('4. Producción y Merma'!$K$8:$K$207,'4. Producción y Merma'!$A$8:$A$207,"&gt;="&amp;$C$5,'4. Producción y Merma'!$A$8:$A$207,"&lt;"&amp;$C$6)</f>
        <v>190.545048701299</v>
      </c>
    </row>
    <row r="13" customFormat="false" ht="15" hidden="false" customHeight="false" outlineLevel="0" collapsed="false">
      <c r="B13" s="15" t="s">
        <v>614</v>
      </c>
      <c r="C13" s="40" t="n">
        <f aca="false">IFERROR(C12/C10,0)</f>
        <v>0.602668236266839</v>
      </c>
      <c r="E13" s="15" t="s">
        <v>615</v>
      </c>
      <c r="F13" s="40" t="n">
        <f aca="false">IFERROR(F12/C10,0)</f>
        <v>0.0197251603210454</v>
      </c>
    </row>
    <row r="14" customFormat="false" ht="15" hidden="false" customHeight="false" outlineLevel="0" collapsed="false">
      <c r="B14" s="15" t="s">
        <v>616</v>
      </c>
      <c r="C14" s="39" t="n">
        <f aca="false">IFERROR(C10/C9,0)</f>
        <v>100.625</v>
      </c>
      <c r="E14" s="15" t="s">
        <v>617</v>
      </c>
      <c r="F14" s="38" t="n">
        <f aca="false">'6. Gastos Fijos'!$C$30</f>
        <v>154</v>
      </c>
    </row>
    <row r="15" customFormat="false" ht="15" hidden="false" customHeight="false" outlineLevel="0" collapsed="false">
      <c r="B15" s="4" t="s">
        <v>618</v>
      </c>
      <c r="C15" s="25" t="n">
        <f aca="false">IFERROR(C9/F14,0)</f>
        <v>0.623376623376623</v>
      </c>
    </row>
    <row r="16" customFormat="false" ht="15" hidden="false" customHeight="false" outlineLevel="0" collapsed="false">
      <c r="B16" s="4" t="s">
        <v>619</v>
      </c>
      <c r="C16" s="18" t="n">
        <f aca="false">C12-'6. Gastos Fijos'!$C$15</f>
        <v>-1328.22483766234</v>
      </c>
    </row>
    <row r="18" customFormat="false" ht="15" hidden="false" customHeight="false" outlineLevel="0" collapsed="false">
      <c r="B18" s="3" t="s">
        <v>620</v>
      </c>
    </row>
    <row r="19" customFormat="false" ht="15" hidden="false" customHeight="false" outlineLevel="0" collapsed="false">
      <c r="B19" s="41" t="s">
        <v>559</v>
      </c>
      <c r="C19" s="41" t="s">
        <v>560</v>
      </c>
      <c r="E19" s="41" t="s">
        <v>562</v>
      </c>
      <c r="F19" s="41" t="s">
        <v>566</v>
      </c>
    </row>
    <row r="20" customFormat="false" ht="15" hidden="false" customHeight="false" outlineLevel="0" collapsed="false">
      <c r="B20" s="36" t="s">
        <v>569</v>
      </c>
      <c r="C20" s="42" t="n">
        <f aca="false">SUMIFS('5. Ventas'!$E$8:$E$407,'5. Ventas'!$A$8:$A$407,"&gt;="&amp;$C$5,'5. Ventas'!$A$8:$A$407,"&lt;"&amp;$C$6,'5. Ventas'!$D$8:$D$407,$B20)</f>
        <v>12</v>
      </c>
      <c r="E20" s="43" t="n">
        <f aca="false">SUMIFS('5. Ventas'!$G$8:$G$407,'5. Ventas'!$A$8:$A$407,"&gt;="&amp;$C$5,'5. Ventas'!$A$8:$A$407,"&lt;"&amp;$C$6,'5. Ventas'!$D$8:$D$407,$B20)</f>
        <v>1140</v>
      </c>
      <c r="F20" s="43" t="n">
        <f aca="false">SUMIFS('5. Ventas'!$L$8:$L$407,'5. Ventas'!$A$8:$A$407,"&gt;="&amp;$C$5,'5. Ventas'!$A$8:$A$407,"&lt;"&amp;$C$6,'5. Ventas'!$D$8:$D$407,$B20)</f>
        <v>636.570616883117</v>
      </c>
    </row>
    <row r="21" customFormat="false" ht="15" hidden="false" customHeight="false" outlineLevel="0" collapsed="false">
      <c r="B21" s="36" t="s">
        <v>570</v>
      </c>
      <c r="C21" s="42" t="n">
        <f aca="false">SUMIFS('5. Ventas'!$E$8:$E$407,'5. Ventas'!$A$8:$A$407,"&gt;="&amp;$C$5,'5. Ventas'!$A$8:$A$407,"&lt;"&amp;$C$6,'5. Ventas'!$D$8:$D$407,$B21)</f>
        <v>24</v>
      </c>
      <c r="E21" s="43" t="n">
        <f aca="false">SUMIFS('5. Ventas'!$G$8:$G$407,'5. Ventas'!$A$8:$A$407,"&gt;="&amp;$C$5,'5. Ventas'!$A$8:$A$407,"&lt;"&amp;$C$6,'5. Ventas'!$D$8:$D$407,$B21)</f>
        <v>1920</v>
      </c>
      <c r="F21" s="43" t="n">
        <f aca="false">SUMIFS('5. Ventas'!$L$8:$L$407,'5. Ventas'!$A$8:$A$407,"&gt;="&amp;$C$5,'5. Ventas'!$A$8:$A$407,"&lt;"&amp;$C$6,'5. Ventas'!$D$8:$D$407,$B21)</f>
        <v>640.318181818182</v>
      </c>
    </row>
    <row r="22" customFormat="false" ht="15" hidden="false" customHeight="false" outlineLevel="0" collapsed="false">
      <c r="B22" s="36" t="s">
        <v>571</v>
      </c>
      <c r="C22" s="42" t="n">
        <f aca="false">SUMIFS('5. Ventas'!$E$8:$E$407,'5. Ventas'!$A$8:$A$407,"&gt;="&amp;$C$5,'5. Ventas'!$A$8:$A$407,"&lt;"&amp;$C$6,'5. Ventas'!$D$8:$D$407,$B22)</f>
        <v>60</v>
      </c>
      <c r="E22" s="43" t="n">
        <f aca="false">SUMIFS('5. Ventas'!$G$8:$G$407,'5. Ventas'!$A$8:$A$407,"&gt;="&amp;$C$5,'5. Ventas'!$A$8:$A$407,"&lt;"&amp;$C$6,'5. Ventas'!$D$8:$D$407,$B22)</f>
        <v>6600</v>
      </c>
      <c r="F22" s="43" t="n">
        <f aca="false">SUMIFS('5. Ventas'!$L$8:$L$407,'5. Ventas'!$A$8:$A$407,"&gt;="&amp;$C$5,'5. Ventas'!$A$8:$A$407,"&lt;"&amp;$C$6,'5. Ventas'!$D$8:$D$407,$B22)</f>
        <v>4544.88636363636</v>
      </c>
    </row>
    <row r="23" customFormat="false" ht="15" hidden="false" customHeight="false" outlineLevel="0" collapsed="false">
      <c r="B23" s="36" t="s">
        <v>621</v>
      </c>
      <c r="C23" s="42" t="n">
        <f aca="false">SUMIFS('5. Ventas'!$E$8:$E$407,'5. Ventas'!$A$8:$A$407,"&gt;="&amp;$C$5,'5. Ventas'!$A$8:$A$407,"&lt;"&amp;$C$6,'5. Ventas'!$D$8:$D$407,$B23)</f>
        <v>0</v>
      </c>
      <c r="E23" s="43" t="n">
        <f aca="false">SUMIFS('5. Ventas'!$G$8:$G$407,'5. Ventas'!$A$8:$A$407,"&gt;="&amp;$C$5,'5. Ventas'!$A$8:$A$407,"&lt;"&amp;$C$6,'5. Ventas'!$D$8:$D$407,$B23)</f>
        <v>0</v>
      </c>
      <c r="F23" s="43" t="n">
        <f aca="false">SUMIFS('5. Ventas'!$L$8:$L$407,'5. Ventas'!$A$8:$A$407,"&gt;="&amp;$C$5,'5. Ventas'!$A$8:$A$407,"&lt;"&amp;$C$6,'5. Ventas'!$D$8:$D$407,$B23)</f>
        <v>0</v>
      </c>
    </row>
    <row r="24" customFormat="false" ht="15" hidden="false" customHeight="false" outlineLevel="0" collapsed="false">
      <c r="B24" s="36" t="s">
        <v>622</v>
      </c>
      <c r="C24" s="42" t="n">
        <f aca="false">SUMIFS('5. Ventas'!$E$8:$E$407,'5. Ventas'!$A$8:$A$407,"&gt;="&amp;$C$5,'5. Ventas'!$A$8:$A$407,"&lt;"&amp;$C$6,'5. Ventas'!$D$8:$D$407,$B24)</f>
        <v>0</v>
      </c>
      <c r="E24" s="43" t="n">
        <f aca="false">SUMIFS('5. Ventas'!$G$8:$G$407,'5. Ventas'!$A$8:$A$407,"&gt;="&amp;$C$5,'5. Ventas'!$A$8:$A$407,"&lt;"&amp;$C$6,'5. Ventas'!$D$8:$D$407,$B24)</f>
        <v>0</v>
      </c>
      <c r="F24" s="43" t="n">
        <f aca="false">SUMIFS('5. Ventas'!$L$8:$L$407,'5. Ventas'!$A$8:$A$407,"&gt;="&amp;$C$5,'5. Ventas'!$A$8:$A$407,"&lt;"&amp;$C$6,'5. Ventas'!$D$8:$D$407,$B24)</f>
        <v>0</v>
      </c>
    </row>
    <row r="25" customFormat="false" ht="15" hidden="false" customHeight="false" outlineLevel="0" collapsed="false">
      <c r="B25" s="36" t="s">
        <v>623</v>
      </c>
      <c r="C25" s="42" t="n">
        <f aca="false">SUMIFS('5. Ventas'!$E$8:$E$407,'5. Ventas'!$A$8:$A$407,"&gt;="&amp;$C$5,'5. Ventas'!$A$8:$A$407,"&lt;"&amp;$C$6,'5. Ventas'!$D$8:$D$407,$B25)</f>
        <v>0</v>
      </c>
      <c r="E25" s="43" t="n">
        <f aca="false">SUMIFS('5. Ventas'!$G$8:$G$407,'5. Ventas'!$A$8:$A$407,"&gt;="&amp;$C$5,'5. Ventas'!$A$8:$A$407,"&lt;"&amp;$C$6,'5. Ventas'!$D$8:$D$407,$B25)</f>
        <v>0</v>
      </c>
      <c r="F25" s="43" t="n">
        <f aca="false">SUMIFS('5. Ventas'!$L$8:$L$407,'5. Ventas'!$A$8:$A$407,"&gt;="&amp;$C$5,'5. Ventas'!$A$8:$A$407,"&lt;"&amp;$C$6,'5. Ventas'!$D$8:$D$407,$B25)</f>
        <v>0</v>
      </c>
    </row>
    <row r="28" customFormat="false" ht="15" hidden="false" customHeight="false" outlineLevel="0" collapsed="false">
      <c r="B28" s="3" t="s">
        <v>624</v>
      </c>
    </row>
    <row r="29" customFormat="false" ht="15" hidden="false" customHeight="false" outlineLevel="0" collapsed="false">
      <c r="A29" s="41" t="s">
        <v>156</v>
      </c>
      <c r="B29" s="41" t="s">
        <v>157</v>
      </c>
      <c r="C29" s="41" t="s">
        <v>560</v>
      </c>
      <c r="E29" s="41" t="s">
        <v>562</v>
      </c>
      <c r="F29" s="41" t="s">
        <v>566</v>
      </c>
    </row>
    <row r="30" customFormat="false" ht="15" hidden="false" customHeight="false" outlineLevel="0" collapsed="false">
      <c r="A30" s="36" t="n">
        <v>1</v>
      </c>
      <c r="B30" s="36" t="s">
        <v>162</v>
      </c>
      <c r="C30" s="42" t="n">
        <f aca="false">SUMIFS('5. Ventas'!$E$8:$E$407,'5. Ventas'!$A$8:$A$407,"&gt;="&amp;$C$5,'5. Ventas'!$A$8:$A$407,"&lt;"&amp;$C$6,'5. Ventas'!$B$8:$B$407,$A30)</f>
        <v>12</v>
      </c>
      <c r="E30" s="43" t="n">
        <f aca="false">SUMIFS('5. Ventas'!$G$8:$G$407,'5. Ventas'!$A$8:$A$407,"&gt;="&amp;$C$5,'5. Ventas'!$A$8:$A$407,"&lt;"&amp;$C$6,'5. Ventas'!$B$8:$B$407,$A30)</f>
        <v>1140</v>
      </c>
      <c r="F30" s="43" t="n">
        <f aca="false">SUMIFS('5. Ventas'!$L$8:$L$407,'5. Ventas'!$A$8:$A$407,"&gt;="&amp;$C$5,'5. Ventas'!$A$8:$A$407,"&lt;"&amp;$C$6,'5. Ventas'!$B$8:$B$407,$A30)</f>
        <v>636.570616883117</v>
      </c>
    </row>
    <row r="31" customFormat="false" ht="15" hidden="false" customHeight="false" outlineLevel="0" collapsed="false">
      <c r="A31" s="36" t="n">
        <v>2</v>
      </c>
      <c r="B31" s="36" t="s">
        <v>176</v>
      </c>
      <c r="C31" s="42" t="n">
        <f aca="false">SUMIFS('5. Ventas'!$E$8:$E$407,'5. Ventas'!$A$8:$A$407,"&gt;="&amp;$C$5,'5. Ventas'!$A$8:$A$407,"&lt;"&amp;$C$6,'5. Ventas'!$B$8:$B$407,$A31)</f>
        <v>0</v>
      </c>
      <c r="E31" s="43" t="n">
        <f aca="false">SUMIFS('5. Ventas'!$G$8:$G$407,'5. Ventas'!$A$8:$A$407,"&gt;="&amp;$C$5,'5. Ventas'!$A$8:$A$407,"&lt;"&amp;$C$6,'5. Ventas'!$B$8:$B$407,$A31)</f>
        <v>0</v>
      </c>
      <c r="F31" s="43" t="n">
        <f aca="false">SUMIFS('5. Ventas'!$L$8:$L$407,'5. Ventas'!$A$8:$A$407,"&gt;="&amp;$C$5,'5. Ventas'!$A$8:$A$407,"&lt;"&amp;$C$6,'5. Ventas'!$B$8:$B$407,$A31)</f>
        <v>0</v>
      </c>
    </row>
    <row r="32" customFormat="false" ht="15" hidden="false" customHeight="false" outlineLevel="0" collapsed="false">
      <c r="A32" s="36" t="n">
        <v>3</v>
      </c>
      <c r="B32" s="36" t="s">
        <v>186</v>
      </c>
      <c r="C32" s="42" t="n">
        <f aca="false">SUMIFS('5. Ventas'!$E$8:$E$407,'5. Ventas'!$A$8:$A$407,"&gt;="&amp;$C$5,'5. Ventas'!$A$8:$A$407,"&lt;"&amp;$C$6,'5. Ventas'!$B$8:$B$407,$A32)</f>
        <v>0</v>
      </c>
      <c r="E32" s="43" t="n">
        <f aca="false">SUMIFS('5. Ventas'!$G$8:$G$407,'5. Ventas'!$A$8:$A$407,"&gt;="&amp;$C$5,'5. Ventas'!$A$8:$A$407,"&lt;"&amp;$C$6,'5. Ventas'!$B$8:$B$407,$A32)</f>
        <v>0</v>
      </c>
      <c r="F32" s="43" t="n">
        <f aca="false">SUMIFS('5. Ventas'!$L$8:$L$407,'5. Ventas'!$A$8:$A$407,"&gt;="&amp;$C$5,'5. Ventas'!$A$8:$A$407,"&lt;"&amp;$C$6,'5. Ventas'!$B$8:$B$407,$A32)</f>
        <v>0</v>
      </c>
    </row>
    <row r="33" customFormat="false" ht="15" hidden="false" customHeight="false" outlineLevel="0" collapsed="false">
      <c r="A33" s="36" t="n">
        <v>4</v>
      </c>
      <c r="B33" s="36" t="s">
        <v>196</v>
      </c>
      <c r="C33" s="42" t="n">
        <f aca="false">SUMIFS('5. Ventas'!$E$8:$E$407,'5. Ventas'!$A$8:$A$407,"&gt;="&amp;$C$5,'5. Ventas'!$A$8:$A$407,"&lt;"&amp;$C$6,'5. Ventas'!$B$8:$B$407,$A33)</f>
        <v>0</v>
      </c>
      <c r="E33" s="43" t="n">
        <f aca="false">SUMIFS('5. Ventas'!$G$8:$G$407,'5. Ventas'!$A$8:$A$407,"&gt;="&amp;$C$5,'5. Ventas'!$A$8:$A$407,"&lt;"&amp;$C$6,'5. Ventas'!$B$8:$B$407,$A33)</f>
        <v>0</v>
      </c>
      <c r="F33" s="43" t="n">
        <f aca="false">SUMIFS('5. Ventas'!$L$8:$L$407,'5. Ventas'!$A$8:$A$407,"&gt;="&amp;$C$5,'5. Ventas'!$A$8:$A$407,"&lt;"&amp;$C$6,'5. Ventas'!$B$8:$B$407,$A33)</f>
        <v>0</v>
      </c>
    </row>
    <row r="34" customFormat="false" ht="15" hidden="false" customHeight="false" outlineLevel="0" collapsed="false">
      <c r="A34" s="36" t="n">
        <v>5</v>
      </c>
      <c r="B34" s="36" t="s">
        <v>202</v>
      </c>
      <c r="C34" s="42" t="n">
        <f aca="false">SUMIFS('5. Ventas'!$E$8:$E$407,'5. Ventas'!$A$8:$A$407,"&gt;="&amp;$C$5,'5. Ventas'!$A$8:$A$407,"&lt;"&amp;$C$6,'5. Ventas'!$B$8:$B$407,$A34)</f>
        <v>0</v>
      </c>
      <c r="E34" s="43" t="n">
        <f aca="false">SUMIFS('5. Ventas'!$G$8:$G$407,'5. Ventas'!$A$8:$A$407,"&gt;="&amp;$C$5,'5. Ventas'!$A$8:$A$407,"&lt;"&amp;$C$6,'5. Ventas'!$B$8:$B$407,$A34)</f>
        <v>0</v>
      </c>
      <c r="F34" s="43" t="n">
        <f aca="false">SUMIFS('5. Ventas'!$L$8:$L$407,'5. Ventas'!$A$8:$A$407,"&gt;="&amp;$C$5,'5. Ventas'!$A$8:$A$407,"&lt;"&amp;$C$6,'5. Ventas'!$B$8:$B$407,$A34)</f>
        <v>0</v>
      </c>
    </row>
    <row r="35" customFormat="false" ht="15" hidden="false" customHeight="false" outlineLevel="0" collapsed="false">
      <c r="A35" s="36" t="n">
        <v>6</v>
      </c>
      <c r="B35" s="36" t="s">
        <v>210</v>
      </c>
      <c r="C35" s="42" t="n">
        <f aca="false">SUMIFS('5. Ventas'!$E$8:$E$407,'5. Ventas'!$A$8:$A$407,"&gt;="&amp;$C$5,'5. Ventas'!$A$8:$A$407,"&lt;"&amp;$C$6,'5. Ventas'!$B$8:$B$407,$A35)</f>
        <v>0</v>
      </c>
      <c r="E35" s="43" t="n">
        <f aca="false">SUMIFS('5. Ventas'!$G$8:$G$407,'5. Ventas'!$A$8:$A$407,"&gt;="&amp;$C$5,'5. Ventas'!$A$8:$A$407,"&lt;"&amp;$C$6,'5. Ventas'!$B$8:$B$407,$A35)</f>
        <v>0</v>
      </c>
      <c r="F35" s="43" t="n">
        <f aca="false">SUMIFS('5. Ventas'!$L$8:$L$407,'5. Ventas'!$A$8:$A$407,"&gt;="&amp;$C$5,'5. Ventas'!$A$8:$A$407,"&lt;"&amp;$C$6,'5. Ventas'!$B$8:$B$407,$A35)</f>
        <v>0</v>
      </c>
    </row>
    <row r="36" customFormat="false" ht="15" hidden="false" customHeight="false" outlineLevel="0" collapsed="false">
      <c r="A36" s="36" t="n">
        <v>7</v>
      </c>
      <c r="B36" s="36" t="s">
        <v>218</v>
      </c>
      <c r="C36" s="42" t="n">
        <f aca="false">SUMIFS('5. Ventas'!$E$8:$E$407,'5. Ventas'!$A$8:$A$407,"&gt;="&amp;$C$5,'5. Ventas'!$A$8:$A$407,"&lt;"&amp;$C$6,'5. Ventas'!$B$8:$B$407,$A36)</f>
        <v>0</v>
      </c>
      <c r="E36" s="43" t="n">
        <f aca="false">SUMIFS('5. Ventas'!$G$8:$G$407,'5. Ventas'!$A$8:$A$407,"&gt;="&amp;$C$5,'5. Ventas'!$A$8:$A$407,"&lt;"&amp;$C$6,'5. Ventas'!$B$8:$B$407,$A36)</f>
        <v>0</v>
      </c>
      <c r="F36" s="43" t="n">
        <f aca="false">SUMIFS('5. Ventas'!$L$8:$L$407,'5. Ventas'!$A$8:$A$407,"&gt;="&amp;$C$5,'5. Ventas'!$A$8:$A$407,"&lt;"&amp;$C$6,'5. Ventas'!$B$8:$B$407,$A36)</f>
        <v>0</v>
      </c>
    </row>
    <row r="37" customFormat="false" ht="15" hidden="false" customHeight="false" outlineLevel="0" collapsed="false">
      <c r="A37" s="36" t="n">
        <v>8</v>
      </c>
      <c r="B37" s="36" t="s">
        <v>223</v>
      </c>
      <c r="C37" s="42" t="n">
        <f aca="false">SUMIFS('5. Ventas'!$E$8:$E$407,'5. Ventas'!$A$8:$A$407,"&gt;="&amp;$C$5,'5. Ventas'!$A$8:$A$407,"&lt;"&amp;$C$6,'5. Ventas'!$B$8:$B$407,$A37)</f>
        <v>0</v>
      </c>
      <c r="E37" s="43" t="n">
        <f aca="false">SUMIFS('5. Ventas'!$G$8:$G$407,'5. Ventas'!$A$8:$A$407,"&gt;="&amp;$C$5,'5. Ventas'!$A$8:$A$407,"&lt;"&amp;$C$6,'5. Ventas'!$B$8:$B$407,$A37)</f>
        <v>0</v>
      </c>
      <c r="F37" s="43" t="n">
        <f aca="false">SUMIFS('5. Ventas'!$L$8:$L$407,'5. Ventas'!$A$8:$A$407,"&gt;="&amp;$C$5,'5. Ventas'!$A$8:$A$407,"&lt;"&amp;$C$6,'5. Ventas'!$B$8:$B$407,$A37)</f>
        <v>0</v>
      </c>
    </row>
    <row r="38" customFormat="false" ht="15" hidden="false" customHeight="false" outlineLevel="0" collapsed="false">
      <c r="A38" s="36" t="n">
        <v>9</v>
      </c>
      <c r="B38" s="36" t="s">
        <v>230</v>
      </c>
      <c r="C38" s="42" t="n">
        <f aca="false">SUMIFS('5. Ventas'!$E$8:$E$407,'5. Ventas'!$A$8:$A$407,"&gt;="&amp;$C$5,'5. Ventas'!$A$8:$A$407,"&lt;"&amp;$C$6,'5. Ventas'!$B$8:$B$407,$A38)</f>
        <v>0</v>
      </c>
      <c r="E38" s="43" t="n">
        <f aca="false">SUMIFS('5. Ventas'!$G$8:$G$407,'5. Ventas'!$A$8:$A$407,"&gt;="&amp;$C$5,'5. Ventas'!$A$8:$A$407,"&lt;"&amp;$C$6,'5. Ventas'!$B$8:$B$407,$A38)</f>
        <v>0</v>
      </c>
      <c r="F38" s="43" t="n">
        <f aca="false">SUMIFS('5. Ventas'!$L$8:$L$407,'5. Ventas'!$A$8:$A$407,"&gt;="&amp;$C$5,'5. Ventas'!$A$8:$A$407,"&lt;"&amp;$C$6,'5. Ventas'!$B$8:$B$407,$A38)</f>
        <v>0</v>
      </c>
    </row>
    <row r="39" customFormat="false" ht="15" hidden="false" customHeight="false" outlineLevel="0" collapsed="false">
      <c r="A39" s="36" t="n">
        <v>10</v>
      </c>
      <c r="B39" s="36" t="s">
        <v>234</v>
      </c>
      <c r="C39" s="42" t="n">
        <f aca="false">SUMIFS('5. Ventas'!$E$8:$E$407,'5. Ventas'!$A$8:$A$407,"&gt;="&amp;$C$5,'5. Ventas'!$A$8:$A$407,"&lt;"&amp;$C$6,'5. Ventas'!$B$8:$B$407,$A39)</f>
        <v>0</v>
      </c>
      <c r="E39" s="43" t="n">
        <f aca="false">SUMIFS('5. Ventas'!$G$8:$G$407,'5. Ventas'!$A$8:$A$407,"&gt;="&amp;$C$5,'5. Ventas'!$A$8:$A$407,"&lt;"&amp;$C$6,'5. Ventas'!$B$8:$B$407,$A39)</f>
        <v>0</v>
      </c>
      <c r="F39" s="43" t="n">
        <f aca="false">SUMIFS('5. Ventas'!$L$8:$L$407,'5. Ventas'!$A$8:$A$407,"&gt;="&amp;$C$5,'5. Ventas'!$A$8:$A$407,"&lt;"&amp;$C$6,'5. Ventas'!$B$8:$B$407,$A39)</f>
        <v>0</v>
      </c>
    </row>
    <row r="40" customFormat="false" ht="15" hidden="false" customHeight="false" outlineLevel="0" collapsed="false">
      <c r="A40" s="36" t="n">
        <v>11</v>
      </c>
      <c r="B40" s="36" t="s">
        <v>242</v>
      </c>
      <c r="C40" s="42" t="n">
        <f aca="false">SUMIFS('5. Ventas'!$E$8:$E$407,'5. Ventas'!$A$8:$A$407,"&gt;="&amp;$C$5,'5. Ventas'!$A$8:$A$407,"&lt;"&amp;$C$6,'5. Ventas'!$B$8:$B$407,$A40)</f>
        <v>0</v>
      </c>
      <c r="E40" s="43" t="n">
        <f aca="false">SUMIFS('5. Ventas'!$G$8:$G$407,'5. Ventas'!$A$8:$A$407,"&gt;="&amp;$C$5,'5. Ventas'!$A$8:$A$407,"&lt;"&amp;$C$6,'5. Ventas'!$B$8:$B$407,$A40)</f>
        <v>0</v>
      </c>
      <c r="F40" s="43" t="n">
        <f aca="false">SUMIFS('5. Ventas'!$L$8:$L$407,'5. Ventas'!$A$8:$A$407,"&gt;="&amp;$C$5,'5. Ventas'!$A$8:$A$407,"&lt;"&amp;$C$6,'5. Ventas'!$B$8:$B$407,$A40)</f>
        <v>0</v>
      </c>
    </row>
    <row r="41" customFormat="false" ht="15" hidden="false" customHeight="false" outlineLevel="0" collapsed="false">
      <c r="A41" s="36" t="n">
        <v>12</v>
      </c>
      <c r="B41" s="36" t="s">
        <v>250</v>
      </c>
      <c r="C41" s="42" t="n">
        <f aca="false">SUMIFS('5. Ventas'!$E$8:$E$407,'5. Ventas'!$A$8:$A$407,"&gt;="&amp;$C$5,'5. Ventas'!$A$8:$A$407,"&lt;"&amp;$C$6,'5. Ventas'!$B$8:$B$407,$A41)</f>
        <v>0</v>
      </c>
      <c r="E41" s="43" t="n">
        <f aca="false">SUMIFS('5. Ventas'!$G$8:$G$407,'5. Ventas'!$A$8:$A$407,"&gt;="&amp;$C$5,'5. Ventas'!$A$8:$A$407,"&lt;"&amp;$C$6,'5. Ventas'!$B$8:$B$407,$A41)</f>
        <v>0</v>
      </c>
      <c r="F41" s="43" t="n">
        <f aca="false">SUMIFS('5. Ventas'!$L$8:$L$407,'5. Ventas'!$A$8:$A$407,"&gt;="&amp;$C$5,'5. Ventas'!$A$8:$A$407,"&lt;"&amp;$C$6,'5. Ventas'!$B$8:$B$407,$A41)</f>
        <v>0</v>
      </c>
    </row>
    <row r="42" customFormat="false" ht="15" hidden="false" customHeight="false" outlineLevel="0" collapsed="false">
      <c r="A42" s="36" t="n">
        <v>13</v>
      </c>
      <c r="B42" s="36" t="s">
        <v>258</v>
      </c>
      <c r="C42" s="42" t="n">
        <f aca="false">SUMIFS('5. Ventas'!$E$8:$E$407,'5. Ventas'!$A$8:$A$407,"&gt;="&amp;$C$5,'5. Ventas'!$A$8:$A$407,"&lt;"&amp;$C$6,'5. Ventas'!$B$8:$B$407,$A42)</f>
        <v>0</v>
      </c>
      <c r="E42" s="43" t="n">
        <f aca="false">SUMIFS('5. Ventas'!$G$8:$G$407,'5. Ventas'!$A$8:$A$407,"&gt;="&amp;$C$5,'5. Ventas'!$A$8:$A$407,"&lt;"&amp;$C$6,'5. Ventas'!$B$8:$B$407,$A42)</f>
        <v>0</v>
      </c>
      <c r="F42" s="43" t="n">
        <f aca="false">SUMIFS('5. Ventas'!$L$8:$L$407,'5. Ventas'!$A$8:$A$407,"&gt;="&amp;$C$5,'5. Ventas'!$A$8:$A$407,"&lt;"&amp;$C$6,'5. Ventas'!$B$8:$B$407,$A42)</f>
        <v>0</v>
      </c>
    </row>
    <row r="43" customFormat="false" ht="15" hidden="false" customHeight="false" outlineLevel="0" collapsed="false">
      <c r="A43" s="36" t="n">
        <v>14</v>
      </c>
      <c r="B43" s="36" t="s">
        <v>262</v>
      </c>
      <c r="C43" s="42" t="n">
        <f aca="false">SUMIFS('5. Ventas'!$E$8:$E$407,'5. Ventas'!$A$8:$A$407,"&gt;="&amp;$C$5,'5. Ventas'!$A$8:$A$407,"&lt;"&amp;$C$6,'5. Ventas'!$B$8:$B$407,$A43)</f>
        <v>0</v>
      </c>
      <c r="E43" s="43" t="n">
        <f aca="false">SUMIFS('5. Ventas'!$G$8:$G$407,'5. Ventas'!$A$8:$A$407,"&gt;="&amp;$C$5,'5. Ventas'!$A$8:$A$407,"&lt;"&amp;$C$6,'5. Ventas'!$B$8:$B$407,$A43)</f>
        <v>0</v>
      </c>
      <c r="F43" s="43" t="n">
        <f aca="false">SUMIFS('5. Ventas'!$L$8:$L$407,'5. Ventas'!$A$8:$A$407,"&gt;="&amp;$C$5,'5. Ventas'!$A$8:$A$407,"&lt;"&amp;$C$6,'5. Ventas'!$B$8:$B$407,$A43)</f>
        <v>0</v>
      </c>
    </row>
    <row r="44" customFormat="false" ht="15" hidden="false" customHeight="false" outlineLevel="0" collapsed="false">
      <c r="A44" s="36" t="n">
        <v>15</v>
      </c>
      <c r="B44" s="36" t="s">
        <v>268</v>
      </c>
      <c r="C44" s="42" t="n">
        <f aca="false">SUMIFS('5. Ventas'!$E$8:$E$407,'5. Ventas'!$A$8:$A$407,"&gt;="&amp;$C$5,'5. Ventas'!$A$8:$A$407,"&lt;"&amp;$C$6,'5. Ventas'!$B$8:$B$407,$A44)</f>
        <v>0</v>
      </c>
      <c r="E44" s="43" t="n">
        <f aca="false">SUMIFS('5. Ventas'!$G$8:$G$407,'5. Ventas'!$A$8:$A$407,"&gt;="&amp;$C$5,'5. Ventas'!$A$8:$A$407,"&lt;"&amp;$C$6,'5. Ventas'!$B$8:$B$407,$A44)</f>
        <v>0</v>
      </c>
      <c r="F44" s="43" t="n">
        <f aca="false">SUMIFS('5. Ventas'!$L$8:$L$407,'5. Ventas'!$A$8:$A$407,"&gt;="&amp;$C$5,'5. Ventas'!$A$8:$A$407,"&lt;"&amp;$C$6,'5. Ventas'!$B$8:$B$407,$A44)</f>
        <v>0</v>
      </c>
    </row>
    <row r="45" customFormat="false" ht="15" hidden="false" customHeight="false" outlineLevel="0" collapsed="false">
      <c r="A45" s="36" t="n">
        <v>16</v>
      </c>
      <c r="B45" s="36" t="s">
        <v>276</v>
      </c>
      <c r="C45" s="42" t="n">
        <f aca="false">SUMIFS('5. Ventas'!$E$8:$E$407,'5. Ventas'!$A$8:$A$407,"&gt;="&amp;$C$5,'5. Ventas'!$A$8:$A$407,"&lt;"&amp;$C$6,'5. Ventas'!$B$8:$B$407,$A45)</f>
        <v>0</v>
      </c>
      <c r="E45" s="43" t="n">
        <f aca="false">SUMIFS('5. Ventas'!$G$8:$G$407,'5. Ventas'!$A$8:$A$407,"&gt;="&amp;$C$5,'5. Ventas'!$A$8:$A$407,"&lt;"&amp;$C$6,'5. Ventas'!$B$8:$B$407,$A45)</f>
        <v>0</v>
      </c>
      <c r="F45" s="43" t="n">
        <f aca="false">SUMIFS('5. Ventas'!$L$8:$L$407,'5. Ventas'!$A$8:$A$407,"&gt;="&amp;$C$5,'5. Ventas'!$A$8:$A$407,"&lt;"&amp;$C$6,'5. Ventas'!$B$8:$B$407,$A45)</f>
        <v>0</v>
      </c>
    </row>
    <row r="46" customFormat="false" ht="15" hidden="false" customHeight="false" outlineLevel="0" collapsed="false">
      <c r="A46" s="36" t="n">
        <v>17</v>
      </c>
      <c r="B46" s="36" t="s">
        <v>285</v>
      </c>
      <c r="C46" s="42" t="n">
        <f aca="false">SUMIFS('5. Ventas'!$E$8:$E$407,'5. Ventas'!$A$8:$A$407,"&gt;="&amp;$C$5,'5. Ventas'!$A$8:$A$407,"&lt;"&amp;$C$6,'5. Ventas'!$B$8:$B$407,$A46)</f>
        <v>0</v>
      </c>
      <c r="E46" s="43" t="n">
        <f aca="false">SUMIFS('5. Ventas'!$G$8:$G$407,'5. Ventas'!$A$8:$A$407,"&gt;="&amp;$C$5,'5. Ventas'!$A$8:$A$407,"&lt;"&amp;$C$6,'5. Ventas'!$B$8:$B$407,$A46)</f>
        <v>0</v>
      </c>
      <c r="F46" s="43" t="n">
        <f aca="false">SUMIFS('5. Ventas'!$L$8:$L$407,'5. Ventas'!$A$8:$A$407,"&gt;="&amp;$C$5,'5. Ventas'!$A$8:$A$407,"&lt;"&amp;$C$6,'5. Ventas'!$B$8:$B$407,$A46)</f>
        <v>0</v>
      </c>
    </row>
    <row r="47" customFormat="false" ht="15" hidden="false" customHeight="false" outlineLevel="0" collapsed="false">
      <c r="A47" s="36" t="n">
        <v>18</v>
      </c>
      <c r="B47" s="36" t="s">
        <v>295</v>
      </c>
      <c r="C47" s="42" t="n">
        <f aca="false">SUMIFS('5. Ventas'!$E$8:$E$407,'5. Ventas'!$A$8:$A$407,"&gt;="&amp;$C$5,'5. Ventas'!$A$8:$A$407,"&lt;"&amp;$C$6,'5. Ventas'!$B$8:$B$407,$A47)</f>
        <v>0</v>
      </c>
      <c r="E47" s="43" t="n">
        <f aca="false">SUMIFS('5. Ventas'!$G$8:$G$407,'5. Ventas'!$A$8:$A$407,"&gt;="&amp;$C$5,'5. Ventas'!$A$8:$A$407,"&lt;"&amp;$C$6,'5. Ventas'!$B$8:$B$407,$A47)</f>
        <v>0</v>
      </c>
      <c r="F47" s="43" t="n">
        <f aca="false">SUMIFS('5. Ventas'!$L$8:$L$407,'5. Ventas'!$A$8:$A$407,"&gt;="&amp;$C$5,'5. Ventas'!$A$8:$A$407,"&lt;"&amp;$C$6,'5. Ventas'!$B$8:$B$407,$A47)</f>
        <v>0</v>
      </c>
    </row>
    <row r="48" customFormat="false" ht="15" hidden="false" customHeight="false" outlineLevel="0" collapsed="false">
      <c r="A48" s="36" t="n">
        <v>19</v>
      </c>
      <c r="B48" s="36" t="s">
        <v>301</v>
      </c>
      <c r="C48" s="42" t="n">
        <f aca="false">SUMIFS('5. Ventas'!$E$8:$E$407,'5. Ventas'!$A$8:$A$407,"&gt;="&amp;$C$5,'5. Ventas'!$A$8:$A$407,"&lt;"&amp;$C$6,'5. Ventas'!$B$8:$B$407,$A48)</f>
        <v>24</v>
      </c>
      <c r="E48" s="43" t="n">
        <f aca="false">SUMIFS('5. Ventas'!$G$8:$G$407,'5. Ventas'!$A$8:$A$407,"&gt;="&amp;$C$5,'5. Ventas'!$A$8:$A$407,"&lt;"&amp;$C$6,'5. Ventas'!$B$8:$B$407,$A48)</f>
        <v>1920</v>
      </c>
      <c r="F48" s="43" t="n">
        <f aca="false">SUMIFS('5. Ventas'!$L$8:$L$407,'5. Ventas'!$A$8:$A$407,"&gt;="&amp;$C$5,'5. Ventas'!$A$8:$A$407,"&lt;"&amp;$C$6,'5. Ventas'!$B$8:$B$407,$A48)</f>
        <v>640.318181818182</v>
      </c>
    </row>
    <row r="49" customFormat="false" ht="15" hidden="false" customHeight="false" outlineLevel="0" collapsed="false">
      <c r="A49" s="36" t="n">
        <v>20</v>
      </c>
      <c r="B49" s="36" t="s">
        <v>309</v>
      </c>
      <c r="C49" s="42" t="n">
        <f aca="false">SUMIFS('5. Ventas'!$E$8:$E$407,'5. Ventas'!$A$8:$A$407,"&gt;="&amp;$C$5,'5. Ventas'!$A$8:$A$407,"&lt;"&amp;$C$6,'5. Ventas'!$B$8:$B$407,$A49)</f>
        <v>0</v>
      </c>
      <c r="E49" s="43" t="n">
        <f aca="false">SUMIFS('5. Ventas'!$G$8:$G$407,'5. Ventas'!$A$8:$A$407,"&gt;="&amp;$C$5,'5. Ventas'!$A$8:$A$407,"&lt;"&amp;$C$6,'5. Ventas'!$B$8:$B$407,$A49)</f>
        <v>0</v>
      </c>
      <c r="F49" s="43" t="n">
        <f aca="false">SUMIFS('5. Ventas'!$L$8:$L$407,'5. Ventas'!$A$8:$A$407,"&gt;="&amp;$C$5,'5. Ventas'!$A$8:$A$407,"&lt;"&amp;$C$6,'5. Ventas'!$B$8:$B$407,$A49)</f>
        <v>0</v>
      </c>
    </row>
    <row r="50" customFormat="false" ht="15" hidden="false" customHeight="false" outlineLevel="0" collapsed="false">
      <c r="A50" s="36" t="n">
        <v>21</v>
      </c>
      <c r="B50" s="36" t="s">
        <v>313</v>
      </c>
      <c r="C50" s="42" t="n">
        <f aca="false">SUMIFS('5. Ventas'!$E$8:$E$407,'5. Ventas'!$A$8:$A$407,"&gt;="&amp;$C$5,'5. Ventas'!$A$8:$A$407,"&lt;"&amp;$C$6,'5. Ventas'!$B$8:$B$407,$A50)</f>
        <v>0</v>
      </c>
      <c r="E50" s="43" t="n">
        <f aca="false">SUMIFS('5. Ventas'!$G$8:$G$407,'5. Ventas'!$A$8:$A$407,"&gt;="&amp;$C$5,'5. Ventas'!$A$8:$A$407,"&lt;"&amp;$C$6,'5. Ventas'!$B$8:$B$407,$A50)</f>
        <v>0</v>
      </c>
      <c r="F50" s="43" t="n">
        <f aca="false">SUMIFS('5. Ventas'!$L$8:$L$407,'5. Ventas'!$A$8:$A$407,"&gt;="&amp;$C$5,'5. Ventas'!$A$8:$A$407,"&lt;"&amp;$C$6,'5. Ventas'!$B$8:$B$407,$A50)</f>
        <v>0</v>
      </c>
    </row>
    <row r="51" customFormat="false" ht="15" hidden="false" customHeight="false" outlineLevel="0" collapsed="false">
      <c r="A51" s="36" t="n">
        <v>22</v>
      </c>
      <c r="B51" s="36" t="s">
        <v>319</v>
      </c>
      <c r="C51" s="42" t="n">
        <f aca="false">SUMIFS('5. Ventas'!$E$8:$E$407,'5. Ventas'!$A$8:$A$407,"&gt;="&amp;$C$5,'5. Ventas'!$A$8:$A$407,"&lt;"&amp;$C$6,'5. Ventas'!$B$8:$B$407,$A51)</f>
        <v>0</v>
      </c>
      <c r="E51" s="43" t="n">
        <f aca="false">SUMIFS('5. Ventas'!$G$8:$G$407,'5. Ventas'!$A$8:$A$407,"&gt;="&amp;$C$5,'5. Ventas'!$A$8:$A$407,"&lt;"&amp;$C$6,'5. Ventas'!$B$8:$B$407,$A51)</f>
        <v>0</v>
      </c>
      <c r="F51" s="43" t="n">
        <f aca="false">SUMIFS('5. Ventas'!$L$8:$L$407,'5. Ventas'!$A$8:$A$407,"&gt;="&amp;$C$5,'5. Ventas'!$A$8:$A$407,"&lt;"&amp;$C$6,'5. Ventas'!$B$8:$B$407,$A51)</f>
        <v>0</v>
      </c>
    </row>
    <row r="52" customFormat="false" ht="15" hidden="false" customHeight="false" outlineLevel="0" collapsed="false">
      <c r="A52" s="36" t="n">
        <v>23</v>
      </c>
      <c r="B52" s="36" t="s">
        <v>325</v>
      </c>
      <c r="C52" s="42" t="n">
        <f aca="false">SUMIFS('5. Ventas'!$E$8:$E$407,'5. Ventas'!$A$8:$A$407,"&gt;="&amp;$C$5,'5. Ventas'!$A$8:$A$407,"&lt;"&amp;$C$6,'5. Ventas'!$B$8:$B$407,$A52)</f>
        <v>0</v>
      </c>
      <c r="E52" s="43" t="n">
        <f aca="false">SUMIFS('5. Ventas'!$G$8:$G$407,'5. Ventas'!$A$8:$A$407,"&gt;="&amp;$C$5,'5. Ventas'!$A$8:$A$407,"&lt;"&amp;$C$6,'5. Ventas'!$B$8:$B$407,$A52)</f>
        <v>0</v>
      </c>
      <c r="F52" s="43" t="n">
        <f aca="false">SUMIFS('5. Ventas'!$L$8:$L$407,'5. Ventas'!$A$8:$A$407,"&gt;="&amp;$C$5,'5. Ventas'!$A$8:$A$407,"&lt;"&amp;$C$6,'5. Ventas'!$B$8:$B$407,$A52)</f>
        <v>0</v>
      </c>
    </row>
    <row r="53" customFormat="false" ht="15" hidden="false" customHeight="false" outlineLevel="0" collapsed="false">
      <c r="A53" s="36" t="n">
        <v>24</v>
      </c>
      <c r="B53" s="36" t="s">
        <v>332</v>
      </c>
      <c r="C53" s="42" t="n">
        <f aca="false">SUMIFS('5. Ventas'!$E$8:$E$407,'5. Ventas'!$A$8:$A$407,"&gt;="&amp;$C$5,'5. Ventas'!$A$8:$A$407,"&lt;"&amp;$C$6,'5. Ventas'!$B$8:$B$407,$A53)</f>
        <v>0</v>
      </c>
      <c r="E53" s="43" t="n">
        <f aca="false">SUMIFS('5. Ventas'!$G$8:$G$407,'5. Ventas'!$A$8:$A$407,"&gt;="&amp;$C$5,'5. Ventas'!$A$8:$A$407,"&lt;"&amp;$C$6,'5. Ventas'!$B$8:$B$407,$A53)</f>
        <v>0</v>
      </c>
      <c r="F53" s="43" t="n">
        <f aca="false">SUMIFS('5. Ventas'!$L$8:$L$407,'5. Ventas'!$A$8:$A$407,"&gt;="&amp;$C$5,'5. Ventas'!$A$8:$A$407,"&lt;"&amp;$C$6,'5. Ventas'!$B$8:$B$407,$A53)</f>
        <v>0</v>
      </c>
    </row>
    <row r="54" customFormat="false" ht="15" hidden="false" customHeight="false" outlineLevel="0" collapsed="false">
      <c r="A54" s="36" t="n">
        <v>25</v>
      </c>
      <c r="B54" s="36" t="s">
        <v>339</v>
      </c>
      <c r="C54" s="42" t="n">
        <f aca="false">SUMIFS('5. Ventas'!$E$8:$E$407,'5. Ventas'!$A$8:$A$407,"&gt;="&amp;$C$5,'5. Ventas'!$A$8:$A$407,"&lt;"&amp;$C$6,'5. Ventas'!$B$8:$B$407,$A54)</f>
        <v>0</v>
      </c>
      <c r="E54" s="43" t="n">
        <f aca="false">SUMIFS('5. Ventas'!$G$8:$G$407,'5. Ventas'!$A$8:$A$407,"&gt;="&amp;$C$5,'5. Ventas'!$A$8:$A$407,"&lt;"&amp;$C$6,'5. Ventas'!$B$8:$B$407,$A54)</f>
        <v>0</v>
      </c>
      <c r="F54" s="43" t="n">
        <f aca="false">SUMIFS('5. Ventas'!$L$8:$L$407,'5. Ventas'!$A$8:$A$407,"&gt;="&amp;$C$5,'5. Ventas'!$A$8:$A$407,"&lt;"&amp;$C$6,'5. Ventas'!$B$8:$B$407,$A54)</f>
        <v>0</v>
      </c>
    </row>
    <row r="55" customFormat="false" ht="15" hidden="false" customHeight="false" outlineLevel="0" collapsed="false">
      <c r="A55" s="36" t="n">
        <v>26</v>
      </c>
      <c r="B55" s="36" t="s">
        <v>345</v>
      </c>
      <c r="C55" s="42" t="n">
        <f aca="false">SUMIFS('5. Ventas'!$E$8:$E$407,'5. Ventas'!$A$8:$A$407,"&gt;="&amp;$C$5,'5. Ventas'!$A$8:$A$407,"&lt;"&amp;$C$6,'5. Ventas'!$B$8:$B$407,$A55)</f>
        <v>0</v>
      </c>
      <c r="E55" s="43" t="n">
        <f aca="false">SUMIFS('5. Ventas'!$G$8:$G$407,'5. Ventas'!$A$8:$A$407,"&gt;="&amp;$C$5,'5. Ventas'!$A$8:$A$407,"&lt;"&amp;$C$6,'5. Ventas'!$B$8:$B$407,$A55)</f>
        <v>0</v>
      </c>
      <c r="F55" s="43" t="n">
        <f aca="false">SUMIFS('5. Ventas'!$L$8:$L$407,'5. Ventas'!$A$8:$A$407,"&gt;="&amp;$C$5,'5. Ventas'!$A$8:$A$407,"&lt;"&amp;$C$6,'5. Ventas'!$B$8:$B$407,$A55)</f>
        <v>0</v>
      </c>
    </row>
    <row r="56" customFormat="false" ht="15" hidden="false" customHeight="false" outlineLevel="0" collapsed="false">
      <c r="A56" s="36" t="n">
        <v>27</v>
      </c>
      <c r="B56" s="36" t="s">
        <v>351</v>
      </c>
      <c r="C56" s="42" t="n">
        <f aca="false">SUMIFS('5. Ventas'!$E$8:$E$407,'5. Ventas'!$A$8:$A$407,"&gt;="&amp;$C$5,'5. Ventas'!$A$8:$A$407,"&lt;"&amp;$C$6,'5. Ventas'!$B$8:$B$407,$A56)</f>
        <v>0</v>
      </c>
      <c r="E56" s="43" t="n">
        <f aca="false">SUMIFS('5. Ventas'!$G$8:$G$407,'5. Ventas'!$A$8:$A$407,"&gt;="&amp;$C$5,'5. Ventas'!$A$8:$A$407,"&lt;"&amp;$C$6,'5. Ventas'!$B$8:$B$407,$A56)</f>
        <v>0</v>
      </c>
      <c r="F56" s="43" t="n">
        <f aca="false">SUMIFS('5. Ventas'!$L$8:$L$407,'5. Ventas'!$A$8:$A$407,"&gt;="&amp;$C$5,'5. Ventas'!$A$8:$A$407,"&lt;"&amp;$C$6,'5. Ventas'!$B$8:$B$407,$A56)</f>
        <v>0</v>
      </c>
    </row>
    <row r="57" customFormat="false" ht="15" hidden="false" customHeight="false" outlineLevel="0" collapsed="false">
      <c r="A57" s="36" t="n">
        <v>28</v>
      </c>
      <c r="B57" s="36" t="s">
        <v>356</v>
      </c>
      <c r="C57" s="42" t="n">
        <f aca="false">SUMIFS('5. Ventas'!$E$8:$E$407,'5. Ventas'!$A$8:$A$407,"&gt;="&amp;$C$5,'5. Ventas'!$A$8:$A$407,"&lt;"&amp;$C$6,'5. Ventas'!$B$8:$B$407,$A57)</f>
        <v>0</v>
      </c>
      <c r="E57" s="43" t="n">
        <f aca="false">SUMIFS('5. Ventas'!$G$8:$G$407,'5. Ventas'!$A$8:$A$407,"&gt;="&amp;$C$5,'5. Ventas'!$A$8:$A$407,"&lt;"&amp;$C$6,'5. Ventas'!$B$8:$B$407,$A57)</f>
        <v>0</v>
      </c>
      <c r="F57" s="43" t="n">
        <f aca="false">SUMIFS('5. Ventas'!$L$8:$L$407,'5. Ventas'!$A$8:$A$407,"&gt;="&amp;$C$5,'5. Ventas'!$A$8:$A$407,"&lt;"&amp;$C$6,'5. Ventas'!$B$8:$B$407,$A57)</f>
        <v>0</v>
      </c>
    </row>
    <row r="58" customFormat="false" ht="15" hidden="false" customHeight="false" outlineLevel="0" collapsed="false">
      <c r="A58" s="36" t="n">
        <v>29</v>
      </c>
      <c r="B58" s="36" t="s">
        <v>362</v>
      </c>
      <c r="C58" s="42" t="n">
        <f aca="false">SUMIFS('5. Ventas'!$E$8:$E$407,'5. Ventas'!$A$8:$A$407,"&gt;="&amp;$C$5,'5. Ventas'!$A$8:$A$407,"&lt;"&amp;$C$6,'5. Ventas'!$B$8:$B$407,$A58)</f>
        <v>0</v>
      </c>
      <c r="E58" s="43" t="n">
        <f aca="false">SUMIFS('5. Ventas'!$G$8:$G$407,'5. Ventas'!$A$8:$A$407,"&gt;="&amp;$C$5,'5. Ventas'!$A$8:$A$407,"&lt;"&amp;$C$6,'5. Ventas'!$B$8:$B$407,$A58)</f>
        <v>0</v>
      </c>
      <c r="F58" s="43" t="n">
        <f aca="false">SUMIFS('5. Ventas'!$L$8:$L$407,'5. Ventas'!$A$8:$A$407,"&gt;="&amp;$C$5,'5. Ventas'!$A$8:$A$407,"&lt;"&amp;$C$6,'5. Ventas'!$B$8:$B$407,$A58)</f>
        <v>0</v>
      </c>
    </row>
    <row r="59" customFormat="false" ht="15" hidden="false" customHeight="false" outlineLevel="0" collapsed="false">
      <c r="A59" s="36" t="n">
        <v>30</v>
      </c>
      <c r="B59" s="36" t="s">
        <v>368</v>
      </c>
      <c r="C59" s="42" t="n">
        <f aca="false">SUMIFS('5. Ventas'!$E$8:$E$407,'5. Ventas'!$A$8:$A$407,"&gt;="&amp;$C$5,'5. Ventas'!$A$8:$A$407,"&lt;"&amp;$C$6,'5. Ventas'!$B$8:$B$407,$A59)</f>
        <v>0</v>
      </c>
      <c r="E59" s="43" t="n">
        <f aca="false">SUMIFS('5. Ventas'!$G$8:$G$407,'5. Ventas'!$A$8:$A$407,"&gt;="&amp;$C$5,'5. Ventas'!$A$8:$A$407,"&lt;"&amp;$C$6,'5. Ventas'!$B$8:$B$407,$A59)</f>
        <v>0</v>
      </c>
      <c r="F59" s="43" t="n">
        <f aca="false">SUMIFS('5. Ventas'!$L$8:$L$407,'5. Ventas'!$A$8:$A$407,"&gt;="&amp;$C$5,'5. Ventas'!$A$8:$A$407,"&lt;"&amp;$C$6,'5. Ventas'!$B$8:$B$407,$A59)</f>
        <v>0</v>
      </c>
    </row>
    <row r="60" customFormat="false" ht="15" hidden="false" customHeight="false" outlineLevel="0" collapsed="false">
      <c r="A60" s="36" t="n">
        <v>31</v>
      </c>
      <c r="B60" s="36" t="s">
        <v>374</v>
      </c>
      <c r="C60" s="42" t="n">
        <f aca="false">SUMIFS('5. Ventas'!$E$8:$E$407,'5. Ventas'!$A$8:$A$407,"&gt;="&amp;$C$5,'5. Ventas'!$A$8:$A$407,"&lt;"&amp;$C$6,'5. Ventas'!$B$8:$B$407,$A60)</f>
        <v>0</v>
      </c>
      <c r="E60" s="43" t="n">
        <f aca="false">SUMIFS('5. Ventas'!$G$8:$G$407,'5. Ventas'!$A$8:$A$407,"&gt;="&amp;$C$5,'5. Ventas'!$A$8:$A$407,"&lt;"&amp;$C$6,'5. Ventas'!$B$8:$B$407,$A60)</f>
        <v>0</v>
      </c>
      <c r="F60" s="43" t="n">
        <f aca="false">SUMIFS('5. Ventas'!$L$8:$L$407,'5. Ventas'!$A$8:$A$407,"&gt;="&amp;$C$5,'5. Ventas'!$A$8:$A$407,"&lt;"&amp;$C$6,'5. Ventas'!$B$8:$B$407,$A60)</f>
        <v>0</v>
      </c>
    </row>
    <row r="61" customFormat="false" ht="15" hidden="false" customHeight="false" outlineLevel="0" collapsed="false">
      <c r="A61" s="36" t="n">
        <v>32</v>
      </c>
      <c r="B61" s="36" t="s">
        <v>379</v>
      </c>
      <c r="C61" s="42" t="n">
        <f aca="false">SUMIFS('5. Ventas'!$E$8:$E$407,'5. Ventas'!$A$8:$A$407,"&gt;="&amp;$C$5,'5. Ventas'!$A$8:$A$407,"&lt;"&amp;$C$6,'5. Ventas'!$B$8:$B$407,$A61)</f>
        <v>0</v>
      </c>
      <c r="E61" s="43" t="n">
        <f aca="false">SUMIFS('5. Ventas'!$G$8:$G$407,'5. Ventas'!$A$8:$A$407,"&gt;="&amp;$C$5,'5. Ventas'!$A$8:$A$407,"&lt;"&amp;$C$6,'5. Ventas'!$B$8:$B$407,$A61)</f>
        <v>0</v>
      </c>
      <c r="F61" s="43" t="n">
        <f aca="false">SUMIFS('5. Ventas'!$L$8:$L$407,'5. Ventas'!$A$8:$A$407,"&gt;="&amp;$C$5,'5. Ventas'!$A$8:$A$407,"&lt;"&amp;$C$6,'5. Ventas'!$B$8:$B$407,$A61)</f>
        <v>0</v>
      </c>
    </row>
    <row r="62" customFormat="false" ht="15" hidden="false" customHeight="false" outlineLevel="0" collapsed="false">
      <c r="A62" s="36" t="n">
        <v>33</v>
      </c>
      <c r="B62" s="36" t="s">
        <v>385</v>
      </c>
      <c r="C62" s="42" t="n">
        <f aca="false">SUMIFS('5. Ventas'!$E$8:$E$407,'5. Ventas'!$A$8:$A$407,"&gt;="&amp;$C$5,'5. Ventas'!$A$8:$A$407,"&lt;"&amp;$C$6,'5. Ventas'!$B$8:$B$407,$A62)</f>
        <v>0</v>
      </c>
      <c r="E62" s="43" t="n">
        <f aca="false">SUMIFS('5. Ventas'!$G$8:$G$407,'5. Ventas'!$A$8:$A$407,"&gt;="&amp;$C$5,'5. Ventas'!$A$8:$A$407,"&lt;"&amp;$C$6,'5. Ventas'!$B$8:$B$407,$A62)</f>
        <v>0</v>
      </c>
      <c r="F62" s="43" t="n">
        <f aca="false">SUMIFS('5. Ventas'!$L$8:$L$407,'5. Ventas'!$A$8:$A$407,"&gt;="&amp;$C$5,'5. Ventas'!$A$8:$A$407,"&lt;"&amp;$C$6,'5. Ventas'!$B$8:$B$407,$A62)</f>
        <v>0</v>
      </c>
    </row>
    <row r="63" customFormat="false" ht="15" hidden="false" customHeight="false" outlineLevel="0" collapsed="false">
      <c r="A63" s="36" t="n">
        <v>34</v>
      </c>
      <c r="B63" s="36" t="s">
        <v>392</v>
      </c>
      <c r="C63" s="42" t="n">
        <f aca="false">SUMIFS('5. Ventas'!$E$8:$E$407,'5. Ventas'!$A$8:$A$407,"&gt;="&amp;$C$5,'5. Ventas'!$A$8:$A$407,"&lt;"&amp;$C$6,'5. Ventas'!$B$8:$B$407,$A63)</f>
        <v>0</v>
      </c>
      <c r="E63" s="43" t="n">
        <f aca="false">SUMIFS('5. Ventas'!$G$8:$G$407,'5. Ventas'!$A$8:$A$407,"&gt;="&amp;$C$5,'5. Ventas'!$A$8:$A$407,"&lt;"&amp;$C$6,'5. Ventas'!$B$8:$B$407,$A63)</f>
        <v>0</v>
      </c>
      <c r="F63" s="43" t="n">
        <f aca="false">SUMIFS('5. Ventas'!$L$8:$L$407,'5. Ventas'!$A$8:$A$407,"&gt;="&amp;$C$5,'5. Ventas'!$A$8:$A$407,"&lt;"&amp;$C$6,'5. Ventas'!$B$8:$B$407,$A63)</f>
        <v>0</v>
      </c>
    </row>
    <row r="64" customFormat="false" ht="15" hidden="false" customHeight="false" outlineLevel="0" collapsed="false">
      <c r="A64" s="36" t="n">
        <v>35</v>
      </c>
      <c r="B64" s="36" t="s">
        <v>398</v>
      </c>
      <c r="C64" s="42" t="n">
        <f aca="false">SUMIFS('5. Ventas'!$E$8:$E$407,'5. Ventas'!$A$8:$A$407,"&gt;="&amp;$C$5,'5. Ventas'!$A$8:$A$407,"&lt;"&amp;$C$6,'5. Ventas'!$B$8:$B$407,$A64)</f>
        <v>60</v>
      </c>
      <c r="E64" s="43" t="n">
        <f aca="false">SUMIFS('5. Ventas'!$G$8:$G$407,'5. Ventas'!$A$8:$A$407,"&gt;="&amp;$C$5,'5. Ventas'!$A$8:$A$407,"&lt;"&amp;$C$6,'5. Ventas'!$B$8:$B$407,$A64)</f>
        <v>6600</v>
      </c>
      <c r="F64" s="43" t="n">
        <f aca="false">SUMIFS('5. Ventas'!$L$8:$L$407,'5. Ventas'!$A$8:$A$407,"&gt;="&amp;$C$5,'5. Ventas'!$A$8:$A$407,"&lt;"&amp;$C$6,'5. Ventas'!$B$8:$B$407,$A64)</f>
        <v>4544.88636363636</v>
      </c>
    </row>
    <row r="65" customFormat="false" ht="15" hidden="false" customHeight="false" outlineLevel="0" collapsed="false">
      <c r="A65" s="36" t="n">
        <v>36</v>
      </c>
      <c r="B65" s="36" t="s">
        <v>402</v>
      </c>
      <c r="C65" s="42" t="n">
        <f aca="false">SUMIFS('5. Ventas'!$E$8:$E$407,'5. Ventas'!$A$8:$A$407,"&gt;="&amp;$C$5,'5. Ventas'!$A$8:$A$407,"&lt;"&amp;$C$6,'5. Ventas'!$B$8:$B$407,$A65)</f>
        <v>0</v>
      </c>
      <c r="E65" s="43" t="n">
        <f aca="false">SUMIFS('5. Ventas'!$G$8:$G$407,'5. Ventas'!$A$8:$A$407,"&gt;="&amp;$C$5,'5. Ventas'!$A$8:$A$407,"&lt;"&amp;$C$6,'5. Ventas'!$B$8:$B$407,$A65)</f>
        <v>0</v>
      </c>
      <c r="F65" s="43" t="n">
        <f aca="false">SUMIFS('5. Ventas'!$L$8:$L$407,'5. Ventas'!$A$8:$A$407,"&gt;="&amp;$C$5,'5. Ventas'!$A$8:$A$407,"&lt;"&amp;$C$6,'5. Ventas'!$B$8:$B$407,$A65)</f>
        <v>0</v>
      </c>
    </row>
    <row r="66" customFormat="false" ht="15" hidden="false" customHeight="false" outlineLevel="0" collapsed="false">
      <c r="A66" s="36" t="n">
        <v>37</v>
      </c>
      <c r="B66" s="36" t="s">
        <v>407</v>
      </c>
      <c r="C66" s="42" t="n">
        <f aca="false">SUMIFS('5. Ventas'!$E$8:$E$407,'5. Ventas'!$A$8:$A$407,"&gt;="&amp;$C$5,'5. Ventas'!$A$8:$A$407,"&lt;"&amp;$C$6,'5. Ventas'!$B$8:$B$407,$A66)</f>
        <v>0</v>
      </c>
      <c r="E66" s="43" t="n">
        <f aca="false">SUMIFS('5. Ventas'!$G$8:$G$407,'5. Ventas'!$A$8:$A$407,"&gt;="&amp;$C$5,'5. Ventas'!$A$8:$A$407,"&lt;"&amp;$C$6,'5. Ventas'!$B$8:$B$407,$A66)</f>
        <v>0</v>
      </c>
      <c r="F66" s="43" t="n">
        <f aca="false">SUMIFS('5. Ventas'!$L$8:$L$407,'5. Ventas'!$A$8:$A$407,"&gt;="&amp;$C$5,'5. Ventas'!$A$8:$A$407,"&lt;"&amp;$C$6,'5. Ventas'!$B$8:$B$407,$A66)</f>
        <v>0</v>
      </c>
    </row>
    <row r="67" customFormat="false" ht="15" hidden="false" customHeight="false" outlineLevel="0" collapsed="false">
      <c r="A67" s="36" t="n">
        <v>38</v>
      </c>
      <c r="B67" s="36" t="s">
        <v>412</v>
      </c>
      <c r="C67" s="42" t="n">
        <f aca="false">SUMIFS('5. Ventas'!$E$8:$E$407,'5. Ventas'!$A$8:$A$407,"&gt;="&amp;$C$5,'5. Ventas'!$A$8:$A$407,"&lt;"&amp;$C$6,'5. Ventas'!$B$8:$B$407,$A67)</f>
        <v>0</v>
      </c>
      <c r="E67" s="43" t="n">
        <f aca="false">SUMIFS('5. Ventas'!$G$8:$G$407,'5. Ventas'!$A$8:$A$407,"&gt;="&amp;$C$5,'5. Ventas'!$A$8:$A$407,"&lt;"&amp;$C$6,'5. Ventas'!$B$8:$B$407,$A67)</f>
        <v>0</v>
      </c>
      <c r="F67" s="43" t="n">
        <f aca="false">SUMIFS('5. Ventas'!$L$8:$L$407,'5. Ventas'!$A$8:$A$407,"&gt;="&amp;$C$5,'5. Ventas'!$A$8:$A$407,"&lt;"&amp;$C$6,'5. Ventas'!$B$8:$B$407,$A67)</f>
        <v>0</v>
      </c>
    </row>
    <row r="68" customFormat="false" ht="15" hidden="false" customHeight="false" outlineLevel="0" collapsed="false">
      <c r="A68" s="36" t="n">
        <v>39</v>
      </c>
      <c r="B68" s="36" t="s">
        <v>417</v>
      </c>
      <c r="C68" s="42" t="n">
        <f aca="false">SUMIFS('5. Ventas'!$E$8:$E$407,'5. Ventas'!$A$8:$A$407,"&gt;="&amp;$C$5,'5. Ventas'!$A$8:$A$407,"&lt;"&amp;$C$6,'5. Ventas'!$B$8:$B$407,$A68)</f>
        <v>0</v>
      </c>
      <c r="E68" s="43" t="n">
        <f aca="false">SUMIFS('5. Ventas'!$G$8:$G$407,'5. Ventas'!$A$8:$A$407,"&gt;="&amp;$C$5,'5. Ventas'!$A$8:$A$407,"&lt;"&amp;$C$6,'5. Ventas'!$B$8:$B$407,$A68)</f>
        <v>0</v>
      </c>
      <c r="F68" s="43" t="n">
        <f aca="false">SUMIFS('5. Ventas'!$L$8:$L$407,'5. Ventas'!$A$8:$A$407,"&gt;="&amp;$C$5,'5. Ventas'!$A$8:$A$407,"&lt;"&amp;$C$6,'5. Ventas'!$B$8:$B$407,$A68)</f>
        <v>0</v>
      </c>
    </row>
    <row r="69" customFormat="false" ht="15" hidden="false" customHeight="false" outlineLevel="0" collapsed="false">
      <c r="A69" s="36" t="n">
        <v>40</v>
      </c>
      <c r="B69" s="36" t="s">
        <v>420</v>
      </c>
      <c r="C69" s="42" t="n">
        <f aca="false">SUMIFS('5. Ventas'!$E$8:$E$407,'5. Ventas'!$A$8:$A$407,"&gt;="&amp;$C$5,'5. Ventas'!$A$8:$A$407,"&lt;"&amp;$C$6,'5. Ventas'!$B$8:$B$407,$A69)</f>
        <v>0</v>
      </c>
      <c r="E69" s="43" t="n">
        <f aca="false">SUMIFS('5. Ventas'!$G$8:$G$407,'5. Ventas'!$A$8:$A$407,"&gt;="&amp;$C$5,'5. Ventas'!$A$8:$A$407,"&lt;"&amp;$C$6,'5. Ventas'!$B$8:$B$407,$A69)</f>
        <v>0</v>
      </c>
      <c r="F69" s="43" t="n">
        <f aca="false">SUMIFS('5. Ventas'!$L$8:$L$407,'5. Ventas'!$A$8:$A$407,"&gt;="&amp;$C$5,'5. Ventas'!$A$8:$A$407,"&lt;"&amp;$C$6,'5. Ventas'!$B$8:$B$407,$A69)</f>
        <v>0</v>
      </c>
    </row>
    <row r="70" customFormat="false" ht="15" hidden="false" customHeight="false" outlineLevel="0" collapsed="false">
      <c r="A70" s="36" t="n">
        <v>41</v>
      </c>
      <c r="B70" s="36" t="s">
        <v>425</v>
      </c>
      <c r="C70" s="42" t="n">
        <f aca="false">SUMIFS('5. Ventas'!$E$8:$E$407,'5. Ventas'!$A$8:$A$407,"&gt;="&amp;$C$5,'5. Ventas'!$A$8:$A$407,"&lt;"&amp;$C$6,'5. Ventas'!$B$8:$B$407,$A70)</f>
        <v>0</v>
      </c>
      <c r="E70" s="43" t="n">
        <f aca="false">SUMIFS('5. Ventas'!$G$8:$G$407,'5. Ventas'!$A$8:$A$407,"&gt;="&amp;$C$5,'5. Ventas'!$A$8:$A$407,"&lt;"&amp;$C$6,'5. Ventas'!$B$8:$B$407,$A70)</f>
        <v>0</v>
      </c>
      <c r="F70" s="43" t="n">
        <f aca="false">SUMIFS('5. Ventas'!$L$8:$L$407,'5. Ventas'!$A$8:$A$407,"&gt;="&amp;$C$5,'5. Ventas'!$A$8:$A$407,"&lt;"&amp;$C$6,'5. Ventas'!$B$8:$B$407,$A70)</f>
        <v>0</v>
      </c>
    </row>
    <row r="71" customFormat="false" ht="15" hidden="false" customHeight="false" outlineLevel="0" collapsed="false">
      <c r="A71" s="36" t="n">
        <v>42</v>
      </c>
      <c r="B71" s="36" t="s">
        <v>434</v>
      </c>
      <c r="C71" s="42" t="n">
        <f aca="false">SUMIFS('5. Ventas'!$E$8:$E$407,'5. Ventas'!$A$8:$A$407,"&gt;="&amp;$C$5,'5. Ventas'!$A$8:$A$407,"&lt;"&amp;$C$6,'5. Ventas'!$B$8:$B$407,$A71)</f>
        <v>0</v>
      </c>
      <c r="E71" s="43" t="n">
        <f aca="false">SUMIFS('5. Ventas'!$G$8:$G$407,'5. Ventas'!$A$8:$A$407,"&gt;="&amp;$C$5,'5. Ventas'!$A$8:$A$407,"&lt;"&amp;$C$6,'5. Ventas'!$B$8:$B$407,$A71)</f>
        <v>0</v>
      </c>
      <c r="F71" s="43" t="n">
        <f aca="false">SUMIFS('5. Ventas'!$L$8:$L$407,'5. Ventas'!$A$8:$A$407,"&gt;="&amp;$C$5,'5. Ventas'!$A$8:$A$407,"&lt;"&amp;$C$6,'5. Ventas'!$B$8:$B$407,$A71)</f>
        <v>0</v>
      </c>
    </row>
    <row r="72" customFormat="false" ht="15" hidden="false" customHeight="false" outlineLevel="0" collapsed="false">
      <c r="A72" s="36" t="n">
        <v>43</v>
      </c>
      <c r="B72" s="36" t="s">
        <v>439</v>
      </c>
      <c r="C72" s="42" t="n">
        <f aca="false">SUMIFS('5. Ventas'!$E$8:$E$407,'5. Ventas'!$A$8:$A$407,"&gt;="&amp;$C$5,'5. Ventas'!$A$8:$A$407,"&lt;"&amp;$C$6,'5. Ventas'!$B$8:$B$407,$A72)</f>
        <v>0</v>
      </c>
      <c r="E72" s="43" t="n">
        <f aca="false">SUMIFS('5. Ventas'!$G$8:$G$407,'5. Ventas'!$A$8:$A$407,"&gt;="&amp;$C$5,'5. Ventas'!$A$8:$A$407,"&lt;"&amp;$C$6,'5. Ventas'!$B$8:$B$407,$A72)</f>
        <v>0</v>
      </c>
      <c r="F72" s="43" t="n">
        <f aca="false">SUMIFS('5. Ventas'!$L$8:$L$407,'5. Ventas'!$A$8:$A$407,"&gt;="&amp;$C$5,'5. Ventas'!$A$8:$A$407,"&lt;"&amp;$C$6,'5. Ventas'!$B$8:$B$407,$A72)</f>
        <v>0</v>
      </c>
    </row>
    <row r="73" customFormat="false" ht="15" hidden="false" customHeight="false" outlineLevel="0" collapsed="false">
      <c r="A73" s="36" t="n">
        <v>44</v>
      </c>
      <c r="B73" s="36" t="s">
        <v>445</v>
      </c>
      <c r="C73" s="42" t="n">
        <f aca="false">SUMIFS('5. Ventas'!$E$8:$E$407,'5. Ventas'!$A$8:$A$407,"&gt;="&amp;$C$5,'5. Ventas'!$A$8:$A$407,"&lt;"&amp;$C$6,'5. Ventas'!$B$8:$B$407,$A73)</f>
        <v>0</v>
      </c>
      <c r="E73" s="43" t="n">
        <f aca="false">SUMIFS('5. Ventas'!$G$8:$G$407,'5. Ventas'!$A$8:$A$407,"&gt;="&amp;$C$5,'5. Ventas'!$A$8:$A$407,"&lt;"&amp;$C$6,'5. Ventas'!$B$8:$B$407,$A73)</f>
        <v>0</v>
      </c>
      <c r="F73" s="43" t="n">
        <f aca="false">SUMIFS('5. Ventas'!$L$8:$L$407,'5. Ventas'!$A$8:$A$407,"&gt;="&amp;$C$5,'5. Ventas'!$A$8:$A$407,"&lt;"&amp;$C$6,'5. Ventas'!$B$8:$B$407,$A73)</f>
        <v>0</v>
      </c>
    </row>
    <row r="74" customFormat="false" ht="15" hidden="false" customHeight="false" outlineLevel="0" collapsed="false">
      <c r="A74" s="36" t="n">
        <v>45</v>
      </c>
      <c r="B74" s="36" t="s">
        <v>452</v>
      </c>
      <c r="C74" s="42" t="n">
        <f aca="false">SUMIFS('5. Ventas'!$E$8:$E$407,'5. Ventas'!$A$8:$A$407,"&gt;="&amp;$C$5,'5. Ventas'!$A$8:$A$407,"&lt;"&amp;$C$6,'5. Ventas'!$B$8:$B$407,$A74)</f>
        <v>0</v>
      </c>
      <c r="E74" s="43" t="n">
        <f aca="false">SUMIFS('5. Ventas'!$G$8:$G$407,'5. Ventas'!$A$8:$A$407,"&gt;="&amp;$C$5,'5. Ventas'!$A$8:$A$407,"&lt;"&amp;$C$6,'5. Ventas'!$B$8:$B$407,$A74)</f>
        <v>0</v>
      </c>
      <c r="F74" s="43" t="n">
        <f aca="false">SUMIFS('5. Ventas'!$L$8:$L$407,'5. Ventas'!$A$8:$A$407,"&gt;="&amp;$C$5,'5. Ventas'!$A$8:$A$407,"&lt;"&amp;$C$6,'5. Ventas'!$B$8:$B$407,$A74)</f>
        <v>0</v>
      </c>
    </row>
    <row r="75" customFormat="false" ht="15" hidden="false" customHeight="false" outlineLevel="0" collapsed="false">
      <c r="A75" s="36" t="n">
        <v>46</v>
      </c>
      <c r="B75" s="36" t="s">
        <v>459</v>
      </c>
      <c r="C75" s="42" t="n">
        <f aca="false">SUMIFS('5. Ventas'!$E$8:$E$407,'5. Ventas'!$A$8:$A$407,"&gt;="&amp;$C$5,'5. Ventas'!$A$8:$A$407,"&lt;"&amp;$C$6,'5. Ventas'!$B$8:$B$407,$A75)</f>
        <v>0</v>
      </c>
      <c r="E75" s="43" t="n">
        <f aca="false">SUMIFS('5. Ventas'!$G$8:$G$407,'5. Ventas'!$A$8:$A$407,"&gt;="&amp;$C$5,'5. Ventas'!$A$8:$A$407,"&lt;"&amp;$C$6,'5. Ventas'!$B$8:$B$407,$A75)</f>
        <v>0</v>
      </c>
      <c r="F75" s="43" t="n">
        <f aca="false">SUMIFS('5. Ventas'!$L$8:$L$407,'5. Ventas'!$A$8:$A$407,"&gt;="&amp;$C$5,'5. Ventas'!$A$8:$A$407,"&lt;"&amp;$C$6,'5. Ventas'!$B$8:$B$407,$A75)</f>
        <v>0</v>
      </c>
    </row>
    <row r="76" customFormat="false" ht="15" hidden="false" customHeight="false" outlineLevel="0" collapsed="false">
      <c r="A76" s="36" t="n">
        <v>47</v>
      </c>
      <c r="B76" s="36" t="s">
        <v>463</v>
      </c>
      <c r="C76" s="42" t="n">
        <f aca="false">SUMIFS('5. Ventas'!$E$8:$E$407,'5. Ventas'!$A$8:$A$407,"&gt;="&amp;$C$5,'5. Ventas'!$A$8:$A$407,"&lt;"&amp;$C$6,'5. Ventas'!$B$8:$B$407,$A76)</f>
        <v>0</v>
      </c>
      <c r="E76" s="43" t="n">
        <f aca="false">SUMIFS('5. Ventas'!$G$8:$G$407,'5. Ventas'!$A$8:$A$407,"&gt;="&amp;$C$5,'5. Ventas'!$A$8:$A$407,"&lt;"&amp;$C$6,'5. Ventas'!$B$8:$B$407,$A76)</f>
        <v>0</v>
      </c>
      <c r="F76" s="43" t="n">
        <f aca="false">SUMIFS('5. Ventas'!$L$8:$L$407,'5. Ventas'!$A$8:$A$407,"&gt;="&amp;$C$5,'5. Ventas'!$A$8:$A$407,"&lt;"&amp;$C$6,'5. Ventas'!$B$8:$B$407,$A76)</f>
        <v>0</v>
      </c>
    </row>
    <row r="77" customFormat="false" ht="15" hidden="false" customHeight="false" outlineLevel="0" collapsed="false">
      <c r="A77" s="36" t="n">
        <v>48</v>
      </c>
      <c r="B77" s="36" t="s">
        <v>469</v>
      </c>
      <c r="C77" s="42" t="n">
        <f aca="false">SUMIFS('5. Ventas'!$E$8:$E$407,'5. Ventas'!$A$8:$A$407,"&gt;="&amp;$C$5,'5. Ventas'!$A$8:$A$407,"&lt;"&amp;$C$6,'5. Ventas'!$B$8:$B$407,$A77)</f>
        <v>0</v>
      </c>
      <c r="E77" s="43" t="n">
        <f aca="false">SUMIFS('5. Ventas'!$G$8:$G$407,'5. Ventas'!$A$8:$A$407,"&gt;="&amp;$C$5,'5. Ventas'!$A$8:$A$407,"&lt;"&amp;$C$6,'5. Ventas'!$B$8:$B$407,$A77)</f>
        <v>0</v>
      </c>
      <c r="F77" s="43" t="n">
        <f aca="false">SUMIFS('5. Ventas'!$L$8:$L$407,'5. Ventas'!$A$8:$A$407,"&gt;="&amp;$C$5,'5. Ventas'!$A$8:$A$407,"&lt;"&amp;$C$6,'5. Ventas'!$B$8:$B$407,$A77)</f>
        <v>0</v>
      </c>
    </row>
    <row r="78" customFormat="false" ht="15" hidden="false" customHeight="false" outlineLevel="0" collapsed="false">
      <c r="A78" s="36" t="n">
        <v>49</v>
      </c>
      <c r="B78" s="36" t="s">
        <v>474</v>
      </c>
      <c r="C78" s="42" t="n">
        <f aca="false">SUMIFS('5. Ventas'!$E$8:$E$407,'5. Ventas'!$A$8:$A$407,"&gt;="&amp;$C$5,'5. Ventas'!$A$8:$A$407,"&lt;"&amp;$C$6,'5. Ventas'!$B$8:$B$407,$A78)</f>
        <v>0</v>
      </c>
      <c r="E78" s="43" t="n">
        <f aca="false">SUMIFS('5. Ventas'!$G$8:$G$407,'5. Ventas'!$A$8:$A$407,"&gt;="&amp;$C$5,'5. Ventas'!$A$8:$A$407,"&lt;"&amp;$C$6,'5. Ventas'!$B$8:$B$407,$A78)</f>
        <v>0</v>
      </c>
      <c r="F78" s="43" t="n">
        <f aca="false">SUMIFS('5. Ventas'!$L$8:$L$407,'5. Ventas'!$A$8:$A$407,"&gt;="&amp;$C$5,'5. Ventas'!$A$8:$A$407,"&lt;"&amp;$C$6,'5. Ventas'!$B$8:$B$407,$A78)</f>
        <v>0</v>
      </c>
    </row>
    <row r="79" customFormat="false" ht="15" hidden="false" customHeight="false" outlineLevel="0" collapsed="false">
      <c r="A79" s="36" t="n">
        <v>50</v>
      </c>
      <c r="B79" s="36" t="s">
        <v>482</v>
      </c>
      <c r="C79" s="42" t="n">
        <f aca="false">SUMIFS('5. Ventas'!$E$8:$E$407,'5. Ventas'!$A$8:$A$407,"&gt;="&amp;$C$5,'5. Ventas'!$A$8:$A$407,"&lt;"&amp;$C$6,'5. Ventas'!$B$8:$B$407,$A79)</f>
        <v>0</v>
      </c>
      <c r="E79" s="43" t="n">
        <f aca="false">SUMIFS('5. Ventas'!$G$8:$G$407,'5. Ventas'!$A$8:$A$407,"&gt;="&amp;$C$5,'5. Ventas'!$A$8:$A$407,"&lt;"&amp;$C$6,'5. Ventas'!$B$8:$B$407,$A79)</f>
        <v>0</v>
      </c>
      <c r="F79" s="43" t="n">
        <f aca="false">SUMIFS('5. Ventas'!$L$8:$L$407,'5. Ventas'!$A$8:$A$407,"&gt;="&amp;$C$5,'5. Ventas'!$A$8:$A$407,"&lt;"&amp;$C$6,'5. Ventas'!$B$8:$B$407,$A79)</f>
        <v>0</v>
      </c>
    </row>
    <row r="80" customFormat="false" ht="15" hidden="false" customHeight="false" outlineLevel="0" collapsed="false">
      <c r="A80" s="36" t="n">
        <v>51</v>
      </c>
      <c r="B80" s="36" t="s">
        <v>488</v>
      </c>
      <c r="C80" s="42" t="n">
        <f aca="false">SUMIFS('5. Ventas'!$E$8:$E$407,'5. Ventas'!$A$8:$A$407,"&gt;="&amp;$C$5,'5. Ventas'!$A$8:$A$407,"&lt;"&amp;$C$6,'5. Ventas'!$B$8:$B$407,$A80)</f>
        <v>0</v>
      </c>
      <c r="E80" s="43" t="n">
        <f aca="false">SUMIFS('5. Ventas'!$G$8:$G$407,'5. Ventas'!$A$8:$A$407,"&gt;="&amp;$C$5,'5. Ventas'!$A$8:$A$407,"&lt;"&amp;$C$6,'5. Ventas'!$B$8:$B$407,$A80)</f>
        <v>0</v>
      </c>
      <c r="F80" s="43" t="n">
        <f aca="false">SUMIFS('5. Ventas'!$L$8:$L$407,'5. Ventas'!$A$8:$A$407,"&gt;="&amp;$C$5,'5. Ventas'!$A$8:$A$407,"&lt;"&amp;$C$6,'5. Ventas'!$B$8:$B$407,$A80)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2026-08-17T23:09:20Z</dcterms:created>
  <dc:creator>openpyxl</dc:creator>
  <dc:description/>
  <dc:language>en-US</dc:language>
  <cp:lastModifiedBy/>
  <dcterms:modified xsi:type="dcterms:W3CDTF">2026-08-17T23:09:21Z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