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Bases madre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Ingredientes!$A$4:$H$500</definedName>
    <definedName function="false" hidden="true" localSheetId="1" name="_xlnm._FilterDatabase" vbProcedure="false">Insumos!$A$4:$I$108</definedName>
    <definedName function="false" hidden="true" localSheetId="5" name="_xlnm._FilterDatabase" vbProcedure="false">'Recetas y precios'!$A$4:$Z$54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Dato de referencia del libro: ajústalo a tu producción real.</t>
        </r>
      </text>
    </comment>
  </commentList>
</comments>
</file>

<file path=xl/sharedStrings.xml><?xml version="1.0" encoding="utf-8"?>
<sst xmlns="http://schemas.openxmlformats.org/spreadsheetml/2006/main" count="3189" uniqueCount="896">
  <si>
    <t xml:space="preserve">Tacos de Canasta · Del Sudado Tradicional a la Canasta de Autor</t>
  </si>
  <si>
    <t xml:space="preserve">Anexo 1 · Costeo, merma y precios · Endulcora · Estudio Gastronómico · En colaboración con Levent</t>
  </si>
  <si>
    <t xml:space="preserve">•</t>
  </si>
  <si>
    <t xml:space="preserve">Qué es: Hoja de costeo del eBook «Tacos de Canasta». Calcula el costo real de las 50 recetas y su precio por canal con tus propios precios.</t>
  </si>
  <si>
    <t xml:space="preserve">Cómo se usa: 1) Insumos: captura presentación y precio que tú pagas. 2) Mi negocio: gastos fijos, sueldo, horas, merma y márgenes. 3) Recetas y precios: revisa costos y precios (se recalculan solos). 4) Registra lotes en Producción y ventas en Ventas. 5) Revisa el Tablero cada semana.</t>
  </si>
  <si>
    <t xml:space="preserve">Celdas amarillas: Son las únicas que debes editar. Todo lo demás es fórmula: si la borras, se rompe el cálculo.</t>
  </si>
  <si>
    <t xml:space="preserve">Modelo de costeo: Costo por unidad = Precio ÷ Presentación · Insumos del lote = Σ(cantidad × costo unitario) + aceite colorado · Insumos por pieza = lote ÷ piezas · Costo base = insumos + empaque + energía + mano de obra + gastos fijos · Costo total = Costo base ÷ (1 − merma) (se DIVIDE, no se suma) · Precio = Costo total ÷ (1 − margen), al peso siguiente.</t>
  </si>
  <si>
    <t xml:space="preserve">Hojas: Insumos (catálogo editable) · Bases madre (9 aceites colorados y 6 guisados madre) · Ingredientes (cada línea del recetario normalizada, con el texto original del chef) · Mi negocio (supuestos) · Recetas y precios (hoja principal) · Producción (bitácora de lotes y merma) · Ventas (bitácora) · Tablero (resumen).</t>
  </si>
  <si>
    <t xml:space="preserve">Unidades: Recetas 1–45: por taco (lote de 50 tacos, 25 g de guisado + 20 g de tortilla). Recetas 46–50 (salsas y deeps): por frasco de 250 g.</t>
  </si>
  <si>
    <t xml:space="preserve">Equivalencias: Las piezas del recetario se convirtieron a gramos (diente de ajo 4 g, chile guajillo 10 g, ancho 15 g, pasilla 12 g, morita 5 g, laurel 0.3 g, tortilla 20 g, manteca 1 ml ≈ 0.92 g). Ver Anexo A del libro. Si tus piezas pesan distinto, corrige la cantidad en Ingredientes.</t>
  </si>
  <si>
    <t xml:space="preserve">Advertencia: Los precios cargados son de referencia (mercado CDMX 2026), no cotizaciones. Los resultados son ilustrativos hasta que captures tus precios reales. No se promete ningún ingreso.</t>
  </si>
  <si>
    <t xml:space="preserve"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</si>
  <si>
    <t xml:space="preserve">Celda de ejemplo que sí puedes editar →</t>
  </si>
  <si>
    <t xml:space="preserve">Insumos</t>
  </si>
  <si>
    <t xml:space="preserve">Captura la presentación que compras y lo que pagas. Precios de referencia CDMX 2026 (no son cotizaciones).</t>
  </si>
  <si>
    <t xml:space="preserve">ID</t>
  </si>
  <si>
    <t xml:space="preserve">Categoría</t>
  </si>
  <si>
    <t xml:space="preserve">Insumo</t>
  </si>
  <si>
    <t xml:space="preserve">Unidad</t>
  </si>
  <si>
    <t xml:space="preserve">Presentación</t>
  </si>
  <si>
    <t xml:space="preserve">Precio pagado</t>
  </si>
  <si>
    <t xml:space="preserve">Costo por unidad</t>
  </si>
  <si>
    <t xml:space="preserve">Usos</t>
  </si>
  <si>
    <t xml:space="preserve">Proveedor</t>
  </si>
  <si>
    <t xml:space="preserve">I-001</t>
  </si>
  <si>
    <t xml:space="preserve">Maíz y tortilla</t>
  </si>
  <si>
    <t xml:space="preserve">Tortilla taquera de nixtamal (11 cm)</t>
  </si>
  <si>
    <t xml:space="preserve">g</t>
  </si>
  <si>
    <t xml:space="preserve">I-002</t>
  </si>
  <si>
    <t xml:space="preserve">Grasas</t>
  </si>
  <si>
    <t xml:space="preserve">Manteca de cerdo</t>
  </si>
  <si>
    <t xml:space="preserve">I-003</t>
  </si>
  <si>
    <t xml:space="preserve">Aceite de maíz</t>
  </si>
  <si>
    <t xml:space="preserve">ml</t>
  </si>
  <si>
    <t xml:space="preserve">I-004</t>
  </si>
  <si>
    <t xml:space="preserve">Mantequilla sin sal</t>
  </si>
  <si>
    <t xml:space="preserve">I-005</t>
  </si>
  <si>
    <t xml:space="preserve">Ghee (mantequilla clarificada)</t>
  </si>
  <si>
    <t xml:space="preserve">I-006</t>
  </si>
  <si>
    <t xml:space="preserve">Grasa de pato</t>
  </si>
  <si>
    <t xml:space="preserve">I-007</t>
  </si>
  <si>
    <t xml:space="preserve">Cerdo</t>
  </si>
  <si>
    <t xml:space="preserve">Chicharrón prensado</t>
  </si>
  <si>
    <t xml:space="preserve">I-008</t>
  </si>
  <si>
    <t xml:space="preserve">Chicharrón de cerdo duro</t>
  </si>
  <si>
    <t xml:space="preserve">I-009</t>
  </si>
  <si>
    <t xml:space="preserve">Chicharrón carnoso norteño</t>
  </si>
  <si>
    <t xml:space="preserve">I-010</t>
  </si>
  <si>
    <t xml:space="preserve">Espaldilla de cerdo</t>
  </si>
  <si>
    <t xml:space="preserve">I-011</t>
  </si>
  <si>
    <t xml:space="preserve">Pierna de cerdo</t>
  </si>
  <si>
    <t xml:space="preserve">I-012</t>
  </si>
  <si>
    <t xml:space="preserve">Lomo de cerdo</t>
  </si>
  <si>
    <t xml:space="preserve">I-013</t>
  </si>
  <si>
    <t xml:space="preserve">Carne molida de cerdo</t>
  </si>
  <si>
    <t xml:space="preserve">I-014</t>
  </si>
  <si>
    <t xml:space="preserve">Costilla de cerdo con hueso</t>
  </si>
  <si>
    <t xml:space="preserve">I-015</t>
  </si>
  <si>
    <t xml:space="preserve">Panceta de cerdo (pork belly)</t>
  </si>
  <si>
    <t xml:space="preserve">I-016</t>
  </si>
  <si>
    <t xml:space="preserve">Chamorro de cerdo</t>
  </si>
  <si>
    <t xml:space="preserve">I-017</t>
  </si>
  <si>
    <t xml:space="preserve">Asiento de puerco («veneno»)</t>
  </si>
  <si>
    <t xml:space="preserve">I-018</t>
  </si>
  <si>
    <t xml:space="preserve">Embutidos</t>
  </si>
  <si>
    <t xml:space="preserve">Chorizo de cerdo</t>
  </si>
  <si>
    <t xml:space="preserve">I-019</t>
  </si>
  <si>
    <t xml:space="preserve">Longaniza de Toluca</t>
  </si>
  <si>
    <t xml:space="preserve">I-020</t>
  </si>
  <si>
    <t xml:space="preserve">Tocino ahumado</t>
  </si>
  <si>
    <t xml:space="preserve">I-021</t>
  </si>
  <si>
    <t xml:space="preserve">Moronga</t>
  </si>
  <si>
    <t xml:space="preserve">I-022</t>
  </si>
  <si>
    <t xml:space="preserve">Res</t>
  </si>
  <si>
    <t xml:space="preserve">Carne molida de res</t>
  </si>
  <si>
    <t xml:space="preserve">I-023</t>
  </si>
  <si>
    <t xml:space="preserve">Bistec de res</t>
  </si>
  <si>
    <t xml:space="preserve">I-024</t>
  </si>
  <si>
    <t xml:space="preserve">Falda de res</t>
  </si>
  <si>
    <t xml:space="preserve">I-025</t>
  </si>
  <si>
    <t xml:space="preserve">Suadero de res</t>
  </si>
  <si>
    <t xml:space="preserve">I-026</t>
  </si>
  <si>
    <t xml:space="preserve">Res con colágeno (pescuezo/chambarete)</t>
  </si>
  <si>
    <t xml:space="preserve">I-027</t>
  </si>
  <si>
    <t xml:space="preserve">Carne seca (machaca)</t>
  </si>
  <si>
    <t xml:space="preserve">I-028</t>
  </si>
  <si>
    <t xml:space="preserve">Aves y mar</t>
  </si>
  <si>
    <t xml:space="preserve">Pollo sin piel (pechuga y pierna)</t>
  </si>
  <si>
    <t xml:space="preserve">I-029</t>
  </si>
  <si>
    <t xml:space="preserve">Pato (muslo y pierna)</t>
  </si>
  <si>
    <t xml:space="preserve">I-030</t>
  </si>
  <si>
    <t xml:space="preserve">Marlín ahumado</t>
  </si>
  <si>
    <t xml:space="preserve">I-031</t>
  </si>
  <si>
    <t xml:space="preserve">Pulpo crudo</t>
  </si>
  <si>
    <t xml:space="preserve">I-032</t>
  </si>
  <si>
    <t xml:space="preserve">Lácteos</t>
  </si>
  <si>
    <t xml:space="preserve">Requesón de rancho</t>
  </si>
  <si>
    <t xml:space="preserve">I-033</t>
  </si>
  <si>
    <t xml:space="preserve">Queso adobera</t>
  </si>
  <si>
    <t xml:space="preserve">I-034</t>
  </si>
  <si>
    <t xml:space="preserve">Verduras</t>
  </si>
  <si>
    <t xml:space="preserve">Papa blanca</t>
  </si>
  <si>
    <t xml:space="preserve">I-035</t>
  </si>
  <si>
    <t xml:space="preserve">Cebolla blanca</t>
  </si>
  <si>
    <t xml:space="preserve">I-036</t>
  </si>
  <si>
    <t xml:space="preserve">Cebolla morada</t>
  </si>
  <si>
    <t xml:space="preserve">I-037</t>
  </si>
  <si>
    <t xml:space="preserve">Cebollita cambray</t>
  </si>
  <si>
    <t xml:space="preserve">I-038</t>
  </si>
  <si>
    <t xml:space="preserve">Ajo</t>
  </si>
  <si>
    <t xml:space="preserve">I-039</t>
  </si>
  <si>
    <t xml:space="preserve">Jitomate saladet</t>
  </si>
  <si>
    <t xml:space="preserve">I-040</t>
  </si>
  <si>
    <t xml:space="preserve">Tomatillo verde</t>
  </si>
  <si>
    <t xml:space="preserve">I-041</t>
  </si>
  <si>
    <t xml:space="preserve">Zanahoria</t>
  </si>
  <si>
    <t xml:space="preserve">I-042</t>
  </si>
  <si>
    <t xml:space="preserve">Calabacita italiana</t>
  </si>
  <si>
    <t xml:space="preserve">I-043</t>
  </si>
  <si>
    <t xml:space="preserve">Grano de elote tierno</t>
  </si>
  <si>
    <t xml:space="preserve">I-044</t>
  </si>
  <si>
    <t xml:space="preserve">Flor de calabaza</t>
  </si>
  <si>
    <t xml:space="preserve">I-045</t>
  </si>
  <si>
    <t xml:space="preserve">Nopal tierno limpio</t>
  </si>
  <si>
    <t xml:space="preserve">I-046</t>
  </si>
  <si>
    <t xml:space="preserve">Quelite cenizo</t>
  </si>
  <si>
    <t xml:space="preserve">I-047</t>
  </si>
  <si>
    <t xml:space="preserve">Col blanca</t>
  </si>
  <si>
    <t xml:space="preserve">I-048</t>
  </si>
  <si>
    <t xml:space="preserve">Pimiento morrón verde</t>
  </si>
  <si>
    <t xml:space="preserve">I-049</t>
  </si>
  <si>
    <t xml:space="preserve">Lechuga orejona</t>
  </si>
  <si>
    <t xml:space="preserve">I-050</t>
  </si>
  <si>
    <t xml:space="preserve">Jengibre fresco</t>
  </si>
  <si>
    <t xml:space="preserve">I-051</t>
  </si>
  <si>
    <t xml:space="preserve">Chiles frescos</t>
  </si>
  <si>
    <t xml:space="preserve">Chile serrano</t>
  </si>
  <si>
    <t xml:space="preserve">I-052</t>
  </si>
  <si>
    <t xml:space="preserve">Chile jalapeño (cuaresmeño)</t>
  </si>
  <si>
    <t xml:space="preserve">I-053</t>
  </si>
  <si>
    <t xml:space="preserve">Chile poblano</t>
  </si>
  <si>
    <t xml:space="preserve">I-054</t>
  </si>
  <si>
    <t xml:space="preserve">Chile habanero</t>
  </si>
  <si>
    <t xml:space="preserve">I-055</t>
  </si>
  <si>
    <t xml:space="preserve">Hongos</t>
  </si>
  <si>
    <t xml:space="preserve">Setas</t>
  </si>
  <si>
    <t xml:space="preserve">I-056</t>
  </si>
  <si>
    <t xml:space="preserve">Champiñón blanco</t>
  </si>
  <si>
    <t xml:space="preserve">I-057</t>
  </si>
  <si>
    <t xml:space="preserve">Hongo portobello</t>
  </si>
  <si>
    <t xml:space="preserve">I-058</t>
  </si>
  <si>
    <t xml:space="preserve">Hongos silvestres de temporada</t>
  </si>
  <si>
    <t xml:space="preserve">I-059</t>
  </si>
  <si>
    <t xml:space="preserve">Frutas</t>
  </si>
  <si>
    <t xml:space="preserve">Piña miel</t>
  </si>
  <si>
    <t xml:space="preserve">I-060</t>
  </si>
  <si>
    <t xml:space="preserve">Xoconostle</t>
  </si>
  <si>
    <t xml:space="preserve">I-061</t>
  </si>
  <si>
    <t xml:space="preserve">Aguacate Hass</t>
  </si>
  <si>
    <t xml:space="preserve">I-062</t>
  </si>
  <si>
    <t xml:space="preserve">Limón</t>
  </si>
  <si>
    <t xml:space="preserve">I-063</t>
  </si>
  <si>
    <t xml:space="preserve">Jugo de naranja agria</t>
  </si>
  <si>
    <t xml:space="preserve">I-064</t>
  </si>
  <si>
    <t xml:space="preserve">Jugo de naranja dulce</t>
  </si>
  <si>
    <t xml:space="preserve">I-065</t>
  </si>
  <si>
    <t xml:space="preserve">Cáscara de naranja o mandarina</t>
  </si>
  <si>
    <t xml:space="preserve">I-066</t>
  </si>
  <si>
    <t xml:space="preserve">Hierbas</t>
  </si>
  <si>
    <t xml:space="preserve">Cilantro</t>
  </si>
  <si>
    <t xml:space="preserve">I-067</t>
  </si>
  <si>
    <t xml:space="preserve">Epazote</t>
  </si>
  <si>
    <t xml:space="preserve">I-068</t>
  </si>
  <si>
    <t xml:space="preserve">Hierbabuena</t>
  </si>
  <si>
    <t xml:space="preserve">I-069</t>
  </si>
  <si>
    <t xml:space="preserve">Hoja santa (acuyo)</t>
  </si>
  <si>
    <t xml:space="preserve">pz</t>
  </si>
  <si>
    <t xml:space="preserve">I-070</t>
  </si>
  <si>
    <t xml:space="preserve">Tomillo fresco</t>
  </si>
  <si>
    <t xml:space="preserve">I-071</t>
  </si>
  <si>
    <t xml:space="preserve">Chiles secos</t>
  </si>
  <si>
    <t xml:space="preserve">Chile guajillo</t>
  </si>
  <si>
    <t xml:space="preserve">I-072</t>
  </si>
  <si>
    <t xml:space="preserve">Chile ancho</t>
  </si>
  <si>
    <t xml:space="preserve">I-073</t>
  </si>
  <si>
    <t xml:space="preserve">Chile pasilla</t>
  </si>
  <si>
    <t xml:space="preserve">I-074</t>
  </si>
  <si>
    <t xml:space="preserve">Chile morita</t>
  </si>
  <si>
    <t xml:space="preserve">I-075</t>
  </si>
  <si>
    <t xml:space="preserve">Chile chipotle meco</t>
  </si>
  <si>
    <t xml:space="preserve">I-076</t>
  </si>
  <si>
    <t xml:space="preserve">Chile cascabel</t>
  </si>
  <si>
    <t xml:space="preserve">I-077</t>
  </si>
  <si>
    <t xml:space="preserve">Chile de árbol</t>
  </si>
  <si>
    <t xml:space="preserve">I-078</t>
  </si>
  <si>
    <t xml:space="preserve">Chipotle adobado (lata)</t>
  </si>
  <si>
    <t xml:space="preserve">I-079</t>
  </si>
  <si>
    <t xml:space="preserve">Especias</t>
  </si>
  <si>
    <t xml:space="preserve">Sal de mar fina (Colima)</t>
  </si>
  <si>
    <t xml:space="preserve">I-080</t>
  </si>
  <si>
    <t xml:space="preserve">Pimienta negra</t>
  </si>
  <si>
    <t xml:space="preserve">I-081</t>
  </si>
  <si>
    <t xml:space="preserve">Comino</t>
  </si>
  <si>
    <t xml:space="preserve">I-082</t>
  </si>
  <si>
    <t xml:space="preserve">Orégano seco</t>
  </si>
  <si>
    <t xml:space="preserve">I-083</t>
  </si>
  <si>
    <t xml:space="preserve">Laurel</t>
  </si>
  <si>
    <t xml:space="preserve">I-084</t>
  </si>
  <si>
    <t xml:space="preserve">Clavo de olor</t>
  </si>
  <si>
    <t xml:space="preserve">I-085</t>
  </si>
  <si>
    <t xml:space="preserve">Pimienta gorda</t>
  </si>
  <si>
    <t xml:space="preserve">I-086</t>
  </si>
  <si>
    <t xml:space="preserve">Canela</t>
  </si>
  <si>
    <t xml:space="preserve">I-087</t>
  </si>
  <si>
    <t xml:space="preserve">Cinco especias chinas</t>
  </si>
  <si>
    <t xml:space="preserve">I-088</t>
  </si>
  <si>
    <t xml:space="preserve">Hoja de aguacate seca</t>
  </si>
  <si>
    <t xml:space="preserve">I-089</t>
  </si>
  <si>
    <t xml:space="preserve">Bicarbonato de sodio</t>
  </si>
  <si>
    <t xml:space="preserve">I-090</t>
  </si>
  <si>
    <t xml:space="preserve">Semillas y pastas</t>
  </si>
  <si>
    <t xml:space="preserve">Achiote en pasta</t>
  </si>
  <si>
    <t xml:space="preserve">I-091</t>
  </si>
  <si>
    <t xml:space="preserve">Pepita de calabaza verde</t>
  </si>
  <si>
    <t xml:space="preserve">I-092</t>
  </si>
  <si>
    <t xml:space="preserve">Ajonjolí</t>
  </si>
  <si>
    <t xml:space="preserve">I-093</t>
  </si>
  <si>
    <t xml:space="preserve">Pasta de mole negro</t>
  </si>
  <si>
    <t xml:space="preserve">I-094</t>
  </si>
  <si>
    <t xml:space="preserve">Chocolate de metate</t>
  </si>
  <si>
    <t xml:space="preserve">I-095</t>
  </si>
  <si>
    <t xml:space="preserve">Piloncillo</t>
  </si>
  <si>
    <t xml:space="preserve">I-096</t>
  </si>
  <si>
    <t xml:space="preserve">Legumbres</t>
  </si>
  <si>
    <t xml:space="preserve">Frijol negro</t>
  </si>
  <si>
    <t xml:space="preserve">I-097</t>
  </si>
  <si>
    <t xml:space="preserve">Frijol bayo</t>
  </si>
  <si>
    <t xml:space="preserve">I-098</t>
  </si>
  <si>
    <t xml:space="preserve">Líquidos</t>
  </si>
  <si>
    <t xml:space="preserve">Vinagre de manzana</t>
  </si>
  <si>
    <t xml:space="preserve">I-099</t>
  </si>
  <si>
    <t xml:space="preserve">Vinagre de caña</t>
  </si>
  <si>
    <t xml:space="preserve">I-100</t>
  </si>
  <si>
    <t xml:space="preserve">Vinagre de piña</t>
  </si>
  <si>
    <t xml:space="preserve">I-101</t>
  </si>
  <si>
    <t xml:space="preserve">Jugo sazonador</t>
  </si>
  <si>
    <t xml:space="preserve">I-102</t>
  </si>
  <si>
    <t xml:space="preserve">Salsa inglesa</t>
  </si>
  <si>
    <t xml:space="preserve">I-103</t>
  </si>
  <si>
    <t xml:space="preserve">Cerveza negra</t>
  </si>
  <si>
    <t xml:space="preserve">I-104</t>
  </si>
  <si>
    <t xml:space="preserve">Agua purificada / caldo de cocción</t>
  </si>
  <si>
    <t xml:space="preserve">Bases madre</t>
  </si>
  <si>
    <t xml:space="preserve">Nueve aceites colorados (fórmulas del chef) y seis guisados madre (clasificación de la edición). Capítulo 3 del libro.</t>
  </si>
  <si>
    <t xml:space="preserve">Código</t>
  </si>
  <si>
    <t xml:space="preserve">Aceite colorado</t>
  </si>
  <si>
    <t xml:space="preserve">Rendimiento (ml de grasa)</t>
  </si>
  <si>
    <t xml:space="preserve">Costo del lote</t>
  </si>
  <si>
    <t xml:space="preserve">Costo por ml</t>
  </si>
  <si>
    <t xml:space="preserve">Costo por taco (lote de 50)</t>
  </si>
  <si>
    <t xml:space="preserve">Recetas que lo usan</t>
  </si>
  <si>
    <t xml:space="preserve">Recetas</t>
  </si>
  <si>
    <t xml:space="preserve">AC-1</t>
  </si>
  <si>
    <t xml:space="preserve">Aceite colorado de canasta (fórmula base)</t>
  </si>
  <si>
    <t xml:space="preserve">1–5</t>
  </si>
  <si>
    <t xml:space="preserve">AC-2</t>
  </si>
  <si>
    <t xml:space="preserve">Con infusión de ajo y orégano</t>
  </si>
  <si>
    <t xml:space="preserve">6–10</t>
  </si>
  <si>
    <t xml:space="preserve">AC-3</t>
  </si>
  <si>
    <t xml:space="preserve">Con cebolla cristalizada y laurel</t>
  </si>
  <si>
    <t xml:space="preserve">11–15</t>
  </si>
  <si>
    <t xml:space="preserve">AC-4</t>
  </si>
  <si>
    <t xml:space="preserve">Con chile ancho y comino</t>
  </si>
  <si>
    <t xml:space="preserve">16–20</t>
  </si>
  <si>
    <t xml:space="preserve">AC-5</t>
  </si>
  <si>
    <t xml:space="preserve">Con chile morita y cebolla asada</t>
  </si>
  <si>
    <t xml:space="preserve">21–25</t>
  </si>
  <si>
    <t xml:space="preserve">AC-6</t>
  </si>
  <si>
    <t xml:space="preserve">Con chile cascabel y pimienta gorda</t>
  </si>
  <si>
    <t xml:space="preserve">26–30</t>
  </si>
  <si>
    <t xml:space="preserve">AC-7</t>
  </si>
  <si>
    <t xml:space="preserve">Con chile pasilla, ajo y hoja de aguacate</t>
  </si>
  <si>
    <t xml:space="preserve">31–35</t>
  </si>
  <si>
    <t xml:space="preserve">AC-8</t>
  </si>
  <si>
    <t xml:space="preserve">Con chile ancho, ajo y canela</t>
  </si>
  <si>
    <t xml:space="preserve">36–40</t>
  </si>
  <si>
    <t xml:space="preserve">AC-9</t>
  </si>
  <si>
    <t xml:space="preserve">Con chipotle meco y cáscara de mandarina</t>
  </si>
  <si>
    <t xml:space="preserve">41–45</t>
  </si>
  <si>
    <t xml:space="preserve">Guisado madre</t>
  </si>
  <si>
    <t xml:space="preserve">Clave de control de agua</t>
  </si>
  <si>
    <t xml:space="preserve">Nº recetas</t>
  </si>
  <si>
    <t xml:space="preserve">Insumos promedio por pieza</t>
  </si>
  <si>
    <t xml:space="preserve">G-1</t>
  </si>
  <si>
    <t xml:space="preserve">Pasta de almidón</t>
  </si>
  <si>
    <t xml:space="preserve">Papa o frijol trabajados hasta formar una masa compacta que rueda en bloque.</t>
  </si>
  <si>
    <t xml:space="preserve">G-2</t>
  </si>
  <si>
    <t xml:space="preserve">Adobo rojo de chiles secos</t>
  </si>
  <si>
    <t xml:space="preserve">Chiles secos hidratados, licuados, «chillados» en grasa y reducidos hasta película.</t>
  </si>
  <si>
    <t xml:space="preserve">G-3</t>
  </si>
  <si>
    <t xml:space="preserve">Verde de tomatillo y pepita</t>
  </si>
  <si>
    <t xml:space="preserve">Tomatillo cocido o asado sin reventar; la pectina (o la pepita) amarra el guisado.</t>
  </si>
  <si>
    <t xml:space="preserve">G-4</t>
  </si>
  <si>
    <t xml:space="preserve">Recaudo de jitomate</t>
  </si>
  <si>
    <t xml:space="preserve">Jitomate asado o crudo reducido a pasta que barniza carne o verdura.</t>
  </si>
  <si>
    <t xml:space="preserve">G-5</t>
  </si>
  <si>
    <t xml:space="preserve">Salteado seco de huerta</t>
  </si>
  <si>
    <t xml:space="preserve">Verdura, hongo o lácteo al que se le saca el agua antes de sazonar.</t>
  </si>
  <si>
    <t xml:space="preserve">G-6</t>
  </si>
  <si>
    <t xml:space="preserve">Confitado y salteado cárnico</t>
  </si>
  <si>
    <t xml:space="preserve">Carne sellada o confitada en su grasa, picada fina y sin salsa libre.</t>
  </si>
  <si>
    <t xml:space="preserve">S</t>
  </si>
  <si>
    <t xml:space="preserve">Acompañamientos de la canasta</t>
  </si>
  <si>
    <t xml:space="preserve">Salsas crudas y cocidas, encurtido y deeps que viajan fuera de la canasta.</t>
  </si>
  <si>
    <t xml:space="preserve">El guisado S (acompañamientos) se costea por frasco de 250 g.</t>
  </si>
  <si>
    <t xml:space="preserve">Fórmulas de los aceites colorados (edita cantidades en amarillo)</t>
  </si>
  <si>
    <t xml:space="preserve">Aceite</t>
  </si>
  <si>
    <t xml:space="preserve">Cantidad</t>
  </si>
  <si>
    <t xml:space="preserve">Costo unitario</t>
  </si>
  <si>
    <t xml:space="preserve">Costo</t>
  </si>
  <si>
    <t xml:space="preserve">Texto original del chef</t>
  </si>
  <si>
    <t xml:space="preserve">250 ml Manteca de cerdo pura de cazo (o 150 ml manteca + 100 ml aceite de maíz)</t>
  </si>
  <si>
    <t xml:space="preserve">4 Chiles guajillo secos limpios troceados (sin semillas)</t>
  </si>
  <si>
    <t xml:space="preserve">1/2 Cebolla blanca en rodajas gruesas</t>
  </si>
  <si>
    <t xml:space="preserve">3 Dientes de ajo con piel aplastados</t>
  </si>
  <si>
    <t xml:space="preserve">200 ml Manteca de cerdo limpia</t>
  </si>
  <si>
    <t xml:space="preserve">100 ml Aceite de maíz</t>
  </si>
  <si>
    <t xml:space="preserve">5 Chiles guajillo secos limpios troceados</t>
  </si>
  <si>
    <t xml:space="preserve">1 Chile ancho limpio</t>
  </si>
  <si>
    <t xml:space="preserve">5 Dientes de ajo machacados con cáscara</t>
  </si>
  <si>
    <t xml:space="preserve">1/2 Cebolla en aros gruesos</t>
  </si>
  <si>
    <t xml:space="preserve">2 g Orégano seco entero</t>
  </si>
  <si>
    <t xml:space="preserve">250 ml Aceite de maíz puro (o 150 ml aceite de maíz + 100 ml manteca de cerdo)</t>
  </si>
  <si>
    <t xml:space="preserve">1/2 Cebolla blanca fileteada en medias lunas delgadas</t>
  </si>
  <si>
    <t xml:space="preserve">2 Hojas de laurel seco</t>
  </si>
  <si>
    <t xml:space="preserve">3 Dientes de ajo aplastados con cáscara</t>
  </si>
  <si>
    <t xml:space="preserve">200 ml Aceite vegetal de maíz puro</t>
  </si>
  <si>
    <t xml:space="preserve">100 ml Manteca de cerdo limpia (o 100 ml extra de aceite vegetal para versión 100% vegetariana)</t>
  </si>
  <si>
    <t xml:space="preserve">3 Chiles guajillo secos limpios troceados</t>
  </si>
  <si>
    <t xml:space="preserve">2 Chiles anchos secos limpios troceados</t>
  </si>
  <si>
    <t xml:space="preserve">1/2 Cebolla blanca fileteada en rodajas delgadas</t>
  </si>
  <si>
    <t xml:space="preserve">4 Dientes de ajo aplastados con piel</t>
  </si>
  <si>
    <t xml:space="preserve">1 g Comino en semilla entero</t>
  </si>
  <si>
    <t xml:space="preserve">200 ml Manteca de cerdo pura de cazo</t>
  </si>
  <si>
    <t xml:space="preserve">100 ml Aceite vegetal de maíz</t>
  </si>
  <si>
    <t xml:space="preserve">4 Chiles guajillo secos limpios troceados</t>
  </si>
  <si>
    <t xml:space="preserve">2 Chiles morita secos tatemados (sin semillas, para un aroma ahumado de leña)</t>
  </si>
  <si>
    <t xml:space="preserve">1/2 Cebolla blanca en aros gruesos</t>
  </si>
  <si>
    <t xml:space="preserve">4 Dientes de ajo machacados con cáscara</t>
  </si>
  <si>
    <t xml:space="preserve">2 Clavos de olor enteros</t>
  </si>
  <si>
    <t xml:space="preserve">2 Chiles cascabel secos limpios (sin semillas, aportan notas nuez y aroma tostado)</t>
  </si>
  <si>
    <t xml:space="preserve">1/2 Cebolla blanca fileteada en medias lunas</t>
  </si>
  <si>
    <t xml:space="preserve">2 Granos de pimienta gorda de Tabasco machacados</t>
  </si>
  <si>
    <t xml:space="preserve">100 ml Aceite vegetal de maíz puro</t>
  </si>
  <si>
    <t xml:space="preserve">2 Chiles pasilla secos limpios troceados</t>
  </si>
  <si>
    <t xml:space="preserve">1/2 Cebolla blanca fileteada en rodajas gruesas</t>
  </si>
  <si>
    <t xml:space="preserve">2 Hojas secas de aguacate criollo tostadas ligeramente</t>
  </si>
  <si>
    <t xml:space="preserve">4 Chiles anchos secos limpios troceados</t>
  </si>
  <si>
    <t xml:space="preserve">2 Chiles guajillo secos limpios troceados</t>
  </si>
  <si>
    <t xml:space="preserve">1/2 Cebolla blanca cortada en aros gruesos</t>
  </si>
  <si>
    <t xml:space="preserve">1 Trozo pequeño de canela en rama (1 g)</t>
  </si>
  <si>
    <t xml:space="preserve">200 ml Manteca de cerdo pura (o grasa de pato filtrada para un perfil prémium)</t>
  </si>
  <si>
    <t xml:space="preserve">2 Chiles chipotle meco secos troceados (aroma ahumado a madera de encino)</t>
  </si>
  <si>
    <t xml:space="preserve">1 Tira delgada de piel de mandarina o naranja criolla sin albedo blanco (2 g)</t>
  </si>
  <si>
    <t xml:space="preserve">Ingredientes</t>
  </si>
  <si>
    <t xml:space="preserve">Cada línea del recetario normalizada a un insumo del catálogo, con el texto original del chef al lado para auditarla.</t>
  </si>
  <si>
    <t xml:space="preserve">Nº</t>
  </si>
  <si>
    <t xml:space="preserve">Receta</t>
  </si>
  <si>
    <t xml:space="preserve">Papa Machacada Campesina con Cebolla Confitada al Comal</t>
  </si>
  <si>
    <t xml:space="preserve">1,200 g Papa blanca (Alfa o Russet) lavada y con cáscara para cocción</t>
  </si>
  <si>
    <t xml:space="preserve">120 g Manteca de cerdo pura de cazo (aporta sabor láctico y sella el almidón)</t>
  </si>
  <si>
    <t xml:space="preserve">250 g Cebolla blanca picada en brunoise fina</t>
  </si>
  <si>
    <t xml:space="preserve">4 Dientes de ajo frescos picados finamente (15 g)</t>
  </si>
  <si>
    <t xml:space="preserve">18 g Sal de Colima fina</t>
  </si>
  <si>
    <t xml:space="preserve">3 g Pimienta negra recién molida</t>
  </si>
  <si>
    <t xml:space="preserve">2 g Comino entero recién molido en molcajete</t>
  </si>
  <si>
    <t xml:space="preserve">50 Tortillas taqueras de maíz nixtamalizado (11 cm, 20 g c/u, temperatura de salida a 65°C)</t>
  </si>
  <si>
    <t xml:space="preserve">Chicharrón Prensado al Guajillo y Laurel</t>
  </si>
  <si>
    <t xml:space="preserve">700 g Chicharrón prensado de carnicería tradicional (en trozo, sin exceso de salitre)</t>
  </si>
  <si>
    <t xml:space="preserve">6 Chiles guajillo secos desvenados y limpios (60 g)</t>
  </si>
  <si>
    <t xml:space="preserve">2 Chiles anchos secos limpios (30 g, aportan dulzor y espesor)</t>
  </si>
  <si>
    <t xml:space="preserve">3 Dientes de ajo asados (12 g)</t>
  </si>
  <si>
    <t xml:space="preserve">150 g Cebolla blanca asada al comal</t>
  </si>
  <si>
    <t xml:space="preserve">2 g Orégano seco mexicano</t>
  </si>
  <si>
    <t xml:space="preserve">1 g Clavo de olor molido</t>
  </si>
  <si>
    <t xml:space="preserve">12 g Sal marina (ajustar tras probar el chicharrón, que ya contiene sal)</t>
  </si>
  <si>
    <t xml:space="preserve">200 ml Caldo de cerdo o agua purificada para licuar</t>
  </si>
  <si>
    <t xml:space="preserve">50 Tortillas taqueras de nixtamal (11 cm)</t>
  </si>
  <si>
    <t xml:space="preserve">Frijoles Refritos con Hoja de Aguacate y Manteca Quemada</t>
  </si>
  <si>
    <t xml:space="preserve">400 g Frijol negro criollo seco (al cocinarse rinde aprox. 950 g de frijol cocido)</t>
  </si>
  <si>
    <t xml:space="preserve">100 g Manteca de cerdo pura de rancho</t>
  </si>
  <si>
    <t xml:space="preserve">150 g Cebolla blanca picada finamente</t>
  </si>
  <si>
    <t xml:space="preserve">2 Chiles de árbol secos enteros</t>
  </si>
  <si>
    <t xml:space="preserve">3 Hojas secas de aguacate criollo (con intenso aroma a anís)</t>
  </si>
  <si>
    <t xml:space="preserve">14 g Sal de grano</t>
  </si>
  <si>
    <t xml:space="preserve">Adobo de Cerdo Deshebrado al Chile Ancho y Comino</t>
  </si>
  <si>
    <t xml:space="preserve">1,100 g Espaldilla o pierna de cerdo limpia en trozos medianos</t>
  </si>
  <si>
    <t xml:space="preserve">5 Chiles anchos secos desvenados (75 g)</t>
  </si>
  <si>
    <t xml:space="preserve">3 Chiles guajillo secos limpios (30 g)</t>
  </si>
  <si>
    <t xml:space="preserve">1 Chile pasilla seco limpio (15 g, aporta tonos terrosos oscuros)</t>
  </si>
  <si>
    <t xml:space="preserve">4 Dientes de ajo asados (16 g)</t>
  </si>
  <si>
    <t xml:space="preserve">150 g Jitomate maduro asado al comal</t>
  </si>
  <si>
    <t xml:space="preserve">120 g Cebolla blanca asada</t>
  </si>
  <si>
    <t xml:space="preserve">2 g Comino en semilla entero tostado</t>
  </si>
  <si>
    <t xml:space="preserve">2 g Pimienta gorda de Tabasco molida</t>
  </si>
  <si>
    <t xml:space="preserve">1 Raja pequeña de canela entera (1 g)</t>
  </si>
  <si>
    <t xml:space="preserve">50 g Manteca de cerdo</t>
  </si>
  <si>
    <t xml:space="preserve">16 g Sal marina</t>
  </si>
  <si>
    <t xml:space="preserve">Picadillo Tradicional de Res con Cubos de Zanahoria y Papa</t>
  </si>
  <si>
    <t xml:space="preserve">650 g Carne de res molida magra (85/15 magro/grasa, molienda fina de pulpa negra o bola)</t>
  </si>
  <si>
    <t xml:space="preserve">200 g Papa blanca pelada y cortada en cubitos exactos de 3 mm</t>
  </si>
  <si>
    <t xml:space="preserve">150 g Zanahoria pelada y cortada en cubitos exactos de 3 mm</t>
  </si>
  <si>
    <t xml:space="preserve">350 g Jitomate saladet muy maduro</t>
  </si>
  <si>
    <t xml:space="preserve">100 g Cebolla blanca picada fino</t>
  </si>
  <si>
    <t xml:space="preserve">3 Dientes de ajo picados (12 g)</t>
  </si>
  <si>
    <t xml:space="preserve">40 ml Aceite vegetal o manteca de cerdo</t>
  </si>
  <si>
    <t xml:space="preserve">1 Hoja de laurel seco</t>
  </si>
  <si>
    <t xml:space="preserve">1 g Clavo de olor en polvo</t>
  </si>
  <si>
    <t xml:space="preserve">2 g Pimienta negra molida</t>
  </si>
  <si>
    <t xml:space="preserve">16 g Sal de Colima fina</t>
  </si>
  <si>
    <t xml:space="preserve">Chicharrón en Salsa Verde Cocida con Tomatillo y Cilantro</t>
  </si>
  <si>
    <t xml:space="preserve">400 g Chicharrón de cerdo seco tradicional troceado a mano en piezas de 1 a 2 cm (no polvo)</t>
  </si>
  <si>
    <t xml:space="preserve">650 g Tomatillo verde (Physalis philadelphica) limpio sin cáscara</t>
  </si>
  <si>
    <t xml:space="preserve">4 Chiles serranos verdes frescos (40 g, ajustar al nivel de picor deseado)</t>
  </si>
  <si>
    <t xml:space="preserve">150 g Cebolla blanca</t>
  </si>
  <si>
    <t xml:space="preserve">3 Dientes de ajo limpios (12 g)</t>
  </si>
  <si>
    <t xml:space="preserve">30 g Hojas de cilantro fresco limpio</t>
  </si>
  <si>
    <t xml:space="preserve">40 g Manteca de cerdo pura de cazo</t>
  </si>
  <si>
    <t xml:space="preserve">14 g Sal de Colima fina</t>
  </si>
  <si>
    <t xml:space="preserve">150 ml Caldo de cerdo desgrasado o agua purificada</t>
  </si>
  <si>
    <t xml:space="preserve">50 Tortillas taqueras de nixtamal (11 cm, 20 g c/u, calientes a 65°C)</t>
  </si>
  <si>
    <t xml:space="preserve">Tinga Tradicional de Pollo al Chipotle Meco y Cebolla Pluma</t>
  </si>
  <si>
    <t xml:space="preserve">1,000 g Pollo crudo limpio (500 g pechuga sin piel + 500 g pierna y muslo sin piel)</t>
  </si>
  <si>
    <t xml:space="preserve">500 g Cebolla blanca limpia en corte pluma (fileteada delgada)</t>
  </si>
  <si>
    <t xml:space="preserve">400 g Jitomate saladet muy maduro</t>
  </si>
  <si>
    <t xml:space="preserve">3 Chiles chipotle meco secos (o 60 g chipotle adobado en lata de alta calidad)</t>
  </si>
  <si>
    <t xml:space="preserve">3 Dientes de ajo (12 g)</t>
  </si>
  <si>
    <t xml:space="preserve">1 g Orégano seco</t>
  </si>
  <si>
    <t xml:space="preserve">50 ml Aceite vegetal</t>
  </si>
  <si>
    <t xml:space="preserve">16 g Sal fina de grano</t>
  </si>
  <si>
    <t xml:space="preserve">Frijol Negro Refrito con Chorizo y Chile de Árbol Frito</t>
  </si>
  <si>
    <t xml:space="preserve">350 g Frijol negro seco (hervido con epazote y sal hasta suavizar, rinde aprox. 800 g cocido)</t>
  </si>
  <si>
    <t xml:space="preserve">250 g Chorizo de cerdo fresco de carnicería (retirar la tripa o funda de colágeno)</t>
  </si>
  <si>
    <t xml:space="preserve">150 g Cebolla blanca picada muy fina</t>
  </si>
  <si>
    <t xml:space="preserve">4 Chiles de árbol secos enteros</t>
  </si>
  <si>
    <t xml:space="preserve">2 Dientes de ajo picados (8 g)</t>
  </si>
  <si>
    <t xml:space="preserve">12 g Sal marina fina (calibrar al final por la sal propia del chorizo)</t>
  </si>
  <si>
    <t xml:space="preserve">100 ml Caldo espeso del fondo de la olla de frijoles</t>
  </si>
  <si>
    <t xml:space="preserve">Alambre Tradicional de Res con Tocino, Morro y Cebolla Asada</t>
  </si>
  <si>
    <t xml:space="preserve">500 g Bistec de res (aguja, bola o pulpa negra limpia sin nervio ni exceso de grasa)</t>
  </si>
  <si>
    <t xml:space="preserve">200 g Tocino ahumado en rebanadas gruesas</t>
  </si>
  <si>
    <t xml:space="preserve">250 g Pimiento morrón verde limpio (sin semillas ni venas blancas)</t>
  </si>
  <si>
    <t xml:space="preserve">200 g Cebolla blanca</t>
  </si>
  <si>
    <t xml:space="preserve">3 Dientes de ajo picados fino (12 g)</t>
  </si>
  <si>
    <t xml:space="preserve">15 ml Jugo sazonador (tipo Maggi)</t>
  </si>
  <si>
    <t xml:space="preserve">15 ml Salsa inglesa (Worcestershire)</t>
  </si>
  <si>
    <t xml:space="preserve">10 g Sal fina de mesa</t>
  </si>
  <si>
    <t xml:space="preserve">Papas con Longaniza Tradicional de Toluca y Laurel</t>
  </si>
  <si>
    <t xml:space="preserve">750 g Papa blanca lavada (hervida con cáscara, pelada y troceada)</t>
  </si>
  <si>
    <t xml:space="preserve">450 g Longaniza fresca tradicional estilo Toluca (con notas de comino, vinagre, ajo y pimentón dulce)</t>
  </si>
  <si>
    <t xml:space="preserve">2 Hojas de laurel seco entero</t>
  </si>
  <si>
    <t xml:space="preserve">2 g Orégano seco frotado</t>
  </si>
  <si>
    <t xml:space="preserve">12 g Sal marina fina</t>
  </si>
  <si>
    <t xml:space="preserve">Frijol Negro Refrito con Hoja Santa Fresca (Acuyo) y Cebolla Morada</t>
  </si>
  <si>
    <t xml:space="preserve">400 g Frijol negro criollo seco (cocido con cebolla y sal hasta suavidad total)</t>
  </si>
  <si>
    <t xml:space="preserve">90 g Manteca de cerdo de rancho (o aceite vegetal neutro)</t>
  </si>
  <si>
    <t xml:space="preserve">180 g Cebolla morada picada finamente en brunoise</t>
  </si>
  <si>
    <t xml:space="preserve">2 Dientes de ajo frescos picados finos (8 g)</t>
  </si>
  <si>
    <t xml:space="preserve">3 Hojas medianas de hoja santa fresca (acuyo/momo), lavadas, secadas y picadas en hebras milimétricas (chiffonade fina)</t>
  </si>
  <si>
    <t xml:space="preserve">14 g Sal marina de grano</t>
  </si>
  <si>
    <t xml:space="preserve">50 Tortillas taqueras de nixtamal (11 cm, calientes a 65°C)</t>
  </si>
  <si>
    <t xml:space="preserve">Tinga de Setas al Chipotle Meco y Cebolla Caramelizada</t>
  </si>
  <si>
    <t xml:space="preserve">1,200 g Setas blancas o grises frescas (Pleurotus ostreatus), limpias con paño seco</t>
  </si>
  <si>
    <t xml:space="preserve">500 g Cebolla blanca fileteada en corte pluma</t>
  </si>
  <si>
    <t xml:space="preserve">400 g Jitomate saladet muy maduro asado al comal</t>
  </si>
  <si>
    <t xml:space="preserve">3 Chiles chipotle meco secos (o 60 g chipotle adobado en lata)</t>
  </si>
  <si>
    <t xml:space="preserve">1 g Orégano seco mexicano</t>
  </si>
  <si>
    <t xml:space="preserve">50 ml Aceite de maíz o vegetal neutro</t>
  </si>
  <si>
    <t xml:space="preserve">Rajas de Chile Poblano Tatemado con Papas al Comal y Orégano</t>
  </si>
  <si>
    <t xml:space="preserve">800 g Chile poblano verde fresco (rendirá aprox. 450 g en rajas limpias tras desvenar y pelar)</t>
  </si>
  <si>
    <t xml:space="preserve">600 g Papa blanca (hervida con cáscara, pelada y cortada en cubos de 5 mm)</t>
  </si>
  <si>
    <t xml:space="preserve">300 g Cebolla blanca en juliana delgada</t>
  </si>
  <si>
    <t xml:space="preserve">3 Dientes de ajo picados finamente (12 g)</t>
  </si>
  <si>
    <t xml:space="preserve">50 ml Aceite de maíz o vegetal</t>
  </si>
  <si>
    <t xml:space="preserve">16 g Sal marina fina</t>
  </si>
  <si>
    <t xml:space="preserve">Quelites Cenizos Guisados al Vapor con Cebolla de Rabo y Serrano</t>
  </si>
  <si>
    <t xml:space="preserve">1,800 g Quelites frescos (quelite cenizo, quelite de milpa o quintonil tierno), lavados y desinfectados a conciencia</t>
  </si>
  <si>
    <t xml:space="preserve">6 Cebollitas cambray con sus tallos verdes limpios, picadas finamente (250 g)</t>
  </si>
  <si>
    <t xml:space="preserve">3 Chiles serranos verdes frescos en rodajitas delgadas con semilla (30 g)</t>
  </si>
  <si>
    <t xml:space="preserve">60 g Manteca de cerdo de cazo (aporta untuosidad a la hoja silvestre)</t>
  </si>
  <si>
    <t xml:space="preserve">14 g Sal de grano molida</t>
  </si>
  <si>
    <t xml:space="preserve">Requesón de Rancho Prensado al Epazote Fresco y Chile Cuaresmeño</t>
  </si>
  <si>
    <t xml:space="preserve">1,200 g Requesón artesanal de leche entera de rancho (dejar drenando sobre manta de cielo durante 1 hora para eliminar suero líquido residual y obtener 950 g netos)</t>
  </si>
  <si>
    <t xml:space="preserve">60 g Mantequilla sin sal (o manteca de cerdo)</t>
  </si>
  <si>
    <t xml:space="preserve">3 Chiles cuaresmeños (jalapeños verdes) desvenados y picados en cubitos de 2 mm (60 g)</t>
  </si>
  <si>
    <t xml:space="preserve">25 g Hojas frescas de epazote verde limpio picado fino</t>
  </si>
  <si>
    <t xml:space="preserve">14 g Sal marina fina</t>
  </si>
  <si>
    <t xml:space="preserve">Flor de Calabaza al Epazote con Grano de Elote Tierno</t>
  </si>
  <si>
    <t xml:space="preserve">900 g Flor de calabaza fresca de manojo (limpia, sin tallos gruesos, sépalos verdes ni pistilos amargos)</t>
  </si>
  <si>
    <t xml:space="preserve">350 g Grano de elote blanco tierno (de mazorca fresca, no de lata)</t>
  </si>
  <si>
    <t xml:space="preserve">150 g Cebolla blanca picada en brunoise fina</t>
  </si>
  <si>
    <t xml:space="preserve">100 g Chile poblano tatemado, pelado y picado en cubitos de 3 mm</t>
  </si>
  <si>
    <t xml:space="preserve">2 Dientes de ajo picados fino (8 g)</t>
  </si>
  <si>
    <t xml:space="preserve">20 g Hojas de epazote fresco picadas finas</t>
  </si>
  <si>
    <t xml:space="preserve">60 g Manteca de cerdo de rancho (o aceite vegetal neutro)</t>
  </si>
  <si>
    <t xml:space="preserve">Nopales Tiernos al Vapor con Orégano de Campo y Chile Serrano</t>
  </si>
  <si>
    <t xml:space="preserve">1,400 g Nopales tiernos limpios sin espinas, cortados en cubos uniformes de 6 a 8 mm</t>
  </si>
  <si>
    <t xml:space="preserve">200 g Cebolla cambray con rabo picada fino</t>
  </si>
  <si>
    <t xml:space="preserve">3 Chiles serranos verdes frescos picados en rodajitas finas (30 g)</t>
  </si>
  <si>
    <t xml:space="preserve">3 Dientes de ajo aplastados con piel (para la cocción) + 2 dientes picados fino (para el sofrito)</t>
  </si>
  <si>
    <t xml:space="preserve">1 Cucharadita de bicarbonato de sodio (2 g, para fijar clorofila viva)</t>
  </si>
  <si>
    <t xml:space="preserve">3 g Orégano seco de campo frotado</t>
  </si>
  <si>
    <t xml:space="preserve">50 ml Aceite de maíz</t>
  </si>
  <si>
    <t xml:space="preserve">16 g Sal de grano molida</t>
  </si>
  <si>
    <t xml:space="preserve">Hongo Portobello y Champiñón al Ajillo con Chile Guajillo</t>
  </si>
  <si>
    <t xml:space="preserve">650 g Champiñón blanco limpio, rebanado en láminas de 4 mm</t>
  </si>
  <si>
    <t xml:space="preserve">650 g Hongo Portobello limpio (sin tallos duros), cortado en cubos medianos de 1 cm</t>
  </si>
  <si>
    <t xml:space="preserve">8 Chiles guajillo secos limpios, cortados con tijera en aros delgados de 2 mm (sin semillas)</t>
  </si>
  <si>
    <t xml:space="preserve">8 Dientes de ajo frescos cortados en láminas delgadas (30 g)</t>
  </si>
  <si>
    <t xml:space="preserve">150 g Cebolla blanca fileteada fina</t>
  </si>
  <si>
    <t xml:space="preserve">70 ml Aceite de maíz o vegetal neutro</t>
  </si>
  <si>
    <t xml:space="preserve">15 ml Jugo fresco de limón criollo colado</t>
  </si>
  <si>
    <t xml:space="preserve">Frijol Bayo Maneado con Queso Adobera y Chile Verde de la Huerta</t>
  </si>
  <si>
    <t xml:space="preserve">400 g Frijol bayo seco (hervido con sal y cebolla hasta total suavidad)</t>
  </si>
  <si>
    <t xml:space="preserve">200 g Queso Adobera tradicional de Jalisco (o queso asadero de hebra firme), rallado</t>
  </si>
  <si>
    <t xml:space="preserve">90 g Manteca de cerdo de rancho</t>
  </si>
  <si>
    <t xml:space="preserve">3 Chiles verdes serranos o Anaheim tiernos picados en cubitos (80 g)</t>
  </si>
  <si>
    <t xml:space="preserve">12 g Sal marina (ajustar considerando la salinidad del queso)</t>
  </si>
  <si>
    <t xml:space="preserve">Calabacitas Tiernas a la Mexicana con Jitomate Asado y Elote</t>
  </si>
  <si>
    <t xml:space="preserve">850 g Calabacita verde tierna italiana, cortada en cubitos exactos de 4 mm</t>
  </si>
  <si>
    <t xml:space="preserve">250 g Grano de elote blanco tierno desgranado fresco</t>
  </si>
  <si>
    <t xml:space="preserve">400 g Jitomate saladet asado al comal</t>
  </si>
  <si>
    <t xml:space="preserve">150 g Cebolla blanca picada fino</t>
  </si>
  <si>
    <t xml:space="preserve">2 Chiles serranos verdes picados fino (20 g)</t>
  </si>
  <si>
    <t xml:space="preserve">50 ml Aceite de maíz o manteca de cerdo</t>
  </si>
  <si>
    <t xml:space="preserve">14 g Sal fina de Colima</t>
  </si>
  <si>
    <t xml:space="preserve">Suadero Confitado al Vapor de Canasta</t>
  </si>
  <si>
    <t xml:space="preserve">1,300 g Suadero de res fresco (corte de falda/pecho con su capa exterior de grasa natural), limpio y cortado en tiras de 5 cm</t>
  </si>
  <si>
    <t xml:space="preserve">300 g Manteca de cerdo pura de cazo (para el confitado inicial)</t>
  </si>
  <si>
    <t xml:space="preserve">250 ml Agua purificada (para la emulsión hídrica de ruptura de colágeno)</t>
  </si>
  <si>
    <t xml:space="preserve">250 g Cebolla blanca picada finamente en brunoise</t>
  </si>
  <si>
    <t xml:space="preserve">4 Dientes de ajo machacados con piel (16 g)</t>
  </si>
  <si>
    <t xml:space="preserve">1 g Pimienta gorda molida</t>
  </si>
  <si>
    <t xml:space="preserve">Mole Verde con Pollo Deshebrado y Pepita de Calabaza</t>
  </si>
  <si>
    <t xml:space="preserve">900 g Pollo crudo limpio (pechuga y muslo sin piel)</t>
  </si>
  <si>
    <t xml:space="preserve">500 g Tomatillo verde (Physalis philadelphica) limpio</t>
  </si>
  <si>
    <t xml:space="preserve">100 g Pepita de calabaza verde tostada en comal</t>
  </si>
  <si>
    <t xml:space="preserve">2 Chiles poblanos limpios sin semillas (150 g)</t>
  </si>
  <si>
    <t xml:space="preserve">2 Chiles serranos verdes frescos (20 g)</t>
  </si>
  <si>
    <t xml:space="preserve">15 g Hojas de epazote fresco limpio</t>
  </si>
  <si>
    <t xml:space="preserve">1 Hoja de lechuga orejona limpia (aporta fijación de clorofila verde)</t>
  </si>
  <si>
    <t xml:space="preserve">2 Dientes de ajo asados (8 g)</t>
  </si>
  <si>
    <t xml:space="preserve">100 g Cebolla blanca asada al comal</t>
  </si>
  <si>
    <t xml:space="preserve">15 g Sal marina fina</t>
  </si>
  <si>
    <t xml:space="preserve">150 ml Caldo concentrado de pollo limpio</t>
  </si>
  <si>
    <t xml:space="preserve">Cochinita Pibil Yucateca con Cebolla Morada Encurtida al Orégano</t>
  </si>
  <si>
    <t xml:space="preserve">1,200 g Espaldilla de cerdo en trozos medianos (con 20% de grasa intramuscular)</t>
  </si>
  <si>
    <t xml:space="preserve">90 g Pasta pura de achiote artesanal de Yucatán (sin harinas comerciales añadidas)</t>
  </si>
  <si>
    <t xml:space="preserve">150 ml Jugo puro de naranja agria (o 100 ml jugo de naranja dulce + 50 ml vinagre de caña o jugo de lima)</t>
  </si>
  <si>
    <t xml:space="preserve">4 Dientes de ajo machacados (16 g)</t>
  </si>
  <si>
    <t xml:space="preserve">2 g Orégano seco yucateco frotado</t>
  </si>
  <si>
    <t xml:space="preserve">1 g Pimienta de Tabasco (pimienta gorda) molida</t>
  </si>
  <si>
    <t xml:space="preserve">1 g Comino molido</t>
  </si>
  <si>
    <t xml:space="preserve">1 Rajita de canela (1 g)</t>
  </si>
  <si>
    <t xml:space="preserve">50 g Manteca de cerdo pura</t>
  </si>
  <si>
    <t xml:space="preserve">16 g Sal de grano de Colima</t>
  </si>
  <si>
    <t xml:space="preserve">Deshebrada de Res al Jitomate Asado, Laurel y Orégano</t>
  </si>
  <si>
    <t xml:space="preserve">1,100 g Falda de res limpia sin exceso de grasa exterior</t>
  </si>
  <si>
    <t xml:space="preserve">500 g Jitomate saladet muy maduro</t>
  </si>
  <si>
    <t xml:space="preserve">200 g Cebolla blanca fileteada en pluma delgada</t>
  </si>
  <si>
    <t xml:space="preserve">2 Chiles serranos asados enteros (20 g, para sazón suave)</t>
  </si>
  <si>
    <t xml:space="preserve">1 g Pimienta negra molida</t>
  </si>
  <si>
    <t xml:space="preserve">Moronga Campesina (Morcilla) con Hierbabuena, Cebolla y Serrano</t>
  </si>
  <si>
    <t xml:space="preserve">950 g Moronga o morcilla tradicional artesanal fresca (retirar la tripa o funda exterior)</t>
  </si>
  <si>
    <t xml:space="preserve">200 g Cebolla blanca picada finamente en brunoise</t>
  </si>
  <si>
    <t xml:space="preserve">4 Chiles serranos verdes frescos picados fino con semillas (40 g)</t>
  </si>
  <si>
    <t xml:space="preserve">30 g Hojas frescas de hierbabuena lavadas, secadas y picadas fino</t>
  </si>
  <si>
    <t xml:space="preserve">1 g Comino molido fino</t>
  </si>
  <si>
    <t xml:space="preserve">10 g Sal marina fina (ajustar tras probar la moronga, que contiene sal de curado)</t>
  </si>
  <si>
    <t xml:space="preserve">Chicharrón en Salsa Roja de Chile Morita y Piloncillo</t>
  </si>
  <si>
    <t xml:space="preserve">400 g Chicharrón de cerdo tradicional troceado a mano en piezas de 1.5 cm</t>
  </si>
  <si>
    <t xml:space="preserve">6 Chiles morita secos limpios (30 g, sin semillas para controlar picor)</t>
  </si>
  <si>
    <t xml:space="preserve">4 Chiles guajillo secos limpios (40 g, base cromática y cuerpo)</t>
  </si>
  <si>
    <t xml:space="preserve">600 g Jitomate saladet asado al comal</t>
  </si>
  <si>
    <t xml:space="preserve">25 g Piloncillo oscuro rallado fino (equilibra la pungencia del morita)</t>
  </si>
  <si>
    <t xml:space="preserve">150 ml Caldo de cerdo o agua purificada</t>
  </si>
  <si>
    <t xml:space="preserve">Pastor de Canasta con Piña Asada y Especias de Trompo</t>
  </si>
  <si>
    <t xml:space="preserve">800 g Pierna o cabeza de lomo de cerdo picada finamente en cubitos de 3 mm</t>
  </si>
  <si>
    <t xml:space="preserve">200 g Piña miel fresca asada en comal hasta dorar, cortada en cubitos de 3 mm (150 g cocido)</t>
  </si>
  <si>
    <t xml:space="preserve">40 g Pasta pura de achiote artesanal</t>
  </si>
  <si>
    <t xml:space="preserve">3 Chiles guajillo secos hidratados (30 g)</t>
  </si>
  <si>
    <t xml:space="preserve">1 Chile ancho seco hidratado (15 g)</t>
  </si>
  <si>
    <t xml:space="preserve">40 ml Vinagre de manzana o caña</t>
  </si>
  <si>
    <t xml:space="preserve">1 g Comino en polvo</t>
  </si>
  <si>
    <t xml:space="preserve">1 g Orégano seco frotado</t>
  </si>
  <si>
    <t xml:space="preserve">1 Clavo de olor molido</t>
  </si>
  <si>
    <t xml:space="preserve">16 g Sal fina de mesa</t>
  </si>
  <si>
    <t xml:space="preserve">Frijol Bayo con "Veneno" Norteño (Asiento de Puerco y Grasa Especiada)</t>
  </si>
  <si>
    <t xml:space="preserve">350 g Frijol bayo seco cocido con cebolla y sal (rinde aprox. 800 g cocido)</t>
  </si>
  <si>
    <t xml:space="preserve">200 g "Veneno" (los asientos cárnicos oscuros y la grasa superior especiada que quedan en el cazo tras freír chicharrón o asado norteño)</t>
  </si>
  <si>
    <t xml:space="preserve">60 g Manteca de cerdo pura</t>
  </si>
  <si>
    <t xml:space="preserve">3 Chiles serranos rojos o verdes picados fino (30 g)</t>
  </si>
  <si>
    <t xml:space="preserve">10 g Sal de Colima (ajustar con moderación, el veneno ya contiene sodio)</t>
  </si>
  <si>
    <t xml:space="preserve">80 ml Caldo espeso del fondo de los frijoles</t>
  </si>
  <si>
    <t xml:space="preserve">Picadillo de Cerdo al Cilantro y Comino con Papa en Cubos</t>
  </si>
  <si>
    <t xml:space="preserve">650 g Carne molida de cerdo (de pierna o espaldilla, pasada por disco fino de 4 mm)</t>
  </si>
  <si>
    <t xml:space="preserve">300 g Papa blanca pelada cortada en cubitos exactos de 3 mm (blanqueada en agua hirviendo 3 min)</t>
  </si>
  <si>
    <t xml:space="preserve">25 g Hojas de cilantro fresco limpio picado fino</t>
  </si>
  <si>
    <t xml:space="preserve">2 g Comino en semilla tostado en comal y molido</t>
  </si>
  <si>
    <t xml:space="preserve">2 g Pimienta negra recién molida</t>
  </si>
  <si>
    <t xml:space="preserve">40 g Manteca de cerdo</t>
  </si>
  <si>
    <t xml:space="preserve">Carne Polaca Tradicional de Cantina (Falda al Adobo Dulce de Col)</t>
  </si>
  <si>
    <t xml:space="preserve">800 g Falda de res limpia (cocida en olla a presión y deshebrada en hebras de 2 cm)</t>
  </si>
  <si>
    <t xml:space="preserve">700 g Col blanca limpia fileteada en tiras muy delgadas (chiffonade fina)</t>
  </si>
  <si>
    <t xml:space="preserve">400 g Jitomate saladet maduro asado</t>
  </si>
  <si>
    <t xml:space="preserve">150 g Cebolla blanca fileteada en pluma</t>
  </si>
  <si>
    <t xml:space="preserve">2 Chiles chipotles adobados picados finamente (40 g)</t>
  </si>
  <si>
    <t xml:space="preserve">20 g Piloncillo o azúcar mascabado</t>
  </si>
  <si>
    <t xml:space="preserve">15 ml Vinagre blanco de caña</t>
  </si>
  <si>
    <t xml:space="preserve">Chicharrón Norteño estilo Ramos en Salsa Verde Asada</t>
  </si>
  <si>
    <t xml:space="preserve">600 g Chicharrón de cerdo carnoso tipo norteño/Ramos troceado en dados de 8 mm a 1 cm</t>
  </si>
  <si>
    <t xml:space="preserve">600 g Tomatillo verde (Physalis philadelphica) asado al comal</t>
  </si>
  <si>
    <t xml:space="preserve">3 Chiles jalapeños o serranos verdes asados (45 g)</t>
  </si>
  <si>
    <t xml:space="preserve">150 g Cebolla blanca asada en rodajas gruesas</t>
  </si>
  <si>
    <t xml:space="preserve">3 Dientes de ajo con piel asados (12 g)</t>
  </si>
  <si>
    <t xml:space="preserve">20 g Hojas de cilantro fresco</t>
  </si>
  <si>
    <t xml:space="preserve">30 g Manteca de cerdo pura de cazo</t>
  </si>
  <si>
    <t xml:space="preserve">12 g Sal marina de Colima (ajustar con cuidado; este chicharrón ya viene sazonado)</t>
  </si>
  <si>
    <t xml:space="preserve">100 ml Caldo desgrasado de cerdo o agua purificada</t>
  </si>
  <si>
    <t xml:space="preserve">Asado de Puerco Norteño al Chile Cascabel y Laurel</t>
  </si>
  <si>
    <t xml:space="preserve">1,100 g Pierna o espaldilla de cerdo limpia, cortada en cubitos exactos de 4 mm</t>
  </si>
  <si>
    <t xml:space="preserve">8 Chiles cascabel secos limpios (50 g, desvenados)</t>
  </si>
  <si>
    <t xml:space="preserve">3 Chiles anchos secos limpios (45 g)</t>
  </si>
  <si>
    <t xml:space="preserve">1 Trozo pequeño de piel de naranja dulce sin albedo blanco (2 g)</t>
  </si>
  <si>
    <t xml:space="preserve">2 g Comino entero recién tostado en comal y molido</t>
  </si>
  <si>
    <t xml:space="preserve">Marlín Ahumado a la Mexicana con Jitomate y Orégano de Monte</t>
  </si>
  <si>
    <t xml:space="preserve">650 g Lomo de marlín ahumado en frío artesanal (limpio de piel oscura y espinas)</t>
  </si>
  <si>
    <t xml:space="preserve">500 g Jitomate saladet muy maduro asado al comal</t>
  </si>
  <si>
    <t xml:space="preserve">3 Chiles serranos verdes picados finos con semillas (30 g)</t>
  </si>
  <si>
    <t xml:space="preserve">2 g Orégano seco de monte frotado</t>
  </si>
  <si>
    <t xml:space="preserve">10 g Sal marina fina (calibrar con cautela, el ahumado ya aporta sal)</t>
  </si>
  <si>
    <t xml:space="preserve">Birria de Res Deshebrada al Adobo de Chiles Secos y Jengibre</t>
  </si>
  <si>
    <t xml:space="preserve">1,150 g Carne de res con colágeno (pescuezo, chambarete sin hueso o platanillo)</t>
  </si>
  <si>
    <t xml:space="preserve">5 Chiles guajillo secos limpios (50 g)</t>
  </si>
  <si>
    <t xml:space="preserve">2 Chiles anchos secos limpios (30 g)</t>
  </si>
  <si>
    <t xml:space="preserve">1 Chile pasilla seco limpio (15 g)</t>
  </si>
  <si>
    <t xml:space="preserve">150 g Jitomate saladet asado</t>
  </si>
  <si>
    <t xml:space="preserve">100 g Cebolla blanca asada</t>
  </si>
  <si>
    <t xml:space="preserve">10 g Jengibre fresco pelado (aporta brillo y frescura que equilibra las grasas densas)</t>
  </si>
  <si>
    <t xml:space="preserve">25 ml Vinagre de manzana artesanal</t>
  </si>
  <si>
    <t xml:space="preserve">2 g Comino molido</t>
  </si>
  <si>
    <t xml:space="preserve">2 g Orégano seco</t>
  </si>
  <si>
    <t xml:space="preserve">1 Rajita de canela entera (1 g)</t>
  </si>
  <si>
    <t xml:space="preserve">Lomo de Cerdo en Adobo de Chile Pasilla y Piloncillo</t>
  </si>
  <si>
    <t xml:space="preserve">1,000 g Lomo de cerdo limpio sin exceso de grasa exterior, cortado en cubitos exactos de 4 mm</t>
  </si>
  <si>
    <t xml:space="preserve">6 Chiles pasilla secos limpios (70 g, sin venas ni semillas)</t>
  </si>
  <si>
    <t xml:space="preserve">2 Chiles guajillo secos limpios (20 g, para matizar color)</t>
  </si>
  <si>
    <t xml:space="preserve">20 g Piloncillo rallado fino</t>
  </si>
  <si>
    <t xml:space="preserve">2 g Pimienta gorda molida</t>
  </si>
  <si>
    <t xml:space="preserve">Machaca Norteña a la Mexicana con Huevo Opcional y Serrano</t>
  </si>
  <si>
    <t xml:space="preserve">450 g Carne seca de res deshebrada fina tipo machaca sonorense (sin exceso de salitre)</t>
  </si>
  <si>
    <t xml:space="preserve">500 g Jitomate saladet muy maduro asado y picado en cubitos de 3 mm</t>
  </si>
  <si>
    <t xml:space="preserve">4 Chiles serranos verdes frescos en cubitos finos con semilla (40 g)</t>
  </si>
  <si>
    <t xml:space="preserve">60 g Manteca de cerdo pura de cazo (aporta brillo y lubrica la fibra seca)</t>
  </si>
  <si>
    <t xml:space="preserve">8 g Sal marina fina (ajustar con extrema cautela; la machaca ya aporta salazón)</t>
  </si>
  <si>
    <t xml:space="preserve">Cochinito Chiapaneco al Horno con Tomillo y Chile Ancho</t>
  </si>
  <si>
    <t xml:space="preserve">1,100 g Espaldilla de cerdo limpia cortada en trozos medianos</t>
  </si>
  <si>
    <t xml:space="preserve">6 Chiles anchos secos limpios (90 g, desvenados y tostados)</t>
  </si>
  <si>
    <t xml:space="preserve">40 ml Vinagre de piña artesanal (o vinagre de manzana suave)</t>
  </si>
  <si>
    <t xml:space="preserve">3 g Tomillo fresco picado fino (o 1.5 g seco)</t>
  </si>
  <si>
    <t xml:space="preserve">1 g Pimienta de Castilla (pimienta negra) recién molida</t>
  </si>
  <si>
    <t xml:space="preserve">1 Rajita pequeña de canela (1 g)</t>
  </si>
  <si>
    <t xml:space="preserve">Costilla de Cerdo Deshuesada al Chile Guajillo y Laurel</t>
  </si>
  <si>
    <t xml:space="preserve">1,400 g Costilla de cerdo fresca con hueso (al deshuesar y retirar exceso de grasa rendirá 900 g pulpa cruda)</t>
  </si>
  <si>
    <t xml:space="preserve">6 Chiles guajillo secos limpios (60 g)</t>
  </si>
  <si>
    <t xml:space="preserve">2 Chiles morita secos (10 g, aportan fondo tostado)</t>
  </si>
  <si>
    <t xml:space="preserve">350 g Jitomate saladet asado al comal</t>
  </si>
  <si>
    <t xml:space="preserve">2 g Comino molido en molcajete</t>
  </si>
  <si>
    <t xml:space="preserve">Pipián Verde con Espaldilla de Cerdo en Cubos y Semillas de Calabaza</t>
  </si>
  <si>
    <t xml:space="preserve">1,000 g Espaldilla de cerdo limpia cortada en cubitos de 4 mm</t>
  </si>
  <si>
    <t xml:space="preserve">120 g Pepita de calabaza verde cruda (tostada en comal hasta inflar sin quemar)</t>
  </si>
  <si>
    <t xml:space="preserve">400 g Tomatillo verde limpio</t>
  </si>
  <si>
    <t xml:space="preserve">1 Hoja de hoja santa fresca (acuyo) limpia</t>
  </si>
  <si>
    <t xml:space="preserve">15 g Hojas de cilantro limpio</t>
  </si>
  <si>
    <t xml:space="preserve">40 g Manteca de cerdo pura</t>
  </si>
  <si>
    <t xml:space="preserve">120 ml Caldo de cerdo limpio</t>
  </si>
  <si>
    <t xml:space="preserve">Asado de Boda Zacatecano con Chocolate de Metate y Naranja</t>
  </si>
  <si>
    <t xml:space="preserve">1,000 g Pierna de cerdo limpia cortada en cubitos exactos de 4 mm</t>
  </si>
  <si>
    <t xml:space="preserve">6 Chiles anchos secos limpios (90 g)</t>
  </si>
  <si>
    <t xml:space="preserve">3 Chiles pasilla secos limpios (35 g)</t>
  </si>
  <si>
    <t xml:space="preserve">30 g Chocolate de metate tradicional mexicano (con canela y grano de azúcar)</t>
  </si>
  <si>
    <t xml:space="preserve">1 Tira de piel de naranja dulce fresca sin parte blanca (3 g)</t>
  </si>
  <si>
    <t xml:space="preserve">2 g Canela en polvo Ceilán</t>
  </si>
  <si>
    <t xml:space="preserve">Pato Confitado al Mole Oaxaqueño y Ajonjolí Tostado</t>
  </si>
  <si>
    <t xml:space="preserve">1,200 g Muslos y piernas de pato crudos limpios (con piel y hueso)</t>
  </si>
  <si>
    <t xml:space="preserve">300 g Grasa de pato pura (para confitar)</t>
  </si>
  <si>
    <t xml:space="preserve">100 g Pasta de mole negro artesanal oaxaqueño</t>
  </si>
  <si>
    <t xml:space="preserve">150 ml Caldo desgrasado de pato o ave</t>
  </si>
  <si>
    <t xml:space="preserve">25 g Semillas de ajonjolí blanco tostadas al comal</t>
  </si>
  <si>
    <t xml:space="preserve">1 Diente de ajo machacado (4 g)</t>
  </si>
  <si>
    <t xml:space="preserve">Pork Belly Laqueado al Piloncillo, Naranja y Cinco Especias</t>
  </si>
  <si>
    <t xml:space="preserve">1,200 g Panceta de cerdo fresca (Pork belly) con piel limpia</t>
  </si>
  <si>
    <t xml:space="preserve">80 g Piloncillo oscuro rallado fino</t>
  </si>
  <si>
    <t xml:space="preserve">100 ml Jugo concentrado de naranja dulce colado</t>
  </si>
  <si>
    <t xml:space="preserve">30 ml Vinagre de manzana artesanal</t>
  </si>
  <si>
    <t xml:space="preserve">3 Chiles morita secos limpios tostados (15 g, molidos a polvo fino)</t>
  </si>
  <si>
    <t xml:space="preserve">2 g Polvo de cinco especias chinas (anís estrella, canela, clavo, hinojo y pimienta de Sichuan)</t>
  </si>
  <si>
    <t xml:space="preserve">4 Dientes de ajo picados fino (16 g)</t>
  </si>
  <si>
    <t xml:space="preserve">Pulpo al Ajillo Sudado con Guajillo, Ajo Confitado y Mantequilla Clarificada</t>
  </si>
  <si>
    <t xml:space="preserve">1,600 g Pulpo crudo entero (tras cocción tradicional de 40 min y enfriado rendirá aprox. 800 g netos)</t>
  </si>
  <si>
    <t xml:space="preserve">60 g Ghee (mantequilla clarificada anhidra líquida a 45°C)</t>
  </si>
  <si>
    <t xml:space="preserve">10 Chiles guajillo secos limpios cortados en aros finos de 2 mm con tijera (sin semillas)</t>
  </si>
  <si>
    <t xml:space="preserve">10 Dientes de ajo frescos cortados en láminas delgadas (40 g)</t>
  </si>
  <si>
    <t xml:space="preserve">15 ml Jugo de limón amarillo Eureka colado</t>
  </si>
  <si>
    <t xml:space="preserve">14 g Flor de sal marina fina</t>
  </si>
  <si>
    <t xml:space="preserve">Chamorro de Cerdo Desmenuzado al Epazote Fresco y Cerveza Negra</t>
  </si>
  <si>
    <t xml:space="preserve">1,600 g Chamorro de cerdo fresco con hueso y piel</t>
  </si>
  <si>
    <t xml:space="preserve">250 ml Cerveza negra artesanal estilo Porter o Stout (reducida al fuego)</t>
  </si>
  <si>
    <t xml:space="preserve">30 g Hojas de epazote fresco limpio picadas finas</t>
  </si>
  <si>
    <t xml:space="preserve">3 Chiles serranos asados picados (30 g)</t>
  </si>
  <si>
    <t xml:space="preserve">Hongos Silvestres Salteados con Quelite Cenizo y Requesón de Rancho</t>
  </si>
  <si>
    <t xml:space="preserve">900 g Hongos silvestres mixtos limpios (hongo pambazo, amanita caesarea o setas de monte), troceados en dados de 8 mm</t>
  </si>
  <si>
    <t xml:space="preserve">600 g Quelite cenizo fresco limpio (reducirá a 250 g tras blanqueado y prensado)</t>
  </si>
  <si>
    <t xml:space="preserve">350 g Requesón artesanal de leche entera de rancho (drenado sobre manta durante 1 hora para obtener 300 g netos)</t>
  </si>
  <si>
    <t xml:space="preserve">150 g Cebolla cambray con rabo picada fina</t>
  </si>
  <si>
    <t xml:space="preserve">3 Chiles cuaresmeños (jalapeños verdes) picados fino (60 g)</t>
  </si>
  <si>
    <t xml:space="preserve">50 g Manteca de cerdo pura o mantequilla</t>
  </si>
  <si>
    <t xml:space="preserve">Salsa Cruda de Aguacate Taquera y Tomatillo Verde</t>
  </si>
  <si>
    <t xml:space="preserve">400 g Pulpa de aguacate Hass maduro (pesada sin piel ni hueso)</t>
  </si>
  <si>
    <t xml:space="preserve">350 g Tomatillo verde (Physalis philadelphica) limpio, lavado y seco</t>
  </si>
  <si>
    <t xml:space="preserve">50 g Chile serrano verde fresco (con semillas para soporte de pungencia)</t>
  </si>
  <si>
    <t xml:space="preserve">30 g Hojas y tallos tiernos de cilantro fresco desinfectado</t>
  </si>
  <si>
    <t xml:space="preserve">10 g Dientes de ajo frescos pelados (aprox. 2 a 3 dientes)</t>
  </si>
  <si>
    <t xml:space="preserve">40 ml Jugo fresco de limón criollo colado (antioxidante y fijador de pH ácido &lt; 4.2)</t>
  </si>
  <si>
    <t xml:space="preserve">70 ml Agua purificada fría</t>
  </si>
  <si>
    <t xml:space="preserve">14 g Sal marina fina de Colima</t>
  </si>
  <si>
    <t xml:space="preserve">Salsa Roja Cocida de Chile Morita Tatemado y Xoconostle</t>
  </si>
  <si>
    <t xml:space="preserve">500 g Jitomate saladet asado en comal de hierro</t>
  </si>
  <si>
    <t xml:space="preserve">180 g Xoconostles frescos pelados, partidos a la mitad y despojados de su pulpa central de semillas duras</t>
  </si>
  <si>
    <t xml:space="preserve">40 g Chile morita seco limpio (tostado ligeramente al comal)</t>
  </si>
  <si>
    <t xml:space="preserve">80 g Cebolla blanca en rebanadas gruesas asadas</t>
  </si>
  <si>
    <t xml:space="preserve">15 g Dientes de ajo asados con cáscara (pelados tras tatemar)</t>
  </si>
  <si>
    <t xml:space="preserve">20 ml Aceite de maíz o manteca de cerdo</t>
  </si>
  <si>
    <t xml:space="preserve">150 ml Agua purificada</t>
  </si>
  <si>
    <t xml:space="preserve">Cebollitas Encurtidas con Chile Habanero Naranja y Orégano Yucateco</t>
  </si>
  <si>
    <t xml:space="preserve">500 g Cebolla morada limpia, fileteada en corte pluma de 2 mm</t>
  </si>
  <si>
    <t xml:space="preserve">40 g Chile habanero naranja fresco, desvenado y cortado en rodajas muy delgadas</t>
  </si>
  <si>
    <t xml:space="preserve">150 ml Jugo fresco de naranja agria (o 100 ml jugo de naranja dulce + 50 ml vinagre de manzana)</t>
  </si>
  <si>
    <t xml:space="preserve">50 ml Jugo de limón criollo colado</t>
  </si>
  <si>
    <t xml:space="preserve">50 ml Agua purificada tibia</t>
  </si>
  <si>
    <t xml:space="preserve">4 g Orégano seco yucateco frotado entre las palmas</t>
  </si>
  <si>
    <t xml:space="preserve">14 g Sal de grano de Colima molida</t>
  </si>
  <si>
    <t xml:space="preserve">Deep de Frijol Maneado con Manteca de Cerdo y Chile Pasilla</t>
  </si>
  <si>
    <t xml:space="preserve">400 g Frijol bayo seco cocido (rinde aprox. 850 g cocido con su caldo denso)</t>
  </si>
  <si>
    <t xml:space="preserve">4 Chiles pasilla secos limpios (45 g, desvenados y tostados)</t>
  </si>
  <si>
    <t xml:space="preserve">20 g Dientes de ajo frescos pelados</t>
  </si>
  <si>
    <t xml:space="preserve">100 ml Caldo espeso concentrado de la cocción del frijol</t>
  </si>
  <si>
    <t xml:space="preserve">Deep de Chicharrón Prensado al Cilantro y Tomatillo Asado</t>
  </si>
  <si>
    <t xml:space="preserve">550 g Chicharrón prensado tradicional troceado y procesado a cuchillo en granillo fino de 2 mm</t>
  </si>
  <si>
    <t xml:space="preserve">400 g Tomatillo verde asado al comal</t>
  </si>
  <si>
    <t xml:space="preserve">2 Chiles serranos verdes asados (20 g)</t>
  </si>
  <si>
    <t xml:space="preserve">35 g Hojas de cilantro fresco limpio</t>
  </si>
  <si>
    <t xml:space="preserve">30 ml Aceite vegetal de maíz</t>
  </si>
  <si>
    <t xml:space="preserve">10 g Sal marina fina (ajustar tras degustar el chicharrón)</t>
  </si>
  <si>
    <t xml:space="preserve">50 ml Agua purificada</t>
  </si>
  <si>
    <t xml:space="preserve">Mi negocio</t>
  </si>
  <si>
    <t xml:space="preserve">Los supuestos que mueven todo. Si estos números están mal, todos tus precios están mal.</t>
  </si>
  <si>
    <t xml:space="preserve">Gasto fijo mensual</t>
  </si>
  <si>
    <t xml:space="preserve">Monto</t>
  </si>
  <si>
    <t xml:space="preserve">Nota</t>
  </si>
  <si>
    <t xml:space="preserve">Renta de la cocina de producción</t>
  </si>
  <si>
    <t xml:space="preserve">Luz y agua</t>
  </si>
  <si>
    <t xml:space="preserve">Teléfono e internet</t>
  </si>
  <si>
    <t xml:space="preserve">Publicidad y redes</t>
  </si>
  <si>
    <t xml:space="preserve">Cuotas, permisos y uso de piso</t>
  </si>
  <si>
    <t xml:space="preserve">Mantenimiento de bicicleta o transporte</t>
  </si>
  <si>
    <t xml:space="preserve">Limpieza y consumibles generales</t>
  </si>
  <si>
    <t xml:space="preserve">Depreciación de equipo (canastas, ollas, termómetros)</t>
  </si>
  <si>
    <t xml:space="preserve">Otros gastos fijos</t>
  </si>
  <si>
    <t xml:space="preserve">Total de gastos fijos</t>
  </si>
  <si>
    <t xml:space="preserve">Tacos (piezas) producidos al mes</t>
  </si>
  <si>
    <t xml:space="preserve">≈ 250 tacos al día, 24 días.</t>
  </si>
  <si>
    <t xml:space="preserve">Gastos fijos por pieza (overhead)</t>
  </si>
  <si>
    <t xml:space="preserve">Se suma al costo de cada taco.</t>
  </si>
  <si>
    <t xml:space="preserve">Sueldo mensual que te pagas</t>
  </si>
  <si>
    <t xml:space="preserve">Horas de trabajo al mes</t>
  </si>
  <si>
    <t xml:space="preserve">Costo de tu hora</t>
  </si>
  <si>
    <t xml:space="preserve">Mano de obra = minutos ÷ 60 × costo de la hora.</t>
  </si>
  <si>
    <t xml:space="preserve">% de merma por defecto</t>
  </si>
  <si>
    <t xml:space="preserve">Tacos rotos, fallados o sobrantes. Compárala con tu merma real en el Tablero.</t>
  </si>
  <si>
    <t xml:space="preserve">Márgenes objetivo por canal</t>
  </si>
  <si>
    <t xml:space="preserve">Margen · Canasta en calle</t>
  </si>
  <si>
    <t xml:space="preserve">Rango sugerido 45–55 %.</t>
  </si>
  <si>
    <t xml:space="preserve">Margen · Pedido de oficina / docena</t>
  </si>
  <si>
    <t xml:space="preserve">Rango sugerido 55–65 %.</t>
  </si>
  <si>
    <t xml:space="preserve">Margen · Taquiza y eventos</t>
  </si>
  <si>
    <t xml:space="preserve">Rango sugerido 62–70 %.</t>
  </si>
  <si>
    <t xml:space="preserve">Margen · Mayoreo a canasteros</t>
  </si>
  <si>
    <t xml:space="preserve">Rango sugerido 25–35 %.</t>
  </si>
  <si>
    <t xml:space="preserve">Recetas y precios</t>
  </si>
  <si>
    <t xml:space="preserve">Hoja principal. Cambia un precio en Insumos y los 50 precios se recalculan solos.</t>
  </si>
  <si>
    <t xml:space="preserve">Capítulo</t>
  </si>
  <si>
    <t xml:space="preserve">Base</t>
  </si>
  <si>
    <t xml:space="preserve">Unidad de venta</t>
  </si>
  <si>
    <t xml:space="preserve">Piezas que rinde</t>
  </si>
  <si>
    <t xml:space="preserve">Aceite (ml)</t>
  </si>
  <si>
    <t xml:space="preserve">Costo aceite</t>
  </si>
  <si>
    <t xml:space="preserve">Otros insumos</t>
  </si>
  <si>
    <t xml:space="preserve">Insumos por pieza</t>
  </si>
  <si>
    <t xml:space="preserve">Empaque</t>
  </si>
  <si>
    <t xml:space="preserve">Energía</t>
  </si>
  <si>
    <t xml:space="preserve">Minutos por pieza</t>
  </si>
  <si>
    <t xml:space="preserve">Mano de obra</t>
  </si>
  <si>
    <t xml:space="preserve">Gastos fijos</t>
  </si>
  <si>
    <t xml:space="preserve">Costo base</t>
  </si>
  <si>
    <t xml:space="preserve">Merma propia</t>
  </si>
  <si>
    <t xml:space="preserve">Merma aplicada</t>
  </si>
  <si>
    <t xml:space="preserve">COSTO TOTAL</t>
  </si>
  <si>
    <t xml:space="preserve">PVP calle</t>
  </si>
  <si>
    <t xml:space="preserve">PVP oficina</t>
  </si>
  <si>
    <t xml:space="preserve">PVP taquiza</t>
  </si>
  <si>
    <t xml:space="preserve">PVP mayoreo</t>
  </si>
  <si>
    <t xml:space="preserve">Utilidad calle</t>
  </si>
  <si>
    <t xml:space="preserve">Margen real calle</t>
  </si>
  <si>
    <t xml:space="preserve">Cap. 6 · Guisados de raíz</t>
  </si>
  <si>
    <t xml:space="preserve">taco</t>
  </si>
  <si>
    <t xml:space="preserve">Cap. 7 · Huerta, campo y frijoles</t>
  </si>
  <si>
    <t xml:space="preserve">Cap. 8 · Carnes y clásicos de cantina</t>
  </si>
  <si>
    <t xml:space="preserve">Cap. 9 · Norteños, costeños y regionales</t>
  </si>
  <si>
    <t xml:space="preserve">Cap. 10 · Contemporáneos, deeps y salsas</t>
  </si>
  <si>
    <t xml:space="preserve">frasco 250 g</t>
  </si>
  <si>
    <t xml:space="preserve">Recetas 1–45 por taco; 46–50 por frasco de 250 g. Deja «Merma propia» vacía para usar la merma por defecto de Mi negocio.</t>
  </si>
  <si>
    <t xml:space="preserve">Producción y merma</t>
  </si>
  <si>
    <t xml:space="preserve">Una fila por lote. La primera fila es un ejemplo: sobrescríbela.</t>
  </si>
  <si>
    <t xml:space="preserve">Fecha</t>
  </si>
  <si>
    <t xml:space="preserve">Lote</t>
  </si>
  <si>
    <t xml:space="preserve">Nº receta</t>
  </si>
  <si>
    <t xml:space="preserve">Planeadas</t>
  </si>
  <si>
    <t xml:space="preserve">Buenas</t>
  </si>
  <si>
    <t xml:space="preserve">Falladas</t>
  </si>
  <si>
    <t xml:space="preserve">% merma</t>
  </si>
  <si>
    <t xml:space="preserve">Costo total unitario</t>
  </si>
  <si>
    <t xml:space="preserve">Costo de la merma</t>
  </si>
  <si>
    <t xml:space="preserve">Causa principal</t>
  </si>
  <si>
    <t xml:space="preserve">Notas</t>
  </si>
  <si>
    <t xml:space="preserve">L-2610-01</t>
  </si>
  <si>
    <t xml:space="preserve">Tortilla rota o desfondada</t>
  </si>
  <si>
    <t xml:space="preserve">Fila de ejemplo</t>
  </si>
  <si>
    <t xml:space="preserve">Ventas</t>
  </si>
  <si>
    <t xml:space="preserve">Una fila por venta. La primera fila es un ejemplo: sobrescríbela.</t>
  </si>
  <si>
    <t xml:space="preserve">Canal</t>
  </si>
  <si>
    <t xml:space="preserve">Piezas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</si>
  <si>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</si>
  <si>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</si>
  <si>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</si>
  <si>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</si>
  <si>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</si>
  <si>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</si>
  <si>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</t>
  </si>
  <si>
    <t xml:space="preserve">Cliente o nota</t>
  </si>
  <si>
    <t xml:space="preserve">Canasta en calle</t>
  </si>
  <si>
    <t xml:space="preserve">Tablero</t>
  </si>
  <si>
    <t xml:space="preserve">Resumen automático de Ventas y Producción. No se edita.</t>
  </si>
  <si>
    <t xml:space="preserve">Ingreso acumulado</t>
  </si>
  <si>
    <t xml:space="preserve">Piezas vendidas</t>
  </si>
  <si>
    <t xml:space="preserve">Pedido de oficina / docena</t>
  </si>
  <si>
    <t xml:space="preserve">Costo de lo vendido</t>
  </si>
  <si>
    <t xml:space="preserve">Taquiza y eventos</t>
  </si>
  <si>
    <t xml:space="preserve">Comisiones</t>
  </si>
  <si>
    <t xml:space="preserve">Mayoreo a canasteros</t>
  </si>
  <si>
    <t xml:space="preserve">Utilidad neta (antes de gastos fijos)</t>
  </si>
  <si>
    <t xml:space="preserve">Venta directa</t>
  </si>
  <si>
    <t xml:space="preserve">Margen neto</t>
  </si>
  <si>
    <t xml:space="preserve">Utilidad después de gastos fijos</t>
  </si>
  <si>
    <t xml:space="preserve">Base madre</t>
  </si>
  <si>
    <t xml:space="preserve">Insumos prom.</t>
  </si>
  <si>
    <t xml:space="preserve">Piezas buenas producidas</t>
  </si>
  <si>
    <t xml:space="preserve">G-1 · Pasta de almidón</t>
  </si>
  <si>
    <t xml:space="preserve">Piezas falladas</t>
  </si>
  <si>
    <t xml:space="preserve">G-2 · Adobo rojo de chiles secos</t>
  </si>
  <si>
    <t xml:space="preserve">Merma real</t>
  </si>
  <si>
    <t xml:space="preserve">G-3 · Verde de tomatillo y pepita</t>
  </si>
  <si>
    <t xml:space="preserve">Merma supuesta</t>
  </si>
  <si>
    <t xml:space="preserve">G-4 · Recaudo de jitomate</t>
  </si>
  <si>
    <t xml:space="preserve">Dinero perdido en merma</t>
  </si>
  <si>
    <t xml:space="preserve">G-5 · Salteado seco de huerta</t>
  </si>
  <si>
    <t xml:space="preserve">Punto de equilibrio</t>
  </si>
  <si>
    <t xml:space="preserve">G-6 · Confitado y salteado cárnico</t>
  </si>
  <si>
    <t xml:space="preserve">Precio promedio de calle (tacos 1–45)</t>
  </si>
  <si>
    <t xml:space="preserve">S · Acompañamientos de la canasta</t>
  </si>
  <si>
    <t xml:space="preserve">Costo total promedio (tacos 1–45)</t>
  </si>
  <si>
    <t xml:space="preserve">Margen de contribución por taco</t>
  </si>
  <si>
    <t xml:space="preserve">Gastos fijos del mes</t>
  </si>
  <si>
    <t xml:space="preserve">PUNTO DE EQUILIBRIO (tacos al mes)</t>
  </si>
  <si>
    <t xml:space="preserve">Avance contra el punto de equilibrio</t>
  </si>
  <si>
    <t xml:space="preserve">Endulcora · Estudio Gastronómico · En colaboración con Levent · Tacos de Canasta · Anexo 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</si>
</sst>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##"/>
    <numFmt numFmtId="166" formatCode="\$#,##0.00"/>
    <numFmt numFmtId="167" formatCode="\$#,##0.0000"/>
    <numFmt numFmtId="168" formatCode="General"/>
    <numFmt numFmtId="169" formatCode="\$#,##0"/>
    <numFmt numFmtId="170" formatCode="#,##0"/>
    <numFmt numFmtId="171" formatCode="0.0%"/>
    <numFmt numFmtId="172" formatCode="#,##0.0"/>
    <numFmt numFmtId="173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10"/>
      <color rgb="FFD85A3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10"/>
      <color rgb="FF2A1330"/>
      <name val="Arial"/>
      <family val="0"/>
      <charset val="1"/>
    </font>
    <font>
      <i val="true"/>
      <sz val="10"/>
      <color rgb="FF2A1330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4E1454"/>
      <name val="Arial"/>
      <family val="0"/>
      <charset val="1"/>
    </font>
    <font>
      <sz val="8"/>
      <color rgb="FF6B5470"/>
      <name val="Arial"/>
      <family val="0"/>
      <charset val="1"/>
    </font>
    <font>
      <sz val="9"/>
      <color rgb="FF2A1330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b val="true"/>
      <sz val="13"/>
      <color rgb="FF7A2E7E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4"/>
        <bgColor rgb="FFFBF4E9"/>
      </patternFill>
    </fill>
    <fill>
      <patternFill patternType="solid">
        <fgColor rgb="FF4E1454"/>
        <bgColor rgb="FF2A1330"/>
      </patternFill>
    </fill>
    <fill>
      <patternFill patternType="solid">
        <fgColor rgb="FFFBF4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3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1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>
          <bgColor rgb="FFF9D3C7"/>
        </patternFill>
      </fill>
    </dxf>
    <dxf>
      <fill>
        <patternFill patternType="solid">
          <fgColor rgb="FFE7F3EB"/>
          <bgColor rgb="FF000000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EAF3E6"/>
          <bgColor rgb="FF000000"/>
        </patternFill>
      </fill>
    </dxf>
    <dxf>
      <fill>
        <patternFill patternType="solid">
          <fgColor rgb="FFEBF3E5"/>
          <bgColor rgb="FF000000"/>
        </patternFill>
      </fill>
    </dxf>
    <dxf>
      <fill>
        <patternFill patternType="solid">
          <fgColor rgb="FFECF3E3"/>
          <bgColor rgb="FF000000"/>
        </patternFill>
      </fill>
    </dxf>
    <dxf>
      <fill>
        <patternFill patternType="solid">
          <fgColor rgb="FFECF3E4"/>
          <bgColor rgb="FF000000"/>
        </patternFill>
      </fill>
    </dxf>
    <dxf>
      <fill>
        <patternFill patternType="solid">
          <fgColor rgb="FFEDF3E1"/>
          <bgColor rgb="FF000000"/>
        </patternFill>
      </fill>
    </dxf>
    <dxf>
      <fill>
        <patternFill patternType="solid">
          <fgColor rgb="FFEDF3E2"/>
          <bgColor rgb="FF000000"/>
        </patternFill>
      </fill>
    </dxf>
    <dxf>
      <fill>
        <patternFill patternType="solid">
          <fgColor rgb="FFF0F3DC"/>
          <bgColor rgb="FF000000"/>
        </patternFill>
      </fill>
    </dxf>
    <dxf>
      <fill>
        <patternFill patternType="solid">
          <fgColor rgb="FFF1F3DB"/>
          <bgColor rgb="FF000000"/>
        </patternFill>
      </fill>
    </dxf>
    <dxf>
      <fill>
        <patternFill patternType="solid">
          <fgColor rgb="FFF3F3D8"/>
          <bgColor rgb="FF000000"/>
        </patternFill>
      </fill>
    </dxf>
    <dxf>
      <fill>
        <patternFill patternType="solid">
          <fgColor rgb="FFF5F3D4"/>
          <bgColor rgb="FF000000"/>
        </patternFill>
      </fill>
    </dxf>
    <dxf>
      <fill>
        <patternFill patternType="solid">
          <fgColor rgb="FFF5F3D5"/>
          <bgColor rgb="FF000000"/>
        </patternFill>
      </fill>
    </dxf>
    <dxf>
      <fill>
        <patternFill patternType="solid">
          <fgColor rgb="FFF7F3D0"/>
          <bgColor rgb="FF000000"/>
        </patternFill>
      </fill>
    </dxf>
    <dxf>
      <fill>
        <patternFill patternType="solid">
          <fgColor rgb="FFF7F3D1"/>
          <bgColor rgb="FF000000"/>
        </patternFill>
      </fill>
    </dxf>
    <dxf>
      <fill>
        <patternFill patternType="solid">
          <fgColor rgb="FFF9D3C7"/>
          <bgColor rgb="FF000000"/>
        </patternFill>
      </fill>
    </dxf>
    <dxf>
      <fill>
        <patternFill patternType="solid">
          <fgColor rgb="FFF9F3CD"/>
          <bgColor rgb="FF000000"/>
        </patternFill>
      </fill>
    </dxf>
    <dxf>
      <fill>
        <patternFill patternType="solid">
          <fgColor rgb="FFFAD6C6"/>
          <bgColor rgb="FF000000"/>
        </patternFill>
      </fill>
    </dxf>
    <dxf>
      <fill>
        <patternFill patternType="solid">
          <fgColor rgb="FFFAF3CB"/>
          <bgColor rgb="FF000000"/>
        </patternFill>
      </fill>
    </dxf>
    <dxf>
      <fill>
        <patternFill patternType="solid">
          <fgColor rgb="FFFAF3CC"/>
          <bgColor rgb="FF000000"/>
        </patternFill>
      </fill>
    </dxf>
    <dxf>
      <fill>
        <patternFill patternType="solid">
          <fgColor rgb="FFFCF3C9"/>
          <bgColor rgb="FF000000"/>
        </patternFill>
      </fill>
    </dxf>
    <dxf>
      <fill>
        <patternFill patternType="solid">
          <fgColor rgb="FFFDE5C5"/>
          <bgColor rgb="FF000000"/>
        </patternFill>
      </fill>
    </dxf>
    <dxf>
      <fill>
        <patternFill patternType="solid">
          <fgColor rgb="FFFDE7C5"/>
          <bgColor rgb="FF000000"/>
        </patternFill>
      </fill>
    </dxf>
    <dxf>
      <fill>
        <patternFill patternType="solid">
          <fgColor rgb="FFFDF3C7"/>
          <bgColor rgb="FF000000"/>
        </patternFill>
      </fill>
    </dxf>
    <dxf>
      <fill>
        <patternFill patternType="solid">
          <fgColor rgb="FFFEE9C4"/>
          <bgColor rgb="FF000000"/>
        </patternFill>
      </fill>
    </dxf>
    <dxf>
      <fill>
        <patternFill patternType="solid">
          <fgColor rgb="FFFEEAC4"/>
          <bgColor rgb="FF000000"/>
        </patternFill>
      </fill>
    </dxf>
    <dxf>
      <fill>
        <patternFill patternType="solid">
          <fgColor rgb="FFFEECC4"/>
          <bgColor rgb="FF000000"/>
        </patternFill>
      </fill>
    </dxf>
    <dxf>
      <fill>
        <patternFill patternType="solid">
          <fgColor rgb="FFFEEDC4"/>
          <bgColor rgb="FF000000"/>
        </patternFill>
      </fill>
    </dxf>
    <dxf>
      <fill>
        <patternFill patternType="solid">
          <fgColor rgb="FFFEF3C6"/>
          <bgColor rgb="FF000000"/>
        </patternFill>
      </fill>
    </dxf>
    <dxf>
      <fill>
        <patternFill patternType="solid">
          <fgColor rgb="FFFFEDC4"/>
          <bgColor rgb="FF000000"/>
        </patternFill>
      </fill>
    </dxf>
    <dxf>
      <fill>
        <patternFill patternType="solid">
          <fgColor rgb="FFFFEEC4"/>
          <bgColor rgb="FF000000"/>
        </patternFill>
      </fill>
    </dxf>
    <dxf>
      <fill>
        <patternFill patternType="solid">
          <fgColor rgb="FFFFF0C4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E457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2C4"/>
      <rgbColor rgb="FFCCFFFF"/>
      <rgbColor rgb="FF4E1454"/>
      <rgbColor rgb="FFD85A30"/>
      <rgbColor rgb="FF0066CC"/>
      <rgbColor rgb="FFE3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98BCB"/>
      <rgbColor rgb="FFF9D3C7"/>
      <rgbColor rgb="FF3366FF"/>
      <rgbColor rgb="FF33CCCC"/>
      <rgbColor rgb="FF99CC00"/>
      <rgbColor rgb="FFF8B818"/>
      <rgbColor rgb="FFFF9900"/>
      <rgbColor rgb="FFE4572E"/>
      <rgbColor rgb="FF6B547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2</v>
      </c>
      <c r="B5" s="4" t="s">
        <v>4</v>
      </c>
    </row>
    <row r="6" customFormat="false" ht="15" hidden="false" customHeight="true" outlineLevel="0" collapsed="false">
      <c r="A6" s="3" t="s">
        <v>2</v>
      </c>
      <c r="B6" s="4" t="s">
        <v>5</v>
      </c>
    </row>
    <row r="7" customFormat="false" ht="60" hidden="false" customHeight="true" outlineLevel="0" collapsed="false">
      <c r="A7" s="3" t="s">
        <v>2</v>
      </c>
      <c r="B7" s="4" t="s">
        <v>6</v>
      </c>
    </row>
    <row r="8" customFormat="false" ht="60" hidden="false" customHeight="true" outlineLevel="0" collapsed="false">
      <c r="A8" s="3" t="s">
        <v>2</v>
      </c>
      <c r="B8" s="4" t="s">
        <v>7</v>
      </c>
    </row>
    <row r="9" customFormat="false" ht="30" hidden="false" customHeight="true" outlineLevel="0" collapsed="false">
      <c r="A9" s="3" t="s">
        <v>2</v>
      </c>
      <c r="B9" s="4" t="s">
        <v>8</v>
      </c>
    </row>
    <row r="10" customFormat="false" ht="45" hidden="false" customHeight="true" outlineLevel="0" collapsed="false">
      <c r="A10" s="3" t="s">
        <v>2</v>
      </c>
      <c r="B10" s="4" t="s">
        <v>9</v>
      </c>
    </row>
    <row r="11" customFormat="false" ht="30" hidden="false" customHeight="true" outlineLevel="0" collapsed="false">
      <c r="A11" s="3" t="s">
        <v>2</v>
      </c>
      <c r="B11" s="4" t="s">
        <v>10</v>
      </c>
    </row>
    <row r="12" customFormat="false" ht="45" hidden="false" customHeight="true" outlineLevel="0" collapsed="false">
      <c r="A12" s="3" t="s">
        <v>2</v>
      </c>
      <c r="B12" s="4" t="s">
        <v>11</v>
      </c>
    </row>
    <row r="14" customFormat="false" ht="15" hidden="false" customHeight="false" outlineLevel="0" collapsed="false">
      <c r="B14" s="5" t="s">
        <v>12</v>
      </c>
      <c r="C14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10" t="n">
        <v>1000</v>
      </c>
      <c r="F5" s="11" t="n">
        <v>30</v>
      </c>
      <c r="G5" s="12" t="n">
        <f aca="false">IFERROR(F5/E5,0)</f>
        <v>0.03</v>
      </c>
      <c r="H5" s="13" t="n">
        <f aca="false">COUNTIF(Ingredientes!$D:$D,C5)+COUNTIF('Bases madre'!$C:$C,C5)</f>
        <v>45</v>
      </c>
      <c r="I5" s="6"/>
    </row>
    <row r="6" customFormat="false" ht="15" hidden="false" customHeight="false" outlineLevel="0" collapsed="false">
      <c r="A6" s="9" t="s">
        <v>28</v>
      </c>
      <c r="B6" s="9" t="s">
        <v>29</v>
      </c>
      <c r="C6" s="9" t="s">
        <v>30</v>
      </c>
      <c r="D6" s="9" t="s">
        <v>27</v>
      </c>
      <c r="E6" s="10" t="n">
        <v>1000</v>
      </c>
      <c r="F6" s="11" t="n">
        <v>70</v>
      </c>
      <c r="G6" s="12" t="n">
        <f aca="false">IFERROR(F6/E6,0)</f>
        <v>0.07</v>
      </c>
      <c r="H6" s="13" t="n">
        <f aca="false">COUNTIF(Ingredientes!$D:$D,C6)+COUNTIF('Bases madre'!$C:$C,C6)</f>
        <v>37</v>
      </c>
      <c r="I6" s="6"/>
    </row>
    <row r="7" customFormat="false" ht="15" hidden="false" customHeight="false" outlineLevel="0" collapsed="false">
      <c r="A7" s="9" t="s">
        <v>31</v>
      </c>
      <c r="B7" s="9" t="s">
        <v>29</v>
      </c>
      <c r="C7" s="9" t="s">
        <v>32</v>
      </c>
      <c r="D7" s="9" t="s">
        <v>33</v>
      </c>
      <c r="E7" s="10" t="n">
        <v>1000</v>
      </c>
      <c r="F7" s="11" t="n">
        <v>48</v>
      </c>
      <c r="G7" s="12" t="n">
        <f aca="false">IFERROR(F7/E7,0)</f>
        <v>0.048</v>
      </c>
      <c r="H7" s="13" t="n">
        <f aca="false">COUNTIF(Ingredientes!$D:$D,C7)+COUNTIF('Bases madre'!$C:$C,C7)</f>
        <v>20</v>
      </c>
      <c r="I7" s="6"/>
    </row>
    <row r="8" customFormat="false" ht="15" hidden="false" customHeight="false" outlineLevel="0" collapsed="false">
      <c r="A8" s="9" t="s">
        <v>34</v>
      </c>
      <c r="B8" s="9" t="s">
        <v>29</v>
      </c>
      <c r="C8" s="9" t="s">
        <v>35</v>
      </c>
      <c r="D8" s="9" t="s">
        <v>27</v>
      </c>
      <c r="E8" s="10" t="n">
        <v>1000</v>
      </c>
      <c r="F8" s="11" t="n">
        <v>330</v>
      </c>
      <c r="G8" s="12" t="n">
        <f aca="false">IFERROR(F8/E8,0)</f>
        <v>0.33</v>
      </c>
      <c r="H8" s="13" t="n">
        <f aca="false">COUNTIF(Ingredientes!$D:$D,C8)+COUNTIF('Bases madre'!$C:$C,C8)</f>
        <v>1</v>
      </c>
      <c r="I8" s="6"/>
    </row>
    <row r="9" customFormat="false" ht="15" hidden="false" customHeight="false" outlineLevel="0" collapsed="false">
      <c r="A9" s="9" t="s">
        <v>36</v>
      </c>
      <c r="B9" s="9" t="s">
        <v>29</v>
      </c>
      <c r="C9" s="9" t="s">
        <v>37</v>
      </c>
      <c r="D9" s="9" t="s">
        <v>27</v>
      </c>
      <c r="E9" s="10" t="n">
        <v>400</v>
      </c>
      <c r="F9" s="11" t="n">
        <v>190</v>
      </c>
      <c r="G9" s="12" t="n">
        <f aca="false">IFERROR(F9/E9,0)</f>
        <v>0.475</v>
      </c>
      <c r="H9" s="13" t="n">
        <f aca="false">COUNTIF(Ingredientes!$D:$D,C9)+COUNTIF('Bases madre'!$C:$C,C9)</f>
        <v>1</v>
      </c>
      <c r="I9" s="6"/>
    </row>
    <row r="10" customFormat="false" ht="15" hidden="false" customHeight="false" outlineLevel="0" collapsed="false">
      <c r="A10" s="9" t="s">
        <v>38</v>
      </c>
      <c r="B10" s="9" t="s">
        <v>29</v>
      </c>
      <c r="C10" s="9" t="s">
        <v>39</v>
      </c>
      <c r="D10" s="9" t="s">
        <v>27</v>
      </c>
      <c r="E10" s="10" t="n">
        <v>1000</v>
      </c>
      <c r="F10" s="11" t="n">
        <v>480</v>
      </c>
      <c r="G10" s="12" t="n">
        <f aca="false">IFERROR(F10/E10,0)</f>
        <v>0.48</v>
      </c>
      <c r="H10" s="13" t="n">
        <f aca="false">COUNTIF(Ingredientes!$D:$D,C10)+COUNTIF('Bases madre'!$C:$C,C10)</f>
        <v>1</v>
      </c>
      <c r="I10" s="6"/>
    </row>
    <row r="11" customFormat="false" ht="1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27</v>
      </c>
      <c r="E11" s="10" t="n">
        <v>1000</v>
      </c>
      <c r="F11" s="11" t="n">
        <v>190</v>
      </c>
      <c r="G11" s="12" t="n">
        <f aca="false">IFERROR(F11/E11,0)</f>
        <v>0.19</v>
      </c>
      <c r="H11" s="13" t="n">
        <f aca="false">COUNTIF(Ingredientes!$D:$D,C11)+COUNTIF('Bases madre'!$C:$C,C11)</f>
        <v>2</v>
      </c>
      <c r="I11" s="6"/>
    </row>
    <row r="12" customFormat="false" ht="15" hidden="false" customHeight="false" outlineLevel="0" collapsed="false">
      <c r="A12" s="9" t="s">
        <v>43</v>
      </c>
      <c r="B12" s="9" t="s">
        <v>41</v>
      </c>
      <c r="C12" s="9" t="s">
        <v>44</v>
      </c>
      <c r="D12" s="9" t="s">
        <v>27</v>
      </c>
      <c r="E12" s="10" t="n">
        <v>1000</v>
      </c>
      <c r="F12" s="11" t="n">
        <v>220</v>
      </c>
      <c r="G12" s="12" t="n">
        <f aca="false">IFERROR(F12/E12,0)</f>
        <v>0.22</v>
      </c>
      <c r="H12" s="13" t="n">
        <f aca="false">COUNTIF(Ingredientes!$D:$D,C12)+COUNTIF('Bases madre'!$C:$C,C12)</f>
        <v>2</v>
      </c>
      <c r="I12" s="6"/>
    </row>
    <row r="13" customFormat="false" ht="15" hidden="false" customHeight="false" outlineLevel="0" collapsed="false">
      <c r="A13" s="9" t="s">
        <v>45</v>
      </c>
      <c r="B13" s="9" t="s">
        <v>41</v>
      </c>
      <c r="C13" s="9" t="s">
        <v>46</v>
      </c>
      <c r="D13" s="9" t="s">
        <v>27</v>
      </c>
      <c r="E13" s="10" t="n">
        <v>1000</v>
      </c>
      <c r="F13" s="11" t="n">
        <v>260</v>
      </c>
      <c r="G13" s="12" t="n">
        <f aca="false">IFERROR(F13/E13,0)</f>
        <v>0.26</v>
      </c>
      <c r="H13" s="13" t="n">
        <f aca="false">COUNTIF(Ingredientes!$D:$D,C13)+COUNTIF('Bases madre'!$C:$C,C13)</f>
        <v>1</v>
      </c>
      <c r="I13" s="6"/>
    </row>
    <row r="14" customFormat="false" ht="15" hidden="false" customHeight="false" outlineLevel="0" collapsed="false">
      <c r="A14" s="9" t="s">
        <v>47</v>
      </c>
      <c r="B14" s="9" t="s">
        <v>41</v>
      </c>
      <c r="C14" s="9" t="s">
        <v>48</v>
      </c>
      <c r="D14" s="9" t="s">
        <v>27</v>
      </c>
      <c r="E14" s="10" t="n">
        <v>1000</v>
      </c>
      <c r="F14" s="11" t="n">
        <v>125</v>
      </c>
      <c r="G14" s="12" t="n">
        <f aca="false">IFERROR(F14/E14,0)</f>
        <v>0.125</v>
      </c>
      <c r="H14" s="13" t="n">
        <f aca="false">COUNTIF(Ingredientes!$D:$D,C14)+COUNTIF('Bases madre'!$C:$C,C14)</f>
        <v>4</v>
      </c>
      <c r="I14" s="6"/>
    </row>
    <row r="15" customFormat="false" ht="15" hidden="false" customHeight="false" outlineLevel="0" collapsed="false">
      <c r="A15" s="9" t="s">
        <v>49</v>
      </c>
      <c r="B15" s="9" t="s">
        <v>41</v>
      </c>
      <c r="C15" s="9" t="s">
        <v>50</v>
      </c>
      <c r="D15" s="9" t="s">
        <v>27</v>
      </c>
      <c r="E15" s="10" t="n">
        <v>1000</v>
      </c>
      <c r="F15" s="11" t="n">
        <v>130</v>
      </c>
      <c r="G15" s="12" t="n">
        <f aca="false">IFERROR(F15/E15,0)</f>
        <v>0.13</v>
      </c>
      <c r="H15" s="13" t="n">
        <f aca="false">COUNTIF(Ingredientes!$D:$D,C15)+COUNTIF('Bases madre'!$C:$C,C15)</f>
        <v>3</v>
      </c>
      <c r="I15" s="6"/>
    </row>
    <row r="16" customFormat="false" ht="15" hidden="false" customHeight="false" outlineLevel="0" collapsed="false">
      <c r="A16" s="9" t="s">
        <v>51</v>
      </c>
      <c r="B16" s="9" t="s">
        <v>41</v>
      </c>
      <c r="C16" s="9" t="s">
        <v>52</v>
      </c>
      <c r="D16" s="9" t="s">
        <v>27</v>
      </c>
      <c r="E16" s="10" t="n">
        <v>1000</v>
      </c>
      <c r="F16" s="11" t="n">
        <v>150</v>
      </c>
      <c r="G16" s="12" t="n">
        <f aca="false">IFERROR(F16/E16,0)</f>
        <v>0.15</v>
      </c>
      <c r="H16" s="13" t="n">
        <f aca="false">COUNTIF(Ingredientes!$D:$D,C16)+COUNTIF('Bases madre'!$C:$C,C16)</f>
        <v>1</v>
      </c>
      <c r="I16" s="6"/>
    </row>
    <row r="17" customFormat="false" ht="15" hidden="false" customHeight="false" outlineLevel="0" collapsed="false">
      <c r="A17" s="9" t="s">
        <v>53</v>
      </c>
      <c r="B17" s="9" t="s">
        <v>41</v>
      </c>
      <c r="C17" s="9" t="s">
        <v>54</v>
      </c>
      <c r="D17" s="9" t="s">
        <v>27</v>
      </c>
      <c r="E17" s="10" t="n">
        <v>1000</v>
      </c>
      <c r="F17" s="11" t="n">
        <v>125</v>
      </c>
      <c r="G17" s="12" t="n">
        <f aca="false">IFERROR(F17/E17,0)</f>
        <v>0.125</v>
      </c>
      <c r="H17" s="13" t="n">
        <f aca="false">COUNTIF(Ingredientes!$D:$D,C17)+COUNTIF('Bases madre'!$C:$C,C17)</f>
        <v>1</v>
      </c>
      <c r="I17" s="6"/>
    </row>
    <row r="18" customFormat="false" ht="15" hidden="false" customHeight="false" outlineLevel="0" collapsed="false">
      <c r="A18" s="9" t="s">
        <v>55</v>
      </c>
      <c r="B18" s="9" t="s">
        <v>41</v>
      </c>
      <c r="C18" s="9" t="s">
        <v>56</v>
      </c>
      <c r="D18" s="9" t="s">
        <v>27</v>
      </c>
      <c r="E18" s="10" t="n">
        <v>1000</v>
      </c>
      <c r="F18" s="11" t="n">
        <v>135</v>
      </c>
      <c r="G18" s="12" t="n">
        <f aca="false">IFERROR(F18/E18,0)</f>
        <v>0.135</v>
      </c>
      <c r="H18" s="13" t="n">
        <f aca="false">COUNTIF(Ingredientes!$D:$D,C18)+COUNTIF('Bases madre'!$C:$C,C18)</f>
        <v>1</v>
      </c>
      <c r="I18" s="6"/>
    </row>
    <row r="19" customFormat="false" ht="15" hidden="false" customHeight="false" outlineLevel="0" collapsed="false">
      <c r="A19" s="9" t="s">
        <v>57</v>
      </c>
      <c r="B19" s="9" t="s">
        <v>41</v>
      </c>
      <c r="C19" s="9" t="s">
        <v>58</v>
      </c>
      <c r="D19" s="9" t="s">
        <v>27</v>
      </c>
      <c r="E19" s="10" t="n">
        <v>1000</v>
      </c>
      <c r="F19" s="11" t="n">
        <v>170</v>
      </c>
      <c r="G19" s="12" t="n">
        <f aca="false">IFERROR(F19/E19,0)</f>
        <v>0.17</v>
      </c>
      <c r="H19" s="13" t="n">
        <f aca="false">COUNTIF(Ingredientes!$D:$D,C19)+COUNTIF('Bases madre'!$C:$C,C19)</f>
        <v>1</v>
      </c>
      <c r="I19" s="6"/>
    </row>
    <row r="20" customFormat="false" ht="15" hidden="false" customHeight="false" outlineLevel="0" collapsed="false">
      <c r="A20" s="9" t="s">
        <v>59</v>
      </c>
      <c r="B20" s="9" t="s">
        <v>41</v>
      </c>
      <c r="C20" s="9" t="s">
        <v>60</v>
      </c>
      <c r="D20" s="9" t="s">
        <v>27</v>
      </c>
      <c r="E20" s="10" t="n">
        <v>1000</v>
      </c>
      <c r="F20" s="11" t="n">
        <v>110</v>
      </c>
      <c r="G20" s="12" t="n">
        <f aca="false">IFERROR(F20/E20,0)</f>
        <v>0.11</v>
      </c>
      <c r="H20" s="13" t="n">
        <f aca="false">COUNTIF(Ingredientes!$D:$D,C20)+COUNTIF('Bases madre'!$C:$C,C20)</f>
        <v>1</v>
      </c>
      <c r="I20" s="6"/>
    </row>
    <row r="21" customFormat="false" ht="15" hidden="false" customHeight="false" outlineLevel="0" collapsed="false">
      <c r="A21" s="9" t="s">
        <v>61</v>
      </c>
      <c r="B21" s="9" t="s">
        <v>41</v>
      </c>
      <c r="C21" s="9" t="s">
        <v>62</v>
      </c>
      <c r="D21" s="9" t="s">
        <v>27</v>
      </c>
      <c r="E21" s="10" t="n">
        <v>1000</v>
      </c>
      <c r="F21" s="11" t="n">
        <v>90</v>
      </c>
      <c r="G21" s="12" t="n">
        <f aca="false">IFERROR(F21/E21,0)</f>
        <v>0.09</v>
      </c>
      <c r="H21" s="13" t="n">
        <f aca="false">COUNTIF(Ingredientes!$D:$D,C21)+COUNTIF('Bases madre'!$C:$C,C21)</f>
        <v>1</v>
      </c>
      <c r="I21" s="6"/>
    </row>
    <row r="22" customFormat="false" ht="15" hidden="false" customHeight="false" outlineLevel="0" collapsed="false">
      <c r="A22" s="9" t="s">
        <v>63</v>
      </c>
      <c r="B22" s="9" t="s">
        <v>64</v>
      </c>
      <c r="C22" s="9" t="s">
        <v>65</v>
      </c>
      <c r="D22" s="9" t="s">
        <v>27</v>
      </c>
      <c r="E22" s="10" t="n">
        <v>1000</v>
      </c>
      <c r="F22" s="11" t="n">
        <v>160</v>
      </c>
      <c r="G22" s="12" t="n">
        <f aca="false">IFERROR(F22/E22,0)</f>
        <v>0.16</v>
      </c>
      <c r="H22" s="13" t="n">
        <f aca="false">COUNTIF(Ingredientes!$D:$D,C22)+COUNTIF('Bases madre'!$C:$C,C22)</f>
        <v>1</v>
      </c>
      <c r="I22" s="6"/>
    </row>
    <row r="23" customFormat="false" ht="15" hidden="false" customHeight="false" outlineLevel="0" collapsed="false">
      <c r="A23" s="9" t="s">
        <v>66</v>
      </c>
      <c r="B23" s="9" t="s">
        <v>64</v>
      </c>
      <c r="C23" s="9" t="s">
        <v>67</v>
      </c>
      <c r="D23" s="9" t="s">
        <v>27</v>
      </c>
      <c r="E23" s="10" t="n">
        <v>1000</v>
      </c>
      <c r="F23" s="11" t="n">
        <v>170</v>
      </c>
      <c r="G23" s="12" t="n">
        <f aca="false">IFERROR(F23/E23,0)</f>
        <v>0.17</v>
      </c>
      <c r="H23" s="13" t="n">
        <f aca="false">COUNTIF(Ingredientes!$D:$D,C23)+COUNTIF('Bases madre'!$C:$C,C23)</f>
        <v>1</v>
      </c>
      <c r="I23" s="6"/>
    </row>
    <row r="24" customFormat="false" ht="15" hidden="false" customHeight="false" outlineLevel="0" collapsed="false">
      <c r="A24" s="9" t="s">
        <v>68</v>
      </c>
      <c r="B24" s="9" t="s">
        <v>64</v>
      </c>
      <c r="C24" s="9" t="s">
        <v>69</v>
      </c>
      <c r="D24" s="9" t="s">
        <v>27</v>
      </c>
      <c r="E24" s="10" t="n">
        <v>1000</v>
      </c>
      <c r="F24" s="11" t="n">
        <v>220</v>
      </c>
      <c r="G24" s="12" t="n">
        <f aca="false">IFERROR(F24/E24,0)</f>
        <v>0.22</v>
      </c>
      <c r="H24" s="13" t="n">
        <f aca="false">COUNTIF(Ingredientes!$D:$D,C24)+COUNTIF('Bases madre'!$C:$C,C24)</f>
        <v>1</v>
      </c>
      <c r="I24" s="6"/>
    </row>
    <row r="25" customFormat="false" ht="15" hidden="false" customHeight="false" outlineLevel="0" collapsed="false">
      <c r="A25" s="9" t="s">
        <v>70</v>
      </c>
      <c r="B25" s="9" t="s">
        <v>64</v>
      </c>
      <c r="C25" s="9" t="s">
        <v>71</v>
      </c>
      <c r="D25" s="9" t="s">
        <v>27</v>
      </c>
      <c r="E25" s="10" t="n">
        <v>1000</v>
      </c>
      <c r="F25" s="11" t="n">
        <v>110</v>
      </c>
      <c r="G25" s="12" t="n">
        <f aca="false">IFERROR(F25/E25,0)</f>
        <v>0.11</v>
      </c>
      <c r="H25" s="13" t="n">
        <f aca="false">COUNTIF(Ingredientes!$D:$D,C25)+COUNTIF('Bases madre'!$C:$C,C25)</f>
        <v>1</v>
      </c>
      <c r="I25" s="6"/>
    </row>
    <row r="26" customFormat="false" ht="15" hidden="false" customHeight="false" outlineLevel="0" collapsed="false">
      <c r="A26" s="9" t="s">
        <v>72</v>
      </c>
      <c r="B26" s="9" t="s">
        <v>73</v>
      </c>
      <c r="C26" s="9" t="s">
        <v>74</v>
      </c>
      <c r="D26" s="9" t="s">
        <v>27</v>
      </c>
      <c r="E26" s="10" t="n">
        <v>1000</v>
      </c>
      <c r="F26" s="11" t="n">
        <v>190</v>
      </c>
      <c r="G26" s="12" t="n">
        <f aca="false">IFERROR(F26/E26,0)</f>
        <v>0.19</v>
      </c>
      <c r="H26" s="13" t="n">
        <f aca="false">COUNTIF(Ingredientes!$D:$D,C26)+COUNTIF('Bases madre'!$C:$C,C26)</f>
        <v>1</v>
      </c>
      <c r="I26" s="6"/>
    </row>
    <row r="27" customFormat="false" ht="15" hidden="false" customHeight="false" outlineLevel="0" collapsed="false">
      <c r="A27" s="9" t="s">
        <v>75</v>
      </c>
      <c r="B27" s="9" t="s">
        <v>73</v>
      </c>
      <c r="C27" s="9" t="s">
        <v>76</v>
      </c>
      <c r="D27" s="9" t="s">
        <v>27</v>
      </c>
      <c r="E27" s="10" t="n">
        <v>1000</v>
      </c>
      <c r="F27" s="11" t="n">
        <v>220</v>
      </c>
      <c r="G27" s="12" t="n">
        <f aca="false">IFERROR(F27/E27,0)</f>
        <v>0.22</v>
      </c>
      <c r="H27" s="13" t="n">
        <f aca="false">COUNTIF(Ingredientes!$D:$D,C27)+COUNTIF('Bases madre'!$C:$C,C27)</f>
        <v>1</v>
      </c>
      <c r="I27" s="6"/>
    </row>
    <row r="28" customFormat="false" ht="15" hidden="false" customHeight="false" outlineLevel="0" collapsed="false">
      <c r="A28" s="9" t="s">
        <v>77</v>
      </c>
      <c r="B28" s="9" t="s">
        <v>73</v>
      </c>
      <c r="C28" s="9" t="s">
        <v>78</v>
      </c>
      <c r="D28" s="9" t="s">
        <v>27</v>
      </c>
      <c r="E28" s="10" t="n">
        <v>1000</v>
      </c>
      <c r="F28" s="11" t="n">
        <v>240</v>
      </c>
      <c r="G28" s="12" t="n">
        <f aca="false">IFERROR(F28/E28,0)</f>
        <v>0.24</v>
      </c>
      <c r="H28" s="13" t="n">
        <f aca="false">COUNTIF(Ingredientes!$D:$D,C28)+COUNTIF('Bases madre'!$C:$C,C28)</f>
        <v>2</v>
      </c>
      <c r="I28" s="6"/>
    </row>
    <row r="29" customFormat="false" ht="15" hidden="false" customHeight="false" outlineLevel="0" collapsed="false">
      <c r="A29" s="9" t="s">
        <v>79</v>
      </c>
      <c r="B29" s="9" t="s">
        <v>73</v>
      </c>
      <c r="C29" s="9" t="s">
        <v>80</v>
      </c>
      <c r="D29" s="9" t="s">
        <v>27</v>
      </c>
      <c r="E29" s="10" t="n">
        <v>1000</v>
      </c>
      <c r="F29" s="11" t="n">
        <v>220</v>
      </c>
      <c r="G29" s="12" t="n">
        <f aca="false">IFERROR(F29/E29,0)</f>
        <v>0.22</v>
      </c>
      <c r="H29" s="13" t="n">
        <f aca="false">COUNTIF(Ingredientes!$D:$D,C29)+COUNTIF('Bases madre'!$C:$C,C29)</f>
        <v>1</v>
      </c>
      <c r="I29" s="6"/>
    </row>
    <row r="30" customFormat="false" ht="15" hidden="false" customHeight="false" outlineLevel="0" collapsed="false">
      <c r="A30" s="9" t="s">
        <v>81</v>
      </c>
      <c r="B30" s="9" t="s">
        <v>73</v>
      </c>
      <c r="C30" s="9" t="s">
        <v>82</v>
      </c>
      <c r="D30" s="9" t="s">
        <v>27</v>
      </c>
      <c r="E30" s="10" t="n">
        <v>1000</v>
      </c>
      <c r="F30" s="11" t="n">
        <v>190</v>
      </c>
      <c r="G30" s="12" t="n">
        <f aca="false">IFERROR(F30/E30,0)</f>
        <v>0.19</v>
      </c>
      <c r="H30" s="13" t="n">
        <f aca="false">COUNTIF(Ingredientes!$D:$D,C30)+COUNTIF('Bases madre'!$C:$C,C30)</f>
        <v>1</v>
      </c>
      <c r="I30" s="6"/>
    </row>
    <row r="31" customFormat="false" ht="15" hidden="false" customHeight="false" outlineLevel="0" collapsed="false">
      <c r="A31" s="9" t="s">
        <v>83</v>
      </c>
      <c r="B31" s="9" t="s">
        <v>73</v>
      </c>
      <c r="C31" s="9" t="s">
        <v>84</v>
      </c>
      <c r="D31" s="9" t="s">
        <v>27</v>
      </c>
      <c r="E31" s="10" t="n">
        <v>1000</v>
      </c>
      <c r="F31" s="11" t="n">
        <v>700</v>
      </c>
      <c r="G31" s="12" t="n">
        <f aca="false">IFERROR(F31/E31,0)</f>
        <v>0.7</v>
      </c>
      <c r="H31" s="13" t="n">
        <f aca="false">COUNTIF(Ingredientes!$D:$D,C31)+COUNTIF('Bases madre'!$C:$C,C31)</f>
        <v>1</v>
      </c>
      <c r="I31" s="6"/>
    </row>
    <row r="32" customFormat="false" ht="15" hidden="false" customHeight="false" outlineLevel="0" collapsed="false">
      <c r="A32" s="9" t="s">
        <v>85</v>
      </c>
      <c r="B32" s="9" t="s">
        <v>86</v>
      </c>
      <c r="C32" s="9" t="s">
        <v>87</v>
      </c>
      <c r="D32" s="9" t="s">
        <v>27</v>
      </c>
      <c r="E32" s="10" t="n">
        <v>1000</v>
      </c>
      <c r="F32" s="11" t="n">
        <v>110</v>
      </c>
      <c r="G32" s="12" t="n">
        <f aca="false">IFERROR(F32/E32,0)</f>
        <v>0.11</v>
      </c>
      <c r="H32" s="13" t="n">
        <f aca="false">COUNTIF(Ingredientes!$D:$D,C32)+COUNTIF('Bases madre'!$C:$C,C32)</f>
        <v>2</v>
      </c>
      <c r="I32" s="6"/>
    </row>
    <row r="33" customFormat="false" ht="15" hidden="false" customHeight="false" outlineLevel="0" collapsed="false">
      <c r="A33" s="9" t="s">
        <v>88</v>
      </c>
      <c r="B33" s="9" t="s">
        <v>86</v>
      </c>
      <c r="C33" s="9" t="s">
        <v>89</v>
      </c>
      <c r="D33" s="9" t="s">
        <v>27</v>
      </c>
      <c r="E33" s="10" t="n">
        <v>1000</v>
      </c>
      <c r="F33" s="11" t="n">
        <v>320</v>
      </c>
      <c r="G33" s="12" t="n">
        <f aca="false">IFERROR(F33/E33,0)</f>
        <v>0.32</v>
      </c>
      <c r="H33" s="13" t="n">
        <f aca="false">COUNTIF(Ingredientes!$D:$D,C33)+COUNTIF('Bases madre'!$C:$C,C33)</f>
        <v>1</v>
      </c>
      <c r="I33" s="6"/>
    </row>
    <row r="34" customFormat="false" ht="15" hidden="false" customHeight="false" outlineLevel="0" collapsed="false">
      <c r="A34" s="9" t="s">
        <v>90</v>
      </c>
      <c r="B34" s="9" t="s">
        <v>86</v>
      </c>
      <c r="C34" s="9" t="s">
        <v>91</v>
      </c>
      <c r="D34" s="9" t="s">
        <v>27</v>
      </c>
      <c r="E34" s="10" t="n">
        <v>1000</v>
      </c>
      <c r="F34" s="11" t="n">
        <v>420</v>
      </c>
      <c r="G34" s="12" t="n">
        <f aca="false">IFERROR(F34/E34,0)</f>
        <v>0.42</v>
      </c>
      <c r="H34" s="13" t="n">
        <f aca="false">COUNTIF(Ingredientes!$D:$D,C34)+COUNTIF('Bases madre'!$C:$C,C34)</f>
        <v>1</v>
      </c>
      <c r="I34" s="6"/>
    </row>
    <row r="35" customFormat="false" ht="15" hidden="false" customHeight="false" outlineLevel="0" collapsed="false">
      <c r="A35" s="9" t="s">
        <v>92</v>
      </c>
      <c r="B35" s="9" t="s">
        <v>86</v>
      </c>
      <c r="C35" s="9" t="s">
        <v>93</v>
      </c>
      <c r="D35" s="9" t="s">
        <v>27</v>
      </c>
      <c r="E35" s="10" t="n">
        <v>1000</v>
      </c>
      <c r="F35" s="11" t="n">
        <v>290</v>
      </c>
      <c r="G35" s="12" t="n">
        <f aca="false">IFERROR(F35/E35,0)</f>
        <v>0.29</v>
      </c>
      <c r="H35" s="13" t="n">
        <f aca="false">COUNTIF(Ingredientes!$D:$D,C35)+COUNTIF('Bases madre'!$C:$C,C35)</f>
        <v>1</v>
      </c>
      <c r="I35" s="6"/>
    </row>
    <row r="36" customFormat="false" ht="15" hidden="false" customHeight="false" outlineLevel="0" collapsed="false">
      <c r="A36" s="9" t="s">
        <v>94</v>
      </c>
      <c r="B36" s="9" t="s">
        <v>95</v>
      </c>
      <c r="C36" s="9" t="s">
        <v>96</v>
      </c>
      <c r="D36" s="9" t="s">
        <v>27</v>
      </c>
      <c r="E36" s="10" t="n">
        <v>1000</v>
      </c>
      <c r="F36" s="11" t="n">
        <v>110</v>
      </c>
      <c r="G36" s="12" t="n">
        <f aca="false">IFERROR(F36/E36,0)</f>
        <v>0.11</v>
      </c>
      <c r="H36" s="13" t="n">
        <f aca="false">COUNTIF(Ingredientes!$D:$D,C36)+COUNTIF('Bases madre'!$C:$C,C36)</f>
        <v>2</v>
      </c>
      <c r="I36" s="6"/>
    </row>
    <row r="37" customFormat="false" ht="15" hidden="false" customHeight="false" outlineLevel="0" collapsed="false">
      <c r="A37" s="9" t="s">
        <v>97</v>
      </c>
      <c r="B37" s="9" t="s">
        <v>95</v>
      </c>
      <c r="C37" s="9" t="s">
        <v>98</v>
      </c>
      <c r="D37" s="9" t="s">
        <v>27</v>
      </c>
      <c r="E37" s="10" t="n">
        <v>1000</v>
      </c>
      <c r="F37" s="11" t="n">
        <v>190</v>
      </c>
      <c r="G37" s="12" t="n">
        <f aca="false">IFERROR(F37/E37,0)</f>
        <v>0.19</v>
      </c>
      <c r="H37" s="13" t="n">
        <f aca="false">COUNTIF(Ingredientes!$D:$D,C37)+COUNTIF('Bases madre'!$C:$C,C37)</f>
        <v>1</v>
      </c>
      <c r="I37" s="6"/>
    </row>
    <row r="38" customFormat="false" ht="15" hidden="false" customHeight="false" outlineLevel="0" collapsed="false">
      <c r="A38" s="9" t="s">
        <v>99</v>
      </c>
      <c r="B38" s="9" t="s">
        <v>100</v>
      </c>
      <c r="C38" s="9" t="s">
        <v>101</v>
      </c>
      <c r="D38" s="9" t="s">
        <v>27</v>
      </c>
      <c r="E38" s="10" t="n">
        <v>1000</v>
      </c>
      <c r="F38" s="11" t="n">
        <v>30</v>
      </c>
      <c r="G38" s="12" t="n">
        <f aca="false">IFERROR(F38/E38,0)</f>
        <v>0.03</v>
      </c>
      <c r="H38" s="13" t="n">
        <f aca="false">COUNTIF(Ingredientes!$D:$D,C38)+COUNTIF('Bases madre'!$C:$C,C38)</f>
        <v>5</v>
      </c>
      <c r="I38" s="6"/>
    </row>
    <row r="39" customFormat="false" ht="15" hidden="false" customHeight="false" outlineLevel="0" collapsed="false">
      <c r="A39" s="9" t="s">
        <v>102</v>
      </c>
      <c r="B39" s="9" t="s">
        <v>100</v>
      </c>
      <c r="C39" s="9" t="s">
        <v>103</v>
      </c>
      <c r="D39" s="9" t="s">
        <v>27</v>
      </c>
      <c r="E39" s="10" t="n">
        <v>1000</v>
      </c>
      <c r="F39" s="11" t="n">
        <v>28</v>
      </c>
      <c r="G39" s="12" t="n">
        <f aca="false">IFERROR(F39/E39,0)</f>
        <v>0.028</v>
      </c>
      <c r="H39" s="13" t="n">
        <f aca="false">COUNTIF(Ingredientes!$D:$D,C39)+COUNTIF('Bases madre'!$C:$C,C39)</f>
        <v>48</v>
      </c>
      <c r="I39" s="6"/>
    </row>
    <row r="40" customFormat="false" ht="15" hidden="false" customHeight="false" outlineLevel="0" collapsed="false">
      <c r="A40" s="9" t="s">
        <v>104</v>
      </c>
      <c r="B40" s="9" t="s">
        <v>100</v>
      </c>
      <c r="C40" s="9" t="s">
        <v>105</v>
      </c>
      <c r="D40" s="9" t="s">
        <v>27</v>
      </c>
      <c r="E40" s="10" t="n">
        <v>1000</v>
      </c>
      <c r="F40" s="11" t="n">
        <v>40</v>
      </c>
      <c r="G40" s="12" t="n">
        <f aca="false">IFERROR(F40/E40,0)</f>
        <v>0.04</v>
      </c>
      <c r="H40" s="13" t="n">
        <f aca="false">COUNTIF(Ingredientes!$D:$D,C40)+COUNTIF('Bases madre'!$C:$C,C40)</f>
        <v>2</v>
      </c>
      <c r="I40" s="6"/>
    </row>
    <row r="41" customFormat="false" ht="15" hidden="false" customHeight="false" outlineLevel="0" collapsed="false">
      <c r="A41" s="9" t="s">
        <v>106</v>
      </c>
      <c r="B41" s="9" t="s">
        <v>100</v>
      </c>
      <c r="C41" s="9" t="s">
        <v>107</v>
      </c>
      <c r="D41" s="9" t="s">
        <v>27</v>
      </c>
      <c r="E41" s="10" t="n">
        <v>1000</v>
      </c>
      <c r="F41" s="11" t="n">
        <v>45</v>
      </c>
      <c r="G41" s="12" t="n">
        <f aca="false">IFERROR(F41/E41,0)</f>
        <v>0.045</v>
      </c>
      <c r="H41" s="13" t="n">
        <f aca="false">COUNTIF(Ingredientes!$D:$D,C41)+COUNTIF('Bases madre'!$C:$C,C41)</f>
        <v>3</v>
      </c>
      <c r="I41" s="6"/>
    </row>
    <row r="42" customFormat="false" ht="15" hidden="false" customHeight="false" outlineLevel="0" collapsed="false">
      <c r="A42" s="9" t="s">
        <v>108</v>
      </c>
      <c r="B42" s="9" t="s">
        <v>100</v>
      </c>
      <c r="C42" s="9" t="s">
        <v>109</v>
      </c>
      <c r="D42" s="9" t="s">
        <v>27</v>
      </c>
      <c r="E42" s="10" t="n">
        <v>1000</v>
      </c>
      <c r="F42" s="11" t="n">
        <v>110</v>
      </c>
      <c r="G42" s="12" t="n">
        <f aca="false">IFERROR(F42/E42,0)</f>
        <v>0.11</v>
      </c>
      <c r="H42" s="13" t="n">
        <f aca="false">COUNTIF(Ingredientes!$D:$D,C42)+COUNTIF('Bases madre'!$C:$C,C42)</f>
        <v>55</v>
      </c>
      <c r="I42" s="6"/>
    </row>
    <row r="43" customFormat="false" ht="15" hidden="false" customHeight="false" outlineLevel="0" collapsed="false">
      <c r="A43" s="9" t="s">
        <v>110</v>
      </c>
      <c r="B43" s="9" t="s">
        <v>100</v>
      </c>
      <c r="C43" s="9" t="s">
        <v>111</v>
      </c>
      <c r="D43" s="9" t="s">
        <v>27</v>
      </c>
      <c r="E43" s="10" t="n">
        <v>1000</v>
      </c>
      <c r="F43" s="11" t="n">
        <v>30</v>
      </c>
      <c r="G43" s="12" t="n">
        <f aca="false">IFERROR(F43/E43,0)</f>
        <v>0.03</v>
      </c>
      <c r="H43" s="13" t="n">
        <f aca="false">COUNTIF(Ingredientes!$D:$D,C43)+COUNTIF('Bases madre'!$C:$C,C43)</f>
        <v>15</v>
      </c>
      <c r="I43" s="6"/>
    </row>
    <row r="44" customFormat="false" ht="15" hidden="false" customHeight="false" outlineLevel="0" collapsed="false">
      <c r="A44" s="9" t="s">
        <v>112</v>
      </c>
      <c r="B44" s="9" t="s">
        <v>100</v>
      </c>
      <c r="C44" s="9" t="s">
        <v>113</v>
      </c>
      <c r="D44" s="9" t="s">
        <v>27</v>
      </c>
      <c r="E44" s="10" t="n">
        <v>1000</v>
      </c>
      <c r="F44" s="11" t="n">
        <v>30</v>
      </c>
      <c r="G44" s="12" t="n">
        <f aca="false">IFERROR(F44/E44,0)</f>
        <v>0.03</v>
      </c>
      <c r="H44" s="13" t="n">
        <f aca="false">COUNTIF(Ingredientes!$D:$D,C44)+COUNTIF('Bases madre'!$C:$C,C44)</f>
        <v>6</v>
      </c>
      <c r="I44" s="6"/>
    </row>
    <row r="45" customFormat="false" ht="15" hidden="false" customHeight="false" outlineLevel="0" collapsed="false">
      <c r="A45" s="9" t="s">
        <v>114</v>
      </c>
      <c r="B45" s="9" t="s">
        <v>100</v>
      </c>
      <c r="C45" s="9" t="s">
        <v>115</v>
      </c>
      <c r="D45" s="9" t="s">
        <v>27</v>
      </c>
      <c r="E45" s="10" t="n">
        <v>1000</v>
      </c>
      <c r="F45" s="11" t="n">
        <v>22</v>
      </c>
      <c r="G45" s="12" t="n">
        <f aca="false">IFERROR(F45/E45,0)</f>
        <v>0.022</v>
      </c>
      <c r="H45" s="13" t="n">
        <f aca="false">COUNTIF(Ingredientes!$D:$D,C45)+COUNTIF('Bases madre'!$C:$C,C45)</f>
        <v>1</v>
      </c>
      <c r="I45" s="6"/>
    </row>
    <row r="46" customFormat="false" ht="15" hidden="false" customHeight="false" outlineLevel="0" collapsed="false">
      <c r="A46" s="9" t="s">
        <v>116</v>
      </c>
      <c r="B46" s="9" t="s">
        <v>100</v>
      </c>
      <c r="C46" s="9" t="s">
        <v>117</v>
      </c>
      <c r="D46" s="9" t="s">
        <v>27</v>
      </c>
      <c r="E46" s="10" t="n">
        <v>1000</v>
      </c>
      <c r="F46" s="11" t="n">
        <v>32</v>
      </c>
      <c r="G46" s="12" t="n">
        <f aca="false">IFERROR(F46/E46,0)</f>
        <v>0.032</v>
      </c>
      <c r="H46" s="13" t="n">
        <f aca="false">COUNTIF(Ingredientes!$D:$D,C46)+COUNTIF('Bases madre'!$C:$C,C46)</f>
        <v>1</v>
      </c>
      <c r="I46" s="6"/>
    </row>
    <row r="47" customFormat="false" ht="15" hidden="false" customHeight="false" outlineLevel="0" collapsed="false">
      <c r="A47" s="9" t="s">
        <v>118</v>
      </c>
      <c r="B47" s="9" t="s">
        <v>100</v>
      </c>
      <c r="C47" s="9" t="s">
        <v>119</v>
      </c>
      <c r="D47" s="9" t="s">
        <v>27</v>
      </c>
      <c r="E47" s="10" t="n">
        <v>1000</v>
      </c>
      <c r="F47" s="11" t="n">
        <v>40</v>
      </c>
      <c r="G47" s="12" t="n">
        <f aca="false">IFERROR(F47/E47,0)</f>
        <v>0.04</v>
      </c>
      <c r="H47" s="13" t="n">
        <f aca="false">COUNTIF(Ingredientes!$D:$D,C47)+COUNTIF('Bases madre'!$C:$C,C47)</f>
        <v>2</v>
      </c>
      <c r="I47" s="6"/>
    </row>
    <row r="48" customFormat="false" ht="15" hidden="false" customHeight="false" outlineLevel="0" collapsed="false">
      <c r="A48" s="9" t="s">
        <v>120</v>
      </c>
      <c r="B48" s="9" t="s">
        <v>100</v>
      </c>
      <c r="C48" s="9" t="s">
        <v>121</v>
      </c>
      <c r="D48" s="9" t="s">
        <v>27</v>
      </c>
      <c r="E48" s="10" t="n">
        <v>1000</v>
      </c>
      <c r="F48" s="11" t="n">
        <v>90</v>
      </c>
      <c r="G48" s="12" t="n">
        <f aca="false">IFERROR(F48/E48,0)</f>
        <v>0.09</v>
      </c>
      <c r="H48" s="13" t="n">
        <f aca="false">COUNTIF(Ingredientes!$D:$D,C48)+COUNTIF('Bases madre'!$C:$C,C48)</f>
        <v>1</v>
      </c>
      <c r="I48" s="6"/>
    </row>
    <row r="49" customFormat="false" ht="15" hidden="false" customHeight="false" outlineLevel="0" collapsed="false">
      <c r="A49" s="9" t="s">
        <v>122</v>
      </c>
      <c r="B49" s="9" t="s">
        <v>100</v>
      </c>
      <c r="C49" s="9" t="s">
        <v>123</v>
      </c>
      <c r="D49" s="9" t="s">
        <v>27</v>
      </c>
      <c r="E49" s="10" t="n">
        <v>1000</v>
      </c>
      <c r="F49" s="11" t="n">
        <v>28</v>
      </c>
      <c r="G49" s="12" t="n">
        <f aca="false">IFERROR(F49/E49,0)</f>
        <v>0.028</v>
      </c>
      <c r="H49" s="13" t="n">
        <f aca="false">COUNTIF(Ingredientes!$D:$D,C49)+COUNTIF('Bases madre'!$C:$C,C49)</f>
        <v>1</v>
      </c>
      <c r="I49" s="6"/>
    </row>
    <row r="50" customFormat="false" ht="15" hidden="false" customHeight="false" outlineLevel="0" collapsed="false">
      <c r="A50" s="9" t="s">
        <v>124</v>
      </c>
      <c r="B50" s="9" t="s">
        <v>100</v>
      </c>
      <c r="C50" s="9" t="s">
        <v>125</v>
      </c>
      <c r="D50" s="9" t="s">
        <v>27</v>
      </c>
      <c r="E50" s="10" t="n">
        <v>1000</v>
      </c>
      <c r="F50" s="11" t="n">
        <v>45</v>
      </c>
      <c r="G50" s="12" t="n">
        <f aca="false">IFERROR(F50/E50,0)</f>
        <v>0.045</v>
      </c>
      <c r="H50" s="13" t="n">
        <f aca="false">COUNTIF(Ingredientes!$D:$D,C50)+COUNTIF('Bases madre'!$C:$C,C50)</f>
        <v>2</v>
      </c>
      <c r="I50" s="6"/>
    </row>
    <row r="51" customFormat="false" ht="15" hidden="false" customHeight="false" outlineLevel="0" collapsed="false">
      <c r="A51" s="9" t="s">
        <v>126</v>
      </c>
      <c r="B51" s="9" t="s">
        <v>100</v>
      </c>
      <c r="C51" s="9" t="s">
        <v>127</v>
      </c>
      <c r="D51" s="9" t="s">
        <v>27</v>
      </c>
      <c r="E51" s="10" t="n">
        <v>1000</v>
      </c>
      <c r="F51" s="11" t="n">
        <v>18</v>
      </c>
      <c r="G51" s="12" t="n">
        <f aca="false">IFERROR(F51/E51,0)</f>
        <v>0.018</v>
      </c>
      <c r="H51" s="13" t="n">
        <f aca="false">COUNTIF(Ingredientes!$D:$D,C51)+COUNTIF('Bases madre'!$C:$C,C51)</f>
        <v>1</v>
      </c>
      <c r="I51" s="6"/>
    </row>
    <row r="52" customFormat="false" ht="15" hidden="false" customHeight="false" outlineLevel="0" collapsed="false">
      <c r="A52" s="9" t="s">
        <v>128</v>
      </c>
      <c r="B52" s="9" t="s">
        <v>100</v>
      </c>
      <c r="C52" s="9" t="s">
        <v>129</v>
      </c>
      <c r="D52" s="9" t="s">
        <v>27</v>
      </c>
      <c r="E52" s="10" t="n">
        <v>1000</v>
      </c>
      <c r="F52" s="11" t="n">
        <v>55</v>
      </c>
      <c r="G52" s="12" t="n">
        <f aca="false">IFERROR(F52/E52,0)</f>
        <v>0.055</v>
      </c>
      <c r="H52" s="13" t="n">
        <f aca="false">COUNTIF(Ingredientes!$D:$D,C52)+COUNTIF('Bases madre'!$C:$C,C52)</f>
        <v>1</v>
      </c>
      <c r="I52" s="6"/>
    </row>
    <row r="53" customFormat="false" ht="15" hidden="false" customHeight="false" outlineLevel="0" collapsed="false">
      <c r="A53" s="9" t="s">
        <v>130</v>
      </c>
      <c r="B53" s="9" t="s">
        <v>100</v>
      </c>
      <c r="C53" s="9" t="s">
        <v>131</v>
      </c>
      <c r="D53" s="9" t="s">
        <v>27</v>
      </c>
      <c r="E53" s="10" t="n">
        <v>1000</v>
      </c>
      <c r="F53" s="11" t="n">
        <v>35</v>
      </c>
      <c r="G53" s="12" t="n">
        <f aca="false">IFERROR(F53/E53,0)</f>
        <v>0.035</v>
      </c>
      <c r="H53" s="13" t="n">
        <f aca="false">COUNTIF(Ingredientes!$D:$D,C53)+COUNTIF('Bases madre'!$C:$C,C53)</f>
        <v>1</v>
      </c>
      <c r="I53" s="6"/>
    </row>
    <row r="54" customFormat="false" ht="15" hidden="false" customHeight="false" outlineLevel="0" collapsed="false">
      <c r="A54" s="9" t="s">
        <v>132</v>
      </c>
      <c r="B54" s="9" t="s">
        <v>100</v>
      </c>
      <c r="C54" s="9" t="s">
        <v>133</v>
      </c>
      <c r="D54" s="9" t="s">
        <v>27</v>
      </c>
      <c r="E54" s="10" t="n">
        <v>1000</v>
      </c>
      <c r="F54" s="11" t="n">
        <v>90</v>
      </c>
      <c r="G54" s="12" t="n">
        <f aca="false">IFERROR(F54/E54,0)</f>
        <v>0.09</v>
      </c>
      <c r="H54" s="13" t="n">
        <f aca="false">COUNTIF(Ingredientes!$D:$D,C54)+COUNTIF('Bases madre'!$C:$C,C54)</f>
        <v>1</v>
      </c>
      <c r="I54" s="6"/>
    </row>
    <row r="55" customFormat="false" ht="15" hidden="false" customHeight="false" outlineLevel="0" collapsed="false">
      <c r="A55" s="9" t="s">
        <v>134</v>
      </c>
      <c r="B55" s="9" t="s">
        <v>135</v>
      </c>
      <c r="C55" s="9" t="s">
        <v>136</v>
      </c>
      <c r="D55" s="9" t="s">
        <v>27</v>
      </c>
      <c r="E55" s="10" t="n">
        <v>1000</v>
      </c>
      <c r="F55" s="11" t="n">
        <v>45</v>
      </c>
      <c r="G55" s="12" t="n">
        <f aca="false">IFERROR(F55/E55,0)</f>
        <v>0.045</v>
      </c>
      <c r="H55" s="13" t="n">
        <f aca="false">COUNTIF(Ingredientes!$D:$D,C55)+COUNTIF('Bases madre'!$C:$C,C55)</f>
        <v>15</v>
      </c>
      <c r="I55" s="6"/>
    </row>
    <row r="56" customFormat="false" ht="15" hidden="false" customHeight="false" outlineLevel="0" collapsed="false">
      <c r="A56" s="9" t="s">
        <v>137</v>
      </c>
      <c r="B56" s="9" t="s">
        <v>135</v>
      </c>
      <c r="C56" s="9" t="s">
        <v>138</v>
      </c>
      <c r="D56" s="9" t="s">
        <v>27</v>
      </c>
      <c r="E56" s="10" t="n">
        <v>1000</v>
      </c>
      <c r="F56" s="11" t="n">
        <v>40</v>
      </c>
      <c r="G56" s="12" t="n">
        <f aca="false">IFERROR(F56/E56,0)</f>
        <v>0.04</v>
      </c>
      <c r="H56" s="13" t="n">
        <f aca="false">COUNTIF(Ingredientes!$D:$D,C56)+COUNTIF('Bases madre'!$C:$C,C56)</f>
        <v>3</v>
      </c>
      <c r="I56" s="6"/>
    </row>
    <row r="57" customFormat="false" ht="15" hidden="false" customHeight="false" outlineLevel="0" collapsed="false">
      <c r="A57" s="9" t="s">
        <v>139</v>
      </c>
      <c r="B57" s="9" t="s">
        <v>135</v>
      </c>
      <c r="C57" s="9" t="s">
        <v>140</v>
      </c>
      <c r="D57" s="9" t="s">
        <v>27</v>
      </c>
      <c r="E57" s="10" t="n">
        <v>1000</v>
      </c>
      <c r="F57" s="11" t="n">
        <v>50</v>
      </c>
      <c r="G57" s="12" t="n">
        <f aca="false">IFERROR(F57/E57,0)</f>
        <v>0.05</v>
      </c>
      <c r="H57" s="13" t="n">
        <f aca="false">COUNTIF(Ingredientes!$D:$D,C57)+COUNTIF('Bases madre'!$C:$C,C57)</f>
        <v>4</v>
      </c>
      <c r="I57" s="6"/>
    </row>
    <row r="58" customFormat="false" ht="15" hidden="false" customHeight="false" outlineLevel="0" collapsed="false">
      <c r="A58" s="9" t="s">
        <v>141</v>
      </c>
      <c r="B58" s="9" t="s">
        <v>135</v>
      </c>
      <c r="C58" s="9" t="s">
        <v>142</v>
      </c>
      <c r="D58" s="9" t="s">
        <v>27</v>
      </c>
      <c r="E58" s="10" t="n">
        <v>1000</v>
      </c>
      <c r="F58" s="11" t="n">
        <v>90</v>
      </c>
      <c r="G58" s="12" t="n">
        <f aca="false">IFERROR(F58/E58,0)</f>
        <v>0.09</v>
      </c>
      <c r="H58" s="13" t="n">
        <f aca="false">COUNTIF(Ingredientes!$D:$D,C58)+COUNTIF('Bases madre'!$C:$C,C58)</f>
        <v>1</v>
      </c>
      <c r="I58" s="6"/>
    </row>
    <row r="59" customFormat="false" ht="15" hidden="false" customHeight="false" outlineLevel="0" collapsed="false">
      <c r="A59" s="9" t="s">
        <v>143</v>
      </c>
      <c r="B59" s="9" t="s">
        <v>144</v>
      </c>
      <c r="C59" s="9" t="s">
        <v>145</v>
      </c>
      <c r="D59" s="9" t="s">
        <v>27</v>
      </c>
      <c r="E59" s="10" t="n">
        <v>1000</v>
      </c>
      <c r="F59" s="11" t="n">
        <v>90</v>
      </c>
      <c r="G59" s="12" t="n">
        <f aca="false">IFERROR(F59/E59,0)</f>
        <v>0.09</v>
      </c>
      <c r="H59" s="13" t="n">
        <f aca="false">COUNTIF(Ingredientes!$D:$D,C59)+COUNTIF('Bases madre'!$C:$C,C59)</f>
        <v>1</v>
      </c>
      <c r="I59" s="6"/>
    </row>
    <row r="60" customFormat="false" ht="15" hidden="false" customHeight="false" outlineLevel="0" collapsed="false">
      <c r="A60" s="9" t="s">
        <v>146</v>
      </c>
      <c r="B60" s="9" t="s">
        <v>144</v>
      </c>
      <c r="C60" s="9" t="s">
        <v>147</v>
      </c>
      <c r="D60" s="9" t="s">
        <v>27</v>
      </c>
      <c r="E60" s="10" t="n">
        <v>1000</v>
      </c>
      <c r="F60" s="11" t="n">
        <v>70</v>
      </c>
      <c r="G60" s="12" t="n">
        <f aca="false">IFERROR(F60/E60,0)</f>
        <v>0.07</v>
      </c>
      <c r="H60" s="13" t="n">
        <f aca="false">COUNTIF(Ingredientes!$D:$D,C60)+COUNTIF('Bases madre'!$C:$C,C60)</f>
        <v>1</v>
      </c>
      <c r="I60" s="6"/>
    </row>
    <row r="61" customFormat="false" ht="15" hidden="false" customHeight="false" outlineLevel="0" collapsed="false">
      <c r="A61" s="9" t="s">
        <v>148</v>
      </c>
      <c r="B61" s="9" t="s">
        <v>144</v>
      </c>
      <c r="C61" s="9" t="s">
        <v>149</v>
      </c>
      <c r="D61" s="9" t="s">
        <v>27</v>
      </c>
      <c r="E61" s="10" t="n">
        <v>1000</v>
      </c>
      <c r="F61" s="11" t="n">
        <v>130</v>
      </c>
      <c r="G61" s="12" t="n">
        <f aca="false">IFERROR(F61/E61,0)</f>
        <v>0.13</v>
      </c>
      <c r="H61" s="13" t="n">
        <f aca="false">COUNTIF(Ingredientes!$D:$D,C61)+COUNTIF('Bases madre'!$C:$C,C61)</f>
        <v>1</v>
      </c>
      <c r="I61" s="6"/>
    </row>
    <row r="62" customFormat="false" ht="15" hidden="false" customHeight="false" outlineLevel="0" collapsed="false">
      <c r="A62" s="9" t="s">
        <v>150</v>
      </c>
      <c r="B62" s="9" t="s">
        <v>144</v>
      </c>
      <c r="C62" s="9" t="s">
        <v>151</v>
      </c>
      <c r="D62" s="9" t="s">
        <v>27</v>
      </c>
      <c r="E62" s="10" t="n">
        <v>1000</v>
      </c>
      <c r="F62" s="11" t="n">
        <v>220</v>
      </c>
      <c r="G62" s="12" t="n">
        <f aca="false">IFERROR(F62/E62,0)</f>
        <v>0.22</v>
      </c>
      <c r="H62" s="13" t="n">
        <f aca="false">COUNTIF(Ingredientes!$D:$D,C62)+COUNTIF('Bases madre'!$C:$C,C62)</f>
        <v>1</v>
      </c>
      <c r="I62" s="6"/>
    </row>
    <row r="63" customFormat="false" ht="15" hidden="false" customHeight="false" outlineLevel="0" collapsed="false">
      <c r="A63" s="9" t="s">
        <v>152</v>
      </c>
      <c r="B63" s="9" t="s">
        <v>153</v>
      </c>
      <c r="C63" s="9" t="s">
        <v>154</v>
      </c>
      <c r="D63" s="9" t="s">
        <v>27</v>
      </c>
      <c r="E63" s="10" t="n">
        <v>1000</v>
      </c>
      <c r="F63" s="11" t="n">
        <v>30</v>
      </c>
      <c r="G63" s="12" t="n">
        <f aca="false">IFERROR(F63/E63,0)</f>
        <v>0.03</v>
      </c>
      <c r="H63" s="13" t="n">
        <f aca="false">COUNTIF(Ingredientes!$D:$D,C63)+COUNTIF('Bases madre'!$C:$C,C63)</f>
        <v>1</v>
      </c>
      <c r="I63" s="6"/>
    </row>
    <row r="64" customFormat="false" ht="15" hidden="false" customHeight="false" outlineLevel="0" collapsed="false">
      <c r="A64" s="9" t="s">
        <v>155</v>
      </c>
      <c r="B64" s="9" t="s">
        <v>153</v>
      </c>
      <c r="C64" s="9" t="s">
        <v>156</v>
      </c>
      <c r="D64" s="9" t="s">
        <v>27</v>
      </c>
      <c r="E64" s="10" t="n">
        <v>1000</v>
      </c>
      <c r="F64" s="11" t="n">
        <v>45</v>
      </c>
      <c r="G64" s="12" t="n">
        <f aca="false">IFERROR(F64/E64,0)</f>
        <v>0.045</v>
      </c>
      <c r="H64" s="13" t="n">
        <f aca="false">COUNTIF(Ingredientes!$D:$D,C64)+COUNTIF('Bases madre'!$C:$C,C64)</f>
        <v>1</v>
      </c>
      <c r="I64" s="6"/>
    </row>
    <row r="65" customFormat="false" ht="15" hidden="false" customHeight="false" outlineLevel="0" collapsed="false">
      <c r="A65" s="9" t="s">
        <v>157</v>
      </c>
      <c r="B65" s="9" t="s">
        <v>153</v>
      </c>
      <c r="C65" s="9" t="s">
        <v>158</v>
      </c>
      <c r="D65" s="9" t="s">
        <v>27</v>
      </c>
      <c r="E65" s="10" t="n">
        <v>1000</v>
      </c>
      <c r="F65" s="11" t="n">
        <v>75</v>
      </c>
      <c r="G65" s="12" t="n">
        <f aca="false">IFERROR(F65/E65,0)</f>
        <v>0.075</v>
      </c>
      <c r="H65" s="13" t="n">
        <f aca="false">COUNTIF(Ingredientes!$D:$D,C65)+COUNTIF('Bases madre'!$C:$C,C65)</f>
        <v>1</v>
      </c>
      <c r="I65" s="6"/>
    </row>
    <row r="66" customFormat="false" ht="15" hidden="false" customHeight="false" outlineLevel="0" collapsed="false">
      <c r="A66" s="9" t="s">
        <v>159</v>
      </c>
      <c r="B66" s="9" t="s">
        <v>153</v>
      </c>
      <c r="C66" s="9" t="s">
        <v>160</v>
      </c>
      <c r="D66" s="9" t="s">
        <v>33</v>
      </c>
      <c r="E66" s="10" t="n">
        <v>1000</v>
      </c>
      <c r="F66" s="11" t="n">
        <v>70</v>
      </c>
      <c r="G66" s="12" t="n">
        <f aca="false">IFERROR(F66/E66,0)</f>
        <v>0.07</v>
      </c>
      <c r="H66" s="13" t="n">
        <f aca="false">COUNTIF(Ingredientes!$D:$D,C66)+COUNTIF('Bases madre'!$C:$C,C66)</f>
        <v>4</v>
      </c>
      <c r="I66" s="6"/>
    </row>
    <row r="67" customFormat="false" ht="15" hidden="false" customHeight="false" outlineLevel="0" collapsed="false">
      <c r="A67" s="9" t="s">
        <v>161</v>
      </c>
      <c r="B67" s="9" t="s">
        <v>153</v>
      </c>
      <c r="C67" s="9" t="s">
        <v>162</v>
      </c>
      <c r="D67" s="9" t="s">
        <v>33</v>
      </c>
      <c r="E67" s="10" t="n">
        <v>1000</v>
      </c>
      <c r="F67" s="11" t="n">
        <v>60</v>
      </c>
      <c r="G67" s="12" t="n">
        <f aca="false">IFERROR(F67/E67,0)</f>
        <v>0.06</v>
      </c>
      <c r="H67" s="13" t="n">
        <f aca="false">COUNTIF(Ingredientes!$D:$D,C67)+COUNTIF('Bases madre'!$C:$C,C67)</f>
        <v>2</v>
      </c>
      <c r="I67" s="6"/>
    </row>
    <row r="68" customFormat="false" ht="15" hidden="false" customHeight="false" outlineLevel="0" collapsed="false">
      <c r="A68" s="9" t="s">
        <v>163</v>
      </c>
      <c r="B68" s="9" t="s">
        <v>153</v>
      </c>
      <c r="C68" s="9" t="s">
        <v>164</v>
      </c>
      <c r="D68" s="9" t="s">
        <v>33</v>
      </c>
      <c r="E68" s="10" t="n">
        <v>1000</v>
      </c>
      <c r="F68" s="11" t="n">
        <v>40</v>
      </c>
      <c r="G68" s="12" t="n">
        <f aca="false">IFERROR(F68/E68,0)</f>
        <v>0.04</v>
      </c>
      <c r="H68" s="13" t="n">
        <f aca="false">COUNTIF(Ingredientes!$D:$D,C68)+COUNTIF('Bases madre'!$C:$C,C68)</f>
        <v>1</v>
      </c>
      <c r="I68" s="6"/>
    </row>
    <row r="69" customFormat="false" ht="15" hidden="false" customHeight="false" outlineLevel="0" collapsed="false">
      <c r="A69" s="9" t="s">
        <v>165</v>
      </c>
      <c r="B69" s="9" t="s">
        <v>153</v>
      </c>
      <c r="C69" s="9" t="s">
        <v>166</v>
      </c>
      <c r="D69" s="9" t="s">
        <v>27</v>
      </c>
      <c r="E69" s="10" t="n">
        <v>1000</v>
      </c>
      <c r="F69" s="11" t="n">
        <v>30</v>
      </c>
      <c r="G69" s="12" t="n">
        <f aca="false">IFERROR(F69/E69,0)</f>
        <v>0.03</v>
      </c>
      <c r="H69" s="13" t="n">
        <f aca="false">COUNTIF(Ingredientes!$D:$D,C69)+COUNTIF('Bases madre'!$C:$C,C69)</f>
        <v>3</v>
      </c>
      <c r="I69" s="6"/>
    </row>
    <row r="70" customFormat="false" ht="15" hidden="false" customHeight="false" outlineLevel="0" collapsed="false">
      <c r="A70" s="9" t="s">
        <v>167</v>
      </c>
      <c r="B70" s="9" t="s">
        <v>168</v>
      </c>
      <c r="C70" s="9" t="s">
        <v>169</v>
      </c>
      <c r="D70" s="9" t="s">
        <v>27</v>
      </c>
      <c r="E70" s="10" t="n">
        <v>1000</v>
      </c>
      <c r="F70" s="11" t="n">
        <v>60</v>
      </c>
      <c r="G70" s="12" t="n">
        <f aca="false">IFERROR(F70/E70,0)</f>
        <v>0.06</v>
      </c>
      <c r="H70" s="13" t="n">
        <f aca="false">COUNTIF(Ingredientes!$D:$D,C70)+COUNTIF('Bases madre'!$C:$C,C70)</f>
        <v>6</v>
      </c>
      <c r="I70" s="6"/>
    </row>
    <row r="71" customFormat="false" ht="15" hidden="false" customHeight="false" outlineLevel="0" collapsed="false">
      <c r="A71" s="9" t="s">
        <v>170</v>
      </c>
      <c r="B71" s="9" t="s">
        <v>168</v>
      </c>
      <c r="C71" s="9" t="s">
        <v>171</v>
      </c>
      <c r="D71" s="9" t="s">
        <v>27</v>
      </c>
      <c r="E71" s="10" t="n">
        <v>1000</v>
      </c>
      <c r="F71" s="11" t="n">
        <v>70</v>
      </c>
      <c r="G71" s="12" t="n">
        <f aca="false">IFERROR(F71/E71,0)</f>
        <v>0.07</v>
      </c>
      <c r="H71" s="13" t="n">
        <f aca="false">COUNTIF(Ingredientes!$D:$D,C71)+COUNTIF('Bases madre'!$C:$C,C71)</f>
        <v>4</v>
      </c>
      <c r="I71" s="6"/>
    </row>
    <row r="72" customFormat="false" ht="15" hidden="false" customHeight="false" outlineLevel="0" collapsed="false">
      <c r="A72" s="9" t="s">
        <v>172</v>
      </c>
      <c r="B72" s="9" t="s">
        <v>168</v>
      </c>
      <c r="C72" s="9" t="s">
        <v>173</v>
      </c>
      <c r="D72" s="9" t="s">
        <v>27</v>
      </c>
      <c r="E72" s="10" t="n">
        <v>1000</v>
      </c>
      <c r="F72" s="11" t="n">
        <v>90</v>
      </c>
      <c r="G72" s="12" t="n">
        <f aca="false">IFERROR(F72/E72,0)</f>
        <v>0.09</v>
      </c>
      <c r="H72" s="13" t="n">
        <f aca="false">COUNTIF(Ingredientes!$D:$D,C72)+COUNTIF('Bases madre'!$C:$C,C72)</f>
        <v>1</v>
      </c>
      <c r="I72" s="6"/>
    </row>
    <row r="73" customFormat="false" ht="15" hidden="false" customHeight="false" outlineLevel="0" collapsed="false">
      <c r="A73" s="9" t="s">
        <v>174</v>
      </c>
      <c r="B73" s="9" t="s">
        <v>168</v>
      </c>
      <c r="C73" s="9" t="s">
        <v>175</v>
      </c>
      <c r="D73" s="9" t="s">
        <v>176</v>
      </c>
      <c r="E73" s="10" t="n">
        <v>10</v>
      </c>
      <c r="F73" s="11" t="n">
        <v>25</v>
      </c>
      <c r="G73" s="12" t="n">
        <f aca="false">IFERROR(F73/E73,0)</f>
        <v>2.5</v>
      </c>
      <c r="H73" s="13" t="n">
        <f aca="false">COUNTIF(Ingredientes!$D:$D,C73)+COUNTIF('Bases madre'!$C:$C,C73)</f>
        <v>2</v>
      </c>
      <c r="I73" s="6"/>
    </row>
    <row r="74" customFormat="false" ht="15" hidden="false" customHeight="false" outlineLevel="0" collapsed="false">
      <c r="A74" s="9" t="s">
        <v>177</v>
      </c>
      <c r="B74" s="9" t="s">
        <v>168</v>
      </c>
      <c r="C74" s="9" t="s">
        <v>178</v>
      </c>
      <c r="D74" s="9" t="s">
        <v>27</v>
      </c>
      <c r="E74" s="10" t="n">
        <v>1000</v>
      </c>
      <c r="F74" s="11" t="n">
        <v>250</v>
      </c>
      <c r="G74" s="12" t="n">
        <f aca="false">IFERROR(F74/E74,0)</f>
        <v>0.25</v>
      </c>
      <c r="H74" s="13" t="n">
        <f aca="false">COUNTIF(Ingredientes!$D:$D,C74)+COUNTIF('Bases madre'!$C:$C,C74)</f>
        <v>1</v>
      </c>
      <c r="I74" s="6"/>
    </row>
    <row r="75" customFormat="false" ht="15" hidden="false" customHeight="false" outlineLevel="0" collapsed="false">
      <c r="A75" s="9" t="s">
        <v>179</v>
      </c>
      <c r="B75" s="9" t="s">
        <v>180</v>
      </c>
      <c r="C75" s="9" t="s">
        <v>181</v>
      </c>
      <c r="D75" s="9" t="s">
        <v>27</v>
      </c>
      <c r="E75" s="10" t="n">
        <v>1000</v>
      </c>
      <c r="F75" s="11" t="n">
        <v>240</v>
      </c>
      <c r="G75" s="12" t="n">
        <f aca="false">IFERROR(F75/E75,0)</f>
        <v>0.24</v>
      </c>
      <c r="H75" s="13" t="n">
        <f aca="false">COUNTIF(Ingredientes!$D:$D,C75)+COUNTIF('Bases madre'!$C:$C,C75)</f>
        <v>18</v>
      </c>
      <c r="I75" s="6"/>
    </row>
    <row r="76" customFormat="false" ht="15" hidden="false" customHeight="false" outlineLevel="0" collapsed="false">
      <c r="A76" s="9" t="s">
        <v>182</v>
      </c>
      <c r="B76" s="9" t="s">
        <v>180</v>
      </c>
      <c r="C76" s="9" t="s">
        <v>183</v>
      </c>
      <c r="D76" s="9" t="s">
        <v>27</v>
      </c>
      <c r="E76" s="10" t="n">
        <v>1000</v>
      </c>
      <c r="F76" s="11" t="n">
        <v>280</v>
      </c>
      <c r="G76" s="12" t="n">
        <f aca="false">IFERROR(F76/E76,0)</f>
        <v>0.28</v>
      </c>
      <c r="H76" s="13" t="n">
        <f aca="false">COUNTIF(Ingredientes!$D:$D,C76)+COUNTIF('Bases madre'!$C:$C,C76)</f>
        <v>10</v>
      </c>
      <c r="I76" s="6"/>
    </row>
    <row r="77" customFormat="false" ht="15" hidden="false" customHeight="false" outlineLevel="0" collapsed="false">
      <c r="A77" s="9" t="s">
        <v>184</v>
      </c>
      <c r="B77" s="9" t="s">
        <v>180</v>
      </c>
      <c r="C77" s="9" t="s">
        <v>185</v>
      </c>
      <c r="D77" s="9" t="s">
        <v>27</v>
      </c>
      <c r="E77" s="10" t="n">
        <v>1000</v>
      </c>
      <c r="F77" s="11" t="n">
        <v>300</v>
      </c>
      <c r="G77" s="12" t="n">
        <f aca="false">IFERROR(F77/E77,0)</f>
        <v>0.3</v>
      </c>
      <c r="H77" s="13" t="n">
        <f aca="false">COUNTIF(Ingredientes!$D:$D,C77)+COUNTIF('Bases madre'!$C:$C,C77)</f>
        <v>6</v>
      </c>
      <c r="I77" s="6"/>
    </row>
    <row r="78" customFormat="false" ht="15" hidden="false" customHeight="false" outlineLevel="0" collapsed="false">
      <c r="A78" s="9" t="s">
        <v>186</v>
      </c>
      <c r="B78" s="9" t="s">
        <v>180</v>
      </c>
      <c r="C78" s="9" t="s">
        <v>187</v>
      </c>
      <c r="D78" s="9" t="s">
        <v>27</v>
      </c>
      <c r="E78" s="10" t="n">
        <v>1000</v>
      </c>
      <c r="F78" s="11" t="n">
        <v>320</v>
      </c>
      <c r="G78" s="12" t="n">
        <f aca="false">IFERROR(F78/E78,0)</f>
        <v>0.32</v>
      </c>
      <c r="H78" s="13" t="n">
        <f aca="false">COUNTIF(Ingredientes!$D:$D,C78)+COUNTIF('Bases madre'!$C:$C,C78)</f>
        <v>5</v>
      </c>
      <c r="I78" s="6"/>
    </row>
    <row r="79" customFormat="false" ht="15" hidden="false" customHeight="false" outlineLevel="0" collapsed="false">
      <c r="A79" s="9" t="s">
        <v>188</v>
      </c>
      <c r="B79" s="9" t="s">
        <v>180</v>
      </c>
      <c r="C79" s="9" t="s">
        <v>189</v>
      </c>
      <c r="D79" s="9" t="s">
        <v>27</v>
      </c>
      <c r="E79" s="10" t="n">
        <v>1000</v>
      </c>
      <c r="F79" s="11" t="n">
        <v>380</v>
      </c>
      <c r="G79" s="12" t="n">
        <f aca="false">IFERROR(F79/E79,0)</f>
        <v>0.38</v>
      </c>
      <c r="H79" s="13" t="n">
        <f aca="false">COUNTIF(Ingredientes!$D:$D,C79)+COUNTIF('Bases madre'!$C:$C,C79)</f>
        <v>3</v>
      </c>
      <c r="I79" s="6"/>
    </row>
    <row r="80" customFormat="false" ht="15" hidden="false" customHeight="false" outlineLevel="0" collapsed="false">
      <c r="A80" s="9" t="s">
        <v>190</v>
      </c>
      <c r="B80" s="9" t="s">
        <v>180</v>
      </c>
      <c r="C80" s="9" t="s">
        <v>191</v>
      </c>
      <c r="D80" s="9" t="s">
        <v>27</v>
      </c>
      <c r="E80" s="10" t="n">
        <v>1000</v>
      </c>
      <c r="F80" s="11" t="n">
        <v>320</v>
      </c>
      <c r="G80" s="12" t="n">
        <f aca="false">IFERROR(F80/E80,0)</f>
        <v>0.32</v>
      </c>
      <c r="H80" s="13" t="n">
        <f aca="false">COUNTIF(Ingredientes!$D:$D,C80)+COUNTIF('Bases madre'!$C:$C,C80)</f>
        <v>2</v>
      </c>
      <c r="I80" s="6"/>
    </row>
    <row r="81" customFormat="false" ht="15" hidden="false" customHeight="false" outlineLevel="0" collapsed="false">
      <c r="A81" s="9" t="s">
        <v>192</v>
      </c>
      <c r="B81" s="9" t="s">
        <v>180</v>
      </c>
      <c r="C81" s="9" t="s">
        <v>193</v>
      </c>
      <c r="D81" s="9" t="s">
        <v>27</v>
      </c>
      <c r="E81" s="10" t="n">
        <v>1000</v>
      </c>
      <c r="F81" s="11" t="n">
        <v>250</v>
      </c>
      <c r="G81" s="12" t="n">
        <f aca="false">IFERROR(F81/E81,0)</f>
        <v>0.25</v>
      </c>
      <c r="H81" s="13" t="n">
        <f aca="false">COUNTIF(Ingredientes!$D:$D,C81)+COUNTIF('Bases madre'!$C:$C,C81)</f>
        <v>3</v>
      </c>
      <c r="I81" s="6"/>
    </row>
    <row r="82" customFormat="false" ht="15" hidden="false" customHeight="false" outlineLevel="0" collapsed="false">
      <c r="A82" s="9" t="s">
        <v>194</v>
      </c>
      <c r="B82" s="9" t="s">
        <v>180</v>
      </c>
      <c r="C82" s="9" t="s">
        <v>195</v>
      </c>
      <c r="D82" s="9" t="s">
        <v>27</v>
      </c>
      <c r="E82" s="10" t="n">
        <v>215</v>
      </c>
      <c r="F82" s="11" t="n">
        <v>28</v>
      </c>
      <c r="G82" s="12" t="n">
        <f aca="false">IFERROR(F82/E82,0)</f>
        <v>0.130232558139535</v>
      </c>
      <c r="H82" s="13" t="n">
        <f aca="false">COUNTIF(Ingredientes!$D:$D,C82)+COUNTIF('Bases madre'!$C:$C,C82)</f>
        <v>1</v>
      </c>
      <c r="I82" s="6"/>
    </row>
    <row r="83" customFormat="false" ht="15" hidden="false" customHeight="false" outlineLevel="0" collapsed="false">
      <c r="A83" s="9" t="s">
        <v>196</v>
      </c>
      <c r="B83" s="9" t="s">
        <v>197</v>
      </c>
      <c r="C83" s="9" t="s">
        <v>198</v>
      </c>
      <c r="D83" s="9" t="s">
        <v>27</v>
      </c>
      <c r="E83" s="10" t="n">
        <v>1000</v>
      </c>
      <c r="F83" s="11" t="n">
        <v>35</v>
      </c>
      <c r="G83" s="12" t="n">
        <f aca="false">IFERROR(F83/E83,0)</f>
        <v>0.035</v>
      </c>
      <c r="H83" s="13" t="n">
        <f aca="false">COUNTIF(Ingredientes!$D:$D,C83)+COUNTIF('Bases madre'!$C:$C,C83)</f>
        <v>50</v>
      </c>
      <c r="I83" s="6"/>
    </row>
    <row r="84" customFormat="false" ht="15" hidden="false" customHeight="false" outlineLevel="0" collapsed="false">
      <c r="A84" s="9" t="s">
        <v>199</v>
      </c>
      <c r="B84" s="9" t="s">
        <v>197</v>
      </c>
      <c r="C84" s="9" t="s">
        <v>200</v>
      </c>
      <c r="D84" s="9" t="s">
        <v>27</v>
      </c>
      <c r="E84" s="10" t="n">
        <v>1000</v>
      </c>
      <c r="F84" s="11" t="n">
        <v>450</v>
      </c>
      <c r="G84" s="12" t="n">
        <f aca="false">IFERROR(F84/E84,0)</f>
        <v>0.45</v>
      </c>
      <c r="H84" s="13" t="n">
        <f aca="false">COUNTIF(Ingredientes!$D:$D,C84)+COUNTIF('Bases madre'!$C:$C,C84)</f>
        <v>12</v>
      </c>
      <c r="I84" s="6"/>
    </row>
    <row r="85" customFormat="false" ht="15" hidden="false" customHeight="false" outlineLevel="0" collapsed="false">
      <c r="A85" s="9" t="s">
        <v>201</v>
      </c>
      <c r="B85" s="9" t="s">
        <v>197</v>
      </c>
      <c r="C85" s="9" t="s">
        <v>202</v>
      </c>
      <c r="D85" s="9" t="s">
        <v>27</v>
      </c>
      <c r="E85" s="10" t="n">
        <v>1000</v>
      </c>
      <c r="F85" s="11" t="n">
        <v>380</v>
      </c>
      <c r="G85" s="12" t="n">
        <f aca="false">IFERROR(F85/E85,0)</f>
        <v>0.38</v>
      </c>
      <c r="H85" s="13" t="n">
        <f aca="false">COUNTIF(Ingredientes!$D:$D,C85)+COUNTIF('Bases madre'!$C:$C,C85)</f>
        <v>10</v>
      </c>
      <c r="I85" s="6"/>
    </row>
    <row r="86" customFormat="false" ht="15" hidden="false" customHeight="false" outlineLevel="0" collapsed="false">
      <c r="A86" s="9" t="s">
        <v>203</v>
      </c>
      <c r="B86" s="9" t="s">
        <v>197</v>
      </c>
      <c r="C86" s="9" t="s">
        <v>204</v>
      </c>
      <c r="D86" s="9" t="s">
        <v>27</v>
      </c>
      <c r="E86" s="10" t="n">
        <v>1000</v>
      </c>
      <c r="F86" s="11" t="n">
        <v>300</v>
      </c>
      <c r="G86" s="12" t="n">
        <f aca="false">IFERROR(F86/E86,0)</f>
        <v>0.3</v>
      </c>
      <c r="H86" s="13" t="n">
        <f aca="false">COUNTIF(Ingredientes!$D:$D,C86)+COUNTIF('Bases madre'!$C:$C,C86)</f>
        <v>15</v>
      </c>
      <c r="I86" s="6"/>
    </row>
    <row r="87" customFormat="false" ht="15" hidden="false" customHeight="false" outlineLevel="0" collapsed="false">
      <c r="A87" s="9" t="s">
        <v>205</v>
      </c>
      <c r="B87" s="9" t="s">
        <v>197</v>
      </c>
      <c r="C87" s="9" t="s">
        <v>206</v>
      </c>
      <c r="D87" s="9" t="s">
        <v>27</v>
      </c>
      <c r="E87" s="10" t="n">
        <v>1000</v>
      </c>
      <c r="F87" s="11" t="n">
        <v>400</v>
      </c>
      <c r="G87" s="12" t="n">
        <f aca="false">IFERROR(F87/E87,0)</f>
        <v>0.4</v>
      </c>
      <c r="H87" s="13" t="n">
        <f aca="false">COUNTIF(Ingredientes!$D:$D,C87)+COUNTIF('Bases madre'!$C:$C,C87)</f>
        <v>13</v>
      </c>
      <c r="I87" s="6"/>
    </row>
    <row r="88" customFormat="false" ht="15" hidden="false" customHeight="false" outlineLevel="0" collapsed="false">
      <c r="A88" s="9" t="s">
        <v>207</v>
      </c>
      <c r="B88" s="9" t="s">
        <v>197</v>
      </c>
      <c r="C88" s="9" t="s">
        <v>208</v>
      </c>
      <c r="D88" s="9" t="s">
        <v>27</v>
      </c>
      <c r="E88" s="10" t="n">
        <v>1000</v>
      </c>
      <c r="F88" s="11" t="n">
        <v>900</v>
      </c>
      <c r="G88" s="12" t="n">
        <f aca="false">IFERROR(F88/E88,0)</f>
        <v>0.9</v>
      </c>
      <c r="H88" s="13" t="n">
        <f aca="false">COUNTIF(Ingredientes!$D:$D,C88)+COUNTIF('Bases madre'!$C:$C,C88)</f>
        <v>8</v>
      </c>
      <c r="I88" s="6"/>
    </row>
    <row r="89" customFormat="false" ht="15" hidden="false" customHeight="false" outlineLevel="0" collapsed="false">
      <c r="A89" s="9" t="s">
        <v>209</v>
      </c>
      <c r="B89" s="9" t="s">
        <v>197</v>
      </c>
      <c r="C89" s="9" t="s">
        <v>210</v>
      </c>
      <c r="D89" s="9" t="s">
        <v>27</v>
      </c>
      <c r="E89" s="10" t="n">
        <v>1000</v>
      </c>
      <c r="F89" s="11" t="n">
        <v>450</v>
      </c>
      <c r="G89" s="12" t="n">
        <f aca="false">IFERROR(F89/E89,0)</f>
        <v>0.45</v>
      </c>
      <c r="H89" s="13" t="n">
        <f aca="false">COUNTIF(Ingredientes!$D:$D,C89)+COUNTIF('Bases madre'!$C:$C,C89)</f>
        <v>5</v>
      </c>
      <c r="I89" s="6"/>
    </row>
    <row r="90" customFormat="false" ht="15" hidden="false" customHeight="false" outlineLevel="0" collapsed="false">
      <c r="A90" s="9" t="s">
        <v>211</v>
      </c>
      <c r="B90" s="9" t="s">
        <v>197</v>
      </c>
      <c r="C90" s="9" t="s">
        <v>212</v>
      </c>
      <c r="D90" s="9" t="s">
        <v>27</v>
      </c>
      <c r="E90" s="10" t="n">
        <v>1000</v>
      </c>
      <c r="F90" s="11" t="n">
        <v>450</v>
      </c>
      <c r="G90" s="12" t="n">
        <f aca="false">IFERROR(F90/E90,0)</f>
        <v>0.45</v>
      </c>
      <c r="H90" s="13" t="n">
        <f aca="false">COUNTIF(Ingredientes!$D:$D,C90)+COUNTIF('Bases madre'!$C:$C,C90)</f>
        <v>6</v>
      </c>
      <c r="I90" s="6"/>
    </row>
    <row r="91" customFormat="false" ht="15" hidden="false" customHeight="false" outlineLevel="0" collapsed="false">
      <c r="A91" s="9" t="s">
        <v>213</v>
      </c>
      <c r="B91" s="9" t="s">
        <v>197</v>
      </c>
      <c r="C91" s="9" t="s">
        <v>214</v>
      </c>
      <c r="D91" s="9" t="s">
        <v>27</v>
      </c>
      <c r="E91" s="10" t="n">
        <v>1000</v>
      </c>
      <c r="F91" s="11" t="n">
        <v>900</v>
      </c>
      <c r="G91" s="12" t="n">
        <f aca="false">IFERROR(F91/E91,0)</f>
        <v>0.9</v>
      </c>
      <c r="H91" s="13" t="n">
        <f aca="false">COUNTIF(Ingredientes!$D:$D,C91)+COUNTIF('Bases madre'!$C:$C,C91)</f>
        <v>1</v>
      </c>
      <c r="I91" s="6"/>
    </row>
    <row r="92" customFormat="false" ht="15" hidden="false" customHeight="false" outlineLevel="0" collapsed="false">
      <c r="A92" s="9" t="s">
        <v>215</v>
      </c>
      <c r="B92" s="9" t="s">
        <v>197</v>
      </c>
      <c r="C92" s="9" t="s">
        <v>216</v>
      </c>
      <c r="D92" s="9" t="s">
        <v>27</v>
      </c>
      <c r="E92" s="10" t="n">
        <v>1000</v>
      </c>
      <c r="F92" s="11" t="n">
        <v>400</v>
      </c>
      <c r="G92" s="12" t="n">
        <f aca="false">IFERROR(F92/E92,0)</f>
        <v>0.4</v>
      </c>
      <c r="H92" s="13" t="n">
        <f aca="false">COUNTIF(Ingredientes!$D:$D,C92)+COUNTIF('Bases madre'!$C:$C,C92)</f>
        <v>2</v>
      </c>
      <c r="I92" s="6"/>
    </row>
    <row r="93" customFormat="false" ht="15" hidden="false" customHeight="false" outlineLevel="0" collapsed="false">
      <c r="A93" s="9" t="s">
        <v>217</v>
      </c>
      <c r="B93" s="9" t="s">
        <v>197</v>
      </c>
      <c r="C93" s="9" t="s">
        <v>218</v>
      </c>
      <c r="D93" s="9" t="s">
        <v>27</v>
      </c>
      <c r="E93" s="10" t="n">
        <v>1000</v>
      </c>
      <c r="F93" s="11" t="n">
        <v>60</v>
      </c>
      <c r="G93" s="12" t="n">
        <f aca="false">IFERROR(F93/E93,0)</f>
        <v>0.06</v>
      </c>
      <c r="H93" s="13" t="n">
        <f aca="false">COUNTIF(Ingredientes!$D:$D,C93)+COUNTIF('Bases madre'!$C:$C,C93)</f>
        <v>1</v>
      </c>
      <c r="I93" s="6"/>
    </row>
    <row r="94" customFormat="false" ht="15" hidden="false" customHeight="false" outlineLevel="0" collapsed="false">
      <c r="A94" s="9" t="s">
        <v>219</v>
      </c>
      <c r="B94" s="9" t="s">
        <v>220</v>
      </c>
      <c r="C94" s="9" t="s">
        <v>221</v>
      </c>
      <c r="D94" s="9" t="s">
        <v>27</v>
      </c>
      <c r="E94" s="10" t="n">
        <v>1000</v>
      </c>
      <c r="F94" s="11" t="n">
        <v>200</v>
      </c>
      <c r="G94" s="12" t="n">
        <f aca="false">IFERROR(F94/E94,0)</f>
        <v>0.2</v>
      </c>
      <c r="H94" s="13" t="n">
        <f aca="false">COUNTIF(Ingredientes!$D:$D,C94)+COUNTIF('Bases madre'!$C:$C,C94)</f>
        <v>2</v>
      </c>
      <c r="I94" s="6"/>
    </row>
    <row r="95" customFormat="false" ht="15" hidden="false" customHeight="false" outlineLevel="0" collapsed="false">
      <c r="A95" s="9" t="s">
        <v>222</v>
      </c>
      <c r="B95" s="9" t="s">
        <v>220</v>
      </c>
      <c r="C95" s="9" t="s">
        <v>223</v>
      </c>
      <c r="D95" s="9" t="s">
        <v>27</v>
      </c>
      <c r="E95" s="10" t="n">
        <v>1000</v>
      </c>
      <c r="F95" s="11" t="n">
        <v>260</v>
      </c>
      <c r="G95" s="12" t="n">
        <f aca="false">IFERROR(F95/E95,0)</f>
        <v>0.26</v>
      </c>
      <c r="H95" s="13" t="n">
        <f aca="false">COUNTIF(Ingredientes!$D:$D,C95)+COUNTIF('Bases madre'!$C:$C,C95)</f>
        <v>2</v>
      </c>
      <c r="I95" s="6"/>
    </row>
    <row r="96" customFormat="false" ht="15" hidden="false" customHeight="false" outlineLevel="0" collapsed="false">
      <c r="A96" s="9" t="s">
        <v>224</v>
      </c>
      <c r="B96" s="9" t="s">
        <v>220</v>
      </c>
      <c r="C96" s="9" t="s">
        <v>225</v>
      </c>
      <c r="D96" s="9" t="s">
        <v>27</v>
      </c>
      <c r="E96" s="10" t="n">
        <v>1000</v>
      </c>
      <c r="F96" s="11" t="n">
        <v>110</v>
      </c>
      <c r="G96" s="12" t="n">
        <f aca="false">IFERROR(F96/E96,0)</f>
        <v>0.11</v>
      </c>
      <c r="H96" s="13" t="n">
        <f aca="false">COUNTIF(Ingredientes!$D:$D,C96)+COUNTIF('Bases madre'!$C:$C,C96)</f>
        <v>1</v>
      </c>
      <c r="I96" s="6"/>
    </row>
    <row r="97" customFormat="false" ht="15" hidden="false" customHeight="false" outlineLevel="0" collapsed="false">
      <c r="A97" s="9" t="s">
        <v>226</v>
      </c>
      <c r="B97" s="9" t="s">
        <v>220</v>
      </c>
      <c r="C97" s="9" t="s">
        <v>227</v>
      </c>
      <c r="D97" s="9" t="s">
        <v>27</v>
      </c>
      <c r="E97" s="10" t="n">
        <v>1000</v>
      </c>
      <c r="F97" s="11" t="n">
        <v>260</v>
      </c>
      <c r="G97" s="12" t="n">
        <f aca="false">IFERROR(F97/E97,0)</f>
        <v>0.26</v>
      </c>
      <c r="H97" s="13" t="n">
        <f aca="false">COUNTIF(Ingredientes!$D:$D,C97)+COUNTIF('Bases madre'!$C:$C,C97)</f>
        <v>1</v>
      </c>
      <c r="I97" s="6"/>
    </row>
    <row r="98" customFormat="false" ht="15" hidden="false" customHeight="false" outlineLevel="0" collapsed="false">
      <c r="A98" s="9" t="s">
        <v>228</v>
      </c>
      <c r="B98" s="9" t="s">
        <v>220</v>
      </c>
      <c r="C98" s="9" t="s">
        <v>229</v>
      </c>
      <c r="D98" s="9" t="s">
        <v>27</v>
      </c>
      <c r="E98" s="10" t="n">
        <v>1000</v>
      </c>
      <c r="F98" s="11" t="n">
        <v>220</v>
      </c>
      <c r="G98" s="12" t="n">
        <f aca="false">IFERROR(F98/E98,0)</f>
        <v>0.22</v>
      </c>
      <c r="H98" s="13" t="n">
        <f aca="false">COUNTIF(Ingredientes!$D:$D,C98)+COUNTIF('Bases madre'!$C:$C,C98)</f>
        <v>1</v>
      </c>
      <c r="I98" s="6"/>
    </row>
    <row r="99" customFormat="false" ht="15" hidden="false" customHeight="false" outlineLevel="0" collapsed="false">
      <c r="A99" s="9" t="s">
        <v>230</v>
      </c>
      <c r="B99" s="9" t="s">
        <v>220</v>
      </c>
      <c r="C99" s="9" t="s">
        <v>231</v>
      </c>
      <c r="D99" s="9" t="s">
        <v>27</v>
      </c>
      <c r="E99" s="10" t="n">
        <v>1000</v>
      </c>
      <c r="F99" s="11" t="n">
        <v>45</v>
      </c>
      <c r="G99" s="12" t="n">
        <f aca="false">IFERROR(F99/E99,0)</f>
        <v>0.045</v>
      </c>
      <c r="H99" s="13" t="n">
        <f aca="false">COUNTIF(Ingredientes!$D:$D,C99)+COUNTIF('Bases madre'!$C:$C,C99)</f>
        <v>5</v>
      </c>
      <c r="I99" s="6"/>
    </row>
    <row r="100" customFormat="false" ht="15" hidden="false" customHeight="false" outlineLevel="0" collapsed="false">
      <c r="A100" s="9" t="s">
        <v>232</v>
      </c>
      <c r="B100" s="9" t="s">
        <v>233</v>
      </c>
      <c r="C100" s="9" t="s">
        <v>234</v>
      </c>
      <c r="D100" s="9" t="s">
        <v>27</v>
      </c>
      <c r="E100" s="10" t="n">
        <v>1000</v>
      </c>
      <c r="F100" s="11" t="n">
        <v>42</v>
      </c>
      <c r="G100" s="12" t="n">
        <f aca="false">IFERROR(F100/E100,0)</f>
        <v>0.042</v>
      </c>
      <c r="H100" s="13" t="n">
        <f aca="false">COUNTIF(Ingredientes!$D:$D,C100)+COUNTIF('Bases madre'!$C:$C,C100)</f>
        <v>3</v>
      </c>
      <c r="I100" s="6"/>
    </row>
    <row r="101" customFormat="false" ht="15" hidden="false" customHeight="false" outlineLevel="0" collapsed="false">
      <c r="A101" s="9" t="s">
        <v>235</v>
      </c>
      <c r="B101" s="9" t="s">
        <v>233</v>
      </c>
      <c r="C101" s="9" t="s">
        <v>236</v>
      </c>
      <c r="D101" s="9" t="s">
        <v>27</v>
      </c>
      <c r="E101" s="10" t="n">
        <v>1000</v>
      </c>
      <c r="F101" s="11" t="n">
        <v>45</v>
      </c>
      <c r="G101" s="12" t="n">
        <f aca="false">IFERROR(F101/E101,0)</f>
        <v>0.045</v>
      </c>
      <c r="H101" s="13" t="n">
        <f aca="false">COUNTIF(Ingredientes!$D:$D,C101)+COUNTIF('Bases madre'!$C:$C,C101)</f>
        <v>3</v>
      </c>
      <c r="I101" s="6"/>
    </row>
    <row r="102" customFormat="false" ht="15" hidden="false" customHeight="false" outlineLevel="0" collapsed="false">
      <c r="A102" s="9" t="s">
        <v>237</v>
      </c>
      <c r="B102" s="9" t="s">
        <v>238</v>
      </c>
      <c r="C102" s="9" t="s">
        <v>239</v>
      </c>
      <c r="D102" s="9" t="s">
        <v>33</v>
      </c>
      <c r="E102" s="10" t="n">
        <v>1000</v>
      </c>
      <c r="F102" s="11" t="n">
        <v>50</v>
      </c>
      <c r="G102" s="12" t="n">
        <f aca="false">IFERROR(F102/E102,0)</f>
        <v>0.05</v>
      </c>
      <c r="H102" s="13" t="n">
        <f aca="false">COUNTIF(Ingredientes!$D:$D,C102)+COUNTIF('Bases madre'!$C:$C,C102)</f>
        <v>3</v>
      </c>
      <c r="I102" s="6"/>
    </row>
    <row r="103" customFormat="false" ht="15" hidden="false" customHeight="false" outlineLevel="0" collapsed="false">
      <c r="A103" s="9" t="s">
        <v>240</v>
      </c>
      <c r="B103" s="9" t="s">
        <v>238</v>
      </c>
      <c r="C103" s="9" t="s">
        <v>241</v>
      </c>
      <c r="D103" s="9" t="s">
        <v>33</v>
      </c>
      <c r="E103" s="10" t="n">
        <v>1000</v>
      </c>
      <c r="F103" s="11" t="n">
        <v>25</v>
      </c>
      <c r="G103" s="12" t="n">
        <f aca="false">IFERROR(F103/E103,0)</f>
        <v>0.025</v>
      </c>
      <c r="H103" s="13" t="n">
        <f aca="false">COUNTIF(Ingredientes!$D:$D,C103)+COUNTIF('Bases madre'!$C:$C,C103)</f>
        <v>1</v>
      </c>
      <c r="I103" s="6"/>
    </row>
    <row r="104" customFormat="false" ht="15" hidden="false" customHeight="false" outlineLevel="0" collapsed="false">
      <c r="A104" s="9" t="s">
        <v>242</v>
      </c>
      <c r="B104" s="9" t="s">
        <v>238</v>
      </c>
      <c r="C104" s="9" t="s">
        <v>243</v>
      </c>
      <c r="D104" s="9" t="s">
        <v>33</v>
      </c>
      <c r="E104" s="10" t="n">
        <v>1000</v>
      </c>
      <c r="F104" s="11" t="n">
        <v>60</v>
      </c>
      <c r="G104" s="12" t="n">
        <f aca="false">IFERROR(F104/E104,0)</f>
        <v>0.06</v>
      </c>
      <c r="H104" s="13" t="n">
        <f aca="false">COUNTIF(Ingredientes!$D:$D,C104)+COUNTIF('Bases madre'!$C:$C,C104)</f>
        <v>1</v>
      </c>
      <c r="I104" s="6"/>
    </row>
    <row r="105" customFormat="false" ht="15" hidden="false" customHeight="false" outlineLevel="0" collapsed="false">
      <c r="A105" s="9" t="s">
        <v>244</v>
      </c>
      <c r="B105" s="9" t="s">
        <v>238</v>
      </c>
      <c r="C105" s="9" t="s">
        <v>245</v>
      </c>
      <c r="D105" s="9" t="s">
        <v>33</v>
      </c>
      <c r="E105" s="10" t="n">
        <v>100</v>
      </c>
      <c r="F105" s="11" t="n">
        <v>40</v>
      </c>
      <c r="G105" s="12" t="n">
        <f aca="false">IFERROR(F105/E105,0)</f>
        <v>0.4</v>
      </c>
      <c r="H105" s="13" t="n">
        <f aca="false">COUNTIF(Ingredientes!$D:$D,C105)+COUNTIF('Bases madre'!$C:$C,C105)</f>
        <v>1</v>
      </c>
      <c r="I105" s="6"/>
    </row>
    <row r="106" customFormat="false" ht="15" hidden="false" customHeight="false" outlineLevel="0" collapsed="false">
      <c r="A106" s="9" t="s">
        <v>246</v>
      </c>
      <c r="B106" s="9" t="s">
        <v>238</v>
      </c>
      <c r="C106" s="9" t="s">
        <v>247</v>
      </c>
      <c r="D106" s="9" t="s">
        <v>33</v>
      </c>
      <c r="E106" s="10" t="n">
        <v>145</v>
      </c>
      <c r="F106" s="11" t="n">
        <v>38</v>
      </c>
      <c r="G106" s="12" t="n">
        <f aca="false">IFERROR(F106/E106,0)</f>
        <v>0.262068965517241</v>
      </c>
      <c r="H106" s="13" t="n">
        <f aca="false">COUNTIF(Ingredientes!$D:$D,C106)+COUNTIF('Bases madre'!$C:$C,C106)</f>
        <v>1</v>
      </c>
      <c r="I106" s="6"/>
    </row>
    <row r="107" customFormat="false" ht="15" hidden="false" customHeight="false" outlineLevel="0" collapsed="false">
      <c r="A107" s="9" t="s">
        <v>248</v>
      </c>
      <c r="B107" s="9" t="s">
        <v>238</v>
      </c>
      <c r="C107" s="9" t="s">
        <v>249</v>
      </c>
      <c r="D107" s="9" t="s">
        <v>33</v>
      </c>
      <c r="E107" s="10" t="n">
        <v>355</v>
      </c>
      <c r="F107" s="11" t="n">
        <v>45</v>
      </c>
      <c r="G107" s="12" t="n">
        <f aca="false">IFERROR(F107/E107,0)</f>
        <v>0.126760563380282</v>
      </c>
      <c r="H107" s="13" t="n">
        <f aca="false">COUNTIF(Ingredientes!$D:$D,C107)+COUNTIF('Bases madre'!$C:$C,C107)</f>
        <v>1</v>
      </c>
      <c r="I107" s="6"/>
    </row>
    <row r="108" customFormat="false" ht="15" hidden="false" customHeight="false" outlineLevel="0" collapsed="false">
      <c r="A108" s="9" t="s">
        <v>250</v>
      </c>
      <c r="B108" s="9" t="s">
        <v>238</v>
      </c>
      <c r="C108" s="9" t="s">
        <v>251</v>
      </c>
      <c r="D108" s="9" t="s">
        <v>33</v>
      </c>
      <c r="E108" s="10" t="n">
        <v>20000</v>
      </c>
      <c r="F108" s="11" t="n">
        <v>40</v>
      </c>
      <c r="G108" s="12" t="n">
        <f aca="false">IFERROR(F108/E108,0)</f>
        <v>0.002</v>
      </c>
      <c r="H108" s="13" t="n">
        <f aca="false">COUNTIF(Ingredientes!$D:$D,C108)+COUNTIF('Bases madre'!$C:$C,C108)</f>
        <v>15</v>
      </c>
      <c r="I108" s="6"/>
    </row>
  </sheetData>
  <autoFilter ref="A4:I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H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1" t="s">
        <v>252</v>
      </c>
    </row>
    <row r="2" customFormat="false" ht="15" hidden="false" customHeight="false" outlineLevel="0" collapsed="false">
      <c r="A2" s="7" t="s">
        <v>253</v>
      </c>
    </row>
    <row r="4" customFormat="false" ht="30" hidden="false" customHeight="true" outlineLevel="0" collapsed="false">
      <c r="A4" s="8" t="s">
        <v>254</v>
      </c>
      <c r="B4" s="8" t="s">
        <v>255</v>
      </c>
      <c r="C4" s="8" t="s">
        <v>256</v>
      </c>
      <c r="D4" s="8" t="s">
        <v>257</v>
      </c>
      <c r="E4" s="8" t="s">
        <v>258</v>
      </c>
      <c r="F4" s="8" t="s">
        <v>259</v>
      </c>
      <c r="G4" s="8" t="s">
        <v>260</v>
      </c>
      <c r="H4" s="8" t="s">
        <v>261</v>
      </c>
    </row>
    <row r="5" customFormat="false" ht="15" hidden="false" customHeight="false" outlineLevel="0" collapsed="false">
      <c r="A5" s="3" t="s">
        <v>262</v>
      </c>
      <c r="B5" s="13" t="s">
        <v>263</v>
      </c>
      <c r="C5" s="6" t="n">
        <v>250</v>
      </c>
      <c r="D5" s="14" t="n">
        <f aca="false">SUMIF($A$30:$A$87,A5,$G$30:$G$87)</f>
        <v>29.82</v>
      </c>
      <c r="E5" s="12" t="n">
        <f aca="false">IFERROR(D5/C5,0)</f>
        <v>0.11928</v>
      </c>
      <c r="F5" s="14" t="n">
        <f aca="false">D5/50</f>
        <v>0.5964</v>
      </c>
      <c r="G5" s="13" t="n">
        <f aca="false">COUNTIF('Recetas y precios'!$E:$E,A5)</f>
        <v>5</v>
      </c>
      <c r="H5" s="13" t="s">
        <v>264</v>
      </c>
    </row>
    <row r="6" customFormat="false" ht="15" hidden="false" customHeight="false" outlineLevel="0" collapsed="false">
      <c r="A6" s="3" t="s">
        <v>265</v>
      </c>
      <c r="B6" s="13" t="s">
        <v>266</v>
      </c>
      <c r="C6" s="6" t="n">
        <v>300</v>
      </c>
      <c r="D6" s="14" t="n">
        <f aca="false">SUMIF($A$30:$A$87,A6,$G$30:$G$87)</f>
        <v>39.48</v>
      </c>
      <c r="E6" s="12" t="n">
        <f aca="false">IFERROR(D6/C6,0)</f>
        <v>0.1316</v>
      </c>
      <c r="F6" s="14" t="n">
        <f aca="false">D6/50</f>
        <v>0.7896</v>
      </c>
      <c r="G6" s="13" t="n">
        <f aca="false">COUNTIF('Recetas y precios'!$E:$E,A6)</f>
        <v>5</v>
      </c>
      <c r="H6" s="13" t="s">
        <v>267</v>
      </c>
    </row>
    <row r="7" customFormat="false" ht="15" hidden="false" customHeight="false" outlineLevel="0" collapsed="false">
      <c r="A7" s="3" t="s">
        <v>268</v>
      </c>
      <c r="B7" s="13" t="s">
        <v>269</v>
      </c>
      <c r="C7" s="6" t="n">
        <v>250</v>
      </c>
      <c r="D7" s="14" t="n">
        <f aca="false">SUMIF($A$30:$A$87,A7,$G$30:$G$87)</f>
        <v>25.96</v>
      </c>
      <c r="E7" s="12" t="n">
        <f aca="false">IFERROR(D7/C7,0)</f>
        <v>0.10384</v>
      </c>
      <c r="F7" s="14" t="n">
        <f aca="false">D7/50</f>
        <v>0.5192</v>
      </c>
      <c r="G7" s="13" t="n">
        <f aca="false">COUNTIF('Recetas y precios'!$E:$E,A7)</f>
        <v>5</v>
      </c>
      <c r="H7" s="13" t="s">
        <v>270</v>
      </c>
    </row>
    <row r="8" customFormat="false" ht="15" hidden="false" customHeight="false" outlineLevel="0" collapsed="false">
      <c r="A8" s="3" t="s">
        <v>271</v>
      </c>
      <c r="B8" s="13" t="s">
        <v>272</v>
      </c>
      <c r="C8" s="6" t="n">
        <v>300</v>
      </c>
      <c r="D8" s="14" t="n">
        <f aca="false">SUMIF($A$30:$A$87,A8,$G$30:$G$87)</f>
        <v>36.58</v>
      </c>
      <c r="E8" s="12" t="n">
        <f aca="false">IFERROR(D8/C8,0)</f>
        <v>0.121933333333333</v>
      </c>
      <c r="F8" s="14" t="n">
        <f aca="false">D8/50</f>
        <v>0.7316</v>
      </c>
      <c r="G8" s="13" t="n">
        <f aca="false">COUNTIF('Recetas y precios'!$E:$E,A8)</f>
        <v>5</v>
      </c>
      <c r="H8" s="13" t="s">
        <v>273</v>
      </c>
    </row>
    <row r="9" customFormat="false" ht="15" hidden="false" customHeight="false" outlineLevel="0" collapsed="false">
      <c r="A9" s="3" t="s">
        <v>274</v>
      </c>
      <c r="B9" s="13" t="s">
        <v>275</v>
      </c>
      <c r="C9" s="6" t="n">
        <v>300</v>
      </c>
      <c r="D9" s="14" t="n">
        <f aca="false">SUMIF($A$30:$A$87,A9,$G$30:$G$87)</f>
        <v>35.22</v>
      </c>
      <c r="E9" s="12" t="n">
        <f aca="false">IFERROR(D9/C9,0)</f>
        <v>0.1174</v>
      </c>
      <c r="F9" s="14" t="n">
        <f aca="false">D9/50</f>
        <v>0.7044</v>
      </c>
      <c r="G9" s="13" t="n">
        <f aca="false">COUNTIF('Recetas y precios'!$E:$E,A9)</f>
        <v>5</v>
      </c>
      <c r="H9" s="13" t="s">
        <v>276</v>
      </c>
    </row>
    <row r="10" customFormat="false" ht="15" hidden="false" customHeight="false" outlineLevel="0" collapsed="false">
      <c r="A10" s="3" t="s">
        <v>277</v>
      </c>
      <c r="B10" s="13" t="s">
        <v>278</v>
      </c>
      <c r="C10" s="6" t="n">
        <v>300</v>
      </c>
      <c r="D10" s="14" t="n">
        <f aca="false">SUMIF($A$30:$A$87,A10,$G$30:$G$87)</f>
        <v>35.77</v>
      </c>
      <c r="E10" s="12" t="n">
        <f aca="false">IFERROR(D10/C10,0)</f>
        <v>0.119233333333333</v>
      </c>
      <c r="F10" s="14" t="n">
        <f aca="false">D10/50</f>
        <v>0.7154</v>
      </c>
      <c r="G10" s="13" t="n">
        <f aca="false">COUNTIF('Recetas y precios'!$E:$E,A10)</f>
        <v>5</v>
      </c>
      <c r="H10" s="13" t="s">
        <v>279</v>
      </c>
    </row>
    <row r="11" customFormat="false" ht="15" hidden="false" customHeight="false" outlineLevel="0" collapsed="false">
      <c r="A11" s="3" t="s">
        <v>280</v>
      </c>
      <c r="B11" s="13" t="s">
        <v>281</v>
      </c>
      <c r="C11" s="6" t="n">
        <v>300</v>
      </c>
      <c r="D11" s="14" t="n">
        <f aca="false">SUMIF($A$30:$A$87,A11,$G$30:$G$87)</f>
        <v>37.68</v>
      </c>
      <c r="E11" s="12" t="n">
        <f aca="false">IFERROR(D11/C11,0)</f>
        <v>0.1256</v>
      </c>
      <c r="F11" s="14" t="n">
        <f aca="false">D11/50</f>
        <v>0.7536</v>
      </c>
      <c r="G11" s="13" t="n">
        <f aca="false">COUNTIF('Recetas y precios'!$E:$E,A11)</f>
        <v>5</v>
      </c>
      <c r="H11" s="13" t="s">
        <v>282</v>
      </c>
    </row>
    <row r="12" customFormat="false" ht="15" hidden="false" customHeight="false" outlineLevel="0" collapsed="false">
      <c r="A12" s="3" t="s">
        <v>283</v>
      </c>
      <c r="B12" s="13" t="s">
        <v>284</v>
      </c>
      <c r="C12" s="6" t="n">
        <v>300</v>
      </c>
      <c r="D12" s="14" t="n">
        <f aca="false">SUMIF($A$30:$A$87,A12,$G$30:$G$87)</f>
        <v>44.29</v>
      </c>
      <c r="E12" s="12" t="n">
        <f aca="false">IFERROR(D12/C12,0)</f>
        <v>0.147633333333333</v>
      </c>
      <c r="F12" s="14" t="n">
        <f aca="false">D12/50</f>
        <v>0.8858</v>
      </c>
      <c r="G12" s="13" t="n">
        <f aca="false">COUNTIF('Recetas y precios'!$E:$E,A12)</f>
        <v>5</v>
      </c>
      <c r="H12" s="13" t="s">
        <v>285</v>
      </c>
    </row>
    <row r="13" customFormat="false" ht="15" hidden="false" customHeight="false" outlineLevel="0" collapsed="false">
      <c r="A13" s="3" t="s">
        <v>286</v>
      </c>
      <c r="B13" s="13" t="s">
        <v>287</v>
      </c>
      <c r="C13" s="6" t="n">
        <v>300</v>
      </c>
      <c r="D13" s="14" t="n">
        <f aca="false">SUMIF($A$30:$A$87,A13,$G$30:$G$87)</f>
        <v>35.7</v>
      </c>
      <c r="E13" s="12" t="n">
        <f aca="false">IFERROR(D13/C13,0)</f>
        <v>0.119</v>
      </c>
      <c r="F13" s="14" t="n">
        <f aca="false">D13/50</f>
        <v>0.714</v>
      </c>
      <c r="G13" s="13" t="n">
        <f aca="false">COUNTIF('Recetas y precios'!$E:$E,A13)</f>
        <v>5</v>
      </c>
      <c r="H13" s="13" t="s">
        <v>288</v>
      </c>
    </row>
    <row r="16" customFormat="false" ht="30" hidden="false" customHeight="true" outlineLevel="0" collapsed="false">
      <c r="A16" s="8" t="s">
        <v>254</v>
      </c>
      <c r="B16" s="8" t="s">
        <v>289</v>
      </c>
      <c r="C16" s="8" t="s">
        <v>290</v>
      </c>
      <c r="D16" s="8" t="s">
        <v>291</v>
      </c>
      <c r="E16" s="8"/>
      <c r="F16" s="8" t="s">
        <v>292</v>
      </c>
      <c r="G16" s="8"/>
      <c r="H16" s="8"/>
    </row>
    <row r="17" customFormat="false" ht="27.75" hidden="false" customHeight="true" outlineLevel="0" collapsed="false">
      <c r="A17" s="3" t="s">
        <v>293</v>
      </c>
      <c r="B17" s="13" t="s">
        <v>294</v>
      </c>
      <c r="C17" s="15" t="s">
        <v>295</v>
      </c>
      <c r="D17" s="13" t="n">
        <f aca="false">COUNTIF('Recetas y precios'!$D:$D,A17)</f>
        <v>8</v>
      </c>
      <c r="F17" s="14" t="n">
        <f aca="false">IFERROR(AVERAGEIF('Recetas y precios'!$D$5:$D$54,A17,'Recetas y precios'!$K$5:$K$54),0)</f>
        <v>2.464525</v>
      </c>
    </row>
    <row r="18" customFormat="false" ht="27.75" hidden="false" customHeight="true" outlineLevel="0" collapsed="false">
      <c r="A18" s="3" t="s">
        <v>296</v>
      </c>
      <c r="B18" s="13" t="s">
        <v>297</v>
      </c>
      <c r="C18" s="15" t="s">
        <v>298</v>
      </c>
      <c r="D18" s="13" t="n">
        <f aca="false">COUNTIF('Recetas y precios'!$D:$D,A18)</f>
        <v>12</v>
      </c>
      <c r="F18" s="14" t="n">
        <f aca="false">IFERROR(AVERAGEIF('Recetas y precios'!$D$5:$D$54,A18,'Recetas y precios'!$K$5:$K$54),0)</f>
        <v>5.669425</v>
      </c>
    </row>
    <row r="19" customFormat="false" ht="27.75" hidden="false" customHeight="true" outlineLevel="0" collapsed="false">
      <c r="A19" s="3" t="s">
        <v>299</v>
      </c>
      <c r="B19" s="13" t="s">
        <v>300</v>
      </c>
      <c r="C19" s="15" t="s">
        <v>301</v>
      </c>
      <c r="D19" s="13" t="n">
        <f aca="false">COUNTIF('Recetas y precios'!$D:$D,A19)</f>
        <v>4</v>
      </c>
      <c r="F19" s="14" t="n">
        <f aca="false">IFERROR(AVERAGEIF('Recetas y precios'!$D$5:$D$54,A19,'Recetas y precios'!$K$5:$K$54),0)</f>
        <v>4.6398</v>
      </c>
    </row>
    <row r="20" customFormat="false" ht="27.75" hidden="false" customHeight="true" outlineLevel="0" collapsed="false">
      <c r="A20" s="3" t="s">
        <v>302</v>
      </c>
      <c r="B20" s="13" t="s">
        <v>303</v>
      </c>
      <c r="C20" s="15" t="s">
        <v>304</v>
      </c>
      <c r="D20" s="13" t="n">
        <f aca="false">COUNTIF('Recetas y precios'!$D:$D,A20)</f>
        <v>9</v>
      </c>
      <c r="F20" s="14" t="n">
        <f aca="false">IFERROR(AVERAGEIF('Recetas y precios'!$D$5:$D$54,A20,'Recetas y precios'!$K$5:$K$54),0)</f>
        <v>5.27360956072351</v>
      </c>
    </row>
    <row r="21" customFormat="false" ht="27.75" hidden="false" customHeight="true" outlineLevel="0" collapsed="false">
      <c r="A21" s="3" t="s">
        <v>305</v>
      </c>
      <c r="B21" s="13" t="s">
        <v>306</v>
      </c>
      <c r="C21" s="15" t="s">
        <v>307</v>
      </c>
      <c r="D21" s="13" t="n">
        <f aca="false">COUNTIF('Recetas y precios'!$D:$D,A21)</f>
        <v>6</v>
      </c>
      <c r="F21" s="14" t="n">
        <f aca="false">IFERROR(AVERAGEIF('Recetas y precios'!$D$5:$D$54,A21,'Recetas y precios'!$K$5:$K$54),0)</f>
        <v>4.1529</v>
      </c>
    </row>
    <row r="22" customFormat="false" ht="27.75" hidden="false" customHeight="true" outlineLevel="0" collapsed="false">
      <c r="A22" s="3" t="s">
        <v>308</v>
      </c>
      <c r="B22" s="13" t="s">
        <v>309</v>
      </c>
      <c r="C22" s="15" t="s">
        <v>310</v>
      </c>
      <c r="D22" s="13" t="n">
        <f aca="false">COUNTIF('Recetas y precios'!$D:$D,A22)</f>
        <v>6</v>
      </c>
      <c r="F22" s="14" t="n">
        <f aca="false">IFERROR(AVERAGEIF('Recetas y precios'!$D$5:$D$54,A22,'Recetas y precios'!$K$5:$K$54),0)</f>
        <v>6.63990391775943</v>
      </c>
    </row>
    <row r="23" customFormat="false" ht="27.75" hidden="false" customHeight="true" outlineLevel="0" collapsed="false">
      <c r="A23" s="3" t="s">
        <v>311</v>
      </c>
      <c r="B23" s="13" t="s">
        <v>312</v>
      </c>
      <c r="C23" s="15" t="s">
        <v>313</v>
      </c>
      <c r="D23" s="13" t="n">
        <f aca="false">COUNTIF('Recetas y precios'!$D:$D,A23)</f>
        <v>5</v>
      </c>
      <c r="F23" s="14" t="n">
        <f aca="false">IFERROR(AVERAGEIF('Recetas y precios'!$D$5:$D$54,A23,'Recetas y precios'!$K$5:$K$54),0)</f>
        <v>15.683513053467</v>
      </c>
    </row>
    <row r="24" customFormat="false" ht="15" hidden="false" customHeight="false" outlineLevel="0" collapsed="false">
      <c r="A24" s="7" t="s">
        <v>314</v>
      </c>
    </row>
    <row r="28" customFormat="false" ht="15" hidden="false" customHeight="false" outlineLevel="0" collapsed="false">
      <c r="A28" s="16" t="s">
        <v>315</v>
      </c>
    </row>
    <row r="29" customFormat="false" ht="30" hidden="false" customHeight="true" outlineLevel="0" collapsed="false">
      <c r="A29" s="8" t="s">
        <v>254</v>
      </c>
      <c r="B29" s="8" t="s">
        <v>316</v>
      </c>
      <c r="C29" s="8" t="s">
        <v>17</v>
      </c>
      <c r="D29" s="8" t="s">
        <v>317</v>
      </c>
      <c r="E29" s="8" t="s">
        <v>18</v>
      </c>
      <c r="F29" s="8" t="s">
        <v>318</v>
      </c>
      <c r="G29" s="8" t="s">
        <v>319</v>
      </c>
      <c r="H29" s="8" t="s">
        <v>320</v>
      </c>
    </row>
    <row r="30" customFormat="false" ht="15" hidden="false" customHeight="false" outlineLevel="0" collapsed="false">
      <c r="A30" s="0" t="s">
        <v>262</v>
      </c>
      <c r="B30" s="0" t="s">
        <v>263</v>
      </c>
      <c r="C30" s="0" t="s">
        <v>30</v>
      </c>
      <c r="D30" s="17" t="n">
        <v>230</v>
      </c>
      <c r="E30" s="13" t="s">
        <v>27</v>
      </c>
      <c r="F30" s="12" t="n">
        <f aca="false">IFERROR(VLOOKUP(C30,Insumos!$C$5:$G$108,5,FALSE()),0)</f>
        <v>0.07</v>
      </c>
      <c r="G30" s="14" t="n">
        <f aca="false">D30*F30</f>
        <v>16.1</v>
      </c>
      <c r="H30" s="18" t="s">
        <v>321</v>
      </c>
    </row>
    <row r="31" customFormat="false" ht="15" hidden="false" customHeight="false" outlineLevel="0" collapsed="false">
      <c r="A31" s="0" t="s">
        <v>262</v>
      </c>
      <c r="B31" s="0" t="s">
        <v>263</v>
      </c>
      <c r="C31" s="0" t="s">
        <v>181</v>
      </c>
      <c r="D31" s="17" t="n">
        <v>40</v>
      </c>
      <c r="E31" s="13" t="s">
        <v>27</v>
      </c>
      <c r="F31" s="12" t="n">
        <f aca="false">IFERROR(VLOOKUP(C31,Insumos!$C$5:$G$108,5,FALSE()),0)</f>
        <v>0.24</v>
      </c>
      <c r="G31" s="14" t="n">
        <f aca="false">D31*F31</f>
        <v>9.6</v>
      </c>
      <c r="H31" s="18" t="s">
        <v>322</v>
      </c>
    </row>
    <row r="32" customFormat="false" ht="15" hidden="false" customHeight="false" outlineLevel="0" collapsed="false">
      <c r="A32" s="0" t="s">
        <v>262</v>
      </c>
      <c r="B32" s="0" t="s">
        <v>263</v>
      </c>
      <c r="C32" s="0" t="s">
        <v>103</v>
      </c>
      <c r="D32" s="17" t="n">
        <v>100</v>
      </c>
      <c r="E32" s="13" t="s">
        <v>27</v>
      </c>
      <c r="F32" s="12" t="n">
        <f aca="false">IFERROR(VLOOKUP(C32,Insumos!$C$5:$G$108,5,FALSE()),0)</f>
        <v>0.028</v>
      </c>
      <c r="G32" s="14" t="n">
        <f aca="false">D32*F32</f>
        <v>2.8</v>
      </c>
      <c r="H32" s="18" t="s">
        <v>323</v>
      </c>
    </row>
    <row r="33" customFormat="false" ht="15" hidden="false" customHeight="false" outlineLevel="0" collapsed="false">
      <c r="A33" s="0" t="s">
        <v>262</v>
      </c>
      <c r="B33" s="0" t="s">
        <v>263</v>
      </c>
      <c r="C33" s="0" t="s">
        <v>109</v>
      </c>
      <c r="D33" s="17" t="n">
        <v>12</v>
      </c>
      <c r="E33" s="13" t="s">
        <v>27</v>
      </c>
      <c r="F33" s="12" t="n">
        <f aca="false">IFERROR(VLOOKUP(C33,Insumos!$C$5:$G$108,5,FALSE()),0)</f>
        <v>0.11</v>
      </c>
      <c r="G33" s="14" t="n">
        <f aca="false">D33*F33</f>
        <v>1.32</v>
      </c>
      <c r="H33" s="18" t="s">
        <v>324</v>
      </c>
    </row>
    <row r="34" customFormat="false" ht="15" hidden="false" customHeight="false" outlineLevel="0" collapsed="false">
      <c r="A34" s="0" t="s">
        <v>265</v>
      </c>
      <c r="B34" s="0" t="s">
        <v>266</v>
      </c>
      <c r="C34" s="0" t="s">
        <v>30</v>
      </c>
      <c r="D34" s="17" t="n">
        <v>184</v>
      </c>
      <c r="E34" s="13" t="s">
        <v>27</v>
      </c>
      <c r="F34" s="12" t="n">
        <f aca="false">IFERROR(VLOOKUP(C34,Insumos!$C$5:$G$108,5,FALSE()),0)</f>
        <v>0.07</v>
      </c>
      <c r="G34" s="14" t="n">
        <f aca="false">D34*F34</f>
        <v>12.88</v>
      </c>
      <c r="H34" s="18" t="s">
        <v>325</v>
      </c>
    </row>
    <row r="35" customFormat="false" ht="15" hidden="false" customHeight="false" outlineLevel="0" collapsed="false">
      <c r="A35" s="0" t="s">
        <v>265</v>
      </c>
      <c r="B35" s="0" t="s">
        <v>266</v>
      </c>
      <c r="C35" s="0" t="s">
        <v>32</v>
      </c>
      <c r="D35" s="17" t="n">
        <v>100</v>
      </c>
      <c r="E35" s="13" t="s">
        <v>33</v>
      </c>
      <c r="F35" s="12" t="n">
        <f aca="false">IFERROR(VLOOKUP(C35,Insumos!$C$5:$G$108,5,FALSE()),0)</f>
        <v>0.048</v>
      </c>
      <c r="G35" s="14" t="n">
        <f aca="false">D35*F35</f>
        <v>4.8</v>
      </c>
      <c r="H35" s="18" t="s">
        <v>326</v>
      </c>
    </row>
    <row r="36" customFormat="false" ht="15" hidden="false" customHeight="false" outlineLevel="0" collapsed="false">
      <c r="A36" s="0" t="s">
        <v>265</v>
      </c>
      <c r="B36" s="0" t="s">
        <v>266</v>
      </c>
      <c r="C36" s="0" t="s">
        <v>181</v>
      </c>
      <c r="D36" s="17" t="n">
        <v>50</v>
      </c>
      <c r="E36" s="13" t="s">
        <v>27</v>
      </c>
      <c r="F36" s="12" t="n">
        <f aca="false">IFERROR(VLOOKUP(C36,Insumos!$C$5:$G$108,5,FALSE()),0)</f>
        <v>0.24</v>
      </c>
      <c r="G36" s="14" t="n">
        <f aca="false">D36*F36</f>
        <v>12</v>
      </c>
      <c r="H36" s="18" t="s">
        <v>327</v>
      </c>
    </row>
    <row r="37" customFormat="false" ht="15" hidden="false" customHeight="false" outlineLevel="0" collapsed="false">
      <c r="A37" s="0" t="s">
        <v>265</v>
      </c>
      <c r="B37" s="0" t="s">
        <v>266</v>
      </c>
      <c r="C37" s="0" t="s">
        <v>183</v>
      </c>
      <c r="D37" s="17" t="n">
        <v>15</v>
      </c>
      <c r="E37" s="13" t="s">
        <v>27</v>
      </c>
      <c r="F37" s="12" t="n">
        <f aca="false">IFERROR(VLOOKUP(C37,Insumos!$C$5:$G$108,5,FALSE()),0)</f>
        <v>0.28</v>
      </c>
      <c r="G37" s="14" t="n">
        <f aca="false">D37*F37</f>
        <v>4.2</v>
      </c>
      <c r="H37" s="18" t="s">
        <v>328</v>
      </c>
    </row>
    <row r="38" customFormat="false" ht="15" hidden="false" customHeight="false" outlineLevel="0" collapsed="false">
      <c r="A38" s="0" t="s">
        <v>265</v>
      </c>
      <c r="B38" s="0" t="s">
        <v>266</v>
      </c>
      <c r="C38" s="0" t="s">
        <v>109</v>
      </c>
      <c r="D38" s="17" t="n">
        <v>20</v>
      </c>
      <c r="E38" s="13" t="s">
        <v>27</v>
      </c>
      <c r="F38" s="12" t="n">
        <f aca="false">IFERROR(VLOOKUP(C38,Insumos!$C$5:$G$108,5,FALSE()),0)</f>
        <v>0.11</v>
      </c>
      <c r="G38" s="14" t="n">
        <f aca="false">D38*F38</f>
        <v>2.2</v>
      </c>
      <c r="H38" s="18" t="s">
        <v>329</v>
      </c>
    </row>
    <row r="39" customFormat="false" ht="15" hidden="false" customHeight="false" outlineLevel="0" collapsed="false">
      <c r="A39" s="0" t="s">
        <v>265</v>
      </c>
      <c r="B39" s="0" t="s">
        <v>266</v>
      </c>
      <c r="C39" s="0" t="s">
        <v>103</v>
      </c>
      <c r="D39" s="17" t="n">
        <v>100</v>
      </c>
      <c r="E39" s="13" t="s">
        <v>27</v>
      </c>
      <c r="F39" s="12" t="n">
        <f aca="false">IFERROR(VLOOKUP(C39,Insumos!$C$5:$G$108,5,FALSE()),0)</f>
        <v>0.028</v>
      </c>
      <c r="G39" s="14" t="n">
        <f aca="false">D39*F39</f>
        <v>2.8</v>
      </c>
      <c r="H39" s="18" t="s">
        <v>330</v>
      </c>
    </row>
    <row r="40" customFormat="false" ht="15" hidden="false" customHeight="false" outlineLevel="0" collapsed="false">
      <c r="A40" s="0" t="s">
        <v>265</v>
      </c>
      <c r="B40" s="0" t="s">
        <v>266</v>
      </c>
      <c r="C40" s="0" t="s">
        <v>204</v>
      </c>
      <c r="D40" s="17" t="n">
        <v>2</v>
      </c>
      <c r="E40" s="13" t="s">
        <v>27</v>
      </c>
      <c r="F40" s="12" t="n">
        <f aca="false">IFERROR(VLOOKUP(C40,Insumos!$C$5:$G$108,5,FALSE()),0)</f>
        <v>0.3</v>
      </c>
      <c r="G40" s="14" t="n">
        <f aca="false">D40*F40</f>
        <v>0.6</v>
      </c>
      <c r="H40" s="18" t="s">
        <v>331</v>
      </c>
    </row>
    <row r="41" customFormat="false" ht="15" hidden="false" customHeight="false" outlineLevel="0" collapsed="false">
      <c r="A41" s="0" t="s">
        <v>268</v>
      </c>
      <c r="B41" s="0" t="s">
        <v>269</v>
      </c>
      <c r="C41" s="0" t="s">
        <v>32</v>
      </c>
      <c r="D41" s="17" t="n">
        <v>250</v>
      </c>
      <c r="E41" s="13" t="s">
        <v>33</v>
      </c>
      <c r="F41" s="12" t="n">
        <f aca="false">IFERROR(VLOOKUP(C41,Insumos!$C$5:$G$108,5,FALSE()),0)</f>
        <v>0.048</v>
      </c>
      <c r="G41" s="14" t="n">
        <f aca="false">D41*F41</f>
        <v>12</v>
      </c>
      <c r="H41" s="18" t="s">
        <v>332</v>
      </c>
    </row>
    <row r="42" customFormat="false" ht="15" hidden="false" customHeight="false" outlineLevel="0" collapsed="false">
      <c r="A42" s="0" t="s">
        <v>268</v>
      </c>
      <c r="B42" s="0" t="s">
        <v>269</v>
      </c>
      <c r="C42" s="0" t="s">
        <v>181</v>
      </c>
      <c r="D42" s="17" t="n">
        <v>40</v>
      </c>
      <c r="E42" s="13" t="s">
        <v>27</v>
      </c>
      <c r="F42" s="12" t="n">
        <f aca="false">IFERROR(VLOOKUP(C42,Insumos!$C$5:$G$108,5,FALSE()),0)</f>
        <v>0.24</v>
      </c>
      <c r="G42" s="14" t="n">
        <f aca="false">D42*F42</f>
        <v>9.6</v>
      </c>
      <c r="H42" s="18" t="s">
        <v>322</v>
      </c>
    </row>
    <row r="43" customFormat="false" ht="15" hidden="false" customHeight="false" outlineLevel="0" collapsed="false">
      <c r="A43" s="0" t="s">
        <v>268</v>
      </c>
      <c r="B43" s="0" t="s">
        <v>269</v>
      </c>
      <c r="C43" s="0" t="s">
        <v>103</v>
      </c>
      <c r="D43" s="17" t="n">
        <v>100</v>
      </c>
      <c r="E43" s="13" t="s">
        <v>27</v>
      </c>
      <c r="F43" s="12" t="n">
        <f aca="false">IFERROR(VLOOKUP(C43,Insumos!$C$5:$G$108,5,FALSE()),0)</f>
        <v>0.028</v>
      </c>
      <c r="G43" s="14" t="n">
        <f aca="false">D43*F43</f>
        <v>2.8</v>
      </c>
      <c r="H43" s="18" t="s">
        <v>333</v>
      </c>
    </row>
    <row r="44" customFormat="false" ht="15" hidden="false" customHeight="false" outlineLevel="0" collapsed="false">
      <c r="A44" s="0" t="s">
        <v>268</v>
      </c>
      <c r="B44" s="0" t="s">
        <v>269</v>
      </c>
      <c r="C44" s="0" t="s">
        <v>206</v>
      </c>
      <c r="D44" s="17" t="n">
        <v>0.6</v>
      </c>
      <c r="E44" s="13" t="s">
        <v>27</v>
      </c>
      <c r="F44" s="12" t="n">
        <f aca="false">IFERROR(VLOOKUP(C44,Insumos!$C$5:$G$108,5,FALSE()),0)</f>
        <v>0.4</v>
      </c>
      <c r="G44" s="14" t="n">
        <f aca="false">D44*F44</f>
        <v>0.24</v>
      </c>
      <c r="H44" s="18" t="s">
        <v>334</v>
      </c>
    </row>
    <row r="45" customFormat="false" ht="15" hidden="false" customHeight="false" outlineLevel="0" collapsed="false">
      <c r="A45" s="0" t="s">
        <v>268</v>
      </c>
      <c r="B45" s="0" t="s">
        <v>269</v>
      </c>
      <c r="C45" s="0" t="s">
        <v>109</v>
      </c>
      <c r="D45" s="17" t="n">
        <v>12</v>
      </c>
      <c r="E45" s="13" t="s">
        <v>27</v>
      </c>
      <c r="F45" s="12" t="n">
        <f aca="false">IFERROR(VLOOKUP(C45,Insumos!$C$5:$G$108,5,FALSE()),0)</f>
        <v>0.11</v>
      </c>
      <c r="G45" s="14" t="n">
        <f aca="false">D45*F45</f>
        <v>1.32</v>
      </c>
      <c r="H45" s="18" t="s">
        <v>335</v>
      </c>
    </row>
    <row r="46" customFormat="false" ht="15" hidden="false" customHeight="false" outlineLevel="0" collapsed="false">
      <c r="A46" s="0" t="s">
        <v>271</v>
      </c>
      <c r="B46" s="0" t="s">
        <v>272</v>
      </c>
      <c r="C46" s="0" t="s">
        <v>32</v>
      </c>
      <c r="D46" s="17" t="n">
        <v>200</v>
      </c>
      <c r="E46" s="13" t="s">
        <v>33</v>
      </c>
      <c r="F46" s="12" t="n">
        <f aca="false">IFERROR(VLOOKUP(C46,Insumos!$C$5:$G$108,5,FALSE()),0)</f>
        <v>0.048</v>
      </c>
      <c r="G46" s="14" t="n">
        <f aca="false">D46*F46</f>
        <v>9.6</v>
      </c>
      <c r="H46" s="18" t="s">
        <v>336</v>
      </c>
    </row>
    <row r="47" customFormat="false" ht="15" hidden="false" customHeight="false" outlineLevel="0" collapsed="false">
      <c r="A47" s="0" t="s">
        <v>271</v>
      </c>
      <c r="B47" s="0" t="s">
        <v>272</v>
      </c>
      <c r="C47" s="0" t="s">
        <v>30</v>
      </c>
      <c r="D47" s="17" t="n">
        <v>92</v>
      </c>
      <c r="E47" s="13" t="s">
        <v>27</v>
      </c>
      <c r="F47" s="12" t="n">
        <f aca="false">IFERROR(VLOOKUP(C47,Insumos!$C$5:$G$108,5,FALSE()),0)</f>
        <v>0.07</v>
      </c>
      <c r="G47" s="14" t="n">
        <f aca="false">D47*F47</f>
        <v>6.44</v>
      </c>
      <c r="H47" s="18" t="s">
        <v>337</v>
      </c>
    </row>
    <row r="48" customFormat="false" ht="15" hidden="false" customHeight="false" outlineLevel="0" collapsed="false">
      <c r="A48" s="0" t="s">
        <v>271</v>
      </c>
      <c r="B48" s="0" t="s">
        <v>272</v>
      </c>
      <c r="C48" s="0" t="s">
        <v>181</v>
      </c>
      <c r="D48" s="17" t="n">
        <v>30</v>
      </c>
      <c r="E48" s="13" t="s">
        <v>27</v>
      </c>
      <c r="F48" s="12" t="n">
        <f aca="false">IFERROR(VLOOKUP(C48,Insumos!$C$5:$G$108,5,FALSE()),0)</f>
        <v>0.24</v>
      </c>
      <c r="G48" s="14" t="n">
        <f aca="false">D48*F48</f>
        <v>7.2</v>
      </c>
      <c r="H48" s="18" t="s">
        <v>338</v>
      </c>
    </row>
    <row r="49" customFormat="false" ht="15" hidden="false" customHeight="false" outlineLevel="0" collapsed="false">
      <c r="A49" s="0" t="s">
        <v>271</v>
      </c>
      <c r="B49" s="0" t="s">
        <v>272</v>
      </c>
      <c r="C49" s="0" t="s">
        <v>183</v>
      </c>
      <c r="D49" s="17" t="n">
        <v>30</v>
      </c>
      <c r="E49" s="13" t="s">
        <v>27</v>
      </c>
      <c r="F49" s="12" t="n">
        <f aca="false">IFERROR(VLOOKUP(C49,Insumos!$C$5:$G$108,5,FALSE()),0)</f>
        <v>0.28</v>
      </c>
      <c r="G49" s="14" t="n">
        <f aca="false">D49*F49</f>
        <v>8.4</v>
      </c>
      <c r="H49" s="18" t="s">
        <v>339</v>
      </c>
    </row>
    <row r="50" customFormat="false" ht="15" hidden="false" customHeight="false" outlineLevel="0" collapsed="false">
      <c r="A50" s="0" t="s">
        <v>271</v>
      </c>
      <c r="B50" s="0" t="s">
        <v>272</v>
      </c>
      <c r="C50" s="0" t="s">
        <v>103</v>
      </c>
      <c r="D50" s="17" t="n">
        <v>100</v>
      </c>
      <c r="E50" s="13" t="s">
        <v>27</v>
      </c>
      <c r="F50" s="12" t="n">
        <f aca="false">IFERROR(VLOOKUP(C50,Insumos!$C$5:$G$108,5,FALSE()),0)</f>
        <v>0.028</v>
      </c>
      <c r="G50" s="14" t="n">
        <f aca="false">D50*F50</f>
        <v>2.8</v>
      </c>
      <c r="H50" s="18" t="s">
        <v>340</v>
      </c>
    </row>
    <row r="51" customFormat="false" ht="15" hidden="false" customHeight="false" outlineLevel="0" collapsed="false">
      <c r="A51" s="0" t="s">
        <v>271</v>
      </c>
      <c r="B51" s="0" t="s">
        <v>272</v>
      </c>
      <c r="C51" s="0" t="s">
        <v>109</v>
      </c>
      <c r="D51" s="17" t="n">
        <v>16</v>
      </c>
      <c r="E51" s="13" t="s">
        <v>27</v>
      </c>
      <c r="F51" s="12" t="n">
        <f aca="false">IFERROR(VLOOKUP(C51,Insumos!$C$5:$G$108,5,FALSE()),0)</f>
        <v>0.11</v>
      </c>
      <c r="G51" s="14" t="n">
        <f aca="false">D51*F51</f>
        <v>1.76</v>
      </c>
      <c r="H51" s="18" t="s">
        <v>341</v>
      </c>
    </row>
    <row r="52" customFormat="false" ht="15" hidden="false" customHeight="false" outlineLevel="0" collapsed="false">
      <c r="A52" s="0" t="s">
        <v>271</v>
      </c>
      <c r="B52" s="0" t="s">
        <v>272</v>
      </c>
      <c r="C52" s="0" t="s">
        <v>202</v>
      </c>
      <c r="D52" s="17" t="n">
        <v>1</v>
      </c>
      <c r="E52" s="13" t="s">
        <v>27</v>
      </c>
      <c r="F52" s="12" t="n">
        <f aca="false">IFERROR(VLOOKUP(C52,Insumos!$C$5:$G$108,5,FALSE()),0)</f>
        <v>0.38</v>
      </c>
      <c r="G52" s="14" t="n">
        <f aca="false">D52*F52</f>
        <v>0.38</v>
      </c>
      <c r="H52" s="18" t="s">
        <v>342</v>
      </c>
    </row>
    <row r="53" customFormat="false" ht="15" hidden="false" customHeight="false" outlineLevel="0" collapsed="false">
      <c r="A53" s="0" t="s">
        <v>274</v>
      </c>
      <c r="B53" s="0" t="s">
        <v>275</v>
      </c>
      <c r="C53" s="0" t="s">
        <v>30</v>
      </c>
      <c r="D53" s="17" t="n">
        <v>184</v>
      </c>
      <c r="E53" s="13" t="s">
        <v>27</v>
      </c>
      <c r="F53" s="12" t="n">
        <f aca="false">IFERROR(VLOOKUP(C53,Insumos!$C$5:$G$108,5,FALSE()),0)</f>
        <v>0.07</v>
      </c>
      <c r="G53" s="14" t="n">
        <f aca="false">D53*F53</f>
        <v>12.88</v>
      </c>
      <c r="H53" s="18" t="s">
        <v>343</v>
      </c>
    </row>
    <row r="54" customFormat="false" ht="15" hidden="false" customHeight="false" outlineLevel="0" collapsed="false">
      <c r="A54" s="0" t="s">
        <v>274</v>
      </c>
      <c r="B54" s="0" t="s">
        <v>275</v>
      </c>
      <c r="C54" s="0" t="s">
        <v>32</v>
      </c>
      <c r="D54" s="17" t="n">
        <v>100</v>
      </c>
      <c r="E54" s="13" t="s">
        <v>33</v>
      </c>
      <c r="F54" s="12" t="n">
        <f aca="false">IFERROR(VLOOKUP(C54,Insumos!$C$5:$G$108,5,FALSE()),0)</f>
        <v>0.048</v>
      </c>
      <c r="G54" s="14" t="n">
        <f aca="false">D54*F54</f>
        <v>4.8</v>
      </c>
      <c r="H54" s="18" t="s">
        <v>344</v>
      </c>
    </row>
    <row r="55" customFormat="false" ht="15" hidden="false" customHeight="false" outlineLevel="0" collapsed="false">
      <c r="A55" s="0" t="s">
        <v>274</v>
      </c>
      <c r="B55" s="0" t="s">
        <v>275</v>
      </c>
      <c r="C55" s="0" t="s">
        <v>181</v>
      </c>
      <c r="D55" s="17" t="n">
        <v>40</v>
      </c>
      <c r="E55" s="13" t="s">
        <v>27</v>
      </c>
      <c r="F55" s="12" t="n">
        <f aca="false">IFERROR(VLOOKUP(C55,Insumos!$C$5:$G$108,5,FALSE()),0)</f>
        <v>0.24</v>
      </c>
      <c r="G55" s="14" t="n">
        <f aca="false">D55*F55</f>
        <v>9.6</v>
      </c>
      <c r="H55" s="18" t="s">
        <v>345</v>
      </c>
    </row>
    <row r="56" customFormat="false" ht="15" hidden="false" customHeight="false" outlineLevel="0" collapsed="false">
      <c r="A56" s="0" t="s">
        <v>274</v>
      </c>
      <c r="B56" s="0" t="s">
        <v>275</v>
      </c>
      <c r="C56" s="0" t="s">
        <v>187</v>
      </c>
      <c r="D56" s="17" t="n">
        <v>10</v>
      </c>
      <c r="E56" s="13" t="s">
        <v>27</v>
      </c>
      <c r="F56" s="12" t="n">
        <f aca="false">IFERROR(VLOOKUP(C56,Insumos!$C$5:$G$108,5,FALSE()),0)</f>
        <v>0.32</v>
      </c>
      <c r="G56" s="14" t="n">
        <f aca="false">D56*F56</f>
        <v>3.2</v>
      </c>
      <c r="H56" s="18" t="s">
        <v>346</v>
      </c>
    </row>
    <row r="57" customFormat="false" ht="15" hidden="false" customHeight="false" outlineLevel="0" collapsed="false">
      <c r="A57" s="0" t="s">
        <v>274</v>
      </c>
      <c r="B57" s="0" t="s">
        <v>275</v>
      </c>
      <c r="C57" s="0" t="s">
        <v>103</v>
      </c>
      <c r="D57" s="17" t="n">
        <v>100</v>
      </c>
      <c r="E57" s="13" t="s">
        <v>27</v>
      </c>
      <c r="F57" s="12" t="n">
        <f aca="false">IFERROR(VLOOKUP(C57,Insumos!$C$5:$G$108,5,FALSE()),0)</f>
        <v>0.028</v>
      </c>
      <c r="G57" s="14" t="n">
        <f aca="false">D57*F57</f>
        <v>2.8</v>
      </c>
      <c r="H57" s="18" t="s">
        <v>347</v>
      </c>
    </row>
    <row r="58" customFormat="false" ht="15" hidden="false" customHeight="false" outlineLevel="0" collapsed="false">
      <c r="A58" s="0" t="s">
        <v>274</v>
      </c>
      <c r="B58" s="0" t="s">
        <v>275</v>
      </c>
      <c r="C58" s="0" t="s">
        <v>109</v>
      </c>
      <c r="D58" s="17" t="n">
        <v>16</v>
      </c>
      <c r="E58" s="13" t="s">
        <v>27</v>
      </c>
      <c r="F58" s="12" t="n">
        <f aca="false">IFERROR(VLOOKUP(C58,Insumos!$C$5:$G$108,5,FALSE()),0)</f>
        <v>0.11</v>
      </c>
      <c r="G58" s="14" t="n">
        <f aca="false">D58*F58</f>
        <v>1.76</v>
      </c>
      <c r="H58" s="18" t="s">
        <v>348</v>
      </c>
    </row>
    <row r="59" customFormat="false" ht="15" hidden="false" customHeight="false" outlineLevel="0" collapsed="false">
      <c r="A59" s="0" t="s">
        <v>274</v>
      </c>
      <c r="B59" s="0" t="s">
        <v>275</v>
      </c>
      <c r="C59" s="0" t="s">
        <v>208</v>
      </c>
      <c r="D59" s="17" t="n">
        <v>0.2</v>
      </c>
      <c r="E59" s="13" t="s">
        <v>27</v>
      </c>
      <c r="F59" s="12" t="n">
        <f aca="false">IFERROR(VLOOKUP(C59,Insumos!$C$5:$G$108,5,FALSE()),0)</f>
        <v>0.9</v>
      </c>
      <c r="G59" s="14" t="n">
        <f aca="false">D59*F59</f>
        <v>0.18</v>
      </c>
      <c r="H59" s="18" t="s">
        <v>349</v>
      </c>
    </row>
    <row r="60" customFormat="false" ht="15" hidden="false" customHeight="false" outlineLevel="0" collapsed="false">
      <c r="A60" s="0" t="s">
        <v>277</v>
      </c>
      <c r="B60" s="0" t="s">
        <v>278</v>
      </c>
      <c r="C60" s="0" t="s">
        <v>30</v>
      </c>
      <c r="D60" s="17" t="n">
        <v>184</v>
      </c>
      <c r="E60" s="13" t="s">
        <v>27</v>
      </c>
      <c r="F60" s="12" t="n">
        <f aca="false">IFERROR(VLOOKUP(C60,Insumos!$C$5:$G$108,5,FALSE()),0)</f>
        <v>0.07</v>
      </c>
      <c r="G60" s="14" t="n">
        <f aca="false">D60*F60</f>
        <v>12.88</v>
      </c>
      <c r="H60" s="18" t="s">
        <v>343</v>
      </c>
    </row>
    <row r="61" customFormat="false" ht="15" hidden="false" customHeight="false" outlineLevel="0" collapsed="false">
      <c r="A61" s="0" t="s">
        <v>277</v>
      </c>
      <c r="B61" s="0" t="s">
        <v>278</v>
      </c>
      <c r="C61" s="0" t="s">
        <v>32</v>
      </c>
      <c r="D61" s="17" t="n">
        <v>100</v>
      </c>
      <c r="E61" s="13" t="s">
        <v>33</v>
      </c>
      <c r="F61" s="12" t="n">
        <f aca="false">IFERROR(VLOOKUP(C61,Insumos!$C$5:$G$108,5,FALSE()),0)</f>
        <v>0.048</v>
      </c>
      <c r="G61" s="14" t="n">
        <f aca="false">D61*F61</f>
        <v>4.8</v>
      </c>
      <c r="H61" s="18" t="s">
        <v>344</v>
      </c>
    </row>
    <row r="62" customFormat="false" ht="15" hidden="false" customHeight="false" outlineLevel="0" collapsed="false">
      <c r="A62" s="0" t="s">
        <v>277</v>
      </c>
      <c r="B62" s="0" t="s">
        <v>278</v>
      </c>
      <c r="C62" s="0" t="s">
        <v>181</v>
      </c>
      <c r="D62" s="17" t="n">
        <v>40</v>
      </c>
      <c r="E62" s="13" t="s">
        <v>27</v>
      </c>
      <c r="F62" s="12" t="n">
        <f aca="false">IFERROR(VLOOKUP(C62,Insumos!$C$5:$G$108,5,FALSE()),0)</f>
        <v>0.24</v>
      </c>
      <c r="G62" s="14" t="n">
        <f aca="false">D62*F62</f>
        <v>9.6</v>
      </c>
      <c r="H62" s="18" t="s">
        <v>345</v>
      </c>
    </row>
    <row r="63" customFormat="false" ht="15" hidden="false" customHeight="false" outlineLevel="0" collapsed="false">
      <c r="A63" s="0" t="s">
        <v>277</v>
      </c>
      <c r="B63" s="0" t="s">
        <v>278</v>
      </c>
      <c r="C63" s="0" t="s">
        <v>191</v>
      </c>
      <c r="D63" s="17" t="n">
        <v>12</v>
      </c>
      <c r="E63" s="13" t="s">
        <v>27</v>
      </c>
      <c r="F63" s="12" t="n">
        <f aca="false">IFERROR(VLOOKUP(C63,Insumos!$C$5:$G$108,5,FALSE()),0)</f>
        <v>0.32</v>
      </c>
      <c r="G63" s="14" t="n">
        <f aca="false">D63*F63</f>
        <v>3.84</v>
      </c>
      <c r="H63" s="18" t="s">
        <v>350</v>
      </c>
    </row>
    <row r="64" customFormat="false" ht="15" hidden="false" customHeight="false" outlineLevel="0" collapsed="false">
      <c r="A64" s="0" t="s">
        <v>277</v>
      </c>
      <c r="B64" s="0" t="s">
        <v>278</v>
      </c>
      <c r="C64" s="0" t="s">
        <v>103</v>
      </c>
      <c r="D64" s="17" t="n">
        <v>100</v>
      </c>
      <c r="E64" s="13" t="s">
        <v>27</v>
      </c>
      <c r="F64" s="12" t="n">
        <f aca="false">IFERROR(VLOOKUP(C64,Insumos!$C$5:$G$108,5,FALSE()),0)</f>
        <v>0.028</v>
      </c>
      <c r="G64" s="14" t="n">
        <f aca="false">D64*F64</f>
        <v>2.8</v>
      </c>
      <c r="H64" s="18" t="s">
        <v>351</v>
      </c>
    </row>
    <row r="65" customFormat="false" ht="15" hidden="false" customHeight="false" outlineLevel="0" collapsed="false">
      <c r="A65" s="0" t="s">
        <v>277</v>
      </c>
      <c r="B65" s="0" t="s">
        <v>278</v>
      </c>
      <c r="C65" s="0" t="s">
        <v>109</v>
      </c>
      <c r="D65" s="17" t="n">
        <v>16</v>
      </c>
      <c r="E65" s="13" t="s">
        <v>27</v>
      </c>
      <c r="F65" s="12" t="n">
        <f aca="false">IFERROR(VLOOKUP(C65,Insumos!$C$5:$G$108,5,FALSE()),0)</f>
        <v>0.11</v>
      </c>
      <c r="G65" s="14" t="n">
        <f aca="false">D65*F65</f>
        <v>1.76</v>
      </c>
      <c r="H65" s="18" t="s">
        <v>341</v>
      </c>
    </row>
    <row r="66" customFormat="false" ht="15" hidden="false" customHeight="false" outlineLevel="0" collapsed="false">
      <c r="A66" s="0" t="s">
        <v>277</v>
      </c>
      <c r="B66" s="0" t="s">
        <v>278</v>
      </c>
      <c r="C66" s="0" t="s">
        <v>210</v>
      </c>
      <c r="D66" s="17" t="n">
        <v>0.2</v>
      </c>
      <c r="E66" s="13" t="s">
        <v>27</v>
      </c>
      <c r="F66" s="12" t="n">
        <f aca="false">IFERROR(VLOOKUP(C66,Insumos!$C$5:$G$108,5,FALSE()),0)</f>
        <v>0.45</v>
      </c>
      <c r="G66" s="14" t="n">
        <f aca="false">D66*F66</f>
        <v>0.09</v>
      </c>
      <c r="H66" s="18" t="s">
        <v>352</v>
      </c>
    </row>
    <row r="67" customFormat="false" ht="15" hidden="false" customHeight="false" outlineLevel="0" collapsed="false">
      <c r="A67" s="0" t="s">
        <v>280</v>
      </c>
      <c r="B67" s="0" t="s">
        <v>281</v>
      </c>
      <c r="C67" s="0" t="s">
        <v>30</v>
      </c>
      <c r="D67" s="17" t="n">
        <v>184</v>
      </c>
      <c r="E67" s="13" t="s">
        <v>27</v>
      </c>
      <c r="F67" s="12" t="n">
        <f aca="false">IFERROR(VLOOKUP(C67,Insumos!$C$5:$G$108,5,FALSE()),0)</f>
        <v>0.07</v>
      </c>
      <c r="G67" s="14" t="n">
        <f aca="false">D67*F67</f>
        <v>12.88</v>
      </c>
      <c r="H67" s="18" t="s">
        <v>343</v>
      </c>
    </row>
    <row r="68" customFormat="false" ht="15" hidden="false" customHeight="false" outlineLevel="0" collapsed="false">
      <c r="A68" s="0" t="s">
        <v>280</v>
      </c>
      <c r="B68" s="0" t="s">
        <v>281</v>
      </c>
      <c r="C68" s="0" t="s">
        <v>32</v>
      </c>
      <c r="D68" s="17" t="n">
        <v>100</v>
      </c>
      <c r="E68" s="13" t="s">
        <v>33</v>
      </c>
      <c r="F68" s="12" t="n">
        <f aca="false">IFERROR(VLOOKUP(C68,Insumos!$C$5:$G$108,5,FALSE()),0)</f>
        <v>0.048</v>
      </c>
      <c r="G68" s="14" t="n">
        <f aca="false">D68*F68</f>
        <v>4.8</v>
      </c>
      <c r="H68" s="18" t="s">
        <v>353</v>
      </c>
    </row>
    <row r="69" customFormat="false" ht="15" hidden="false" customHeight="false" outlineLevel="0" collapsed="false">
      <c r="A69" s="0" t="s">
        <v>280</v>
      </c>
      <c r="B69" s="0" t="s">
        <v>281</v>
      </c>
      <c r="C69" s="0" t="s">
        <v>181</v>
      </c>
      <c r="D69" s="17" t="n">
        <v>30</v>
      </c>
      <c r="E69" s="13" t="s">
        <v>27</v>
      </c>
      <c r="F69" s="12" t="n">
        <f aca="false">IFERROR(VLOOKUP(C69,Insumos!$C$5:$G$108,5,FALSE()),0)</f>
        <v>0.24</v>
      </c>
      <c r="G69" s="14" t="n">
        <f aca="false">D69*F69</f>
        <v>7.2</v>
      </c>
      <c r="H69" s="18" t="s">
        <v>338</v>
      </c>
    </row>
    <row r="70" customFormat="false" ht="15" hidden="false" customHeight="false" outlineLevel="0" collapsed="false">
      <c r="A70" s="0" t="s">
        <v>280</v>
      </c>
      <c r="B70" s="0" t="s">
        <v>281</v>
      </c>
      <c r="C70" s="0" t="s">
        <v>185</v>
      </c>
      <c r="D70" s="17" t="n">
        <v>24</v>
      </c>
      <c r="E70" s="13" t="s">
        <v>27</v>
      </c>
      <c r="F70" s="12" t="n">
        <f aca="false">IFERROR(VLOOKUP(C70,Insumos!$C$5:$G$108,5,FALSE()),0)</f>
        <v>0.3</v>
      </c>
      <c r="G70" s="14" t="n">
        <f aca="false">D70*F70</f>
        <v>7.2</v>
      </c>
      <c r="H70" s="18" t="s">
        <v>354</v>
      </c>
    </row>
    <row r="71" customFormat="false" ht="15" hidden="false" customHeight="false" outlineLevel="0" collapsed="false">
      <c r="A71" s="0" t="s">
        <v>280</v>
      </c>
      <c r="B71" s="0" t="s">
        <v>281</v>
      </c>
      <c r="C71" s="0" t="s">
        <v>103</v>
      </c>
      <c r="D71" s="17" t="n">
        <v>100</v>
      </c>
      <c r="E71" s="13" t="s">
        <v>27</v>
      </c>
      <c r="F71" s="12" t="n">
        <f aca="false">IFERROR(VLOOKUP(C71,Insumos!$C$5:$G$108,5,FALSE()),0)</f>
        <v>0.028</v>
      </c>
      <c r="G71" s="14" t="n">
        <f aca="false">D71*F71</f>
        <v>2.8</v>
      </c>
      <c r="H71" s="18" t="s">
        <v>355</v>
      </c>
    </row>
    <row r="72" customFormat="false" ht="15" hidden="false" customHeight="false" outlineLevel="0" collapsed="false">
      <c r="A72" s="0" t="s">
        <v>280</v>
      </c>
      <c r="B72" s="0" t="s">
        <v>281</v>
      </c>
      <c r="C72" s="0" t="s">
        <v>109</v>
      </c>
      <c r="D72" s="17" t="n">
        <v>16</v>
      </c>
      <c r="E72" s="13" t="s">
        <v>27</v>
      </c>
      <c r="F72" s="12" t="n">
        <f aca="false">IFERROR(VLOOKUP(C72,Insumos!$C$5:$G$108,5,FALSE()),0)</f>
        <v>0.11</v>
      </c>
      <c r="G72" s="14" t="n">
        <f aca="false">D72*F72</f>
        <v>1.76</v>
      </c>
      <c r="H72" s="18" t="s">
        <v>348</v>
      </c>
    </row>
    <row r="73" customFormat="false" ht="15" hidden="false" customHeight="false" outlineLevel="0" collapsed="false">
      <c r="A73" s="0" t="s">
        <v>280</v>
      </c>
      <c r="B73" s="0" t="s">
        <v>281</v>
      </c>
      <c r="C73" s="0" t="s">
        <v>216</v>
      </c>
      <c r="D73" s="17" t="n">
        <v>2.6</v>
      </c>
      <c r="E73" s="13" t="s">
        <v>27</v>
      </c>
      <c r="F73" s="12" t="n">
        <f aca="false">IFERROR(VLOOKUP(C73,Insumos!$C$5:$G$108,5,FALSE()),0)</f>
        <v>0.4</v>
      </c>
      <c r="G73" s="14" t="n">
        <f aca="false">D73*F73</f>
        <v>1.04</v>
      </c>
      <c r="H73" s="18" t="s">
        <v>356</v>
      </c>
    </row>
    <row r="74" customFormat="false" ht="15" hidden="false" customHeight="false" outlineLevel="0" collapsed="false">
      <c r="A74" s="0" t="s">
        <v>283</v>
      </c>
      <c r="B74" s="0" t="s">
        <v>284</v>
      </c>
      <c r="C74" s="0" t="s">
        <v>30</v>
      </c>
      <c r="D74" s="17" t="n">
        <v>184</v>
      </c>
      <c r="E74" s="13" t="s">
        <v>27</v>
      </c>
      <c r="F74" s="12" t="n">
        <f aca="false">IFERROR(VLOOKUP(C74,Insumos!$C$5:$G$108,5,FALSE()),0)</f>
        <v>0.07</v>
      </c>
      <c r="G74" s="14" t="n">
        <f aca="false">D74*F74</f>
        <v>12.88</v>
      </c>
      <c r="H74" s="18" t="s">
        <v>343</v>
      </c>
    </row>
    <row r="75" customFormat="false" ht="15" hidden="false" customHeight="false" outlineLevel="0" collapsed="false">
      <c r="A75" s="0" t="s">
        <v>283</v>
      </c>
      <c r="B75" s="0" t="s">
        <v>284</v>
      </c>
      <c r="C75" s="0" t="s">
        <v>32</v>
      </c>
      <c r="D75" s="17" t="n">
        <v>100</v>
      </c>
      <c r="E75" s="13" t="s">
        <v>33</v>
      </c>
      <c r="F75" s="12" t="n">
        <f aca="false">IFERROR(VLOOKUP(C75,Insumos!$C$5:$G$108,5,FALSE()),0)</f>
        <v>0.048</v>
      </c>
      <c r="G75" s="14" t="n">
        <f aca="false">D75*F75</f>
        <v>4.8</v>
      </c>
      <c r="H75" s="18" t="s">
        <v>353</v>
      </c>
    </row>
    <row r="76" customFormat="false" ht="15" hidden="false" customHeight="false" outlineLevel="0" collapsed="false">
      <c r="A76" s="0" t="s">
        <v>283</v>
      </c>
      <c r="B76" s="0" t="s">
        <v>284</v>
      </c>
      <c r="C76" s="0" t="s">
        <v>183</v>
      </c>
      <c r="D76" s="17" t="n">
        <v>60</v>
      </c>
      <c r="E76" s="13" t="s">
        <v>27</v>
      </c>
      <c r="F76" s="12" t="n">
        <f aca="false">IFERROR(VLOOKUP(C76,Insumos!$C$5:$G$108,5,FALSE()),0)</f>
        <v>0.28</v>
      </c>
      <c r="G76" s="14" t="n">
        <f aca="false">D76*F76</f>
        <v>16.8</v>
      </c>
      <c r="H76" s="18" t="s">
        <v>357</v>
      </c>
    </row>
    <row r="77" customFormat="false" ht="15" hidden="false" customHeight="false" outlineLevel="0" collapsed="false">
      <c r="A77" s="0" t="s">
        <v>283</v>
      </c>
      <c r="B77" s="0" t="s">
        <v>284</v>
      </c>
      <c r="C77" s="0" t="s">
        <v>181</v>
      </c>
      <c r="D77" s="17" t="n">
        <v>20</v>
      </c>
      <c r="E77" s="13" t="s">
        <v>27</v>
      </c>
      <c r="F77" s="12" t="n">
        <f aca="false">IFERROR(VLOOKUP(C77,Insumos!$C$5:$G$108,5,FALSE()),0)</f>
        <v>0.24</v>
      </c>
      <c r="G77" s="14" t="n">
        <f aca="false">D77*F77</f>
        <v>4.8</v>
      </c>
      <c r="H77" s="18" t="s">
        <v>358</v>
      </c>
    </row>
    <row r="78" customFormat="false" ht="15" hidden="false" customHeight="false" outlineLevel="0" collapsed="false">
      <c r="A78" s="0" t="s">
        <v>283</v>
      </c>
      <c r="B78" s="0" t="s">
        <v>284</v>
      </c>
      <c r="C78" s="0" t="s">
        <v>103</v>
      </c>
      <c r="D78" s="17" t="n">
        <v>100</v>
      </c>
      <c r="E78" s="13" t="s">
        <v>27</v>
      </c>
      <c r="F78" s="12" t="n">
        <f aca="false">IFERROR(VLOOKUP(C78,Insumos!$C$5:$G$108,5,FALSE()),0)</f>
        <v>0.028</v>
      </c>
      <c r="G78" s="14" t="n">
        <f aca="false">D78*F78</f>
        <v>2.8</v>
      </c>
      <c r="H78" s="18" t="s">
        <v>359</v>
      </c>
    </row>
    <row r="79" customFormat="false" ht="15" hidden="false" customHeight="false" outlineLevel="0" collapsed="false">
      <c r="A79" s="0" t="s">
        <v>283</v>
      </c>
      <c r="B79" s="0" t="s">
        <v>284</v>
      </c>
      <c r="C79" s="0" t="s">
        <v>109</v>
      </c>
      <c r="D79" s="17" t="n">
        <v>16</v>
      </c>
      <c r="E79" s="13" t="s">
        <v>27</v>
      </c>
      <c r="F79" s="12" t="n">
        <f aca="false">IFERROR(VLOOKUP(C79,Insumos!$C$5:$G$108,5,FALSE()),0)</f>
        <v>0.11</v>
      </c>
      <c r="G79" s="14" t="n">
        <f aca="false">D79*F79</f>
        <v>1.76</v>
      </c>
      <c r="H79" s="18" t="s">
        <v>348</v>
      </c>
    </row>
    <row r="80" customFormat="false" ht="15" hidden="false" customHeight="false" outlineLevel="0" collapsed="false">
      <c r="A80" s="0" t="s">
        <v>283</v>
      </c>
      <c r="B80" s="0" t="s">
        <v>284</v>
      </c>
      <c r="C80" s="0" t="s">
        <v>212</v>
      </c>
      <c r="D80" s="17" t="n">
        <v>1</v>
      </c>
      <c r="E80" s="13" t="s">
        <v>27</v>
      </c>
      <c r="F80" s="12" t="n">
        <f aca="false">IFERROR(VLOOKUP(C80,Insumos!$C$5:$G$108,5,FALSE()),0)</f>
        <v>0.45</v>
      </c>
      <c r="G80" s="14" t="n">
        <f aca="false">D80*F80</f>
        <v>0.45</v>
      </c>
      <c r="H80" s="18" t="s">
        <v>360</v>
      </c>
    </row>
    <row r="81" customFormat="false" ht="15" hidden="false" customHeight="false" outlineLevel="0" collapsed="false">
      <c r="A81" s="0" t="s">
        <v>286</v>
      </c>
      <c r="B81" s="0" t="s">
        <v>287</v>
      </c>
      <c r="C81" s="0" t="s">
        <v>30</v>
      </c>
      <c r="D81" s="17" t="n">
        <v>184</v>
      </c>
      <c r="E81" s="13" t="s">
        <v>27</v>
      </c>
      <c r="F81" s="12" t="n">
        <f aca="false">IFERROR(VLOOKUP(C81,Insumos!$C$5:$G$108,5,FALSE()),0)</f>
        <v>0.07</v>
      </c>
      <c r="G81" s="14" t="n">
        <f aca="false">D81*F81</f>
        <v>12.88</v>
      </c>
      <c r="H81" s="18" t="s">
        <v>361</v>
      </c>
    </row>
    <row r="82" customFormat="false" ht="15" hidden="false" customHeight="false" outlineLevel="0" collapsed="false">
      <c r="A82" s="0" t="s">
        <v>286</v>
      </c>
      <c r="B82" s="0" t="s">
        <v>287</v>
      </c>
      <c r="C82" s="0" t="s">
        <v>32</v>
      </c>
      <c r="D82" s="17" t="n">
        <v>100</v>
      </c>
      <c r="E82" s="13" t="s">
        <v>33</v>
      </c>
      <c r="F82" s="12" t="n">
        <f aca="false">IFERROR(VLOOKUP(C82,Insumos!$C$5:$G$108,5,FALSE()),0)</f>
        <v>0.048</v>
      </c>
      <c r="G82" s="14" t="n">
        <f aca="false">D82*F82</f>
        <v>4.8</v>
      </c>
      <c r="H82" s="18" t="s">
        <v>344</v>
      </c>
    </row>
    <row r="83" customFormat="false" ht="15" hidden="false" customHeight="false" outlineLevel="0" collapsed="false">
      <c r="A83" s="0" t="s">
        <v>286</v>
      </c>
      <c r="B83" s="0" t="s">
        <v>287</v>
      </c>
      <c r="C83" s="0" t="s">
        <v>181</v>
      </c>
      <c r="D83" s="17" t="n">
        <v>40</v>
      </c>
      <c r="E83" s="13" t="s">
        <v>27</v>
      </c>
      <c r="F83" s="12" t="n">
        <f aca="false">IFERROR(VLOOKUP(C83,Insumos!$C$5:$G$108,5,FALSE()),0)</f>
        <v>0.24</v>
      </c>
      <c r="G83" s="14" t="n">
        <f aca="false">D83*F83</f>
        <v>9.6</v>
      </c>
      <c r="H83" s="18" t="s">
        <v>345</v>
      </c>
    </row>
    <row r="84" customFormat="false" ht="15" hidden="false" customHeight="false" outlineLevel="0" collapsed="false">
      <c r="A84" s="0" t="s">
        <v>286</v>
      </c>
      <c r="B84" s="0" t="s">
        <v>287</v>
      </c>
      <c r="C84" s="0" t="s">
        <v>189</v>
      </c>
      <c r="D84" s="17" t="n">
        <v>10</v>
      </c>
      <c r="E84" s="13" t="s">
        <v>27</v>
      </c>
      <c r="F84" s="12" t="n">
        <f aca="false">IFERROR(VLOOKUP(C84,Insumos!$C$5:$G$108,5,FALSE()),0)</f>
        <v>0.38</v>
      </c>
      <c r="G84" s="14" t="n">
        <f aca="false">D84*F84</f>
        <v>3.8</v>
      </c>
      <c r="H84" s="18" t="s">
        <v>362</v>
      </c>
    </row>
    <row r="85" customFormat="false" ht="15" hidden="false" customHeight="false" outlineLevel="0" collapsed="false">
      <c r="A85" s="0" t="s">
        <v>286</v>
      </c>
      <c r="B85" s="0" t="s">
        <v>287</v>
      </c>
      <c r="C85" s="0" t="s">
        <v>103</v>
      </c>
      <c r="D85" s="17" t="n">
        <v>100</v>
      </c>
      <c r="E85" s="13" t="s">
        <v>27</v>
      </c>
      <c r="F85" s="12" t="n">
        <f aca="false">IFERROR(VLOOKUP(C85,Insumos!$C$5:$G$108,5,FALSE()),0)</f>
        <v>0.028</v>
      </c>
      <c r="G85" s="14" t="n">
        <f aca="false">D85*F85</f>
        <v>2.8</v>
      </c>
      <c r="H85" s="18" t="s">
        <v>355</v>
      </c>
    </row>
    <row r="86" customFormat="false" ht="15" hidden="false" customHeight="false" outlineLevel="0" collapsed="false">
      <c r="A86" s="0" t="s">
        <v>286</v>
      </c>
      <c r="B86" s="0" t="s">
        <v>287</v>
      </c>
      <c r="C86" s="0" t="s">
        <v>109</v>
      </c>
      <c r="D86" s="17" t="n">
        <v>16</v>
      </c>
      <c r="E86" s="13" t="s">
        <v>27</v>
      </c>
      <c r="F86" s="12" t="n">
        <f aca="false">IFERROR(VLOOKUP(C86,Insumos!$C$5:$G$108,5,FALSE()),0)</f>
        <v>0.11</v>
      </c>
      <c r="G86" s="14" t="n">
        <f aca="false">D86*F86</f>
        <v>1.76</v>
      </c>
      <c r="H86" s="18" t="s">
        <v>348</v>
      </c>
    </row>
    <row r="87" customFormat="false" ht="15" hidden="false" customHeight="false" outlineLevel="0" collapsed="false">
      <c r="A87" s="0" t="s">
        <v>286</v>
      </c>
      <c r="B87" s="0" t="s">
        <v>287</v>
      </c>
      <c r="C87" s="0" t="s">
        <v>166</v>
      </c>
      <c r="D87" s="17" t="n">
        <v>2</v>
      </c>
      <c r="E87" s="13" t="s">
        <v>27</v>
      </c>
      <c r="F87" s="12" t="n">
        <f aca="false">IFERROR(VLOOKUP(C87,Insumos!$C$5:$G$108,5,FALSE()),0)</f>
        <v>0.03</v>
      </c>
      <c r="G87" s="14" t="n">
        <f aca="false">D87*F87</f>
        <v>0.06</v>
      </c>
      <c r="H87" s="18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H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36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364</v>
      </c>
    </row>
    <row r="2" customFormat="false" ht="15" hidden="false" customHeight="false" outlineLevel="0" collapsed="false">
      <c r="A2" s="7" t="s">
        <v>365</v>
      </c>
    </row>
    <row r="4" customFormat="false" ht="30" hidden="false" customHeight="true" outlineLevel="0" collapsed="false">
      <c r="A4" s="8" t="s">
        <v>366</v>
      </c>
      <c r="B4" s="8" t="s">
        <v>367</v>
      </c>
      <c r="C4" s="8" t="s">
        <v>320</v>
      </c>
      <c r="D4" s="8" t="s">
        <v>17</v>
      </c>
      <c r="E4" s="8" t="s">
        <v>317</v>
      </c>
      <c r="F4" s="8" t="s">
        <v>18</v>
      </c>
      <c r="G4" s="8" t="s">
        <v>318</v>
      </c>
      <c r="H4" s="8" t="s">
        <v>319</v>
      </c>
    </row>
    <row r="5" customFormat="false" ht="15" hidden="false" customHeight="false" outlineLevel="0" collapsed="false">
      <c r="A5" s="0" t="n">
        <v>1</v>
      </c>
      <c r="B5" s="19" t="s">
        <v>368</v>
      </c>
      <c r="C5" s="18" t="s">
        <v>369</v>
      </c>
      <c r="D5" s="20" t="s">
        <v>101</v>
      </c>
      <c r="E5" s="17" t="n">
        <v>1200</v>
      </c>
      <c r="F5" s="13" t="s">
        <v>27</v>
      </c>
      <c r="G5" s="12" t="n">
        <f aca="false">IFERROR(VLOOKUP(D5,Insumos!$C$5:$G$108,5,FALSE()),0)</f>
        <v>0.03</v>
      </c>
      <c r="H5" s="14" t="n">
        <f aca="false">E5*G5</f>
        <v>36</v>
      </c>
    </row>
    <row r="6" customFormat="false" ht="15" hidden="false" customHeight="false" outlineLevel="0" collapsed="false">
      <c r="A6" s="0" t="n">
        <v>1</v>
      </c>
      <c r="B6" s="19" t="s">
        <v>368</v>
      </c>
      <c r="C6" s="18" t="s">
        <v>370</v>
      </c>
      <c r="D6" s="20" t="s">
        <v>30</v>
      </c>
      <c r="E6" s="17" t="n">
        <v>120</v>
      </c>
      <c r="F6" s="13" t="s">
        <v>27</v>
      </c>
      <c r="G6" s="12" t="n">
        <f aca="false">IFERROR(VLOOKUP(D6,Insumos!$C$5:$G$108,5,FALSE()),0)</f>
        <v>0.07</v>
      </c>
      <c r="H6" s="14" t="n">
        <f aca="false">E6*G6</f>
        <v>8.4</v>
      </c>
    </row>
    <row r="7" customFormat="false" ht="15" hidden="false" customHeight="false" outlineLevel="0" collapsed="false">
      <c r="A7" s="0" t="n">
        <v>1</v>
      </c>
      <c r="B7" s="19" t="s">
        <v>368</v>
      </c>
      <c r="C7" s="18" t="s">
        <v>371</v>
      </c>
      <c r="D7" s="20" t="s">
        <v>103</v>
      </c>
      <c r="E7" s="17" t="n">
        <v>250</v>
      </c>
      <c r="F7" s="13" t="s">
        <v>27</v>
      </c>
      <c r="G7" s="12" t="n">
        <f aca="false">IFERROR(VLOOKUP(D7,Insumos!$C$5:$G$108,5,FALSE()),0)</f>
        <v>0.028</v>
      </c>
      <c r="H7" s="14" t="n">
        <f aca="false">E7*G7</f>
        <v>7</v>
      </c>
    </row>
    <row r="8" customFormat="false" ht="15" hidden="false" customHeight="false" outlineLevel="0" collapsed="false">
      <c r="A8" s="0" t="n">
        <v>1</v>
      </c>
      <c r="B8" s="19" t="s">
        <v>368</v>
      </c>
      <c r="C8" s="18" t="s">
        <v>372</v>
      </c>
      <c r="D8" s="20" t="s">
        <v>109</v>
      </c>
      <c r="E8" s="17" t="n">
        <v>15</v>
      </c>
      <c r="F8" s="13" t="s">
        <v>27</v>
      </c>
      <c r="G8" s="12" t="n">
        <f aca="false">IFERROR(VLOOKUP(D8,Insumos!$C$5:$G$108,5,FALSE()),0)</f>
        <v>0.11</v>
      </c>
      <c r="H8" s="14" t="n">
        <f aca="false">E8*G8</f>
        <v>1.65</v>
      </c>
    </row>
    <row r="9" customFormat="false" ht="15" hidden="false" customHeight="false" outlineLevel="0" collapsed="false">
      <c r="A9" s="0" t="n">
        <v>1</v>
      </c>
      <c r="B9" s="19" t="s">
        <v>368</v>
      </c>
      <c r="C9" s="18" t="s">
        <v>373</v>
      </c>
      <c r="D9" s="20" t="s">
        <v>198</v>
      </c>
      <c r="E9" s="17" t="n">
        <v>18</v>
      </c>
      <c r="F9" s="13" t="s">
        <v>27</v>
      </c>
      <c r="G9" s="12" t="n">
        <f aca="false">IFERROR(VLOOKUP(D9,Insumos!$C$5:$G$108,5,FALSE()),0)</f>
        <v>0.035</v>
      </c>
      <c r="H9" s="14" t="n">
        <f aca="false">E9*G9</f>
        <v>0.63</v>
      </c>
    </row>
    <row r="10" customFormat="false" ht="15" hidden="false" customHeight="false" outlineLevel="0" collapsed="false">
      <c r="A10" s="0" t="n">
        <v>1</v>
      </c>
      <c r="B10" s="19" t="s">
        <v>368</v>
      </c>
      <c r="C10" s="18" t="s">
        <v>374</v>
      </c>
      <c r="D10" s="20" t="s">
        <v>200</v>
      </c>
      <c r="E10" s="17" t="n">
        <v>3</v>
      </c>
      <c r="F10" s="13" t="s">
        <v>27</v>
      </c>
      <c r="G10" s="12" t="n">
        <f aca="false">IFERROR(VLOOKUP(D10,Insumos!$C$5:$G$108,5,FALSE()),0)</f>
        <v>0.45</v>
      </c>
      <c r="H10" s="14" t="n">
        <f aca="false">E10*G10</f>
        <v>1.35</v>
      </c>
    </row>
    <row r="11" customFormat="false" ht="15" hidden="false" customHeight="false" outlineLevel="0" collapsed="false">
      <c r="A11" s="0" t="n">
        <v>1</v>
      </c>
      <c r="B11" s="19" t="s">
        <v>368</v>
      </c>
      <c r="C11" s="18" t="s">
        <v>375</v>
      </c>
      <c r="D11" s="20" t="s">
        <v>202</v>
      </c>
      <c r="E11" s="17" t="n">
        <v>2</v>
      </c>
      <c r="F11" s="13" t="s">
        <v>27</v>
      </c>
      <c r="G11" s="12" t="n">
        <f aca="false">IFERROR(VLOOKUP(D11,Insumos!$C$5:$G$108,5,FALSE()),0)</f>
        <v>0.38</v>
      </c>
      <c r="H11" s="14" t="n">
        <f aca="false">E11*G11</f>
        <v>0.76</v>
      </c>
    </row>
    <row r="12" customFormat="false" ht="15" hidden="false" customHeight="false" outlineLevel="0" collapsed="false">
      <c r="A12" s="0" t="n">
        <v>1</v>
      </c>
      <c r="B12" s="19" t="s">
        <v>368</v>
      </c>
      <c r="C12" s="18" t="s">
        <v>376</v>
      </c>
      <c r="D12" s="20" t="s">
        <v>26</v>
      </c>
      <c r="E12" s="17" t="n">
        <v>1000</v>
      </c>
      <c r="F12" s="13" t="s">
        <v>27</v>
      </c>
      <c r="G12" s="12" t="n">
        <f aca="false">IFERROR(VLOOKUP(D12,Insumos!$C$5:$G$108,5,FALSE()),0)</f>
        <v>0.03</v>
      </c>
      <c r="H12" s="14" t="n">
        <f aca="false">E12*G12</f>
        <v>30</v>
      </c>
    </row>
    <row r="13" customFormat="false" ht="15" hidden="false" customHeight="false" outlineLevel="0" collapsed="false">
      <c r="A13" s="0" t="n">
        <v>2</v>
      </c>
      <c r="B13" s="19" t="s">
        <v>377</v>
      </c>
      <c r="C13" s="18" t="s">
        <v>378</v>
      </c>
      <c r="D13" s="20" t="s">
        <v>42</v>
      </c>
      <c r="E13" s="17" t="n">
        <v>700</v>
      </c>
      <c r="F13" s="13" t="s">
        <v>27</v>
      </c>
      <c r="G13" s="12" t="n">
        <f aca="false">IFERROR(VLOOKUP(D13,Insumos!$C$5:$G$108,5,FALSE()),0)</f>
        <v>0.19</v>
      </c>
      <c r="H13" s="14" t="n">
        <f aca="false">E13*G13</f>
        <v>133</v>
      </c>
    </row>
    <row r="14" customFormat="false" ht="15" hidden="false" customHeight="false" outlineLevel="0" collapsed="false">
      <c r="A14" s="0" t="n">
        <v>2</v>
      </c>
      <c r="B14" s="19" t="s">
        <v>377</v>
      </c>
      <c r="C14" s="18" t="s">
        <v>379</v>
      </c>
      <c r="D14" s="20" t="s">
        <v>181</v>
      </c>
      <c r="E14" s="17" t="n">
        <v>60</v>
      </c>
      <c r="F14" s="13" t="s">
        <v>27</v>
      </c>
      <c r="G14" s="12" t="n">
        <f aca="false">IFERROR(VLOOKUP(D14,Insumos!$C$5:$G$108,5,FALSE()),0)</f>
        <v>0.24</v>
      </c>
      <c r="H14" s="14" t="n">
        <f aca="false">E14*G14</f>
        <v>14.4</v>
      </c>
    </row>
    <row r="15" customFormat="false" ht="15" hidden="false" customHeight="false" outlineLevel="0" collapsed="false">
      <c r="A15" s="0" t="n">
        <v>2</v>
      </c>
      <c r="B15" s="19" t="s">
        <v>377</v>
      </c>
      <c r="C15" s="18" t="s">
        <v>380</v>
      </c>
      <c r="D15" s="20" t="s">
        <v>183</v>
      </c>
      <c r="E15" s="17" t="n">
        <v>30</v>
      </c>
      <c r="F15" s="13" t="s">
        <v>27</v>
      </c>
      <c r="G15" s="12" t="n">
        <f aca="false">IFERROR(VLOOKUP(D15,Insumos!$C$5:$G$108,5,FALSE()),0)</f>
        <v>0.28</v>
      </c>
      <c r="H15" s="14" t="n">
        <f aca="false">E15*G15</f>
        <v>8.4</v>
      </c>
    </row>
    <row r="16" customFormat="false" ht="15" hidden="false" customHeight="false" outlineLevel="0" collapsed="false">
      <c r="A16" s="0" t="n">
        <v>2</v>
      </c>
      <c r="B16" s="19" t="s">
        <v>377</v>
      </c>
      <c r="C16" s="18" t="s">
        <v>381</v>
      </c>
      <c r="D16" s="20" t="s">
        <v>109</v>
      </c>
      <c r="E16" s="17" t="n">
        <v>12</v>
      </c>
      <c r="F16" s="13" t="s">
        <v>27</v>
      </c>
      <c r="G16" s="12" t="n">
        <f aca="false">IFERROR(VLOOKUP(D16,Insumos!$C$5:$G$108,5,FALSE()),0)</f>
        <v>0.11</v>
      </c>
      <c r="H16" s="14" t="n">
        <f aca="false">E16*G16</f>
        <v>1.32</v>
      </c>
    </row>
    <row r="17" customFormat="false" ht="15" hidden="false" customHeight="false" outlineLevel="0" collapsed="false">
      <c r="A17" s="0" t="n">
        <v>2</v>
      </c>
      <c r="B17" s="19" t="s">
        <v>377</v>
      </c>
      <c r="C17" s="18" t="s">
        <v>382</v>
      </c>
      <c r="D17" s="20" t="s">
        <v>103</v>
      </c>
      <c r="E17" s="17" t="n">
        <v>150</v>
      </c>
      <c r="F17" s="13" t="s">
        <v>27</v>
      </c>
      <c r="G17" s="12" t="n">
        <f aca="false">IFERROR(VLOOKUP(D17,Insumos!$C$5:$G$108,5,FALSE()),0)</f>
        <v>0.028</v>
      </c>
      <c r="H17" s="14" t="n">
        <f aca="false">E17*G17</f>
        <v>4.2</v>
      </c>
    </row>
    <row r="18" customFormat="false" ht="15" hidden="false" customHeight="false" outlineLevel="0" collapsed="false">
      <c r="A18" s="0" t="n">
        <v>2</v>
      </c>
      <c r="B18" s="19" t="s">
        <v>377</v>
      </c>
      <c r="C18" s="18" t="s">
        <v>334</v>
      </c>
      <c r="D18" s="20" t="s">
        <v>206</v>
      </c>
      <c r="E18" s="17" t="n">
        <v>0.6</v>
      </c>
      <c r="F18" s="13" t="s">
        <v>27</v>
      </c>
      <c r="G18" s="12" t="n">
        <f aca="false">IFERROR(VLOOKUP(D18,Insumos!$C$5:$G$108,5,FALSE()),0)</f>
        <v>0.4</v>
      </c>
      <c r="H18" s="14" t="n">
        <f aca="false">E18*G18</f>
        <v>0.24</v>
      </c>
    </row>
    <row r="19" customFormat="false" ht="15" hidden="false" customHeight="false" outlineLevel="0" collapsed="false">
      <c r="A19" s="0" t="n">
        <v>2</v>
      </c>
      <c r="B19" s="19" t="s">
        <v>377</v>
      </c>
      <c r="C19" s="18" t="s">
        <v>383</v>
      </c>
      <c r="D19" s="20" t="s">
        <v>204</v>
      </c>
      <c r="E19" s="17" t="n">
        <v>2</v>
      </c>
      <c r="F19" s="13" t="s">
        <v>27</v>
      </c>
      <c r="G19" s="12" t="n">
        <f aca="false">IFERROR(VLOOKUP(D19,Insumos!$C$5:$G$108,5,FALSE()),0)</f>
        <v>0.3</v>
      </c>
      <c r="H19" s="14" t="n">
        <f aca="false">E19*G19</f>
        <v>0.6</v>
      </c>
    </row>
    <row r="20" customFormat="false" ht="15" hidden="false" customHeight="false" outlineLevel="0" collapsed="false">
      <c r="A20" s="0" t="n">
        <v>2</v>
      </c>
      <c r="B20" s="19" t="s">
        <v>377</v>
      </c>
      <c r="C20" s="18" t="s">
        <v>384</v>
      </c>
      <c r="D20" s="20" t="s">
        <v>208</v>
      </c>
      <c r="E20" s="17" t="n">
        <v>1</v>
      </c>
      <c r="F20" s="13" t="s">
        <v>27</v>
      </c>
      <c r="G20" s="12" t="n">
        <f aca="false">IFERROR(VLOOKUP(D20,Insumos!$C$5:$G$108,5,FALSE()),0)</f>
        <v>0.9</v>
      </c>
      <c r="H20" s="14" t="n">
        <f aca="false">E20*G20</f>
        <v>0.9</v>
      </c>
    </row>
    <row r="21" customFormat="false" ht="15" hidden="false" customHeight="false" outlineLevel="0" collapsed="false">
      <c r="A21" s="0" t="n">
        <v>2</v>
      </c>
      <c r="B21" s="19" t="s">
        <v>377</v>
      </c>
      <c r="C21" s="18" t="s">
        <v>385</v>
      </c>
      <c r="D21" s="20" t="s">
        <v>198</v>
      </c>
      <c r="E21" s="17" t="n">
        <v>12</v>
      </c>
      <c r="F21" s="13" t="s">
        <v>27</v>
      </c>
      <c r="G21" s="12" t="n">
        <f aca="false">IFERROR(VLOOKUP(D21,Insumos!$C$5:$G$108,5,FALSE()),0)</f>
        <v>0.035</v>
      </c>
      <c r="H21" s="14" t="n">
        <f aca="false">E21*G21</f>
        <v>0.42</v>
      </c>
    </row>
    <row r="22" customFormat="false" ht="15" hidden="false" customHeight="false" outlineLevel="0" collapsed="false">
      <c r="A22" s="0" t="n">
        <v>2</v>
      </c>
      <c r="B22" s="19" t="s">
        <v>377</v>
      </c>
      <c r="C22" s="18" t="s">
        <v>386</v>
      </c>
      <c r="D22" s="20" t="s">
        <v>251</v>
      </c>
      <c r="E22" s="17" t="n">
        <v>200</v>
      </c>
      <c r="F22" s="13" t="s">
        <v>33</v>
      </c>
      <c r="G22" s="12" t="n">
        <f aca="false">IFERROR(VLOOKUP(D22,Insumos!$C$5:$G$108,5,FALSE()),0)</f>
        <v>0.002</v>
      </c>
      <c r="H22" s="14" t="n">
        <f aca="false">E22*G22</f>
        <v>0.4</v>
      </c>
    </row>
    <row r="23" customFormat="false" ht="15" hidden="false" customHeight="false" outlineLevel="0" collapsed="false">
      <c r="A23" s="0" t="n">
        <v>2</v>
      </c>
      <c r="B23" s="19" t="s">
        <v>377</v>
      </c>
      <c r="C23" s="18" t="s">
        <v>387</v>
      </c>
      <c r="D23" s="20" t="s">
        <v>26</v>
      </c>
      <c r="E23" s="17" t="n">
        <v>1000</v>
      </c>
      <c r="F23" s="13" t="s">
        <v>27</v>
      </c>
      <c r="G23" s="12" t="n">
        <f aca="false">IFERROR(VLOOKUP(D23,Insumos!$C$5:$G$108,5,FALSE()),0)</f>
        <v>0.03</v>
      </c>
      <c r="H23" s="14" t="n">
        <f aca="false">E23*G23</f>
        <v>30</v>
      </c>
    </row>
    <row r="24" customFormat="false" ht="15" hidden="false" customHeight="false" outlineLevel="0" collapsed="false">
      <c r="A24" s="0" t="n">
        <v>3</v>
      </c>
      <c r="B24" s="19" t="s">
        <v>388</v>
      </c>
      <c r="C24" s="18" t="s">
        <v>389</v>
      </c>
      <c r="D24" s="20" t="s">
        <v>234</v>
      </c>
      <c r="E24" s="17" t="n">
        <v>400</v>
      </c>
      <c r="F24" s="13" t="s">
        <v>27</v>
      </c>
      <c r="G24" s="12" t="n">
        <f aca="false">IFERROR(VLOOKUP(D24,Insumos!$C$5:$G$108,5,FALSE()),0)</f>
        <v>0.042</v>
      </c>
      <c r="H24" s="14" t="n">
        <f aca="false">E24*G24</f>
        <v>16.8</v>
      </c>
    </row>
    <row r="25" customFormat="false" ht="15" hidden="false" customHeight="false" outlineLevel="0" collapsed="false">
      <c r="A25" s="0" t="n">
        <v>3</v>
      </c>
      <c r="B25" s="19" t="s">
        <v>388</v>
      </c>
      <c r="C25" s="18" t="s">
        <v>390</v>
      </c>
      <c r="D25" s="20" t="s">
        <v>30</v>
      </c>
      <c r="E25" s="17" t="n">
        <v>100</v>
      </c>
      <c r="F25" s="13" t="s">
        <v>27</v>
      </c>
      <c r="G25" s="12" t="n">
        <f aca="false">IFERROR(VLOOKUP(D25,Insumos!$C$5:$G$108,5,FALSE()),0)</f>
        <v>0.07</v>
      </c>
      <c r="H25" s="14" t="n">
        <f aca="false">E25*G25</f>
        <v>7</v>
      </c>
    </row>
    <row r="26" customFormat="false" ht="15" hidden="false" customHeight="false" outlineLevel="0" collapsed="false">
      <c r="A26" s="0" t="n">
        <v>3</v>
      </c>
      <c r="B26" s="19" t="s">
        <v>388</v>
      </c>
      <c r="C26" s="18" t="s">
        <v>391</v>
      </c>
      <c r="D26" s="20" t="s">
        <v>103</v>
      </c>
      <c r="E26" s="17" t="n">
        <v>150</v>
      </c>
      <c r="F26" s="13" t="s">
        <v>27</v>
      </c>
      <c r="G26" s="12" t="n">
        <f aca="false">IFERROR(VLOOKUP(D26,Insumos!$C$5:$G$108,5,FALSE()),0)</f>
        <v>0.028</v>
      </c>
      <c r="H26" s="14" t="n">
        <f aca="false">E26*G26</f>
        <v>4.2</v>
      </c>
    </row>
    <row r="27" customFormat="false" ht="15" hidden="false" customHeight="false" outlineLevel="0" collapsed="false">
      <c r="A27" s="0" t="n">
        <v>3</v>
      </c>
      <c r="B27" s="19" t="s">
        <v>388</v>
      </c>
      <c r="C27" s="18" t="s">
        <v>392</v>
      </c>
      <c r="D27" s="20" t="s">
        <v>193</v>
      </c>
      <c r="E27" s="17" t="n">
        <v>2</v>
      </c>
      <c r="F27" s="13" t="s">
        <v>27</v>
      </c>
      <c r="G27" s="12" t="n">
        <f aca="false">IFERROR(VLOOKUP(D27,Insumos!$C$5:$G$108,5,FALSE()),0)</f>
        <v>0.25</v>
      </c>
      <c r="H27" s="14" t="n">
        <f aca="false">E27*G27</f>
        <v>0.5</v>
      </c>
    </row>
    <row r="28" customFormat="false" ht="15" hidden="false" customHeight="false" outlineLevel="0" collapsed="false">
      <c r="A28" s="0" t="n">
        <v>3</v>
      </c>
      <c r="B28" s="19" t="s">
        <v>388</v>
      </c>
      <c r="C28" s="18" t="s">
        <v>393</v>
      </c>
      <c r="D28" s="20" t="s">
        <v>216</v>
      </c>
      <c r="E28" s="17" t="n">
        <v>3.9</v>
      </c>
      <c r="F28" s="13" t="s">
        <v>27</v>
      </c>
      <c r="G28" s="12" t="n">
        <f aca="false">IFERROR(VLOOKUP(D28,Insumos!$C$5:$G$108,5,FALSE()),0)</f>
        <v>0.4</v>
      </c>
      <c r="H28" s="14" t="n">
        <f aca="false">E28*G28</f>
        <v>1.56</v>
      </c>
    </row>
    <row r="29" customFormat="false" ht="15" hidden="false" customHeight="false" outlineLevel="0" collapsed="false">
      <c r="A29" s="0" t="n">
        <v>3</v>
      </c>
      <c r="B29" s="19" t="s">
        <v>388</v>
      </c>
      <c r="C29" s="18" t="s">
        <v>394</v>
      </c>
      <c r="D29" s="20" t="s">
        <v>198</v>
      </c>
      <c r="E29" s="17" t="n">
        <v>14</v>
      </c>
      <c r="F29" s="13" t="s">
        <v>27</v>
      </c>
      <c r="G29" s="12" t="n">
        <f aca="false">IFERROR(VLOOKUP(D29,Insumos!$C$5:$G$108,5,FALSE()),0)</f>
        <v>0.035</v>
      </c>
      <c r="H29" s="14" t="n">
        <f aca="false">E29*G29</f>
        <v>0.49</v>
      </c>
    </row>
    <row r="30" customFormat="false" ht="15" hidden="false" customHeight="false" outlineLevel="0" collapsed="false">
      <c r="A30" s="0" t="n">
        <v>3</v>
      </c>
      <c r="B30" s="19" t="s">
        <v>388</v>
      </c>
      <c r="C30" s="18" t="s">
        <v>387</v>
      </c>
      <c r="D30" s="20" t="s">
        <v>26</v>
      </c>
      <c r="E30" s="17" t="n">
        <v>1000</v>
      </c>
      <c r="F30" s="13" t="s">
        <v>27</v>
      </c>
      <c r="G30" s="12" t="n">
        <f aca="false">IFERROR(VLOOKUP(D30,Insumos!$C$5:$G$108,5,FALSE()),0)</f>
        <v>0.03</v>
      </c>
      <c r="H30" s="14" t="n">
        <f aca="false">E30*G30</f>
        <v>30</v>
      </c>
    </row>
    <row r="31" customFormat="false" ht="15" hidden="false" customHeight="false" outlineLevel="0" collapsed="false">
      <c r="A31" s="0" t="n">
        <v>4</v>
      </c>
      <c r="B31" s="19" t="s">
        <v>395</v>
      </c>
      <c r="C31" s="18" t="s">
        <v>396</v>
      </c>
      <c r="D31" s="20" t="s">
        <v>48</v>
      </c>
      <c r="E31" s="17" t="n">
        <v>1100</v>
      </c>
      <c r="F31" s="13" t="s">
        <v>27</v>
      </c>
      <c r="G31" s="12" t="n">
        <f aca="false">IFERROR(VLOOKUP(D31,Insumos!$C$5:$G$108,5,FALSE()),0)</f>
        <v>0.125</v>
      </c>
      <c r="H31" s="14" t="n">
        <f aca="false">E31*G31</f>
        <v>137.5</v>
      </c>
    </row>
    <row r="32" customFormat="false" ht="15" hidden="false" customHeight="false" outlineLevel="0" collapsed="false">
      <c r="A32" s="0" t="n">
        <v>4</v>
      </c>
      <c r="B32" s="19" t="s">
        <v>395</v>
      </c>
      <c r="C32" s="18" t="s">
        <v>397</v>
      </c>
      <c r="D32" s="20" t="s">
        <v>183</v>
      </c>
      <c r="E32" s="17" t="n">
        <v>75</v>
      </c>
      <c r="F32" s="13" t="s">
        <v>27</v>
      </c>
      <c r="G32" s="12" t="n">
        <f aca="false">IFERROR(VLOOKUP(D32,Insumos!$C$5:$G$108,5,FALSE()),0)</f>
        <v>0.28</v>
      </c>
      <c r="H32" s="14" t="n">
        <f aca="false">E32*G32</f>
        <v>21</v>
      </c>
    </row>
    <row r="33" customFormat="false" ht="15" hidden="false" customHeight="false" outlineLevel="0" collapsed="false">
      <c r="A33" s="0" t="n">
        <v>4</v>
      </c>
      <c r="B33" s="19" t="s">
        <v>395</v>
      </c>
      <c r="C33" s="18" t="s">
        <v>398</v>
      </c>
      <c r="D33" s="20" t="s">
        <v>181</v>
      </c>
      <c r="E33" s="17" t="n">
        <v>30</v>
      </c>
      <c r="F33" s="13" t="s">
        <v>27</v>
      </c>
      <c r="G33" s="12" t="n">
        <f aca="false">IFERROR(VLOOKUP(D33,Insumos!$C$5:$G$108,5,FALSE()),0)</f>
        <v>0.24</v>
      </c>
      <c r="H33" s="14" t="n">
        <f aca="false">E33*G33</f>
        <v>7.2</v>
      </c>
    </row>
    <row r="34" customFormat="false" ht="15" hidden="false" customHeight="false" outlineLevel="0" collapsed="false">
      <c r="A34" s="0" t="n">
        <v>4</v>
      </c>
      <c r="B34" s="19" t="s">
        <v>395</v>
      </c>
      <c r="C34" s="18" t="s">
        <v>399</v>
      </c>
      <c r="D34" s="20" t="s">
        <v>185</v>
      </c>
      <c r="E34" s="17" t="n">
        <v>15</v>
      </c>
      <c r="F34" s="13" t="s">
        <v>27</v>
      </c>
      <c r="G34" s="12" t="n">
        <f aca="false">IFERROR(VLOOKUP(D34,Insumos!$C$5:$G$108,5,FALSE()),0)</f>
        <v>0.3</v>
      </c>
      <c r="H34" s="14" t="n">
        <f aca="false">E34*G34</f>
        <v>4.5</v>
      </c>
    </row>
    <row r="35" customFormat="false" ht="15" hidden="false" customHeight="false" outlineLevel="0" collapsed="false">
      <c r="A35" s="0" t="n">
        <v>4</v>
      </c>
      <c r="B35" s="19" t="s">
        <v>395</v>
      </c>
      <c r="C35" s="18" t="s">
        <v>400</v>
      </c>
      <c r="D35" s="20" t="s">
        <v>109</v>
      </c>
      <c r="E35" s="17" t="n">
        <v>16</v>
      </c>
      <c r="F35" s="13" t="s">
        <v>27</v>
      </c>
      <c r="G35" s="12" t="n">
        <f aca="false">IFERROR(VLOOKUP(D35,Insumos!$C$5:$G$108,5,FALSE()),0)</f>
        <v>0.11</v>
      </c>
      <c r="H35" s="14" t="n">
        <f aca="false">E35*G35</f>
        <v>1.76</v>
      </c>
    </row>
    <row r="36" customFormat="false" ht="15" hidden="false" customHeight="false" outlineLevel="0" collapsed="false">
      <c r="A36" s="0" t="n">
        <v>4</v>
      </c>
      <c r="B36" s="19" t="s">
        <v>395</v>
      </c>
      <c r="C36" s="18" t="s">
        <v>401</v>
      </c>
      <c r="D36" s="20" t="s">
        <v>111</v>
      </c>
      <c r="E36" s="17" t="n">
        <v>150</v>
      </c>
      <c r="F36" s="13" t="s">
        <v>27</v>
      </c>
      <c r="G36" s="12" t="n">
        <f aca="false">IFERROR(VLOOKUP(D36,Insumos!$C$5:$G$108,5,FALSE()),0)</f>
        <v>0.03</v>
      </c>
      <c r="H36" s="14" t="n">
        <f aca="false">E36*G36</f>
        <v>4.5</v>
      </c>
    </row>
    <row r="37" customFormat="false" ht="15" hidden="false" customHeight="false" outlineLevel="0" collapsed="false">
      <c r="A37" s="0" t="n">
        <v>4</v>
      </c>
      <c r="B37" s="19" t="s">
        <v>395</v>
      </c>
      <c r="C37" s="18" t="s">
        <v>402</v>
      </c>
      <c r="D37" s="20" t="s">
        <v>103</v>
      </c>
      <c r="E37" s="17" t="n">
        <v>120</v>
      </c>
      <c r="F37" s="13" t="s">
        <v>27</v>
      </c>
      <c r="G37" s="12" t="n">
        <f aca="false">IFERROR(VLOOKUP(D37,Insumos!$C$5:$G$108,5,FALSE()),0)</f>
        <v>0.028</v>
      </c>
      <c r="H37" s="14" t="n">
        <f aca="false">E37*G37</f>
        <v>3.36</v>
      </c>
    </row>
    <row r="38" customFormat="false" ht="15" hidden="false" customHeight="false" outlineLevel="0" collapsed="false">
      <c r="A38" s="0" t="n">
        <v>4</v>
      </c>
      <c r="B38" s="19" t="s">
        <v>395</v>
      </c>
      <c r="C38" s="18" t="s">
        <v>403</v>
      </c>
      <c r="D38" s="20" t="s">
        <v>202</v>
      </c>
      <c r="E38" s="17" t="n">
        <v>2</v>
      </c>
      <c r="F38" s="13" t="s">
        <v>27</v>
      </c>
      <c r="G38" s="12" t="n">
        <f aca="false">IFERROR(VLOOKUP(D38,Insumos!$C$5:$G$108,5,FALSE()),0)</f>
        <v>0.38</v>
      </c>
      <c r="H38" s="14" t="n">
        <f aca="false">E38*G38</f>
        <v>0.76</v>
      </c>
    </row>
    <row r="39" customFormat="false" ht="15" hidden="false" customHeight="false" outlineLevel="0" collapsed="false">
      <c r="A39" s="0" t="n">
        <v>4</v>
      </c>
      <c r="B39" s="19" t="s">
        <v>395</v>
      </c>
      <c r="C39" s="18" t="s">
        <v>404</v>
      </c>
      <c r="D39" s="20" t="s">
        <v>210</v>
      </c>
      <c r="E39" s="17" t="n">
        <v>2</v>
      </c>
      <c r="F39" s="13" t="s">
        <v>27</v>
      </c>
      <c r="G39" s="12" t="n">
        <f aca="false">IFERROR(VLOOKUP(D39,Insumos!$C$5:$G$108,5,FALSE()),0)</f>
        <v>0.45</v>
      </c>
      <c r="H39" s="14" t="n">
        <f aca="false">E39*G39</f>
        <v>0.9</v>
      </c>
    </row>
    <row r="40" customFormat="false" ht="15" hidden="false" customHeight="false" outlineLevel="0" collapsed="false">
      <c r="A40" s="0" t="n">
        <v>4</v>
      </c>
      <c r="B40" s="19" t="s">
        <v>395</v>
      </c>
      <c r="C40" s="18" t="s">
        <v>405</v>
      </c>
      <c r="D40" s="20" t="s">
        <v>212</v>
      </c>
      <c r="E40" s="17" t="n">
        <v>1</v>
      </c>
      <c r="F40" s="13" t="s">
        <v>27</v>
      </c>
      <c r="G40" s="12" t="n">
        <f aca="false">IFERROR(VLOOKUP(D40,Insumos!$C$5:$G$108,5,FALSE()),0)</f>
        <v>0.45</v>
      </c>
      <c r="H40" s="14" t="n">
        <f aca="false">E40*G40</f>
        <v>0.45</v>
      </c>
    </row>
    <row r="41" customFormat="false" ht="15" hidden="false" customHeight="false" outlineLevel="0" collapsed="false">
      <c r="A41" s="0" t="n">
        <v>4</v>
      </c>
      <c r="B41" s="19" t="s">
        <v>395</v>
      </c>
      <c r="C41" s="18" t="s">
        <v>406</v>
      </c>
      <c r="D41" s="20" t="s">
        <v>30</v>
      </c>
      <c r="E41" s="17" t="n">
        <v>50</v>
      </c>
      <c r="F41" s="13" t="s">
        <v>27</v>
      </c>
      <c r="G41" s="12" t="n">
        <f aca="false">IFERROR(VLOOKUP(D41,Insumos!$C$5:$G$108,5,FALSE()),0)</f>
        <v>0.07</v>
      </c>
      <c r="H41" s="14" t="n">
        <f aca="false">E41*G41</f>
        <v>3.5</v>
      </c>
    </row>
    <row r="42" customFormat="false" ht="15" hidden="false" customHeight="false" outlineLevel="0" collapsed="false">
      <c r="A42" s="0" t="n">
        <v>4</v>
      </c>
      <c r="B42" s="19" t="s">
        <v>395</v>
      </c>
      <c r="C42" s="18" t="s">
        <v>407</v>
      </c>
      <c r="D42" s="20" t="s">
        <v>198</v>
      </c>
      <c r="E42" s="17" t="n">
        <v>16</v>
      </c>
      <c r="F42" s="13" t="s">
        <v>27</v>
      </c>
      <c r="G42" s="12" t="n">
        <f aca="false">IFERROR(VLOOKUP(D42,Insumos!$C$5:$G$108,5,FALSE()),0)</f>
        <v>0.035</v>
      </c>
      <c r="H42" s="14" t="n">
        <f aca="false">E42*G42</f>
        <v>0.56</v>
      </c>
    </row>
    <row r="43" customFormat="false" ht="15" hidden="false" customHeight="false" outlineLevel="0" collapsed="false">
      <c r="A43" s="0" t="n">
        <v>4</v>
      </c>
      <c r="B43" s="19" t="s">
        <v>395</v>
      </c>
      <c r="C43" s="18" t="s">
        <v>387</v>
      </c>
      <c r="D43" s="20" t="s">
        <v>26</v>
      </c>
      <c r="E43" s="17" t="n">
        <v>1000</v>
      </c>
      <c r="F43" s="13" t="s">
        <v>27</v>
      </c>
      <c r="G43" s="12" t="n">
        <f aca="false">IFERROR(VLOOKUP(D43,Insumos!$C$5:$G$108,5,FALSE()),0)</f>
        <v>0.03</v>
      </c>
      <c r="H43" s="14" t="n">
        <f aca="false">E43*G43</f>
        <v>30</v>
      </c>
    </row>
    <row r="44" customFormat="false" ht="15" hidden="false" customHeight="false" outlineLevel="0" collapsed="false">
      <c r="A44" s="0" t="n">
        <v>5</v>
      </c>
      <c r="B44" s="19" t="s">
        <v>408</v>
      </c>
      <c r="C44" s="18" t="s">
        <v>409</v>
      </c>
      <c r="D44" s="20" t="s">
        <v>74</v>
      </c>
      <c r="E44" s="17" t="n">
        <v>650</v>
      </c>
      <c r="F44" s="13" t="s">
        <v>27</v>
      </c>
      <c r="G44" s="12" t="n">
        <f aca="false">IFERROR(VLOOKUP(D44,Insumos!$C$5:$G$108,5,FALSE()),0)</f>
        <v>0.19</v>
      </c>
      <c r="H44" s="14" t="n">
        <f aca="false">E44*G44</f>
        <v>123.5</v>
      </c>
    </row>
    <row r="45" customFormat="false" ht="15" hidden="false" customHeight="false" outlineLevel="0" collapsed="false">
      <c r="A45" s="0" t="n">
        <v>5</v>
      </c>
      <c r="B45" s="19" t="s">
        <v>408</v>
      </c>
      <c r="C45" s="18" t="s">
        <v>410</v>
      </c>
      <c r="D45" s="20" t="s">
        <v>101</v>
      </c>
      <c r="E45" s="17" t="n">
        <v>200</v>
      </c>
      <c r="F45" s="13" t="s">
        <v>27</v>
      </c>
      <c r="G45" s="12" t="n">
        <f aca="false">IFERROR(VLOOKUP(D45,Insumos!$C$5:$G$108,5,FALSE()),0)</f>
        <v>0.03</v>
      </c>
      <c r="H45" s="14" t="n">
        <f aca="false">E45*G45</f>
        <v>6</v>
      </c>
    </row>
    <row r="46" customFormat="false" ht="15" hidden="false" customHeight="false" outlineLevel="0" collapsed="false">
      <c r="A46" s="0" t="n">
        <v>5</v>
      </c>
      <c r="B46" s="19" t="s">
        <v>408</v>
      </c>
      <c r="C46" s="18" t="s">
        <v>411</v>
      </c>
      <c r="D46" s="20" t="s">
        <v>115</v>
      </c>
      <c r="E46" s="17" t="n">
        <v>150</v>
      </c>
      <c r="F46" s="13" t="s">
        <v>27</v>
      </c>
      <c r="G46" s="12" t="n">
        <f aca="false">IFERROR(VLOOKUP(D46,Insumos!$C$5:$G$108,5,FALSE()),0)</f>
        <v>0.022</v>
      </c>
      <c r="H46" s="14" t="n">
        <f aca="false">E46*G46</f>
        <v>3.3</v>
      </c>
    </row>
    <row r="47" customFormat="false" ht="15" hidden="false" customHeight="false" outlineLevel="0" collapsed="false">
      <c r="A47" s="0" t="n">
        <v>5</v>
      </c>
      <c r="B47" s="19" t="s">
        <v>408</v>
      </c>
      <c r="C47" s="18" t="s">
        <v>412</v>
      </c>
      <c r="D47" s="20" t="s">
        <v>111</v>
      </c>
      <c r="E47" s="17" t="n">
        <v>350</v>
      </c>
      <c r="F47" s="13" t="s">
        <v>27</v>
      </c>
      <c r="G47" s="12" t="n">
        <f aca="false">IFERROR(VLOOKUP(D47,Insumos!$C$5:$G$108,5,FALSE()),0)</f>
        <v>0.03</v>
      </c>
      <c r="H47" s="14" t="n">
        <f aca="false">E47*G47</f>
        <v>10.5</v>
      </c>
    </row>
    <row r="48" customFormat="false" ht="15" hidden="false" customHeight="false" outlineLevel="0" collapsed="false">
      <c r="A48" s="0" t="n">
        <v>5</v>
      </c>
      <c r="B48" s="19" t="s">
        <v>408</v>
      </c>
      <c r="C48" s="18" t="s">
        <v>413</v>
      </c>
      <c r="D48" s="20" t="s">
        <v>103</v>
      </c>
      <c r="E48" s="17" t="n">
        <v>100</v>
      </c>
      <c r="F48" s="13" t="s">
        <v>27</v>
      </c>
      <c r="G48" s="12" t="n">
        <f aca="false">IFERROR(VLOOKUP(D48,Insumos!$C$5:$G$108,5,FALSE()),0)</f>
        <v>0.028</v>
      </c>
      <c r="H48" s="14" t="n">
        <f aca="false">E48*G48</f>
        <v>2.8</v>
      </c>
    </row>
    <row r="49" customFormat="false" ht="15" hidden="false" customHeight="false" outlineLevel="0" collapsed="false">
      <c r="A49" s="0" t="n">
        <v>5</v>
      </c>
      <c r="B49" s="19" t="s">
        <v>408</v>
      </c>
      <c r="C49" s="18" t="s">
        <v>414</v>
      </c>
      <c r="D49" s="20" t="s">
        <v>109</v>
      </c>
      <c r="E49" s="17" t="n">
        <v>12</v>
      </c>
      <c r="F49" s="13" t="s">
        <v>27</v>
      </c>
      <c r="G49" s="12" t="n">
        <f aca="false">IFERROR(VLOOKUP(D49,Insumos!$C$5:$G$108,5,FALSE()),0)</f>
        <v>0.11</v>
      </c>
      <c r="H49" s="14" t="n">
        <f aca="false">E49*G49</f>
        <v>1.32</v>
      </c>
    </row>
    <row r="50" customFormat="false" ht="15" hidden="false" customHeight="false" outlineLevel="0" collapsed="false">
      <c r="A50" s="0" t="n">
        <v>5</v>
      </c>
      <c r="B50" s="19" t="s">
        <v>408</v>
      </c>
      <c r="C50" s="18" t="s">
        <v>415</v>
      </c>
      <c r="D50" s="20" t="s">
        <v>32</v>
      </c>
      <c r="E50" s="17" t="n">
        <v>40</v>
      </c>
      <c r="F50" s="13" t="s">
        <v>33</v>
      </c>
      <c r="G50" s="12" t="n">
        <f aca="false">IFERROR(VLOOKUP(D50,Insumos!$C$5:$G$108,5,FALSE()),0)</f>
        <v>0.048</v>
      </c>
      <c r="H50" s="14" t="n">
        <f aca="false">E50*G50</f>
        <v>1.92</v>
      </c>
    </row>
    <row r="51" customFormat="false" ht="15" hidden="false" customHeight="false" outlineLevel="0" collapsed="false">
      <c r="A51" s="0" t="n">
        <v>5</v>
      </c>
      <c r="B51" s="19" t="s">
        <v>408</v>
      </c>
      <c r="C51" s="18" t="s">
        <v>416</v>
      </c>
      <c r="D51" s="20" t="s">
        <v>206</v>
      </c>
      <c r="E51" s="17" t="n">
        <v>0.3</v>
      </c>
      <c r="F51" s="13" t="s">
        <v>27</v>
      </c>
      <c r="G51" s="12" t="n">
        <f aca="false">IFERROR(VLOOKUP(D51,Insumos!$C$5:$G$108,5,FALSE()),0)</f>
        <v>0.4</v>
      </c>
      <c r="H51" s="14" t="n">
        <f aca="false">E51*G51</f>
        <v>0.12</v>
      </c>
    </row>
    <row r="52" customFormat="false" ht="15" hidden="false" customHeight="false" outlineLevel="0" collapsed="false">
      <c r="A52" s="0" t="n">
        <v>5</v>
      </c>
      <c r="B52" s="19" t="s">
        <v>408</v>
      </c>
      <c r="C52" s="18" t="s">
        <v>417</v>
      </c>
      <c r="D52" s="20" t="s">
        <v>208</v>
      </c>
      <c r="E52" s="17" t="n">
        <v>1</v>
      </c>
      <c r="F52" s="13" t="s">
        <v>27</v>
      </c>
      <c r="G52" s="12" t="n">
        <f aca="false">IFERROR(VLOOKUP(D52,Insumos!$C$5:$G$108,5,FALSE()),0)</f>
        <v>0.9</v>
      </c>
      <c r="H52" s="14" t="n">
        <f aca="false">E52*G52</f>
        <v>0.9</v>
      </c>
    </row>
    <row r="53" customFormat="false" ht="15" hidden="false" customHeight="false" outlineLevel="0" collapsed="false">
      <c r="A53" s="0" t="n">
        <v>5</v>
      </c>
      <c r="B53" s="19" t="s">
        <v>408</v>
      </c>
      <c r="C53" s="18" t="s">
        <v>418</v>
      </c>
      <c r="D53" s="20" t="s">
        <v>200</v>
      </c>
      <c r="E53" s="17" t="n">
        <v>2</v>
      </c>
      <c r="F53" s="13" t="s">
        <v>27</v>
      </c>
      <c r="G53" s="12" t="n">
        <f aca="false">IFERROR(VLOOKUP(D53,Insumos!$C$5:$G$108,5,FALSE()),0)</f>
        <v>0.45</v>
      </c>
      <c r="H53" s="14" t="n">
        <f aca="false">E53*G53</f>
        <v>0.9</v>
      </c>
    </row>
    <row r="54" customFormat="false" ht="15" hidden="false" customHeight="false" outlineLevel="0" collapsed="false">
      <c r="A54" s="0" t="n">
        <v>5</v>
      </c>
      <c r="B54" s="19" t="s">
        <v>408</v>
      </c>
      <c r="C54" s="18" t="s">
        <v>419</v>
      </c>
      <c r="D54" s="20" t="s">
        <v>198</v>
      </c>
      <c r="E54" s="17" t="n">
        <v>16</v>
      </c>
      <c r="F54" s="13" t="s">
        <v>27</v>
      </c>
      <c r="G54" s="12" t="n">
        <f aca="false">IFERROR(VLOOKUP(D54,Insumos!$C$5:$G$108,5,FALSE()),0)</f>
        <v>0.035</v>
      </c>
      <c r="H54" s="14" t="n">
        <f aca="false">E54*G54</f>
        <v>0.56</v>
      </c>
    </row>
    <row r="55" customFormat="false" ht="15" hidden="false" customHeight="false" outlineLevel="0" collapsed="false">
      <c r="A55" s="0" t="n">
        <v>5</v>
      </c>
      <c r="B55" s="19" t="s">
        <v>408</v>
      </c>
      <c r="C55" s="18" t="s">
        <v>387</v>
      </c>
      <c r="D55" s="20" t="s">
        <v>26</v>
      </c>
      <c r="E55" s="17" t="n">
        <v>1000</v>
      </c>
      <c r="F55" s="13" t="s">
        <v>27</v>
      </c>
      <c r="G55" s="12" t="n">
        <f aca="false">IFERROR(VLOOKUP(D55,Insumos!$C$5:$G$108,5,FALSE()),0)</f>
        <v>0.03</v>
      </c>
      <c r="H55" s="14" t="n">
        <f aca="false">E55*G55</f>
        <v>30</v>
      </c>
    </row>
    <row r="56" customFormat="false" ht="15" hidden="false" customHeight="false" outlineLevel="0" collapsed="false">
      <c r="A56" s="0" t="n">
        <v>6</v>
      </c>
      <c r="B56" s="19" t="s">
        <v>420</v>
      </c>
      <c r="C56" s="18" t="s">
        <v>421</v>
      </c>
      <c r="D56" s="20" t="s">
        <v>44</v>
      </c>
      <c r="E56" s="17" t="n">
        <v>400</v>
      </c>
      <c r="F56" s="13" t="s">
        <v>27</v>
      </c>
      <c r="G56" s="12" t="n">
        <f aca="false">IFERROR(VLOOKUP(D56,Insumos!$C$5:$G$108,5,FALSE()),0)</f>
        <v>0.22</v>
      </c>
      <c r="H56" s="14" t="n">
        <f aca="false">E56*G56</f>
        <v>88</v>
      </c>
    </row>
    <row r="57" customFormat="false" ht="15" hidden="false" customHeight="false" outlineLevel="0" collapsed="false">
      <c r="A57" s="0" t="n">
        <v>6</v>
      </c>
      <c r="B57" s="19" t="s">
        <v>420</v>
      </c>
      <c r="C57" s="18" t="s">
        <v>422</v>
      </c>
      <c r="D57" s="20" t="s">
        <v>113</v>
      </c>
      <c r="E57" s="17" t="n">
        <v>650</v>
      </c>
      <c r="F57" s="13" t="s">
        <v>27</v>
      </c>
      <c r="G57" s="12" t="n">
        <f aca="false">IFERROR(VLOOKUP(D57,Insumos!$C$5:$G$108,5,FALSE()),0)</f>
        <v>0.03</v>
      </c>
      <c r="H57" s="14" t="n">
        <f aca="false">E57*G57</f>
        <v>19.5</v>
      </c>
    </row>
    <row r="58" customFormat="false" ht="15" hidden="false" customHeight="false" outlineLevel="0" collapsed="false">
      <c r="A58" s="0" t="n">
        <v>6</v>
      </c>
      <c r="B58" s="19" t="s">
        <v>420</v>
      </c>
      <c r="C58" s="18" t="s">
        <v>423</v>
      </c>
      <c r="D58" s="20" t="s">
        <v>136</v>
      </c>
      <c r="E58" s="17" t="n">
        <v>40</v>
      </c>
      <c r="F58" s="13" t="s">
        <v>27</v>
      </c>
      <c r="G58" s="12" t="n">
        <f aca="false">IFERROR(VLOOKUP(D58,Insumos!$C$5:$G$108,5,FALSE()),0)</f>
        <v>0.045</v>
      </c>
      <c r="H58" s="14" t="n">
        <f aca="false">E58*G58</f>
        <v>1.8</v>
      </c>
    </row>
    <row r="59" customFormat="false" ht="15" hidden="false" customHeight="false" outlineLevel="0" collapsed="false">
      <c r="A59" s="0" t="n">
        <v>6</v>
      </c>
      <c r="B59" s="19" t="s">
        <v>420</v>
      </c>
      <c r="C59" s="18" t="s">
        <v>424</v>
      </c>
      <c r="D59" s="20" t="s">
        <v>103</v>
      </c>
      <c r="E59" s="17" t="n">
        <v>150</v>
      </c>
      <c r="F59" s="13" t="s">
        <v>27</v>
      </c>
      <c r="G59" s="12" t="n">
        <f aca="false">IFERROR(VLOOKUP(D59,Insumos!$C$5:$G$108,5,FALSE()),0)</f>
        <v>0.028</v>
      </c>
      <c r="H59" s="14" t="n">
        <f aca="false">E59*G59</f>
        <v>4.2</v>
      </c>
    </row>
    <row r="60" customFormat="false" ht="15" hidden="false" customHeight="false" outlineLevel="0" collapsed="false">
      <c r="A60" s="0" t="n">
        <v>6</v>
      </c>
      <c r="B60" s="19" t="s">
        <v>420</v>
      </c>
      <c r="C60" s="18" t="s">
        <v>425</v>
      </c>
      <c r="D60" s="20" t="s">
        <v>109</v>
      </c>
      <c r="E60" s="17" t="n">
        <v>12</v>
      </c>
      <c r="F60" s="13" t="s">
        <v>27</v>
      </c>
      <c r="G60" s="12" t="n">
        <f aca="false">IFERROR(VLOOKUP(D60,Insumos!$C$5:$G$108,5,FALSE()),0)</f>
        <v>0.11</v>
      </c>
      <c r="H60" s="14" t="n">
        <f aca="false">E60*G60</f>
        <v>1.32</v>
      </c>
    </row>
    <row r="61" customFormat="false" ht="15" hidden="false" customHeight="false" outlineLevel="0" collapsed="false">
      <c r="A61" s="0" t="n">
        <v>6</v>
      </c>
      <c r="B61" s="19" t="s">
        <v>420</v>
      </c>
      <c r="C61" s="18" t="s">
        <v>426</v>
      </c>
      <c r="D61" s="20" t="s">
        <v>169</v>
      </c>
      <c r="E61" s="17" t="n">
        <v>30</v>
      </c>
      <c r="F61" s="13" t="s">
        <v>27</v>
      </c>
      <c r="G61" s="12" t="n">
        <f aca="false">IFERROR(VLOOKUP(D61,Insumos!$C$5:$G$108,5,FALSE()),0)</f>
        <v>0.06</v>
      </c>
      <c r="H61" s="14" t="n">
        <f aca="false">E61*G61</f>
        <v>1.8</v>
      </c>
    </row>
    <row r="62" customFormat="false" ht="15" hidden="false" customHeight="false" outlineLevel="0" collapsed="false">
      <c r="A62" s="0" t="n">
        <v>6</v>
      </c>
      <c r="B62" s="19" t="s">
        <v>420</v>
      </c>
      <c r="C62" s="18" t="s">
        <v>427</v>
      </c>
      <c r="D62" s="20" t="s">
        <v>30</v>
      </c>
      <c r="E62" s="17" t="n">
        <v>40</v>
      </c>
      <c r="F62" s="13" t="s">
        <v>27</v>
      </c>
      <c r="G62" s="12" t="n">
        <f aca="false">IFERROR(VLOOKUP(D62,Insumos!$C$5:$G$108,5,FALSE()),0)</f>
        <v>0.07</v>
      </c>
      <c r="H62" s="14" t="n">
        <f aca="false">E62*G62</f>
        <v>2.8</v>
      </c>
    </row>
    <row r="63" customFormat="false" ht="15" hidden="false" customHeight="false" outlineLevel="0" collapsed="false">
      <c r="A63" s="0" t="n">
        <v>6</v>
      </c>
      <c r="B63" s="19" t="s">
        <v>420</v>
      </c>
      <c r="C63" s="18" t="s">
        <v>428</v>
      </c>
      <c r="D63" s="20" t="s">
        <v>198</v>
      </c>
      <c r="E63" s="17" t="n">
        <v>14</v>
      </c>
      <c r="F63" s="13" t="s">
        <v>27</v>
      </c>
      <c r="G63" s="12" t="n">
        <f aca="false">IFERROR(VLOOKUP(D63,Insumos!$C$5:$G$108,5,FALSE()),0)</f>
        <v>0.035</v>
      </c>
      <c r="H63" s="14" t="n">
        <f aca="false">E63*G63</f>
        <v>0.49</v>
      </c>
    </row>
    <row r="64" customFormat="false" ht="15" hidden="false" customHeight="false" outlineLevel="0" collapsed="false">
      <c r="A64" s="0" t="n">
        <v>6</v>
      </c>
      <c r="B64" s="19" t="s">
        <v>420</v>
      </c>
      <c r="C64" s="18" t="s">
        <v>429</v>
      </c>
      <c r="D64" s="20" t="s">
        <v>251</v>
      </c>
      <c r="E64" s="17" t="n">
        <v>150</v>
      </c>
      <c r="F64" s="13" t="s">
        <v>33</v>
      </c>
      <c r="G64" s="12" t="n">
        <f aca="false">IFERROR(VLOOKUP(D64,Insumos!$C$5:$G$108,5,FALSE()),0)</f>
        <v>0.002</v>
      </c>
      <c r="H64" s="14" t="n">
        <f aca="false">E64*G64</f>
        <v>0.3</v>
      </c>
    </row>
    <row r="65" customFormat="false" ht="15" hidden="false" customHeight="false" outlineLevel="0" collapsed="false">
      <c r="A65" s="0" t="n">
        <v>6</v>
      </c>
      <c r="B65" s="19" t="s">
        <v>420</v>
      </c>
      <c r="C65" s="18" t="s">
        <v>430</v>
      </c>
      <c r="D65" s="20" t="s">
        <v>26</v>
      </c>
      <c r="E65" s="17" t="n">
        <v>1000</v>
      </c>
      <c r="F65" s="13" t="s">
        <v>27</v>
      </c>
      <c r="G65" s="12" t="n">
        <f aca="false">IFERROR(VLOOKUP(D65,Insumos!$C$5:$G$108,5,FALSE()),0)</f>
        <v>0.03</v>
      </c>
      <c r="H65" s="14" t="n">
        <f aca="false">E65*G65</f>
        <v>30</v>
      </c>
    </row>
    <row r="66" customFormat="false" ht="15" hidden="false" customHeight="false" outlineLevel="0" collapsed="false">
      <c r="A66" s="0" t="n">
        <v>7</v>
      </c>
      <c r="B66" s="19" t="s">
        <v>431</v>
      </c>
      <c r="C66" s="18" t="s">
        <v>432</v>
      </c>
      <c r="D66" s="20" t="s">
        <v>87</v>
      </c>
      <c r="E66" s="17" t="n">
        <v>1000</v>
      </c>
      <c r="F66" s="13" t="s">
        <v>27</v>
      </c>
      <c r="G66" s="12" t="n">
        <f aca="false">IFERROR(VLOOKUP(D66,Insumos!$C$5:$G$108,5,FALSE()),0)</f>
        <v>0.11</v>
      </c>
      <c r="H66" s="14" t="n">
        <f aca="false">E66*G66</f>
        <v>110</v>
      </c>
    </row>
    <row r="67" customFormat="false" ht="15" hidden="false" customHeight="false" outlineLevel="0" collapsed="false">
      <c r="A67" s="0" t="n">
        <v>7</v>
      </c>
      <c r="B67" s="19" t="s">
        <v>431</v>
      </c>
      <c r="C67" s="18" t="s">
        <v>433</v>
      </c>
      <c r="D67" s="20" t="s">
        <v>103</v>
      </c>
      <c r="E67" s="17" t="n">
        <v>500</v>
      </c>
      <c r="F67" s="13" t="s">
        <v>27</v>
      </c>
      <c r="G67" s="12" t="n">
        <f aca="false">IFERROR(VLOOKUP(D67,Insumos!$C$5:$G$108,5,FALSE()),0)</f>
        <v>0.028</v>
      </c>
      <c r="H67" s="14" t="n">
        <f aca="false">E67*G67</f>
        <v>14</v>
      </c>
    </row>
    <row r="68" customFormat="false" ht="15" hidden="false" customHeight="false" outlineLevel="0" collapsed="false">
      <c r="A68" s="0" t="n">
        <v>7</v>
      </c>
      <c r="B68" s="19" t="s">
        <v>431</v>
      </c>
      <c r="C68" s="18" t="s">
        <v>434</v>
      </c>
      <c r="D68" s="20" t="s">
        <v>111</v>
      </c>
      <c r="E68" s="17" t="n">
        <v>400</v>
      </c>
      <c r="F68" s="13" t="s">
        <v>27</v>
      </c>
      <c r="G68" s="12" t="n">
        <f aca="false">IFERROR(VLOOKUP(D68,Insumos!$C$5:$G$108,5,FALSE()),0)</f>
        <v>0.03</v>
      </c>
      <c r="H68" s="14" t="n">
        <f aca="false">E68*G68</f>
        <v>12</v>
      </c>
    </row>
    <row r="69" customFormat="false" ht="15" hidden="false" customHeight="false" outlineLevel="0" collapsed="false">
      <c r="A69" s="0" t="n">
        <v>7</v>
      </c>
      <c r="B69" s="19" t="s">
        <v>431</v>
      </c>
      <c r="C69" s="18" t="s">
        <v>435</v>
      </c>
      <c r="D69" s="20" t="s">
        <v>189</v>
      </c>
      <c r="E69" s="17" t="n">
        <v>15</v>
      </c>
      <c r="F69" s="13" t="s">
        <v>27</v>
      </c>
      <c r="G69" s="12" t="n">
        <f aca="false">IFERROR(VLOOKUP(D69,Insumos!$C$5:$G$108,5,FALSE()),0)</f>
        <v>0.38</v>
      </c>
      <c r="H69" s="14" t="n">
        <f aca="false">E69*G69</f>
        <v>5.7</v>
      </c>
    </row>
    <row r="70" customFormat="false" ht="15" hidden="false" customHeight="false" outlineLevel="0" collapsed="false">
      <c r="A70" s="0" t="n">
        <v>7</v>
      </c>
      <c r="B70" s="19" t="s">
        <v>431</v>
      </c>
      <c r="C70" s="18" t="s">
        <v>436</v>
      </c>
      <c r="D70" s="20" t="s">
        <v>109</v>
      </c>
      <c r="E70" s="17" t="n">
        <v>12</v>
      </c>
      <c r="F70" s="13" t="s">
        <v>27</v>
      </c>
      <c r="G70" s="12" t="n">
        <f aca="false">IFERROR(VLOOKUP(D70,Insumos!$C$5:$G$108,5,FALSE()),0)</f>
        <v>0.11</v>
      </c>
      <c r="H70" s="14" t="n">
        <f aca="false">E70*G70</f>
        <v>1.32</v>
      </c>
    </row>
    <row r="71" customFormat="false" ht="15" hidden="false" customHeight="false" outlineLevel="0" collapsed="false">
      <c r="A71" s="0" t="n">
        <v>7</v>
      </c>
      <c r="B71" s="19" t="s">
        <v>431</v>
      </c>
      <c r="C71" s="18" t="s">
        <v>334</v>
      </c>
      <c r="D71" s="20" t="s">
        <v>206</v>
      </c>
      <c r="E71" s="17" t="n">
        <v>0.6</v>
      </c>
      <c r="F71" s="13" t="s">
        <v>27</v>
      </c>
      <c r="G71" s="12" t="n">
        <f aca="false">IFERROR(VLOOKUP(D71,Insumos!$C$5:$G$108,5,FALSE()),0)</f>
        <v>0.4</v>
      </c>
      <c r="H71" s="14" t="n">
        <f aca="false">E71*G71</f>
        <v>0.24</v>
      </c>
    </row>
    <row r="72" customFormat="false" ht="15" hidden="false" customHeight="false" outlineLevel="0" collapsed="false">
      <c r="A72" s="0" t="n">
        <v>7</v>
      </c>
      <c r="B72" s="19" t="s">
        <v>431</v>
      </c>
      <c r="C72" s="18" t="s">
        <v>437</v>
      </c>
      <c r="D72" s="20" t="s">
        <v>204</v>
      </c>
      <c r="E72" s="17" t="n">
        <v>1</v>
      </c>
      <c r="F72" s="13" t="s">
        <v>27</v>
      </c>
      <c r="G72" s="12" t="n">
        <f aca="false">IFERROR(VLOOKUP(D72,Insumos!$C$5:$G$108,5,FALSE()),0)</f>
        <v>0.3</v>
      </c>
      <c r="H72" s="14" t="n">
        <f aca="false">E72*G72</f>
        <v>0.3</v>
      </c>
    </row>
    <row r="73" customFormat="false" ht="15" hidden="false" customHeight="false" outlineLevel="0" collapsed="false">
      <c r="A73" s="0" t="n">
        <v>7</v>
      </c>
      <c r="B73" s="19" t="s">
        <v>431</v>
      </c>
      <c r="C73" s="18" t="s">
        <v>438</v>
      </c>
      <c r="D73" s="20" t="s">
        <v>32</v>
      </c>
      <c r="E73" s="17" t="n">
        <v>50</v>
      </c>
      <c r="F73" s="13" t="s">
        <v>33</v>
      </c>
      <c r="G73" s="12" t="n">
        <f aca="false">IFERROR(VLOOKUP(D73,Insumos!$C$5:$G$108,5,FALSE()),0)</f>
        <v>0.048</v>
      </c>
      <c r="H73" s="14" t="n">
        <f aca="false">E73*G73</f>
        <v>2.4</v>
      </c>
    </row>
    <row r="74" customFormat="false" ht="15" hidden="false" customHeight="false" outlineLevel="0" collapsed="false">
      <c r="A74" s="0" t="n">
        <v>7</v>
      </c>
      <c r="B74" s="19" t="s">
        <v>431</v>
      </c>
      <c r="C74" s="18" t="s">
        <v>439</v>
      </c>
      <c r="D74" s="20" t="s">
        <v>198</v>
      </c>
      <c r="E74" s="17" t="n">
        <v>16</v>
      </c>
      <c r="F74" s="13" t="s">
        <v>27</v>
      </c>
      <c r="G74" s="12" t="n">
        <f aca="false">IFERROR(VLOOKUP(D74,Insumos!$C$5:$G$108,5,FALSE()),0)</f>
        <v>0.035</v>
      </c>
      <c r="H74" s="14" t="n">
        <f aca="false">E74*G74</f>
        <v>0.56</v>
      </c>
    </row>
    <row r="75" customFormat="false" ht="15" hidden="false" customHeight="false" outlineLevel="0" collapsed="false">
      <c r="A75" s="0" t="n">
        <v>7</v>
      </c>
      <c r="B75" s="19" t="s">
        <v>431</v>
      </c>
      <c r="C75" s="18" t="s">
        <v>387</v>
      </c>
      <c r="D75" s="20" t="s">
        <v>26</v>
      </c>
      <c r="E75" s="17" t="n">
        <v>1000</v>
      </c>
      <c r="F75" s="13" t="s">
        <v>27</v>
      </c>
      <c r="G75" s="12" t="n">
        <f aca="false">IFERROR(VLOOKUP(D75,Insumos!$C$5:$G$108,5,FALSE()),0)</f>
        <v>0.03</v>
      </c>
      <c r="H75" s="14" t="n">
        <f aca="false">E75*G75</f>
        <v>30</v>
      </c>
    </row>
    <row r="76" customFormat="false" ht="15" hidden="false" customHeight="false" outlineLevel="0" collapsed="false">
      <c r="A76" s="0" t="n">
        <v>8</v>
      </c>
      <c r="B76" s="19" t="s">
        <v>440</v>
      </c>
      <c r="C76" s="18" t="s">
        <v>441</v>
      </c>
      <c r="D76" s="20" t="s">
        <v>234</v>
      </c>
      <c r="E76" s="17" t="n">
        <v>350</v>
      </c>
      <c r="F76" s="13" t="s">
        <v>27</v>
      </c>
      <c r="G76" s="12" t="n">
        <f aca="false">IFERROR(VLOOKUP(D76,Insumos!$C$5:$G$108,5,FALSE()),0)</f>
        <v>0.042</v>
      </c>
      <c r="H76" s="14" t="n">
        <f aca="false">E76*G76</f>
        <v>14.7</v>
      </c>
    </row>
    <row r="77" customFormat="false" ht="15" hidden="false" customHeight="false" outlineLevel="0" collapsed="false">
      <c r="A77" s="0" t="n">
        <v>8</v>
      </c>
      <c r="B77" s="19" t="s">
        <v>440</v>
      </c>
      <c r="C77" s="18" t="s">
        <v>442</v>
      </c>
      <c r="D77" s="20" t="s">
        <v>65</v>
      </c>
      <c r="E77" s="17" t="n">
        <v>250</v>
      </c>
      <c r="F77" s="13" t="s">
        <v>27</v>
      </c>
      <c r="G77" s="12" t="n">
        <f aca="false">IFERROR(VLOOKUP(D77,Insumos!$C$5:$G$108,5,FALSE()),0)</f>
        <v>0.16</v>
      </c>
      <c r="H77" s="14" t="n">
        <f aca="false">E77*G77</f>
        <v>40</v>
      </c>
    </row>
    <row r="78" customFormat="false" ht="15" hidden="false" customHeight="false" outlineLevel="0" collapsed="false">
      <c r="A78" s="0" t="n">
        <v>8</v>
      </c>
      <c r="B78" s="19" t="s">
        <v>440</v>
      </c>
      <c r="C78" s="18" t="s">
        <v>406</v>
      </c>
      <c r="D78" s="20" t="s">
        <v>30</v>
      </c>
      <c r="E78" s="17" t="n">
        <v>50</v>
      </c>
      <c r="F78" s="13" t="s">
        <v>27</v>
      </c>
      <c r="G78" s="12" t="n">
        <f aca="false">IFERROR(VLOOKUP(D78,Insumos!$C$5:$G$108,5,FALSE()),0)</f>
        <v>0.07</v>
      </c>
      <c r="H78" s="14" t="n">
        <f aca="false">E78*G78</f>
        <v>3.5</v>
      </c>
    </row>
    <row r="79" customFormat="false" ht="15" hidden="false" customHeight="false" outlineLevel="0" collapsed="false">
      <c r="A79" s="0" t="n">
        <v>8</v>
      </c>
      <c r="B79" s="19" t="s">
        <v>440</v>
      </c>
      <c r="C79" s="18" t="s">
        <v>443</v>
      </c>
      <c r="D79" s="20" t="s">
        <v>103</v>
      </c>
      <c r="E79" s="17" t="n">
        <v>150</v>
      </c>
      <c r="F79" s="13" t="s">
        <v>27</v>
      </c>
      <c r="G79" s="12" t="n">
        <f aca="false">IFERROR(VLOOKUP(D79,Insumos!$C$5:$G$108,5,FALSE()),0)</f>
        <v>0.028</v>
      </c>
      <c r="H79" s="14" t="n">
        <f aca="false">E79*G79</f>
        <v>4.2</v>
      </c>
    </row>
    <row r="80" customFormat="false" ht="15" hidden="false" customHeight="false" outlineLevel="0" collapsed="false">
      <c r="A80" s="0" t="n">
        <v>8</v>
      </c>
      <c r="B80" s="19" t="s">
        <v>440</v>
      </c>
      <c r="C80" s="18" t="s">
        <v>444</v>
      </c>
      <c r="D80" s="20" t="s">
        <v>193</v>
      </c>
      <c r="E80" s="17" t="n">
        <v>4</v>
      </c>
      <c r="F80" s="13" t="s">
        <v>27</v>
      </c>
      <c r="G80" s="12" t="n">
        <f aca="false">IFERROR(VLOOKUP(D80,Insumos!$C$5:$G$108,5,FALSE()),0)</f>
        <v>0.25</v>
      </c>
      <c r="H80" s="14" t="n">
        <f aca="false">E80*G80</f>
        <v>1</v>
      </c>
    </row>
    <row r="81" customFormat="false" ht="15" hidden="false" customHeight="false" outlineLevel="0" collapsed="false">
      <c r="A81" s="0" t="n">
        <v>8</v>
      </c>
      <c r="B81" s="19" t="s">
        <v>440</v>
      </c>
      <c r="C81" s="18" t="s">
        <v>445</v>
      </c>
      <c r="D81" s="20" t="s">
        <v>109</v>
      </c>
      <c r="E81" s="17" t="n">
        <v>8</v>
      </c>
      <c r="F81" s="13" t="s">
        <v>27</v>
      </c>
      <c r="G81" s="12" t="n">
        <f aca="false">IFERROR(VLOOKUP(D81,Insumos!$C$5:$G$108,5,FALSE()),0)</f>
        <v>0.11</v>
      </c>
      <c r="H81" s="14" t="n">
        <f aca="false">E81*G81</f>
        <v>0.88</v>
      </c>
    </row>
    <row r="82" customFormat="false" ht="15" hidden="false" customHeight="false" outlineLevel="0" collapsed="false">
      <c r="A82" s="0" t="n">
        <v>8</v>
      </c>
      <c r="B82" s="19" t="s">
        <v>440</v>
      </c>
      <c r="C82" s="18" t="s">
        <v>446</v>
      </c>
      <c r="D82" s="20" t="s">
        <v>198</v>
      </c>
      <c r="E82" s="17" t="n">
        <v>12</v>
      </c>
      <c r="F82" s="13" t="s">
        <v>27</v>
      </c>
      <c r="G82" s="12" t="n">
        <f aca="false">IFERROR(VLOOKUP(D82,Insumos!$C$5:$G$108,5,FALSE()),0)</f>
        <v>0.035</v>
      </c>
      <c r="H82" s="14" t="n">
        <f aca="false">E82*G82</f>
        <v>0.42</v>
      </c>
    </row>
    <row r="83" customFormat="false" ht="15" hidden="false" customHeight="false" outlineLevel="0" collapsed="false">
      <c r="A83" s="0" t="n">
        <v>8</v>
      </c>
      <c r="B83" s="19" t="s">
        <v>440</v>
      </c>
      <c r="C83" s="18" t="s">
        <v>447</v>
      </c>
      <c r="D83" s="20" t="s">
        <v>251</v>
      </c>
      <c r="E83" s="17" t="n">
        <v>100</v>
      </c>
      <c r="F83" s="13" t="s">
        <v>33</v>
      </c>
      <c r="G83" s="12" t="n">
        <f aca="false">IFERROR(VLOOKUP(D83,Insumos!$C$5:$G$108,5,FALSE()),0)</f>
        <v>0.002</v>
      </c>
      <c r="H83" s="14" t="n">
        <f aca="false">E83*G83</f>
        <v>0.2</v>
      </c>
    </row>
    <row r="84" customFormat="false" ht="15" hidden="false" customHeight="false" outlineLevel="0" collapsed="false">
      <c r="A84" s="0" t="n">
        <v>8</v>
      </c>
      <c r="B84" s="19" t="s">
        <v>440</v>
      </c>
      <c r="C84" s="18" t="s">
        <v>387</v>
      </c>
      <c r="D84" s="20" t="s">
        <v>26</v>
      </c>
      <c r="E84" s="17" t="n">
        <v>1000</v>
      </c>
      <c r="F84" s="13" t="s">
        <v>27</v>
      </c>
      <c r="G84" s="12" t="n">
        <f aca="false">IFERROR(VLOOKUP(D84,Insumos!$C$5:$G$108,5,FALSE()),0)</f>
        <v>0.03</v>
      </c>
      <c r="H84" s="14" t="n">
        <f aca="false">E84*G84</f>
        <v>30</v>
      </c>
    </row>
    <row r="85" customFormat="false" ht="15" hidden="false" customHeight="false" outlineLevel="0" collapsed="false">
      <c r="A85" s="0" t="n">
        <v>9</v>
      </c>
      <c r="B85" s="19" t="s">
        <v>448</v>
      </c>
      <c r="C85" s="18" t="s">
        <v>449</v>
      </c>
      <c r="D85" s="20" t="s">
        <v>76</v>
      </c>
      <c r="E85" s="17" t="n">
        <v>500</v>
      </c>
      <c r="F85" s="13" t="s">
        <v>27</v>
      </c>
      <c r="G85" s="12" t="n">
        <f aca="false">IFERROR(VLOOKUP(D85,Insumos!$C$5:$G$108,5,FALSE()),0)</f>
        <v>0.22</v>
      </c>
      <c r="H85" s="14" t="n">
        <f aca="false">E85*G85</f>
        <v>110</v>
      </c>
    </row>
    <row r="86" customFormat="false" ht="15" hidden="false" customHeight="false" outlineLevel="0" collapsed="false">
      <c r="A86" s="0" t="n">
        <v>9</v>
      </c>
      <c r="B86" s="19" t="s">
        <v>448</v>
      </c>
      <c r="C86" s="18" t="s">
        <v>450</v>
      </c>
      <c r="D86" s="20" t="s">
        <v>69</v>
      </c>
      <c r="E86" s="17" t="n">
        <v>200</v>
      </c>
      <c r="F86" s="13" t="s">
        <v>27</v>
      </c>
      <c r="G86" s="12" t="n">
        <f aca="false">IFERROR(VLOOKUP(D86,Insumos!$C$5:$G$108,5,FALSE()),0)</f>
        <v>0.22</v>
      </c>
      <c r="H86" s="14" t="n">
        <f aca="false">E86*G86</f>
        <v>44</v>
      </c>
    </row>
    <row r="87" customFormat="false" ht="15" hidden="false" customHeight="false" outlineLevel="0" collapsed="false">
      <c r="A87" s="0" t="n">
        <v>9</v>
      </c>
      <c r="B87" s="19" t="s">
        <v>448</v>
      </c>
      <c r="C87" s="18" t="s">
        <v>451</v>
      </c>
      <c r="D87" s="20" t="s">
        <v>129</v>
      </c>
      <c r="E87" s="17" t="n">
        <v>250</v>
      </c>
      <c r="F87" s="13" t="s">
        <v>27</v>
      </c>
      <c r="G87" s="12" t="n">
        <f aca="false">IFERROR(VLOOKUP(D87,Insumos!$C$5:$G$108,5,FALSE()),0)</f>
        <v>0.055</v>
      </c>
      <c r="H87" s="14" t="n">
        <f aca="false">E87*G87</f>
        <v>13.75</v>
      </c>
    </row>
    <row r="88" customFormat="false" ht="15" hidden="false" customHeight="false" outlineLevel="0" collapsed="false">
      <c r="A88" s="0" t="n">
        <v>9</v>
      </c>
      <c r="B88" s="19" t="s">
        <v>448</v>
      </c>
      <c r="C88" s="18" t="s">
        <v>452</v>
      </c>
      <c r="D88" s="20" t="s">
        <v>103</v>
      </c>
      <c r="E88" s="17" t="n">
        <v>200</v>
      </c>
      <c r="F88" s="13" t="s">
        <v>27</v>
      </c>
      <c r="G88" s="12" t="n">
        <f aca="false">IFERROR(VLOOKUP(D88,Insumos!$C$5:$G$108,5,FALSE()),0)</f>
        <v>0.028</v>
      </c>
      <c r="H88" s="14" t="n">
        <f aca="false">E88*G88</f>
        <v>5.6</v>
      </c>
    </row>
    <row r="89" customFormat="false" ht="15" hidden="false" customHeight="false" outlineLevel="0" collapsed="false">
      <c r="A89" s="0" t="n">
        <v>9</v>
      </c>
      <c r="B89" s="19" t="s">
        <v>448</v>
      </c>
      <c r="C89" s="18" t="s">
        <v>453</v>
      </c>
      <c r="D89" s="20" t="s">
        <v>109</v>
      </c>
      <c r="E89" s="17" t="n">
        <v>12</v>
      </c>
      <c r="F89" s="13" t="s">
        <v>27</v>
      </c>
      <c r="G89" s="12" t="n">
        <f aca="false">IFERROR(VLOOKUP(D89,Insumos!$C$5:$G$108,5,FALSE()),0)</f>
        <v>0.11</v>
      </c>
      <c r="H89" s="14" t="n">
        <f aca="false">E89*G89</f>
        <v>1.32</v>
      </c>
    </row>
    <row r="90" customFormat="false" ht="15" hidden="false" customHeight="false" outlineLevel="0" collapsed="false">
      <c r="A90" s="0" t="n">
        <v>9</v>
      </c>
      <c r="B90" s="19" t="s">
        <v>448</v>
      </c>
      <c r="C90" s="18" t="s">
        <v>454</v>
      </c>
      <c r="D90" s="20" t="s">
        <v>245</v>
      </c>
      <c r="E90" s="17" t="n">
        <v>15</v>
      </c>
      <c r="F90" s="13" t="s">
        <v>33</v>
      </c>
      <c r="G90" s="12" t="n">
        <f aca="false">IFERROR(VLOOKUP(D90,Insumos!$C$5:$G$108,5,FALSE()),0)</f>
        <v>0.4</v>
      </c>
      <c r="H90" s="14" t="n">
        <f aca="false">E90*G90</f>
        <v>6</v>
      </c>
    </row>
    <row r="91" customFormat="false" ht="15" hidden="false" customHeight="false" outlineLevel="0" collapsed="false">
      <c r="A91" s="0" t="n">
        <v>9</v>
      </c>
      <c r="B91" s="19" t="s">
        <v>448</v>
      </c>
      <c r="C91" s="18" t="s">
        <v>455</v>
      </c>
      <c r="D91" s="20" t="s">
        <v>247</v>
      </c>
      <c r="E91" s="17" t="n">
        <v>15</v>
      </c>
      <c r="F91" s="13" t="s">
        <v>33</v>
      </c>
      <c r="G91" s="12" t="n">
        <f aca="false">IFERROR(VLOOKUP(D91,Insumos!$C$5:$G$108,5,FALSE()),0)</f>
        <v>0.262068965517241</v>
      </c>
      <c r="H91" s="14" t="n">
        <f aca="false">E91*G91</f>
        <v>3.93103448275862</v>
      </c>
    </row>
    <row r="92" customFormat="false" ht="15" hidden="false" customHeight="false" outlineLevel="0" collapsed="false">
      <c r="A92" s="0" t="n">
        <v>9</v>
      </c>
      <c r="B92" s="19" t="s">
        <v>448</v>
      </c>
      <c r="C92" s="18" t="s">
        <v>374</v>
      </c>
      <c r="D92" s="20" t="s">
        <v>200</v>
      </c>
      <c r="E92" s="17" t="n">
        <v>3</v>
      </c>
      <c r="F92" s="13" t="s">
        <v>27</v>
      </c>
      <c r="G92" s="12" t="n">
        <f aca="false">IFERROR(VLOOKUP(D92,Insumos!$C$5:$G$108,5,FALSE()),0)</f>
        <v>0.45</v>
      </c>
      <c r="H92" s="14" t="n">
        <f aca="false">E92*G92</f>
        <v>1.35</v>
      </c>
    </row>
    <row r="93" customFormat="false" ht="15" hidden="false" customHeight="false" outlineLevel="0" collapsed="false">
      <c r="A93" s="0" t="n">
        <v>9</v>
      </c>
      <c r="B93" s="19" t="s">
        <v>448</v>
      </c>
      <c r="C93" s="18" t="s">
        <v>456</v>
      </c>
      <c r="D93" s="20" t="s">
        <v>198</v>
      </c>
      <c r="E93" s="17" t="n">
        <v>10</v>
      </c>
      <c r="F93" s="13" t="s">
        <v>27</v>
      </c>
      <c r="G93" s="12" t="n">
        <f aca="false">IFERROR(VLOOKUP(D93,Insumos!$C$5:$G$108,5,FALSE()),0)</f>
        <v>0.035</v>
      </c>
      <c r="H93" s="14" t="n">
        <f aca="false">E93*G93</f>
        <v>0.35</v>
      </c>
    </row>
    <row r="94" customFormat="false" ht="15" hidden="false" customHeight="false" outlineLevel="0" collapsed="false">
      <c r="A94" s="0" t="n">
        <v>9</v>
      </c>
      <c r="B94" s="19" t="s">
        <v>448</v>
      </c>
      <c r="C94" s="18" t="s">
        <v>387</v>
      </c>
      <c r="D94" s="20" t="s">
        <v>26</v>
      </c>
      <c r="E94" s="17" t="n">
        <v>1000</v>
      </c>
      <c r="F94" s="13" t="s">
        <v>27</v>
      </c>
      <c r="G94" s="12" t="n">
        <f aca="false">IFERROR(VLOOKUP(D94,Insumos!$C$5:$G$108,5,FALSE()),0)</f>
        <v>0.03</v>
      </c>
      <c r="H94" s="14" t="n">
        <f aca="false">E94*G94</f>
        <v>30</v>
      </c>
    </row>
    <row r="95" customFormat="false" ht="15" hidden="false" customHeight="false" outlineLevel="0" collapsed="false">
      <c r="A95" s="0" t="n">
        <v>10</v>
      </c>
      <c r="B95" s="19" t="s">
        <v>457</v>
      </c>
      <c r="C95" s="18" t="s">
        <v>458</v>
      </c>
      <c r="D95" s="20" t="s">
        <v>101</v>
      </c>
      <c r="E95" s="17" t="n">
        <v>750</v>
      </c>
      <c r="F95" s="13" t="s">
        <v>27</v>
      </c>
      <c r="G95" s="12" t="n">
        <f aca="false">IFERROR(VLOOKUP(D95,Insumos!$C$5:$G$108,5,FALSE()),0)</f>
        <v>0.03</v>
      </c>
      <c r="H95" s="14" t="n">
        <f aca="false">E95*G95</f>
        <v>22.5</v>
      </c>
    </row>
    <row r="96" customFormat="false" ht="15" hidden="false" customHeight="false" outlineLevel="0" collapsed="false">
      <c r="A96" s="0" t="n">
        <v>10</v>
      </c>
      <c r="B96" s="19" t="s">
        <v>457</v>
      </c>
      <c r="C96" s="18" t="s">
        <v>459</v>
      </c>
      <c r="D96" s="20" t="s">
        <v>67</v>
      </c>
      <c r="E96" s="17" t="n">
        <v>450</v>
      </c>
      <c r="F96" s="13" t="s">
        <v>27</v>
      </c>
      <c r="G96" s="12" t="n">
        <f aca="false">IFERROR(VLOOKUP(D96,Insumos!$C$5:$G$108,5,FALSE()),0)</f>
        <v>0.17</v>
      </c>
      <c r="H96" s="14" t="n">
        <f aca="false">E96*G96</f>
        <v>76.5</v>
      </c>
    </row>
    <row r="97" customFormat="false" ht="15" hidden="false" customHeight="false" outlineLevel="0" collapsed="false">
      <c r="A97" s="0" t="n">
        <v>10</v>
      </c>
      <c r="B97" s="19" t="s">
        <v>457</v>
      </c>
      <c r="C97" s="18" t="s">
        <v>391</v>
      </c>
      <c r="D97" s="20" t="s">
        <v>103</v>
      </c>
      <c r="E97" s="17" t="n">
        <v>150</v>
      </c>
      <c r="F97" s="13" t="s">
        <v>27</v>
      </c>
      <c r="G97" s="12" t="n">
        <f aca="false">IFERROR(VLOOKUP(D97,Insumos!$C$5:$G$108,5,FALSE()),0)</f>
        <v>0.028</v>
      </c>
      <c r="H97" s="14" t="n">
        <f aca="false">E97*G97</f>
        <v>4.2</v>
      </c>
    </row>
    <row r="98" customFormat="false" ht="15" hidden="false" customHeight="false" outlineLevel="0" collapsed="false">
      <c r="A98" s="0" t="n">
        <v>10</v>
      </c>
      <c r="B98" s="19" t="s">
        <v>457</v>
      </c>
      <c r="C98" s="18" t="s">
        <v>460</v>
      </c>
      <c r="D98" s="20" t="s">
        <v>206</v>
      </c>
      <c r="E98" s="17" t="n">
        <v>0.6</v>
      </c>
      <c r="F98" s="13" t="s">
        <v>27</v>
      </c>
      <c r="G98" s="12" t="n">
        <f aca="false">IFERROR(VLOOKUP(D98,Insumos!$C$5:$G$108,5,FALSE()),0)</f>
        <v>0.4</v>
      </c>
      <c r="H98" s="14" t="n">
        <f aca="false">E98*G98</f>
        <v>0.24</v>
      </c>
    </row>
    <row r="99" customFormat="false" ht="15" hidden="false" customHeight="false" outlineLevel="0" collapsed="false">
      <c r="A99" s="0" t="n">
        <v>10</v>
      </c>
      <c r="B99" s="19" t="s">
        <v>457</v>
      </c>
      <c r="C99" s="18" t="s">
        <v>461</v>
      </c>
      <c r="D99" s="20" t="s">
        <v>204</v>
      </c>
      <c r="E99" s="17" t="n">
        <v>2</v>
      </c>
      <c r="F99" s="13" t="s">
        <v>27</v>
      </c>
      <c r="G99" s="12" t="n">
        <f aca="false">IFERROR(VLOOKUP(D99,Insumos!$C$5:$G$108,5,FALSE()),0)</f>
        <v>0.3</v>
      </c>
      <c r="H99" s="14" t="n">
        <f aca="false">E99*G99</f>
        <v>0.6</v>
      </c>
    </row>
    <row r="100" customFormat="false" ht="15" hidden="false" customHeight="false" outlineLevel="0" collapsed="false">
      <c r="A100" s="0" t="n">
        <v>10</v>
      </c>
      <c r="B100" s="19" t="s">
        <v>457</v>
      </c>
      <c r="C100" s="18" t="s">
        <v>462</v>
      </c>
      <c r="D100" s="20" t="s">
        <v>198</v>
      </c>
      <c r="E100" s="17" t="n">
        <v>12</v>
      </c>
      <c r="F100" s="13" t="s">
        <v>27</v>
      </c>
      <c r="G100" s="12" t="n">
        <f aca="false">IFERROR(VLOOKUP(D100,Insumos!$C$5:$G$108,5,FALSE()),0)</f>
        <v>0.035</v>
      </c>
      <c r="H100" s="14" t="n">
        <f aca="false">E100*G100</f>
        <v>0.42</v>
      </c>
    </row>
    <row r="101" customFormat="false" ht="15" hidden="false" customHeight="false" outlineLevel="0" collapsed="false">
      <c r="A101" s="0" t="n">
        <v>10</v>
      </c>
      <c r="B101" s="19" t="s">
        <v>457</v>
      </c>
      <c r="C101" s="18" t="s">
        <v>387</v>
      </c>
      <c r="D101" s="20" t="s">
        <v>26</v>
      </c>
      <c r="E101" s="17" t="n">
        <v>1000</v>
      </c>
      <c r="F101" s="13" t="s">
        <v>27</v>
      </c>
      <c r="G101" s="12" t="n">
        <f aca="false">IFERROR(VLOOKUP(D101,Insumos!$C$5:$G$108,5,FALSE()),0)</f>
        <v>0.03</v>
      </c>
      <c r="H101" s="14" t="n">
        <f aca="false">E101*G101</f>
        <v>30</v>
      </c>
    </row>
    <row r="102" customFormat="false" ht="15" hidden="false" customHeight="false" outlineLevel="0" collapsed="false">
      <c r="A102" s="0" t="n">
        <v>11</v>
      </c>
      <c r="B102" s="19" t="s">
        <v>463</v>
      </c>
      <c r="C102" s="18" t="s">
        <v>464</v>
      </c>
      <c r="D102" s="20" t="s">
        <v>234</v>
      </c>
      <c r="E102" s="17" t="n">
        <v>400</v>
      </c>
      <c r="F102" s="13" t="s">
        <v>27</v>
      </c>
      <c r="G102" s="12" t="n">
        <f aca="false">IFERROR(VLOOKUP(D102,Insumos!$C$5:$G$108,5,FALSE()),0)</f>
        <v>0.042</v>
      </c>
      <c r="H102" s="14" t="n">
        <f aca="false">E102*G102</f>
        <v>16.8</v>
      </c>
    </row>
    <row r="103" customFormat="false" ht="15" hidden="false" customHeight="false" outlineLevel="0" collapsed="false">
      <c r="A103" s="0" t="n">
        <v>11</v>
      </c>
      <c r="B103" s="19" t="s">
        <v>463</v>
      </c>
      <c r="C103" s="18" t="s">
        <v>465</v>
      </c>
      <c r="D103" s="20" t="s">
        <v>30</v>
      </c>
      <c r="E103" s="17" t="n">
        <v>90</v>
      </c>
      <c r="F103" s="13" t="s">
        <v>27</v>
      </c>
      <c r="G103" s="12" t="n">
        <f aca="false">IFERROR(VLOOKUP(D103,Insumos!$C$5:$G$108,5,FALSE()),0)</f>
        <v>0.07</v>
      </c>
      <c r="H103" s="14" t="n">
        <f aca="false">E103*G103</f>
        <v>6.3</v>
      </c>
    </row>
    <row r="104" customFormat="false" ht="15" hidden="false" customHeight="false" outlineLevel="0" collapsed="false">
      <c r="A104" s="0" t="n">
        <v>11</v>
      </c>
      <c r="B104" s="19" t="s">
        <v>463</v>
      </c>
      <c r="C104" s="18" t="s">
        <v>466</v>
      </c>
      <c r="D104" s="20" t="s">
        <v>105</v>
      </c>
      <c r="E104" s="17" t="n">
        <v>180</v>
      </c>
      <c r="F104" s="13" t="s">
        <v>27</v>
      </c>
      <c r="G104" s="12" t="n">
        <f aca="false">IFERROR(VLOOKUP(D104,Insumos!$C$5:$G$108,5,FALSE()),0)</f>
        <v>0.04</v>
      </c>
      <c r="H104" s="14" t="n">
        <f aca="false">E104*G104</f>
        <v>7.2</v>
      </c>
    </row>
    <row r="105" customFormat="false" ht="15" hidden="false" customHeight="false" outlineLevel="0" collapsed="false">
      <c r="A105" s="0" t="n">
        <v>11</v>
      </c>
      <c r="B105" s="19" t="s">
        <v>463</v>
      </c>
      <c r="C105" s="18" t="s">
        <v>467</v>
      </c>
      <c r="D105" s="20" t="s">
        <v>109</v>
      </c>
      <c r="E105" s="17" t="n">
        <v>8</v>
      </c>
      <c r="F105" s="13" t="s">
        <v>27</v>
      </c>
      <c r="G105" s="12" t="n">
        <f aca="false">IFERROR(VLOOKUP(D105,Insumos!$C$5:$G$108,5,FALSE()),0)</f>
        <v>0.11</v>
      </c>
      <c r="H105" s="14" t="n">
        <f aca="false">E105*G105</f>
        <v>0.88</v>
      </c>
    </row>
    <row r="106" customFormat="false" ht="15" hidden="false" customHeight="false" outlineLevel="0" collapsed="false">
      <c r="A106" s="0" t="n">
        <v>11</v>
      </c>
      <c r="B106" s="19" t="s">
        <v>463</v>
      </c>
      <c r="C106" s="18" t="s">
        <v>468</v>
      </c>
      <c r="D106" s="20" t="s">
        <v>175</v>
      </c>
      <c r="E106" s="17" t="n">
        <v>3</v>
      </c>
      <c r="F106" s="13" t="s">
        <v>176</v>
      </c>
      <c r="G106" s="12" t="n">
        <f aca="false">IFERROR(VLOOKUP(D106,Insumos!$C$5:$G$108,5,FALSE()),0)</f>
        <v>2.5</v>
      </c>
      <c r="H106" s="14" t="n">
        <f aca="false">E106*G106</f>
        <v>7.5</v>
      </c>
    </row>
    <row r="107" customFormat="false" ht="15" hidden="false" customHeight="false" outlineLevel="0" collapsed="false">
      <c r="A107" s="0" t="n">
        <v>11</v>
      </c>
      <c r="B107" s="19" t="s">
        <v>463</v>
      </c>
      <c r="C107" s="18" t="s">
        <v>392</v>
      </c>
      <c r="D107" s="20" t="s">
        <v>193</v>
      </c>
      <c r="E107" s="17" t="n">
        <v>2</v>
      </c>
      <c r="F107" s="13" t="s">
        <v>27</v>
      </c>
      <c r="G107" s="12" t="n">
        <f aca="false">IFERROR(VLOOKUP(D107,Insumos!$C$5:$G$108,5,FALSE()),0)</f>
        <v>0.25</v>
      </c>
      <c r="H107" s="14" t="n">
        <f aca="false">E107*G107</f>
        <v>0.5</v>
      </c>
    </row>
    <row r="108" customFormat="false" ht="15" hidden="false" customHeight="false" outlineLevel="0" collapsed="false">
      <c r="A108" s="0" t="n">
        <v>11</v>
      </c>
      <c r="B108" s="19" t="s">
        <v>463</v>
      </c>
      <c r="C108" s="18" t="s">
        <v>469</v>
      </c>
      <c r="D108" s="20" t="s">
        <v>198</v>
      </c>
      <c r="E108" s="17" t="n">
        <v>14</v>
      </c>
      <c r="F108" s="13" t="s">
        <v>27</v>
      </c>
      <c r="G108" s="12" t="n">
        <f aca="false">IFERROR(VLOOKUP(D108,Insumos!$C$5:$G$108,5,FALSE()),0)</f>
        <v>0.035</v>
      </c>
      <c r="H108" s="14" t="n">
        <f aca="false">E108*G108</f>
        <v>0.49</v>
      </c>
    </row>
    <row r="109" customFormat="false" ht="15" hidden="false" customHeight="false" outlineLevel="0" collapsed="false">
      <c r="A109" s="0" t="n">
        <v>11</v>
      </c>
      <c r="B109" s="19" t="s">
        <v>463</v>
      </c>
      <c r="C109" s="18" t="s">
        <v>470</v>
      </c>
      <c r="D109" s="20" t="s">
        <v>26</v>
      </c>
      <c r="E109" s="17" t="n">
        <v>1000</v>
      </c>
      <c r="F109" s="13" t="s">
        <v>27</v>
      </c>
      <c r="G109" s="12" t="n">
        <f aca="false">IFERROR(VLOOKUP(D109,Insumos!$C$5:$G$108,5,FALSE()),0)</f>
        <v>0.03</v>
      </c>
      <c r="H109" s="14" t="n">
        <f aca="false">E109*G109</f>
        <v>30</v>
      </c>
    </row>
    <row r="110" customFormat="false" ht="15" hidden="false" customHeight="false" outlineLevel="0" collapsed="false">
      <c r="A110" s="0" t="n">
        <v>12</v>
      </c>
      <c r="B110" s="19" t="s">
        <v>471</v>
      </c>
      <c r="C110" s="18" t="s">
        <v>472</v>
      </c>
      <c r="D110" s="20" t="s">
        <v>145</v>
      </c>
      <c r="E110" s="17" t="n">
        <v>1200</v>
      </c>
      <c r="F110" s="13" t="s">
        <v>27</v>
      </c>
      <c r="G110" s="12" t="n">
        <f aca="false">IFERROR(VLOOKUP(D110,Insumos!$C$5:$G$108,5,FALSE()),0)</f>
        <v>0.09</v>
      </c>
      <c r="H110" s="14" t="n">
        <f aca="false">E110*G110</f>
        <v>108</v>
      </c>
    </row>
    <row r="111" customFormat="false" ht="15" hidden="false" customHeight="false" outlineLevel="0" collapsed="false">
      <c r="A111" s="0" t="n">
        <v>12</v>
      </c>
      <c r="B111" s="19" t="s">
        <v>471</v>
      </c>
      <c r="C111" s="18" t="s">
        <v>473</v>
      </c>
      <c r="D111" s="20" t="s">
        <v>103</v>
      </c>
      <c r="E111" s="17" t="n">
        <v>500</v>
      </c>
      <c r="F111" s="13" t="s">
        <v>27</v>
      </c>
      <c r="G111" s="12" t="n">
        <f aca="false">IFERROR(VLOOKUP(D111,Insumos!$C$5:$G$108,5,FALSE()),0)</f>
        <v>0.028</v>
      </c>
      <c r="H111" s="14" t="n">
        <f aca="false">E111*G111</f>
        <v>14</v>
      </c>
    </row>
    <row r="112" customFormat="false" ht="15" hidden="false" customHeight="false" outlineLevel="0" collapsed="false">
      <c r="A112" s="0" t="n">
        <v>12</v>
      </c>
      <c r="B112" s="19" t="s">
        <v>471</v>
      </c>
      <c r="C112" s="18" t="s">
        <v>474</v>
      </c>
      <c r="D112" s="20" t="s">
        <v>111</v>
      </c>
      <c r="E112" s="17" t="n">
        <v>400</v>
      </c>
      <c r="F112" s="13" t="s">
        <v>27</v>
      </c>
      <c r="G112" s="12" t="n">
        <f aca="false">IFERROR(VLOOKUP(D112,Insumos!$C$5:$G$108,5,FALSE()),0)</f>
        <v>0.03</v>
      </c>
      <c r="H112" s="14" t="n">
        <f aca="false">E112*G112</f>
        <v>12</v>
      </c>
    </row>
    <row r="113" customFormat="false" ht="15" hidden="false" customHeight="false" outlineLevel="0" collapsed="false">
      <c r="A113" s="0" t="n">
        <v>12</v>
      </c>
      <c r="B113" s="19" t="s">
        <v>471</v>
      </c>
      <c r="C113" s="18" t="s">
        <v>475</v>
      </c>
      <c r="D113" s="20" t="s">
        <v>189</v>
      </c>
      <c r="E113" s="17" t="n">
        <v>15</v>
      </c>
      <c r="F113" s="13" t="s">
        <v>27</v>
      </c>
      <c r="G113" s="12" t="n">
        <f aca="false">IFERROR(VLOOKUP(D113,Insumos!$C$5:$G$108,5,FALSE()),0)</f>
        <v>0.38</v>
      </c>
      <c r="H113" s="14" t="n">
        <f aca="false">E113*G113</f>
        <v>5.7</v>
      </c>
    </row>
    <row r="114" customFormat="false" ht="15" hidden="false" customHeight="false" outlineLevel="0" collapsed="false">
      <c r="A114" s="0" t="n">
        <v>12</v>
      </c>
      <c r="B114" s="19" t="s">
        <v>471</v>
      </c>
      <c r="C114" s="18" t="s">
        <v>381</v>
      </c>
      <c r="D114" s="20" t="s">
        <v>109</v>
      </c>
      <c r="E114" s="17" t="n">
        <v>12</v>
      </c>
      <c r="F114" s="13" t="s">
        <v>27</v>
      </c>
      <c r="G114" s="12" t="n">
        <f aca="false">IFERROR(VLOOKUP(D114,Insumos!$C$5:$G$108,5,FALSE()),0)</f>
        <v>0.11</v>
      </c>
      <c r="H114" s="14" t="n">
        <f aca="false">E114*G114</f>
        <v>1.32</v>
      </c>
    </row>
    <row r="115" customFormat="false" ht="15" hidden="false" customHeight="false" outlineLevel="0" collapsed="false">
      <c r="A115" s="0" t="n">
        <v>12</v>
      </c>
      <c r="B115" s="19" t="s">
        <v>471</v>
      </c>
      <c r="C115" s="18" t="s">
        <v>334</v>
      </c>
      <c r="D115" s="20" t="s">
        <v>206</v>
      </c>
      <c r="E115" s="17" t="n">
        <v>0.6</v>
      </c>
      <c r="F115" s="13" t="s">
        <v>27</v>
      </c>
      <c r="G115" s="12" t="n">
        <f aca="false">IFERROR(VLOOKUP(D115,Insumos!$C$5:$G$108,5,FALSE()),0)</f>
        <v>0.4</v>
      </c>
      <c r="H115" s="14" t="n">
        <f aca="false">E115*G115</f>
        <v>0.24</v>
      </c>
    </row>
    <row r="116" customFormat="false" ht="15" hidden="false" customHeight="false" outlineLevel="0" collapsed="false">
      <c r="A116" s="0" t="n">
        <v>12</v>
      </c>
      <c r="B116" s="19" t="s">
        <v>471</v>
      </c>
      <c r="C116" s="18" t="s">
        <v>476</v>
      </c>
      <c r="D116" s="20" t="s">
        <v>204</v>
      </c>
      <c r="E116" s="17" t="n">
        <v>1</v>
      </c>
      <c r="F116" s="13" t="s">
        <v>27</v>
      </c>
      <c r="G116" s="12" t="n">
        <f aca="false">IFERROR(VLOOKUP(D116,Insumos!$C$5:$G$108,5,FALSE()),0)</f>
        <v>0.3</v>
      </c>
      <c r="H116" s="14" t="n">
        <f aca="false">E116*G116</f>
        <v>0.3</v>
      </c>
    </row>
    <row r="117" customFormat="false" ht="15" hidden="false" customHeight="false" outlineLevel="0" collapsed="false">
      <c r="A117" s="0" t="n">
        <v>12</v>
      </c>
      <c r="B117" s="19" t="s">
        <v>471</v>
      </c>
      <c r="C117" s="18" t="s">
        <v>477</v>
      </c>
      <c r="D117" s="20" t="s">
        <v>32</v>
      </c>
      <c r="E117" s="17" t="n">
        <v>50</v>
      </c>
      <c r="F117" s="13" t="s">
        <v>33</v>
      </c>
      <c r="G117" s="12" t="n">
        <f aca="false">IFERROR(VLOOKUP(D117,Insumos!$C$5:$G$108,5,FALSE()),0)</f>
        <v>0.048</v>
      </c>
      <c r="H117" s="14" t="n">
        <f aca="false">E117*G117</f>
        <v>2.4</v>
      </c>
    </row>
    <row r="118" customFormat="false" ht="15" hidden="false" customHeight="false" outlineLevel="0" collapsed="false">
      <c r="A118" s="0" t="n">
        <v>12</v>
      </c>
      <c r="B118" s="19" t="s">
        <v>471</v>
      </c>
      <c r="C118" s="18" t="s">
        <v>419</v>
      </c>
      <c r="D118" s="20" t="s">
        <v>198</v>
      </c>
      <c r="E118" s="17" t="n">
        <v>16</v>
      </c>
      <c r="F118" s="13" t="s">
        <v>27</v>
      </c>
      <c r="G118" s="12" t="n">
        <f aca="false">IFERROR(VLOOKUP(D118,Insumos!$C$5:$G$108,5,FALSE()),0)</f>
        <v>0.035</v>
      </c>
      <c r="H118" s="14" t="n">
        <f aca="false">E118*G118</f>
        <v>0.56</v>
      </c>
    </row>
    <row r="119" customFormat="false" ht="15" hidden="false" customHeight="false" outlineLevel="0" collapsed="false">
      <c r="A119" s="0" t="n">
        <v>12</v>
      </c>
      <c r="B119" s="19" t="s">
        <v>471</v>
      </c>
      <c r="C119" s="18" t="s">
        <v>387</v>
      </c>
      <c r="D119" s="20" t="s">
        <v>26</v>
      </c>
      <c r="E119" s="17" t="n">
        <v>1000</v>
      </c>
      <c r="F119" s="13" t="s">
        <v>27</v>
      </c>
      <c r="G119" s="12" t="n">
        <f aca="false">IFERROR(VLOOKUP(D119,Insumos!$C$5:$G$108,5,FALSE()),0)</f>
        <v>0.03</v>
      </c>
      <c r="H119" s="14" t="n">
        <f aca="false">E119*G119</f>
        <v>30</v>
      </c>
    </row>
    <row r="120" customFormat="false" ht="15" hidden="false" customHeight="false" outlineLevel="0" collapsed="false">
      <c r="A120" s="0" t="n">
        <v>13</v>
      </c>
      <c r="B120" s="19" t="s">
        <v>478</v>
      </c>
      <c r="C120" s="18" t="s">
        <v>479</v>
      </c>
      <c r="D120" s="20" t="s">
        <v>140</v>
      </c>
      <c r="E120" s="17" t="n">
        <v>800</v>
      </c>
      <c r="F120" s="13" t="s">
        <v>27</v>
      </c>
      <c r="G120" s="12" t="n">
        <f aca="false">IFERROR(VLOOKUP(D120,Insumos!$C$5:$G$108,5,FALSE()),0)</f>
        <v>0.05</v>
      </c>
      <c r="H120" s="14" t="n">
        <f aca="false">E120*G120</f>
        <v>40</v>
      </c>
    </row>
    <row r="121" customFormat="false" ht="15" hidden="false" customHeight="false" outlineLevel="0" collapsed="false">
      <c r="A121" s="0" t="n">
        <v>13</v>
      </c>
      <c r="B121" s="19" t="s">
        <v>478</v>
      </c>
      <c r="C121" s="18" t="s">
        <v>480</v>
      </c>
      <c r="D121" s="20" t="s">
        <v>101</v>
      </c>
      <c r="E121" s="17" t="n">
        <v>600</v>
      </c>
      <c r="F121" s="13" t="s">
        <v>27</v>
      </c>
      <c r="G121" s="12" t="n">
        <f aca="false">IFERROR(VLOOKUP(D121,Insumos!$C$5:$G$108,5,FALSE()),0)</f>
        <v>0.03</v>
      </c>
      <c r="H121" s="14" t="n">
        <f aca="false">E121*G121</f>
        <v>18</v>
      </c>
    </row>
    <row r="122" customFormat="false" ht="15" hidden="false" customHeight="false" outlineLevel="0" collapsed="false">
      <c r="A122" s="0" t="n">
        <v>13</v>
      </c>
      <c r="B122" s="19" t="s">
        <v>478</v>
      </c>
      <c r="C122" s="18" t="s">
        <v>481</v>
      </c>
      <c r="D122" s="20" t="s">
        <v>103</v>
      </c>
      <c r="E122" s="17" t="n">
        <v>300</v>
      </c>
      <c r="F122" s="13" t="s">
        <v>27</v>
      </c>
      <c r="G122" s="12" t="n">
        <f aca="false">IFERROR(VLOOKUP(D122,Insumos!$C$5:$G$108,5,FALSE()),0)</f>
        <v>0.028</v>
      </c>
      <c r="H122" s="14" t="n">
        <f aca="false">E122*G122</f>
        <v>8.4</v>
      </c>
    </row>
    <row r="123" customFormat="false" ht="15" hidden="false" customHeight="false" outlineLevel="0" collapsed="false">
      <c r="A123" s="0" t="n">
        <v>13</v>
      </c>
      <c r="B123" s="19" t="s">
        <v>478</v>
      </c>
      <c r="C123" s="18" t="s">
        <v>482</v>
      </c>
      <c r="D123" s="20" t="s">
        <v>109</v>
      </c>
      <c r="E123" s="17" t="n">
        <v>12</v>
      </c>
      <c r="F123" s="13" t="s">
        <v>27</v>
      </c>
      <c r="G123" s="12" t="n">
        <f aca="false">IFERROR(VLOOKUP(D123,Insumos!$C$5:$G$108,5,FALSE()),0)</f>
        <v>0.11</v>
      </c>
      <c r="H123" s="14" t="n">
        <f aca="false">E123*G123</f>
        <v>1.32</v>
      </c>
    </row>
    <row r="124" customFormat="false" ht="15" hidden="false" customHeight="false" outlineLevel="0" collapsed="false">
      <c r="A124" s="0" t="n">
        <v>13</v>
      </c>
      <c r="B124" s="19" t="s">
        <v>478</v>
      </c>
      <c r="C124" s="18" t="s">
        <v>461</v>
      </c>
      <c r="D124" s="20" t="s">
        <v>204</v>
      </c>
      <c r="E124" s="17" t="n">
        <v>2</v>
      </c>
      <c r="F124" s="13" t="s">
        <v>27</v>
      </c>
      <c r="G124" s="12" t="n">
        <f aca="false">IFERROR(VLOOKUP(D124,Insumos!$C$5:$G$108,5,FALSE()),0)</f>
        <v>0.3</v>
      </c>
      <c r="H124" s="14" t="n">
        <f aca="false">E124*G124</f>
        <v>0.6</v>
      </c>
    </row>
    <row r="125" customFormat="false" ht="15" hidden="false" customHeight="false" outlineLevel="0" collapsed="false">
      <c r="A125" s="0" t="n">
        <v>13</v>
      </c>
      <c r="B125" s="19" t="s">
        <v>478</v>
      </c>
      <c r="C125" s="18" t="s">
        <v>483</v>
      </c>
      <c r="D125" s="20" t="s">
        <v>32</v>
      </c>
      <c r="E125" s="17" t="n">
        <v>50</v>
      </c>
      <c r="F125" s="13" t="s">
        <v>33</v>
      </c>
      <c r="G125" s="12" t="n">
        <f aca="false">IFERROR(VLOOKUP(D125,Insumos!$C$5:$G$108,5,FALSE()),0)</f>
        <v>0.048</v>
      </c>
      <c r="H125" s="14" t="n">
        <f aca="false">E125*G125</f>
        <v>2.4</v>
      </c>
    </row>
    <row r="126" customFormat="false" ht="15" hidden="false" customHeight="false" outlineLevel="0" collapsed="false">
      <c r="A126" s="0" t="n">
        <v>13</v>
      </c>
      <c r="B126" s="19" t="s">
        <v>478</v>
      </c>
      <c r="C126" s="18" t="s">
        <v>484</v>
      </c>
      <c r="D126" s="20" t="s">
        <v>198</v>
      </c>
      <c r="E126" s="17" t="n">
        <v>16</v>
      </c>
      <c r="F126" s="13" t="s">
        <v>27</v>
      </c>
      <c r="G126" s="12" t="n">
        <f aca="false">IFERROR(VLOOKUP(D126,Insumos!$C$5:$G$108,5,FALSE()),0)</f>
        <v>0.035</v>
      </c>
      <c r="H126" s="14" t="n">
        <f aca="false">E126*G126</f>
        <v>0.56</v>
      </c>
    </row>
    <row r="127" customFormat="false" ht="15" hidden="false" customHeight="false" outlineLevel="0" collapsed="false">
      <c r="A127" s="0" t="n">
        <v>13</v>
      </c>
      <c r="B127" s="19" t="s">
        <v>478</v>
      </c>
      <c r="C127" s="18" t="s">
        <v>387</v>
      </c>
      <c r="D127" s="20" t="s">
        <v>26</v>
      </c>
      <c r="E127" s="17" t="n">
        <v>1000</v>
      </c>
      <c r="F127" s="13" t="s">
        <v>27</v>
      </c>
      <c r="G127" s="12" t="n">
        <f aca="false">IFERROR(VLOOKUP(D127,Insumos!$C$5:$G$108,5,FALSE()),0)</f>
        <v>0.03</v>
      </c>
      <c r="H127" s="14" t="n">
        <f aca="false">E127*G127</f>
        <v>30</v>
      </c>
    </row>
    <row r="128" customFormat="false" ht="15" hidden="false" customHeight="false" outlineLevel="0" collapsed="false">
      <c r="A128" s="0" t="n">
        <v>14</v>
      </c>
      <c r="B128" s="19" t="s">
        <v>485</v>
      </c>
      <c r="C128" s="18" t="s">
        <v>486</v>
      </c>
      <c r="D128" s="20" t="s">
        <v>125</v>
      </c>
      <c r="E128" s="17" t="n">
        <v>1800</v>
      </c>
      <c r="F128" s="13" t="s">
        <v>27</v>
      </c>
      <c r="G128" s="12" t="n">
        <f aca="false">IFERROR(VLOOKUP(D128,Insumos!$C$5:$G$108,5,FALSE()),0)</f>
        <v>0.045</v>
      </c>
      <c r="H128" s="14" t="n">
        <f aca="false">E128*G128</f>
        <v>81</v>
      </c>
    </row>
    <row r="129" customFormat="false" ht="15" hidden="false" customHeight="false" outlineLevel="0" collapsed="false">
      <c r="A129" s="0" t="n">
        <v>14</v>
      </c>
      <c r="B129" s="19" t="s">
        <v>485</v>
      </c>
      <c r="C129" s="18" t="s">
        <v>487</v>
      </c>
      <c r="D129" s="20" t="s">
        <v>107</v>
      </c>
      <c r="E129" s="17" t="n">
        <v>250</v>
      </c>
      <c r="F129" s="13" t="s">
        <v>27</v>
      </c>
      <c r="G129" s="12" t="n">
        <f aca="false">IFERROR(VLOOKUP(D129,Insumos!$C$5:$G$108,5,FALSE()),0)</f>
        <v>0.045</v>
      </c>
      <c r="H129" s="14" t="n">
        <f aca="false">E129*G129</f>
        <v>11.25</v>
      </c>
    </row>
    <row r="130" customFormat="false" ht="15" hidden="false" customHeight="false" outlineLevel="0" collapsed="false">
      <c r="A130" s="0" t="n">
        <v>14</v>
      </c>
      <c r="B130" s="19" t="s">
        <v>485</v>
      </c>
      <c r="C130" s="18" t="s">
        <v>488</v>
      </c>
      <c r="D130" s="20" t="s">
        <v>136</v>
      </c>
      <c r="E130" s="17" t="n">
        <v>30</v>
      </c>
      <c r="F130" s="13" t="s">
        <v>27</v>
      </c>
      <c r="G130" s="12" t="n">
        <f aca="false">IFERROR(VLOOKUP(D130,Insumos!$C$5:$G$108,5,FALSE()),0)</f>
        <v>0.045</v>
      </c>
      <c r="H130" s="14" t="n">
        <f aca="false">E130*G130</f>
        <v>1.35</v>
      </c>
    </row>
    <row r="131" customFormat="false" ht="15" hidden="false" customHeight="false" outlineLevel="0" collapsed="false">
      <c r="A131" s="0" t="n">
        <v>14</v>
      </c>
      <c r="B131" s="19" t="s">
        <v>485</v>
      </c>
      <c r="C131" s="18" t="s">
        <v>453</v>
      </c>
      <c r="D131" s="20" t="s">
        <v>109</v>
      </c>
      <c r="E131" s="17" t="n">
        <v>12</v>
      </c>
      <c r="F131" s="13" t="s">
        <v>27</v>
      </c>
      <c r="G131" s="12" t="n">
        <f aca="false">IFERROR(VLOOKUP(D131,Insumos!$C$5:$G$108,5,FALSE()),0)</f>
        <v>0.11</v>
      </c>
      <c r="H131" s="14" t="n">
        <f aca="false">E131*G131</f>
        <v>1.32</v>
      </c>
    </row>
    <row r="132" customFormat="false" ht="15" hidden="false" customHeight="false" outlineLevel="0" collapsed="false">
      <c r="A132" s="0" t="n">
        <v>14</v>
      </c>
      <c r="B132" s="19" t="s">
        <v>485</v>
      </c>
      <c r="C132" s="18" t="s">
        <v>489</v>
      </c>
      <c r="D132" s="20" t="s">
        <v>30</v>
      </c>
      <c r="E132" s="17" t="n">
        <v>60</v>
      </c>
      <c r="F132" s="13" t="s">
        <v>27</v>
      </c>
      <c r="G132" s="12" t="n">
        <f aca="false">IFERROR(VLOOKUP(D132,Insumos!$C$5:$G$108,5,FALSE()),0)</f>
        <v>0.07</v>
      </c>
      <c r="H132" s="14" t="n">
        <f aca="false">E132*G132</f>
        <v>4.2</v>
      </c>
    </row>
    <row r="133" customFormat="false" ht="15" hidden="false" customHeight="false" outlineLevel="0" collapsed="false">
      <c r="A133" s="0" t="n">
        <v>14</v>
      </c>
      <c r="B133" s="19" t="s">
        <v>485</v>
      </c>
      <c r="C133" s="18" t="s">
        <v>490</v>
      </c>
      <c r="D133" s="20" t="s">
        <v>198</v>
      </c>
      <c r="E133" s="17" t="n">
        <v>14</v>
      </c>
      <c r="F133" s="13" t="s">
        <v>27</v>
      </c>
      <c r="G133" s="12" t="n">
        <f aca="false">IFERROR(VLOOKUP(D133,Insumos!$C$5:$G$108,5,FALSE()),0)</f>
        <v>0.035</v>
      </c>
      <c r="H133" s="14" t="n">
        <f aca="false">E133*G133</f>
        <v>0.49</v>
      </c>
    </row>
    <row r="134" customFormat="false" ht="15" hidden="false" customHeight="false" outlineLevel="0" collapsed="false">
      <c r="A134" s="0" t="n">
        <v>14</v>
      </c>
      <c r="B134" s="19" t="s">
        <v>485</v>
      </c>
      <c r="C134" s="18" t="s">
        <v>387</v>
      </c>
      <c r="D134" s="20" t="s">
        <v>26</v>
      </c>
      <c r="E134" s="17" t="n">
        <v>1000</v>
      </c>
      <c r="F134" s="13" t="s">
        <v>27</v>
      </c>
      <c r="G134" s="12" t="n">
        <f aca="false">IFERROR(VLOOKUP(D134,Insumos!$C$5:$G$108,5,FALSE()),0)</f>
        <v>0.03</v>
      </c>
      <c r="H134" s="14" t="n">
        <f aca="false">E134*G134</f>
        <v>30</v>
      </c>
    </row>
    <row r="135" customFormat="false" ht="15" hidden="false" customHeight="false" outlineLevel="0" collapsed="false">
      <c r="A135" s="0" t="n">
        <v>15</v>
      </c>
      <c r="B135" s="19" t="s">
        <v>491</v>
      </c>
      <c r="C135" s="18" t="s">
        <v>492</v>
      </c>
      <c r="D135" s="20" t="s">
        <v>96</v>
      </c>
      <c r="E135" s="17" t="n">
        <v>1200</v>
      </c>
      <c r="F135" s="13" t="s">
        <v>27</v>
      </c>
      <c r="G135" s="12" t="n">
        <f aca="false">IFERROR(VLOOKUP(D135,Insumos!$C$5:$G$108,5,FALSE()),0)</f>
        <v>0.11</v>
      </c>
      <c r="H135" s="14" t="n">
        <f aca="false">E135*G135</f>
        <v>132</v>
      </c>
    </row>
    <row r="136" customFormat="false" ht="15" hidden="false" customHeight="false" outlineLevel="0" collapsed="false">
      <c r="A136" s="0" t="n">
        <v>15</v>
      </c>
      <c r="B136" s="19" t="s">
        <v>491</v>
      </c>
      <c r="C136" s="18" t="s">
        <v>493</v>
      </c>
      <c r="D136" s="20" t="s">
        <v>35</v>
      </c>
      <c r="E136" s="17" t="n">
        <v>60</v>
      </c>
      <c r="F136" s="13" t="s">
        <v>27</v>
      </c>
      <c r="G136" s="12" t="n">
        <f aca="false">IFERROR(VLOOKUP(D136,Insumos!$C$5:$G$108,5,FALSE()),0)</f>
        <v>0.33</v>
      </c>
      <c r="H136" s="14" t="n">
        <f aca="false">E136*G136</f>
        <v>19.8</v>
      </c>
    </row>
    <row r="137" customFormat="false" ht="15" hidden="false" customHeight="false" outlineLevel="0" collapsed="false">
      <c r="A137" s="0" t="n">
        <v>15</v>
      </c>
      <c r="B137" s="19" t="s">
        <v>491</v>
      </c>
      <c r="C137" s="18" t="s">
        <v>391</v>
      </c>
      <c r="D137" s="20" t="s">
        <v>103</v>
      </c>
      <c r="E137" s="17" t="n">
        <v>150</v>
      </c>
      <c r="F137" s="13" t="s">
        <v>27</v>
      </c>
      <c r="G137" s="12" t="n">
        <f aca="false">IFERROR(VLOOKUP(D137,Insumos!$C$5:$G$108,5,FALSE()),0)</f>
        <v>0.028</v>
      </c>
      <c r="H137" s="14" t="n">
        <f aca="false">E137*G137</f>
        <v>4.2</v>
      </c>
    </row>
    <row r="138" customFormat="false" ht="15" hidden="false" customHeight="false" outlineLevel="0" collapsed="false">
      <c r="A138" s="0" t="n">
        <v>15</v>
      </c>
      <c r="B138" s="19" t="s">
        <v>491</v>
      </c>
      <c r="C138" s="18" t="s">
        <v>494</v>
      </c>
      <c r="D138" s="20" t="s">
        <v>138</v>
      </c>
      <c r="E138" s="17" t="n">
        <v>60</v>
      </c>
      <c r="F138" s="13" t="s">
        <v>27</v>
      </c>
      <c r="G138" s="12" t="n">
        <f aca="false">IFERROR(VLOOKUP(D138,Insumos!$C$5:$G$108,5,FALSE()),0)</f>
        <v>0.04</v>
      </c>
      <c r="H138" s="14" t="n">
        <f aca="false">E138*G138</f>
        <v>2.4</v>
      </c>
    </row>
    <row r="139" customFormat="false" ht="15" hidden="false" customHeight="false" outlineLevel="0" collapsed="false">
      <c r="A139" s="0" t="n">
        <v>15</v>
      </c>
      <c r="B139" s="19" t="s">
        <v>491</v>
      </c>
      <c r="C139" s="18" t="s">
        <v>495</v>
      </c>
      <c r="D139" s="20" t="s">
        <v>171</v>
      </c>
      <c r="E139" s="17" t="n">
        <v>25</v>
      </c>
      <c r="F139" s="13" t="s">
        <v>27</v>
      </c>
      <c r="G139" s="12" t="n">
        <f aca="false">IFERROR(VLOOKUP(D139,Insumos!$C$5:$G$108,5,FALSE()),0)</f>
        <v>0.07</v>
      </c>
      <c r="H139" s="14" t="n">
        <f aca="false">E139*G139</f>
        <v>1.75</v>
      </c>
    </row>
    <row r="140" customFormat="false" ht="15" hidden="false" customHeight="false" outlineLevel="0" collapsed="false">
      <c r="A140" s="0" t="n">
        <v>15</v>
      </c>
      <c r="B140" s="19" t="s">
        <v>491</v>
      </c>
      <c r="C140" s="18" t="s">
        <v>496</v>
      </c>
      <c r="D140" s="20" t="s">
        <v>198</v>
      </c>
      <c r="E140" s="17" t="n">
        <v>14</v>
      </c>
      <c r="F140" s="13" t="s">
        <v>27</v>
      </c>
      <c r="G140" s="12" t="n">
        <f aca="false">IFERROR(VLOOKUP(D140,Insumos!$C$5:$G$108,5,FALSE()),0)</f>
        <v>0.035</v>
      </c>
      <c r="H140" s="14" t="n">
        <f aca="false">E140*G140</f>
        <v>0.49</v>
      </c>
    </row>
    <row r="141" customFormat="false" ht="15" hidden="false" customHeight="false" outlineLevel="0" collapsed="false">
      <c r="A141" s="0" t="n">
        <v>15</v>
      </c>
      <c r="B141" s="19" t="s">
        <v>491</v>
      </c>
      <c r="C141" s="18" t="s">
        <v>418</v>
      </c>
      <c r="D141" s="20" t="s">
        <v>200</v>
      </c>
      <c r="E141" s="17" t="n">
        <v>2</v>
      </c>
      <c r="F141" s="13" t="s">
        <v>27</v>
      </c>
      <c r="G141" s="12" t="n">
        <f aca="false">IFERROR(VLOOKUP(D141,Insumos!$C$5:$G$108,5,FALSE()),0)</f>
        <v>0.45</v>
      </c>
      <c r="H141" s="14" t="n">
        <f aca="false">E141*G141</f>
        <v>0.9</v>
      </c>
    </row>
    <row r="142" customFormat="false" ht="15" hidden="false" customHeight="false" outlineLevel="0" collapsed="false">
      <c r="A142" s="0" t="n">
        <v>15</v>
      </c>
      <c r="B142" s="19" t="s">
        <v>491</v>
      </c>
      <c r="C142" s="18" t="s">
        <v>387</v>
      </c>
      <c r="D142" s="20" t="s">
        <v>26</v>
      </c>
      <c r="E142" s="17" t="n">
        <v>1000</v>
      </c>
      <c r="F142" s="13" t="s">
        <v>27</v>
      </c>
      <c r="G142" s="12" t="n">
        <f aca="false">IFERROR(VLOOKUP(D142,Insumos!$C$5:$G$108,5,FALSE()),0)</f>
        <v>0.03</v>
      </c>
      <c r="H142" s="14" t="n">
        <f aca="false">E142*G142</f>
        <v>30</v>
      </c>
    </row>
    <row r="143" customFormat="false" ht="15" hidden="false" customHeight="false" outlineLevel="0" collapsed="false">
      <c r="A143" s="0" t="n">
        <v>16</v>
      </c>
      <c r="B143" s="19" t="s">
        <v>497</v>
      </c>
      <c r="C143" s="18" t="s">
        <v>498</v>
      </c>
      <c r="D143" s="20" t="s">
        <v>121</v>
      </c>
      <c r="E143" s="17" t="n">
        <v>900</v>
      </c>
      <c r="F143" s="13" t="s">
        <v>27</v>
      </c>
      <c r="G143" s="12" t="n">
        <f aca="false">IFERROR(VLOOKUP(D143,Insumos!$C$5:$G$108,5,FALSE()),0)</f>
        <v>0.09</v>
      </c>
      <c r="H143" s="14" t="n">
        <f aca="false">E143*G143</f>
        <v>81</v>
      </c>
    </row>
    <row r="144" customFormat="false" ht="15" hidden="false" customHeight="false" outlineLevel="0" collapsed="false">
      <c r="A144" s="0" t="n">
        <v>16</v>
      </c>
      <c r="B144" s="19" t="s">
        <v>497</v>
      </c>
      <c r="C144" s="18" t="s">
        <v>499</v>
      </c>
      <c r="D144" s="20" t="s">
        <v>119</v>
      </c>
      <c r="E144" s="17" t="n">
        <v>350</v>
      </c>
      <c r="F144" s="13" t="s">
        <v>27</v>
      </c>
      <c r="G144" s="12" t="n">
        <f aca="false">IFERROR(VLOOKUP(D144,Insumos!$C$5:$G$108,5,FALSE()),0)</f>
        <v>0.04</v>
      </c>
      <c r="H144" s="14" t="n">
        <f aca="false">E144*G144</f>
        <v>14</v>
      </c>
    </row>
    <row r="145" customFormat="false" ht="15" hidden="false" customHeight="false" outlineLevel="0" collapsed="false">
      <c r="A145" s="0" t="n">
        <v>16</v>
      </c>
      <c r="B145" s="19" t="s">
        <v>497</v>
      </c>
      <c r="C145" s="18" t="s">
        <v>500</v>
      </c>
      <c r="D145" s="20" t="s">
        <v>103</v>
      </c>
      <c r="E145" s="17" t="n">
        <v>150</v>
      </c>
      <c r="F145" s="13" t="s">
        <v>27</v>
      </c>
      <c r="G145" s="12" t="n">
        <f aca="false">IFERROR(VLOOKUP(D145,Insumos!$C$5:$G$108,5,FALSE()),0)</f>
        <v>0.028</v>
      </c>
      <c r="H145" s="14" t="n">
        <f aca="false">E145*G145</f>
        <v>4.2</v>
      </c>
    </row>
    <row r="146" customFormat="false" ht="15" hidden="false" customHeight="false" outlineLevel="0" collapsed="false">
      <c r="A146" s="0" t="n">
        <v>16</v>
      </c>
      <c r="B146" s="19" t="s">
        <v>497</v>
      </c>
      <c r="C146" s="18" t="s">
        <v>501</v>
      </c>
      <c r="D146" s="20" t="s">
        <v>140</v>
      </c>
      <c r="E146" s="17" t="n">
        <v>100</v>
      </c>
      <c r="F146" s="13" t="s">
        <v>27</v>
      </c>
      <c r="G146" s="12" t="n">
        <f aca="false">IFERROR(VLOOKUP(D146,Insumos!$C$5:$G$108,5,FALSE()),0)</f>
        <v>0.05</v>
      </c>
      <c r="H146" s="14" t="n">
        <f aca="false">E146*G146</f>
        <v>5</v>
      </c>
    </row>
    <row r="147" customFormat="false" ht="15" hidden="false" customHeight="false" outlineLevel="0" collapsed="false">
      <c r="A147" s="0" t="n">
        <v>16</v>
      </c>
      <c r="B147" s="19" t="s">
        <v>497</v>
      </c>
      <c r="C147" s="18" t="s">
        <v>502</v>
      </c>
      <c r="D147" s="20" t="s">
        <v>109</v>
      </c>
      <c r="E147" s="17" t="n">
        <v>8</v>
      </c>
      <c r="F147" s="13" t="s">
        <v>27</v>
      </c>
      <c r="G147" s="12" t="n">
        <f aca="false">IFERROR(VLOOKUP(D147,Insumos!$C$5:$G$108,5,FALSE()),0)</f>
        <v>0.11</v>
      </c>
      <c r="H147" s="14" t="n">
        <f aca="false">E147*G147</f>
        <v>0.88</v>
      </c>
    </row>
    <row r="148" customFormat="false" ht="15" hidden="false" customHeight="false" outlineLevel="0" collapsed="false">
      <c r="A148" s="0" t="n">
        <v>16</v>
      </c>
      <c r="B148" s="19" t="s">
        <v>497</v>
      </c>
      <c r="C148" s="18" t="s">
        <v>503</v>
      </c>
      <c r="D148" s="20" t="s">
        <v>171</v>
      </c>
      <c r="E148" s="17" t="n">
        <v>20</v>
      </c>
      <c r="F148" s="13" t="s">
        <v>27</v>
      </c>
      <c r="G148" s="12" t="n">
        <f aca="false">IFERROR(VLOOKUP(D148,Insumos!$C$5:$G$108,5,FALSE()),0)</f>
        <v>0.07</v>
      </c>
      <c r="H148" s="14" t="n">
        <f aca="false">E148*G148</f>
        <v>1.4</v>
      </c>
    </row>
    <row r="149" customFormat="false" ht="15" hidden="false" customHeight="false" outlineLevel="0" collapsed="false">
      <c r="A149" s="0" t="n">
        <v>16</v>
      </c>
      <c r="B149" s="19" t="s">
        <v>497</v>
      </c>
      <c r="C149" s="18" t="s">
        <v>504</v>
      </c>
      <c r="D149" s="20" t="s">
        <v>30</v>
      </c>
      <c r="E149" s="17" t="n">
        <v>60</v>
      </c>
      <c r="F149" s="13" t="s">
        <v>27</v>
      </c>
      <c r="G149" s="12" t="n">
        <f aca="false">IFERROR(VLOOKUP(D149,Insumos!$C$5:$G$108,5,FALSE()),0)</f>
        <v>0.07</v>
      </c>
      <c r="H149" s="14" t="n">
        <f aca="false">E149*G149</f>
        <v>4.2</v>
      </c>
    </row>
    <row r="150" customFormat="false" ht="15" hidden="false" customHeight="false" outlineLevel="0" collapsed="false">
      <c r="A150" s="0" t="n">
        <v>16</v>
      </c>
      <c r="B150" s="19" t="s">
        <v>497</v>
      </c>
      <c r="C150" s="18" t="s">
        <v>496</v>
      </c>
      <c r="D150" s="20" t="s">
        <v>198</v>
      </c>
      <c r="E150" s="17" t="n">
        <v>14</v>
      </c>
      <c r="F150" s="13" t="s">
        <v>27</v>
      </c>
      <c r="G150" s="12" t="n">
        <f aca="false">IFERROR(VLOOKUP(D150,Insumos!$C$5:$G$108,5,FALSE()),0)</f>
        <v>0.035</v>
      </c>
      <c r="H150" s="14" t="n">
        <f aca="false">E150*G150</f>
        <v>0.49</v>
      </c>
    </row>
    <row r="151" customFormat="false" ht="15" hidden="false" customHeight="false" outlineLevel="0" collapsed="false">
      <c r="A151" s="0" t="n">
        <v>16</v>
      </c>
      <c r="B151" s="19" t="s">
        <v>497</v>
      </c>
      <c r="C151" s="18" t="s">
        <v>470</v>
      </c>
      <c r="D151" s="20" t="s">
        <v>26</v>
      </c>
      <c r="E151" s="17" t="n">
        <v>1000</v>
      </c>
      <c r="F151" s="13" t="s">
        <v>27</v>
      </c>
      <c r="G151" s="12" t="n">
        <f aca="false">IFERROR(VLOOKUP(D151,Insumos!$C$5:$G$108,5,FALSE()),0)</f>
        <v>0.03</v>
      </c>
      <c r="H151" s="14" t="n">
        <f aca="false">E151*G151</f>
        <v>30</v>
      </c>
    </row>
    <row r="152" customFormat="false" ht="15" hidden="false" customHeight="false" outlineLevel="0" collapsed="false">
      <c r="A152" s="0" t="n">
        <v>17</v>
      </c>
      <c r="B152" s="19" t="s">
        <v>505</v>
      </c>
      <c r="C152" s="18" t="s">
        <v>506</v>
      </c>
      <c r="D152" s="20" t="s">
        <v>123</v>
      </c>
      <c r="E152" s="17" t="n">
        <v>1400</v>
      </c>
      <c r="F152" s="13" t="s">
        <v>27</v>
      </c>
      <c r="G152" s="12" t="n">
        <f aca="false">IFERROR(VLOOKUP(D152,Insumos!$C$5:$G$108,5,FALSE()),0)</f>
        <v>0.028</v>
      </c>
      <c r="H152" s="14" t="n">
        <f aca="false">E152*G152</f>
        <v>39.2</v>
      </c>
    </row>
    <row r="153" customFormat="false" ht="15" hidden="false" customHeight="false" outlineLevel="0" collapsed="false">
      <c r="A153" s="0" t="n">
        <v>17</v>
      </c>
      <c r="B153" s="19" t="s">
        <v>505</v>
      </c>
      <c r="C153" s="18" t="s">
        <v>507</v>
      </c>
      <c r="D153" s="20" t="s">
        <v>107</v>
      </c>
      <c r="E153" s="17" t="n">
        <v>200</v>
      </c>
      <c r="F153" s="13" t="s">
        <v>27</v>
      </c>
      <c r="G153" s="12" t="n">
        <f aca="false">IFERROR(VLOOKUP(D153,Insumos!$C$5:$G$108,5,FALSE()),0)</f>
        <v>0.045</v>
      </c>
      <c r="H153" s="14" t="n">
        <f aca="false">E153*G153</f>
        <v>9</v>
      </c>
    </row>
    <row r="154" customFormat="false" ht="15" hidden="false" customHeight="false" outlineLevel="0" collapsed="false">
      <c r="A154" s="0" t="n">
        <v>17</v>
      </c>
      <c r="B154" s="19" t="s">
        <v>505</v>
      </c>
      <c r="C154" s="18" t="s">
        <v>508</v>
      </c>
      <c r="D154" s="20" t="s">
        <v>136</v>
      </c>
      <c r="E154" s="17" t="n">
        <v>30</v>
      </c>
      <c r="F154" s="13" t="s">
        <v>27</v>
      </c>
      <c r="G154" s="12" t="n">
        <f aca="false">IFERROR(VLOOKUP(D154,Insumos!$C$5:$G$108,5,FALSE()),0)</f>
        <v>0.045</v>
      </c>
      <c r="H154" s="14" t="n">
        <f aca="false">E154*G154</f>
        <v>1.35</v>
      </c>
    </row>
    <row r="155" customFormat="false" ht="15" hidden="false" customHeight="false" outlineLevel="0" collapsed="false">
      <c r="A155" s="0" t="n">
        <v>17</v>
      </c>
      <c r="B155" s="19" t="s">
        <v>505</v>
      </c>
      <c r="C155" s="18" t="s">
        <v>509</v>
      </c>
      <c r="D155" s="20" t="s">
        <v>109</v>
      </c>
      <c r="E155" s="17" t="n">
        <v>20</v>
      </c>
      <c r="F155" s="13" t="s">
        <v>27</v>
      </c>
      <c r="G155" s="12" t="n">
        <f aca="false">IFERROR(VLOOKUP(D155,Insumos!$C$5:$G$108,5,FALSE()),0)</f>
        <v>0.11</v>
      </c>
      <c r="H155" s="14" t="n">
        <f aca="false">E155*G155</f>
        <v>2.2</v>
      </c>
    </row>
    <row r="156" customFormat="false" ht="15" hidden="false" customHeight="false" outlineLevel="0" collapsed="false">
      <c r="A156" s="0" t="n">
        <v>17</v>
      </c>
      <c r="B156" s="19" t="s">
        <v>505</v>
      </c>
      <c r="C156" s="18" t="s">
        <v>510</v>
      </c>
      <c r="D156" s="20" t="s">
        <v>218</v>
      </c>
      <c r="E156" s="17" t="n">
        <v>2</v>
      </c>
      <c r="F156" s="13" t="s">
        <v>27</v>
      </c>
      <c r="G156" s="12" t="n">
        <f aca="false">IFERROR(VLOOKUP(D156,Insumos!$C$5:$G$108,5,FALSE()),0)</f>
        <v>0.06</v>
      </c>
      <c r="H156" s="14" t="n">
        <f aca="false">E156*G156</f>
        <v>0.12</v>
      </c>
    </row>
    <row r="157" customFormat="false" ht="15" hidden="false" customHeight="false" outlineLevel="0" collapsed="false">
      <c r="A157" s="0" t="n">
        <v>17</v>
      </c>
      <c r="B157" s="19" t="s">
        <v>505</v>
      </c>
      <c r="C157" s="18" t="s">
        <v>511</v>
      </c>
      <c r="D157" s="20" t="s">
        <v>204</v>
      </c>
      <c r="E157" s="17" t="n">
        <v>3</v>
      </c>
      <c r="F157" s="13" t="s">
        <v>27</v>
      </c>
      <c r="G157" s="12" t="n">
        <f aca="false">IFERROR(VLOOKUP(D157,Insumos!$C$5:$G$108,5,FALSE()),0)</f>
        <v>0.3</v>
      </c>
      <c r="H157" s="14" t="n">
        <f aca="false">E157*G157</f>
        <v>0.9</v>
      </c>
    </row>
    <row r="158" customFormat="false" ht="15" hidden="false" customHeight="false" outlineLevel="0" collapsed="false">
      <c r="A158" s="0" t="n">
        <v>17</v>
      </c>
      <c r="B158" s="19" t="s">
        <v>505</v>
      </c>
      <c r="C158" s="18" t="s">
        <v>512</v>
      </c>
      <c r="D158" s="20" t="s">
        <v>32</v>
      </c>
      <c r="E158" s="17" t="n">
        <v>50</v>
      </c>
      <c r="F158" s="13" t="s">
        <v>33</v>
      </c>
      <c r="G158" s="12" t="n">
        <f aca="false">IFERROR(VLOOKUP(D158,Insumos!$C$5:$G$108,5,FALSE()),0)</f>
        <v>0.048</v>
      </c>
      <c r="H158" s="14" t="n">
        <f aca="false">E158*G158</f>
        <v>2.4</v>
      </c>
    </row>
    <row r="159" customFormat="false" ht="15" hidden="false" customHeight="false" outlineLevel="0" collapsed="false">
      <c r="A159" s="0" t="n">
        <v>17</v>
      </c>
      <c r="B159" s="19" t="s">
        <v>505</v>
      </c>
      <c r="C159" s="18" t="s">
        <v>513</v>
      </c>
      <c r="D159" s="20" t="s">
        <v>198</v>
      </c>
      <c r="E159" s="17" t="n">
        <v>16</v>
      </c>
      <c r="F159" s="13" t="s">
        <v>27</v>
      </c>
      <c r="G159" s="12" t="n">
        <f aca="false">IFERROR(VLOOKUP(D159,Insumos!$C$5:$G$108,5,FALSE()),0)</f>
        <v>0.035</v>
      </c>
      <c r="H159" s="14" t="n">
        <f aca="false">E159*G159</f>
        <v>0.56</v>
      </c>
    </row>
    <row r="160" customFormat="false" ht="15" hidden="false" customHeight="false" outlineLevel="0" collapsed="false">
      <c r="A160" s="0" t="n">
        <v>17</v>
      </c>
      <c r="B160" s="19" t="s">
        <v>505</v>
      </c>
      <c r="C160" s="18" t="s">
        <v>387</v>
      </c>
      <c r="D160" s="20" t="s">
        <v>26</v>
      </c>
      <c r="E160" s="17" t="n">
        <v>1000</v>
      </c>
      <c r="F160" s="13" t="s">
        <v>27</v>
      </c>
      <c r="G160" s="12" t="n">
        <f aca="false">IFERROR(VLOOKUP(D160,Insumos!$C$5:$G$108,5,FALSE()),0)</f>
        <v>0.03</v>
      </c>
      <c r="H160" s="14" t="n">
        <f aca="false">E160*G160</f>
        <v>30</v>
      </c>
    </row>
    <row r="161" customFormat="false" ht="15" hidden="false" customHeight="false" outlineLevel="0" collapsed="false">
      <c r="A161" s="0" t="n">
        <v>18</v>
      </c>
      <c r="B161" s="19" t="s">
        <v>514</v>
      </c>
      <c r="C161" s="18" t="s">
        <v>515</v>
      </c>
      <c r="D161" s="20" t="s">
        <v>147</v>
      </c>
      <c r="E161" s="17" t="n">
        <v>650</v>
      </c>
      <c r="F161" s="13" t="s">
        <v>27</v>
      </c>
      <c r="G161" s="12" t="n">
        <f aca="false">IFERROR(VLOOKUP(D161,Insumos!$C$5:$G$108,5,FALSE()),0)</f>
        <v>0.07</v>
      </c>
      <c r="H161" s="14" t="n">
        <f aca="false">E161*G161</f>
        <v>45.5</v>
      </c>
    </row>
    <row r="162" customFormat="false" ht="15" hidden="false" customHeight="false" outlineLevel="0" collapsed="false">
      <c r="A162" s="0" t="n">
        <v>18</v>
      </c>
      <c r="B162" s="19" t="s">
        <v>514</v>
      </c>
      <c r="C162" s="18" t="s">
        <v>516</v>
      </c>
      <c r="D162" s="20" t="s">
        <v>149</v>
      </c>
      <c r="E162" s="17" t="n">
        <v>650</v>
      </c>
      <c r="F162" s="13" t="s">
        <v>27</v>
      </c>
      <c r="G162" s="12" t="n">
        <f aca="false">IFERROR(VLOOKUP(D162,Insumos!$C$5:$G$108,5,FALSE()),0)</f>
        <v>0.13</v>
      </c>
      <c r="H162" s="14" t="n">
        <f aca="false">E162*G162</f>
        <v>84.5</v>
      </c>
    </row>
    <row r="163" customFormat="false" ht="15" hidden="false" customHeight="false" outlineLevel="0" collapsed="false">
      <c r="A163" s="0" t="n">
        <v>18</v>
      </c>
      <c r="B163" s="19" t="s">
        <v>514</v>
      </c>
      <c r="C163" s="18" t="s">
        <v>517</v>
      </c>
      <c r="D163" s="20" t="s">
        <v>181</v>
      </c>
      <c r="E163" s="17" t="n">
        <v>80</v>
      </c>
      <c r="F163" s="13" t="s">
        <v>27</v>
      </c>
      <c r="G163" s="12" t="n">
        <f aca="false">IFERROR(VLOOKUP(D163,Insumos!$C$5:$G$108,5,FALSE()),0)</f>
        <v>0.24</v>
      </c>
      <c r="H163" s="14" t="n">
        <f aca="false">E163*G163</f>
        <v>19.2</v>
      </c>
    </row>
    <row r="164" customFormat="false" ht="15" hidden="false" customHeight="false" outlineLevel="0" collapsed="false">
      <c r="A164" s="0" t="n">
        <v>18</v>
      </c>
      <c r="B164" s="19" t="s">
        <v>514</v>
      </c>
      <c r="C164" s="18" t="s">
        <v>518</v>
      </c>
      <c r="D164" s="20" t="s">
        <v>109</v>
      </c>
      <c r="E164" s="17" t="n">
        <v>30</v>
      </c>
      <c r="F164" s="13" t="s">
        <v>27</v>
      </c>
      <c r="G164" s="12" t="n">
        <f aca="false">IFERROR(VLOOKUP(D164,Insumos!$C$5:$G$108,5,FALSE()),0)</f>
        <v>0.11</v>
      </c>
      <c r="H164" s="14" t="n">
        <f aca="false">E164*G164</f>
        <v>3.3</v>
      </c>
    </row>
    <row r="165" customFormat="false" ht="15" hidden="false" customHeight="false" outlineLevel="0" collapsed="false">
      <c r="A165" s="0" t="n">
        <v>18</v>
      </c>
      <c r="B165" s="19" t="s">
        <v>514</v>
      </c>
      <c r="C165" s="18" t="s">
        <v>519</v>
      </c>
      <c r="D165" s="20" t="s">
        <v>103</v>
      </c>
      <c r="E165" s="17" t="n">
        <v>150</v>
      </c>
      <c r="F165" s="13" t="s">
        <v>27</v>
      </c>
      <c r="G165" s="12" t="n">
        <f aca="false">IFERROR(VLOOKUP(D165,Insumos!$C$5:$G$108,5,FALSE()),0)</f>
        <v>0.028</v>
      </c>
      <c r="H165" s="14" t="n">
        <f aca="false">E165*G165</f>
        <v>4.2</v>
      </c>
    </row>
    <row r="166" customFormat="false" ht="15" hidden="false" customHeight="false" outlineLevel="0" collapsed="false">
      <c r="A166" s="0" t="n">
        <v>18</v>
      </c>
      <c r="B166" s="19" t="s">
        <v>514</v>
      </c>
      <c r="C166" s="18" t="s">
        <v>520</v>
      </c>
      <c r="D166" s="20" t="s">
        <v>32</v>
      </c>
      <c r="E166" s="17" t="n">
        <v>70</v>
      </c>
      <c r="F166" s="13" t="s">
        <v>33</v>
      </c>
      <c r="G166" s="12" t="n">
        <f aca="false">IFERROR(VLOOKUP(D166,Insumos!$C$5:$G$108,5,FALSE()),0)</f>
        <v>0.048</v>
      </c>
      <c r="H166" s="14" t="n">
        <f aca="false">E166*G166</f>
        <v>3.36</v>
      </c>
    </row>
    <row r="167" customFormat="false" ht="15" hidden="false" customHeight="false" outlineLevel="0" collapsed="false">
      <c r="A167" s="0" t="n">
        <v>18</v>
      </c>
      <c r="B167" s="19" t="s">
        <v>514</v>
      </c>
      <c r="C167" s="18" t="s">
        <v>521</v>
      </c>
      <c r="D167" s="20" t="s">
        <v>160</v>
      </c>
      <c r="E167" s="17" t="n">
        <v>15</v>
      </c>
      <c r="F167" s="13" t="s">
        <v>33</v>
      </c>
      <c r="G167" s="12" t="n">
        <f aca="false">IFERROR(VLOOKUP(D167,Insumos!$C$5:$G$108,5,FALSE()),0)</f>
        <v>0.07</v>
      </c>
      <c r="H167" s="14" t="n">
        <f aca="false">E167*G167</f>
        <v>1.05</v>
      </c>
    </row>
    <row r="168" customFormat="false" ht="15" hidden="false" customHeight="false" outlineLevel="0" collapsed="false">
      <c r="A168" s="0" t="n">
        <v>18</v>
      </c>
      <c r="B168" s="19" t="s">
        <v>514</v>
      </c>
      <c r="C168" s="18" t="s">
        <v>496</v>
      </c>
      <c r="D168" s="20" t="s">
        <v>198</v>
      </c>
      <c r="E168" s="17" t="n">
        <v>14</v>
      </c>
      <c r="F168" s="13" t="s">
        <v>27</v>
      </c>
      <c r="G168" s="12" t="n">
        <f aca="false">IFERROR(VLOOKUP(D168,Insumos!$C$5:$G$108,5,FALSE()),0)</f>
        <v>0.035</v>
      </c>
      <c r="H168" s="14" t="n">
        <f aca="false">E168*G168</f>
        <v>0.49</v>
      </c>
    </row>
    <row r="169" customFormat="false" ht="15" hidden="false" customHeight="false" outlineLevel="0" collapsed="false">
      <c r="A169" s="0" t="n">
        <v>18</v>
      </c>
      <c r="B169" s="19" t="s">
        <v>514</v>
      </c>
      <c r="C169" s="18" t="s">
        <v>418</v>
      </c>
      <c r="D169" s="20" t="s">
        <v>200</v>
      </c>
      <c r="E169" s="17" t="n">
        <v>2</v>
      </c>
      <c r="F169" s="13" t="s">
        <v>27</v>
      </c>
      <c r="G169" s="12" t="n">
        <f aca="false">IFERROR(VLOOKUP(D169,Insumos!$C$5:$G$108,5,FALSE()),0)</f>
        <v>0.45</v>
      </c>
      <c r="H169" s="14" t="n">
        <f aca="false">E169*G169</f>
        <v>0.9</v>
      </c>
    </row>
    <row r="170" customFormat="false" ht="15" hidden="false" customHeight="false" outlineLevel="0" collapsed="false">
      <c r="A170" s="0" t="n">
        <v>18</v>
      </c>
      <c r="B170" s="19" t="s">
        <v>514</v>
      </c>
      <c r="C170" s="18" t="s">
        <v>387</v>
      </c>
      <c r="D170" s="20" t="s">
        <v>26</v>
      </c>
      <c r="E170" s="17" t="n">
        <v>1000</v>
      </c>
      <c r="F170" s="13" t="s">
        <v>27</v>
      </c>
      <c r="G170" s="12" t="n">
        <f aca="false">IFERROR(VLOOKUP(D170,Insumos!$C$5:$G$108,5,FALSE()),0)</f>
        <v>0.03</v>
      </c>
      <c r="H170" s="14" t="n">
        <f aca="false">E170*G170</f>
        <v>30</v>
      </c>
    </row>
    <row r="171" customFormat="false" ht="15" hidden="false" customHeight="false" outlineLevel="0" collapsed="false">
      <c r="A171" s="0" t="n">
        <v>19</v>
      </c>
      <c r="B171" s="19" t="s">
        <v>522</v>
      </c>
      <c r="C171" s="18" t="s">
        <v>523</v>
      </c>
      <c r="D171" s="20" t="s">
        <v>236</v>
      </c>
      <c r="E171" s="17" t="n">
        <v>400</v>
      </c>
      <c r="F171" s="13" t="s">
        <v>27</v>
      </c>
      <c r="G171" s="12" t="n">
        <f aca="false">IFERROR(VLOOKUP(D171,Insumos!$C$5:$G$108,5,FALSE()),0)</f>
        <v>0.045</v>
      </c>
      <c r="H171" s="14" t="n">
        <f aca="false">E171*G171</f>
        <v>18</v>
      </c>
    </row>
    <row r="172" customFormat="false" ht="15" hidden="false" customHeight="false" outlineLevel="0" collapsed="false">
      <c r="A172" s="0" t="n">
        <v>19</v>
      </c>
      <c r="B172" s="19" t="s">
        <v>522</v>
      </c>
      <c r="C172" s="18" t="s">
        <v>524</v>
      </c>
      <c r="D172" s="20" t="s">
        <v>98</v>
      </c>
      <c r="E172" s="17" t="n">
        <v>200</v>
      </c>
      <c r="F172" s="13" t="s">
        <v>27</v>
      </c>
      <c r="G172" s="12" t="n">
        <f aca="false">IFERROR(VLOOKUP(D172,Insumos!$C$5:$G$108,5,FALSE()),0)</f>
        <v>0.19</v>
      </c>
      <c r="H172" s="14" t="n">
        <f aca="false">E172*G172</f>
        <v>38</v>
      </c>
    </row>
    <row r="173" customFormat="false" ht="15" hidden="false" customHeight="false" outlineLevel="0" collapsed="false">
      <c r="A173" s="0" t="n">
        <v>19</v>
      </c>
      <c r="B173" s="19" t="s">
        <v>522</v>
      </c>
      <c r="C173" s="18" t="s">
        <v>525</v>
      </c>
      <c r="D173" s="20" t="s">
        <v>30</v>
      </c>
      <c r="E173" s="17" t="n">
        <v>90</v>
      </c>
      <c r="F173" s="13" t="s">
        <v>27</v>
      </c>
      <c r="G173" s="12" t="n">
        <f aca="false">IFERROR(VLOOKUP(D173,Insumos!$C$5:$G$108,5,FALSE()),0)</f>
        <v>0.07</v>
      </c>
      <c r="H173" s="14" t="n">
        <f aca="false">E173*G173</f>
        <v>6.3</v>
      </c>
    </row>
    <row r="174" customFormat="false" ht="15" hidden="false" customHeight="false" outlineLevel="0" collapsed="false">
      <c r="A174" s="0" t="n">
        <v>19</v>
      </c>
      <c r="B174" s="19" t="s">
        <v>522</v>
      </c>
      <c r="C174" s="18" t="s">
        <v>443</v>
      </c>
      <c r="D174" s="20" t="s">
        <v>103</v>
      </c>
      <c r="E174" s="17" t="n">
        <v>150</v>
      </c>
      <c r="F174" s="13" t="s">
        <v>27</v>
      </c>
      <c r="G174" s="12" t="n">
        <f aca="false">IFERROR(VLOOKUP(D174,Insumos!$C$5:$G$108,5,FALSE()),0)</f>
        <v>0.028</v>
      </c>
      <c r="H174" s="14" t="n">
        <f aca="false">E174*G174</f>
        <v>4.2</v>
      </c>
    </row>
    <row r="175" customFormat="false" ht="15" hidden="false" customHeight="false" outlineLevel="0" collapsed="false">
      <c r="A175" s="0" t="n">
        <v>19</v>
      </c>
      <c r="B175" s="19" t="s">
        <v>522</v>
      </c>
      <c r="C175" s="18" t="s">
        <v>526</v>
      </c>
      <c r="D175" s="20" t="s">
        <v>136</v>
      </c>
      <c r="E175" s="17" t="n">
        <v>80</v>
      </c>
      <c r="F175" s="13" t="s">
        <v>27</v>
      </c>
      <c r="G175" s="12" t="n">
        <f aca="false">IFERROR(VLOOKUP(D175,Insumos!$C$5:$G$108,5,FALSE()),0)</f>
        <v>0.045</v>
      </c>
      <c r="H175" s="14" t="n">
        <f aca="false">E175*G175</f>
        <v>3.6</v>
      </c>
    </row>
    <row r="176" customFormat="false" ht="15" hidden="false" customHeight="false" outlineLevel="0" collapsed="false">
      <c r="A176" s="0" t="n">
        <v>19</v>
      </c>
      <c r="B176" s="19" t="s">
        <v>522</v>
      </c>
      <c r="C176" s="18" t="s">
        <v>445</v>
      </c>
      <c r="D176" s="20" t="s">
        <v>109</v>
      </c>
      <c r="E176" s="17" t="n">
        <v>8</v>
      </c>
      <c r="F176" s="13" t="s">
        <v>27</v>
      </c>
      <c r="G176" s="12" t="n">
        <f aca="false">IFERROR(VLOOKUP(D176,Insumos!$C$5:$G$108,5,FALSE()),0)</f>
        <v>0.11</v>
      </c>
      <c r="H176" s="14" t="n">
        <f aca="false">E176*G176</f>
        <v>0.88</v>
      </c>
    </row>
    <row r="177" customFormat="false" ht="15" hidden="false" customHeight="false" outlineLevel="0" collapsed="false">
      <c r="A177" s="0" t="n">
        <v>19</v>
      </c>
      <c r="B177" s="19" t="s">
        <v>522</v>
      </c>
      <c r="C177" s="18" t="s">
        <v>527</v>
      </c>
      <c r="D177" s="20" t="s">
        <v>198</v>
      </c>
      <c r="E177" s="17" t="n">
        <v>12</v>
      </c>
      <c r="F177" s="13" t="s">
        <v>27</v>
      </c>
      <c r="G177" s="12" t="n">
        <f aca="false">IFERROR(VLOOKUP(D177,Insumos!$C$5:$G$108,5,FALSE()),0)</f>
        <v>0.035</v>
      </c>
      <c r="H177" s="14" t="n">
        <f aca="false">E177*G177</f>
        <v>0.42</v>
      </c>
    </row>
    <row r="178" customFormat="false" ht="15" hidden="false" customHeight="false" outlineLevel="0" collapsed="false">
      <c r="A178" s="0" t="n">
        <v>19</v>
      </c>
      <c r="B178" s="19" t="s">
        <v>522</v>
      </c>
      <c r="C178" s="18" t="s">
        <v>387</v>
      </c>
      <c r="D178" s="20" t="s">
        <v>26</v>
      </c>
      <c r="E178" s="17" t="n">
        <v>1000</v>
      </c>
      <c r="F178" s="13" t="s">
        <v>27</v>
      </c>
      <c r="G178" s="12" t="n">
        <f aca="false">IFERROR(VLOOKUP(D178,Insumos!$C$5:$G$108,5,FALSE()),0)</f>
        <v>0.03</v>
      </c>
      <c r="H178" s="14" t="n">
        <f aca="false">E178*G178</f>
        <v>30</v>
      </c>
    </row>
    <row r="179" customFormat="false" ht="15" hidden="false" customHeight="false" outlineLevel="0" collapsed="false">
      <c r="A179" s="0" t="n">
        <v>20</v>
      </c>
      <c r="B179" s="19" t="s">
        <v>528</v>
      </c>
      <c r="C179" s="18" t="s">
        <v>529</v>
      </c>
      <c r="D179" s="20" t="s">
        <v>117</v>
      </c>
      <c r="E179" s="17" t="n">
        <v>850</v>
      </c>
      <c r="F179" s="13" t="s">
        <v>27</v>
      </c>
      <c r="G179" s="12" t="n">
        <f aca="false">IFERROR(VLOOKUP(D179,Insumos!$C$5:$G$108,5,FALSE()),0)</f>
        <v>0.032</v>
      </c>
      <c r="H179" s="14" t="n">
        <f aca="false">E179*G179</f>
        <v>27.2</v>
      </c>
    </row>
    <row r="180" customFormat="false" ht="15" hidden="false" customHeight="false" outlineLevel="0" collapsed="false">
      <c r="A180" s="0" t="n">
        <v>20</v>
      </c>
      <c r="B180" s="19" t="s">
        <v>528</v>
      </c>
      <c r="C180" s="18" t="s">
        <v>530</v>
      </c>
      <c r="D180" s="20" t="s">
        <v>119</v>
      </c>
      <c r="E180" s="17" t="n">
        <v>250</v>
      </c>
      <c r="F180" s="13" t="s">
        <v>27</v>
      </c>
      <c r="G180" s="12" t="n">
        <f aca="false">IFERROR(VLOOKUP(D180,Insumos!$C$5:$G$108,5,FALSE()),0)</f>
        <v>0.04</v>
      </c>
      <c r="H180" s="14" t="n">
        <f aca="false">E180*G180</f>
        <v>10</v>
      </c>
    </row>
    <row r="181" customFormat="false" ht="15" hidden="false" customHeight="false" outlineLevel="0" collapsed="false">
      <c r="A181" s="0" t="n">
        <v>20</v>
      </c>
      <c r="B181" s="19" t="s">
        <v>528</v>
      </c>
      <c r="C181" s="18" t="s">
        <v>531</v>
      </c>
      <c r="D181" s="20" t="s">
        <v>111</v>
      </c>
      <c r="E181" s="17" t="n">
        <v>400</v>
      </c>
      <c r="F181" s="13" t="s">
        <v>27</v>
      </c>
      <c r="G181" s="12" t="n">
        <f aca="false">IFERROR(VLOOKUP(D181,Insumos!$C$5:$G$108,5,FALSE()),0)</f>
        <v>0.03</v>
      </c>
      <c r="H181" s="14" t="n">
        <f aca="false">E181*G181</f>
        <v>12</v>
      </c>
    </row>
    <row r="182" customFormat="false" ht="15" hidden="false" customHeight="false" outlineLevel="0" collapsed="false">
      <c r="A182" s="0" t="n">
        <v>20</v>
      </c>
      <c r="B182" s="19" t="s">
        <v>528</v>
      </c>
      <c r="C182" s="18" t="s">
        <v>532</v>
      </c>
      <c r="D182" s="20" t="s">
        <v>103</v>
      </c>
      <c r="E182" s="17" t="n">
        <v>150</v>
      </c>
      <c r="F182" s="13" t="s">
        <v>27</v>
      </c>
      <c r="G182" s="12" t="n">
        <f aca="false">IFERROR(VLOOKUP(D182,Insumos!$C$5:$G$108,5,FALSE()),0)</f>
        <v>0.028</v>
      </c>
      <c r="H182" s="14" t="n">
        <f aca="false">E182*G182</f>
        <v>4.2</v>
      </c>
    </row>
    <row r="183" customFormat="false" ht="15" hidden="false" customHeight="false" outlineLevel="0" collapsed="false">
      <c r="A183" s="0" t="n">
        <v>20</v>
      </c>
      <c r="B183" s="19" t="s">
        <v>528</v>
      </c>
      <c r="C183" s="18" t="s">
        <v>533</v>
      </c>
      <c r="D183" s="20" t="s">
        <v>136</v>
      </c>
      <c r="E183" s="17" t="n">
        <v>20</v>
      </c>
      <c r="F183" s="13" t="s">
        <v>27</v>
      </c>
      <c r="G183" s="12" t="n">
        <f aca="false">IFERROR(VLOOKUP(D183,Insumos!$C$5:$G$108,5,FALSE()),0)</f>
        <v>0.045</v>
      </c>
      <c r="H183" s="14" t="n">
        <f aca="false">E183*G183</f>
        <v>0.9</v>
      </c>
    </row>
    <row r="184" customFormat="false" ht="15" hidden="false" customHeight="false" outlineLevel="0" collapsed="false">
      <c r="A184" s="0" t="n">
        <v>20</v>
      </c>
      <c r="B184" s="19" t="s">
        <v>528</v>
      </c>
      <c r="C184" s="18" t="s">
        <v>445</v>
      </c>
      <c r="D184" s="20" t="s">
        <v>109</v>
      </c>
      <c r="E184" s="17" t="n">
        <v>8</v>
      </c>
      <c r="F184" s="13" t="s">
        <v>27</v>
      </c>
      <c r="G184" s="12" t="n">
        <f aca="false">IFERROR(VLOOKUP(D184,Insumos!$C$5:$G$108,5,FALSE()),0)</f>
        <v>0.11</v>
      </c>
      <c r="H184" s="14" t="n">
        <f aca="false">E184*G184</f>
        <v>0.88</v>
      </c>
    </row>
    <row r="185" customFormat="false" ht="15" hidden="false" customHeight="false" outlineLevel="0" collapsed="false">
      <c r="A185" s="0" t="n">
        <v>20</v>
      </c>
      <c r="B185" s="19" t="s">
        <v>528</v>
      </c>
      <c r="C185" s="18" t="s">
        <v>534</v>
      </c>
      <c r="D185" s="20" t="s">
        <v>32</v>
      </c>
      <c r="E185" s="17" t="n">
        <v>50</v>
      </c>
      <c r="F185" s="13" t="s">
        <v>33</v>
      </c>
      <c r="G185" s="12" t="n">
        <f aca="false">IFERROR(VLOOKUP(D185,Insumos!$C$5:$G$108,5,FALSE()),0)</f>
        <v>0.048</v>
      </c>
      <c r="H185" s="14" t="n">
        <f aca="false">E185*G185</f>
        <v>2.4</v>
      </c>
    </row>
    <row r="186" customFormat="false" ht="15" hidden="false" customHeight="false" outlineLevel="0" collapsed="false">
      <c r="A186" s="0" t="n">
        <v>20</v>
      </c>
      <c r="B186" s="19" t="s">
        <v>528</v>
      </c>
      <c r="C186" s="18" t="s">
        <v>461</v>
      </c>
      <c r="D186" s="20" t="s">
        <v>204</v>
      </c>
      <c r="E186" s="17" t="n">
        <v>2</v>
      </c>
      <c r="F186" s="13" t="s">
        <v>27</v>
      </c>
      <c r="G186" s="12" t="n">
        <f aca="false">IFERROR(VLOOKUP(D186,Insumos!$C$5:$G$108,5,FALSE()),0)</f>
        <v>0.3</v>
      </c>
      <c r="H186" s="14" t="n">
        <f aca="false">E186*G186</f>
        <v>0.6</v>
      </c>
    </row>
    <row r="187" customFormat="false" ht="15" hidden="false" customHeight="false" outlineLevel="0" collapsed="false">
      <c r="A187" s="0" t="n">
        <v>20</v>
      </c>
      <c r="B187" s="19" t="s">
        <v>528</v>
      </c>
      <c r="C187" s="18" t="s">
        <v>535</v>
      </c>
      <c r="D187" s="20" t="s">
        <v>198</v>
      </c>
      <c r="E187" s="17" t="n">
        <v>14</v>
      </c>
      <c r="F187" s="13" t="s">
        <v>27</v>
      </c>
      <c r="G187" s="12" t="n">
        <f aca="false">IFERROR(VLOOKUP(D187,Insumos!$C$5:$G$108,5,FALSE()),0)</f>
        <v>0.035</v>
      </c>
      <c r="H187" s="14" t="n">
        <f aca="false">E187*G187</f>
        <v>0.49</v>
      </c>
    </row>
    <row r="188" customFormat="false" ht="15" hidden="false" customHeight="false" outlineLevel="0" collapsed="false">
      <c r="A188" s="0" t="n">
        <v>20</v>
      </c>
      <c r="B188" s="19" t="s">
        <v>528</v>
      </c>
      <c r="C188" s="18" t="s">
        <v>387</v>
      </c>
      <c r="D188" s="20" t="s">
        <v>26</v>
      </c>
      <c r="E188" s="17" t="n">
        <v>1000</v>
      </c>
      <c r="F188" s="13" t="s">
        <v>27</v>
      </c>
      <c r="G188" s="12" t="n">
        <f aca="false">IFERROR(VLOOKUP(D188,Insumos!$C$5:$G$108,5,FALSE()),0)</f>
        <v>0.03</v>
      </c>
      <c r="H188" s="14" t="n">
        <f aca="false">E188*G188</f>
        <v>30</v>
      </c>
    </row>
    <row r="189" customFormat="false" ht="15" hidden="false" customHeight="false" outlineLevel="0" collapsed="false">
      <c r="A189" s="0" t="n">
        <v>21</v>
      </c>
      <c r="B189" s="19" t="s">
        <v>536</v>
      </c>
      <c r="C189" s="18" t="s">
        <v>537</v>
      </c>
      <c r="D189" s="20" t="s">
        <v>80</v>
      </c>
      <c r="E189" s="17" t="n">
        <v>1300</v>
      </c>
      <c r="F189" s="13" t="s">
        <v>27</v>
      </c>
      <c r="G189" s="12" t="n">
        <f aca="false">IFERROR(VLOOKUP(D189,Insumos!$C$5:$G$108,5,FALSE()),0)</f>
        <v>0.22</v>
      </c>
      <c r="H189" s="14" t="n">
        <f aca="false">E189*G189</f>
        <v>286</v>
      </c>
    </row>
    <row r="190" customFormat="false" ht="15" hidden="false" customHeight="false" outlineLevel="0" collapsed="false">
      <c r="A190" s="0" t="n">
        <v>21</v>
      </c>
      <c r="B190" s="19" t="s">
        <v>536</v>
      </c>
      <c r="C190" s="18" t="s">
        <v>538</v>
      </c>
      <c r="D190" s="20" t="s">
        <v>30</v>
      </c>
      <c r="E190" s="17" t="n">
        <v>300</v>
      </c>
      <c r="F190" s="13" t="s">
        <v>27</v>
      </c>
      <c r="G190" s="12" t="n">
        <f aca="false">IFERROR(VLOOKUP(D190,Insumos!$C$5:$G$108,5,FALSE()),0)</f>
        <v>0.07</v>
      </c>
      <c r="H190" s="14" t="n">
        <f aca="false">E190*G190</f>
        <v>21</v>
      </c>
    </row>
    <row r="191" customFormat="false" ht="15" hidden="false" customHeight="false" outlineLevel="0" collapsed="false">
      <c r="A191" s="0" t="n">
        <v>21</v>
      </c>
      <c r="B191" s="19" t="s">
        <v>536</v>
      </c>
      <c r="C191" s="18" t="s">
        <v>539</v>
      </c>
      <c r="D191" s="20" t="s">
        <v>251</v>
      </c>
      <c r="E191" s="17" t="n">
        <v>250</v>
      </c>
      <c r="F191" s="13" t="s">
        <v>33</v>
      </c>
      <c r="G191" s="12" t="n">
        <f aca="false">IFERROR(VLOOKUP(D191,Insumos!$C$5:$G$108,5,FALSE()),0)</f>
        <v>0.002</v>
      </c>
      <c r="H191" s="14" t="n">
        <f aca="false">E191*G191</f>
        <v>0.5</v>
      </c>
    </row>
    <row r="192" customFormat="false" ht="15" hidden="false" customHeight="false" outlineLevel="0" collapsed="false">
      <c r="A192" s="0" t="n">
        <v>21</v>
      </c>
      <c r="B192" s="19" t="s">
        <v>536</v>
      </c>
      <c r="C192" s="18" t="s">
        <v>540</v>
      </c>
      <c r="D192" s="20" t="s">
        <v>103</v>
      </c>
      <c r="E192" s="17" t="n">
        <v>250</v>
      </c>
      <c r="F192" s="13" t="s">
        <v>27</v>
      </c>
      <c r="G192" s="12" t="n">
        <f aca="false">IFERROR(VLOOKUP(D192,Insumos!$C$5:$G$108,5,FALSE()),0)</f>
        <v>0.028</v>
      </c>
      <c r="H192" s="14" t="n">
        <f aca="false">E192*G192</f>
        <v>7</v>
      </c>
    </row>
    <row r="193" customFormat="false" ht="15" hidden="false" customHeight="false" outlineLevel="0" collapsed="false">
      <c r="A193" s="0" t="n">
        <v>21</v>
      </c>
      <c r="B193" s="19" t="s">
        <v>536</v>
      </c>
      <c r="C193" s="18" t="s">
        <v>541</v>
      </c>
      <c r="D193" s="20" t="s">
        <v>109</v>
      </c>
      <c r="E193" s="17" t="n">
        <v>16</v>
      </c>
      <c r="F193" s="13" t="s">
        <v>27</v>
      </c>
      <c r="G193" s="12" t="n">
        <f aca="false">IFERROR(VLOOKUP(D193,Insumos!$C$5:$G$108,5,FALSE()),0)</f>
        <v>0.11</v>
      </c>
      <c r="H193" s="14" t="n">
        <f aca="false">E193*G193</f>
        <v>1.76</v>
      </c>
    </row>
    <row r="194" customFormat="false" ht="15" hidden="false" customHeight="false" outlineLevel="0" collapsed="false">
      <c r="A194" s="0" t="n">
        <v>21</v>
      </c>
      <c r="B194" s="19" t="s">
        <v>536</v>
      </c>
      <c r="C194" s="18" t="s">
        <v>334</v>
      </c>
      <c r="D194" s="20" t="s">
        <v>206</v>
      </c>
      <c r="E194" s="17" t="n">
        <v>0.6</v>
      </c>
      <c r="F194" s="13" t="s">
        <v>27</v>
      </c>
      <c r="G194" s="12" t="n">
        <f aca="false">IFERROR(VLOOKUP(D194,Insumos!$C$5:$G$108,5,FALSE()),0)</f>
        <v>0.4</v>
      </c>
      <c r="H194" s="14" t="n">
        <f aca="false">E194*G194</f>
        <v>0.24</v>
      </c>
    </row>
    <row r="195" customFormat="false" ht="15" hidden="false" customHeight="false" outlineLevel="0" collapsed="false">
      <c r="A195" s="0" t="n">
        <v>21</v>
      </c>
      <c r="B195" s="19" t="s">
        <v>536</v>
      </c>
      <c r="C195" s="18" t="s">
        <v>542</v>
      </c>
      <c r="D195" s="20" t="s">
        <v>210</v>
      </c>
      <c r="E195" s="17" t="n">
        <v>1</v>
      </c>
      <c r="F195" s="13" t="s">
        <v>27</v>
      </c>
      <c r="G195" s="12" t="n">
        <f aca="false">IFERROR(VLOOKUP(D195,Insumos!$C$5:$G$108,5,FALSE()),0)</f>
        <v>0.45</v>
      </c>
      <c r="H195" s="14" t="n">
        <f aca="false">E195*G195</f>
        <v>0.45</v>
      </c>
    </row>
    <row r="196" customFormat="false" ht="15" hidden="false" customHeight="false" outlineLevel="0" collapsed="false">
      <c r="A196" s="0" t="n">
        <v>21</v>
      </c>
      <c r="B196" s="19" t="s">
        <v>536</v>
      </c>
      <c r="C196" s="18" t="s">
        <v>373</v>
      </c>
      <c r="D196" s="20" t="s">
        <v>198</v>
      </c>
      <c r="E196" s="17" t="n">
        <v>18</v>
      </c>
      <c r="F196" s="13" t="s">
        <v>27</v>
      </c>
      <c r="G196" s="12" t="n">
        <f aca="false">IFERROR(VLOOKUP(D196,Insumos!$C$5:$G$108,5,FALSE()),0)</f>
        <v>0.035</v>
      </c>
      <c r="H196" s="14" t="n">
        <f aca="false">E196*G196</f>
        <v>0.63</v>
      </c>
    </row>
    <row r="197" customFormat="false" ht="15" hidden="false" customHeight="false" outlineLevel="0" collapsed="false">
      <c r="A197" s="0" t="n">
        <v>21</v>
      </c>
      <c r="B197" s="19" t="s">
        <v>536</v>
      </c>
      <c r="C197" s="18" t="s">
        <v>430</v>
      </c>
      <c r="D197" s="20" t="s">
        <v>26</v>
      </c>
      <c r="E197" s="17" t="n">
        <v>1000</v>
      </c>
      <c r="F197" s="13" t="s">
        <v>27</v>
      </c>
      <c r="G197" s="12" t="n">
        <f aca="false">IFERROR(VLOOKUP(D197,Insumos!$C$5:$G$108,5,FALSE()),0)</f>
        <v>0.03</v>
      </c>
      <c r="H197" s="14" t="n">
        <f aca="false">E197*G197</f>
        <v>30</v>
      </c>
    </row>
    <row r="198" customFormat="false" ht="15" hidden="false" customHeight="false" outlineLevel="0" collapsed="false">
      <c r="A198" s="0" t="n">
        <v>22</v>
      </c>
      <c r="B198" s="19" t="s">
        <v>543</v>
      </c>
      <c r="C198" s="18" t="s">
        <v>544</v>
      </c>
      <c r="D198" s="20" t="s">
        <v>87</v>
      </c>
      <c r="E198" s="17" t="n">
        <v>900</v>
      </c>
      <c r="F198" s="13" t="s">
        <v>27</v>
      </c>
      <c r="G198" s="12" t="n">
        <f aca="false">IFERROR(VLOOKUP(D198,Insumos!$C$5:$G$108,5,FALSE()),0)</f>
        <v>0.11</v>
      </c>
      <c r="H198" s="14" t="n">
        <f aca="false">E198*G198</f>
        <v>99</v>
      </c>
    </row>
    <row r="199" customFormat="false" ht="15" hidden="false" customHeight="false" outlineLevel="0" collapsed="false">
      <c r="A199" s="0" t="n">
        <v>22</v>
      </c>
      <c r="B199" s="19" t="s">
        <v>543</v>
      </c>
      <c r="C199" s="18" t="s">
        <v>545</v>
      </c>
      <c r="D199" s="20" t="s">
        <v>113</v>
      </c>
      <c r="E199" s="17" t="n">
        <v>500</v>
      </c>
      <c r="F199" s="13" t="s">
        <v>27</v>
      </c>
      <c r="G199" s="12" t="n">
        <f aca="false">IFERROR(VLOOKUP(D199,Insumos!$C$5:$G$108,5,FALSE()),0)</f>
        <v>0.03</v>
      </c>
      <c r="H199" s="14" t="n">
        <f aca="false">E199*G199</f>
        <v>15</v>
      </c>
    </row>
    <row r="200" customFormat="false" ht="15" hidden="false" customHeight="false" outlineLevel="0" collapsed="false">
      <c r="A200" s="0" t="n">
        <v>22</v>
      </c>
      <c r="B200" s="19" t="s">
        <v>543</v>
      </c>
      <c r="C200" s="18" t="s">
        <v>546</v>
      </c>
      <c r="D200" s="20" t="s">
        <v>223</v>
      </c>
      <c r="E200" s="17" t="n">
        <v>100</v>
      </c>
      <c r="F200" s="13" t="s">
        <v>27</v>
      </c>
      <c r="G200" s="12" t="n">
        <f aca="false">IFERROR(VLOOKUP(D200,Insumos!$C$5:$G$108,5,FALSE()),0)</f>
        <v>0.26</v>
      </c>
      <c r="H200" s="14" t="n">
        <f aca="false">E200*G200</f>
        <v>26</v>
      </c>
    </row>
    <row r="201" customFormat="false" ht="15" hidden="false" customHeight="false" outlineLevel="0" collapsed="false">
      <c r="A201" s="0" t="n">
        <v>22</v>
      </c>
      <c r="B201" s="19" t="s">
        <v>543</v>
      </c>
      <c r="C201" s="18" t="s">
        <v>547</v>
      </c>
      <c r="D201" s="20" t="s">
        <v>140</v>
      </c>
      <c r="E201" s="17" t="n">
        <v>150</v>
      </c>
      <c r="F201" s="13" t="s">
        <v>27</v>
      </c>
      <c r="G201" s="12" t="n">
        <f aca="false">IFERROR(VLOOKUP(D201,Insumos!$C$5:$G$108,5,FALSE()),0)</f>
        <v>0.05</v>
      </c>
      <c r="H201" s="14" t="n">
        <f aca="false">E201*G201</f>
        <v>7.5</v>
      </c>
    </row>
    <row r="202" customFormat="false" ht="15" hidden="false" customHeight="false" outlineLevel="0" collapsed="false">
      <c r="A202" s="0" t="n">
        <v>22</v>
      </c>
      <c r="B202" s="19" t="s">
        <v>543</v>
      </c>
      <c r="C202" s="18" t="s">
        <v>548</v>
      </c>
      <c r="D202" s="20" t="s">
        <v>136</v>
      </c>
      <c r="E202" s="17" t="n">
        <v>20</v>
      </c>
      <c r="F202" s="13" t="s">
        <v>27</v>
      </c>
      <c r="G202" s="12" t="n">
        <f aca="false">IFERROR(VLOOKUP(D202,Insumos!$C$5:$G$108,5,FALSE()),0)</f>
        <v>0.045</v>
      </c>
      <c r="H202" s="14" t="n">
        <f aca="false">E202*G202</f>
        <v>0.9</v>
      </c>
    </row>
    <row r="203" customFormat="false" ht="15" hidden="false" customHeight="false" outlineLevel="0" collapsed="false">
      <c r="A203" s="0" t="n">
        <v>22</v>
      </c>
      <c r="B203" s="19" t="s">
        <v>543</v>
      </c>
      <c r="C203" s="18" t="s">
        <v>549</v>
      </c>
      <c r="D203" s="20" t="s">
        <v>171</v>
      </c>
      <c r="E203" s="17" t="n">
        <v>15</v>
      </c>
      <c r="F203" s="13" t="s">
        <v>27</v>
      </c>
      <c r="G203" s="12" t="n">
        <f aca="false">IFERROR(VLOOKUP(D203,Insumos!$C$5:$G$108,5,FALSE()),0)</f>
        <v>0.07</v>
      </c>
      <c r="H203" s="14" t="n">
        <f aca="false">E203*G203</f>
        <v>1.05</v>
      </c>
    </row>
    <row r="204" customFormat="false" ht="15" hidden="false" customHeight="false" outlineLevel="0" collapsed="false">
      <c r="A204" s="0" t="n">
        <v>22</v>
      </c>
      <c r="B204" s="19" t="s">
        <v>543</v>
      </c>
      <c r="C204" s="18" t="s">
        <v>550</v>
      </c>
      <c r="D204" s="20" t="s">
        <v>131</v>
      </c>
      <c r="E204" s="17" t="n">
        <v>20</v>
      </c>
      <c r="F204" s="13" t="s">
        <v>27</v>
      </c>
      <c r="G204" s="12" t="n">
        <f aca="false">IFERROR(VLOOKUP(D204,Insumos!$C$5:$G$108,5,FALSE()),0)</f>
        <v>0.035</v>
      </c>
      <c r="H204" s="14" t="n">
        <f aca="false">E204*G204</f>
        <v>0.7</v>
      </c>
    </row>
    <row r="205" customFormat="false" ht="15" hidden="false" customHeight="false" outlineLevel="0" collapsed="false">
      <c r="A205" s="0" t="n">
        <v>22</v>
      </c>
      <c r="B205" s="19" t="s">
        <v>543</v>
      </c>
      <c r="C205" s="18" t="s">
        <v>551</v>
      </c>
      <c r="D205" s="20" t="s">
        <v>109</v>
      </c>
      <c r="E205" s="17" t="n">
        <v>8</v>
      </c>
      <c r="F205" s="13" t="s">
        <v>27</v>
      </c>
      <c r="G205" s="12" t="n">
        <f aca="false">IFERROR(VLOOKUP(D205,Insumos!$C$5:$G$108,5,FALSE()),0)</f>
        <v>0.11</v>
      </c>
      <c r="H205" s="14" t="n">
        <f aca="false">E205*G205</f>
        <v>0.88</v>
      </c>
    </row>
    <row r="206" customFormat="false" ht="15" hidden="false" customHeight="false" outlineLevel="0" collapsed="false">
      <c r="A206" s="0" t="n">
        <v>22</v>
      </c>
      <c r="B206" s="19" t="s">
        <v>543</v>
      </c>
      <c r="C206" s="18" t="s">
        <v>552</v>
      </c>
      <c r="D206" s="20" t="s">
        <v>103</v>
      </c>
      <c r="E206" s="17" t="n">
        <v>100</v>
      </c>
      <c r="F206" s="13" t="s">
        <v>27</v>
      </c>
      <c r="G206" s="12" t="n">
        <f aca="false">IFERROR(VLOOKUP(D206,Insumos!$C$5:$G$108,5,FALSE()),0)</f>
        <v>0.028</v>
      </c>
      <c r="H206" s="14" t="n">
        <f aca="false">E206*G206</f>
        <v>2.8</v>
      </c>
    </row>
    <row r="207" customFormat="false" ht="15" hidden="false" customHeight="false" outlineLevel="0" collapsed="false">
      <c r="A207" s="0" t="n">
        <v>22</v>
      </c>
      <c r="B207" s="19" t="s">
        <v>543</v>
      </c>
      <c r="C207" s="18" t="s">
        <v>406</v>
      </c>
      <c r="D207" s="20" t="s">
        <v>30</v>
      </c>
      <c r="E207" s="17" t="n">
        <v>50</v>
      </c>
      <c r="F207" s="13" t="s">
        <v>27</v>
      </c>
      <c r="G207" s="12" t="n">
        <f aca="false">IFERROR(VLOOKUP(D207,Insumos!$C$5:$G$108,5,FALSE()),0)</f>
        <v>0.07</v>
      </c>
      <c r="H207" s="14" t="n">
        <f aca="false">E207*G207</f>
        <v>3.5</v>
      </c>
    </row>
    <row r="208" customFormat="false" ht="15" hidden="false" customHeight="false" outlineLevel="0" collapsed="false">
      <c r="A208" s="0" t="n">
        <v>22</v>
      </c>
      <c r="B208" s="19" t="s">
        <v>543</v>
      </c>
      <c r="C208" s="18" t="s">
        <v>553</v>
      </c>
      <c r="D208" s="20" t="s">
        <v>198</v>
      </c>
      <c r="E208" s="17" t="n">
        <v>15</v>
      </c>
      <c r="F208" s="13" t="s">
        <v>27</v>
      </c>
      <c r="G208" s="12" t="n">
        <f aca="false">IFERROR(VLOOKUP(D208,Insumos!$C$5:$G$108,5,FALSE()),0)</f>
        <v>0.035</v>
      </c>
      <c r="H208" s="14" t="n">
        <f aca="false">E208*G208</f>
        <v>0.525</v>
      </c>
    </row>
    <row r="209" customFormat="false" ht="15" hidden="false" customHeight="false" outlineLevel="0" collapsed="false">
      <c r="A209" s="0" t="n">
        <v>22</v>
      </c>
      <c r="B209" s="19" t="s">
        <v>543</v>
      </c>
      <c r="C209" s="18" t="s">
        <v>554</v>
      </c>
      <c r="D209" s="20" t="s">
        <v>251</v>
      </c>
      <c r="E209" s="17" t="n">
        <v>150</v>
      </c>
      <c r="F209" s="13" t="s">
        <v>33</v>
      </c>
      <c r="G209" s="12" t="n">
        <f aca="false">IFERROR(VLOOKUP(D209,Insumos!$C$5:$G$108,5,FALSE()),0)</f>
        <v>0.002</v>
      </c>
      <c r="H209" s="14" t="n">
        <f aca="false">E209*G209</f>
        <v>0.3</v>
      </c>
    </row>
    <row r="210" customFormat="false" ht="15" hidden="false" customHeight="false" outlineLevel="0" collapsed="false">
      <c r="A210" s="0" t="n">
        <v>22</v>
      </c>
      <c r="B210" s="19" t="s">
        <v>543</v>
      </c>
      <c r="C210" s="18" t="s">
        <v>387</v>
      </c>
      <c r="D210" s="20" t="s">
        <v>26</v>
      </c>
      <c r="E210" s="17" t="n">
        <v>1000</v>
      </c>
      <c r="F210" s="13" t="s">
        <v>27</v>
      </c>
      <c r="G210" s="12" t="n">
        <f aca="false">IFERROR(VLOOKUP(D210,Insumos!$C$5:$G$108,5,FALSE()),0)</f>
        <v>0.03</v>
      </c>
      <c r="H210" s="14" t="n">
        <f aca="false">E210*G210</f>
        <v>30</v>
      </c>
    </row>
    <row r="211" customFormat="false" ht="15" hidden="false" customHeight="false" outlineLevel="0" collapsed="false">
      <c r="A211" s="0" t="n">
        <v>23</v>
      </c>
      <c r="B211" s="19" t="s">
        <v>555</v>
      </c>
      <c r="C211" s="18" t="s">
        <v>556</v>
      </c>
      <c r="D211" s="20" t="s">
        <v>48</v>
      </c>
      <c r="E211" s="17" t="n">
        <v>1200</v>
      </c>
      <c r="F211" s="13" t="s">
        <v>27</v>
      </c>
      <c r="G211" s="12" t="n">
        <f aca="false">IFERROR(VLOOKUP(D211,Insumos!$C$5:$G$108,5,FALSE()),0)</f>
        <v>0.125</v>
      </c>
      <c r="H211" s="14" t="n">
        <f aca="false">E211*G211</f>
        <v>150</v>
      </c>
    </row>
    <row r="212" customFormat="false" ht="15" hidden="false" customHeight="false" outlineLevel="0" collapsed="false">
      <c r="A212" s="0" t="n">
        <v>23</v>
      </c>
      <c r="B212" s="19" t="s">
        <v>555</v>
      </c>
      <c r="C212" s="18" t="s">
        <v>557</v>
      </c>
      <c r="D212" s="20" t="s">
        <v>221</v>
      </c>
      <c r="E212" s="17" t="n">
        <v>90</v>
      </c>
      <c r="F212" s="13" t="s">
        <v>27</v>
      </c>
      <c r="G212" s="12" t="n">
        <f aca="false">IFERROR(VLOOKUP(D212,Insumos!$C$5:$G$108,5,FALSE()),0)</f>
        <v>0.2</v>
      </c>
      <c r="H212" s="14" t="n">
        <f aca="false">E212*G212</f>
        <v>18</v>
      </c>
    </row>
    <row r="213" customFormat="false" ht="15" hidden="false" customHeight="false" outlineLevel="0" collapsed="false">
      <c r="A213" s="0" t="n">
        <v>23</v>
      </c>
      <c r="B213" s="19" t="s">
        <v>555</v>
      </c>
      <c r="C213" s="18" t="s">
        <v>558</v>
      </c>
      <c r="D213" s="20" t="s">
        <v>162</v>
      </c>
      <c r="E213" s="17" t="n">
        <v>150</v>
      </c>
      <c r="F213" s="13" t="s">
        <v>33</v>
      </c>
      <c r="G213" s="12" t="n">
        <f aca="false">IFERROR(VLOOKUP(D213,Insumos!$C$5:$G$108,5,FALSE()),0)</f>
        <v>0.06</v>
      </c>
      <c r="H213" s="14" t="n">
        <f aca="false">E213*G213</f>
        <v>9</v>
      </c>
    </row>
    <row r="214" customFormat="false" ht="15" hidden="false" customHeight="false" outlineLevel="0" collapsed="false">
      <c r="A214" s="0" t="n">
        <v>23</v>
      </c>
      <c r="B214" s="19" t="s">
        <v>555</v>
      </c>
      <c r="C214" s="18" t="s">
        <v>559</v>
      </c>
      <c r="D214" s="20" t="s">
        <v>109</v>
      </c>
      <c r="E214" s="17" t="n">
        <v>16</v>
      </c>
      <c r="F214" s="13" t="s">
        <v>27</v>
      </c>
      <c r="G214" s="12" t="n">
        <f aca="false">IFERROR(VLOOKUP(D214,Insumos!$C$5:$G$108,5,FALSE()),0)</f>
        <v>0.11</v>
      </c>
      <c r="H214" s="14" t="n">
        <f aca="false">E214*G214</f>
        <v>1.76</v>
      </c>
    </row>
    <row r="215" customFormat="false" ht="15" hidden="false" customHeight="false" outlineLevel="0" collapsed="false">
      <c r="A215" s="0" t="n">
        <v>23</v>
      </c>
      <c r="B215" s="19" t="s">
        <v>555</v>
      </c>
      <c r="C215" s="18" t="s">
        <v>560</v>
      </c>
      <c r="D215" s="20" t="s">
        <v>204</v>
      </c>
      <c r="E215" s="17" t="n">
        <v>2</v>
      </c>
      <c r="F215" s="13" t="s">
        <v>27</v>
      </c>
      <c r="G215" s="12" t="n">
        <f aca="false">IFERROR(VLOOKUP(D215,Insumos!$C$5:$G$108,5,FALSE()),0)</f>
        <v>0.3</v>
      </c>
      <c r="H215" s="14" t="n">
        <f aca="false">E215*G215</f>
        <v>0.6</v>
      </c>
    </row>
    <row r="216" customFormat="false" ht="15" hidden="false" customHeight="false" outlineLevel="0" collapsed="false">
      <c r="A216" s="0" t="n">
        <v>23</v>
      </c>
      <c r="B216" s="19" t="s">
        <v>555</v>
      </c>
      <c r="C216" s="18" t="s">
        <v>561</v>
      </c>
      <c r="D216" s="20" t="s">
        <v>210</v>
      </c>
      <c r="E216" s="17" t="n">
        <v>1</v>
      </c>
      <c r="F216" s="13" t="s">
        <v>27</v>
      </c>
      <c r="G216" s="12" t="n">
        <f aca="false">IFERROR(VLOOKUP(D216,Insumos!$C$5:$G$108,5,FALSE()),0)</f>
        <v>0.45</v>
      </c>
      <c r="H216" s="14" t="n">
        <f aca="false">E216*G216</f>
        <v>0.45</v>
      </c>
    </row>
    <row r="217" customFormat="false" ht="15" hidden="false" customHeight="false" outlineLevel="0" collapsed="false">
      <c r="A217" s="0" t="n">
        <v>23</v>
      </c>
      <c r="B217" s="19" t="s">
        <v>555</v>
      </c>
      <c r="C217" s="18" t="s">
        <v>562</v>
      </c>
      <c r="D217" s="20" t="s">
        <v>202</v>
      </c>
      <c r="E217" s="17" t="n">
        <v>1</v>
      </c>
      <c r="F217" s="13" t="s">
        <v>27</v>
      </c>
      <c r="G217" s="12" t="n">
        <f aca="false">IFERROR(VLOOKUP(D217,Insumos!$C$5:$G$108,5,FALSE()),0)</f>
        <v>0.38</v>
      </c>
      <c r="H217" s="14" t="n">
        <f aca="false">E217*G217</f>
        <v>0.38</v>
      </c>
    </row>
    <row r="218" customFormat="false" ht="15" hidden="false" customHeight="false" outlineLevel="0" collapsed="false">
      <c r="A218" s="0" t="n">
        <v>23</v>
      </c>
      <c r="B218" s="19" t="s">
        <v>555</v>
      </c>
      <c r="C218" s="18" t="s">
        <v>563</v>
      </c>
      <c r="D218" s="20" t="s">
        <v>212</v>
      </c>
      <c r="E218" s="17" t="n">
        <v>1</v>
      </c>
      <c r="F218" s="13" t="s">
        <v>27</v>
      </c>
      <c r="G218" s="12" t="n">
        <f aca="false">IFERROR(VLOOKUP(D218,Insumos!$C$5:$G$108,5,FALSE()),0)</f>
        <v>0.45</v>
      </c>
      <c r="H218" s="14" t="n">
        <f aca="false">E218*G218</f>
        <v>0.45</v>
      </c>
    </row>
    <row r="219" customFormat="false" ht="15" hidden="false" customHeight="false" outlineLevel="0" collapsed="false">
      <c r="A219" s="0" t="n">
        <v>23</v>
      </c>
      <c r="B219" s="19" t="s">
        <v>555</v>
      </c>
      <c r="C219" s="18" t="s">
        <v>564</v>
      </c>
      <c r="D219" s="20" t="s">
        <v>30</v>
      </c>
      <c r="E219" s="17" t="n">
        <v>50</v>
      </c>
      <c r="F219" s="13" t="s">
        <v>27</v>
      </c>
      <c r="G219" s="12" t="n">
        <f aca="false">IFERROR(VLOOKUP(D219,Insumos!$C$5:$G$108,5,FALSE()),0)</f>
        <v>0.07</v>
      </c>
      <c r="H219" s="14" t="n">
        <f aca="false">E219*G219</f>
        <v>3.5</v>
      </c>
    </row>
    <row r="220" customFormat="false" ht="15" hidden="false" customHeight="false" outlineLevel="0" collapsed="false">
      <c r="A220" s="0" t="n">
        <v>23</v>
      </c>
      <c r="B220" s="19" t="s">
        <v>555</v>
      </c>
      <c r="C220" s="18" t="s">
        <v>565</v>
      </c>
      <c r="D220" s="20" t="s">
        <v>198</v>
      </c>
      <c r="E220" s="17" t="n">
        <v>16</v>
      </c>
      <c r="F220" s="13" t="s">
        <v>27</v>
      </c>
      <c r="G220" s="12" t="n">
        <f aca="false">IFERROR(VLOOKUP(D220,Insumos!$C$5:$G$108,5,FALSE()),0)</f>
        <v>0.035</v>
      </c>
      <c r="H220" s="14" t="n">
        <f aca="false">E220*G220</f>
        <v>0.56</v>
      </c>
    </row>
    <row r="221" customFormat="false" ht="15" hidden="false" customHeight="false" outlineLevel="0" collapsed="false">
      <c r="A221" s="0" t="n">
        <v>23</v>
      </c>
      <c r="B221" s="19" t="s">
        <v>555</v>
      </c>
      <c r="C221" s="18" t="s">
        <v>387</v>
      </c>
      <c r="D221" s="20" t="s">
        <v>26</v>
      </c>
      <c r="E221" s="17" t="n">
        <v>1000</v>
      </c>
      <c r="F221" s="13" t="s">
        <v>27</v>
      </c>
      <c r="G221" s="12" t="n">
        <f aca="false">IFERROR(VLOOKUP(D221,Insumos!$C$5:$G$108,5,FALSE()),0)</f>
        <v>0.03</v>
      </c>
      <c r="H221" s="14" t="n">
        <f aca="false">E221*G221</f>
        <v>30</v>
      </c>
    </row>
    <row r="222" customFormat="false" ht="15" hidden="false" customHeight="false" outlineLevel="0" collapsed="false">
      <c r="A222" s="0" t="n">
        <v>24</v>
      </c>
      <c r="B222" s="19" t="s">
        <v>566</v>
      </c>
      <c r="C222" s="18" t="s">
        <v>567</v>
      </c>
      <c r="D222" s="20" t="s">
        <v>78</v>
      </c>
      <c r="E222" s="17" t="n">
        <v>1100</v>
      </c>
      <c r="F222" s="13" t="s">
        <v>27</v>
      </c>
      <c r="G222" s="12" t="n">
        <f aca="false">IFERROR(VLOOKUP(D222,Insumos!$C$5:$G$108,5,FALSE()),0)</f>
        <v>0.24</v>
      </c>
      <c r="H222" s="14" t="n">
        <f aca="false">E222*G222</f>
        <v>264</v>
      </c>
    </row>
    <row r="223" customFormat="false" ht="15" hidden="false" customHeight="false" outlineLevel="0" collapsed="false">
      <c r="A223" s="0" t="n">
        <v>24</v>
      </c>
      <c r="B223" s="19" t="s">
        <v>566</v>
      </c>
      <c r="C223" s="18" t="s">
        <v>568</v>
      </c>
      <c r="D223" s="20" t="s">
        <v>111</v>
      </c>
      <c r="E223" s="17" t="n">
        <v>500</v>
      </c>
      <c r="F223" s="13" t="s">
        <v>27</v>
      </c>
      <c r="G223" s="12" t="n">
        <f aca="false">IFERROR(VLOOKUP(D223,Insumos!$C$5:$G$108,5,FALSE()),0)</f>
        <v>0.03</v>
      </c>
      <c r="H223" s="14" t="n">
        <f aca="false">E223*G223</f>
        <v>15</v>
      </c>
    </row>
    <row r="224" customFormat="false" ht="15" hidden="false" customHeight="false" outlineLevel="0" collapsed="false">
      <c r="A224" s="0" t="n">
        <v>24</v>
      </c>
      <c r="B224" s="19" t="s">
        <v>566</v>
      </c>
      <c r="C224" s="18" t="s">
        <v>569</v>
      </c>
      <c r="D224" s="20" t="s">
        <v>103</v>
      </c>
      <c r="E224" s="17" t="n">
        <v>200</v>
      </c>
      <c r="F224" s="13" t="s">
        <v>27</v>
      </c>
      <c r="G224" s="12" t="n">
        <f aca="false">IFERROR(VLOOKUP(D224,Insumos!$C$5:$G$108,5,FALSE()),0)</f>
        <v>0.028</v>
      </c>
      <c r="H224" s="14" t="n">
        <f aca="false">E224*G224</f>
        <v>5.6</v>
      </c>
    </row>
    <row r="225" customFormat="false" ht="15" hidden="false" customHeight="false" outlineLevel="0" collapsed="false">
      <c r="A225" s="0" t="n">
        <v>24</v>
      </c>
      <c r="B225" s="19" t="s">
        <v>566</v>
      </c>
      <c r="C225" s="18" t="s">
        <v>381</v>
      </c>
      <c r="D225" s="20" t="s">
        <v>109</v>
      </c>
      <c r="E225" s="17" t="n">
        <v>12</v>
      </c>
      <c r="F225" s="13" t="s">
        <v>27</v>
      </c>
      <c r="G225" s="12" t="n">
        <f aca="false">IFERROR(VLOOKUP(D225,Insumos!$C$5:$G$108,5,FALSE()),0)</f>
        <v>0.11</v>
      </c>
      <c r="H225" s="14" t="n">
        <f aca="false">E225*G225</f>
        <v>1.32</v>
      </c>
    </row>
    <row r="226" customFormat="false" ht="15" hidden="false" customHeight="false" outlineLevel="0" collapsed="false">
      <c r="A226" s="0" t="n">
        <v>24</v>
      </c>
      <c r="B226" s="19" t="s">
        <v>566</v>
      </c>
      <c r="C226" s="18" t="s">
        <v>570</v>
      </c>
      <c r="D226" s="20" t="s">
        <v>136</v>
      </c>
      <c r="E226" s="17" t="n">
        <v>20</v>
      </c>
      <c r="F226" s="13" t="s">
        <v>27</v>
      </c>
      <c r="G226" s="12" t="n">
        <f aca="false">IFERROR(VLOOKUP(D226,Insumos!$C$5:$G$108,5,FALSE()),0)</f>
        <v>0.045</v>
      </c>
      <c r="H226" s="14" t="n">
        <f aca="false">E226*G226</f>
        <v>0.9</v>
      </c>
    </row>
    <row r="227" customFormat="false" ht="15" hidden="false" customHeight="false" outlineLevel="0" collapsed="false">
      <c r="A227" s="0" t="n">
        <v>24</v>
      </c>
      <c r="B227" s="19" t="s">
        <v>566</v>
      </c>
      <c r="C227" s="18" t="s">
        <v>334</v>
      </c>
      <c r="D227" s="20" t="s">
        <v>206</v>
      </c>
      <c r="E227" s="17" t="n">
        <v>0.6</v>
      </c>
      <c r="F227" s="13" t="s">
        <v>27</v>
      </c>
      <c r="G227" s="12" t="n">
        <f aca="false">IFERROR(VLOOKUP(D227,Insumos!$C$5:$G$108,5,FALSE()),0)</f>
        <v>0.4</v>
      </c>
      <c r="H227" s="14" t="n">
        <f aca="false">E227*G227</f>
        <v>0.24</v>
      </c>
    </row>
    <row r="228" customFormat="false" ht="15" hidden="false" customHeight="false" outlineLevel="0" collapsed="false">
      <c r="A228" s="0" t="n">
        <v>24</v>
      </c>
      <c r="B228" s="19" t="s">
        <v>566</v>
      </c>
      <c r="C228" s="18" t="s">
        <v>383</v>
      </c>
      <c r="D228" s="20" t="s">
        <v>204</v>
      </c>
      <c r="E228" s="17" t="n">
        <v>2</v>
      </c>
      <c r="F228" s="13" t="s">
        <v>27</v>
      </c>
      <c r="G228" s="12" t="n">
        <f aca="false">IFERROR(VLOOKUP(D228,Insumos!$C$5:$G$108,5,FALSE()),0)</f>
        <v>0.3</v>
      </c>
      <c r="H228" s="14" t="n">
        <f aca="false">E228*G228</f>
        <v>0.6</v>
      </c>
    </row>
    <row r="229" customFormat="false" ht="15" hidden="false" customHeight="false" outlineLevel="0" collapsed="false">
      <c r="A229" s="0" t="n">
        <v>24</v>
      </c>
      <c r="B229" s="19" t="s">
        <v>566</v>
      </c>
      <c r="C229" s="18" t="s">
        <v>571</v>
      </c>
      <c r="D229" s="20" t="s">
        <v>200</v>
      </c>
      <c r="E229" s="17" t="n">
        <v>1</v>
      </c>
      <c r="F229" s="13" t="s">
        <v>27</v>
      </c>
      <c r="G229" s="12" t="n">
        <f aca="false">IFERROR(VLOOKUP(D229,Insumos!$C$5:$G$108,5,FALSE()),0)</f>
        <v>0.45</v>
      </c>
      <c r="H229" s="14" t="n">
        <f aca="false">E229*G229</f>
        <v>0.45</v>
      </c>
    </row>
    <row r="230" customFormat="false" ht="15" hidden="false" customHeight="false" outlineLevel="0" collapsed="false">
      <c r="A230" s="0" t="n">
        <v>24</v>
      </c>
      <c r="B230" s="19" t="s">
        <v>566</v>
      </c>
      <c r="C230" s="18" t="s">
        <v>534</v>
      </c>
      <c r="D230" s="20" t="s">
        <v>32</v>
      </c>
      <c r="E230" s="17" t="n">
        <v>50</v>
      </c>
      <c r="F230" s="13" t="s">
        <v>33</v>
      </c>
      <c r="G230" s="12" t="n">
        <f aca="false">IFERROR(VLOOKUP(D230,Insumos!$C$5:$G$108,5,FALSE()),0)</f>
        <v>0.048</v>
      </c>
      <c r="H230" s="14" t="n">
        <f aca="false">E230*G230</f>
        <v>2.4</v>
      </c>
    </row>
    <row r="231" customFormat="false" ht="15" hidden="false" customHeight="false" outlineLevel="0" collapsed="false">
      <c r="A231" s="0" t="n">
        <v>24</v>
      </c>
      <c r="B231" s="19" t="s">
        <v>566</v>
      </c>
      <c r="C231" s="18" t="s">
        <v>419</v>
      </c>
      <c r="D231" s="20" t="s">
        <v>198</v>
      </c>
      <c r="E231" s="17" t="n">
        <v>16</v>
      </c>
      <c r="F231" s="13" t="s">
        <v>27</v>
      </c>
      <c r="G231" s="12" t="n">
        <f aca="false">IFERROR(VLOOKUP(D231,Insumos!$C$5:$G$108,5,FALSE()),0)</f>
        <v>0.035</v>
      </c>
      <c r="H231" s="14" t="n">
        <f aca="false">E231*G231</f>
        <v>0.56</v>
      </c>
    </row>
    <row r="232" customFormat="false" ht="15" hidden="false" customHeight="false" outlineLevel="0" collapsed="false">
      <c r="A232" s="0" t="n">
        <v>24</v>
      </c>
      <c r="B232" s="19" t="s">
        <v>566</v>
      </c>
      <c r="C232" s="18" t="s">
        <v>387</v>
      </c>
      <c r="D232" s="20" t="s">
        <v>26</v>
      </c>
      <c r="E232" s="17" t="n">
        <v>1000</v>
      </c>
      <c r="F232" s="13" t="s">
        <v>27</v>
      </c>
      <c r="G232" s="12" t="n">
        <f aca="false">IFERROR(VLOOKUP(D232,Insumos!$C$5:$G$108,5,FALSE()),0)</f>
        <v>0.03</v>
      </c>
      <c r="H232" s="14" t="n">
        <f aca="false">E232*G232</f>
        <v>30</v>
      </c>
    </row>
    <row r="233" customFormat="false" ht="15" hidden="false" customHeight="false" outlineLevel="0" collapsed="false">
      <c r="A233" s="0" t="n">
        <v>25</v>
      </c>
      <c r="B233" s="19" t="s">
        <v>572</v>
      </c>
      <c r="C233" s="18" t="s">
        <v>573</v>
      </c>
      <c r="D233" s="20" t="s">
        <v>71</v>
      </c>
      <c r="E233" s="17" t="n">
        <v>950</v>
      </c>
      <c r="F233" s="13" t="s">
        <v>27</v>
      </c>
      <c r="G233" s="12" t="n">
        <f aca="false">IFERROR(VLOOKUP(D233,Insumos!$C$5:$G$108,5,FALSE()),0)</f>
        <v>0.11</v>
      </c>
      <c r="H233" s="14" t="n">
        <f aca="false">E233*G233</f>
        <v>104.5</v>
      </c>
    </row>
    <row r="234" customFormat="false" ht="15" hidden="false" customHeight="false" outlineLevel="0" collapsed="false">
      <c r="A234" s="0" t="n">
        <v>25</v>
      </c>
      <c r="B234" s="19" t="s">
        <v>572</v>
      </c>
      <c r="C234" s="18" t="s">
        <v>574</v>
      </c>
      <c r="D234" s="20" t="s">
        <v>103</v>
      </c>
      <c r="E234" s="17" t="n">
        <v>200</v>
      </c>
      <c r="F234" s="13" t="s">
        <v>27</v>
      </c>
      <c r="G234" s="12" t="n">
        <f aca="false">IFERROR(VLOOKUP(D234,Insumos!$C$5:$G$108,5,FALSE()),0)</f>
        <v>0.028</v>
      </c>
      <c r="H234" s="14" t="n">
        <f aca="false">E234*G234</f>
        <v>5.6</v>
      </c>
    </row>
    <row r="235" customFormat="false" ht="15" hidden="false" customHeight="false" outlineLevel="0" collapsed="false">
      <c r="A235" s="0" t="n">
        <v>25</v>
      </c>
      <c r="B235" s="19" t="s">
        <v>572</v>
      </c>
      <c r="C235" s="18" t="s">
        <v>575</v>
      </c>
      <c r="D235" s="20" t="s">
        <v>136</v>
      </c>
      <c r="E235" s="17" t="n">
        <v>40</v>
      </c>
      <c r="F235" s="13" t="s">
        <v>27</v>
      </c>
      <c r="G235" s="12" t="n">
        <f aca="false">IFERROR(VLOOKUP(D235,Insumos!$C$5:$G$108,5,FALSE()),0)</f>
        <v>0.045</v>
      </c>
      <c r="H235" s="14" t="n">
        <f aca="false">E235*G235</f>
        <v>1.8</v>
      </c>
    </row>
    <row r="236" customFormat="false" ht="15" hidden="false" customHeight="false" outlineLevel="0" collapsed="false">
      <c r="A236" s="0" t="n">
        <v>25</v>
      </c>
      <c r="B236" s="19" t="s">
        <v>572</v>
      </c>
      <c r="C236" s="18" t="s">
        <v>453</v>
      </c>
      <c r="D236" s="20" t="s">
        <v>109</v>
      </c>
      <c r="E236" s="17" t="n">
        <v>12</v>
      </c>
      <c r="F236" s="13" t="s">
        <v>27</v>
      </c>
      <c r="G236" s="12" t="n">
        <f aca="false">IFERROR(VLOOKUP(D236,Insumos!$C$5:$G$108,5,FALSE()),0)</f>
        <v>0.11</v>
      </c>
      <c r="H236" s="14" t="n">
        <f aca="false">E236*G236</f>
        <v>1.32</v>
      </c>
    </row>
    <row r="237" customFormat="false" ht="15" hidden="false" customHeight="false" outlineLevel="0" collapsed="false">
      <c r="A237" s="0" t="n">
        <v>25</v>
      </c>
      <c r="B237" s="19" t="s">
        <v>572</v>
      </c>
      <c r="C237" s="18" t="s">
        <v>576</v>
      </c>
      <c r="D237" s="20" t="s">
        <v>173</v>
      </c>
      <c r="E237" s="17" t="n">
        <v>30</v>
      </c>
      <c r="F237" s="13" t="s">
        <v>27</v>
      </c>
      <c r="G237" s="12" t="n">
        <f aca="false">IFERROR(VLOOKUP(D237,Insumos!$C$5:$G$108,5,FALSE()),0)</f>
        <v>0.09</v>
      </c>
      <c r="H237" s="14" t="n">
        <f aca="false">E237*G237</f>
        <v>2.7</v>
      </c>
    </row>
    <row r="238" customFormat="false" ht="15" hidden="false" customHeight="false" outlineLevel="0" collapsed="false">
      <c r="A238" s="0" t="n">
        <v>25</v>
      </c>
      <c r="B238" s="19" t="s">
        <v>572</v>
      </c>
      <c r="C238" s="18" t="s">
        <v>564</v>
      </c>
      <c r="D238" s="20" t="s">
        <v>30</v>
      </c>
      <c r="E238" s="17" t="n">
        <v>50</v>
      </c>
      <c r="F238" s="13" t="s">
        <v>27</v>
      </c>
      <c r="G238" s="12" t="n">
        <f aca="false">IFERROR(VLOOKUP(D238,Insumos!$C$5:$G$108,5,FALSE()),0)</f>
        <v>0.07</v>
      </c>
      <c r="H238" s="14" t="n">
        <f aca="false">E238*G238</f>
        <v>3.5</v>
      </c>
    </row>
    <row r="239" customFormat="false" ht="15" hidden="false" customHeight="false" outlineLevel="0" collapsed="false">
      <c r="A239" s="0" t="n">
        <v>25</v>
      </c>
      <c r="B239" s="19" t="s">
        <v>572</v>
      </c>
      <c r="C239" s="18" t="s">
        <v>577</v>
      </c>
      <c r="D239" s="20" t="s">
        <v>202</v>
      </c>
      <c r="E239" s="17" t="n">
        <v>1</v>
      </c>
      <c r="F239" s="13" t="s">
        <v>27</v>
      </c>
      <c r="G239" s="12" t="n">
        <f aca="false">IFERROR(VLOOKUP(D239,Insumos!$C$5:$G$108,5,FALSE()),0)</f>
        <v>0.38</v>
      </c>
      <c r="H239" s="14" t="n">
        <f aca="false">E239*G239</f>
        <v>0.38</v>
      </c>
    </row>
    <row r="240" customFormat="false" ht="15" hidden="false" customHeight="false" outlineLevel="0" collapsed="false">
      <c r="A240" s="0" t="n">
        <v>25</v>
      </c>
      <c r="B240" s="19" t="s">
        <v>572</v>
      </c>
      <c r="C240" s="18" t="s">
        <v>417</v>
      </c>
      <c r="D240" s="20" t="s">
        <v>208</v>
      </c>
      <c r="E240" s="17" t="n">
        <v>1</v>
      </c>
      <c r="F240" s="13" t="s">
        <v>27</v>
      </c>
      <c r="G240" s="12" t="n">
        <f aca="false">IFERROR(VLOOKUP(D240,Insumos!$C$5:$G$108,5,FALSE()),0)</f>
        <v>0.9</v>
      </c>
      <c r="H240" s="14" t="n">
        <f aca="false">E240*G240</f>
        <v>0.9</v>
      </c>
    </row>
    <row r="241" customFormat="false" ht="15" hidden="false" customHeight="false" outlineLevel="0" collapsed="false">
      <c r="A241" s="0" t="n">
        <v>25</v>
      </c>
      <c r="B241" s="19" t="s">
        <v>572</v>
      </c>
      <c r="C241" s="18" t="s">
        <v>578</v>
      </c>
      <c r="D241" s="20" t="s">
        <v>198</v>
      </c>
      <c r="E241" s="17" t="n">
        <v>10</v>
      </c>
      <c r="F241" s="13" t="s">
        <v>27</v>
      </c>
      <c r="G241" s="12" t="n">
        <f aca="false">IFERROR(VLOOKUP(D241,Insumos!$C$5:$G$108,5,FALSE()),0)</f>
        <v>0.035</v>
      </c>
      <c r="H241" s="14" t="n">
        <f aca="false">E241*G241</f>
        <v>0.35</v>
      </c>
    </row>
    <row r="242" customFormat="false" ht="15" hidden="false" customHeight="false" outlineLevel="0" collapsed="false">
      <c r="A242" s="0" t="n">
        <v>25</v>
      </c>
      <c r="B242" s="19" t="s">
        <v>572</v>
      </c>
      <c r="C242" s="18" t="s">
        <v>387</v>
      </c>
      <c r="D242" s="20" t="s">
        <v>26</v>
      </c>
      <c r="E242" s="17" t="n">
        <v>1000</v>
      </c>
      <c r="F242" s="13" t="s">
        <v>27</v>
      </c>
      <c r="G242" s="12" t="n">
        <f aca="false">IFERROR(VLOOKUP(D242,Insumos!$C$5:$G$108,5,FALSE()),0)</f>
        <v>0.03</v>
      </c>
      <c r="H242" s="14" t="n">
        <f aca="false">E242*G242</f>
        <v>30</v>
      </c>
    </row>
    <row r="243" customFormat="false" ht="15" hidden="false" customHeight="false" outlineLevel="0" collapsed="false">
      <c r="A243" s="0" t="n">
        <v>26</v>
      </c>
      <c r="B243" s="19" t="s">
        <v>579</v>
      </c>
      <c r="C243" s="18" t="s">
        <v>580</v>
      </c>
      <c r="D243" s="20" t="s">
        <v>44</v>
      </c>
      <c r="E243" s="17" t="n">
        <v>400</v>
      </c>
      <c r="F243" s="13" t="s">
        <v>27</v>
      </c>
      <c r="G243" s="12" t="n">
        <f aca="false">IFERROR(VLOOKUP(D243,Insumos!$C$5:$G$108,5,FALSE()),0)</f>
        <v>0.22</v>
      </c>
      <c r="H243" s="14" t="n">
        <f aca="false">E243*G243</f>
        <v>88</v>
      </c>
    </row>
    <row r="244" customFormat="false" ht="15" hidden="false" customHeight="false" outlineLevel="0" collapsed="false">
      <c r="A244" s="0" t="n">
        <v>26</v>
      </c>
      <c r="B244" s="19" t="s">
        <v>579</v>
      </c>
      <c r="C244" s="18" t="s">
        <v>581</v>
      </c>
      <c r="D244" s="20" t="s">
        <v>187</v>
      </c>
      <c r="E244" s="17" t="n">
        <v>30</v>
      </c>
      <c r="F244" s="13" t="s">
        <v>27</v>
      </c>
      <c r="G244" s="12" t="n">
        <f aca="false">IFERROR(VLOOKUP(D244,Insumos!$C$5:$G$108,5,FALSE()),0)</f>
        <v>0.32</v>
      </c>
      <c r="H244" s="14" t="n">
        <f aca="false">E244*G244</f>
        <v>9.6</v>
      </c>
    </row>
    <row r="245" customFormat="false" ht="15" hidden="false" customHeight="false" outlineLevel="0" collapsed="false">
      <c r="A245" s="0" t="n">
        <v>26</v>
      </c>
      <c r="B245" s="19" t="s">
        <v>579</v>
      </c>
      <c r="C245" s="18" t="s">
        <v>582</v>
      </c>
      <c r="D245" s="20" t="s">
        <v>181</v>
      </c>
      <c r="E245" s="17" t="n">
        <v>40</v>
      </c>
      <c r="F245" s="13" t="s">
        <v>27</v>
      </c>
      <c r="G245" s="12" t="n">
        <f aca="false">IFERROR(VLOOKUP(D245,Insumos!$C$5:$G$108,5,FALSE()),0)</f>
        <v>0.24</v>
      </c>
      <c r="H245" s="14" t="n">
        <f aca="false">E245*G245</f>
        <v>9.6</v>
      </c>
    </row>
    <row r="246" customFormat="false" ht="15" hidden="false" customHeight="false" outlineLevel="0" collapsed="false">
      <c r="A246" s="0" t="n">
        <v>26</v>
      </c>
      <c r="B246" s="19" t="s">
        <v>579</v>
      </c>
      <c r="C246" s="18" t="s">
        <v>583</v>
      </c>
      <c r="D246" s="20" t="s">
        <v>111</v>
      </c>
      <c r="E246" s="17" t="n">
        <v>600</v>
      </c>
      <c r="F246" s="13" t="s">
        <v>27</v>
      </c>
      <c r="G246" s="12" t="n">
        <f aca="false">IFERROR(VLOOKUP(D246,Insumos!$C$5:$G$108,5,FALSE()),0)</f>
        <v>0.03</v>
      </c>
      <c r="H246" s="14" t="n">
        <f aca="false">E246*G246</f>
        <v>18</v>
      </c>
    </row>
    <row r="247" customFormat="false" ht="15" hidden="false" customHeight="false" outlineLevel="0" collapsed="false">
      <c r="A247" s="0" t="n">
        <v>26</v>
      </c>
      <c r="B247" s="19" t="s">
        <v>579</v>
      </c>
      <c r="C247" s="18" t="s">
        <v>382</v>
      </c>
      <c r="D247" s="20" t="s">
        <v>103</v>
      </c>
      <c r="E247" s="17" t="n">
        <v>150</v>
      </c>
      <c r="F247" s="13" t="s">
        <v>27</v>
      </c>
      <c r="G247" s="12" t="n">
        <f aca="false">IFERROR(VLOOKUP(D247,Insumos!$C$5:$G$108,5,FALSE()),0)</f>
        <v>0.028</v>
      </c>
      <c r="H247" s="14" t="n">
        <f aca="false">E247*G247</f>
        <v>4.2</v>
      </c>
    </row>
    <row r="248" customFormat="false" ht="15" hidden="false" customHeight="false" outlineLevel="0" collapsed="false">
      <c r="A248" s="0" t="n">
        <v>26</v>
      </c>
      <c r="B248" s="19" t="s">
        <v>579</v>
      </c>
      <c r="C248" s="18" t="s">
        <v>400</v>
      </c>
      <c r="D248" s="20" t="s">
        <v>109</v>
      </c>
      <c r="E248" s="17" t="n">
        <v>16</v>
      </c>
      <c r="F248" s="13" t="s">
        <v>27</v>
      </c>
      <c r="G248" s="12" t="n">
        <f aca="false">IFERROR(VLOOKUP(D248,Insumos!$C$5:$G$108,5,FALSE()),0)</f>
        <v>0.11</v>
      </c>
      <c r="H248" s="14" t="n">
        <f aca="false">E248*G248</f>
        <v>1.76</v>
      </c>
    </row>
    <row r="249" customFormat="false" ht="15" hidden="false" customHeight="false" outlineLevel="0" collapsed="false">
      <c r="A249" s="0" t="n">
        <v>26</v>
      </c>
      <c r="B249" s="19" t="s">
        <v>579</v>
      </c>
      <c r="C249" s="18" t="s">
        <v>584</v>
      </c>
      <c r="D249" s="20" t="s">
        <v>231</v>
      </c>
      <c r="E249" s="17" t="n">
        <v>25</v>
      </c>
      <c r="F249" s="13" t="s">
        <v>27</v>
      </c>
      <c r="G249" s="12" t="n">
        <f aca="false">IFERROR(VLOOKUP(D249,Insumos!$C$5:$G$108,5,FALSE()),0)</f>
        <v>0.045</v>
      </c>
      <c r="H249" s="14" t="n">
        <f aca="false">E249*G249</f>
        <v>1.125</v>
      </c>
    </row>
    <row r="250" customFormat="false" ht="15" hidden="false" customHeight="false" outlineLevel="0" collapsed="false">
      <c r="A250" s="0" t="n">
        <v>26</v>
      </c>
      <c r="B250" s="19" t="s">
        <v>579</v>
      </c>
      <c r="C250" s="18" t="s">
        <v>427</v>
      </c>
      <c r="D250" s="20" t="s">
        <v>30</v>
      </c>
      <c r="E250" s="17" t="n">
        <v>40</v>
      </c>
      <c r="F250" s="13" t="s">
        <v>27</v>
      </c>
      <c r="G250" s="12" t="n">
        <f aca="false">IFERROR(VLOOKUP(D250,Insumos!$C$5:$G$108,5,FALSE()),0)</f>
        <v>0.07</v>
      </c>
      <c r="H250" s="14" t="n">
        <f aca="false">E250*G250</f>
        <v>2.8</v>
      </c>
    </row>
    <row r="251" customFormat="false" ht="15" hidden="false" customHeight="false" outlineLevel="0" collapsed="false">
      <c r="A251" s="0" t="n">
        <v>26</v>
      </c>
      <c r="B251" s="19" t="s">
        <v>579</v>
      </c>
      <c r="C251" s="18" t="s">
        <v>428</v>
      </c>
      <c r="D251" s="20" t="s">
        <v>198</v>
      </c>
      <c r="E251" s="17" t="n">
        <v>14</v>
      </c>
      <c r="F251" s="13" t="s">
        <v>27</v>
      </c>
      <c r="G251" s="12" t="n">
        <f aca="false">IFERROR(VLOOKUP(D251,Insumos!$C$5:$G$108,5,FALSE()),0)</f>
        <v>0.035</v>
      </c>
      <c r="H251" s="14" t="n">
        <f aca="false">E251*G251</f>
        <v>0.49</v>
      </c>
    </row>
    <row r="252" customFormat="false" ht="15" hidden="false" customHeight="false" outlineLevel="0" collapsed="false">
      <c r="A252" s="0" t="n">
        <v>26</v>
      </c>
      <c r="B252" s="19" t="s">
        <v>579</v>
      </c>
      <c r="C252" s="18" t="s">
        <v>585</v>
      </c>
      <c r="D252" s="20" t="s">
        <v>251</v>
      </c>
      <c r="E252" s="17" t="n">
        <v>150</v>
      </c>
      <c r="F252" s="13" t="s">
        <v>33</v>
      </c>
      <c r="G252" s="12" t="n">
        <f aca="false">IFERROR(VLOOKUP(D252,Insumos!$C$5:$G$108,5,FALSE()),0)</f>
        <v>0.002</v>
      </c>
      <c r="H252" s="14" t="n">
        <f aca="false">E252*G252</f>
        <v>0.3</v>
      </c>
    </row>
    <row r="253" customFormat="false" ht="15" hidden="false" customHeight="false" outlineLevel="0" collapsed="false">
      <c r="A253" s="0" t="n">
        <v>26</v>
      </c>
      <c r="B253" s="19" t="s">
        <v>579</v>
      </c>
      <c r="C253" s="18" t="s">
        <v>430</v>
      </c>
      <c r="D253" s="20" t="s">
        <v>26</v>
      </c>
      <c r="E253" s="17" t="n">
        <v>1000</v>
      </c>
      <c r="F253" s="13" t="s">
        <v>27</v>
      </c>
      <c r="G253" s="12" t="n">
        <f aca="false">IFERROR(VLOOKUP(D253,Insumos!$C$5:$G$108,5,FALSE()),0)</f>
        <v>0.03</v>
      </c>
      <c r="H253" s="14" t="n">
        <f aca="false">E253*G253</f>
        <v>30</v>
      </c>
    </row>
    <row r="254" customFormat="false" ht="15" hidden="false" customHeight="false" outlineLevel="0" collapsed="false">
      <c r="A254" s="0" t="n">
        <v>27</v>
      </c>
      <c r="B254" s="19" t="s">
        <v>586</v>
      </c>
      <c r="C254" s="18" t="s">
        <v>587</v>
      </c>
      <c r="D254" s="20" t="s">
        <v>50</v>
      </c>
      <c r="E254" s="17" t="n">
        <v>800</v>
      </c>
      <c r="F254" s="13" t="s">
        <v>27</v>
      </c>
      <c r="G254" s="12" t="n">
        <f aca="false">IFERROR(VLOOKUP(D254,Insumos!$C$5:$G$108,5,FALSE()),0)</f>
        <v>0.13</v>
      </c>
      <c r="H254" s="14" t="n">
        <f aca="false">E254*G254</f>
        <v>104</v>
      </c>
    </row>
    <row r="255" customFormat="false" ht="15" hidden="false" customHeight="false" outlineLevel="0" collapsed="false">
      <c r="A255" s="0" t="n">
        <v>27</v>
      </c>
      <c r="B255" s="19" t="s">
        <v>586</v>
      </c>
      <c r="C255" s="18" t="s">
        <v>588</v>
      </c>
      <c r="D255" s="20" t="s">
        <v>154</v>
      </c>
      <c r="E255" s="17" t="n">
        <v>200</v>
      </c>
      <c r="F255" s="13" t="s">
        <v>27</v>
      </c>
      <c r="G255" s="12" t="n">
        <f aca="false">IFERROR(VLOOKUP(D255,Insumos!$C$5:$G$108,5,FALSE()),0)</f>
        <v>0.03</v>
      </c>
      <c r="H255" s="14" t="n">
        <f aca="false">E255*G255</f>
        <v>6</v>
      </c>
    </row>
    <row r="256" customFormat="false" ht="15" hidden="false" customHeight="false" outlineLevel="0" collapsed="false">
      <c r="A256" s="0" t="n">
        <v>27</v>
      </c>
      <c r="B256" s="19" t="s">
        <v>586</v>
      </c>
      <c r="C256" s="18" t="s">
        <v>589</v>
      </c>
      <c r="D256" s="20" t="s">
        <v>221</v>
      </c>
      <c r="E256" s="17" t="n">
        <v>40</v>
      </c>
      <c r="F256" s="13" t="s">
        <v>27</v>
      </c>
      <c r="G256" s="12" t="n">
        <f aca="false">IFERROR(VLOOKUP(D256,Insumos!$C$5:$G$108,5,FALSE()),0)</f>
        <v>0.2</v>
      </c>
      <c r="H256" s="14" t="n">
        <f aca="false">E256*G256</f>
        <v>8</v>
      </c>
    </row>
    <row r="257" customFormat="false" ht="15" hidden="false" customHeight="false" outlineLevel="0" collapsed="false">
      <c r="A257" s="0" t="n">
        <v>27</v>
      </c>
      <c r="B257" s="19" t="s">
        <v>586</v>
      </c>
      <c r="C257" s="18" t="s">
        <v>590</v>
      </c>
      <c r="D257" s="20" t="s">
        <v>181</v>
      </c>
      <c r="E257" s="17" t="n">
        <v>30</v>
      </c>
      <c r="F257" s="13" t="s">
        <v>27</v>
      </c>
      <c r="G257" s="12" t="n">
        <f aca="false">IFERROR(VLOOKUP(D257,Insumos!$C$5:$G$108,5,FALSE()),0)</f>
        <v>0.24</v>
      </c>
      <c r="H257" s="14" t="n">
        <f aca="false">E257*G257</f>
        <v>7.2</v>
      </c>
    </row>
    <row r="258" customFormat="false" ht="15" hidden="false" customHeight="false" outlineLevel="0" collapsed="false">
      <c r="A258" s="0" t="n">
        <v>27</v>
      </c>
      <c r="B258" s="19" t="s">
        <v>586</v>
      </c>
      <c r="C258" s="18" t="s">
        <v>591</v>
      </c>
      <c r="D258" s="20" t="s">
        <v>183</v>
      </c>
      <c r="E258" s="17" t="n">
        <v>15</v>
      </c>
      <c r="F258" s="13" t="s">
        <v>27</v>
      </c>
      <c r="G258" s="12" t="n">
        <f aca="false">IFERROR(VLOOKUP(D258,Insumos!$C$5:$G$108,5,FALSE()),0)</f>
        <v>0.28</v>
      </c>
      <c r="H258" s="14" t="n">
        <f aca="false">E258*G258</f>
        <v>4.2</v>
      </c>
    </row>
    <row r="259" customFormat="false" ht="15" hidden="false" customHeight="false" outlineLevel="0" collapsed="false">
      <c r="A259" s="0" t="n">
        <v>27</v>
      </c>
      <c r="B259" s="19" t="s">
        <v>586</v>
      </c>
      <c r="C259" s="18" t="s">
        <v>592</v>
      </c>
      <c r="D259" s="20" t="s">
        <v>239</v>
      </c>
      <c r="E259" s="17" t="n">
        <v>40</v>
      </c>
      <c r="F259" s="13" t="s">
        <v>33</v>
      </c>
      <c r="G259" s="12" t="n">
        <f aca="false">IFERROR(VLOOKUP(D259,Insumos!$C$5:$G$108,5,FALSE()),0)</f>
        <v>0.05</v>
      </c>
      <c r="H259" s="14" t="n">
        <f aca="false">E259*G259</f>
        <v>2</v>
      </c>
    </row>
    <row r="260" customFormat="false" ht="15" hidden="false" customHeight="false" outlineLevel="0" collapsed="false">
      <c r="A260" s="0" t="n">
        <v>27</v>
      </c>
      <c r="B260" s="19" t="s">
        <v>586</v>
      </c>
      <c r="C260" s="18" t="s">
        <v>381</v>
      </c>
      <c r="D260" s="20" t="s">
        <v>109</v>
      </c>
      <c r="E260" s="17" t="n">
        <v>12</v>
      </c>
      <c r="F260" s="13" t="s">
        <v>27</v>
      </c>
      <c r="G260" s="12" t="n">
        <f aca="false">IFERROR(VLOOKUP(D260,Insumos!$C$5:$G$108,5,FALSE()),0)</f>
        <v>0.11</v>
      </c>
      <c r="H260" s="14" t="n">
        <f aca="false">E260*G260</f>
        <v>1.32</v>
      </c>
    </row>
    <row r="261" customFormat="false" ht="15" hidden="false" customHeight="false" outlineLevel="0" collapsed="false">
      <c r="A261" s="0" t="n">
        <v>27</v>
      </c>
      <c r="B261" s="19" t="s">
        <v>586</v>
      </c>
      <c r="C261" s="18" t="s">
        <v>593</v>
      </c>
      <c r="D261" s="20" t="s">
        <v>202</v>
      </c>
      <c r="E261" s="17" t="n">
        <v>1</v>
      </c>
      <c r="F261" s="13" t="s">
        <v>27</v>
      </c>
      <c r="G261" s="12" t="n">
        <f aca="false">IFERROR(VLOOKUP(D261,Insumos!$C$5:$G$108,5,FALSE()),0)</f>
        <v>0.38</v>
      </c>
      <c r="H261" s="14" t="n">
        <f aca="false">E261*G261</f>
        <v>0.38</v>
      </c>
    </row>
    <row r="262" customFormat="false" ht="15" hidden="false" customHeight="false" outlineLevel="0" collapsed="false">
      <c r="A262" s="0" t="n">
        <v>27</v>
      </c>
      <c r="B262" s="19" t="s">
        <v>586</v>
      </c>
      <c r="C262" s="18" t="s">
        <v>594</v>
      </c>
      <c r="D262" s="20" t="s">
        <v>204</v>
      </c>
      <c r="E262" s="17" t="n">
        <v>1</v>
      </c>
      <c r="F262" s="13" t="s">
        <v>27</v>
      </c>
      <c r="G262" s="12" t="n">
        <f aca="false">IFERROR(VLOOKUP(D262,Insumos!$C$5:$G$108,5,FALSE()),0)</f>
        <v>0.3</v>
      </c>
      <c r="H262" s="14" t="n">
        <f aca="false">E262*G262</f>
        <v>0.3</v>
      </c>
    </row>
    <row r="263" customFormat="false" ht="15" hidden="false" customHeight="false" outlineLevel="0" collapsed="false">
      <c r="A263" s="0" t="n">
        <v>27</v>
      </c>
      <c r="B263" s="19" t="s">
        <v>586</v>
      </c>
      <c r="C263" s="18" t="s">
        <v>595</v>
      </c>
      <c r="D263" s="20" t="s">
        <v>208</v>
      </c>
      <c r="E263" s="17" t="n">
        <v>0.1</v>
      </c>
      <c r="F263" s="13" t="s">
        <v>27</v>
      </c>
      <c r="G263" s="12" t="n">
        <f aca="false">IFERROR(VLOOKUP(D263,Insumos!$C$5:$G$108,5,FALSE()),0)</f>
        <v>0.9</v>
      </c>
      <c r="H263" s="14" t="n">
        <f aca="false">E263*G263</f>
        <v>0.09</v>
      </c>
    </row>
    <row r="264" customFormat="false" ht="15" hidden="false" customHeight="false" outlineLevel="0" collapsed="false">
      <c r="A264" s="0" t="n">
        <v>27</v>
      </c>
      <c r="B264" s="19" t="s">
        <v>586</v>
      </c>
      <c r="C264" s="18" t="s">
        <v>406</v>
      </c>
      <c r="D264" s="20" t="s">
        <v>30</v>
      </c>
      <c r="E264" s="17" t="n">
        <v>50</v>
      </c>
      <c r="F264" s="13" t="s">
        <v>27</v>
      </c>
      <c r="G264" s="12" t="n">
        <f aca="false">IFERROR(VLOOKUP(D264,Insumos!$C$5:$G$108,5,FALSE()),0)</f>
        <v>0.07</v>
      </c>
      <c r="H264" s="14" t="n">
        <f aca="false">E264*G264</f>
        <v>3.5</v>
      </c>
    </row>
    <row r="265" customFormat="false" ht="15" hidden="false" customHeight="false" outlineLevel="0" collapsed="false">
      <c r="A265" s="0" t="n">
        <v>27</v>
      </c>
      <c r="B265" s="19" t="s">
        <v>586</v>
      </c>
      <c r="C265" s="18" t="s">
        <v>596</v>
      </c>
      <c r="D265" s="20" t="s">
        <v>198</v>
      </c>
      <c r="E265" s="17" t="n">
        <v>16</v>
      </c>
      <c r="F265" s="13" t="s">
        <v>27</v>
      </c>
      <c r="G265" s="12" t="n">
        <f aca="false">IFERROR(VLOOKUP(D265,Insumos!$C$5:$G$108,5,FALSE()),0)</f>
        <v>0.035</v>
      </c>
      <c r="H265" s="14" t="n">
        <f aca="false">E265*G265</f>
        <v>0.56</v>
      </c>
    </row>
    <row r="266" customFormat="false" ht="15" hidden="false" customHeight="false" outlineLevel="0" collapsed="false">
      <c r="A266" s="0" t="n">
        <v>27</v>
      </c>
      <c r="B266" s="19" t="s">
        <v>586</v>
      </c>
      <c r="C266" s="18" t="s">
        <v>387</v>
      </c>
      <c r="D266" s="20" t="s">
        <v>26</v>
      </c>
      <c r="E266" s="17" t="n">
        <v>1000</v>
      </c>
      <c r="F266" s="13" t="s">
        <v>27</v>
      </c>
      <c r="G266" s="12" t="n">
        <f aca="false">IFERROR(VLOOKUP(D266,Insumos!$C$5:$G$108,5,FALSE()),0)</f>
        <v>0.03</v>
      </c>
      <c r="H266" s="14" t="n">
        <f aca="false">E266*G266</f>
        <v>30</v>
      </c>
    </row>
    <row r="267" customFormat="false" ht="15" hidden="false" customHeight="false" outlineLevel="0" collapsed="false">
      <c r="A267" s="0" t="n">
        <v>28</v>
      </c>
      <c r="B267" s="19" t="s">
        <v>597</v>
      </c>
      <c r="C267" s="18" t="s">
        <v>598</v>
      </c>
      <c r="D267" s="20" t="s">
        <v>236</v>
      </c>
      <c r="E267" s="17" t="n">
        <v>350</v>
      </c>
      <c r="F267" s="13" t="s">
        <v>27</v>
      </c>
      <c r="G267" s="12" t="n">
        <f aca="false">IFERROR(VLOOKUP(D267,Insumos!$C$5:$G$108,5,FALSE()),0)</f>
        <v>0.045</v>
      </c>
      <c r="H267" s="14" t="n">
        <f aca="false">E267*G267</f>
        <v>15.75</v>
      </c>
    </row>
    <row r="268" customFormat="false" ht="15" hidden="false" customHeight="false" outlineLevel="0" collapsed="false">
      <c r="A268" s="0" t="n">
        <v>28</v>
      </c>
      <c r="B268" s="19" t="s">
        <v>597</v>
      </c>
      <c r="C268" s="18" t="s">
        <v>599</v>
      </c>
      <c r="D268" s="20" t="s">
        <v>62</v>
      </c>
      <c r="E268" s="17" t="n">
        <v>200</v>
      </c>
      <c r="F268" s="13" t="s">
        <v>27</v>
      </c>
      <c r="G268" s="12" t="n">
        <f aca="false">IFERROR(VLOOKUP(D268,Insumos!$C$5:$G$108,5,FALSE()),0)</f>
        <v>0.09</v>
      </c>
      <c r="H268" s="14" t="n">
        <f aca="false">E268*G268</f>
        <v>18</v>
      </c>
    </row>
    <row r="269" customFormat="false" ht="15" hidden="false" customHeight="false" outlineLevel="0" collapsed="false">
      <c r="A269" s="0" t="n">
        <v>28</v>
      </c>
      <c r="B269" s="19" t="s">
        <v>597</v>
      </c>
      <c r="C269" s="18" t="s">
        <v>600</v>
      </c>
      <c r="D269" s="20" t="s">
        <v>30</v>
      </c>
      <c r="E269" s="17" t="n">
        <v>60</v>
      </c>
      <c r="F269" s="13" t="s">
        <v>27</v>
      </c>
      <c r="G269" s="12" t="n">
        <f aca="false">IFERROR(VLOOKUP(D269,Insumos!$C$5:$G$108,5,FALSE()),0)</f>
        <v>0.07</v>
      </c>
      <c r="H269" s="14" t="n">
        <f aca="false">E269*G269</f>
        <v>4.2</v>
      </c>
    </row>
    <row r="270" customFormat="false" ht="15" hidden="false" customHeight="false" outlineLevel="0" collapsed="false">
      <c r="A270" s="0" t="n">
        <v>28</v>
      </c>
      <c r="B270" s="19" t="s">
        <v>597</v>
      </c>
      <c r="C270" s="18" t="s">
        <v>443</v>
      </c>
      <c r="D270" s="20" t="s">
        <v>103</v>
      </c>
      <c r="E270" s="17" t="n">
        <v>150</v>
      </c>
      <c r="F270" s="13" t="s">
        <v>27</v>
      </c>
      <c r="G270" s="12" t="n">
        <f aca="false">IFERROR(VLOOKUP(D270,Insumos!$C$5:$G$108,5,FALSE()),0)</f>
        <v>0.028</v>
      </c>
      <c r="H270" s="14" t="n">
        <f aca="false">E270*G270</f>
        <v>4.2</v>
      </c>
    </row>
    <row r="271" customFormat="false" ht="15" hidden="false" customHeight="false" outlineLevel="0" collapsed="false">
      <c r="A271" s="0" t="n">
        <v>28</v>
      </c>
      <c r="B271" s="19" t="s">
        <v>597</v>
      </c>
      <c r="C271" s="18" t="s">
        <v>601</v>
      </c>
      <c r="D271" s="20" t="s">
        <v>136</v>
      </c>
      <c r="E271" s="17" t="n">
        <v>30</v>
      </c>
      <c r="F271" s="13" t="s">
        <v>27</v>
      </c>
      <c r="G271" s="12" t="n">
        <f aca="false">IFERROR(VLOOKUP(D271,Insumos!$C$5:$G$108,5,FALSE()),0)</f>
        <v>0.045</v>
      </c>
      <c r="H271" s="14" t="n">
        <f aca="false">E271*G271</f>
        <v>1.35</v>
      </c>
    </row>
    <row r="272" customFormat="false" ht="15" hidden="false" customHeight="false" outlineLevel="0" collapsed="false">
      <c r="A272" s="0" t="n">
        <v>28</v>
      </c>
      <c r="B272" s="19" t="s">
        <v>597</v>
      </c>
      <c r="C272" s="18" t="s">
        <v>445</v>
      </c>
      <c r="D272" s="20" t="s">
        <v>109</v>
      </c>
      <c r="E272" s="17" t="n">
        <v>8</v>
      </c>
      <c r="F272" s="13" t="s">
        <v>27</v>
      </c>
      <c r="G272" s="12" t="n">
        <f aca="false">IFERROR(VLOOKUP(D272,Insumos!$C$5:$G$108,5,FALSE()),0)</f>
        <v>0.11</v>
      </c>
      <c r="H272" s="14" t="n">
        <f aca="false">E272*G272</f>
        <v>0.88</v>
      </c>
    </row>
    <row r="273" customFormat="false" ht="15" hidden="false" customHeight="false" outlineLevel="0" collapsed="false">
      <c r="A273" s="0" t="n">
        <v>28</v>
      </c>
      <c r="B273" s="19" t="s">
        <v>597</v>
      </c>
      <c r="C273" s="18" t="s">
        <v>602</v>
      </c>
      <c r="D273" s="20" t="s">
        <v>198</v>
      </c>
      <c r="E273" s="17" t="n">
        <v>10</v>
      </c>
      <c r="F273" s="13" t="s">
        <v>27</v>
      </c>
      <c r="G273" s="12" t="n">
        <f aca="false">IFERROR(VLOOKUP(D273,Insumos!$C$5:$G$108,5,FALSE()),0)</f>
        <v>0.035</v>
      </c>
      <c r="H273" s="14" t="n">
        <f aca="false">E273*G273</f>
        <v>0.35</v>
      </c>
    </row>
    <row r="274" customFormat="false" ht="15" hidden="false" customHeight="false" outlineLevel="0" collapsed="false">
      <c r="A274" s="0" t="n">
        <v>28</v>
      </c>
      <c r="B274" s="19" t="s">
        <v>597</v>
      </c>
      <c r="C274" s="18" t="s">
        <v>603</v>
      </c>
      <c r="D274" s="20" t="s">
        <v>251</v>
      </c>
      <c r="E274" s="17" t="n">
        <v>80</v>
      </c>
      <c r="F274" s="13" t="s">
        <v>33</v>
      </c>
      <c r="G274" s="12" t="n">
        <f aca="false">IFERROR(VLOOKUP(D274,Insumos!$C$5:$G$108,5,FALSE()),0)</f>
        <v>0.002</v>
      </c>
      <c r="H274" s="14" t="n">
        <f aca="false">E274*G274</f>
        <v>0.16</v>
      </c>
    </row>
    <row r="275" customFormat="false" ht="15" hidden="false" customHeight="false" outlineLevel="0" collapsed="false">
      <c r="A275" s="0" t="n">
        <v>28</v>
      </c>
      <c r="B275" s="19" t="s">
        <v>597</v>
      </c>
      <c r="C275" s="18" t="s">
        <v>387</v>
      </c>
      <c r="D275" s="20" t="s">
        <v>26</v>
      </c>
      <c r="E275" s="17" t="n">
        <v>1000</v>
      </c>
      <c r="F275" s="13" t="s">
        <v>27</v>
      </c>
      <c r="G275" s="12" t="n">
        <f aca="false">IFERROR(VLOOKUP(D275,Insumos!$C$5:$G$108,5,FALSE()),0)</f>
        <v>0.03</v>
      </c>
      <c r="H275" s="14" t="n">
        <f aca="false">E275*G275</f>
        <v>30</v>
      </c>
    </row>
    <row r="276" customFormat="false" ht="15" hidden="false" customHeight="false" outlineLevel="0" collapsed="false">
      <c r="A276" s="0" t="n">
        <v>29</v>
      </c>
      <c r="B276" s="19" t="s">
        <v>604</v>
      </c>
      <c r="C276" s="18" t="s">
        <v>605</v>
      </c>
      <c r="D276" s="20" t="s">
        <v>54</v>
      </c>
      <c r="E276" s="17" t="n">
        <v>650</v>
      </c>
      <c r="F276" s="13" t="s">
        <v>27</v>
      </c>
      <c r="G276" s="12" t="n">
        <f aca="false">IFERROR(VLOOKUP(D276,Insumos!$C$5:$G$108,5,FALSE()),0)</f>
        <v>0.125</v>
      </c>
      <c r="H276" s="14" t="n">
        <f aca="false">E276*G276</f>
        <v>81.25</v>
      </c>
    </row>
    <row r="277" customFormat="false" ht="15" hidden="false" customHeight="false" outlineLevel="0" collapsed="false">
      <c r="A277" s="0" t="n">
        <v>29</v>
      </c>
      <c r="B277" s="19" t="s">
        <v>604</v>
      </c>
      <c r="C277" s="18" t="s">
        <v>606</v>
      </c>
      <c r="D277" s="20" t="s">
        <v>101</v>
      </c>
      <c r="E277" s="17" t="n">
        <v>300</v>
      </c>
      <c r="F277" s="13" t="s">
        <v>27</v>
      </c>
      <c r="G277" s="12" t="n">
        <f aca="false">IFERROR(VLOOKUP(D277,Insumos!$C$5:$G$108,5,FALSE()),0)</f>
        <v>0.03</v>
      </c>
      <c r="H277" s="14" t="n">
        <f aca="false">E277*G277</f>
        <v>9</v>
      </c>
    </row>
    <row r="278" customFormat="false" ht="15" hidden="false" customHeight="false" outlineLevel="0" collapsed="false">
      <c r="A278" s="0" t="n">
        <v>29</v>
      </c>
      <c r="B278" s="19" t="s">
        <v>604</v>
      </c>
      <c r="C278" s="18" t="s">
        <v>434</v>
      </c>
      <c r="D278" s="20" t="s">
        <v>111</v>
      </c>
      <c r="E278" s="17" t="n">
        <v>400</v>
      </c>
      <c r="F278" s="13" t="s">
        <v>27</v>
      </c>
      <c r="G278" s="12" t="n">
        <f aca="false">IFERROR(VLOOKUP(D278,Insumos!$C$5:$G$108,5,FALSE()),0)</f>
        <v>0.03</v>
      </c>
      <c r="H278" s="14" t="n">
        <f aca="false">E278*G278</f>
        <v>12</v>
      </c>
    </row>
    <row r="279" customFormat="false" ht="15" hidden="false" customHeight="false" outlineLevel="0" collapsed="false">
      <c r="A279" s="0" t="n">
        <v>29</v>
      </c>
      <c r="B279" s="19" t="s">
        <v>604</v>
      </c>
      <c r="C279" s="18" t="s">
        <v>532</v>
      </c>
      <c r="D279" s="20" t="s">
        <v>103</v>
      </c>
      <c r="E279" s="17" t="n">
        <v>150</v>
      </c>
      <c r="F279" s="13" t="s">
        <v>27</v>
      </c>
      <c r="G279" s="12" t="n">
        <f aca="false">IFERROR(VLOOKUP(D279,Insumos!$C$5:$G$108,5,FALSE()),0)</f>
        <v>0.028</v>
      </c>
      <c r="H279" s="14" t="n">
        <f aca="false">E279*G279</f>
        <v>4.2</v>
      </c>
    </row>
    <row r="280" customFormat="false" ht="15" hidden="false" customHeight="false" outlineLevel="0" collapsed="false">
      <c r="A280" s="0" t="n">
        <v>29</v>
      </c>
      <c r="B280" s="19" t="s">
        <v>604</v>
      </c>
      <c r="C280" s="18" t="s">
        <v>414</v>
      </c>
      <c r="D280" s="20" t="s">
        <v>109</v>
      </c>
      <c r="E280" s="17" t="n">
        <v>12</v>
      </c>
      <c r="F280" s="13" t="s">
        <v>27</v>
      </c>
      <c r="G280" s="12" t="n">
        <f aca="false">IFERROR(VLOOKUP(D280,Insumos!$C$5:$G$108,5,FALSE()),0)</f>
        <v>0.11</v>
      </c>
      <c r="H280" s="14" t="n">
        <f aca="false">E280*G280</f>
        <v>1.32</v>
      </c>
    </row>
    <row r="281" customFormat="false" ht="15" hidden="false" customHeight="false" outlineLevel="0" collapsed="false">
      <c r="A281" s="0" t="n">
        <v>29</v>
      </c>
      <c r="B281" s="19" t="s">
        <v>604</v>
      </c>
      <c r="C281" s="18" t="s">
        <v>607</v>
      </c>
      <c r="D281" s="20" t="s">
        <v>169</v>
      </c>
      <c r="E281" s="17" t="n">
        <v>25</v>
      </c>
      <c r="F281" s="13" t="s">
        <v>27</v>
      </c>
      <c r="G281" s="12" t="n">
        <f aca="false">IFERROR(VLOOKUP(D281,Insumos!$C$5:$G$108,5,FALSE()),0)</f>
        <v>0.06</v>
      </c>
      <c r="H281" s="14" t="n">
        <f aca="false">E281*G281</f>
        <v>1.5</v>
      </c>
    </row>
    <row r="282" customFormat="false" ht="15" hidden="false" customHeight="false" outlineLevel="0" collapsed="false">
      <c r="A282" s="0" t="n">
        <v>29</v>
      </c>
      <c r="B282" s="19" t="s">
        <v>604</v>
      </c>
      <c r="C282" s="18" t="s">
        <v>608</v>
      </c>
      <c r="D282" s="20" t="s">
        <v>202</v>
      </c>
      <c r="E282" s="17" t="n">
        <v>2</v>
      </c>
      <c r="F282" s="13" t="s">
        <v>27</v>
      </c>
      <c r="G282" s="12" t="n">
        <f aca="false">IFERROR(VLOOKUP(D282,Insumos!$C$5:$G$108,5,FALSE()),0)</f>
        <v>0.38</v>
      </c>
      <c r="H282" s="14" t="n">
        <f aca="false">E282*G282</f>
        <v>0.76</v>
      </c>
    </row>
    <row r="283" customFormat="false" ht="15" hidden="false" customHeight="false" outlineLevel="0" collapsed="false">
      <c r="A283" s="0" t="n">
        <v>29</v>
      </c>
      <c r="B283" s="19" t="s">
        <v>604</v>
      </c>
      <c r="C283" s="18" t="s">
        <v>609</v>
      </c>
      <c r="D283" s="20" t="s">
        <v>200</v>
      </c>
      <c r="E283" s="17" t="n">
        <v>2</v>
      </c>
      <c r="F283" s="13" t="s">
        <v>27</v>
      </c>
      <c r="G283" s="12" t="n">
        <f aca="false">IFERROR(VLOOKUP(D283,Insumos!$C$5:$G$108,5,FALSE()),0)</f>
        <v>0.45</v>
      </c>
      <c r="H283" s="14" t="n">
        <f aca="false">E283*G283</f>
        <v>0.9</v>
      </c>
    </row>
    <row r="284" customFormat="false" ht="15" hidden="false" customHeight="false" outlineLevel="0" collapsed="false">
      <c r="A284" s="0" t="n">
        <v>29</v>
      </c>
      <c r="B284" s="19" t="s">
        <v>604</v>
      </c>
      <c r="C284" s="18" t="s">
        <v>610</v>
      </c>
      <c r="D284" s="20" t="s">
        <v>30</v>
      </c>
      <c r="E284" s="17" t="n">
        <v>40</v>
      </c>
      <c r="F284" s="13" t="s">
        <v>27</v>
      </c>
      <c r="G284" s="12" t="n">
        <f aca="false">IFERROR(VLOOKUP(D284,Insumos!$C$5:$G$108,5,FALSE()),0)</f>
        <v>0.07</v>
      </c>
      <c r="H284" s="14" t="n">
        <f aca="false">E284*G284</f>
        <v>2.8</v>
      </c>
    </row>
    <row r="285" customFormat="false" ht="15" hidden="false" customHeight="false" outlineLevel="0" collapsed="false">
      <c r="A285" s="0" t="n">
        <v>29</v>
      </c>
      <c r="B285" s="19" t="s">
        <v>604</v>
      </c>
      <c r="C285" s="18" t="s">
        <v>513</v>
      </c>
      <c r="D285" s="20" t="s">
        <v>198</v>
      </c>
      <c r="E285" s="17" t="n">
        <v>16</v>
      </c>
      <c r="F285" s="13" t="s">
        <v>27</v>
      </c>
      <c r="G285" s="12" t="n">
        <f aca="false">IFERROR(VLOOKUP(D285,Insumos!$C$5:$G$108,5,FALSE()),0)</f>
        <v>0.035</v>
      </c>
      <c r="H285" s="14" t="n">
        <f aca="false">E285*G285</f>
        <v>0.56</v>
      </c>
    </row>
    <row r="286" customFormat="false" ht="15" hidden="false" customHeight="false" outlineLevel="0" collapsed="false">
      <c r="A286" s="0" t="n">
        <v>29</v>
      </c>
      <c r="B286" s="19" t="s">
        <v>604</v>
      </c>
      <c r="C286" s="18" t="s">
        <v>387</v>
      </c>
      <c r="D286" s="20" t="s">
        <v>26</v>
      </c>
      <c r="E286" s="17" t="n">
        <v>1000</v>
      </c>
      <c r="F286" s="13" t="s">
        <v>27</v>
      </c>
      <c r="G286" s="12" t="n">
        <f aca="false">IFERROR(VLOOKUP(D286,Insumos!$C$5:$G$108,5,FALSE()),0)</f>
        <v>0.03</v>
      </c>
      <c r="H286" s="14" t="n">
        <f aca="false">E286*G286</f>
        <v>30</v>
      </c>
    </row>
    <row r="287" customFormat="false" ht="15" hidden="false" customHeight="false" outlineLevel="0" collapsed="false">
      <c r="A287" s="0" t="n">
        <v>30</v>
      </c>
      <c r="B287" s="19" t="s">
        <v>611</v>
      </c>
      <c r="C287" s="18" t="s">
        <v>612</v>
      </c>
      <c r="D287" s="20" t="s">
        <v>78</v>
      </c>
      <c r="E287" s="17" t="n">
        <v>800</v>
      </c>
      <c r="F287" s="13" t="s">
        <v>27</v>
      </c>
      <c r="G287" s="12" t="n">
        <f aca="false">IFERROR(VLOOKUP(D287,Insumos!$C$5:$G$108,5,FALSE()),0)</f>
        <v>0.24</v>
      </c>
      <c r="H287" s="14" t="n">
        <f aca="false">E287*G287</f>
        <v>192</v>
      </c>
    </row>
    <row r="288" customFormat="false" ht="15" hidden="false" customHeight="false" outlineLevel="0" collapsed="false">
      <c r="A288" s="0" t="n">
        <v>30</v>
      </c>
      <c r="B288" s="19" t="s">
        <v>611</v>
      </c>
      <c r="C288" s="18" t="s">
        <v>613</v>
      </c>
      <c r="D288" s="20" t="s">
        <v>127</v>
      </c>
      <c r="E288" s="17" t="n">
        <v>700</v>
      </c>
      <c r="F288" s="13" t="s">
        <v>27</v>
      </c>
      <c r="G288" s="12" t="n">
        <f aca="false">IFERROR(VLOOKUP(D288,Insumos!$C$5:$G$108,5,FALSE()),0)</f>
        <v>0.018</v>
      </c>
      <c r="H288" s="14" t="n">
        <f aca="false">E288*G288</f>
        <v>12.6</v>
      </c>
    </row>
    <row r="289" customFormat="false" ht="15" hidden="false" customHeight="false" outlineLevel="0" collapsed="false">
      <c r="A289" s="0" t="n">
        <v>30</v>
      </c>
      <c r="B289" s="19" t="s">
        <v>611</v>
      </c>
      <c r="C289" s="18" t="s">
        <v>614</v>
      </c>
      <c r="D289" s="20" t="s">
        <v>111</v>
      </c>
      <c r="E289" s="17" t="n">
        <v>400</v>
      </c>
      <c r="F289" s="13" t="s">
        <v>27</v>
      </c>
      <c r="G289" s="12" t="n">
        <f aca="false">IFERROR(VLOOKUP(D289,Insumos!$C$5:$G$108,5,FALSE()),0)</f>
        <v>0.03</v>
      </c>
      <c r="H289" s="14" t="n">
        <f aca="false">E289*G289</f>
        <v>12</v>
      </c>
    </row>
    <row r="290" customFormat="false" ht="15" hidden="false" customHeight="false" outlineLevel="0" collapsed="false">
      <c r="A290" s="0" t="n">
        <v>30</v>
      </c>
      <c r="B290" s="19" t="s">
        <v>611</v>
      </c>
      <c r="C290" s="18" t="s">
        <v>615</v>
      </c>
      <c r="D290" s="20" t="s">
        <v>103</v>
      </c>
      <c r="E290" s="17" t="n">
        <v>150</v>
      </c>
      <c r="F290" s="13" t="s">
        <v>27</v>
      </c>
      <c r="G290" s="12" t="n">
        <f aca="false">IFERROR(VLOOKUP(D290,Insumos!$C$5:$G$108,5,FALSE()),0)</f>
        <v>0.028</v>
      </c>
      <c r="H290" s="14" t="n">
        <f aca="false">E290*G290</f>
        <v>4.2</v>
      </c>
    </row>
    <row r="291" customFormat="false" ht="15" hidden="false" customHeight="false" outlineLevel="0" collapsed="false">
      <c r="A291" s="0" t="n">
        <v>30</v>
      </c>
      <c r="B291" s="19" t="s">
        <v>611</v>
      </c>
      <c r="C291" s="18" t="s">
        <v>616</v>
      </c>
      <c r="D291" s="20" t="s">
        <v>195</v>
      </c>
      <c r="E291" s="17" t="n">
        <v>40</v>
      </c>
      <c r="F291" s="13" t="s">
        <v>27</v>
      </c>
      <c r="G291" s="12" t="n">
        <f aca="false">IFERROR(VLOOKUP(D291,Insumos!$C$5:$G$108,5,FALSE()),0)</f>
        <v>0.130232558139535</v>
      </c>
      <c r="H291" s="14" t="n">
        <f aca="false">E291*G291</f>
        <v>5.2093023255814</v>
      </c>
    </row>
    <row r="292" customFormat="false" ht="15" hidden="false" customHeight="false" outlineLevel="0" collapsed="false">
      <c r="A292" s="0" t="n">
        <v>30</v>
      </c>
      <c r="B292" s="19" t="s">
        <v>611</v>
      </c>
      <c r="C292" s="18" t="s">
        <v>414</v>
      </c>
      <c r="D292" s="20" t="s">
        <v>109</v>
      </c>
      <c r="E292" s="17" t="n">
        <v>12</v>
      </c>
      <c r="F292" s="13" t="s">
        <v>27</v>
      </c>
      <c r="G292" s="12" t="n">
        <f aca="false">IFERROR(VLOOKUP(D292,Insumos!$C$5:$G$108,5,FALSE()),0)</f>
        <v>0.11</v>
      </c>
      <c r="H292" s="14" t="n">
        <f aca="false">E292*G292</f>
        <v>1.32</v>
      </c>
    </row>
    <row r="293" customFormat="false" ht="15" hidden="false" customHeight="false" outlineLevel="0" collapsed="false">
      <c r="A293" s="0" t="n">
        <v>30</v>
      </c>
      <c r="B293" s="19" t="s">
        <v>611</v>
      </c>
      <c r="C293" s="18" t="s">
        <v>617</v>
      </c>
      <c r="D293" s="20" t="s">
        <v>231</v>
      </c>
      <c r="E293" s="17" t="n">
        <v>20</v>
      </c>
      <c r="F293" s="13" t="s">
        <v>27</v>
      </c>
      <c r="G293" s="12" t="n">
        <f aca="false">IFERROR(VLOOKUP(D293,Insumos!$C$5:$G$108,5,FALSE()),0)</f>
        <v>0.045</v>
      </c>
      <c r="H293" s="14" t="n">
        <f aca="false">E293*G293</f>
        <v>0.9</v>
      </c>
    </row>
    <row r="294" customFormat="false" ht="15" hidden="false" customHeight="false" outlineLevel="0" collapsed="false">
      <c r="A294" s="0" t="n">
        <v>30</v>
      </c>
      <c r="B294" s="19" t="s">
        <v>611</v>
      </c>
      <c r="C294" s="18" t="s">
        <v>618</v>
      </c>
      <c r="D294" s="20" t="s">
        <v>241</v>
      </c>
      <c r="E294" s="17" t="n">
        <v>15</v>
      </c>
      <c r="F294" s="13" t="s">
        <v>33</v>
      </c>
      <c r="G294" s="12" t="n">
        <f aca="false">IFERROR(VLOOKUP(D294,Insumos!$C$5:$G$108,5,FALSE()),0)</f>
        <v>0.025</v>
      </c>
      <c r="H294" s="14" t="n">
        <f aca="false">E294*G294</f>
        <v>0.375</v>
      </c>
    </row>
    <row r="295" customFormat="false" ht="15" hidden="false" customHeight="false" outlineLevel="0" collapsed="false">
      <c r="A295" s="0" t="n">
        <v>30</v>
      </c>
      <c r="B295" s="19" t="s">
        <v>611</v>
      </c>
      <c r="C295" s="18" t="s">
        <v>512</v>
      </c>
      <c r="D295" s="20" t="s">
        <v>32</v>
      </c>
      <c r="E295" s="17" t="n">
        <v>50</v>
      </c>
      <c r="F295" s="13" t="s">
        <v>33</v>
      </c>
      <c r="G295" s="12" t="n">
        <f aca="false">IFERROR(VLOOKUP(D295,Insumos!$C$5:$G$108,5,FALSE()),0)</f>
        <v>0.048</v>
      </c>
      <c r="H295" s="14" t="n">
        <f aca="false">E295*G295</f>
        <v>2.4</v>
      </c>
    </row>
    <row r="296" customFormat="false" ht="15" hidden="false" customHeight="false" outlineLevel="0" collapsed="false">
      <c r="A296" s="0" t="n">
        <v>30</v>
      </c>
      <c r="B296" s="19" t="s">
        <v>611</v>
      </c>
      <c r="C296" s="18" t="s">
        <v>496</v>
      </c>
      <c r="D296" s="20" t="s">
        <v>198</v>
      </c>
      <c r="E296" s="17" t="n">
        <v>14</v>
      </c>
      <c r="F296" s="13" t="s">
        <v>27</v>
      </c>
      <c r="G296" s="12" t="n">
        <f aca="false">IFERROR(VLOOKUP(D296,Insumos!$C$5:$G$108,5,FALSE()),0)</f>
        <v>0.035</v>
      </c>
      <c r="H296" s="14" t="n">
        <f aca="false">E296*G296</f>
        <v>0.49</v>
      </c>
    </row>
    <row r="297" customFormat="false" ht="15" hidden="false" customHeight="false" outlineLevel="0" collapsed="false">
      <c r="A297" s="0" t="n">
        <v>30</v>
      </c>
      <c r="B297" s="19" t="s">
        <v>611</v>
      </c>
      <c r="C297" s="18" t="s">
        <v>387</v>
      </c>
      <c r="D297" s="20" t="s">
        <v>26</v>
      </c>
      <c r="E297" s="17" t="n">
        <v>1000</v>
      </c>
      <c r="F297" s="13" t="s">
        <v>27</v>
      </c>
      <c r="G297" s="12" t="n">
        <f aca="false">IFERROR(VLOOKUP(D297,Insumos!$C$5:$G$108,5,FALSE()),0)</f>
        <v>0.03</v>
      </c>
      <c r="H297" s="14" t="n">
        <f aca="false">E297*G297</f>
        <v>30</v>
      </c>
    </row>
    <row r="298" customFormat="false" ht="15" hidden="false" customHeight="false" outlineLevel="0" collapsed="false">
      <c r="A298" s="0" t="n">
        <v>31</v>
      </c>
      <c r="B298" s="19" t="s">
        <v>619</v>
      </c>
      <c r="C298" s="18" t="s">
        <v>620</v>
      </c>
      <c r="D298" s="20" t="s">
        <v>46</v>
      </c>
      <c r="E298" s="17" t="n">
        <v>600</v>
      </c>
      <c r="F298" s="13" t="s">
        <v>27</v>
      </c>
      <c r="G298" s="12" t="n">
        <f aca="false">IFERROR(VLOOKUP(D298,Insumos!$C$5:$G$108,5,FALSE()),0)</f>
        <v>0.26</v>
      </c>
      <c r="H298" s="14" t="n">
        <f aca="false">E298*G298</f>
        <v>156</v>
      </c>
    </row>
    <row r="299" customFormat="false" ht="15" hidden="false" customHeight="false" outlineLevel="0" collapsed="false">
      <c r="A299" s="0" t="n">
        <v>31</v>
      </c>
      <c r="B299" s="19" t="s">
        <v>619</v>
      </c>
      <c r="C299" s="18" t="s">
        <v>621</v>
      </c>
      <c r="D299" s="20" t="s">
        <v>113</v>
      </c>
      <c r="E299" s="17" t="n">
        <v>600</v>
      </c>
      <c r="F299" s="13" t="s">
        <v>27</v>
      </c>
      <c r="G299" s="12" t="n">
        <f aca="false">IFERROR(VLOOKUP(D299,Insumos!$C$5:$G$108,5,FALSE()),0)</f>
        <v>0.03</v>
      </c>
      <c r="H299" s="14" t="n">
        <f aca="false">E299*G299</f>
        <v>18</v>
      </c>
    </row>
    <row r="300" customFormat="false" ht="15" hidden="false" customHeight="false" outlineLevel="0" collapsed="false">
      <c r="A300" s="0" t="n">
        <v>31</v>
      </c>
      <c r="B300" s="19" t="s">
        <v>619</v>
      </c>
      <c r="C300" s="18" t="s">
        <v>622</v>
      </c>
      <c r="D300" s="20" t="s">
        <v>138</v>
      </c>
      <c r="E300" s="17" t="n">
        <v>45</v>
      </c>
      <c r="F300" s="13" t="s">
        <v>27</v>
      </c>
      <c r="G300" s="12" t="n">
        <f aca="false">IFERROR(VLOOKUP(D300,Insumos!$C$5:$G$108,5,FALSE()),0)</f>
        <v>0.04</v>
      </c>
      <c r="H300" s="14" t="n">
        <f aca="false">E300*G300</f>
        <v>1.8</v>
      </c>
    </row>
    <row r="301" customFormat="false" ht="15" hidden="false" customHeight="false" outlineLevel="0" collapsed="false">
      <c r="A301" s="0" t="n">
        <v>31</v>
      </c>
      <c r="B301" s="19" t="s">
        <v>619</v>
      </c>
      <c r="C301" s="18" t="s">
        <v>623</v>
      </c>
      <c r="D301" s="20" t="s">
        <v>103</v>
      </c>
      <c r="E301" s="17" t="n">
        <v>150</v>
      </c>
      <c r="F301" s="13" t="s">
        <v>27</v>
      </c>
      <c r="G301" s="12" t="n">
        <f aca="false">IFERROR(VLOOKUP(D301,Insumos!$C$5:$G$108,5,FALSE()),0)</f>
        <v>0.028</v>
      </c>
      <c r="H301" s="14" t="n">
        <f aca="false">E301*G301</f>
        <v>4.2</v>
      </c>
    </row>
    <row r="302" customFormat="false" ht="15" hidden="false" customHeight="false" outlineLevel="0" collapsed="false">
      <c r="A302" s="0" t="n">
        <v>31</v>
      </c>
      <c r="B302" s="19" t="s">
        <v>619</v>
      </c>
      <c r="C302" s="18" t="s">
        <v>624</v>
      </c>
      <c r="D302" s="20" t="s">
        <v>109</v>
      </c>
      <c r="E302" s="17" t="n">
        <v>12</v>
      </c>
      <c r="F302" s="13" t="s">
        <v>27</v>
      </c>
      <c r="G302" s="12" t="n">
        <f aca="false">IFERROR(VLOOKUP(D302,Insumos!$C$5:$G$108,5,FALSE()),0)</f>
        <v>0.11</v>
      </c>
      <c r="H302" s="14" t="n">
        <f aca="false">E302*G302</f>
        <v>1.32</v>
      </c>
    </row>
    <row r="303" customFormat="false" ht="15" hidden="false" customHeight="false" outlineLevel="0" collapsed="false">
      <c r="A303" s="0" t="n">
        <v>31</v>
      </c>
      <c r="B303" s="19" t="s">
        <v>619</v>
      </c>
      <c r="C303" s="18" t="s">
        <v>625</v>
      </c>
      <c r="D303" s="20" t="s">
        <v>169</v>
      </c>
      <c r="E303" s="17" t="n">
        <v>20</v>
      </c>
      <c r="F303" s="13" t="s">
        <v>27</v>
      </c>
      <c r="G303" s="12" t="n">
        <f aca="false">IFERROR(VLOOKUP(D303,Insumos!$C$5:$G$108,5,FALSE()),0)</f>
        <v>0.06</v>
      </c>
      <c r="H303" s="14" t="n">
        <f aca="false">E303*G303</f>
        <v>1.2</v>
      </c>
    </row>
    <row r="304" customFormat="false" ht="15" hidden="false" customHeight="false" outlineLevel="0" collapsed="false">
      <c r="A304" s="0" t="n">
        <v>31</v>
      </c>
      <c r="B304" s="19" t="s">
        <v>619</v>
      </c>
      <c r="C304" s="18" t="s">
        <v>626</v>
      </c>
      <c r="D304" s="20" t="s">
        <v>30</v>
      </c>
      <c r="E304" s="17" t="n">
        <v>30</v>
      </c>
      <c r="F304" s="13" t="s">
        <v>27</v>
      </c>
      <c r="G304" s="12" t="n">
        <f aca="false">IFERROR(VLOOKUP(D304,Insumos!$C$5:$G$108,5,FALSE()),0)</f>
        <v>0.07</v>
      </c>
      <c r="H304" s="14" t="n">
        <f aca="false">E304*G304</f>
        <v>2.1</v>
      </c>
    </row>
    <row r="305" customFormat="false" ht="15" hidden="false" customHeight="false" outlineLevel="0" collapsed="false">
      <c r="A305" s="0" t="n">
        <v>31</v>
      </c>
      <c r="B305" s="19" t="s">
        <v>619</v>
      </c>
      <c r="C305" s="18" t="s">
        <v>627</v>
      </c>
      <c r="D305" s="20" t="s">
        <v>198</v>
      </c>
      <c r="E305" s="17" t="n">
        <v>12</v>
      </c>
      <c r="F305" s="13" t="s">
        <v>27</v>
      </c>
      <c r="G305" s="12" t="n">
        <f aca="false">IFERROR(VLOOKUP(D305,Insumos!$C$5:$G$108,5,FALSE()),0)</f>
        <v>0.035</v>
      </c>
      <c r="H305" s="14" t="n">
        <f aca="false">E305*G305</f>
        <v>0.42</v>
      </c>
    </row>
    <row r="306" customFormat="false" ht="15" hidden="false" customHeight="false" outlineLevel="0" collapsed="false">
      <c r="A306" s="0" t="n">
        <v>31</v>
      </c>
      <c r="B306" s="19" t="s">
        <v>619</v>
      </c>
      <c r="C306" s="18" t="s">
        <v>628</v>
      </c>
      <c r="D306" s="20" t="s">
        <v>251</v>
      </c>
      <c r="E306" s="17" t="n">
        <v>100</v>
      </c>
      <c r="F306" s="13" t="s">
        <v>33</v>
      </c>
      <c r="G306" s="12" t="n">
        <f aca="false">IFERROR(VLOOKUP(D306,Insumos!$C$5:$G$108,5,FALSE()),0)</f>
        <v>0.002</v>
      </c>
      <c r="H306" s="14" t="n">
        <f aca="false">E306*G306</f>
        <v>0.2</v>
      </c>
    </row>
    <row r="307" customFormat="false" ht="15" hidden="false" customHeight="false" outlineLevel="0" collapsed="false">
      <c r="A307" s="0" t="n">
        <v>31</v>
      </c>
      <c r="B307" s="19" t="s">
        <v>619</v>
      </c>
      <c r="C307" s="18" t="s">
        <v>430</v>
      </c>
      <c r="D307" s="20" t="s">
        <v>26</v>
      </c>
      <c r="E307" s="17" t="n">
        <v>1000</v>
      </c>
      <c r="F307" s="13" t="s">
        <v>27</v>
      </c>
      <c r="G307" s="12" t="n">
        <f aca="false">IFERROR(VLOOKUP(D307,Insumos!$C$5:$G$108,5,FALSE()),0)</f>
        <v>0.03</v>
      </c>
      <c r="H307" s="14" t="n">
        <f aca="false">E307*G307</f>
        <v>30</v>
      </c>
    </row>
    <row r="308" customFormat="false" ht="15" hidden="false" customHeight="false" outlineLevel="0" collapsed="false">
      <c r="A308" s="0" t="n">
        <v>32</v>
      </c>
      <c r="B308" s="19" t="s">
        <v>629</v>
      </c>
      <c r="C308" s="18" t="s">
        <v>630</v>
      </c>
      <c r="D308" s="20" t="s">
        <v>50</v>
      </c>
      <c r="E308" s="17" t="n">
        <v>1100</v>
      </c>
      <c r="F308" s="13" t="s">
        <v>27</v>
      </c>
      <c r="G308" s="12" t="n">
        <f aca="false">IFERROR(VLOOKUP(D308,Insumos!$C$5:$G$108,5,FALSE()),0)</f>
        <v>0.13</v>
      </c>
      <c r="H308" s="14" t="n">
        <f aca="false">E308*G308</f>
        <v>143</v>
      </c>
    </row>
    <row r="309" customFormat="false" ht="15" hidden="false" customHeight="false" outlineLevel="0" collapsed="false">
      <c r="A309" s="0" t="n">
        <v>32</v>
      </c>
      <c r="B309" s="19" t="s">
        <v>629</v>
      </c>
      <c r="C309" s="18" t="s">
        <v>631</v>
      </c>
      <c r="D309" s="20" t="s">
        <v>191</v>
      </c>
      <c r="E309" s="17" t="n">
        <v>50</v>
      </c>
      <c r="F309" s="13" t="s">
        <v>27</v>
      </c>
      <c r="G309" s="12" t="n">
        <f aca="false">IFERROR(VLOOKUP(D309,Insumos!$C$5:$G$108,5,FALSE()),0)</f>
        <v>0.32</v>
      </c>
      <c r="H309" s="14" t="n">
        <f aca="false">E309*G309</f>
        <v>16</v>
      </c>
    </row>
    <row r="310" customFormat="false" ht="15" hidden="false" customHeight="false" outlineLevel="0" collapsed="false">
      <c r="A310" s="0" t="n">
        <v>32</v>
      </c>
      <c r="B310" s="19" t="s">
        <v>629</v>
      </c>
      <c r="C310" s="18" t="s">
        <v>632</v>
      </c>
      <c r="D310" s="20" t="s">
        <v>183</v>
      </c>
      <c r="E310" s="17" t="n">
        <v>45</v>
      </c>
      <c r="F310" s="13" t="s">
        <v>27</v>
      </c>
      <c r="G310" s="12" t="n">
        <f aca="false">IFERROR(VLOOKUP(D310,Insumos!$C$5:$G$108,5,FALSE()),0)</f>
        <v>0.28</v>
      </c>
      <c r="H310" s="14" t="n">
        <f aca="false">E310*G310</f>
        <v>12.6</v>
      </c>
    </row>
    <row r="311" customFormat="false" ht="15" hidden="false" customHeight="false" outlineLevel="0" collapsed="false">
      <c r="A311" s="0" t="n">
        <v>32</v>
      </c>
      <c r="B311" s="19" t="s">
        <v>629</v>
      </c>
      <c r="C311" s="18" t="s">
        <v>400</v>
      </c>
      <c r="D311" s="20" t="s">
        <v>109</v>
      </c>
      <c r="E311" s="17" t="n">
        <v>16</v>
      </c>
      <c r="F311" s="13" t="s">
        <v>27</v>
      </c>
      <c r="G311" s="12" t="n">
        <f aca="false">IFERROR(VLOOKUP(D311,Insumos!$C$5:$G$108,5,FALSE()),0)</f>
        <v>0.11</v>
      </c>
      <c r="H311" s="14" t="n">
        <f aca="false">E311*G311</f>
        <v>1.76</v>
      </c>
    </row>
    <row r="312" customFormat="false" ht="15" hidden="false" customHeight="false" outlineLevel="0" collapsed="false">
      <c r="A312" s="0" t="n">
        <v>32</v>
      </c>
      <c r="B312" s="19" t="s">
        <v>629</v>
      </c>
      <c r="C312" s="18" t="s">
        <v>633</v>
      </c>
      <c r="D312" s="20" t="s">
        <v>166</v>
      </c>
      <c r="E312" s="17" t="n">
        <v>2</v>
      </c>
      <c r="F312" s="13" t="s">
        <v>27</v>
      </c>
      <c r="G312" s="12" t="n">
        <f aca="false">IFERROR(VLOOKUP(D312,Insumos!$C$5:$G$108,5,FALSE()),0)</f>
        <v>0.03</v>
      </c>
      <c r="H312" s="14" t="n">
        <f aca="false">E312*G312</f>
        <v>0.06</v>
      </c>
    </row>
    <row r="313" customFormat="false" ht="15" hidden="false" customHeight="false" outlineLevel="0" collapsed="false">
      <c r="A313" s="0" t="n">
        <v>32</v>
      </c>
      <c r="B313" s="19" t="s">
        <v>629</v>
      </c>
      <c r="C313" s="18" t="s">
        <v>334</v>
      </c>
      <c r="D313" s="20" t="s">
        <v>206</v>
      </c>
      <c r="E313" s="17" t="n">
        <v>0.6</v>
      </c>
      <c r="F313" s="13" t="s">
        <v>27</v>
      </c>
      <c r="G313" s="12" t="n">
        <f aca="false">IFERROR(VLOOKUP(D313,Insumos!$C$5:$G$108,5,FALSE()),0)</f>
        <v>0.4</v>
      </c>
      <c r="H313" s="14" t="n">
        <f aca="false">E313*G313</f>
        <v>0.24</v>
      </c>
    </row>
    <row r="314" customFormat="false" ht="15" hidden="false" customHeight="false" outlineLevel="0" collapsed="false">
      <c r="A314" s="0" t="n">
        <v>32</v>
      </c>
      <c r="B314" s="19" t="s">
        <v>629</v>
      </c>
      <c r="C314" s="18" t="s">
        <v>634</v>
      </c>
      <c r="D314" s="20" t="s">
        <v>202</v>
      </c>
      <c r="E314" s="17" t="n">
        <v>2</v>
      </c>
      <c r="F314" s="13" t="s">
        <v>27</v>
      </c>
      <c r="G314" s="12" t="n">
        <f aca="false">IFERROR(VLOOKUP(D314,Insumos!$C$5:$G$108,5,FALSE()),0)</f>
        <v>0.38</v>
      </c>
      <c r="H314" s="14" t="n">
        <f aca="false">E314*G314</f>
        <v>0.76</v>
      </c>
    </row>
    <row r="315" customFormat="false" ht="15" hidden="false" customHeight="false" outlineLevel="0" collapsed="false">
      <c r="A315" s="0" t="n">
        <v>32</v>
      </c>
      <c r="B315" s="19" t="s">
        <v>629</v>
      </c>
      <c r="C315" s="18" t="s">
        <v>571</v>
      </c>
      <c r="D315" s="20" t="s">
        <v>200</v>
      </c>
      <c r="E315" s="17" t="n">
        <v>1</v>
      </c>
      <c r="F315" s="13" t="s">
        <v>27</v>
      </c>
      <c r="G315" s="12" t="n">
        <f aca="false">IFERROR(VLOOKUP(D315,Insumos!$C$5:$G$108,5,FALSE()),0)</f>
        <v>0.45</v>
      </c>
      <c r="H315" s="14" t="n">
        <f aca="false">E315*G315</f>
        <v>0.45</v>
      </c>
    </row>
    <row r="316" customFormat="false" ht="15" hidden="false" customHeight="false" outlineLevel="0" collapsed="false">
      <c r="A316" s="0" t="n">
        <v>32</v>
      </c>
      <c r="B316" s="19" t="s">
        <v>629</v>
      </c>
      <c r="C316" s="18" t="s">
        <v>600</v>
      </c>
      <c r="D316" s="20" t="s">
        <v>30</v>
      </c>
      <c r="E316" s="17" t="n">
        <v>60</v>
      </c>
      <c r="F316" s="13" t="s">
        <v>27</v>
      </c>
      <c r="G316" s="12" t="n">
        <f aca="false">IFERROR(VLOOKUP(D316,Insumos!$C$5:$G$108,5,FALSE()),0)</f>
        <v>0.07</v>
      </c>
      <c r="H316" s="14" t="n">
        <f aca="false">E316*G316</f>
        <v>4.2</v>
      </c>
    </row>
    <row r="317" customFormat="false" ht="15" hidden="false" customHeight="false" outlineLevel="0" collapsed="false">
      <c r="A317" s="0" t="n">
        <v>32</v>
      </c>
      <c r="B317" s="19" t="s">
        <v>629</v>
      </c>
      <c r="C317" s="18" t="s">
        <v>565</v>
      </c>
      <c r="D317" s="20" t="s">
        <v>198</v>
      </c>
      <c r="E317" s="17" t="n">
        <v>16</v>
      </c>
      <c r="F317" s="13" t="s">
        <v>27</v>
      </c>
      <c r="G317" s="12" t="n">
        <f aca="false">IFERROR(VLOOKUP(D317,Insumos!$C$5:$G$108,5,FALSE()),0)</f>
        <v>0.035</v>
      </c>
      <c r="H317" s="14" t="n">
        <f aca="false">E317*G317</f>
        <v>0.56</v>
      </c>
    </row>
    <row r="318" customFormat="false" ht="15" hidden="false" customHeight="false" outlineLevel="0" collapsed="false">
      <c r="A318" s="0" t="n">
        <v>32</v>
      </c>
      <c r="B318" s="19" t="s">
        <v>629</v>
      </c>
      <c r="C318" s="18" t="s">
        <v>387</v>
      </c>
      <c r="D318" s="20" t="s">
        <v>26</v>
      </c>
      <c r="E318" s="17" t="n">
        <v>1000</v>
      </c>
      <c r="F318" s="13" t="s">
        <v>27</v>
      </c>
      <c r="G318" s="12" t="n">
        <f aca="false">IFERROR(VLOOKUP(D318,Insumos!$C$5:$G$108,5,FALSE()),0)</f>
        <v>0.03</v>
      </c>
      <c r="H318" s="14" t="n">
        <f aca="false">E318*G318</f>
        <v>30</v>
      </c>
    </row>
    <row r="319" customFormat="false" ht="15" hidden="false" customHeight="false" outlineLevel="0" collapsed="false">
      <c r="A319" s="0" t="n">
        <v>33</v>
      </c>
      <c r="B319" s="19" t="s">
        <v>635</v>
      </c>
      <c r="C319" s="18" t="s">
        <v>636</v>
      </c>
      <c r="D319" s="20" t="s">
        <v>91</v>
      </c>
      <c r="E319" s="17" t="n">
        <v>650</v>
      </c>
      <c r="F319" s="13" t="s">
        <v>27</v>
      </c>
      <c r="G319" s="12" t="n">
        <f aca="false">IFERROR(VLOOKUP(D319,Insumos!$C$5:$G$108,5,FALSE()),0)</f>
        <v>0.42</v>
      </c>
      <c r="H319" s="14" t="n">
        <f aca="false">E319*G319</f>
        <v>273</v>
      </c>
    </row>
    <row r="320" customFormat="false" ht="15" hidden="false" customHeight="false" outlineLevel="0" collapsed="false">
      <c r="A320" s="0" t="n">
        <v>33</v>
      </c>
      <c r="B320" s="19" t="s">
        <v>635</v>
      </c>
      <c r="C320" s="18" t="s">
        <v>637</v>
      </c>
      <c r="D320" s="20" t="s">
        <v>111</v>
      </c>
      <c r="E320" s="17" t="n">
        <v>500</v>
      </c>
      <c r="F320" s="13" t="s">
        <v>27</v>
      </c>
      <c r="G320" s="12" t="n">
        <f aca="false">IFERROR(VLOOKUP(D320,Insumos!$C$5:$G$108,5,FALSE()),0)</f>
        <v>0.03</v>
      </c>
      <c r="H320" s="14" t="n">
        <f aca="false">E320*G320</f>
        <v>15</v>
      </c>
    </row>
    <row r="321" customFormat="false" ht="15" hidden="false" customHeight="false" outlineLevel="0" collapsed="false">
      <c r="A321" s="0" t="n">
        <v>33</v>
      </c>
      <c r="B321" s="19" t="s">
        <v>635</v>
      </c>
      <c r="C321" s="18" t="s">
        <v>574</v>
      </c>
      <c r="D321" s="20" t="s">
        <v>103</v>
      </c>
      <c r="E321" s="17" t="n">
        <v>200</v>
      </c>
      <c r="F321" s="13" t="s">
        <v>27</v>
      </c>
      <c r="G321" s="12" t="n">
        <f aca="false">IFERROR(VLOOKUP(D321,Insumos!$C$5:$G$108,5,FALSE()),0)</f>
        <v>0.028</v>
      </c>
      <c r="H321" s="14" t="n">
        <f aca="false">E321*G321</f>
        <v>5.6</v>
      </c>
    </row>
    <row r="322" customFormat="false" ht="15" hidden="false" customHeight="false" outlineLevel="0" collapsed="false">
      <c r="A322" s="0" t="n">
        <v>33</v>
      </c>
      <c r="B322" s="19" t="s">
        <v>635</v>
      </c>
      <c r="C322" s="18" t="s">
        <v>638</v>
      </c>
      <c r="D322" s="20" t="s">
        <v>136</v>
      </c>
      <c r="E322" s="17" t="n">
        <v>30</v>
      </c>
      <c r="F322" s="13" t="s">
        <v>27</v>
      </c>
      <c r="G322" s="12" t="n">
        <f aca="false">IFERROR(VLOOKUP(D322,Insumos!$C$5:$G$108,5,FALSE()),0)</f>
        <v>0.045</v>
      </c>
      <c r="H322" s="14" t="n">
        <f aca="false">E322*G322</f>
        <v>1.35</v>
      </c>
    </row>
    <row r="323" customFormat="false" ht="15" hidden="false" customHeight="false" outlineLevel="0" collapsed="false">
      <c r="A323" s="0" t="n">
        <v>33</v>
      </c>
      <c r="B323" s="19" t="s">
        <v>635</v>
      </c>
      <c r="C323" s="18" t="s">
        <v>414</v>
      </c>
      <c r="D323" s="20" t="s">
        <v>109</v>
      </c>
      <c r="E323" s="17" t="n">
        <v>12</v>
      </c>
      <c r="F323" s="13" t="s">
        <v>27</v>
      </c>
      <c r="G323" s="12" t="n">
        <f aca="false">IFERROR(VLOOKUP(D323,Insumos!$C$5:$G$108,5,FALSE()),0)</f>
        <v>0.11</v>
      </c>
      <c r="H323" s="14" t="n">
        <f aca="false">E323*G323</f>
        <v>1.32</v>
      </c>
    </row>
    <row r="324" customFormat="false" ht="15" hidden="false" customHeight="false" outlineLevel="0" collapsed="false">
      <c r="A324" s="0" t="n">
        <v>33</v>
      </c>
      <c r="B324" s="19" t="s">
        <v>635</v>
      </c>
      <c r="C324" s="18" t="s">
        <v>639</v>
      </c>
      <c r="D324" s="20" t="s">
        <v>204</v>
      </c>
      <c r="E324" s="17" t="n">
        <v>2</v>
      </c>
      <c r="F324" s="13" t="s">
        <v>27</v>
      </c>
      <c r="G324" s="12" t="n">
        <f aca="false">IFERROR(VLOOKUP(D324,Insumos!$C$5:$G$108,5,FALSE()),0)</f>
        <v>0.3</v>
      </c>
      <c r="H324" s="14" t="n">
        <f aca="false">E324*G324</f>
        <v>0.6</v>
      </c>
    </row>
    <row r="325" customFormat="false" ht="15" hidden="false" customHeight="false" outlineLevel="0" collapsed="false">
      <c r="A325" s="0" t="n">
        <v>33</v>
      </c>
      <c r="B325" s="19" t="s">
        <v>635</v>
      </c>
      <c r="C325" s="18" t="s">
        <v>571</v>
      </c>
      <c r="D325" s="20" t="s">
        <v>200</v>
      </c>
      <c r="E325" s="17" t="n">
        <v>1</v>
      </c>
      <c r="F325" s="13" t="s">
        <v>27</v>
      </c>
      <c r="G325" s="12" t="n">
        <f aca="false">IFERROR(VLOOKUP(D325,Insumos!$C$5:$G$108,5,FALSE()),0)</f>
        <v>0.45</v>
      </c>
      <c r="H325" s="14" t="n">
        <f aca="false">E325*G325</f>
        <v>0.45</v>
      </c>
    </row>
    <row r="326" customFormat="false" ht="15" hidden="false" customHeight="false" outlineLevel="0" collapsed="false">
      <c r="A326" s="0" t="n">
        <v>33</v>
      </c>
      <c r="B326" s="19" t="s">
        <v>635</v>
      </c>
      <c r="C326" s="18" t="s">
        <v>512</v>
      </c>
      <c r="D326" s="20" t="s">
        <v>32</v>
      </c>
      <c r="E326" s="17" t="n">
        <v>50</v>
      </c>
      <c r="F326" s="13" t="s">
        <v>33</v>
      </c>
      <c r="G326" s="12" t="n">
        <f aca="false">IFERROR(VLOOKUP(D326,Insumos!$C$5:$G$108,5,FALSE()),0)</f>
        <v>0.048</v>
      </c>
      <c r="H326" s="14" t="n">
        <f aca="false">E326*G326</f>
        <v>2.4</v>
      </c>
    </row>
    <row r="327" customFormat="false" ht="15" hidden="false" customHeight="false" outlineLevel="0" collapsed="false">
      <c r="A327" s="0" t="n">
        <v>33</v>
      </c>
      <c r="B327" s="19" t="s">
        <v>635</v>
      </c>
      <c r="C327" s="18" t="s">
        <v>640</v>
      </c>
      <c r="D327" s="20" t="s">
        <v>198</v>
      </c>
      <c r="E327" s="17" t="n">
        <v>10</v>
      </c>
      <c r="F327" s="13" t="s">
        <v>27</v>
      </c>
      <c r="G327" s="12" t="n">
        <f aca="false">IFERROR(VLOOKUP(D327,Insumos!$C$5:$G$108,5,FALSE()),0)</f>
        <v>0.035</v>
      </c>
      <c r="H327" s="14" t="n">
        <f aca="false">E327*G327</f>
        <v>0.35</v>
      </c>
    </row>
    <row r="328" customFormat="false" ht="15" hidden="false" customHeight="false" outlineLevel="0" collapsed="false">
      <c r="A328" s="0" t="n">
        <v>33</v>
      </c>
      <c r="B328" s="19" t="s">
        <v>635</v>
      </c>
      <c r="C328" s="18" t="s">
        <v>387</v>
      </c>
      <c r="D328" s="20" t="s">
        <v>26</v>
      </c>
      <c r="E328" s="17" t="n">
        <v>1000</v>
      </c>
      <c r="F328" s="13" t="s">
        <v>27</v>
      </c>
      <c r="G328" s="12" t="n">
        <f aca="false">IFERROR(VLOOKUP(D328,Insumos!$C$5:$G$108,5,FALSE()),0)</f>
        <v>0.03</v>
      </c>
      <c r="H328" s="14" t="n">
        <f aca="false">E328*G328</f>
        <v>30</v>
      </c>
    </row>
    <row r="329" customFormat="false" ht="15" hidden="false" customHeight="false" outlineLevel="0" collapsed="false">
      <c r="A329" s="0" t="n">
        <v>34</v>
      </c>
      <c r="B329" s="19" t="s">
        <v>641</v>
      </c>
      <c r="C329" s="18" t="s">
        <v>642</v>
      </c>
      <c r="D329" s="20" t="s">
        <v>82</v>
      </c>
      <c r="E329" s="17" t="n">
        <v>1150</v>
      </c>
      <c r="F329" s="13" t="s">
        <v>27</v>
      </c>
      <c r="G329" s="12" t="n">
        <f aca="false">IFERROR(VLOOKUP(D329,Insumos!$C$5:$G$108,5,FALSE()),0)</f>
        <v>0.19</v>
      </c>
      <c r="H329" s="14" t="n">
        <f aca="false">E329*G329</f>
        <v>218.5</v>
      </c>
    </row>
    <row r="330" customFormat="false" ht="15" hidden="false" customHeight="false" outlineLevel="0" collapsed="false">
      <c r="A330" s="0" t="n">
        <v>34</v>
      </c>
      <c r="B330" s="19" t="s">
        <v>641</v>
      </c>
      <c r="C330" s="18" t="s">
        <v>643</v>
      </c>
      <c r="D330" s="20" t="s">
        <v>181</v>
      </c>
      <c r="E330" s="17" t="n">
        <v>50</v>
      </c>
      <c r="F330" s="13" t="s">
        <v>27</v>
      </c>
      <c r="G330" s="12" t="n">
        <f aca="false">IFERROR(VLOOKUP(D330,Insumos!$C$5:$G$108,5,FALSE()),0)</f>
        <v>0.24</v>
      </c>
      <c r="H330" s="14" t="n">
        <f aca="false">E330*G330</f>
        <v>12</v>
      </c>
    </row>
    <row r="331" customFormat="false" ht="15" hidden="false" customHeight="false" outlineLevel="0" collapsed="false">
      <c r="A331" s="0" t="n">
        <v>34</v>
      </c>
      <c r="B331" s="19" t="s">
        <v>641</v>
      </c>
      <c r="C331" s="18" t="s">
        <v>644</v>
      </c>
      <c r="D331" s="20" t="s">
        <v>183</v>
      </c>
      <c r="E331" s="17" t="n">
        <v>30</v>
      </c>
      <c r="F331" s="13" t="s">
        <v>27</v>
      </c>
      <c r="G331" s="12" t="n">
        <f aca="false">IFERROR(VLOOKUP(D331,Insumos!$C$5:$G$108,5,FALSE()),0)</f>
        <v>0.28</v>
      </c>
      <c r="H331" s="14" t="n">
        <f aca="false">E331*G331</f>
        <v>8.4</v>
      </c>
    </row>
    <row r="332" customFormat="false" ht="15" hidden="false" customHeight="false" outlineLevel="0" collapsed="false">
      <c r="A332" s="0" t="n">
        <v>34</v>
      </c>
      <c r="B332" s="19" t="s">
        <v>641</v>
      </c>
      <c r="C332" s="18" t="s">
        <v>645</v>
      </c>
      <c r="D332" s="20" t="s">
        <v>185</v>
      </c>
      <c r="E332" s="17" t="n">
        <v>15</v>
      </c>
      <c r="F332" s="13" t="s">
        <v>27</v>
      </c>
      <c r="G332" s="12" t="n">
        <f aca="false">IFERROR(VLOOKUP(D332,Insumos!$C$5:$G$108,5,FALSE()),0)</f>
        <v>0.3</v>
      </c>
      <c r="H332" s="14" t="n">
        <f aca="false">E332*G332</f>
        <v>4.5</v>
      </c>
    </row>
    <row r="333" customFormat="false" ht="15" hidden="false" customHeight="false" outlineLevel="0" collapsed="false">
      <c r="A333" s="0" t="n">
        <v>34</v>
      </c>
      <c r="B333" s="19" t="s">
        <v>641</v>
      </c>
      <c r="C333" s="18" t="s">
        <v>646</v>
      </c>
      <c r="D333" s="20" t="s">
        <v>111</v>
      </c>
      <c r="E333" s="17" t="n">
        <v>150</v>
      </c>
      <c r="F333" s="13" t="s">
        <v>27</v>
      </c>
      <c r="G333" s="12" t="n">
        <f aca="false">IFERROR(VLOOKUP(D333,Insumos!$C$5:$G$108,5,FALSE()),0)</f>
        <v>0.03</v>
      </c>
      <c r="H333" s="14" t="n">
        <f aca="false">E333*G333</f>
        <v>4.5</v>
      </c>
    </row>
    <row r="334" customFormat="false" ht="15" hidden="false" customHeight="false" outlineLevel="0" collapsed="false">
      <c r="A334" s="0" t="n">
        <v>34</v>
      </c>
      <c r="B334" s="19" t="s">
        <v>641</v>
      </c>
      <c r="C334" s="18" t="s">
        <v>647</v>
      </c>
      <c r="D334" s="20" t="s">
        <v>103</v>
      </c>
      <c r="E334" s="17" t="n">
        <v>100</v>
      </c>
      <c r="F334" s="13" t="s">
        <v>27</v>
      </c>
      <c r="G334" s="12" t="n">
        <f aca="false">IFERROR(VLOOKUP(D334,Insumos!$C$5:$G$108,5,FALSE()),0)</f>
        <v>0.028</v>
      </c>
      <c r="H334" s="14" t="n">
        <f aca="false">E334*G334</f>
        <v>2.8</v>
      </c>
    </row>
    <row r="335" customFormat="false" ht="15" hidden="false" customHeight="false" outlineLevel="0" collapsed="false">
      <c r="A335" s="0" t="n">
        <v>34</v>
      </c>
      <c r="B335" s="19" t="s">
        <v>641</v>
      </c>
      <c r="C335" s="18" t="s">
        <v>400</v>
      </c>
      <c r="D335" s="20" t="s">
        <v>109</v>
      </c>
      <c r="E335" s="17" t="n">
        <v>16</v>
      </c>
      <c r="F335" s="13" t="s">
        <v>27</v>
      </c>
      <c r="G335" s="12" t="n">
        <f aca="false">IFERROR(VLOOKUP(D335,Insumos!$C$5:$G$108,5,FALSE()),0)</f>
        <v>0.11</v>
      </c>
      <c r="H335" s="14" t="n">
        <f aca="false">E335*G335</f>
        <v>1.76</v>
      </c>
    </row>
    <row r="336" customFormat="false" ht="15" hidden="false" customHeight="false" outlineLevel="0" collapsed="false">
      <c r="A336" s="0" t="n">
        <v>34</v>
      </c>
      <c r="B336" s="19" t="s">
        <v>641</v>
      </c>
      <c r="C336" s="18" t="s">
        <v>648</v>
      </c>
      <c r="D336" s="20" t="s">
        <v>133</v>
      </c>
      <c r="E336" s="17" t="n">
        <v>10</v>
      </c>
      <c r="F336" s="13" t="s">
        <v>27</v>
      </c>
      <c r="G336" s="12" t="n">
        <f aca="false">IFERROR(VLOOKUP(D336,Insumos!$C$5:$G$108,5,FALSE()),0)</f>
        <v>0.09</v>
      </c>
      <c r="H336" s="14" t="n">
        <f aca="false">E336*G336</f>
        <v>0.9</v>
      </c>
    </row>
    <row r="337" customFormat="false" ht="15" hidden="false" customHeight="false" outlineLevel="0" collapsed="false">
      <c r="A337" s="0" t="n">
        <v>34</v>
      </c>
      <c r="B337" s="19" t="s">
        <v>641</v>
      </c>
      <c r="C337" s="18" t="s">
        <v>649</v>
      </c>
      <c r="D337" s="20" t="s">
        <v>239</v>
      </c>
      <c r="E337" s="17" t="n">
        <v>25</v>
      </c>
      <c r="F337" s="13" t="s">
        <v>33</v>
      </c>
      <c r="G337" s="12" t="n">
        <f aca="false">IFERROR(VLOOKUP(D337,Insumos!$C$5:$G$108,5,FALSE()),0)</f>
        <v>0.05</v>
      </c>
      <c r="H337" s="14" t="n">
        <f aca="false">E337*G337</f>
        <v>1.25</v>
      </c>
    </row>
    <row r="338" customFormat="false" ht="15" hidden="false" customHeight="false" outlineLevel="0" collapsed="false">
      <c r="A338" s="0" t="n">
        <v>34</v>
      </c>
      <c r="B338" s="19" t="s">
        <v>641</v>
      </c>
      <c r="C338" s="18" t="s">
        <v>650</v>
      </c>
      <c r="D338" s="20" t="s">
        <v>202</v>
      </c>
      <c r="E338" s="17" t="n">
        <v>2</v>
      </c>
      <c r="F338" s="13" t="s">
        <v>27</v>
      </c>
      <c r="G338" s="12" t="n">
        <f aca="false">IFERROR(VLOOKUP(D338,Insumos!$C$5:$G$108,5,FALSE()),0)</f>
        <v>0.38</v>
      </c>
      <c r="H338" s="14" t="n">
        <f aca="false">E338*G338</f>
        <v>0.76</v>
      </c>
    </row>
    <row r="339" customFormat="false" ht="15" hidden="false" customHeight="false" outlineLevel="0" collapsed="false">
      <c r="A339" s="0" t="n">
        <v>34</v>
      </c>
      <c r="B339" s="19" t="s">
        <v>641</v>
      </c>
      <c r="C339" s="18" t="s">
        <v>651</v>
      </c>
      <c r="D339" s="20" t="s">
        <v>204</v>
      </c>
      <c r="E339" s="17" t="n">
        <v>2</v>
      </c>
      <c r="F339" s="13" t="s">
        <v>27</v>
      </c>
      <c r="G339" s="12" t="n">
        <f aca="false">IFERROR(VLOOKUP(D339,Insumos!$C$5:$G$108,5,FALSE()),0)</f>
        <v>0.3</v>
      </c>
      <c r="H339" s="14" t="n">
        <f aca="false">E339*G339</f>
        <v>0.6</v>
      </c>
    </row>
    <row r="340" customFormat="false" ht="15" hidden="false" customHeight="false" outlineLevel="0" collapsed="false">
      <c r="A340" s="0" t="n">
        <v>34</v>
      </c>
      <c r="B340" s="19" t="s">
        <v>641</v>
      </c>
      <c r="C340" s="18" t="s">
        <v>384</v>
      </c>
      <c r="D340" s="20" t="s">
        <v>208</v>
      </c>
      <c r="E340" s="17" t="n">
        <v>1</v>
      </c>
      <c r="F340" s="13" t="s">
        <v>27</v>
      </c>
      <c r="G340" s="12" t="n">
        <f aca="false">IFERROR(VLOOKUP(D340,Insumos!$C$5:$G$108,5,FALSE()),0)</f>
        <v>0.9</v>
      </c>
      <c r="H340" s="14" t="n">
        <f aca="false">E340*G340</f>
        <v>0.9</v>
      </c>
    </row>
    <row r="341" customFormat="false" ht="15" hidden="false" customHeight="false" outlineLevel="0" collapsed="false">
      <c r="A341" s="0" t="n">
        <v>34</v>
      </c>
      <c r="B341" s="19" t="s">
        <v>641</v>
      </c>
      <c r="C341" s="18" t="s">
        <v>652</v>
      </c>
      <c r="D341" s="20" t="s">
        <v>212</v>
      </c>
      <c r="E341" s="17" t="n">
        <v>1</v>
      </c>
      <c r="F341" s="13" t="s">
        <v>27</v>
      </c>
      <c r="G341" s="12" t="n">
        <f aca="false">IFERROR(VLOOKUP(D341,Insumos!$C$5:$G$108,5,FALSE()),0)</f>
        <v>0.45</v>
      </c>
      <c r="H341" s="14" t="n">
        <f aca="false">E341*G341</f>
        <v>0.45</v>
      </c>
    </row>
    <row r="342" customFormat="false" ht="15" hidden="false" customHeight="false" outlineLevel="0" collapsed="false">
      <c r="A342" s="0" t="n">
        <v>34</v>
      </c>
      <c r="B342" s="19" t="s">
        <v>641</v>
      </c>
      <c r="C342" s="18" t="s">
        <v>406</v>
      </c>
      <c r="D342" s="20" t="s">
        <v>30</v>
      </c>
      <c r="E342" s="17" t="n">
        <v>50</v>
      </c>
      <c r="F342" s="13" t="s">
        <v>27</v>
      </c>
      <c r="G342" s="12" t="n">
        <f aca="false">IFERROR(VLOOKUP(D342,Insumos!$C$5:$G$108,5,FALSE()),0)</f>
        <v>0.07</v>
      </c>
      <c r="H342" s="14" t="n">
        <f aca="false">E342*G342</f>
        <v>3.5</v>
      </c>
    </row>
    <row r="343" customFormat="false" ht="15" hidden="false" customHeight="false" outlineLevel="0" collapsed="false">
      <c r="A343" s="0" t="n">
        <v>34</v>
      </c>
      <c r="B343" s="19" t="s">
        <v>641</v>
      </c>
      <c r="C343" s="18" t="s">
        <v>419</v>
      </c>
      <c r="D343" s="20" t="s">
        <v>198</v>
      </c>
      <c r="E343" s="17" t="n">
        <v>16</v>
      </c>
      <c r="F343" s="13" t="s">
        <v>27</v>
      </c>
      <c r="G343" s="12" t="n">
        <f aca="false">IFERROR(VLOOKUP(D343,Insumos!$C$5:$G$108,5,FALSE()),0)</f>
        <v>0.035</v>
      </c>
      <c r="H343" s="14" t="n">
        <f aca="false">E343*G343</f>
        <v>0.56</v>
      </c>
    </row>
    <row r="344" customFormat="false" ht="15" hidden="false" customHeight="false" outlineLevel="0" collapsed="false">
      <c r="A344" s="0" t="n">
        <v>34</v>
      </c>
      <c r="B344" s="19" t="s">
        <v>641</v>
      </c>
      <c r="C344" s="18" t="s">
        <v>387</v>
      </c>
      <c r="D344" s="20" t="s">
        <v>26</v>
      </c>
      <c r="E344" s="17" t="n">
        <v>1000</v>
      </c>
      <c r="F344" s="13" t="s">
        <v>27</v>
      </c>
      <c r="G344" s="12" t="n">
        <f aca="false">IFERROR(VLOOKUP(D344,Insumos!$C$5:$G$108,5,FALSE()),0)</f>
        <v>0.03</v>
      </c>
      <c r="H344" s="14" t="n">
        <f aca="false">E344*G344</f>
        <v>30</v>
      </c>
    </row>
    <row r="345" customFormat="false" ht="15" hidden="false" customHeight="false" outlineLevel="0" collapsed="false">
      <c r="A345" s="0" t="n">
        <v>35</v>
      </c>
      <c r="B345" s="19" t="s">
        <v>653</v>
      </c>
      <c r="C345" s="18" t="s">
        <v>654</v>
      </c>
      <c r="D345" s="20" t="s">
        <v>52</v>
      </c>
      <c r="E345" s="17" t="n">
        <v>1000</v>
      </c>
      <c r="F345" s="13" t="s">
        <v>27</v>
      </c>
      <c r="G345" s="12" t="n">
        <f aca="false">IFERROR(VLOOKUP(D345,Insumos!$C$5:$G$108,5,FALSE()),0)</f>
        <v>0.15</v>
      </c>
      <c r="H345" s="14" t="n">
        <f aca="false">E345*G345</f>
        <v>150</v>
      </c>
    </row>
    <row r="346" customFormat="false" ht="15" hidden="false" customHeight="false" outlineLevel="0" collapsed="false">
      <c r="A346" s="0" t="n">
        <v>35</v>
      </c>
      <c r="B346" s="19" t="s">
        <v>653</v>
      </c>
      <c r="C346" s="18" t="s">
        <v>655</v>
      </c>
      <c r="D346" s="20" t="s">
        <v>185</v>
      </c>
      <c r="E346" s="17" t="n">
        <v>70</v>
      </c>
      <c r="F346" s="13" t="s">
        <v>27</v>
      </c>
      <c r="G346" s="12" t="n">
        <f aca="false">IFERROR(VLOOKUP(D346,Insumos!$C$5:$G$108,5,FALSE()),0)</f>
        <v>0.3</v>
      </c>
      <c r="H346" s="14" t="n">
        <f aca="false">E346*G346</f>
        <v>21</v>
      </c>
    </row>
    <row r="347" customFormat="false" ht="15" hidden="false" customHeight="false" outlineLevel="0" collapsed="false">
      <c r="A347" s="0" t="n">
        <v>35</v>
      </c>
      <c r="B347" s="19" t="s">
        <v>653</v>
      </c>
      <c r="C347" s="18" t="s">
        <v>656</v>
      </c>
      <c r="D347" s="20" t="s">
        <v>181</v>
      </c>
      <c r="E347" s="17" t="n">
        <v>20</v>
      </c>
      <c r="F347" s="13" t="s">
        <v>27</v>
      </c>
      <c r="G347" s="12" t="n">
        <f aca="false">IFERROR(VLOOKUP(D347,Insumos!$C$5:$G$108,5,FALSE()),0)</f>
        <v>0.24</v>
      </c>
      <c r="H347" s="14" t="n">
        <f aca="false">E347*G347</f>
        <v>4.8</v>
      </c>
    </row>
    <row r="348" customFormat="false" ht="15" hidden="false" customHeight="false" outlineLevel="0" collapsed="false">
      <c r="A348" s="0" t="n">
        <v>35</v>
      </c>
      <c r="B348" s="19" t="s">
        <v>653</v>
      </c>
      <c r="C348" s="18" t="s">
        <v>531</v>
      </c>
      <c r="D348" s="20" t="s">
        <v>111</v>
      </c>
      <c r="E348" s="17" t="n">
        <v>400</v>
      </c>
      <c r="F348" s="13" t="s">
        <v>27</v>
      </c>
      <c r="G348" s="12" t="n">
        <f aca="false">IFERROR(VLOOKUP(D348,Insumos!$C$5:$G$108,5,FALSE()),0)</f>
        <v>0.03</v>
      </c>
      <c r="H348" s="14" t="n">
        <f aca="false">E348*G348</f>
        <v>12</v>
      </c>
    </row>
    <row r="349" customFormat="false" ht="15" hidden="false" customHeight="false" outlineLevel="0" collapsed="false">
      <c r="A349" s="0" t="n">
        <v>35</v>
      </c>
      <c r="B349" s="19" t="s">
        <v>653</v>
      </c>
      <c r="C349" s="18" t="s">
        <v>402</v>
      </c>
      <c r="D349" s="20" t="s">
        <v>103</v>
      </c>
      <c r="E349" s="17" t="n">
        <v>120</v>
      </c>
      <c r="F349" s="13" t="s">
        <v>27</v>
      </c>
      <c r="G349" s="12" t="n">
        <f aca="false">IFERROR(VLOOKUP(D349,Insumos!$C$5:$G$108,5,FALSE()),0)</f>
        <v>0.028</v>
      </c>
      <c r="H349" s="14" t="n">
        <f aca="false">E349*G349</f>
        <v>3.36</v>
      </c>
    </row>
    <row r="350" customFormat="false" ht="15" hidden="false" customHeight="false" outlineLevel="0" collapsed="false">
      <c r="A350" s="0" t="n">
        <v>35</v>
      </c>
      <c r="B350" s="19" t="s">
        <v>653</v>
      </c>
      <c r="C350" s="18" t="s">
        <v>400</v>
      </c>
      <c r="D350" s="20" t="s">
        <v>109</v>
      </c>
      <c r="E350" s="17" t="n">
        <v>16</v>
      </c>
      <c r="F350" s="13" t="s">
        <v>27</v>
      </c>
      <c r="G350" s="12" t="n">
        <f aca="false">IFERROR(VLOOKUP(D350,Insumos!$C$5:$G$108,5,FALSE()),0)</f>
        <v>0.11</v>
      </c>
      <c r="H350" s="14" t="n">
        <f aca="false">E350*G350</f>
        <v>1.76</v>
      </c>
    </row>
    <row r="351" customFormat="false" ht="15" hidden="false" customHeight="false" outlineLevel="0" collapsed="false">
      <c r="A351" s="0" t="n">
        <v>35</v>
      </c>
      <c r="B351" s="19" t="s">
        <v>653</v>
      </c>
      <c r="C351" s="18" t="s">
        <v>657</v>
      </c>
      <c r="D351" s="20" t="s">
        <v>231</v>
      </c>
      <c r="E351" s="17" t="n">
        <v>20</v>
      </c>
      <c r="F351" s="13" t="s">
        <v>27</v>
      </c>
      <c r="G351" s="12" t="n">
        <f aca="false">IFERROR(VLOOKUP(D351,Insumos!$C$5:$G$108,5,FALSE()),0)</f>
        <v>0.045</v>
      </c>
      <c r="H351" s="14" t="n">
        <f aca="false">E351*G351</f>
        <v>0.9</v>
      </c>
    </row>
    <row r="352" customFormat="false" ht="15" hidden="false" customHeight="false" outlineLevel="0" collapsed="false">
      <c r="A352" s="0" t="n">
        <v>35</v>
      </c>
      <c r="B352" s="19" t="s">
        <v>653</v>
      </c>
      <c r="C352" s="18" t="s">
        <v>334</v>
      </c>
      <c r="D352" s="20" t="s">
        <v>206</v>
      </c>
      <c r="E352" s="17" t="n">
        <v>0.6</v>
      </c>
      <c r="F352" s="13" t="s">
        <v>27</v>
      </c>
      <c r="G352" s="12" t="n">
        <f aca="false">IFERROR(VLOOKUP(D352,Insumos!$C$5:$G$108,5,FALSE()),0)</f>
        <v>0.4</v>
      </c>
      <c r="H352" s="14" t="n">
        <f aca="false">E352*G352</f>
        <v>0.24</v>
      </c>
    </row>
    <row r="353" customFormat="false" ht="15" hidden="false" customHeight="false" outlineLevel="0" collapsed="false">
      <c r="A353" s="0" t="n">
        <v>35</v>
      </c>
      <c r="B353" s="19" t="s">
        <v>653</v>
      </c>
      <c r="C353" s="18" t="s">
        <v>384</v>
      </c>
      <c r="D353" s="20" t="s">
        <v>208</v>
      </c>
      <c r="E353" s="17" t="n">
        <v>1</v>
      </c>
      <c r="F353" s="13" t="s">
        <v>27</v>
      </c>
      <c r="G353" s="12" t="n">
        <f aca="false">IFERROR(VLOOKUP(D353,Insumos!$C$5:$G$108,5,FALSE()),0)</f>
        <v>0.9</v>
      </c>
      <c r="H353" s="14" t="n">
        <f aca="false">E353*G353</f>
        <v>0.9</v>
      </c>
    </row>
    <row r="354" customFormat="false" ht="15" hidden="false" customHeight="false" outlineLevel="0" collapsed="false">
      <c r="A354" s="0" t="n">
        <v>35</v>
      </c>
      <c r="B354" s="19" t="s">
        <v>653</v>
      </c>
      <c r="C354" s="18" t="s">
        <v>658</v>
      </c>
      <c r="D354" s="20" t="s">
        <v>210</v>
      </c>
      <c r="E354" s="17" t="n">
        <v>2</v>
      </c>
      <c r="F354" s="13" t="s">
        <v>27</v>
      </c>
      <c r="G354" s="12" t="n">
        <f aca="false">IFERROR(VLOOKUP(D354,Insumos!$C$5:$G$108,5,FALSE()),0)</f>
        <v>0.45</v>
      </c>
      <c r="H354" s="14" t="n">
        <f aca="false">E354*G354</f>
        <v>0.9</v>
      </c>
    </row>
    <row r="355" customFormat="false" ht="15" hidden="false" customHeight="false" outlineLevel="0" collapsed="false">
      <c r="A355" s="0" t="n">
        <v>35</v>
      </c>
      <c r="B355" s="19" t="s">
        <v>653</v>
      </c>
      <c r="C355" s="18" t="s">
        <v>564</v>
      </c>
      <c r="D355" s="20" t="s">
        <v>30</v>
      </c>
      <c r="E355" s="17" t="n">
        <v>50</v>
      </c>
      <c r="F355" s="13" t="s">
        <v>27</v>
      </c>
      <c r="G355" s="12" t="n">
        <f aca="false">IFERROR(VLOOKUP(D355,Insumos!$C$5:$G$108,5,FALSE()),0)</f>
        <v>0.07</v>
      </c>
      <c r="H355" s="14" t="n">
        <f aca="false">E355*G355</f>
        <v>3.5</v>
      </c>
    </row>
    <row r="356" customFormat="false" ht="15" hidden="false" customHeight="false" outlineLevel="0" collapsed="false">
      <c r="A356" s="0" t="n">
        <v>35</v>
      </c>
      <c r="B356" s="19" t="s">
        <v>653</v>
      </c>
      <c r="C356" s="18" t="s">
        <v>484</v>
      </c>
      <c r="D356" s="20" t="s">
        <v>198</v>
      </c>
      <c r="E356" s="17" t="n">
        <v>16</v>
      </c>
      <c r="F356" s="13" t="s">
        <v>27</v>
      </c>
      <c r="G356" s="12" t="n">
        <f aca="false">IFERROR(VLOOKUP(D356,Insumos!$C$5:$G$108,5,FALSE()),0)</f>
        <v>0.035</v>
      </c>
      <c r="H356" s="14" t="n">
        <f aca="false">E356*G356</f>
        <v>0.56</v>
      </c>
    </row>
    <row r="357" customFormat="false" ht="15" hidden="false" customHeight="false" outlineLevel="0" collapsed="false">
      <c r="A357" s="0" t="n">
        <v>35</v>
      </c>
      <c r="B357" s="19" t="s">
        <v>653</v>
      </c>
      <c r="C357" s="18" t="s">
        <v>387</v>
      </c>
      <c r="D357" s="20" t="s">
        <v>26</v>
      </c>
      <c r="E357" s="17" t="n">
        <v>1000</v>
      </c>
      <c r="F357" s="13" t="s">
        <v>27</v>
      </c>
      <c r="G357" s="12" t="n">
        <f aca="false">IFERROR(VLOOKUP(D357,Insumos!$C$5:$G$108,5,FALSE()),0)</f>
        <v>0.03</v>
      </c>
      <c r="H357" s="14" t="n">
        <f aca="false">E357*G357</f>
        <v>30</v>
      </c>
    </row>
    <row r="358" customFormat="false" ht="15" hidden="false" customHeight="false" outlineLevel="0" collapsed="false">
      <c r="A358" s="0" t="n">
        <v>36</v>
      </c>
      <c r="B358" s="19" t="s">
        <v>659</v>
      </c>
      <c r="C358" s="18" t="s">
        <v>660</v>
      </c>
      <c r="D358" s="20" t="s">
        <v>84</v>
      </c>
      <c r="E358" s="17" t="n">
        <v>450</v>
      </c>
      <c r="F358" s="13" t="s">
        <v>27</v>
      </c>
      <c r="G358" s="12" t="n">
        <f aca="false">IFERROR(VLOOKUP(D358,Insumos!$C$5:$G$108,5,FALSE()),0)</f>
        <v>0.7</v>
      </c>
      <c r="H358" s="14" t="n">
        <f aca="false">E358*G358</f>
        <v>315</v>
      </c>
    </row>
    <row r="359" customFormat="false" ht="15" hidden="false" customHeight="false" outlineLevel="0" collapsed="false">
      <c r="A359" s="0" t="n">
        <v>36</v>
      </c>
      <c r="B359" s="19" t="s">
        <v>659</v>
      </c>
      <c r="C359" s="18" t="s">
        <v>661</v>
      </c>
      <c r="D359" s="20" t="s">
        <v>111</v>
      </c>
      <c r="E359" s="17" t="n">
        <v>500</v>
      </c>
      <c r="F359" s="13" t="s">
        <v>27</v>
      </c>
      <c r="G359" s="12" t="n">
        <f aca="false">IFERROR(VLOOKUP(D359,Insumos!$C$5:$G$108,5,FALSE()),0)</f>
        <v>0.03</v>
      </c>
      <c r="H359" s="14" t="n">
        <f aca="false">E359*G359</f>
        <v>15</v>
      </c>
    </row>
    <row r="360" customFormat="false" ht="15" hidden="false" customHeight="false" outlineLevel="0" collapsed="false">
      <c r="A360" s="0" t="n">
        <v>36</v>
      </c>
      <c r="B360" s="19" t="s">
        <v>659</v>
      </c>
      <c r="C360" s="18" t="s">
        <v>574</v>
      </c>
      <c r="D360" s="20" t="s">
        <v>103</v>
      </c>
      <c r="E360" s="17" t="n">
        <v>200</v>
      </c>
      <c r="F360" s="13" t="s">
        <v>27</v>
      </c>
      <c r="G360" s="12" t="n">
        <f aca="false">IFERROR(VLOOKUP(D360,Insumos!$C$5:$G$108,5,FALSE()),0)</f>
        <v>0.028</v>
      </c>
      <c r="H360" s="14" t="n">
        <f aca="false">E360*G360</f>
        <v>5.6</v>
      </c>
    </row>
    <row r="361" customFormat="false" ht="15" hidden="false" customHeight="false" outlineLevel="0" collapsed="false">
      <c r="A361" s="0" t="n">
        <v>36</v>
      </c>
      <c r="B361" s="19" t="s">
        <v>659</v>
      </c>
      <c r="C361" s="18" t="s">
        <v>662</v>
      </c>
      <c r="D361" s="20" t="s">
        <v>136</v>
      </c>
      <c r="E361" s="17" t="n">
        <v>40</v>
      </c>
      <c r="F361" s="13" t="s">
        <v>27</v>
      </c>
      <c r="G361" s="12" t="n">
        <f aca="false">IFERROR(VLOOKUP(D361,Insumos!$C$5:$G$108,5,FALSE()),0)</f>
        <v>0.045</v>
      </c>
      <c r="H361" s="14" t="n">
        <f aca="false">E361*G361</f>
        <v>1.8</v>
      </c>
    </row>
    <row r="362" customFormat="false" ht="15" hidden="false" customHeight="false" outlineLevel="0" collapsed="false">
      <c r="A362" s="0" t="n">
        <v>36</v>
      </c>
      <c r="B362" s="19" t="s">
        <v>659</v>
      </c>
      <c r="C362" s="18" t="s">
        <v>453</v>
      </c>
      <c r="D362" s="20" t="s">
        <v>109</v>
      </c>
      <c r="E362" s="17" t="n">
        <v>12</v>
      </c>
      <c r="F362" s="13" t="s">
        <v>27</v>
      </c>
      <c r="G362" s="12" t="n">
        <f aca="false">IFERROR(VLOOKUP(D362,Insumos!$C$5:$G$108,5,FALSE()),0)</f>
        <v>0.11</v>
      </c>
      <c r="H362" s="14" t="n">
        <f aca="false">E362*G362</f>
        <v>1.32</v>
      </c>
    </row>
    <row r="363" customFormat="false" ht="15" hidden="false" customHeight="false" outlineLevel="0" collapsed="false">
      <c r="A363" s="0" t="n">
        <v>36</v>
      </c>
      <c r="B363" s="19" t="s">
        <v>659</v>
      </c>
      <c r="C363" s="18" t="s">
        <v>663</v>
      </c>
      <c r="D363" s="20" t="s">
        <v>30</v>
      </c>
      <c r="E363" s="17" t="n">
        <v>60</v>
      </c>
      <c r="F363" s="13" t="s">
        <v>27</v>
      </c>
      <c r="G363" s="12" t="n">
        <f aca="false">IFERROR(VLOOKUP(D363,Insumos!$C$5:$G$108,5,FALSE()),0)</f>
        <v>0.07</v>
      </c>
      <c r="H363" s="14" t="n">
        <f aca="false">E363*G363</f>
        <v>4.2</v>
      </c>
    </row>
    <row r="364" customFormat="false" ht="15" hidden="false" customHeight="false" outlineLevel="0" collapsed="false">
      <c r="A364" s="0" t="n">
        <v>36</v>
      </c>
      <c r="B364" s="19" t="s">
        <v>659</v>
      </c>
      <c r="C364" s="18" t="s">
        <v>418</v>
      </c>
      <c r="D364" s="20" t="s">
        <v>200</v>
      </c>
      <c r="E364" s="17" t="n">
        <v>2</v>
      </c>
      <c r="F364" s="13" t="s">
        <v>27</v>
      </c>
      <c r="G364" s="12" t="n">
        <f aca="false">IFERROR(VLOOKUP(D364,Insumos!$C$5:$G$108,5,FALSE()),0)</f>
        <v>0.45</v>
      </c>
      <c r="H364" s="14" t="n">
        <f aca="false">E364*G364</f>
        <v>0.9</v>
      </c>
    </row>
    <row r="365" customFormat="false" ht="15" hidden="false" customHeight="false" outlineLevel="0" collapsed="false">
      <c r="A365" s="0" t="n">
        <v>36</v>
      </c>
      <c r="B365" s="19" t="s">
        <v>659</v>
      </c>
      <c r="C365" s="18" t="s">
        <v>664</v>
      </c>
      <c r="D365" s="20" t="s">
        <v>198</v>
      </c>
      <c r="E365" s="17" t="n">
        <v>8</v>
      </c>
      <c r="F365" s="13" t="s">
        <v>27</v>
      </c>
      <c r="G365" s="12" t="n">
        <f aca="false">IFERROR(VLOOKUP(D365,Insumos!$C$5:$G$108,5,FALSE()),0)</f>
        <v>0.035</v>
      </c>
      <c r="H365" s="14" t="n">
        <f aca="false">E365*G365</f>
        <v>0.28</v>
      </c>
    </row>
    <row r="366" customFormat="false" ht="15" hidden="false" customHeight="false" outlineLevel="0" collapsed="false">
      <c r="A366" s="0" t="n">
        <v>36</v>
      </c>
      <c r="B366" s="19" t="s">
        <v>659</v>
      </c>
      <c r="C366" s="18" t="s">
        <v>430</v>
      </c>
      <c r="D366" s="20" t="s">
        <v>26</v>
      </c>
      <c r="E366" s="17" t="n">
        <v>1000</v>
      </c>
      <c r="F366" s="13" t="s">
        <v>27</v>
      </c>
      <c r="G366" s="12" t="n">
        <f aca="false">IFERROR(VLOOKUP(D366,Insumos!$C$5:$G$108,5,FALSE()),0)</f>
        <v>0.03</v>
      </c>
      <c r="H366" s="14" t="n">
        <f aca="false">E366*G366</f>
        <v>30</v>
      </c>
    </row>
    <row r="367" customFormat="false" ht="15" hidden="false" customHeight="false" outlineLevel="0" collapsed="false">
      <c r="A367" s="0" t="n">
        <v>37</v>
      </c>
      <c r="B367" s="19" t="s">
        <v>665</v>
      </c>
      <c r="C367" s="18" t="s">
        <v>666</v>
      </c>
      <c r="D367" s="20" t="s">
        <v>48</v>
      </c>
      <c r="E367" s="17" t="n">
        <v>1100</v>
      </c>
      <c r="F367" s="13" t="s">
        <v>27</v>
      </c>
      <c r="G367" s="12" t="n">
        <f aca="false">IFERROR(VLOOKUP(D367,Insumos!$C$5:$G$108,5,FALSE()),0)</f>
        <v>0.125</v>
      </c>
      <c r="H367" s="14" t="n">
        <f aca="false">E367*G367</f>
        <v>137.5</v>
      </c>
    </row>
    <row r="368" customFormat="false" ht="15" hidden="false" customHeight="false" outlineLevel="0" collapsed="false">
      <c r="A368" s="0" t="n">
        <v>37</v>
      </c>
      <c r="B368" s="19" t="s">
        <v>665</v>
      </c>
      <c r="C368" s="18" t="s">
        <v>667</v>
      </c>
      <c r="D368" s="20" t="s">
        <v>183</v>
      </c>
      <c r="E368" s="17" t="n">
        <v>90</v>
      </c>
      <c r="F368" s="13" t="s">
        <v>27</v>
      </c>
      <c r="G368" s="12" t="n">
        <f aca="false">IFERROR(VLOOKUP(D368,Insumos!$C$5:$G$108,5,FALSE()),0)</f>
        <v>0.28</v>
      </c>
      <c r="H368" s="14" t="n">
        <f aca="false">E368*G368</f>
        <v>25.2</v>
      </c>
    </row>
    <row r="369" customFormat="false" ht="15" hidden="false" customHeight="false" outlineLevel="0" collapsed="false">
      <c r="A369" s="0" t="n">
        <v>37</v>
      </c>
      <c r="B369" s="19" t="s">
        <v>665</v>
      </c>
      <c r="C369" s="18" t="s">
        <v>668</v>
      </c>
      <c r="D369" s="20" t="s">
        <v>243</v>
      </c>
      <c r="E369" s="17" t="n">
        <v>40</v>
      </c>
      <c r="F369" s="13" t="s">
        <v>33</v>
      </c>
      <c r="G369" s="12" t="n">
        <f aca="false">IFERROR(VLOOKUP(D369,Insumos!$C$5:$G$108,5,FALSE()),0)</f>
        <v>0.06</v>
      </c>
      <c r="H369" s="14" t="n">
        <f aca="false">E369*G369</f>
        <v>2.4</v>
      </c>
    </row>
    <row r="370" customFormat="false" ht="15" hidden="false" customHeight="false" outlineLevel="0" collapsed="false">
      <c r="A370" s="0" t="n">
        <v>37</v>
      </c>
      <c r="B370" s="19" t="s">
        <v>665</v>
      </c>
      <c r="C370" s="18" t="s">
        <v>400</v>
      </c>
      <c r="D370" s="20" t="s">
        <v>109</v>
      </c>
      <c r="E370" s="17" t="n">
        <v>16</v>
      </c>
      <c r="F370" s="13" t="s">
        <v>27</v>
      </c>
      <c r="G370" s="12" t="n">
        <f aca="false">IFERROR(VLOOKUP(D370,Insumos!$C$5:$G$108,5,FALSE()),0)</f>
        <v>0.11</v>
      </c>
      <c r="H370" s="14" t="n">
        <f aca="false">E370*G370</f>
        <v>1.76</v>
      </c>
    </row>
    <row r="371" customFormat="false" ht="15" hidden="false" customHeight="false" outlineLevel="0" collapsed="false">
      <c r="A371" s="0" t="n">
        <v>37</v>
      </c>
      <c r="B371" s="19" t="s">
        <v>665</v>
      </c>
      <c r="C371" s="18" t="s">
        <v>647</v>
      </c>
      <c r="D371" s="20" t="s">
        <v>103</v>
      </c>
      <c r="E371" s="17" t="n">
        <v>100</v>
      </c>
      <c r="F371" s="13" t="s">
        <v>27</v>
      </c>
      <c r="G371" s="12" t="n">
        <f aca="false">IFERROR(VLOOKUP(D371,Insumos!$C$5:$G$108,5,FALSE()),0)</f>
        <v>0.028</v>
      </c>
      <c r="H371" s="14" t="n">
        <f aca="false">E371*G371</f>
        <v>2.8</v>
      </c>
    </row>
    <row r="372" customFormat="false" ht="15" hidden="false" customHeight="false" outlineLevel="0" collapsed="false">
      <c r="A372" s="0" t="n">
        <v>37</v>
      </c>
      <c r="B372" s="19" t="s">
        <v>665</v>
      </c>
      <c r="C372" s="18" t="s">
        <v>669</v>
      </c>
      <c r="D372" s="20" t="s">
        <v>178</v>
      </c>
      <c r="E372" s="17" t="n">
        <v>3</v>
      </c>
      <c r="F372" s="13" t="s">
        <v>27</v>
      </c>
      <c r="G372" s="12" t="n">
        <f aca="false">IFERROR(VLOOKUP(D372,Insumos!$C$5:$G$108,5,FALSE()),0)</f>
        <v>0.25</v>
      </c>
      <c r="H372" s="14" t="n">
        <f aca="false">E372*G372</f>
        <v>0.75</v>
      </c>
    </row>
    <row r="373" customFormat="false" ht="15" hidden="false" customHeight="false" outlineLevel="0" collapsed="false">
      <c r="A373" s="0" t="n">
        <v>37</v>
      </c>
      <c r="B373" s="19" t="s">
        <v>665</v>
      </c>
      <c r="C373" s="18" t="s">
        <v>651</v>
      </c>
      <c r="D373" s="20" t="s">
        <v>204</v>
      </c>
      <c r="E373" s="17" t="n">
        <v>2</v>
      </c>
      <c r="F373" s="13" t="s">
        <v>27</v>
      </c>
      <c r="G373" s="12" t="n">
        <f aca="false">IFERROR(VLOOKUP(D373,Insumos!$C$5:$G$108,5,FALSE()),0)</f>
        <v>0.3</v>
      </c>
      <c r="H373" s="14" t="n">
        <f aca="false">E373*G373</f>
        <v>0.6</v>
      </c>
    </row>
    <row r="374" customFormat="false" ht="15" hidden="false" customHeight="false" outlineLevel="0" collapsed="false">
      <c r="A374" s="0" t="n">
        <v>37</v>
      </c>
      <c r="B374" s="19" t="s">
        <v>665</v>
      </c>
      <c r="C374" s="18" t="s">
        <v>670</v>
      </c>
      <c r="D374" s="20" t="s">
        <v>200</v>
      </c>
      <c r="E374" s="17" t="n">
        <v>1</v>
      </c>
      <c r="F374" s="13" t="s">
        <v>27</v>
      </c>
      <c r="G374" s="12" t="n">
        <f aca="false">IFERROR(VLOOKUP(D374,Insumos!$C$5:$G$108,5,FALSE()),0)</f>
        <v>0.45</v>
      </c>
      <c r="H374" s="14" t="n">
        <f aca="false">E374*G374</f>
        <v>0.45</v>
      </c>
    </row>
    <row r="375" customFormat="false" ht="15" hidden="false" customHeight="false" outlineLevel="0" collapsed="false">
      <c r="A375" s="0" t="n">
        <v>37</v>
      </c>
      <c r="B375" s="19" t="s">
        <v>665</v>
      </c>
      <c r="C375" s="18" t="s">
        <v>671</v>
      </c>
      <c r="D375" s="20" t="s">
        <v>212</v>
      </c>
      <c r="E375" s="17" t="n">
        <v>1</v>
      </c>
      <c r="F375" s="13" t="s">
        <v>27</v>
      </c>
      <c r="G375" s="12" t="n">
        <f aca="false">IFERROR(VLOOKUP(D375,Insumos!$C$5:$G$108,5,FALSE()),0)</f>
        <v>0.45</v>
      </c>
      <c r="H375" s="14" t="n">
        <f aca="false">E375*G375</f>
        <v>0.45</v>
      </c>
    </row>
    <row r="376" customFormat="false" ht="15" hidden="false" customHeight="false" outlineLevel="0" collapsed="false">
      <c r="A376" s="0" t="n">
        <v>37</v>
      </c>
      <c r="B376" s="19" t="s">
        <v>665</v>
      </c>
      <c r="C376" s="18" t="s">
        <v>564</v>
      </c>
      <c r="D376" s="20" t="s">
        <v>30</v>
      </c>
      <c r="E376" s="17" t="n">
        <v>50</v>
      </c>
      <c r="F376" s="13" t="s">
        <v>27</v>
      </c>
      <c r="G376" s="12" t="n">
        <f aca="false">IFERROR(VLOOKUP(D376,Insumos!$C$5:$G$108,5,FALSE()),0)</f>
        <v>0.07</v>
      </c>
      <c r="H376" s="14" t="n">
        <f aca="false">E376*G376</f>
        <v>3.5</v>
      </c>
    </row>
    <row r="377" customFormat="false" ht="15" hidden="false" customHeight="false" outlineLevel="0" collapsed="false">
      <c r="A377" s="0" t="n">
        <v>37</v>
      </c>
      <c r="B377" s="19" t="s">
        <v>665</v>
      </c>
      <c r="C377" s="18" t="s">
        <v>419</v>
      </c>
      <c r="D377" s="20" t="s">
        <v>198</v>
      </c>
      <c r="E377" s="17" t="n">
        <v>16</v>
      </c>
      <c r="F377" s="13" t="s">
        <v>27</v>
      </c>
      <c r="G377" s="12" t="n">
        <f aca="false">IFERROR(VLOOKUP(D377,Insumos!$C$5:$G$108,5,FALSE()),0)</f>
        <v>0.035</v>
      </c>
      <c r="H377" s="14" t="n">
        <f aca="false">E377*G377</f>
        <v>0.56</v>
      </c>
    </row>
    <row r="378" customFormat="false" ht="15" hidden="false" customHeight="false" outlineLevel="0" collapsed="false">
      <c r="A378" s="0" t="n">
        <v>37</v>
      </c>
      <c r="B378" s="19" t="s">
        <v>665</v>
      </c>
      <c r="C378" s="18" t="s">
        <v>387</v>
      </c>
      <c r="D378" s="20" t="s">
        <v>26</v>
      </c>
      <c r="E378" s="17" t="n">
        <v>1000</v>
      </c>
      <c r="F378" s="13" t="s">
        <v>27</v>
      </c>
      <c r="G378" s="12" t="n">
        <f aca="false">IFERROR(VLOOKUP(D378,Insumos!$C$5:$G$108,5,FALSE()),0)</f>
        <v>0.03</v>
      </c>
      <c r="H378" s="14" t="n">
        <f aca="false">E378*G378</f>
        <v>30</v>
      </c>
    </row>
    <row r="379" customFormat="false" ht="15" hidden="false" customHeight="false" outlineLevel="0" collapsed="false">
      <c r="A379" s="0" t="n">
        <v>38</v>
      </c>
      <c r="B379" s="19" t="s">
        <v>672</v>
      </c>
      <c r="C379" s="18" t="s">
        <v>673</v>
      </c>
      <c r="D379" s="20" t="s">
        <v>56</v>
      </c>
      <c r="E379" s="17" t="n">
        <v>1400</v>
      </c>
      <c r="F379" s="13" t="s">
        <v>27</v>
      </c>
      <c r="G379" s="12" t="n">
        <f aca="false">IFERROR(VLOOKUP(D379,Insumos!$C$5:$G$108,5,FALSE()),0)</f>
        <v>0.135</v>
      </c>
      <c r="H379" s="14" t="n">
        <f aca="false">E379*G379</f>
        <v>189</v>
      </c>
    </row>
    <row r="380" customFormat="false" ht="15" hidden="false" customHeight="false" outlineLevel="0" collapsed="false">
      <c r="A380" s="0" t="n">
        <v>38</v>
      </c>
      <c r="B380" s="19" t="s">
        <v>672</v>
      </c>
      <c r="C380" s="18" t="s">
        <v>674</v>
      </c>
      <c r="D380" s="20" t="s">
        <v>181</v>
      </c>
      <c r="E380" s="17" t="n">
        <v>60</v>
      </c>
      <c r="F380" s="13" t="s">
        <v>27</v>
      </c>
      <c r="G380" s="12" t="n">
        <f aca="false">IFERROR(VLOOKUP(D380,Insumos!$C$5:$G$108,5,FALSE()),0)</f>
        <v>0.24</v>
      </c>
      <c r="H380" s="14" t="n">
        <f aca="false">E380*G380</f>
        <v>14.4</v>
      </c>
    </row>
    <row r="381" customFormat="false" ht="15" hidden="false" customHeight="false" outlineLevel="0" collapsed="false">
      <c r="A381" s="0" t="n">
        <v>38</v>
      </c>
      <c r="B381" s="19" t="s">
        <v>672</v>
      </c>
      <c r="C381" s="18" t="s">
        <v>675</v>
      </c>
      <c r="D381" s="20" t="s">
        <v>187</v>
      </c>
      <c r="E381" s="17" t="n">
        <v>10</v>
      </c>
      <c r="F381" s="13" t="s">
        <v>27</v>
      </c>
      <c r="G381" s="12" t="n">
        <f aca="false">IFERROR(VLOOKUP(D381,Insumos!$C$5:$G$108,5,FALSE()),0)</f>
        <v>0.32</v>
      </c>
      <c r="H381" s="14" t="n">
        <f aca="false">E381*G381</f>
        <v>3.2</v>
      </c>
    </row>
    <row r="382" customFormat="false" ht="15" hidden="false" customHeight="false" outlineLevel="0" collapsed="false">
      <c r="A382" s="0" t="n">
        <v>38</v>
      </c>
      <c r="B382" s="19" t="s">
        <v>672</v>
      </c>
      <c r="C382" s="18" t="s">
        <v>676</v>
      </c>
      <c r="D382" s="20" t="s">
        <v>111</v>
      </c>
      <c r="E382" s="17" t="n">
        <v>350</v>
      </c>
      <c r="F382" s="13" t="s">
        <v>27</v>
      </c>
      <c r="G382" s="12" t="n">
        <f aca="false">IFERROR(VLOOKUP(D382,Insumos!$C$5:$G$108,5,FALSE()),0)</f>
        <v>0.03</v>
      </c>
      <c r="H382" s="14" t="n">
        <f aca="false">E382*G382</f>
        <v>10.5</v>
      </c>
    </row>
    <row r="383" customFormat="false" ht="15" hidden="false" customHeight="false" outlineLevel="0" collapsed="false">
      <c r="A383" s="0" t="n">
        <v>38</v>
      </c>
      <c r="B383" s="19" t="s">
        <v>672</v>
      </c>
      <c r="C383" s="18" t="s">
        <v>402</v>
      </c>
      <c r="D383" s="20" t="s">
        <v>103</v>
      </c>
      <c r="E383" s="17" t="n">
        <v>120</v>
      </c>
      <c r="F383" s="13" t="s">
        <v>27</v>
      </c>
      <c r="G383" s="12" t="n">
        <f aca="false">IFERROR(VLOOKUP(D383,Insumos!$C$5:$G$108,5,FALSE()),0)</f>
        <v>0.028</v>
      </c>
      <c r="H383" s="14" t="n">
        <f aca="false">E383*G383</f>
        <v>3.36</v>
      </c>
    </row>
    <row r="384" customFormat="false" ht="15" hidden="false" customHeight="false" outlineLevel="0" collapsed="false">
      <c r="A384" s="0" t="n">
        <v>38</v>
      </c>
      <c r="B384" s="19" t="s">
        <v>672</v>
      </c>
      <c r="C384" s="18" t="s">
        <v>400</v>
      </c>
      <c r="D384" s="20" t="s">
        <v>109</v>
      </c>
      <c r="E384" s="17" t="n">
        <v>16</v>
      </c>
      <c r="F384" s="13" t="s">
        <v>27</v>
      </c>
      <c r="G384" s="12" t="n">
        <f aca="false">IFERROR(VLOOKUP(D384,Insumos!$C$5:$G$108,5,FALSE()),0)</f>
        <v>0.11</v>
      </c>
      <c r="H384" s="14" t="n">
        <f aca="false">E384*G384</f>
        <v>1.76</v>
      </c>
    </row>
    <row r="385" customFormat="false" ht="15" hidden="false" customHeight="false" outlineLevel="0" collapsed="false">
      <c r="A385" s="0" t="n">
        <v>38</v>
      </c>
      <c r="B385" s="19" t="s">
        <v>672</v>
      </c>
      <c r="C385" s="18" t="s">
        <v>334</v>
      </c>
      <c r="D385" s="20" t="s">
        <v>206</v>
      </c>
      <c r="E385" s="17" t="n">
        <v>0.6</v>
      </c>
      <c r="F385" s="13" t="s">
        <v>27</v>
      </c>
      <c r="G385" s="12" t="n">
        <f aca="false">IFERROR(VLOOKUP(D385,Insumos!$C$5:$G$108,5,FALSE()),0)</f>
        <v>0.4</v>
      </c>
      <c r="H385" s="14" t="n">
        <f aca="false">E385*G385</f>
        <v>0.24</v>
      </c>
    </row>
    <row r="386" customFormat="false" ht="15" hidden="false" customHeight="false" outlineLevel="0" collapsed="false">
      <c r="A386" s="0" t="n">
        <v>38</v>
      </c>
      <c r="B386" s="19" t="s">
        <v>672</v>
      </c>
      <c r="C386" s="18" t="s">
        <v>677</v>
      </c>
      <c r="D386" s="20" t="s">
        <v>202</v>
      </c>
      <c r="E386" s="17" t="n">
        <v>2</v>
      </c>
      <c r="F386" s="13" t="s">
        <v>27</v>
      </c>
      <c r="G386" s="12" t="n">
        <f aca="false">IFERROR(VLOOKUP(D386,Insumos!$C$5:$G$108,5,FALSE()),0)</f>
        <v>0.38</v>
      </c>
      <c r="H386" s="14" t="n">
        <f aca="false">E386*G386</f>
        <v>0.76</v>
      </c>
    </row>
    <row r="387" customFormat="false" ht="15" hidden="false" customHeight="false" outlineLevel="0" collapsed="false">
      <c r="A387" s="0" t="n">
        <v>38</v>
      </c>
      <c r="B387" s="19" t="s">
        <v>672</v>
      </c>
      <c r="C387" s="18" t="s">
        <v>610</v>
      </c>
      <c r="D387" s="20" t="s">
        <v>30</v>
      </c>
      <c r="E387" s="17" t="n">
        <v>40</v>
      </c>
      <c r="F387" s="13" t="s">
        <v>27</v>
      </c>
      <c r="G387" s="12" t="n">
        <f aca="false">IFERROR(VLOOKUP(D387,Insumos!$C$5:$G$108,5,FALSE()),0)</f>
        <v>0.07</v>
      </c>
      <c r="H387" s="14" t="n">
        <f aca="false">E387*G387</f>
        <v>2.8</v>
      </c>
    </row>
    <row r="388" customFormat="false" ht="15" hidden="false" customHeight="false" outlineLevel="0" collapsed="false">
      <c r="A388" s="0" t="n">
        <v>38</v>
      </c>
      <c r="B388" s="19" t="s">
        <v>672</v>
      </c>
      <c r="C388" s="18" t="s">
        <v>484</v>
      </c>
      <c r="D388" s="20" t="s">
        <v>198</v>
      </c>
      <c r="E388" s="17" t="n">
        <v>16</v>
      </c>
      <c r="F388" s="13" t="s">
        <v>27</v>
      </c>
      <c r="G388" s="12" t="n">
        <f aca="false">IFERROR(VLOOKUP(D388,Insumos!$C$5:$G$108,5,FALSE()),0)</f>
        <v>0.035</v>
      </c>
      <c r="H388" s="14" t="n">
        <f aca="false">E388*G388</f>
        <v>0.56</v>
      </c>
    </row>
    <row r="389" customFormat="false" ht="15" hidden="false" customHeight="false" outlineLevel="0" collapsed="false">
      <c r="A389" s="0" t="n">
        <v>38</v>
      </c>
      <c r="B389" s="19" t="s">
        <v>672</v>
      </c>
      <c r="C389" s="18" t="s">
        <v>387</v>
      </c>
      <c r="D389" s="20" t="s">
        <v>26</v>
      </c>
      <c r="E389" s="17" t="n">
        <v>1000</v>
      </c>
      <c r="F389" s="13" t="s">
        <v>27</v>
      </c>
      <c r="G389" s="12" t="n">
        <f aca="false">IFERROR(VLOOKUP(D389,Insumos!$C$5:$G$108,5,FALSE()),0)</f>
        <v>0.03</v>
      </c>
      <c r="H389" s="14" t="n">
        <f aca="false">E389*G389</f>
        <v>30</v>
      </c>
    </row>
    <row r="390" customFormat="false" ht="15" hidden="false" customHeight="false" outlineLevel="0" collapsed="false">
      <c r="A390" s="0" t="n">
        <v>39</v>
      </c>
      <c r="B390" s="19" t="s">
        <v>678</v>
      </c>
      <c r="C390" s="18" t="s">
        <v>679</v>
      </c>
      <c r="D390" s="20" t="s">
        <v>48</v>
      </c>
      <c r="E390" s="17" t="n">
        <v>1000</v>
      </c>
      <c r="F390" s="13" t="s">
        <v>27</v>
      </c>
      <c r="G390" s="12" t="n">
        <f aca="false">IFERROR(VLOOKUP(D390,Insumos!$C$5:$G$108,5,FALSE()),0)</f>
        <v>0.125</v>
      </c>
      <c r="H390" s="14" t="n">
        <f aca="false">E390*G390</f>
        <v>125</v>
      </c>
    </row>
    <row r="391" customFormat="false" ht="15" hidden="false" customHeight="false" outlineLevel="0" collapsed="false">
      <c r="A391" s="0" t="n">
        <v>39</v>
      </c>
      <c r="B391" s="19" t="s">
        <v>678</v>
      </c>
      <c r="C391" s="18" t="s">
        <v>680</v>
      </c>
      <c r="D391" s="20" t="s">
        <v>223</v>
      </c>
      <c r="E391" s="17" t="n">
        <v>120</v>
      </c>
      <c r="F391" s="13" t="s">
        <v>27</v>
      </c>
      <c r="G391" s="12" t="n">
        <f aca="false">IFERROR(VLOOKUP(D391,Insumos!$C$5:$G$108,5,FALSE()),0)</f>
        <v>0.26</v>
      </c>
      <c r="H391" s="14" t="n">
        <f aca="false">E391*G391</f>
        <v>31.2</v>
      </c>
    </row>
    <row r="392" customFormat="false" ht="15" hidden="false" customHeight="false" outlineLevel="0" collapsed="false">
      <c r="A392" s="0" t="n">
        <v>39</v>
      </c>
      <c r="B392" s="19" t="s">
        <v>678</v>
      </c>
      <c r="C392" s="18" t="s">
        <v>681</v>
      </c>
      <c r="D392" s="20" t="s">
        <v>113</v>
      </c>
      <c r="E392" s="17" t="n">
        <v>400</v>
      </c>
      <c r="F392" s="13" t="s">
        <v>27</v>
      </c>
      <c r="G392" s="12" t="n">
        <f aca="false">IFERROR(VLOOKUP(D392,Insumos!$C$5:$G$108,5,FALSE()),0)</f>
        <v>0.03</v>
      </c>
      <c r="H392" s="14" t="n">
        <f aca="false">E392*G392</f>
        <v>12</v>
      </c>
    </row>
    <row r="393" customFormat="false" ht="15" hidden="false" customHeight="false" outlineLevel="0" collapsed="false">
      <c r="A393" s="0" t="n">
        <v>39</v>
      </c>
      <c r="B393" s="19" t="s">
        <v>678</v>
      </c>
      <c r="C393" s="18" t="s">
        <v>547</v>
      </c>
      <c r="D393" s="20" t="s">
        <v>140</v>
      </c>
      <c r="E393" s="17" t="n">
        <v>150</v>
      </c>
      <c r="F393" s="13" t="s">
        <v>27</v>
      </c>
      <c r="G393" s="12" t="n">
        <f aca="false">IFERROR(VLOOKUP(D393,Insumos!$C$5:$G$108,5,FALSE()),0)</f>
        <v>0.05</v>
      </c>
      <c r="H393" s="14" t="n">
        <f aca="false">E393*G393</f>
        <v>7.5</v>
      </c>
    </row>
    <row r="394" customFormat="false" ht="15" hidden="false" customHeight="false" outlineLevel="0" collapsed="false">
      <c r="A394" s="0" t="n">
        <v>39</v>
      </c>
      <c r="B394" s="19" t="s">
        <v>678</v>
      </c>
      <c r="C394" s="18" t="s">
        <v>548</v>
      </c>
      <c r="D394" s="20" t="s">
        <v>136</v>
      </c>
      <c r="E394" s="17" t="n">
        <v>20</v>
      </c>
      <c r="F394" s="13" t="s">
        <v>27</v>
      </c>
      <c r="G394" s="12" t="n">
        <f aca="false">IFERROR(VLOOKUP(D394,Insumos!$C$5:$G$108,5,FALSE()),0)</f>
        <v>0.045</v>
      </c>
      <c r="H394" s="14" t="n">
        <f aca="false">E394*G394</f>
        <v>0.9</v>
      </c>
    </row>
    <row r="395" customFormat="false" ht="15" hidden="false" customHeight="false" outlineLevel="0" collapsed="false">
      <c r="A395" s="0" t="n">
        <v>39</v>
      </c>
      <c r="B395" s="19" t="s">
        <v>678</v>
      </c>
      <c r="C395" s="18" t="s">
        <v>682</v>
      </c>
      <c r="D395" s="20" t="s">
        <v>175</v>
      </c>
      <c r="E395" s="17" t="n">
        <v>1</v>
      </c>
      <c r="F395" s="13" t="s">
        <v>176</v>
      </c>
      <c r="G395" s="12" t="n">
        <f aca="false">IFERROR(VLOOKUP(D395,Insumos!$C$5:$G$108,5,FALSE()),0)</f>
        <v>2.5</v>
      </c>
      <c r="H395" s="14" t="n">
        <f aca="false">E395*G395</f>
        <v>2.5</v>
      </c>
    </row>
    <row r="396" customFormat="false" ht="15" hidden="false" customHeight="false" outlineLevel="0" collapsed="false">
      <c r="A396" s="0" t="n">
        <v>39</v>
      </c>
      <c r="B396" s="19" t="s">
        <v>678</v>
      </c>
      <c r="C396" s="18" t="s">
        <v>683</v>
      </c>
      <c r="D396" s="20" t="s">
        <v>169</v>
      </c>
      <c r="E396" s="17" t="n">
        <v>15</v>
      </c>
      <c r="F396" s="13" t="s">
        <v>27</v>
      </c>
      <c r="G396" s="12" t="n">
        <f aca="false">IFERROR(VLOOKUP(D396,Insumos!$C$5:$G$108,5,FALSE()),0)</f>
        <v>0.06</v>
      </c>
      <c r="H396" s="14" t="n">
        <f aca="false">E396*G396</f>
        <v>0.9</v>
      </c>
    </row>
    <row r="397" customFormat="false" ht="15" hidden="false" customHeight="false" outlineLevel="0" collapsed="false">
      <c r="A397" s="0" t="n">
        <v>39</v>
      </c>
      <c r="B397" s="19" t="s">
        <v>678</v>
      </c>
      <c r="C397" s="18" t="s">
        <v>381</v>
      </c>
      <c r="D397" s="20" t="s">
        <v>109</v>
      </c>
      <c r="E397" s="17" t="n">
        <v>12</v>
      </c>
      <c r="F397" s="13" t="s">
        <v>27</v>
      </c>
      <c r="G397" s="12" t="n">
        <f aca="false">IFERROR(VLOOKUP(D397,Insumos!$C$5:$G$108,5,FALSE()),0)</f>
        <v>0.11</v>
      </c>
      <c r="H397" s="14" t="n">
        <f aca="false">E397*G397</f>
        <v>1.32</v>
      </c>
    </row>
    <row r="398" customFormat="false" ht="15" hidden="false" customHeight="false" outlineLevel="0" collapsed="false">
      <c r="A398" s="0" t="n">
        <v>39</v>
      </c>
      <c r="B398" s="19" t="s">
        <v>678</v>
      </c>
      <c r="C398" s="18" t="s">
        <v>647</v>
      </c>
      <c r="D398" s="20" t="s">
        <v>103</v>
      </c>
      <c r="E398" s="17" t="n">
        <v>100</v>
      </c>
      <c r="F398" s="13" t="s">
        <v>27</v>
      </c>
      <c r="G398" s="12" t="n">
        <f aca="false">IFERROR(VLOOKUP(D398,Insumos!$C$5:$G$108,5,FALSE()),0)</f>
        <v>0.028</v>
      </c>
      <c r="H398" s="14" t="n">
        <f aca="false">E398*G398</f>
        <v>2.8</v>
      </c>
    </row>
    <row r="399" customFormat="false" ht="15" hidden="false" customHeight="false" outlineLevel="0" collapsed="false">
      <c r="A399" s="0" t="n">
        <v>39</v>
      </c>
      <c r="B399" s="19" t="s">
        <v>678</v>
      </c>
      <c r="C399" s="18" t="s">
        <v>684</v>
      </c>
      <c r="D399" s="20" t="s">
        <v>30</v>
      </c>
      <c r="E399" s="17" t="n">
        <v>40</v>
      </c>
      <c r="F399" s="13" t="s">
        <v>27</v>
      </c>
      <c r="G399" s="12" t="n">
        <f aca="false">IFERROR(VLOOKUP(D399,Insumos!$C$5:$G$108,5,FALSE()),0)</f>
        <v>0.07</v>
      </c>
      <c r="H399" s="14" t="n">
        <f aca="false">E399*G399</f>
        <v>2.8</v>
      </c>
    </row>
    <row r="400" customFormat="false" ht="15" hidden="false" customHeight="false" outlineLevel="0" collapsed="false">
      <c r="A400" s="0" t="n">
        <v>39</v>
      </c>
      <c r="B400" s="19" t="s">
        <v>678</v>
      </c>
      <c r="C400" s="18" t="s">
        <v>553</v>
      </c>
      <c r="D400" s="20" t="s">
        <v>198</v>
      </c>
      <c r="E400" s="17" t="n">
        <v>15</v>
      </c>
      <c r="F400" s="13" t="s">
        <v>27</v>
      </c>
      <c r="G400" s="12" t="n">
        <f aca="false">IFERROR(VLOOKUP(D400,Insumos!$C$5:$G$108,5,FALSE()),0)</f>
        <v>0.035</v>
      </c>
      <c r="H400" s="14" t="n">
        <f aca="false">E400*G400</f>
        <v>0.525</v>
      </c>
    </row>
    <row r="401" customFormat="false" ht="15" hidden="false" customHeight="false" outlineLevel="0" collapsed="false">
      <c r="A401" s="0" t="n">
        <v>39</v>
      </c>
      <c r="B401" s="19" t="s">
        <v>678</v>
      </c>
      <c r="C401" s="18" t="s">
        <v>685</v>
      </c>
      <c r="D401" s="20" t="s">
        <v>251</v>
      </c>
      <c r="E401" s="17" t="n">
        <v>120</v>
      </c>
      <c r="F401" s="13" t="s">
        <v>33</v>
      </c>
      <c r="G401" s="12" t="n">
        <f aca="false">IFERROR(VLOOKUP(D401,Insumos!$C$5:$G$108,5,FALSE()),0)</f>
        <v>0.002</v>
      </c>
      <c r="H401" s="14" t="n">
        <f aca="false">E401*G401</f>
        <v>0.24</v>
      </c>
    </row>
    <row r="402" customFormat="false" ht="15" hidden="false" customHeight="false" outlineLevel="0" collapsed="false">
      <c r="A402" s="0" t="n">
        <v>39</v>
      </c>
      <c r="B402" s="19" t="s">
        <v>678</v>
      </c>
      <c r="C402" s="18" t="s">
        <v>387</v>
      </c>
      <c r="D402" s="20" t="s">
        <v>26</v>
      </c>
      <c r="E402" s="17" t="n">
        <v>1000</v>
      </c>
      <c r="F402" s="13" t="s">
        <v>27</v>
      </c>
      <c r="G402" s="12" t="n">
        <f aca="false">IFERROR(VLOOKUP(D402,Insumos!$C$5:$G$108,5,FALSE()),0)</f>
        <v>0.03</v>
      </c>
      <c r="H402" s="14" t="n">
        <f aca="false">E402*G402</f>
        <v>30</v>
      </c>
    </row>
    <row r="403" customFormat="false" ht="15" hidden="false" customHeight="false" outlineLevel="0" collapsed="false">
      <c r="A403" s="0" t="n">
        <v>40</v>
      </c>
      <c r="B403" s="19" t="s">
        <v>686</v>
      </c>
      <c r="C403" s="18" t="s">
        <v>687</v>
      </c>
      <c r="D403" s="20" t="s">
        <v>50</v>
      </c>
      <c r="E403" s="17" t="n">
        <v>1000</v>
      </c>
      <c r="F403" s="13" t="s">
        <v>27</v>
      </c>
      <c r="G403" s="12" t="n">
        <f aca="false">IFERROR(VLOOKUP(D403,Insumos!$C$5:$G$108,5,FALSE()),0)</f>
        <v>0.13</v>
      </c>
      <c r="H403" s="14" t="n">
        <f aca="false">E403*G403</f>
        <v>130</v>
      </c>
    </row>
    <row r="404" customFormat="false" ht="15" hidden="false" customHeight="false" outlineLevel="0" collapsed="false">
      <c r="A404" s="0" t="n">
        <v>40</v>
      </c>
      <c r="B404" s="19" t="s">
        <v>686</v>
      </c>
      <c r="C404" s="18" t="s">
        <v>688</v>
      </c>
      <c r="D404" s="20" t="s">
        <v>183</v>
      </c>
      <c r="E404" s="17" t="n">
        <v>90</v>
      </c>
      <c r="F404" s="13" t="s">
        <v>27</v>
      </c>
      <c r="G404" s="12" t="n">
        <f aca="false">IFERROR(VLOOKUP(D404,Insumos!$C$5:$G$108,5,FALSE()),0)</f>
        <v>0.28</v>
      </c>
      <c r="H404" s="14" t="n">
        <f aca="false">E404*G404</f>
        <v>25.2</v>
      </c>
    </row>
    <row r="405" customFormat="false" ht="15" hidden="false" customHeight="false" outlineLevel="0" collapsed="false">
      <c r="A405" s="0" t="n">
        <v>40</v>
      </c>
      <c r="B405" s="19" t="s">
        <v>686</v>
      </c>
      <c r="C405" s="18" t="s">
        <v>689</v>
      </c>
      <c r="D405" s="20" t="s">
        <v>185</v>
      </c>
      <c r="E405" s="17" t="n">
        <v>35</v>
      </c>
      <c r="F405" s="13" t="s">
        <v>27</v>
      </c>
      <c r="G405" s="12" t="n">
        <f aca="false">IFERROR(VLOOKUP(D405,Insumos!$C$5:$G$108,5,FALSE()),0)</f>
        <v>0.3</v>
      </c>
      <c r="H405" s="14" t="n">
        <f aca="false">E405*G405</f>
        <v>10.5</v>
      </c>
    </row>
    <row r="406" customFormat="false" ht="15" hidden="false" customHeight="false" outlineLevel="0" collapsed="false">
      <c r="A406" s="0" t="n">
        <v>40</v>
      </c>
      <c r="B406" s="19" t="s">
        <v>686</v>
      </c>
      <c r="C406" s="18" t="s">
        <v>690</v>
      </c>
      <c r="D406" s="20" t="s">
        <v>229</v>
      </c>
      <c r="E406" s="17" t="n">
        <v>30</v>
      </c>
      <c r="F406" s="13" t="s">
        <v>27</v>
      </c>
      <c r="G406" s="12" t="n">
        <f aca="false">IFERROR(VLOOKUP(D406,Insumos!$C$5:$G$108,5,FALSE()),0)</f>
        <v>0.22</v>
      </c>
      <c r="H406" s="14" t="n">
        <f aca="false">E406*G406</f>
        <v>6.6</v>
      </c>
    </row>
    <row r="407" customFormat="false" ht="15" hidden="false" customHeight="false" outlineLevel="0" collapsed="false">
      <c r="A407" s="0" t="n">
        <v>40</v>
      </c>
      <c r="B407" s="19" t="s">
        <v>686</v>
      </c>
      <c r="C407" s="18" t="s">
        <v>657</v>
      </c>
      <c r="D407" s="20" t="s">
        <v>231</v>
      </c>
      <c r="E407" s="17" t="n">
        <v>20</v>
      </c>
      <c r="F407" s="13" t="s">
        <v>27</v>
      </c>
      <c r="G407" s="12" t="n">
        <f aca="false">IFERROR(VLOOKUP(D407,Insumos!$C$5:$G$108,5,FALSE()),0)</f>
        <v>0.045</v>
      </c>
      <c r="H407" s="14" t="n">
        <f aca="false">E407*G407</f>
        <v>0.9</v>
      </c>
    </row>
    <row r="408" customFormat="false" ht="15" hidden="false" customHeight="false" outlineLevel="0" collapsed="false">
      <c r="A408" s="0" t="n">
        <v>40</v>
      </c>
      <c r="B408" s="19" t="s">
        <v>686</v>
      </c>
      <c r="C408" s="18" t="s">
        <v>691</v>
      </c>
      <c r="D408" s="20" t="s">
        <v>166</v>
      </c>
      <c r="E408" s="17" t="n">
        <v>3</v>
      </c>
      <c r="F408" s="13" t="s">
        <v>27</v>
      </c>
      <c r="G408" s="12" t="n">
        <f aca="false">IFERROR(VLOOKUP(D408,Insumos!$C$5:$G$108,5,FALSE()),0)</f>
        <v>0.03</v>
      </c>
      <c r="H408" s="14" t="n">
        <f aca="false">E408*G408</f>
        <v>0.09</v>
      </c>
    </row>
    <row r="409" customFormat="false" ht="15" hidden="false" customHeight="false" outlineLevel="0" collapsed="false">
      <c r="A409" s="0" t="n">
        <v>40</v>
      </c>
      <c r="B409" s="19" t="s">
        <v>686</v>
      </c>
      <c r="C409" s="18" t="s">
        <v>400</v>
      </c>
      <c r="D409" s="20" t="s">
        <v>109</v>
      </c>
      <c r="E409" s="17" t="n">
        <v>16</v>
      </c>
      <c r="F409" s="13" t="s">
        <v>27</v>
      </c>
      <c r="G409" s="12" t="n">
        <f aca="false">IFERROR(VLOOKUP(D409,Insumos!$C$5:$G$108,5,FALSE()),0)</f>
        <v>0.11</v>
      </c>
      <c r="H409" s="14" t="n">
        <f aca="false">E409*G409</f>
        <v>1.76</v>
      </c>
    </row>
    <row r="410" customFormat="false" ht="15" hidden="false" customHeight="false" outlineLevel="0" collapsed="false">
      <c r="A410" s="0" t="n">
        <v>40</v>
      </c>
      <c r="B410" s="19" t="s">
        <v>686</v>
      </c>
      <c r="C410" s="18" t="s">
        <v>647</v>
      </c>
      <c r="D410" s="20" t="s">
        <v>103</v>
      </c>
      <c r="E410" s="17" t="n">
        <v>100</v>
      </c>
      <c r="F410" s="13" t="s">
        <v>27</v>
      </c>
      <c r="G410" s="12" t="n">
        <f aca="false">IFERROR(VLOOKUP(D410,Insumos!$C$5:$G$108,5,FALSE()),0)</f>
        <v>0.028</v>
      </c>
      <c r="H410" s="14" t="n">
        <f aca="false">E410*G410</f>
        <v>2.8</v>
      </c>
    </row>
    <row r="411" customFormat="false" ht="15" hidden="false" customHeight="false" outlineLevel="0" collapsed="false">
      <c r="A411" s="0" t="n">
        <v>40</v>
      </c>
      <c r="B411" s="19" t="s">
        <v>686</v>
      </c>
      <c r="C411" s="18" t="s">
        <v>692</v>
      </c>
      <c r="D411" s="20" t="s">
        <v>212</v>
      </c>
      <c r="E411" s="17" t="n">
        <v>2</v>
      </c>
      <c r="F411" s="13" t="s">
        <v>27</v>
      </c>
      <c r="G411" s="12" t="n">
        <f aca="false">IFERROR(VLOOKUP(D411,Insumos!$C$5:$G$108,5,FALSE()),0)</f>
        <v>0.45</v>
      </c>
      <c r="H411" s="14" t="n">
        <f aca="false">E411*G411</f>
        <v>0.9</v>
      </c>
    </row>
    <row r="412" customFormat="false" ht="15" hidden="false" customHeight="false" outlineLevel="0" collapsed="false">
      <c r="A412" s="0" t="n">
        <v>40</v>
      </c>
      <c r="B412" s="19" t="s">
        <v>686</v>
      </c>
      <c r="C412" s="18" t="s">
        <v>384</v>
      </c>
      <c r="D412" s="20" t="s">
        <v>208</v>
      </c>
      <c r="E412" s="17" t="n">
        <v>1</v>
      </c>
      <c r="F412" s="13" t="s">
        <v>27</v>
      </c>
      <c r="G412" s="12" t="n">
        <f aca="false">IFERROR(VLOOKUP(D412,Insumos!$C$5:$G$108,5,FALSE()),0)</f>
        <v>0.9</v>
      </c>
      <c r="H412" s="14" t="n">
        <f aca="false">E412*G412</f>
        <v>0.9</v>
      </c>
    </row>
    <row r="413" customFormat="false" ht="15" hidden="false" customHeight="false" outlineLevel="0" collapsed="false">
      <c r="A413" s="0" t="n">
        <v>40</v>
      </c>
      <c r="B413" s="19" t="s">
        <v>686</v>
      </c>
      <c r="C413" s="18" t="s">
        <v>334</v>
      </c>
      <c r="D413" s="20" t="s">
        <v>206</v>
      </c>
      <c r="E413" s="17" t="n">
        <v>0.6</v>
      </c>
      <c r="F413" s="13" t="s">
        <v>27</v>
      </c>
      <c r="G413" s="12" t="n">
        <f aca="false">IFERROR(VLOOKUP(D413,Insumos!$C$5:$G$108,5,FALSE()),0)</f>
        <v>0.4</v>
      </c>
      <c r="H413" s="14" t="n">
        <f aca="false">E413*G413</f>
        <v>0.24</v>
      </c>
    </row>
    <row r="414" customFormat="false" ht="15" hidden="false" customHeight="false" outlineLevel="0" collapsed="false">
      <c r="A414" s="0" t="n">
        <v>40</v>
      </c>
      <c r="B414" s="19" t="s">
        <v>686</v>
      </c>
      <c r="C414" s="18" t="s">
        <v>564</v>
      </c>
      <c r="D414" s="20" t="s">
        <v>30</v>
      </c>
      <c r="E414" s="17" t="n">
        <v>50</v>
      </c>
      <c r="F414" s="13" t="s">
        <v>27</v>
      </c>
      <c r="G414" s="12" t="n">
        <f aca="false">IFERROR(VLOOKUP(D414,Insumos!$C$5:$G$108,5,FALSE()),0)</f>
        <v>0.07</v>
      </c>
      <c r="H414" s="14" t="n">
        <f aca="false">E414*G414</f>
        <v>3.5</v>
      </c>
    </row>
    <row r="415" customFormat="false" ht="15" hidden="false" customHeight="false" outlineLevel="0" collapsed="false">
      <c r="A415" s="0" t="n">
        <v>40</v>
      </c>
      <c r="B415" s="19" t="s">
        <v>686</v>
      </c>
      <c r="C415" s="18" t="s">
        <v>419</v>
      </c>
      <c r="D415" s="20" t="s">
        <v>198</v>
      </c>
      <c r="E415" s="17" t="n">
        <v>16</v>
      </c>
      <c r="F415" s="13" t="s">
        <v>27</v>
      </c>
      <c r="G415" s="12" t="n">
        <f aca="false">IFERROR(VLOOKUP(D415,Insumos!$C$5:$G$108,5,FALSE()),0)</f>
        <v>0.035</v>
      </c>
      <c r="H415" s="14" t="n">
        <f aca="false">E415*G415</f>
        <v>0.56</v>
      </c>
    </row>
    <row r="416" customFormat="false" ht="15" hidden="false" customHeight="false" outlineLevel="0" collapsed="false">
      <c r="A416" s="0" t="n">
        <v>40</v>
      </c>
      <c r="B416" s="19" t="s">
        <v>686</v>
      </c>
      <c r="C416" s="18" t="s">
        <v>387</v>
      </c>
      <c r="D416" s="20" t="s">
        <v>26</v>
      </c>
      <c r="E416" s="17" t="n">
        <v>1000</v>
      </c>
      <c r="F416" s="13" t="s">
        <v>27</v>
      </c>
      <c r="G416" s="12" t="n">
        <f aca="false">IFERROR(VLOOKUP(D416,Insumos!$C$5:$G$108,5,FALSE()),0)</f>
        <v>0.03</v>
      </c>
      <c r="H416" s="14" t="n">
        <f aca="false">E416*G416</f>
        <v>30</v>
      </c>
    </row>
    <row r="417" customFormat="false" ht="15" hidden="false" customHeight="false" outlineLevel="0" collapsed="false">
      <c r="A417" s="0" t="n">
        <v>41</v>
      </c>
      <c r="B417" s="19" t="s">
        <v>693</v>
      </c>
      <c r="C417" s="18" t="s">
        <v>694</v>
      </c>
      <c r="D417" s="20" t="s">
        <v>89</v>
      </c>
      <c r="E417" s="17" t="n">
        <v>1200</v>
      </c>
      <c r="F417" s="13" t="s">
        <v>27</v>
      </c>
      <c r="G417" s="12" t="n">
        <f aca="false">IFERROR(VLOOKUP(D417,Insumos!$C$5:$G$108,5,FALSE()),0)</f>
        <v>0.32</v>
      </c>
      <c r="H417" s="14" t="n">
        <f aca="false">E417*G417</f>
        <v>384</v>
      </c>
    </row>
    <row r="418" customFormat="false" ht="15" hidden="false" customHeight="false" outlineLevel="0" collapsed="false">
      <c r="A418" s="0" t="n">
        <v>41</v>
      </c>
      <c r="B418" s="19" t="s">
        <v>693</v>
      </c>
      <c r="C418" s="18" t="s">
        <v>695</v>
      </c>
      <c r="D418" s="20" t="s">
        <v>39</v>
      </c>
      <c r="E418" s="17" t="n">
        <v>300</v>
      </c>
      <c r="F418" s="13" t="s">
        <v>27</v>
      </c>
      <c r="G418" s="12" t="n">
        <f aca="false">IFERROR(VLOOKUP(D418,Insumos!$C$5:$G$108,5,FALSE()),0)</f>
        <v>0.48</v>
      </c>
      <c r="H418" s="14" t="n">
        <f aca="false">E418*G418</f>
        <v>144</v>
      </c>
    </row>
    <row r="419" customFormat="false" ht="15" hidden="false" customHeight="false" outlineLevel="0" collapsed="false">
      <c r="A419" s="0" t="n">
        <v>41</v>
      </c>
      <c r="B419" s="19" t="s">
        <v>693</v>
      </c>
      <c r="C419" s="18" t="s">
        <v>696</v>
      </c>
      <c r="D419" s="20" t="s">
        <v>227</v>
      </c>
      <c r="E419" s="17" t="n">
        <v>100</v>
      </c>
      <c r="F419" s="13" t="s">
        <v>27</v>
      </c>
      <c r="G419" s="12" t="n">
        <f aca="false">IFERROR(VLOOKUP(D419,Insumos!$C$5:$G$108,5,FALSE()),0)</f>
        <v>0.26</v>
      </c>
      <c r="H419" s="14" t="n">
        <f aca="false">E419*G419</f>
        <v>26</v>
      </c>
    </row>
    <row r="420" customFormat="false" ht="15" hidden="false" customHeight="false" outlineLevel="0" collapsed="false">
      <c r="A420" s="0" t="n">
        <v>41</v>
      </c>
      <c r="B420" s="19" t="s">
        <v>693</v>
      </c>
      <c r="C420" s="18" t="s">
        <v>697</v>
      </c>
      <c r="D420" s="20" t="s">
        <v>251</v>
      </c>
      <c r="E420" s="17" t="n">
        <v>150</v>
      </c>
      <c r="F420" s="13" t="s">
        <v>33</v>
      </c>
      <c r="G420" s="12" t="n">
        <f aca="false">IFERROR(VLOOKUP(D420,Insumos!$C$5:$G$108,5,FALSE()),0)</f>
        <v>0.002</v>
      </c>
      <c r="H420" s="14" t="n">
        <f aca="false">E420*G420</f>
        <v>0.3</v>
      </c>
    </row>
    <row r="421" customFormat="false" ht="15" hidden="false" customHeight="false" outlineLevel="0" collapsed="false">
      <c r="A421" s="0" t="n">
        <v>41</v>
      </c>
      <c r="B421" s="19" t="s">
        <v>693</v>
      </c>
      <c r="C421" s="18" t="s">
        <v>698</v>
      </c>
      <c r="D421" s="20" t="s">
        <v>225</v>
      </c>
      <c r="E421" s="17" t="n">
        <v>25</v>
      </c>
      <c r="F421" s="13" t="s">
        <v>27</v>
      </c>
      <c r="G421" s="12" t="n">
        <f aca="false">IFERROR(VLOOKUP(D421,Insumos!$C$5:$G$108,5,FALSE()),0)</f>
        <v>0.11</v>
      </c>
      <c r="H421" s="14" t="n">
        <f aca="false">E421*G421</f>
        <v>2.75</v>
      </c>
    </row>
    <row r="422" customFormat="false" ht="15" hidden="false" customHeight="false" outlineLevel="0" collapsed="false">
      <c r="A422" s="0" t="n">
        <v>41</v>
      </c>
      <c r="B422" s="19" t="s">
        <v>693</v>
      </c>
      <c r="C422" s="18" t="s">
        <v>334</v>
      </c>
      <c r="D422" s="20" t="s">
        <v>206</v>
      </c>
      <c r="E422" s="17" t="n">
        <v>0.6</v>
      </c>
      <c r="F422" s="13" t="s">
        <v>27</v>
      </c>
      <c r="G422" s="12" t="n">
        <f aca="false">IFERROR(VLOOKUP(D422,Insumos!$C$5:$G$108,5,FALSE()),0)</f>
        <v>0.4</v>
      </c>
      <c r="H422" s="14" t="n">
        <f aca="false">E422*G422</f>
        <v>0.24</v>
      </c>
    </row>
    <row r="423" customFormat="false" ht="15" hidden="false" customHeight="false" outlineLevel="0" collapsed="false">
      <c r="A423" s="0" t="n">
        <v>41</v>
      </c>
      <c r="B423" s="19" t="s">
        <v>693</v>
      </c>
      <c r="C423" s="18" t="s">
        <v>699</v>
      </c>
      <c r="D423" s="20" t="s">
        <v>109</v>
      </c>
      <c r="E423" s="17" t="n">
        <v>4</v>
      </c>
      <c r="F423" s="13" t="s">
        <v>27</v>
      </c>
      <c r="G423" s="12" t="n">
        <f aca="false">IFERROR(VLOOKUP(D423,Insumos!$C$5:$G$108,5,FALSE()),0)</f>
        <v>0.11</v>
      </c>
      <c r="H423" s="14" t="n">
        <f aca="false">E423*G423</f>
        <v>0.44</v>
      </c>
    </row>
    <row r="424" customFormat="false" ht="15" hidden="false" customHeight="false" outlineLevel="0" collapsed="false">
      <c r="A424" s="0" t="n">
        <v>41</v>
      </c>
      <c r="B424" s="19" t="s">
        <v>693</v>
      </c>
      <c r="C424" s="18" t="s">
        <v>428</v>
      </c>
      <c r="D424" s="20" t="s">
        <v>198</v>
      </c>
      <c r="E424" s="17" t="n">
        <v>14</v>
      </c>
      <c r="F424" s="13" t="s">
        <v>27</v>
      </c>
      <c r="G424" s="12" t="n">
        <f aca="false">IFERROR(VLOOKUP(D424,Insumos!$C$5:$G$108,5,FALSE()),0)</f>
        <v>0.035</v>
      </c>
      <c r="H424" s="14" t="n">
        <f aca="false">E424*G424</f>
        <v>0.49</v>
      </c>
    </row>
    <row r="425" customFormat="false" ht="15" hidden="false" customHeight="false" outlineLevel="0" collapsed="false">
      <c r="A425" s="0" t="n">
        <v>41</v>
      </c>
      <c r="B425" s="19" t="s">
        <v>693</v>
      </c>
      <c r="C425" s="18" t="s">
        <v>430</v>
      </c>
      <c r="D425" s="20" t="s">
        <v>26</v>
      </c>
      <c r="E425" s="17" t="n">
        <v>1000</v>
      </c>
      <c r="F425" s="13" t="s">
        <v>27</v>
      </c>
      <c r="G425" s="12" t="n">
        <f aca="false">IFERROR(VLOOKUP(D425,Insumos!$C$5:$G$108,5,FALSE()),0)</f>
        <v>0.03</v>
      </c>
      <c r="H425" s="14" t="n">
        <f aca="false">E425*G425</f>
        <v>30</v>
      </c>
    </row>
    <row r="426" customFormat="false" ht="15" hidden="false" customHeight="false" outlineLevel="0" collapsed="false">
      <c r="A426" s="0" t="n">
        <v>42</v>
      </c>
      <c r="B426" s="19" t="s">
        <v>700</v>
      </c>
      <c r="C426" s="18" t="s">
        <v>701</v>
      </c>
      <c r="D426" s="20" t="s">
        <v>58</v>
      </c>
      <c r="E426" s="17" t="n">
        <v>1200</v>
      </c>
      <c r="F426" s="13" t="s">
        <v>27</v>
      </c>
      <c r="G426" s="12" t="n">
        <f aca="false">IFERROR(VLOOKUP(D426,Insumos!$C$5:$G$108,5,FALSE()),0)</f>
        <v>0.17</v>
      </c>
      <c r="H426" s="14" t="n">
        <f aca="false">E426*G426</f>
        <v>204</v>
      </c>
    </row>
    <row r="427" customFormat="false" ht="15" hidden="false" customHeight="false" outlineLevel="0" collapsed="false">
      <c r="A427" s="0" t="n">
        <v>42</v>
      </c>
      <c r="B427" s="19" t="s">
        <v>700</v>
      </c>
      <c r="C427" s="18" t="s">
        <v>702</v>
      </c>
      <c r="D427" s="20" t="s">
        <v>231</v>
      </c>
      <c r="E427" s="17" t="n">
        <v>80</v>
      </c>
      <c r="F427" s="13" t="s">
        <v>27</v>
      </c>
      <c r="G427" s="12" t="n">
        <f aca="false">IFERROR(VLOOKUP(D427,Insumos!$C$5:$G$108,5,FALSE()),0)</f>
        <v>0.045</v>
      </c>
      <c r="H427" s="14" t="n">
        <f aca="false">E427*G427</f>
        <v>3.6</v>
      </c>
    </row>
    <row r="428" customFormat="false" ht="15" hidden="false" customHeight="false" outlineLevel="0" collapsed="false">
      <c r="A428" s="0" t="n">
        <v>42</v>
      </c>
      <c r="B428" s="19" t="s">
        <v>700</v>
      </c>
      <c r="C428" s="18" t="s">
        <v>703</v>
      </c>
      <c r="D428" s="20" t="s">
        <v>164</v>
      </c>
      <c r="E428" s="17" t="n">
        <v>100</v>
      </c>
      <c r="F428" s="13" t="s">
        <v>33</v>
      </c>
      <c r="G428" s="12" t="n">
        <f aca="false">IFERROR(VLOOKUP(D428,Insumos!$C$5:$G$108,5,FALSE()),0)</f>
        <v>0.04</v>
      </c>
      <c r="H428" s="14" t="n">
        <f aca="false">E428*G428</f>
        <v>4</v>
      </c>
    </row>
    <row r="429" customFormat="false" ht="15" hidden="false" customHeight="false" outlineLevel="0" collapsed="false">
      <c r="A429" s="0" t="n">
        <v>42</v>
      </c>
      <c r="B429" s="19" t="s">
        <v>700</v>
      </c>
      <c r="C429" s="18" t="s">
        <v>704</v>
      </c>
      <c r="D429" s="20" t="s">
        <v>239</v>
      </c>
      <c r="E429" s="17" t="n">
        <v>30</v>
      </c>
      <c r="F429" s="13" t="s">
        <v>33</v>
      </c>
      <c r="G429" s="12" t="n">
        <f aca="false">IFERROR(VLOOKUP(D429,Insumos!$C$5:$G$108,5,FALSE()),0)</f>
        <v>0.05</v>
      </c>
      <c r="H429" s="14" t="n">
        <f aca="false">E429*G429</f>
        <v>1.5</v>
      </c>
    </row>
    <row r="430" customFormat="false" ht="15" hidden="false" customHeight="false" outlineLevel="0" collapsed="false">
      <c r="A430" s="0" t="n">
        <v>42</v>
      </c>
      <c r="B430" s="19" t="s">
        <v>700</v>
      </c>
      <c r="C430" s="18" t="s">
        <v>705</v>
      </c>
      <c r="D430" s="20" t="s">
        <v>187</v>
      </c>
      <c r="E430" s="17" t="n">
        <v>15</v>
      </c>
      <c r="F430" s="13" t="s">
        <v>27</v>
      </c>
      <c r="G430" s="12" t="n">
        <f aca="false">IFERROR(VLOOKUP(D430,Insumos!$C$5:$G$108,5,FALSE()),0)</f>
        <v>0.32</v>
      </c>
      <c r="H430" s="14" t="n">
        <f aca="false">E430*G430</f>
        <v>4.8</v>
      </c>
    </row>
    <row r="431" customFormat="false" ht="15" hidden="false" customHeight="false" outlineLevel="0" collapsed="false">
      <c r="A431" s="0" t="n">
        <v>42</v>
      </c>
      <c r="B431" s="19" t="s">
        <v>700</v>
      </c>
      <c r="C431" s="18" t="s">
        <v>706</v>
      </c>
      <c r="D431" s="20" t="s">
        <v>214</v>
      </c>
      <c r="E431" s="17" t="n">
        <v>2</v>
      </c>
      <c r="F431" s="13" t="s">
        <v>27</v>
      </c>
      <c r="G431" s="12" t="n">
        <f aca="false">IFERROR(VLOOKUP(D431,Insumos!$C$5:$G$108,5,FALSE()),0)</f>
        <v>0.9</v>
      </c>
      <c r="H431" s="14" t="n">
        <f aca="false">E431*G431</f>
        <v>1.8</v>
      </c>
    </row>
    <row r="432" customFormat="false" ht="15" hidden="false" customHeight="false" outlineLevel="0" collapsed="false">
      <c r="A432" s="0" t="n">
        <v>42</v>
      </c>
      <c r="B432" s="19" t="s">
        <v>700</v>
      </c>
      <c r="C432" s="18" t="s">
        <v>707</v>
      </c>
      <c r="D432" s="20" t="s">
        <v>109</v>
      </c>
      <c r="E432" s="17" t="n">
        <v>16</v>
      </c>
      <c r="F432" s="13" t="s">
        <v>27</v>
      </c>
      <c r="G432" s="12" t="n">
        <f aca="false">IFERROR(VLOOKUP(D432,Insumos!$C$5:$G$108,5,FALSE()),0)</f>
        <v>0.11</v>
      </c>
      <c r="H432" s="14" t="n">
        <f aca="false">E432*G432</f>
        <v>1.76</v>
      </c>
    </row>
    <row r="433" customFormat="false" ht="15" hidden="false" customHeight="false" outlineLevel="0" collapsed="false">
      <c r="A433" s="0" t="n">
        <v>42</v>
      </c>
      <c r="B433" s="19" t="s">
        <v>700</v>
      </c>
      <c r="C433" s="18" t="s">
        <v>484</v>
      </c>
      <c r="D433" s="20" t="s">
        <v>198</v>
      </c>
      <c r="E433" s="17" t="n">
        <v>16</v>
      </c>
      <c r="F433" s="13" t="s">
        <v>27</v>
      </c>
      <c r="G433" s="12" t="n">
        <f aca="false">IFERROR(VLOOKUP(D433,Insumos!$C$5:$G$108,5,FALSE()),0)</f>
        <v>0.035</v>
      </c>
      <c r="H433" s="14" t="n">
        <f aca="false">E433*G433</f>
        <v>0.56</v>
      </c>
    </row>
    <row r="434" customFormat="false" ht="15" hidden="false" customHeight="false" outlineLevel="0" collapsed="false">
      <c r="A434" s="0" t="n">
        <v>42</v>
      </c>
      <c r="B434" s="19" t="s">
        <v>700</v>
      </c>
      <c r="C434" s="18" t="s">
        <v>387</v>
      </c>
      <c r="D434" s="20" t="s">
        <v>26</v>
      </c>
      <c r="E434" s="17" t="n">
        <v>1000</v>
      </c>
      <c r="F434" s="13" t="s">
        <v>27</v>
      </c>
      <c r="G434" s="12" t="n">
        <f aca="false">IFERROR(VLOOKUP(D434,Insumos!$C$5:$G$108,5,FALSE()),0)</f>
        <v>0.03</v>
      </c>
      <c r="H434" s="14" t="n">
        <f aca="false">E434*G434</f>
        <v>30</v>
      </c>
    </row>
    <row r="435" customFormat="false" ht="15" hidden="false" customHeight="false" outlineLevel="0" collapsed="false">
      <c r="A435" s="0" t="n">
        <v>43</v>
      </c>
      <c r="B435" s="19" t="s">
        <v>708</v>
      </c>
      <c r="C435" s="18" t="s">
        <v>709</v>
      </c>
      <c r="D435" s="20" t="s">
        <v>93</v>
      </c>
      <c r="E435" s="17" t="n">
        <v>1600</v>
      </c>
      <c r="F435" s="13" t="s">
        <v>27</v>
      </c>
      <c r="G435" s="12" t="n">
        <f aca="false">IFERROR(VLOOKUP(D435,Insumos!$C$5:$G$108,5,FALSE()),0)</f>
        <v>0.29</v>
      </c>
      <c r="H435" s="14" t="n">
        <f aca="false">E435*G435</f>
        <v>464</v>
      </c>
    </row>
    <row r="436" customFormat="false" ht="15" hidden="false" customHeight="false" outlineLevel="0" collapsed="false">
      <c r="A436" s="0" t="n">
        <v>43</v>
      </c>
      <c r="B436" s="19" t="s">
        <v>708</v>
      </c>
      <c r="C436" s="18" t="s">
        <v>710</v>
      </c>
      <c r="D436" s="20" t="s">
        <v>37</v>
      </c>
      <c r="E436" s="17" t="n">
        <v>60</v>
      </c>
      <c r="F436" s="13" t="s">
        <v>27</v>
      </c>
      <c r="G436" s="12" t="n">
        <f aca="false">IFERROR(VLOOKUP(D436,Insumos!$C$5:$G$108,5,FALSE()),0)</f>
        <v>0.475</v>
      </c>
      <c r="H436" s="14" t="n">
        <f aca="false">E436*G436</f>
        <v>28.5</v>
      </c>
    </row>
    <row r="437" customFormat="false" ht="15" hidden="false" customHeight="false" outlineLevel="0" collapsed="false">
      <c r="A437" s="0" t="n">
        <v>43</v>
      </c>
      <c r="B437" s="19" t="s">
        <v>708</v>
      </c>
      <c r="C437" s="18" t="s">
        <v>711</v>
      </c>
      <c r="D437" s="20" t="s">
        <v>181</v>
      </c>
      <c r="E437" s="17" t="n">
        <v>100</v>
      </c>
      <c r="F437" s="13" t="s">
        <v>27</v>
      </c>
      <c r="G437" s="12" t="n">
        <f aca="false">IFERROR(VLOOKUP(D437,Insumos!$C$5:$G$108,5,FALSE()),0)</f>
        <v>0.24</v>
      </c>
      <c r="H437" s="14" t="n">
        <f aca="false">E437*G437</f>
        <v>24</v>
      </c>
    </row>
    <row r="438" customFormat="false" ht="15" hidden="false" customHeight="false" outlineLevel="0" collapsed="false">
      <c r="A438" s="0" t="n">
        <v>43</v>
      </c>
      <c r="B438" s="19" t="s">
        <v>708</v>
      </c>
      <c r="C438" s="18" t="s">
        <v>712</v>
      </c>
      <c r="D438" s="20" t="s">
        <v>109</v>
      </c>
      <c r="E438" s="17" t="n">
        <v>40</v>
      </c>
      <c r="F438" s="13" t="s">
        <v>27</v>
      </c>
      <c r="G438" s="12" t="n">
        <f aca="false">IFERROR(VLOOKUP(D438,Insumos!$C$5:$G$108,5,FALSE()),0)</f>
        <v>0.11</v>
      </c>
      <c r="H438" s="14" t="n">
        <f aca="false">E438*G438</f>
        <v>4.4</v>
      </c>
    </row>
    <row r="439" customFormat="false" ht="15" hidden="false" customHeight="false" outlineLevel="0" collapsed="false">
      <c r="A439" s="0" t="n">
        <v>43</v>
      </c>
      <c r="B439" s="19" t="s">
        <v>708</v>
      </c>
      <c r="C439" s="18" t="s">
        <v>519</v>
      </c>
      <c r="D439" s="20" t="s">
        <v>103</v>
      </c>
      <c r="E439" s="17" t="n">
        <v>150</v>
      </c>
      <c r="F439" s="13" t="s">
        <v>27</v>
      </c>
      <c r="G439" s="12" t="n">
        <f aca="false">IFERROR(VLOOKUP(D439,Insumos!$C$5:$G$108,5,FALSE()),0)</f>
        <v>0.028</v>
      </c>
      <c r="H439" s="14" t="n">
        <f aca="false">E439*G439</f>
        <v>4.2</v>
      </c>
    </row>
    <row r="440" customFormat="false" ht="15" hidden="false" customHeight="false" outlineLevel="0" collapsed="false">
      <c r="A440" s="0" t="n">
        <v>43</v>
      </c>
      <c r="B440" s="19" t="s">
        <v>708</v>
      </c>
      <c r="C440" s="18" t="s">
        <v>713</v>
      </c>
      <c r="D440" s="20" t="s">
        <v>160</v>
      </c>
      <c r="E440" s="17" t="n">
        <v>15</v>
      </c>
      <c r="F440" s="13" t="s">
        <v>33</v>
      </c>
      <c r="G440" s="12" t="n">
        <f aca="false">IFERROR(VLOOKUP(D440,Insumos!$C$5:$G$108,5,FALSE()),0)</f>
        <v>0.07</v>
      </c>
      <c r="H440" s="14" t="n">
        <f aca="false">E440*G440</f>
        <v>1.05</v>
      </c>
    </row>
    <row r="441" customFormat="false" ht="15" hidden="false" customHeight="false" outlineLevel="0" collapsed="false">
      <c r="A441" s="0" t="n">
        <v>43</v>
      </c>
      <c r="B441" s="19" t="s">
        <v>708</v>
      </c>
      <c r="C441" s="18" t="s">
        <v>714</v>
      </c>
      <c r="D441" s="20" t="s">
        <v>198</v>
      </c>
      <c r="E441" s="17" t="n">
        <v>14</v>
      </c>
      <c r="F441" s="13" t="s">
        <v>27</v>
      </c>
      <c r="G441" s="12" t="n">
        <f aca="false">IFERROR(VLOOKUP(D441,Insumos!$C$5:$G$108,5,FALSE()),0)</f>
        <v>0.035</v>
      </c>
      <c r="H441" s="14" t="n">
        <f aca="false">E441*G441</f>
        <v>0.49</v>
      </c>
    </row>
    <row r="442" customFormat="false" ht="15" hidden="false" customHeight="false" outlineLevel="0" collapsed="false">
      <c r="A442" s="0" t="n">
        <v>43</v>
      </c>
      <c r="B442" s="19" t="s">
        <v>708</v>
      </c>
      <c r="C442" s="18" t="s">
        <v>418</v>
      </c>
      <c r="D442" s="20" t="s">
        <v>200</v>
      </c>
      <c r="E442" s="17" t="n">
        <v>2</v>
      </c>
      <c r="F442" s="13" t="s">
        <v>27</v>
      </c>
      <c r="G442" s="12" t="n">
        <f aca="false">IFERROR(VLOOKUP(D442,Insumos!$C$5:$G$108,5,FALSE()),0)</f>
        <v>0.45</v>
      </c>
      <c r="H442" s="14" t="n">
        <f aca="false">E442*G442</f>
        <v>0.9</v>
      </c>
    </row>
    <row r="443" customFormat="false" ht="15" hidden="false" customHeight="false" outlineLevel="0" collapsed="false">
      <c r="A443" s="0" t="n">
        <v>43</v>
      </c>
      <c r="B443" s="19" t="s">
        <v>708</v>
      </c>
      <c r="C443" s="18" t="s">
        <v>387</v>
      </c>
      <c r="D443" s="20" t="s">
        <v>26</v>
      </c>
      <c r="E443" s="17" t="n">
        <v>1000</v>
      </c>
      <c r="F443" s="13" t="s">
        <v>27</v>
      </c>
      <c r="G443" s="12" t="n">
        <f aca="false">IFERROR(VLOOKUP(D443,Insumos!$C$5:$G$108,5,FALSE()),0)</f>
        <v>0.03</v>
      </c>
      <c r="H443" s="14" t="n">
        <f aca="false">E443*G443</f>
        <v>30</v>
      </c>
    </row>
    <row r="444" customFormat="false" ht="15" hidden="false" customHeight="false" outlineLevel="0" collapsed="false">
      <c r="A444" s="0" t="n">
        <v>44</v>
      </c>
      <c r="B444" s="19" t="s">
        <v>715</v>
      </c>
      <c r="C444" s="18" t="s">
        <v>716</v>
      </c>
      <c r="D444" s="20" t="s">
        <v>60</v>
      </c>
      <c r="E444" s="17" t="n">
        <v>1600</v>
      </c>
      <c r="F444" s="13" t="s">
        <v>27</v>
      </c>
      <c r="G444" s="12" t="n">
        <f aca="false">IFERROR(VLOOKUP(D444,Insumos!$C$5:$G$108,5,FALSE()),0)</f>
        <v>0.11</v>
      </c>
      <c r="H444" s="14" t="n">
        <f aca="false">E444*G444</f>
        <v>176</v>
      </c>
    </row>
    <row r="445" customFormat="false" ht="15" hidden="false" customHeight="false" outlineLevel="0" collapsed="false">
      <c r="A445" s="0" t="n">
        <v>44</v>
      </c>
      <c r="B445" s="19" t="s">
        <v>715</v>
      </c>
      <c r="C445" s="18" t="s">
        <v>717</v>
      </c>
      <c r="D445" s="20" t="s">
        <v>249</v>
      </c>
      <c r="E445" s="17" t="n">
        <v>250</v>
      </c>
      <c r="F445" s="13" t="s">
        <v>33</v>
      </c>
      <c r="G445" s="12" t="n">
        <f aca="false">IFERROR(VLOOKUP(D445,Insumos!$C$5:$G$108,5,FALSE()),0)</f>
        <v>0.126760563380282</v>
      </c>
      <c r="H445" s="14" t="n">
        <f aca="false">E445*G445</f>
        <v>31.6901408450704</v>
      </c>
    </row>
    <row r="446" customFormat="false" ht="15" hidden="false" customHeight="false" outlineLevel="0" collapsed="false">
      <c r="A446" s="0" t="n">
        <v>44</v>
      </c>
      <c r="B446" s="19" t="s">
        <v>715</v>
      </c>
      <c r="C446" s="18" t="s">
        <v>391</v>
      </c>
      <c r="D446" s="20" t="s">
        <v>103</v>
      </c>
      <c r="E446" s="17" t="n">
        <v>150</v>
      </c>
      <c r="F446" s="13" t="s">
        <v>27</v>
      </c>
      <c r="G446" s="12" t="n">
        <f aca="false">IFERROR(VLOOKUP(D446,Insumos!$C$5:$G$108,5,FALSE()),0)</f>
        <v>0.028</v>
      </c>
      <c r="H446" s="14" t="n">
        <f aca="false">E446*G446</f>
        <v>4.2</v>
      </c>
    </row>
    <row r="447" customFormat="false" ht="15" hidden="false" customHeight="false" outlineLevel="0" collapsed="false">
      <c r="A447" s="0" t="n">
        <v>44</v>
      </c>
      <c r="B447" s="19" t="s">
        <v>715</v>
      </c>
      <c r="C447" s="18" t="s">
        <v>400</v>
      </c>
      <c r="D447" s="20" t="s">
        <v>109</v>
      </c>
      <c r="E447" s="17" t="n">
        <v>16</v>
      </c>
      <c r="F447" s="13" t="s">
        <v>27</v>
      </c>
      <c r="G447" s="12" t="n">
        <f aca="false">IFERROR(VLOOKUP(D447,Insumos!$C$5:$G$108,5,FALSE()),0)</f>
        <v>0.11</v>
      </c>
      <c r="H447" s="14" t="n">
        <f aca="false">E447*G447</f>
        <v>1.76</v>
      </c>
    </row>
    <row r="448" customFormat="false" ht="15" hidden="false" customHeight="false" outlineLevel="0" collapsed="false">
      <c r="A448" s="0" t="n">
        <v>44</v>
      </c>
      <c r="B448" s="19" t="s">
        <v>715</v>
      </c>
      <c r="C448" s="18" t="s">
        <v>718</v>
      </c>
      <c r="D448" s="20" t="s">
        <v>171</v>
      </c>
      <c r="E448" s="17" t="n">
        <v>30</v>
      </c>
      <c r="F448" s="13" t="s">
        <v>27</v>
      </c>
      <c r="G448" s="12" t="n">
        <f aca="false">IFERROR(VLOOKUP(D448,Insumos!$C$5:$G$108,5,FALSE()),0)</f>
        <v>0.07</v>
      </c>
      <c r="H448" s="14" t="n">
        <f aca="false">E448*G448</f>
        <v>2.1</v>
      </c>
    </row>
    <row r="449" customFormat="false" ht="15" hidden="false" customHeight="false" outlineLevel="0" collapsed="false">
      <c r="A449" s="0" t="n">
        <v>44</v>
      </c>
      <c r="B449" s="19" t="s">
        <v>715</v>
      </c>
      <c r="C449" s="18" t="s">
        <v>719</v>
      </c>
      <c r="D449" s="20" t="s">
        <v>136</v>
      </c>
      <c r="E449" s="17" t="n">
        <v>30</v>
      </c>
      <c r="F449" s="13" t="s">
        <v>27</v>
      </c>
      <c r="G449" s="12" t="n">
        <f aca="false">IFERROR(VLOOKUP(D449,Insumos!$C$5:$G$108,5,FALSE()),0)</f>
        <v>0.045</v>
      </c>
      <c r="H449" s="14" t="n">
        <f aca="false">E449*G449</f>
        <v>1.35</v>
      </c>
    </row>
    <row r="450" customFormat="false" ht="15" hidden="false" customHeight="false" outlineLevel="0" collapsed="false">
      <c r="A450" s="0" t="n">
        <v>44</v>
      </c>
      <c r="B450" s="19" t="s">
        <v>715</v>
      </c>
      <c r="C450" s="18" t="s">
        <v>684</v>
      </c>
      <c r="D450" s="20" t="s">
        <v>30</v>
      </c>
      <c r="E450" s="17" t="n">
        <v>40</v>
      </c>
      <c r="F450" s="13" t="s">
        <v>27</v>
      </c>
      <c r="G450" s="12" t="n">
        <f aca="false">IFERROR(VLOOKUP(D450,Insumos!$C$5:$G$108,5,FALSE()),0)</f>
        <v>0.07</v>
      </c>
      <c r="H450" s="14" t="n">
        <f aca="false">E450*G450</f>
        <v>2.8</v>
      </c>
    </row>
    <row r="451" customFormat="false" ht="15" hidden="false" customHeight="false" outlineLevel="0" collapsed="false">
      <c r="A451" s="0" t="n">
        <v>44</v>
      </c>
      <c r="B451" s="19" t="s">
        <v>715</v>
      </c>
      <c r="C451" s="18" t="s">
        <v>565</v>
      </c>
      <c r="D451" s="20" t="s">
        <v>198</v>
      </c>
      <c r="E451" s="17" t="n">
        <v>16</v>
      </c>
      <c r="F451" s="13" t="s">
        <v>27</v>
      </c>
      <c r="G451" s="12" t="n">
        <f aca="false">IFERROR(VLOOKUP(D451,Insumos!$C$5:$G$108,5,FALSE()),0)</f>
        <v>0.035</v>
      </c>
      <c r="H451" s="14" t="n">
        <f aca="false">E451*G451</f>
        <v>0.56</v>
      </c>
    </row>
    <row r="452" customFormat="false" ht="15" hidden="false" customHeight="false" outlineLevel="0" collapsed="false">
      <c r="A452" s="0" t="n">
        <v>44</v>
      </c>
      <c r="B452" s="19" t="s">
        <v>715</v>
      </c>
      <c r="C452" s="18" t="s">
        <v>387</v>
      </c>
      <c r="D452" s="20" t="s">
        <v>26</v>
      </c>
      <c r="E452" s="17" t="n">
        <v>1000</v>
      </c>
      <c r="F452" s="13" t="s">
        <v>27</v>
      </c>
      <c r="G452" s="12" t="n">
        <f aca="false">IFERROR(VLOOKUP(D452,Insumos!$C$5:$G$108,5,FALSE()),0)</f>
        <v>0.03</v>
      </c>
      <c r="H452" s="14" t="n">
        <f aca="false">E452*G452</f>
        <v>30</v>
      </c>
    </row>
    <row r="453" customFormat="false" ht="15" hidden="false" customHeight="false" outlineLevel="0" collapsed="false">
      <c r="A453" s="0" t="n">
        <v>45</v>
      </c>
      <c r="B453" s="19" t="s">
        <v>720</v>
      </c>
      <c r="C453" s="18" t="s">
        <v>721</v>
      </c>
      <c r="D453" s="20" t="s">
        <v>151</v>
      </c>
      <c r="E453" s="17" t="n">
        <v>900</v>
      </c>
      <c r="F453" s="13" t="s">
        <v>27</v>
      </c>
      <c r="G453" s="12" t="n">
        <f aca="false">IFERROR(VLOOKUP(D453,Insumos!$C$5:$G$108,5,FALSE()),0)</f>
        <v>0.22</v>
      </c>
      <c r="H453" s="14" t="n">
        <f aca="false">E453*G453</f>
        <v>198</v>
      </c>
    </row>
    <row r="454" customFormat="false" ht="15" hidden="false" customHeight="false" outlineLevel="0" collapsed="false">
      <c r="A454" s="0" t="n">
        <v>45</v>
      </c>
      <c r="B454" s="19" t="s">
        <v>720</v>
      </c>
      <c r="C454" s="18" t="s">
        <v>722</v>
      </c>
      <c r="D454" s="20" t="s">
        <v>125</v>
      </c>
      <c r="E454" s="17" t="n">
        <v>600</v>
      </c>
      <c r="F454" s="13" t="s">
        <v>27</v>
      </c>
      <c r="G454" s="12" t="n">
        <f aca="false">IFERROR(VLOOKUP(D454,Insumos!$C$5:$G$108,5,FALSE()),0)</f>
        <v>0.045</v>
      </c>
      <c r="H454" s="14" t="n">
        <f aca="false">E454*G454</f>
        <v>27</v>
      </c>
    </row>
    <row r="455" customFormat="false" ht="15" hidden="false" customHeight="false" outlineLevel="0" collapsed="false">
      <c r="A455" s="0" t="n">
        <v>45</v>
      </c>
      <c r="B455" s="19" t="s">
        <v>720</v>
      </c>
      <c r="C455" s="18" t="s">
        <v>723</v>
      </c>
      <c r="D455" s="20" t="s">
        <v>96</v>
      </c>
      <c r="E455" s="17" t="n">
        <v>350</v>
      </c>
      <c r="F455" s="13" t="s">
        <v>27</v>
      </c>
      <c r="G455" s="12" t="n">
        <f aca="false">IFERROR(VLOOKUP(D455,Insumos!$C$5:$G$108,5,FALSE()),0)</f>
        <v>0.11</v>
      </c>
      <c r="H455" s="14" t="n">
        <f aca="false">E455*G455</f>
        <v>38.5</v>
      </c>
    </row>
    <row r="456" customFormat="false" ht="15" hidden="false" customHeight="false" outlineLevel="0" collapsed="false">
      <c r="A456" s="0" t="n">
        <v>45</v>
      </c>
      <c r="B456" s="19" t="s">
        <v>720</v>
      </c>
      <c r="C456" s="18" t="s">
        <v>724</v>
      </c>
      <c r="D456" s="20" t="s">
        <v>107</v>
      </c>
      <c r="E456" s="17" t="n">
        <v>150</v>
      </c>
      <c r="F456" s="13" t="s">
        <v>27</v>
      </c>
      <c r="G456" s="12" t="n">
        <f aca="false">IFERROR(VLOOKUP(D456,Insumos!$C$5:$G$108,5,FALSE()),0)</f>
        <v>0.045</v>
      </c>
      <c r="H456" s="14" t="n">
        <f aca="false">E456*G456</f>
        <v>6.75</v>
      </c>
    </row>
    <row r="457" customFormat="false" ht="15" hidden="false" customHeight="false" outlineLevel="0" collapsed="false">
      <c r="A457" s="0" t="n">
        <v>45</v>
      </c>
      <c r="B457" s="19" t="s">
        <v>720</v>
      </c>
      <c r="C457" s="18" t="s">
        <v>725</v>
      </c>
      <c r="D457" s="20" t="s">
        <v>138</v>
      </c>
      <c r="E457" s="17" t="n">
        <v>60</v>
      </c>
      <c r="F457" s="13" t="s">
        <v>27</v>
      </c>
      <c r="G457" s="12" t="n">
        <f aca="false">IFERROR(VLOOKUP(D457,Insumos!$C$5:$G$108,5,FALSE()),0)</f>
        <v>0.04</v>
      </c>
      <c r="H457" s="14" t="n">
        <f aca="false">E457*G457</f>
        <v>2.4</v>
      </c>
    </row>
    <row r="458" customFormat="false" ht="15" hidden="false" customHeight="false" outlineLevel="0" collapsed="false">
      <c r="A458" s="0" t="n">
        <v>45</v>
      </c>
      <c r="B458" s="19" t="s">
        <v>720</v>
      </c>
      <c r="C458" s="18" t="s">
        <v>414</v>
      </c>
      <c r="D458" s="20" t="s">
        <v>109</v>
      </c>
      <c r="E458" s="17" t="n">
        <v>12</v>
      </c>
      <c r="F458" s="13" t="s">
        <v>27</v>
      </c>
      <c r="G458" s="12" t="n">
        <f aca="false">IFERROR(VLOOKUP(D458,Insumos!$C$5:$G$108,5,FALSE()),0)</f>
        <v>0.11</v>
      </c>
      <c r="H458" s="14" t="n">
        <f aca="false">E458*G458</f>
        <v>1.32</v>
      </c>
    </row>
    <row r="459" customFormat="false" ht="15" hidden="false" customHeight="false" outlineLevel="0" collapsed="false">
      <c r="A459" s="0" t="n">
        <v>45</v>
      </c>
      <c r="B459" s="19" t="s">
        <v>720</v>
      </c>
      <c r="C459" s="18" t="s">
        <v>726</v>
      </c>
      <c r="D459" s="20" t="s">
        <v>30</v>
      </c>
      <c r="E459" s="17" t="n">
        <v>50</v>
      </c>
      <c r="F459" s="13" t="s">
        <v>27</v>
      </c>
      <c r="G459" s="12" t="n">
        <f aca="false">IFERROR(VLOOKUP(D459,Insumos!$C$5:$G$108,5,FALSE()),0)</f>
        <v>0.07</v>
      </c>
      <c r="H459" s="14" t="n">
        <f aca="false">E459*G459</f>
        <v>3.5</v>
      </c>
    </row>
    <row r="460" customFormat="false" ht="15" hidden="false" customHeight="false" outlineLevel="0" collapsed="false">
      <c r="A460" s="0" t="n">
        <v>45</v>
      </c>
      <c r="B460" s="19" t="s">
        <v>720</v>
      </c>
      <c r="C460" s="18" t="s">
        <v>496</v>
      </c>
      <c r="D460" s="20" t="s">
        <v>198</v>
      </c>
      <c r="E460" s="17" t="n">
        <v>14</v>
      </c>
      <c r="F460" s="13" t="s">
        <v>27</v>
      </c>
      <c r="G460" s="12" t="n">
        <f aca="false">IFERROR(VLOOKUP(D460,Insumos!$C$5:$G$108,5,FALSE()),0)</f>
        <v>0.035</v>
      </c>
      <c r="H460" s="14" t="n">
        <f aca="false">E460*G460</f>
        <v>0.49</v>
      </c>
    </row>
    <row r="461" customFormat="false" ht="15" hidden="false" customHeight="false" outlineLevel="0" collapsed="false">
      <c r="A461" s="0" t="n">
        <v>45</v>
      </c>
      <c r="B461" s="19" t="s">
        <v>720</v>
      </c>
      <c r="C461" s="18" t="s">
        <v>387</v>
      </c>
      <c r="D461" s="20" t="s">
        <v>26</v>
      </c>
      <c r="E461" s="17" t="n">
        <v>1000</v>
      </c>
      <c r="F461" s="13" t="s">
        <v>27</v>
      </c>
      <c r="G461" s="12" t="n">
        <f aca="false">IFERROR(VLOOKUP(D461,Insumos!$C$5:$G$108,5,FALSE()),0)</f>
        <v>0.03</v>
      </c>
      <c r="H461" s="14" t="n">
        <f aca="false">E461*G461</f>
        <v>30</v>
      </c>
    </row>
    <row r="462" customFormat="false" ht="15" hidden="false" customHeight="false" outlineLevel="0" collapsed="false">
      <c r="A462" s="0" t="n">
        <v>46</v>
      </c>
      <c r="B462" s="19" t="s">
        <v>727</v>
      </c>
      <c r="C462" s="18" t="s">
        <v>728</v>
      </c>
      <c r="D462" s="20" t="s">
        <v>158</v>
      </c>
      <c r="E462" s="17" t="n">
        <v>400</v>
      </c>
      <c r="F462" s="13" t="s">
        <v>27</v>
      </c>
      <c r="G462" s="12" t="n">
        <f aca="false">IFERROR(VLOOKUP(D462,Insumos!$C$5:$G$108,5,FALSE()),0)</f>
        <v>0.075</v>
      </c>
      <c r="H462" s="14" t="n">
        <f aca="false">E462*G462</f>
        <v>30</v>
      </c>
    </row>
    <row r="463" customFormat="false" ht="15" hidden="false" customHeight="false" outlineLevel="0" collapsed="false">
      <c r="A463" s="0" t="n">
        <v>46</v>
      </c>
      <c r="B463" s="19" t="s">
        <v>727</v>
      </c>
      <c r="C463" s="18" t="s">
        <v>729</v>
      </c>
      <c r="D463" s="20" t="s">
        <v>113</v>
      </c>
      <c r="E463" s="17" t="n">
        <v>350</v>
      </c>
      <c r="F463" s="13" t="s">
        <v>27</v>
      </c>
      <c r="G463" s="12" t="n">
        <f aca="false">IFERROR(VLOOKUP(D463,Insumos!$C$5:$G$108,5,FALSE()),0)</f>
        <v>0.03</v>
      </c>
      <c r="H463" s="14" t="n">
        <f aca="false">E463*G463</f>
        <v>10.5</v>
      </c>
    </row>
    <row r="464" customFormat="false" ht="15" hidden="false" customHeight="false" outlineLevel="0" collapsed="false">
      <c r="A464" s="0" t="n">
        <v>46</v>
      </c>
      <c r="B464" s="19" t="s">
        <v>727</v>
      </c>
      <c r="C464" s="18" t="s">
        <v>730</v>
      </c>
      <c r="D464" s="20" t="s">
        <v>136</v>
      </c>
      <c r="E464" s="17" t="n">
        <v>50</v>
      </c>
      <c r="F464" s="13" t="s">
        <v>27</v>
      </c>
      <c r="G464" s="12" t="n">
        <f aca="false">IFERROR(VLOOKUP(D464,Insumos!$C$5:$G$108,5,FALSE()),0)</f>
        <v>0.045</v>
      </c>
      <c r="H464" s="14" t="n">
        <f aca="false">E464*G464</f>
        <v>2.25</v>
      </c>
    </row>
    <row r="465" customFormat="false" ht="15" hidden="false" customHeight="false" outlineLevel="0" collapsed="false">
      <c r="A465" s="0" t="n">
        <v>46</v>
      </c>
      <c r="B465" s="19" t="s">
        <v>727</v>
      </c>
      <c r="C465" s="18" t="s">
        <v>731</v>
      </c>
      <c r="D465" s="20" t="s">
        <v>169</v>
      </c>
      <c r="E465" s="17" t="n">
        <v>30</v>
      </c>
      <c r="F465" s="13" t="s">
        <v>27</v>
      </c>
      <c r="G465" s="12" t="n">
        <f aca="false">IFERROR(VLOOKUP(D465,Insumos!$C$5:$G$108,5,FALSE()),0)</f>
        <v>0.06</v>
      </c>
      <c r="H465" s="14" t="n">
        <f aca="false">E465*G465</f>
        <v>1.8</v>
      </c>
    </row>
    <row r="466" customFormat="false" ht="15" hidden="false" customHeight="false" outlineLevel="0" collapsed="false">
      <c r="A466" s="0" t="n">
        <v>46</v>
      </c>
      <c r="B466" s="19" t="s">
        <v>727</v>
      </c>
      <c r="C466" s="18" t="s">
        <v>732</v>
      </c>
      <c r="D466" s="20" t="s">
        <v>109</v>
      </c>
      <c r="E466" s="17" t="n">
        <v>10</v>
      </c>
      <c r="F466" s="13" t="s">
        <v>27</v>
      </c>
      <c r="G466" s="12" t="n">
        <f aca="false">IFERROR(VLOOKUP(D466,Insumos!$C$5:$G$108,5,FALSE()),0)</f>
        <v>0.11</v>
      </c>
      <c r="H466" s="14" t="n">
        <f aca="false">E466*G466</f>
        <v>1.1</v>
      </c>
    </row>
    <row r="467" customFormat="false" ht="15" hidden="false" customHeight="false" outlineLevel="0" collapsed="false">
      <c r="A467" s="0" t="n">
        <v>46</v>
      </c>
      <c r="B467" s="19" t="s">
        <v>727</v>
      </c>
      <c r="C467" s="18" t="s">
        <v>733</v>
      </c>
      <c r="D467" s="20" t="s">
        <v>160</v>
      </c>
      <c r="E467" s="17" t="n">
        <v>40</v>
      </c>
      <c r="F467" s="13" t="s">
        <v>33</v>
      </c>
      <c r="G467" s="12" t="n">
        <f aca="false">IFERROR(VLOOKUP(D467,Insumos!$C$5:$G$108,5,FALSE()),0)</f>
        <v>0.07</v>
      </c>
      <c r="H467" s="14" t="n">
        <f aca="false">E467*G467</f>
        <v>2.8</v>
      </c>
    </row>
    <row r="468" customFormat="false" ht="15" hidden="false" customHeight="false" outlineLevel="0" collapsed="false">
      <c r="A468" s="0" t="n">
        <v>46</v>
      </c>
      <c r="B468" s="19" t="s">
        <v>727</v>
      </c>
      <c r="C468" s="18" t="s">
        <v>734</v>
      </c>
      <c r="D468" s="20" t="s">
        <v>251</v>
      </c>
      <c r="E468" s="17" t="n">
        <v>70</v>
      </c>
      <c r="F468" s="13" t="s">
        <v>33</v>
      </c>
      <c r="G468" s="12" t="n">
        <f aca="false">IFERROR(VLOOKUP(D468,Insumos!$C$5:$G$108,5,FALSE()),0)</f>
        <v>0.002</v>
      </c>
      <c r="H468" s="14" t="n">
        <f aca="false">E468*G468</f>
        <v>0.14</v>
      </c>
    </row>
    <row r="469" customFormat="false" ht="15" hidden="false" customHeight="false" outlineLevel="0" collapsed="false">
      <c r="A469" s="0" t="n">
        <v>46</v>
      </c>
      <c r="B469" s="19" t="s">
        <v>727</v>
      </c>
      <c r="C469" s="18" t="s">
        <v>735</v>
      </c>
      <c r="D469" s="20" t="s">
        <v>198</v>
      </c>
      <c r="E469" s="17" t="n">
        <v>14</v>
      </c>
      <c r="F469" s="13" t="s">
        <v>27</v>
      </c>
      <c r="G469" s="12" t="n">
        <f aca="false">IFERROR(VLOOKUP(D469,Insumos!$C$5:$G$108,5,FALSE()),0)</f>
        <v>0.035</v>
      </c>
      <c r="H469" s="14" t="n">
        <f aca="false">E469*G469</f>
        <v>0.49</v>
      </c>
    </row>
    <row r="470" customFormat="false" ht="15" hidden="false" customHeight="false" outlineLevel="0" collapsed="false">
      <c r="A470" s="0" t="n">
        <v>47</v>
      </c>
      <c r="B470" s="19" t="s">
        <v>736</v>
      </c>
      <c r="C470" s="18" t="s">
        <v>737</v>
      </c>
      <c r="D470" s="20" t="s">
        <v>111</v>
      </c>
      <c r="E470" s="17" t="n">
        <v>500</v>
      </c>
      <c r="F470" s="13" t="s">
        <v>27</v>
      </c>
      <c r="G470" s="12" t="n">
        <f aca="false">IFERROR(VLOOKUP(D470,Insumos!$C$5:$G$108,5,FALSE()),0)</f>
        <v>0.03</v>
      </c>
      <c r="H470" s="14" t="n">
        <f aca="false">E470*G470</f>
        <v>15</v>
      </c>
    </row>
    <row r="471" customFormat="false" ht="15" hidden="false" customHeight="false" outlineLevel="0" collapsed="false">
      <c r="A471" s="0" t="n">
        <v>47</v>
      </c>
      <c r="B471" s="19" t="s">
        <v>736</v>
      </c>
      <c r="C471" s="18" t="s">
        <v>738</v>
      </c>
      <c r="D471" s="20" t="s">
        <v>156</v>
      </c>
      <c r="E471" s="17" t="n">
        <v>180</v>
      </c>
      <c r="F471" s="13" t="s">
        <v>27</v>
      </c>
      <c r="G471" s="12" t="n">
        <f aca="false">IFERROR(VLOOKUP(D471,Insumos!$C$5:$G$108,5,FALSE()),0)</f>
        <v>0.045</v>
      </c>
      <c r="H471" s="14" t="n">
        <f aca="false">E471*G471</f>
        <v>8.1</v>
      </c>
    </row>
    <row r="472" customFormat="false" ht="15" hidden="false" customHeight="false" outlineLevel="0" collapsed="false">
      <c r="A472" s="0" t="n">
        <v>47</v>
      </c>
      <c r="B472" s="19" t="s">
        <v>736</v>
      </c>
      <c r="C472" s="18" t="s">
        <v>739</v>
      </c>
      <c r="D472" s="20" t="s">
        <v>187</v>
      </c>
      <c r="E472" s="17" t="n">
        <v>40</v>
      </c>
      <c r="F472" s="13" t="s">
        <v>27</v>
      </c>
      <c r="G472" s="12" t="n">
        <f aca="false">IFERROR(VLOOKUP(D472,Insumos!$C$5:$G$108,5,FALSE()),0)</f>
        <v>0.32</v>
      </c>
      <c r="H472" s="14" t="n">
        <f aca="false">E472*G472</f>
        <v>12.8</v>
      </c>
    </row>
    <row r="473" customFormat="false" ht="15" hidden="false" customHeight="false" outlineLevel="0" collapsed="false">
      <c r="A473" s="0" t="n">
        <v>47</v>
      </c>
      <c r="B473" s="19" t="s">
        <v>736</v>
      </c>
      <c r="C473" s="18" t="s">
        <v>740</v>
      </c>
      <c r="D473" s="20" t="s">
        <v>103</v>
      </c>
      <c r="E473" s="17" t="n">
        <v>80</v>
      </c>
      <c r="F473" s="13" t="s">
        <v>27</v>
      </c>
      <c r="G473" s="12" t="n">
        <f aca="false">IFERROR(VLOOKUP(D473,Insumos!$C$5:$G$108,5,FALSE()),0)</f>
        <v>0.028</v>
      </c>
      <c r="H473" s="14" t="n">
        <f aca="false">E473*G473</f>
        <v>2.24</v>
      </c>
    </row>
    <row r="474" customFormat="false" ht="15" hidden="false" customHeight="false" outlineLevel="0" collapsed="false">
      <c r="A474" s="0" t="n">
        <v>47</v>
      </c>
      <c r="B474" s="19" t="s">
        <v>736</v>
      </c>
      <c r="C474" s="18" t="s">
        <v>741</v>
      </c>
      <c r="D474" s="20" t="s">
        <v>109</v>
      </c>
      <c r="E474" s="17" t="n">
        <v>15</v>
      </c>
      <c r="F474" s="13" t="s">
        <v>27</v>
      </c>
      <c r="G474" s="12" t="n">
        <f aca="false">IFERROR(VLOOKUP(D474,Insumos!$C$5:$G$108,5,FALSE()),0)</f>
        <v>0.11</v>
      </c>
      <c r="H474" s="14" t="n">
        <f aca="false">E474*G474</f>
        <v>1.65</v>
      </c>
    </row>
    <row r="475" customFormat="false" ht="15" hidden="false" customHeight="false" outlineLevel="0" collapsed="false">
      <c r="A475" s="0" t="n">
        <v>47</v>
      </c>
      <c r="B475" s="19" t="s">
        <v>736</v>
      </c>
      <c r="C475" s="18" t="s">
        <v>742</v>
      </c>
      <c r="D475" s="20" t="s">
        <v>32</v>
      </c>
      <c r="E475" s="17" t="n">
        <v>20</v>
      </c>
      <c r="F475" s="13" t="s">
        <v>33</v>
      </c>
      <c r="G475" s="12" t="n">
        <f aca="false">IFERROR(VLOOKUP(D475,Insumos!$C$5:$G$108,5,FALSE()),0)</f>
        <v>0.048</v>
      </c>
      <c r="H475" s="14" t="n">
        <f aca="false">E475*G475</f>
        <v>0.96</v>
      </c>
    </row>
    <row r="476" customFormat="false" ht="15" hidden="false" customHeight="false" outlineLevel="0" collapsed="false">
      <c r="A476" s="0" t="n">
        <v>47</v>
      </c>
      <c r="B476" s="19" t="s">
        <v>736</v>
      </c>
      <c r="C476" s="18" t="s">
        <v>428</v>
      </c>
      <c r="D476" s="20" t="s">
        <v>198</v>
      </c>
      <c r="E476" s="17" t="n">
        <v>14</v>
      </c>
      <c r="F476" s="13" t="s">
        <v>27</v>
      </c>
      <c r="G476" s="12" t="n">
        <f aca="false">IFERROR(VLOOKUP(D476,Insumos!$C$5:$G$108,5,FALSE()),0)</f>
        <v>0.035</v>
      </c>
      <c r="H476" s="14" t="n">
        <f aca="false">E476*G476</f>
        <v>0.49</v>
      </c>
    </row>
    <row r="477" customFormat="false" ht="15" hidden="false" customHeight="false" outlineLevel="0" collapsed="false">
      <c r="A477" s="0" t="n">
        <v>47</v>
      </c>
      <c r="B477" s="19" t="s">
        <v>736</v>
      </c>
      <c r="C477" s="18" t="s">
        <v>743</v>
      </c>
      <c r="D477" s="20" t="s">
        <v>251</v>
      </c>
      <c r="E477" s="17" t="n">
        <v>150</v>
      </c>
      <c r="F477" s="13" t="s">
        <v>33</v>
      </c>
      <c r="G477" s="12" t="n">
        <f aca="false">IFERROR(VLOOKUP(D477,Insumos!$C$5:$G$108,5,FALSE()),0)</f>
        <v>0.002</v>
      </c>
      <c r="H477" s="14" t="n">
        <f aca="false">E477*G477</f>
        <v>0.3</v>
      </c>
    </row>
    <row r="478" customFormat="false" ht="15" hidden="false" customHeight="false" outlineLevel="0" collapsed="false">
      <c r="A478" s="0" t="n">
        <v>48</v>
      </c>
      <c r="B478" s="19" t="s">
        <v>744</v>
      </c>
      <c r="C478" s="18" t="s">
        <v>745</v>
      </c>
      <c r="D478" s="20" t="s">
        <v>105</v>
      </c>
      <c r="E478" s="17" t="n">
        <v>500</v>
      </c>
      <c r="F478" s="13" t="s">
        <v>27</v>
      </c>
      <c r="G478" s="12" t="n">
        <f aca="false">IFERROR(VLOOKUP(D478,Insumos!$C$5:$G$108,5,FALSE()),0)</f>
        <v>0.04</v>
      </c>
      <c r="H478" s="14" t="n">
        <f aca="false">E478*G478</f>
        <v>20</v>
      </c>
    </row>
    <row r="479" customFormat="false" ht="15" hidden="false" customHeight="false" outlineLevel="0" collapsed="false">
      <c r="A479" s="0" t="n">
        <v>48</v>
      </c>
      <c r="B479" s="19" t="s">
        <v>744</v>
      </c>
      <c r="C479" s="18" t="s">
        <v>746</v>
      </c>
      <c r="D479" s="20" t="s">
        <v>142</v>
      </c>
      <c r="E479" s="17" t="n">
        <v>40</v>
      </c>
      <c r="F479" s="13" t="s">
        <v>27</v>
      </c>
      <c r="G479" s="12" t="n">
        <f aca="false">IFERROR(VLOOKUP(D479,Insumos!$C$5:$G$108,5,FALSE()),0)</f>
        <v>0.09</v>
      </c>
      <c r="H479" s="14" t="n">
        <f aca="false">E479*G479</f>
        <v>3.6</v>
      </c>
    </row>
    <row r="480" customFormat="false" ht="15" hidden="false" customHeight="false" outlineLevel="0" collapsed="false">
      <c r="A480" s="0" t="n">
        <v>48</v>
      </c>
      <c r="B480" s="19" t="s">
        <v>744</v>
      </c>
      <c r="C480" s="18" t="s">
        <v>747</v>
      </c>
      <c r="D480" s="20" t="s">
        <v>162</v>
      </c>
      <c r="E480" s="17" t="n">
        <v>150</v>
      </c>
      <c r="F480" s="13" t="s">
        <v>33</v>
      </c>
      <c r="G480" s="12" t="n">
        <f aca="false">IFERROR(VLOOKUP(D480,Insumos!$C$5:$G$108,5,FALSE()),0)</f>
        <v>0.06</v>
      </c>
      <c r="H480" s="14" t="n">
        <f aca="false">E480*G480</f>
        <v>9</v>
      </c>
    </row>
    <row r="481" customFormat="false" ht="15" hidden="false" customHeight="false" outlineLevel="0" collapsed="false">
      <c r="A481" s="0" t="n">
        <v>48</v>
      </c>
      <c r="B481" s="19" t="s">
        <v>744</v>
      </c>
      <c r="C481" s="18" t="s">
        <v>748</v>
      </c>
      <c r="D481" s="20" t="s">
        <v>160</v>
      </c>
      <c r="E481" s="17" t="n">
        <v>50</v>
      </c>
      <c r="F481" s="13" t="s">
        <v>33</v>
      </c>
      <c r="G481" s="12" t="n">
        <f aca="false">IFERROR(VLOOKUP(D481,Insumos!$C$5:$G$108,5,FALSE()),0)</f>
        <v>0.07</v>
      </c>
      <c r="H481" s="14" t="n">
        <f aca="false">E481*G481</f>
        <v>3.5</v>
      </c>
    </row>
    <row r="482" customFormat="false" ht="15" hidden="false" customHeight="false" outlineLevel="0" collapsed="false">
      <c r="A482" s="0" t="n">
        <v>48</v>
      </c>
      <c r="B482" s="19" t="s">
        <v>744</v>
      </c>
      <c r="C482" s="18" t="s">
        <v>749</v>
      </c>
      <c r="D482" s="20" t="s">
        <v>251</v>
      </c>
      <c r="E482" s="17" t="n">
        <v>50</v>
      </c>
      <c r="F482" s="13" t="s">
        <v>33</v>
      </c>
      <c r="G482" s="12" t="n">
        <f aca="false">IFERROR(VLOOKUP(D482,Insumos!$C$5:$G$108,5,FALSE()),0)</f>
        <v>0.002</v>
      </c>
      <c r="H482" s="14" t="n">
        <f aca="false">E482*G482</f>
        <v>0.1</v>
      </c>
    </row>
    <row r="483" customFormat="false" ht="15" hidden="false" customHeight="false" outlineLevel="0" collapsed="false">
      <c r="A483" s="0" t="n">
        <v>48</v>
      </c>
      <c r="B483" s="19" t="s">
        <v>744</v>
      </c>
      <c r="C483" s="18" t="s">
        <v>750</v>
      </c>
      <c r="D483" s="20" t="s">
        <v>204</v>
      </c>
      <c r="E483" s="17" t="n">
        <v>4</v>
      </c>
      <c r="F483" s="13" t="s">
        <v>27</v>
      </c>
      <c r="G483" s="12" t="n">
        <f aca="false">IFERROR(VLOOKUP(D483,Insumos!$C$5:$G$108,5,FALSE()),0)</f>
        <v>0.3</v>
      </c>
      <c r="H483" s="14" t="n">
        <f aca="false">E483*G483</f>
        <v>1.2</v>
      </c>
    </row>
    <row r="484" customFormat="false" ht="15" hidden="false" customHeight="false" outlineLevel="0" collapsed="false">
      <c r="A484" s="0" t="n">
        <v>48</v>
      </c>
      <c r="B484" s="19" t="s">
        <v>744</v>
      </c>
      <c r="C484" s="18" t="s">
        <v>751</v>
      </c>
      <c r="D484" s="20" t="s">
        <v>198</v>
      </c>
      <c r="E484" s="17" t="n">
        <v>14</v>
      </c>
      <c r="F484" s="13" t="s">
        <v>27</v>
      </c>
      <c r="G484" s="12" t="n">
        <f aca="false">IFERROR(VLOOKUP(D484,Insumos!$C$5:$G$108,5,FALSE()),0)</f>
        <v>0.035</v>
      </c>
      <c r="H484" s="14" t="n">
        <f aca="false">E484*G484</f>
        <v>0.49</v>
      </c>
    </row>
    <row r="485" customFormat="false" ht="15" hidden="false" customHeight="false" outlineLevel="0" collapsed="false">
      <c r="A485" s="0" t="n">
        <v>49</v>
      </c>
      <c r="B485" s="19" t="s">
        <v>752</v>
      </c>
      <c r="C485" s="18" t="s">
        <v>753</v>
      </c>
      <c r="D485" s="20" t="s">
        <v>236</v>
      </c>
      <c r="E485" s="17" t="n">
        <v>400</v>
      </c>
      <c r="F485" s="13" t="s">
        <v>27</v>
      </c>
      <c r="G485" s="12" t="n">
        <f aca="false">IFERROR(VLOOKUP(D485,Insumos!$C$5:$G$108,5,FALSE()),0)</f>
        <v>0.045</v>
      </c>
      <c r="H485" s="14" t="n">
        <f aca="false">E485*G485</f>
        <v>18</v>
      </c>
    </row>
    <row r="486" customFormat="false" ht="15" hidden="false" customHeight="false" outlineLevel="0" collapsed="false">
      <c r="A486" s="0" t="n">
        <v>49</v>
      </c>
      <c r="B486" s="19" t="s">
        <v>752</v>
      </c>
      <c r="C486" s="18" t="s">
        <v>390</v>
      </c>
      <c r="D486" s="20" t="s">
        <v>30</v>
      </c>
      <c r="E486" s="17" t="n">
        <v>100</v>
      </c>
      <c r="F486" s="13" t="s">
        <v>27</v>
      </c>
      <c r="G486" s="12" t="n">
        <f aca="false">IFERROR(VLOOKUP(D486,Insumos!$C$5:$G$108,5,FALSE()),0)</f>
        <v>0.07</v>
      </c>
      <c r="H486" s="14" t="n">
        <f aca="false">E486*G486</f>
        <v>7</v>
      </c>
    </row>
    <row r="487" customFormat="false" ht="15" hidden="false" customHeight="false" outlineLevel="0" collapsed="false">
      <c r="A487" s="0" t="n">
        <v>49</v>
      </c>
      <c r="B487" s="19" t="s">
        <v>752</v>
      </c>
      <c r="C487" s="18" t="s">
        <v>754</v>
      </c>
      <c r="D487" s="20" t="s">
        <v>185</v>
      </c>
      <c r="E487" s="17" t="n">
        <v>45</v>
      </c>
      <c r="F487" s="13" t="s">
        <v>27</v>
      </c>
      <c r="G487" s="12" t="n">
        <f aca="false">IFERROR(VLOOKUP(D487,Insumos!$C$5:$G$108,5,FALSE()),0)</f>
        <v>0.3</v>
      </c>
      <c r="H487" s="14" t="n">
        <f aca="false">E487*G487</f>
        <v>13.5</v>
      </c>
    </row>
    <row r="488" customFormat="false" ht="15" hidden="false" customHeight="false" outlineLevel="0" collapsed="false">
      <c r="A488" s="0" t="n">
        <v>49</v>
      </c>
      <c r="B488" s="19" t="s">
        <v>752</v>
      </c>
      <c r="C488" s="18" t="s">
        <v>391</v>
      </c>
      <c r="D488" s="20" t="s">
        <v>103</v>
      </c>
      <c r="E488" s="17" t="n">
        <v>150</v>
      </c>
      <c r="F488" s="13" t="s">
        <v>27</v>
      </c>
      <c r="G488" s="12" t="n">
        <f aca="false">IFERROR(VLOOKUP(D488,Insumos!$C$5:$G$108,5,FALSE()),0)</f>
        <v>0.028</v>
      </c>
      <c r="H488" s="14" t="n">
        <f aca="false">E488*G488</f>
        <v>4.2</v>
      </c>
    </row>
    <row r="489" customFormat="false" ht="15" hidden="false" customHeight="false" outlineLevel="0" collapsed="false">
      <c r="A489" s="0" t="n">
        <v>49</v>
      </c>
      <c r="B489" s="19" t="s">
        <v>752</v>
      </c>
      <c r="C489" s="18" t="s">
        <v>755</v>
      </c>
      <c r="D489" s="20" t="s">
        <v>109</v>
      </c>
      <c r="E489" s="17" t="n">
        <v>20</v>
      </c>
      <c r="F489" s="13" t="s">
        <v>27</v>
      </c>
      <c r="G489" s="12" t="n">
        <f aca="false">IFERROR(VLOOKUP(D489,Insumos!$C$5:$G$108,5,FALSE()),0)</f>
        <v>0.11</v>
      </c>
      <c r="H489" s="14" t="n">
        <f aca="false">E489*G489</f>
        <v>2.2</v>
      </c>
    </row>
    <row r="490" customFormat="false" ht="15" hidden="false" customHeight="false" outlineLevel="0" collapsed="false">
      <c r="A490" s="0" t="n">
        <v>49</v>
      </c>
      <c r="B490" s="19" t="s">
        <v>752</v>
      </c>
      <c r="C490" s="18" t="s">
        <v>428</v>
      </c>
      <c r="D490" s="20" t="s">
        <v>198</v>
      </c>
      <c r="E490" s="17" t="n">
        <v>14</v>
      </c>
      <c r="F490" s="13" t="s">
        <v>27</v>
      </c>
      <c r="G490" s="12" t="n">
        <f aca="false">IFERROR(VLOOKUP(D490,Insumos!$C$5:$G$108,5,FALSE()),0)</f>
        <v>0.035</v>
      </c>
      <c r="H490" s="14" t="n">
        <f aca="false">E490*G490</f>
        <v>0.49</v>
      </c>
    </row>
    <row r="491" customFormat="false" ht="15" hidden="false" customHeight="false" outlineLevel="0" collapsed="false">
      <c r="A491" s="0" t="n">
        <v>49</v>
      </c>
      <c r="B491" s="19" t="s">
        <v>752</v>
      </c>
      <c r="C491" s="18" t="s">
        <v>756</v>
      </c>
      <c r="D491" s="20" t="s">
        <v>251</v>
      </c>
      <c r="E491" s="17" t="n">
        <v>100</v>
      </c>
      <c r="F491" s="13" t="s">
        <v>33</v>
      </c>
      <c r="G491" s="12" t="n">
        <f aca="false">IFERROR(VLOOKUP(D491,Insumos!$C$5:$G$108,5,FALSE()),0)</f>
        <v>0.002</v>
      </c>
      <c r="H491" s="14" t="n">
        <f aca="false">E491*G491</f>
        <v>0.2</v>
      </c>
    </row>
    <row r="492" customFormat="false" ht="15" hidden="false" customHeight="false" outlineLevel="0" collapsed="false">
      <c r="A492" s="0" t="n">
        <v>50</v>
      </c>
      <c r="B492" s="19" t="s">
        <v>757</v>
      </c>
      <c r="C492" s="18" t="s">
        <v>758</v>
      </c>
      <c r="D492" s="20" t="s">
        <v>42</v>
      </c>
      <c r="E492" s="17" t="n">
        <v>550</v>
      </c>
      <c r="F492" s="13" t="s">
        <v>27</v>
      </c>
      <c r="G492" s="12" t="n">
        <f aca="false">IFERROR(VLOOKUP(D492,Insumos!$C$5:$G$108,5,FALSE()),0)</f>
        <v>0.19</v>
      </c>
      <c r="H492" s="14" t="n">
        <f aca="false">E492*G492</f>
        <v>104.5</v>
      </c>
    </row>
    <row r="493" customFormat="false" ht="15" hidden="false" customHeight="false" outlineLevel="0" collapsed="false">
      <c r="A493" s="0" t="n">
        <v>50</v>
      </c>
      <c r="B493" s="19" t="s">
        <v>757</v>
      </c>
      <c r="C493" s="18" t="s">
        <v>759</v>
      </c>
      <c r="D493" s="20" t="s">
        <v>113</v>
      </c>
      <c r="E493" s="17" t="n">
        <v>400</v>
      </c>
      <c r="F493" s="13" t="s">
        <v>27</v>
      </c>
      <c r="G493" s="12" t="n">
        <f aca="false">IFERROR(VLOOKUP(D493,Insumos!$C$5:$G$108,5,FALSE()),0)</f>
        <v>0.03</v>
      </c>
      <c r="H493" s="14" t="n">
        <f aca="false">E493*G493</f>
        <v>12</v>
      </c>
    </row>
    <row r="494" customFormat="false" ht="15" hidden="false" customHeight="false" outlineLevel="0" collapsed="false">
      <c r="A494" s="0" t="n">
        <v>50</v>
      </c>
      <c r="B494" s="19" t="s">
        <v>757</v>
      </c>
      <c r="C494" s="18" t="s">
        <v>760</v>
      </c>
      <c r="D494" s="20" t="s">
        <v>136</v>
      </c>
      <c r="E494" s="17" t="n">
        <v>20</v>
      </c>
      <c r="F494" s="13" t="s">
        <v>27</v>
      </c>
      <c r="G494" s="12" t="n">
        <f aca="false">IFERROR(VLOOKUP(D494,Insumos!$C$5:$G$108,5,FALSE()),0)</f>
        <v>0.045</v>
      </c>
      <c r="H494" s="14" t="n">
        <f aca="false">E494*G494</f>
        <v>0.9</v>
      </c>
    </row>
    <row r="495" customFormat="false" ht="15" hidden="false" customHeight="false" outlineLevel="0" collapsed="false">
      <c r="A495" s="0" t="n">
        <v>50</v>
      </c>
      <c r="B495" s="19" t="s">
        <v>757</v>
      </c>
      <c r="C495" s="18" t="s">
        <v>647</v>
      </c>
      <c r="D495" s="20" t="s">
        <v>103</v>
      </c>
      <c r="E495" s="17" t="n">
        <v>100</v>
      </c>
      <c r="F495" s="13" t="s">
        <v>27</v>
      </c>
      <c r="G495" s="12" t="n">
        <f aca="false">IFERROR(VLOOKUP(D495,Insumos!$C$5:$G$108,5,FALSE()),0)</f>
        <v>0.028</v>
      </c>
      <c r="H495" s="14" t="n">
        <f aca="false">E495*G495</f>
        <v>2.8</v>
      </c>
    </row>
    <row r="496" customFormat="false" ht="15" hidden="false" customHeight="false" outlineLevel="0" collapsed="false">
      <c r="A496" s="0" t="n">
        <v>50</v>
      </c>
      <c r="B496" s="19" t="s">
        <v>757</v>
      </c>
      <c r="C496" s="18" t="s">
        <v>551</v>
      </c>
      <c r="D496" s="20" t="s">
        <v>109</v>
      </c>
      <c r="E496" s="17" t="n">
        <v>8</v>
      </c>
      <c r="F496" s="13" t="s">
        <v>27</v>
      </c>
      <c r="G496" s="12" t="n">
        <f aca="false">IFERROR(VLOOKUP(D496,Insumos!$C$5:$G$108,5,FALSE()),0)</f>
        <v>0.11</v>
      </c>
      <c r="H496" s="14" t="n">
        <f aca="false">E496*G496</f>
        <v>0.88</v>
      </c>
    </row>
    <row r="497" customFormat="false" ht="15" hidden="false" customHeight="false" outlineLevel="0" collapsed="false">
      <c r="A497" s="0" t="n">
        <v>50</v>
      </c>
      <c r="B497" s="19" t="s">
        <v>757</v>
      </c>
      <c r="C497" s="18" t="s">
        <v>761</v>
      </c>
      <c r="D497" s="20" t="s">
        <v>169</v>
      </c>
      <c r="E497" s="17" t="n">
        <v>35</v>
      </c>
      <c r="F497" s="13" t="s">
        <v>27</v>
      </c>
      <c r="G497" s="12" t="n">
        <f aca="false">IFERROR(VLOOKUP(D497,Insumos!$C$5:$G$108,5,FALSE()),0)</f>
        <v>0.06</v>
      </c>
      <c r="H497" s="14" t="n">
        <f aca="false">E497*G497</f>
        <v>2.1</v>
      </c>
    </row>
    <row r="498" customFormat="false" ht="15" hidden="false" customHeight="false" outlineLevel="0" collapsed="false">
      <c r="A498" s="0" t="n">
        <v>50</v>
      </c>
      <c r="B498" s="19" t="s">
        <v>757</v>
      </c>
      <c r="C498" s="18" t="s">
        <v>762</v>
      </c>
      <c r="D498" s="20" t="s">
        <v>32</v>
      </c>
      <c r="E498" s="17" t="n">
        <v>30</v>
      </c>
      <c r="F498" s="13" t="s">
        <v>33</v>
      </c>
      <c r="G498" s="12" t="n">
        <f aca="false">IFERROR(VLOOKUP(D498,Insumos!$C$5:$G$108,5,FALSE()),0)</f>
        <v>0.048</v>
      </c>
      <c r="H498" s="14" t="n">
        <f aca="false">E498*G498</f>
        <v>1.44</v>
      </c>
    </row>
    <row r="499" customFormat="false" ht="15" hidden="false" customHeight="false" outlineLevel="0" collapsed="false">
      <c r="A499" s="0" t="n">
        <v>50</v>
      </c>
      <c r="B499" s="19" t="s">
        <v>757</v>
      </c>
      <c r="C499" s="18" t="s">
        <v>763</v>
      </c>
      <c r="D499" s="20" t="s">
        <v>198</v>
      </c>
      <c r="E499" s="17" t="n">
        <v>10</v>
      </c>
      <c r="F499" s="13" t="s">
        <v>27</v>
      </c>
      <c r="G499" s="12" t="n">
        <f aca="false">IFERROR(VLOOKUP(D499,Insumos!$C$5:$G$108,5,FALSE()),0)</f>
        <v>0.035</v>
      </c>
      <c r="H499" s="14" t="n">
        <f aca="false">E499*G499</f>
        <v>0.35</v>
      </c>
    </row>
    <row r="500" customFormat="false" ht="15" hidden="false" customHeight="false" outlineLevel="0" collapsed="false">
      <c r="A500" s="0" t="n">
        <v>50</v>
      </c>
      <c r="B500" s="19" t="s">
        <v>757</v>
      </c>
      <c r="C500" s="18" t="s">
        <v>764</v>
      </c>
      <c r="D500" s="20" t="s">
        <v>251</v>
      </c>
      <c r="E500" s="17" t="n">
        <v>50</v>
      </c>
      <c r="F500" s="13" t="s">
        <v>33</v>
      </c>
      <c r="G500" s="12" t="n">
        <f aca="false">IFERROR(VLOOKUP(D500,Insumos!$C$5:$G$108,5,FALSE()),0)</f>
        <v>0.002</v>
      </c>
      <c r="H500" s="14" t="n">
        <f aca="false">E500*G500</f>
        <v>0.1</v>
      </c>
    </row>
  </sheetData>
  <autoFilter ref="A4:H500"/>
  <conditionalFormatting sqref="G5:G500">
    <cfRule type="cellIs" priority="2" operator="equal" aboveAverage="0" equalAverage="0" bottom="0" percent="0" rank="0" text="" dxfId="7">
      <formula>0</formula>
    </cfRule>
  </conditionalFormatting>
  <dataValidations count="1">
    <dataValidation allowBlank="false" errorStyle="stop" operator="between" showDropDown="false" showErrorMessage="false" showInputMessage="false" sqref="D5:D500" type="list">
      <formula1>Insumos!$C$5:$C$108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765</v>
      </c>
    </row>
    <row r="2" customFormat="false" ht="15" hidden="false" customHeight="false" outlineLevel="0" collapsed="false">
      <c r="A2" s="7" t="s">
        <v>766</v>
      </c>
    </row>
    <row r="4" customFormat="false" ht="30" hidden="false" customHeight="true" outlineLevel="0" collapsed="false">
      <c r="A4" s="8"/>
      <c r="B4" s="8" t="s">
        <v>767</v>
      </c>
      <c r="C4" s="8" t="s">
        <v>768</v>
      </c>
      <c r="D4" s="8" t="s">
        <v>769</v>
      </c>
    </row>
    <row r="5" customFormat="false" ht="15" hidden="false" customHeight="false" outlineLevel="0" collapsed="false">
      <c r="B5" s="6" t="s">
        <v>770</v>
      </c>
      <c r="C5" s="21" t="n">
        <v>4000</v>
      </c>
    </row>
    <row r="6" customFormat="false" ht="15" hidden="false" customHeight="false" outlineLevel="0" collapsed="false">
      <c r="B6" s="6" t="s">
        <v>771</v>
      </c>
      <c r="C6" s="21" t="n">
        <v>650</v>
      </c>
    </row>
    <row r="7" customFormat="false" ht="15" hidden="false" customHeight="false" outlineLevel="0" collapsed="false">
      <c r="B7" s="6" t="s">
        <v>772</v>
      </c>
      <c r="C7" s="21" t="n">
        <v>400</v>
      </c>
    </row>
    <row r="8" customFormat="false" ht="15" hidden="false" customHeight="false" outlineLevel="0" collapsed="false">
      <c r="B8" s="6" t="s">
        <v>773</v>
      </c>
      <c r="C8" s="21" t="n">
        <v>800</v>
      </c>
    </row>
    <row r="9" customFormat="false" ht="15" hidden="false" customHeight="false" outlineLevel="0" collapsed="false">
      <c r="B9" s="6" t="s">
        <v>774</v>
      </c>
      <c r="C9" s="21" t="n">
        <v>800</v>
      </c>
    </row>
    <row r="10" customFormat="false" ht="15" hidden="false" customHeight="false" outlineLevel="0" collapsed="false">
      <c r="B10" s="6" t="s">
        <v>775</v>
      </c>
      <c r="C10" s="21" t="n">
        <v>600</v>
      </c>
    </row>
    <row r="11" customFormat="false" ht="15" hidden="false" customHeight="false" outlineLevel="0" collapsed="false">
      <c r="B11" s="6" t="s">
        <v>776</v>
      </c>
      <c r="C11" s="21" t="n">
        <v>500</v>
      </c>
    </row>
    <row r="12" customFormat="false" ht="15" hidden="false" customHeight="false" outlineLevel="0" collapsed="false">
      <c r="B12" s="6" t="s">
        <v>777</v>
      </c>
      <c r="C12" s="21" t="n">
        <v>650</v>
      </c>
    </row>
    <row r="13" customFormat="false" ht="15" hidden="false" customHeight="false" outlineLevel="0" collapsed="false">
      <c r="B13" s="6" t="s">
        <v>778</v>
      </c>
      <c r="C13" s="21" t="n">
        <v>600</v>
      </c>
    </row>
    <row r="14" customFormat="false" ht="15" hidden="false" customHeight="false" outlineLevel="0" collapsed="false">
      <c r="B14" s="6"/>
      <c r="C14" s="21"/>
    </row>
    <row r="15" customFormat="false" ht="15" hidden="false" customHeight="false" outlineLevel="0" collapsed="false">
      <c r="B15" s="6"/>
      <c r="C15" s="21"/>
    </row>
    <row r="16" customFormat="false" ht="15" hidden="false" customHeight="false" outlineLevel="0" collapsed="false">
      <c r="B16" s="6"/>
      <c r="C16" s="21"/>
    </row>
    <row r="17" customFormat="false" ht="15" hidden="false" customHeight="false" outlineLevel="0" collapsed="false">
      <c r="B17" s="22" t="s">
        <v>779</v>
      </c>
      <c r="C17" s="23" t="n">
        <f aca="false">SUM(C5:C16)</f>
        <v>9000</v>
      </c>
    </row>
    <row r="19" customFormat="false" ht="15" hidden="false" customHeight="false" outlineLevel="0" collapsed="false">
      <c r="B19" s="0" t="s">
        <v>780</v>
      </c>
      <c r="C19" s="24" t="n">
        <v>6000</v>
      </c>
      <c r="D19" s="7" t="s">
        <v>781</v>
      </c>
    </row>
    <row r="20" customFormat="false" ht="15" hidden="false" customHeight="false" outlineLevel="0" collapsed="false">
      <c r="B20" s="0" t="s">
        <v>782</v>
      </c>
      <c r="C20" s="25" t="n">
        <f aca="false">IFERROR(C17/C19,0)</f>
        <v>1.5</v>
      </c>
      <c r="D20" s="7" t="s">
        <v>783</v>
      </c>
    </row>
    <row r="21" customFormat="false" ht="15" hidden="false" customHeight="false" outlineLevel="0" collapsed="false">
      <c r="B21" s="0" t="s">
        <v>784</v>
      </c>
      <c r="C21" s="21" t="n">
        <v>15000</v>
      </c>
      <c r="D21" s="7"/>
    </row>
    <row r="22" customFormat="false" ht="15" hidden="false" customHeight="false" outlineLevel="0" collapsed="false">
      <c r="B22" s="0" t="s">
        <v>785</v>
      </c>
      <c r="C22" s="24" t="n">
        <v>200</v>
      </c>
      <c r="D22" s="7"/>
    </row>
    <row r="23" customFormat="false" ht="15" hidden="false" customHeight="false" outlineLevel="0" collapsed="false">
      <c r="B23" s="0" t="s">
        <v>786</v>
      </c>
      <c r="C23" s="25" t="n">
        <f aca="false">IFERROR(C21/C22,0)</f>
        <v>75</v>
      </c>
      <c r="D23" s="7" t="s">
        <v>787</v>
      </c>
    </row>
    <row r="24" customFormat="false" ht="15" hidden="false" customHeight="false" outlineLevel="0" collapsed="false">
      <c r="B24" s="0" t="s">
        <v>788</v>
      </c>
      <c r="C24" s="26" t="n">
        <v>0.06</v>
      </c>
      <c r="D24" s="7" t="s">
        <v>789</v>
      </c>
    </row>
    <row r="25" customFormat="false" ht="15" hidden="false" customHeight="false" outlineLevel="0" collapsed="false">
      <c r="B25" s="27" t="s">
        <v>790</v>
      </c>
    </row>
    <row r="26" customFormat="false" ht="15" hidden="false" customHeight="false" outlineLevel="0" collapsed="false">
      <c r="B26" s="0" t="s">
        <v>791</v>
      </c>
      <c r="C26" s="26" t="n">
        <v>0.5</v>
      </c>
      <c r="D26" s="7" t="s">
        <v>792</v>
      </c>
    </row>
    <row r="27" customFormat="false" ht="15" hidden="false" customHeight="false" outlineLevel="0" collapsed="false">
      <c r="B27" s="0" t="s">
        <v>793</v>
      </c>
      <c r="C27" s="26" t="n">
        <v>0.6</v>
      </c>
      <c r="D27" s="7" t="s">
        <v>794</v>
      </c>
    </row>
    <row r="28" customFormat="false" ht="15" hidden="false" customHeight="false" outlineLevel="0" collapsed="false">
      <c r="B28" s="0" t="s">
        <v>795</v>
      </c>
      <c r="C28" s="26" t="n">
        <v>0.66</v>
      </c>
      <c r="D28" s="7" t="s">
        <v>796</v>
      </c>
    </row>
    <row r="29" customFormat="false" ht="15" hidden="false" customHeight="false" outlineLevel="0" collapsed="false">
      <c r="B29" s="0" t="s">
        <v>797</v>
      </c>
      <c r="C29" s="26" t="n">
        <v>0.3</v>
      </c>
      <c r="D29" s="7" t="s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false"/>
  </sheetPr>
  <dimension ref="A1:Z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5" min="4" style="0" width="7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11" min="9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9" min="18" style="0" width="8"/>
    <col collapsed="false" customWidth="true" hidden="false" outlineLevel="0" max="20" min="20" style="0" width="11"/>
    <col collapsed="false" customWidth="true" hidden="false" outlineLevel="0" max="25" min="21" style="0" width="10"/>
    <col collapsed="false" customWidth="true" hidden="false" outlineLevel="0" max="26" min="26" style="0" width="9"/>
  </cols>
  <sheetData>
    <row r="1" customFormat="false" ht="19.7" hidden="false" customHeight="false" outlineLevel="0" collapsed="false">
      <c r="A1" s="1" t="s">
        <v>799</v>
      </c>
    </row>
    <row r="2" customFormat="false" ht="15" hidden="false" customHeight="false" outlineLevel="0" collapsed="false">
      <c r="A2" s="7" t="s">
        <v>800</v>
      </c>
    </row>
    <row r="4" customFormat="false" ht="30" hidden="false" customHeight="true" outlineLevel="0" collapsed="false">
      <c r="A4" s="8" t="s">
        <v>366</v>
      </c>
      <c r="B4" s="8" t="s">
        <v>367</v>
      </c>
      <c r="C4" s="8" t="s">
        <v>801</v>
      </c>
      <c r="D4" s="8" t="s">
        <v>802</v>
      </c>
      <c r="E4" s="8" t="s">
        <v>316</v>
      </c>
      <c r="F4" s="8" t="s">
        <v>803</v>
      </c>
      <c r="G4" s="8" t="s">
        <v>804</v>
      </c>
      <c r="H4" s="8" t="s">
        <v>805</v>
      </c>
      <c r="I4" s="8" t="s">
        <v>806</v>
      </c>
      <c r="J4" s="8" t="s">
        <v>807</v>
      </c>
      <c r="K4" s="8" t="s">
        <v>808</v>
      </c>
      <c r="L4" s="8" t="s">
        <v>809</v>
      </c>
      <c r="M4" s="8" t="s">
        <v>810</v>
      </c>
      <c r="N4" s="8" t="s">
        <v>811</v>
      </c>
      <c r="O4" s="8" t="s">
        <v>812</v>
      </c>
      <c r="P4" s="8" t="s">
        <v>813</v>
      </c>
      <c r="Q4" s="8" t="s">
        <v>814</v>
      </c>
      <c r="R4" s="8" t="s">
        <v>815</v>
      </c>
      <c r="S4" s="8" t="s">
        <v>816</v>
      </c>
      <c r="T4" s="8" t="s">
        <v>817</v>
      </c>
      <c r="U4" s="8" t="s">
        <v>818</v>
      </c>
      <c r="V4" s="8" t="s">
        <v>819</v>
      </c>
      <c r="W4" s="8" t="s">
        <v>820</v>
      </c>
      <c r="X4" s="8" t="s">
        <v>821</v>
      </c>
      <c r="Y4" s="8" t="s">
        <v>822</v>
      </c>
      <c r="Z4" s="8" t="s">
        <v>823</v>
      </c>
    </row>
    <row r="5" customFormat="false" ht="15" hidden="false" customHeight="false" outlineLevel="0" collapsed="false">
      <c r="A5" s="0" t="n">
        <v>1</v>
      </c>
      <c r="B5" s="19" t="s">
        <v>368</v>
      </c>
      <c r="C5" s="18" t="s">
        <v>824</v>
      </c>
      <c r="D5" s="13" t="s">
        <v>293</v>
      </c>
      <c r="E5" s="13" t="s">
        <v>262</v>
      </c>
      <c r="F5" s="13" t="s">
        <v>825</v>
      </c>
      <c r="G5" s="28" t="n">
        <v>50</v>
      </c>
      <c r="H5" s="6" t="n">
        <v>250</v>
      </c>
      <c r="I5" s="14" t="n">
        <f aca="false">IF(E5="",0,H5*VLOOKUP(E5,'Bases madre'!$A$5:$E$13,5,FALSE()))</f>
        <v>29.82</v>
      </c>
      <c r="J5" s="14" t="n">
        <f aca="false">SUMIF(Ingredientes!$A$5:$A$500,A5,Ingredientes!$H$5:$H$500)</f>
        <v>85.79</v>
      </c>
      <c r="K5" s="14" t="n">
        <f aca="false">IFERROR((I5+J5)/G5,0)</f>
        <v>2.3122</v>
      </c>
      <c r="L5" s="29" t="n">
        <v>0.6</v>
      </c>
      <c r="M5" s="29" t="n">
        <v>0.35</v>
      </c>
      <c r="N5" s="6" t="n">
        <v>1</v>
      </c>
      <c r="O5" s="14" t="n">
        <f aca="false">N5/60*'Mi negocio'!$C$23</f>
        <v>1.25</v>
      </c>
      <c r="P5" s="14" t="n">
        <f aca="false">'Mi negocio'!$C$20</f>
        <v>1.5</v>
      </c>
      <c r="Q5" s="14" t="n">
        <f aca="false">K5+L5+M5+O5+P5</f>
        <v>6.0122</v>
      </c>
      <c r="R5" s="26"/>
      <c r="S5" s="30" t="n">
        <f aca="false">IF(R5="",'Mi negocio'!$C$24,R5)</f>
        <v>0.06</v>
      </c>
      <c r="T5" s="31" t="n">
        <f aca="false">IFERROR(Q5/(1-S5),0)</f>
        <v>6.39595744680851</v>
      </c>
      <c r="U5" s="32" t="n">
        <f aca="false">IFERROR(CEILING(ROUND(T5/(1-'Mi negocio'!$C$26),6),1),0)</f>
        <v>13</v>
      </c>
      <c r="V5" s="32" t="n">
        <f aca="false">IFERROR(CEILING(ROUND(T5/(1-'Mi negocio'!$C$27),6),1),0)</f>
        <v>16</v>
      </c>
      <c r="W5" s="32" t="n">
        <f aca="false">IFERROR(CEILING(ROUND(T5/(1-'Mi negocio'!$C$28),6),1),0)</f>
        <v>19</v>
      </c>
      <c r="X5" s="32" t="n">
        <f aca="false">IFERROR(CEILING(ROUND(T5/(1-'Mi negocio'!$C$29),6),1),0)</f>
        <v>10</v>
      </c>
      <c r="Y5" s="14" t="n">
        <f aca="false">U5-T5</f>
        <v>6.60404255319149</v>
      </c>
      <c r="Z5" s="30" t="n">
        <f aca="false">IFERROR(Y5/U5,0)</f>
        <v>0.508003273322422</v>
      </c>
    </row>
    <row r="6" customFormat="false" ht="15" hidden="false" customHeight="false" outlineLevel="0" collapsed="false">
      <c r="A6" s="0" t="n">
        <v>2</v>
      </c>
      <c r="B6" s="19" t="s">
        <v>377</v>
      </c>
      <c r="C6" s="18" t="s">
        <v>824</v>
      </c>
      <c r="D6" s="13" t="s">
        <v>296</v>
      </c>
      <c r="E6" s="13" t="s">
        <v>262</v>
      </c>
      <c r="F6" s="13" t="s">
        <v>825</v>
      </c>
      <c r="G6" s="28" t="n">
        <v>50</v>
      </c>
      <c r="H6" s="6" t="n">
        <v>250</v>
      </c>
      <c r="I6" s="14" t="n">
        <f aca="false">IF(E6="",0,H6*VLOOKUP(E6,'Bases madre'!$A$5:$E$13,5,FALSE()))</f>
        <v>29.82</v>
      </c>
      <c r="J6" s="14" t="n">
        <f aca="false">SUMIF(Ingredientes!$A$5:$A$500,A6,Ingredientes!$H$5:$H$500)</f>
        <v>193.88</v>
      </c>
      <c r="K6" s="14" t="n">
        <f aca="false">IFERROR((I6+J6)/G6,0)</f>
        <v>4.474</v>
      </c>
      <c r="L6" s="29" t="n">
        <v>0.6</v>
      </c>
      <c r="M6" s="29" t="n">
        <v>0.35</v>
      </c>
      <c r="N6" s="6" t="n">
        <v>1</v>
      </c>
      <c r="O6" s="14" t="n">
        <f aca="false">N6/60*'Mi negocio'!$C$23</f>
        <v>1.25</v>
      </c>
      <c r="P6" s="14" t="n">
        <f aca="false">'Mi negocio'!$C$20</f>
        <v>1.5</v>
      </c>
      <c r="Q6" s="14" t="n">
        <f aca="false">K6+L6+M6+O6+P6</f>
        <v>8.174</v>
      </c>
      <c r="R6" s="26"/>
      <c r="S6" s="30" t="n">
        <f aca="false">IF(R6="",'Mi negocio'!$C$24,R6)</f>
        <v>0.06</v>
      </c>
      <c r="T6" s="31" t="n">
        <f aca="false">IFERROR(Q6/(1-S6),0)</f>
        <v>8.69574468085106</v>
      </c>
      <c r="U6" s="32" t="n">
        <f aca="false">IFERROR(CEILING(ROUND(T6/(1-'Mi negocio'!$C$26),6),1),0)</f>
        <v>18</v>
      </c>
      <c r="V6" s="32" t="n">
        <f aca="false">IFERROR(CEILING(ROUND(T6/(1-'Mi negocio'!$C$27),6),1),0)</f>
        <v>22</v>
      </c>
      <c r="W6" s="32" t="n">
        <f aca="false">IFERROR(CEILING(ROUND(T6/(1-'Mi negocio'!$C$28),6),1),0)</f>
        <v>26</v>
      </c>
      <c r="X6" s="32" t="n">
        <f aca="false">IFERROR(CEILING(ROUND(T6/(1-'Mi negocio'!$C$29),6),1),0)</f>
        <v>13</v>
      </c>
      <c r="Y6" s="14" t="n">
        <f aca="false">U6-T6</f>
        <v>9.30425531914894</v>
      </c>
      <c r="Z6" s="30" t="n">
        <f aca="false">IFERROR(Y6/U6,0)</f>
        <v>0.516903073286052</v>
      </c>
    </row>
    <row r="7" customFormat="false" ht="15" hidden="false" customHeight="false" outlineLevel="0" collapsed="false">
      <c r="A7" s="0" t="n">
        <v>3</v>
      </c>
      <c r="B7" s="19" t="s">
        <v>388</v>
      </c>
      <c r="C7" s="18" t="s">
        <v>824</v>
      </c>
      <c r="D7" s="13" t="s">
        <v>293</v>
      </c>
      <c r="E7" s="13" t="s">
        <v>262</v>
      </c>
      <c r="F7" s="13" t="s">
        <v>825</v>
      </c>
      <c r="G7" s="28" t="n">
        <v>50</v>
      </c>
      <c r="H7" s="6" t="n">
        <v>250</v>
      </c>
      <c r="I7" s="14" t="n">
        <f aca="false">IF(E7="",0,H7*VLOOKUP(E7,'Bases madre'!$A$5:$E$13,5,FALSE()))</f>
        <v>29.82</v>
      </c>
      <c r="J7" s="14" t="n">
        <f aca="false">SUMIF(Ingredientes!$A$5:$A$500,A7,Ingredientes!$H$5:$H$500)</f>
        <v>60.55</v>
      </c>
      <c r="K7" s="14" t="n">
        <f aca="false">IFERROR((I7+J7)/G7,0)</f>
        <v>1.8074</v>
      </c>
      <c r="L7" s="29" t="n">
        <v>0.6</v>
      </c>
      <c r="M7" s="29" t="n">
        <v>0.35</v>
      </c>
      <c r="N7" s="6" t="n">
        <v>1</v>
      </c>
      <c r="O7" s="14" t="n">
        <f aca="false">N7/60*'Mi negocio'!$C$23</f>
        <v>1.25</v>
      </c>
      <c r="P7" s="14" t="n">
        <f aca="false">'Mi negocio'!$C$20</f>
        <v>1.5</v>
      </c>
      <c r="Q7" s="14" t="n">
        <f aca="false">K7+L7+M7+O7+P7</f>
        <v>5.5074</v>
      </c>
      <c r="R7" s="26"/>
      <c r="S7" s="30" t="n">
        <f aca="false">IF(R7="",'Mi negocio'!$C$24,R7)</f>
        <v>0.06</v>
      </c>
      <c r="T7" s="31" t="n">
        <f aca="false">IFERROR(Q7/(1-S7),0)</f>
        <v>5.85893617021277</v>
      </c>
      <c r="U7" s="32" t="n">
        <f aca="false">IFERROR(CEILING(ROUND(T7/(1-'Mi negocio'!$C$26),6),1),0)</f>
        <v>12</v>
      </c>
      <c r="V7" s="32" t="n">
        <f aca="false">IFERROR(CEILING(ROUND(T7/(1-'Mi negocio'!$C$27),6),1),0)</f>
        <v>15</v>
      </c>
      <c r="W7" s="32" t="n">
        <f aca="false">IFERROR(CEILING(ROUND(T7/(1-'Mi negocio'!$C$28),6),1),0)</f>
        <v>18</v>
      </c>
      <c r="X7" s="32" t="n">
        <f aca="false">IFERROR(CEILING(ROUND(T7/(1-'Mi negocio'!$C$29),6),1),0)</f>
        <v>9</v>
      </c>
      <c r="Y7" s="14" t="n">
        <f aca="false">U7-T7</f>
        <v>6.14106382978723</v>
      </c>
      <c r="Z7" s="30" t="n">
        <f aca="false">IFERROR(Y7/U7,0)</f>
        <v>0.511755319148936</v>
      </c>
    </row>
    <row r="8" customFormat="false" ht="15" hidden="false" customHeight="false" outlineLevel="0" collapsed="false">
      <c r="A8" s="0" t="n">
        <v>4</v>
      </c>
      <c r="B8" s="19" t="s">
        <v>395</v>
      </c>
      <c r="C8" s="18" t="s">
        <v>824</v>
      </c>
      <c r="D8" s="13" t="s">
        <v>296</v>
      </c>
      <c r="E8" s="13" t="s">
        <v>262</v>
      </c>
      <c r="F8" s="13" t="s">
        <v>825</v>
      </c>
      <c r="G8" s="28" t="n">
        <v>50</v>
      </c>
      <c r="H8" s="6" t="n">
        <v>250</v>
      </c>
      <c r="I8" s="14" t="n">
        <f aca="false">IF(E8="",0,H8*VLOOKUP(E8,'Bases madre'!$A$5:$E$13,5,FALSE()))</f>
        <v>29.82</v>
      </c>
      <c r="J8" s="14" t="n">
        <f aca="false">SUMIF(Ingredientes!$A$5:$A$500,A8,Ingredientes!$H$5:$H$500)</f>
        <v>215.99</v>
      </c>
      <c r="K8" s="14" t="n">
        <f aca="false">IFERROR((I8+J8)/G8,0)</f>
        <v>4.9162</v>
      </c>
      <c r="L8" s="29" t="n">
        <v>0.6</v>
      </c>
      <c r="M8" s="29" t="n">
        <v>0.35</v>
      </c>
      <c r="N8" s="6" t="n">
        <v>1.4</v>
      </c>
      <c r="O8" s="14" t="n">
        <f aca="false">N8/60*'Mi negocio'!$C$23</f>
        <v>1.75</v>
      </c>
      <c r="P8" s="14" t="n">
        <f aca="false">'Mi negocio'!$C$20</f>
        <v>1.5</v>
      </c>
      <c r="Q8" s="14" t="n">
        <f aca="false">K8+L8+M8+O8+P8</f>
        <v>9.1162</v>
      </c>
      <c r="R8" s="26"/>
      <c r="S8" s="30" t="n">
        <f aca="false">IF(R8="",'Mi negocio'!$C$24,R8)</f>
        <v>0.06</v>
      </c>
      <c r="T8" s="31" t="n">
        <f aca="false">IFERROR(Q8/(1-S8),0)</f>
        <v>9.69808510638298</v>
      </c>
      <c r="U8" s="32" t="n">
        <f aca="false">IFERROR(CEILING(ROUND(T8/(1-'Mi negocio'!$C$26),6),1),0)</f>
        <v>20</v>
      </c>
      <c r="V8" s="32" t="n">
        <f aca="false">IFERROR(CEILING(ROUND(T8/(1-'Mi negocio'!$C$27),6),1),0)</f>
        <v>25</v>
      </c>
      <c r="W8" s="32" t="n">
        <f aca="false">IFERROR(CEILING(ROUND(T8/(1-'Mi negocio'!$C$28),6),1),0)</f>
        <v>29</v>
      </c>
      <c r="X8" s="32" t="n">
        <f aca="false">IFERROR(CEILING(ROUND(T8/(1-'Mi negocio'!$C$29),6),1),0)</f>
        <v>14</v>
      </c>
      <c r="Y8" s="14" t="n">
        <f aca="false">U8-T8</f>
        <v>10.301914893617</v>
      </c>
      <c r="Z8" s="30" t="n">
        <f aca="false">IFERROR(Y8/U8,0)</f>
        <v>0.515095744680851</v>
      </c>
    </row>
    <row r="9" customFormat="false" ht="15" hidden="false" customHeight="false" outlineLevel="0" collapsed="false">
      <c r="A9" s="0" t="n">
        <v>5</v>
      </c>
      <c r="B9" s="19" t="s">
        <v>408</v>
      </c>
      <c r="C9" s="18" t="s">
        <v>824</v>
      </c>
      <c r="D9" s="13" t="s">
        <v>302</v>
      </c>
      <c r="E9" s="13" t="s">
        <v>262</v>
      </c>
      <c r="F9" s="13" t="s">
        <v>825</v>
      </c>
      <c r="G9" s="28" t="n">
        <v>50</v>
      </c>
      <c r="H9" s="6" t="n">
        <v>250</v>
      </c>
      <c r="I9" s="14" t="n">
        <f aca="false">IF(E9="",0,H9*VLOOKUP(E9,'Bases madre'!$A$5:$E$13,5,FALSE()))</f>
        <v>29.82</v>
      </c>
      <c r="J9" s="14" t="n">
        <f aca="false">SUMIF(Ingredientes!$A$5:$A$500,A9,Ingredientes!$H$5:$H$500)</f>
        <v>181.82</v>
      </c>
      <c r="K9" s="14" t="n">
        <f aca="false">IFERROR((I9+J9)/G9,0)</f>
        <v>4.2328</v>
      </c>
      <c r="L9" s="29" t="n">
        <v>0.6</v>
      </c>
      <c r="M9" s="29" t="n">
        <v>0.35</v>
      </c>
      <c r="N9" s="6" t="n">
        <v>1.4</v>
      </c>
      <c r="O9" s="14" t="n">
        <f aca="false">N9/60*'Mi negocio'!$C$23</f>
        <v>1.75</v>
      </c>
      <c r="P9" s="14" t="n">
        <f aca="false">'Mi negocio'!$C$20</f>
        <v>1.5</v>
      </c>
      <c r="Q9" s="14" t="n">
        <f aca="false">K9+L9+M9+O9+P9</f>
        <v>8.4328</v>
      </c>
      <c r="R9" s="26"/>
      <c r="S9" s="30" t="n">
        <f aca="false">IF(R9="",'Mi negocio'!$C$24,R9)</f>
        <v>0.06</v>
      </c>
      <c r="T9" s="31" t="n">
        <f aca="false">IFERROR(Q9/(1-S9),0)</f>
        <v>8.97106382978724</v>
      </c>
      <c r="U9" s="32" t="n">
        <f aca="false">IFERROR(CEILING(ROUND(T9/(1-'Mi negocio'!$C$26),6),1),0)</f>
        <v>18</v>
      </c>
      <c r="V9" s="32" t="n">
        <f aca="false">IFERROR(CEILING(ROUND(T9/(1-'Mi negocio'!$C$27),6),1),0)</f>
        <v>23</v>
      </c>
      <c r="W9" s="32" t="n">
        <f aca="false">IFERROR(CEILING(ROUND(T9/(1-'Mi negocio'!$C$28),6),1),0)</f>
        <v>27</v>
      </c>
      <c r="X9" s="32" t="n">
        <f aca="false">IFERROR(CEILING(ROUND(T9/(1-'Mi negocio'!$C$29),6),1),0)</f>
        <v>13</v>
      </c>
      <c r="Y9" s="14" t="n">
        <f aca="false">U9-T9</f>
        <v>9.02893617021277</v>
      </c>
      <c r="Z9" s="30" t="n">
        <f aca="false">IFERROR(Y9/U9,0)</f>
        <v>0.50160756501182</v>
      </c>
    </row>
    <row r="10" customFormat="false" ht="15" hidden="false" customHeight="false" outlineLevel="0" collapsed="false">
      <c r="A10" s="0" t="n">
        <v>6</v>
      </c>
      <c r="B10" s="19" t="s">
        <v>420</v>
      </c>
      <c r="C10" s="18" t="s">
        <v>824</v>
      </c>
      <c r="D10" s="13" t="s">
        <v>299</v>
      </c>
      <c r="E10" s="13" t="s">
        <v>265</v>
      </c>
      <c r="F10" s="13" t="s">
        <v>825</v>
      </c>
      <c r="G10" s="28" t="n">
        <v>50</v>
      </c>
      <c r="H10" s="6" t="n">
        <v>300</v>
      </c>
      <c r="I10" s="14" t="n">
        <f aca="false">IF(E10="",0,H10*VLOOKUP(E10,'Bases madre'!$A$5:$E$13,5,FALSE()))</f>
        <v>39.48</v>
      </c>
      <c r="J10" s="14" t="n">
        <f aca="false">SUMIF(Ingredientes!$A$5:$A$500,A10,Ingredientes!$H$5:$H$500)</f>
        <v>150.21</v>
      </c>
      <c r="K10" s="14" t="n">
        <f aca="false">IFERROR((I10+J10)/G10,0)</f>
        <v>3.7938</v>
      </c>
      <c r="L10" s="29" t="n">
        <v>0.6</v>
      </c>
      <c r="M10" s="29" t="n">
        <v>0.35</v>
      </c>
      <c r="N10" s="6" t="n">
        <v>1</v>
      </c>
      <c r="O10" s="14" t="n">
        <f aca="false">N10/60*'Mi negocio'!$C$23</f>
        <v>1.25</v>
      </c>
      <c r="P10" s="14" t="n">
        <f aca="false">'Mi negocio'!$C$20</f>
        <v>1.5</v>
      </c>
      <c r="Q10" s="14" t="n">
        <f aca="false">K10+L10+M10+O10+P10</f>
        <v>7.4938</v>
      </c>
      <c r="R10" s="26"/>
      <c r="S10" s="30" t="n">
        <f aca="false">IF(R10="",'Mi negocio'!$C$24,R10)</f>
        <v>0.06</v>
      </c>
      <c r="T10" s="31" t="n">
        <f aca="false">IFERROR(Q10/(1-S10),0)</f>
        <v>7.97212765957447</v>
      </c>
      <c r="U10" s="32" t="n">
        <f aca="false">IFERROR(CEILING(ROUND(T10/(1-'Mi negocio'!$C$26),6),1),0)</f>
        <v>16</v>
      </c>
      <c r="V10" s="32" t="n">
        <f aca="false">IFERROR(CEILING(ROUND(T10/(1-'Mi negocio'!$C$27),6),1),0)</f>
        <v>20</v>
      </c>
      <c r="W10" s="32" t="n">
        <f aca="false">IFERROR(CEILING(ROUND(T10/(1-'Mi negocio'!$C$28),6),1),0)</f>
        <v>24</v>
      </c>
      <c r="X10" s="32" t="n">
        <f aca="false">IFERROR(CEILING(ROUND(T10/(1-'Mi negocio'!$C$29),6),1),0)</f>
        <v>12</v>
      </c>
      <c r="Y10" s="14" t="n">
        <f aca="false">U10-T10</f>
        <v>8.02787234042553</v>
      </c>
      <c r="Z10" s="30" t="n">
        <f aca="false">IFERROR(Y10/U10,0)</f>
        <v>0.501742021276596</v>
      </c>
    </row>
    <row r="11" customFormat="false" ht="15" hidden="false" customHeight="false" outlineLevel="0" collapsed="false">
      <c r="A11" s="0" t="n">
        <v>7</v>
      </c>
      <c r="B11" s="19" t="s">
        <v>431</v>
      </c>
      <c r="C11" s="18" t="s">
        <v>824</v>
      </c>
      <c r="D11" s="13" t="s">
        <v>302</v>
      </c>
      <c r="E11" s="13" t="s">
        <v>265</v>
      </c>
      <c r="F11" s="13" t="s">
        <v>825</v>
      </c>
      <c r="G11" s="28" t="n">
        <v>50</v>
      </c>
      <c r="H11" s="6" t="n">
        <v>300</v>
      </c>
      <c r="I11" s="14" t="n">
        <f aca="false">IF(E11="",0,H11*VLOOKUP(E11,'Bases madre'!$A$5:$E$13,5,FALSE()))</f>
        <v>39.48</v>
      </c>
      <c r="J11" s="14" t="n">
        <f aca="false">SUMIF(Ingredientes!$A$5:$A$500,A11,Ingredientes!$H$5:$H$500)</f>
        <v>176.52</v>
      </c>
      <c r="K11" s="14" t="n">
        <f aca="false">IFERROR((I11+J11)/G11,0)</f>
        <v>4.32</v>
      </c>
      <c r="L11" s="29" t="n">
        <v>0.6</v>
      </c>
      <c r="M11" s="29" t="n">
        <v>0.35</v>
      </c>
      <c r="N11" s="6" t="n">
        <v>1.4</v>
      </c>
      <c r="O11" s="14" t="n">
        <f aca="false">N11/60*'Mi negocio'!$C$23</f>
        <v>1.75</v>
      </c>
      <c r="P11" s="14" t="n">
        <f aca="false">'Mi negocio'!$C$20</f>
        <v>1.5</v>
      </c>
      <c r="Q11" s="14" t="n">
        <f aca="false">K11+L11+M11+O11+P11</f>
        <v>8.52</v>
      </c>
      <c r="R11" s="26"/>
      <c r="S11" s="30" t="n">
        <f aca="false">IF(R11="",'Mi negocio'!$C$24,R11)</f>
        <v>0.06</v>
      </c>
      <c r="T11" s="31" t="n">
        <f aca="false">IFERROR(Q11/(1-S11),0)</f>
        <v>9.06382978723404</v>
      </c>
      <c r="U11" s="32" t="n">
        <f aca="false">IFERROR(CEILING(ROUND(T11/(1-'Mi negocio'!$C$26),6),1),0)</f>
        <v>19</v>
      </c>
      <c r="V11" s="32" t="n">
        <f aca="false">IFERROR(CEILING(ROUND(T11/(1-'Mi negocio'!$C$27),6),1),0)</f>
        <v>23</v>
      </c>
      <c r="W11" s="32" t="n">
        <f aca="false">IFERROR(CEILING(ROUND(T11/(1-'Mi negocio'!$C$28),6),1),0)</f>
        <v>27</v>
      </c>
      <c r="X11" s="32" t="n">
        <f aca="false">IFERROR(CEILING(ROUND(T11/(1-'Mi negocio'!$C$29),6),1),0)</f>
        <v>13</v>
      </c>
      <c r="Y11" s="14" t="n">
        <f aca="false">U11-T11</f>
        <v>9.93617021276596</v>
      </c>
      <c r="Z11" s="30" t="n">
        <f aca="false">IFERROR(Y11/U11,0)</f>
        <v>0.522956326987682</v>
      </c>
    </row>
    <row r="12" customFormat="false" ht="15" hidden="false" customHeight="false" outlineLevel="0" collapsed="false">
      <c r="A12" s="0" t="n">
        <v>8</v>
      </c>
      <c r="B12" s="19" t="s">
        <v>440</v>
      </c>
      <c r="C12" s="18" t="s">
        <v>824</v>
      </c>
      <c r="D12" s="13" t="s">
        <v>293</v>
      </c>
      <c r="E12" s="13" t="s">
        <v>265</v>
      </c>
      <c r="F12" s="13" t="s">
        <v>825</v>
      </c>
      <c r="G12" s="28" t="n">
        <v>50</v>
      </c>
      <c r="H12" s="6" t="n">
        <v>300</v>
      </c>
      <c r="I12" s="14" t="n">
        <f aca="false">IF(E12="",0,H12*VLOOKUP(E12,'Bases madre'!$A$5:$E$13,5,FALSE()))</f>
        <v>39.48</v>
      </c>
      <c r="J12" s="14" t="n">
        <f aca="false">SUMIF(Ingredientes!$A$5:$A$500,A12,Ingredientes!$H$5:$H$500)</f>
        <v>94.9</v>
      </c>
      <c r="K12" s="14" t="n">
        <f aca="false">IFERROR((I12+J12)/G12,0)</f>
        <v>2.6876</v>
      </c>
      <c r="L12" s="29" t="n">
        <v>0.6</v>
      </c>
      <c r="M12" s="29" t="n">
        <v>0.35</v>
      </c>
      <c r="N12" s="6" t="n">
        <v>1</v>
      </c>
      <c r="O12" s="14" t="n">
        <f aca="false">N12/60*'Mi negocio'!$C$23</f>
        <v>1.25</v>
      </c>
      <c r="P12" s="14" t="n">
        <f aca="false">'Mi negocio'!$C$20</f>
        <v>1.5</v>
      </c>
      <c r="Q12" s="14" t="n">
        <f aca="false">K12+L12+M12+O12+P12</f>
        <v>6.3876</v>
      </c>
      <c r="R12" s="26"/>
      <c r="S12" s="30" t="n">
        <f aca="false">IF(R12="",'Mi negocio'!$C$24,R12)</f>
        <v>0.06</v>
      </c>
      <c r="T12" s="31" t="n">
        <f aca="false">IFERROR(Q12/(1-S12),0)</f>
        <v>6.79531914893617</v>
      </c>
      <c r="U12" s="32" t="n">
        <f aca="false">IFERROR(CEILING(ROUND(T12/(1-'Mi negocio'!$C$26),6),1),0)</f>
        <v>14</v>
      </c>
      <c r="V12" s="32" t="n">
        <f aca="false">IFERROR(CEILING(ROUND(T12/(1-'Mi negocio'!$C$27),6),1),0)</f>
        <v>17</v>
      </c>
      <c r="W12" s="32" t="n">
        <f aca="false">IFERROR(CEILING(ROUND(T12/(1-'Mi negocio'!$C$28),6),1),0)</f>
        <v>20</v>
      </c>
      <c r="X12" s="32" t="n">
        <f aca="false">IFERROR(CEILING(ROUND(T12/(1-'Mi negocio'!$C$29),6),1),0)</f>
        <v>10</v>
      </c>
      <c r="Y12" s="14" t="n">
        <f aca="false">U12-T12</f>
        <v>7.20468085106383</v>
      </c>
      <c r="Z12" s="30" t="n">
        <f aca="false">IFERROR(Y12/U12,0)</f>
        <v>0.514620060790274</v>
      </c>
    </row>
    <row r="13" customFormat="false" ht="15" hidden="false" customHeight="false" outlineLevel="0" collapsed="false">
      <c r="A13" s="0" t="n">
        <v>9</v>
      </c>
      <c r="B13" s="19" t="s">
        <v>448</v>
      </c>
      <c r="C13" s="18" t="s">
        <v>824</v>
      </c>
      <c r="D13" s="13" t="s">
        <v>308</v>
      </c>
      <c r="E13" s="13" t="s">
        <v>265</v>
      </c>
      <c r="F13" s="13" t="s">
        <v>825</v>
      </c>
      <c r="G13" s="28" t="n">
        <v>50</v>
      </c>
      <c r="H13" s="6" t="n">
        <v>300</v>
      </c>
      <c r="I13" s="14" t="n">
        <f aca="false">IF(E13="",0,H13*VLOOKUP(E13,'Bases madre'!$A$5:$E$13,5,FALSE()))</f>
        <v>39.48</v>
      </c>
      <c r="J13" s="14" t="n">
        <f aca="false">SUMIF(Ingredientes!$A$5:$A$500,A13,Ingredientes!$H$5:$H$500)</f>
        <v>216.301034482759</v>
      </c>
      <c r="K13" s="14" t="n">
        <f aca="false">IFERROR((I13+J13)/G13,0)</f>
        <v>5.11562068965517</v>
      </c>
      <c r="L13" s="29" t="n">
        <v>0.6</v>
      </c>
      <c r="M13" s="29" t="n">
        <v>0.35</v>
      </c>
      <c r="N13" s="6" t="n">
        <v>1.4</v>
      </c>
      <c r="O13" s="14" t="n">
        <f aca="false">N13/60*'Mi negocio'!$C$23</f>
        <v>1.75</v>
      </c>
      <c r="P13" s="14" t="n">
        <f aca="false">'Mi negocio'!$C$20</f>
        <v>1.5</v>
      </c>
      <c r="Q13" s="14" t="n">
        <f aca="false">K13+L13+M13+O13+P13</f>
        <v>9.31562068965517</v>
      </c>
      <c r="R13" s="26"/>
      <c r="S13" s="30" t="n">
        <f aca="false">IF(R13="",'Mi negocio'!$C$24,R13)</f>
        <v>0.06</v>
      </c>
      <c r="T13" s="31" t="n">
        <f aca="false">IFERROR(Q13/(1-S13),0)</f>
        <v>9.91023477622891</v>
      </c>
      <c r="U13" s="32" t="n">
        <f aca="false">IFERROR(CEILING(ROUND(T13/(1-'Mi negocio'!$C$26),6),1),0)</f>
        <v>20</v>
      </c>
      <c r="V13" s="32" t="n">
        <f aca="false">IFERROR(CEILING(ROUND(T13/(1-'Mi negocio'!$C$27),6),1),0)</f>
        <v>25</v>
      </c>
      <c r="W13" s="32" t="n">
        <f aca="false">IFERROR(CEILING(ROUND(T13/(1-'Mi negocio'!$C$28),6),1),0)</f>
        <v>30</v>
      </c>
      <c r="X13" s="32" t="n">
        <f aca="false">IFERROR(CEILING(ROUND(T13/(1-'Mi negocio'!$C$29),6),1),0)</f>
        <v>15</v>
      </c>
      <c r="Y13" s="14" t="n">
        <f aca="false">U13-T13</f>
        <v>10.0897652237711</v>
      </c>
      <c r="Z13" s="30" t="n">
        <f aca="false">IFERROR(Y13/U13,0)</f>
        <v>0.504488261188555</v>
      </c>
    </row>
    <row r="14" customFormat="false" ht="15" hidden="false" customHeight="false" outlineLevel="0" collapsed="false">
      <c r="A14" s="0" t="n">
        <v>10</v>
      </c>
      <c r="B14" s="19" t="s">
        <v>457</v>
      </c>
      <c r="C14" s="18" t="s">
        <v>824</v>
      </c>
      <c r="D14" s="13" t="s">
        <v>293</v>
      </c>
      <c r="E14" s="13" t="s">
        <v>265</v>
      </c>
      <c r="F14" s="13" t="s">
        <v>825</v>
      </c>
      <c r="G14" s="28" t="n">
        <v>50</v>
      </c>
      <c r="H14" s="6" t="n">
        <v>300</v>
      </c>
      <c r="I14" s="14" t="n">
        <f aca="false">IF(E14="",0,H14*VLOOKUP(E14,'Bases madre'!$A$5:$E$13,5,FALSE()))</f>
        <v>39.48</v>
      </c>
      <c r="J14" s="14" t="n">
        <f aca="false">SUMIF(Ingredientes!$A$5:$A$500,A14,Ingredientes!$H$5:$H$500)</f>
        <v>134.46</v>
      </c>
      <c r="K14" s="14" t="n">
        <f aca="false">IFERROR((I14+J14)/G14,0)</f>
        <v>3.4788</v>
      </c>
      <c r="L14" s="29" t="n">
        <v>0.6</v>
      </c>
      <c r="M14" s="29" t="n">
        <v>0.35</v>
      </c>
      <c r="N14" s="6" t="n">
        <v>1</v>
      </c>
      <c r="O14" s="14" t="n">
        <f aca="false">N14/60*'Mi negocio'!$C$23</f>
        <v>1.25</v>
      </c>
      <c r="P14" s="14" t="n">
        <f aca="false">'Mi negocio'!$C$20</f>
        <v>1.5</v>
      </c>
      <c r="Q14" s="14" t="n">
        <f aca="false">K14+L14+M14+O14+P14</f>
        <v>7.1788</v>
      </c>
      <c r="R14" s="26"/>
      <c r="S14" s="30" t="n">
        <f aca="false">IF(R14="",'Mi negocio'!$C$24,R14)</f>
        <v>0.06</v>
      </c>
      <c r="T14" s="31" t="n">
        <f aca="false">IFERROR(Q14/(1-S14),0)</f>
        <v>7.63702127659575</v>
      </c>
      <c r="U14" s="32" t="n">
        <f aca="false">IFERROR(CEILING(ROUND(T14/(1-'Mi negocio'!$C$26),6),1),0)</f>
        <v>16</v>
      </c>
      <c r="V14" s="32" t="n">
        <f aca="false">IFERROR(CEILING(ROUND(T14/(1-'Mi negocio'!$C$27),6),1),0)</f>
        <v>20</v>
      </c>
      <c r="W14" s="32" t="n">
        <f aca="false">IFERROR(CEILING(ROUND(T14/(1-'Mi negocio'!$C$28),6),1),0)</f>
        <v>23</v>
      </c>
      <c r="X14" s="32" t="n">
        <f aca="false">IFERROR(CEILING(ROUND(T14/(1-'Mi negocio'!$C$29),6),1),0)</f>
        <v>11</v>
      </c>
      <c r="Y14" s="14" t="n">
        <f aca="false">U14-T14</f>
        <v>8.36297872340425</v>
      </c>
      <c r="Z14" s="30" t="n">
        <f aca="false">IFERROR(Y14/U14,0)</f>
        <v>0.522686170212766</v>
      </c>
    </row>
    <row r="15" customFormat="false" ht="15" hidden="false" customHeight="false" outlineLevel="0" collapsed="false">
      <c r="A15" s="0" t="n">
        <v>11</v>
      </c>
      <c r="B15" s="19" t="s">
        <v>463</v>
      </c>
      <c r="C15" s="18" t="s">
        <v>826</v>
      </c>
      <c r="D15" s="13" t="s">
        <v>293</v>
      </c>
      <c r="E15" s="13" t="s">
        <v>268</v>
      </c>
      <c r="F15" s="13" t="s">
        <v>825</v>
      </c>
      <c r="G15" s="28" t="n">
        <v>50</v>
      </c>
      <c r="H15" s="6" t="n">
        <v>250</v>
      </c>
      <c r="I15" s="14" t="n">
        <f aca="false">IF(E15="",0,H15*VLOOKUP(E15,'Bases madre'!$A$5:$E$13,5,FALSE()))</f>
        <v>25.96</v>
      </c>
      <c r="J15" s="14" t="n">
        <f aca="false">SUMIF(Ingredientes!$A$5:$A$500,A15,Ingredientes!$H$5:$H$500)</f>
        <v>69.67</v>
      </c>
      <c r="K15" s="14" t="n">
        <f aca="false">IFERROR((I15+J15)/G15,0)</f>
        <v>1.9126</v>
      </c>
      <c r="L15" s="29" t="n">
        <v>0.6</v>
      </c>
      <c r="M15" s="29" t="n">
        <v>0.35</v>
      </c>
      <c r="N15" s="6" t="n">
        <v>1</v>
      </c>
      <c r="O15" s="14" t="n">
        <f aca="false">N15/60*'Mi negocio'!$C$23</f>
        <v>1.25</v>
      </c>
      <c r="P15" s="14" t="n">
        <f aca="false">'Mi negocio'!$C$20</f>
        <v>1.5</v>
      </c>
      <c r="Q15" s="14" t="n">
        <f aca="false">K15+L15+M15+O15+P15</f>
        <v>5.6126</v>
      </c>
      <c r="R15" s="26"/>
      <c r="S15" s="30" t="n">
        <f aca="false">IF(R15="",'Mi negocio'!$C$24,R15)</f>
        <v>0.06</v>
      </c>
      <c r="T15" s="31" t="n">
        <f aca="false">IFERROR(Q15/(1-S15),0)</f>
        <v>5.97085106382979</v>
      </c>
      <c r="U15" s="32" t="n">
        <f aca="false">IFERROR(CEILING(ROUND(T15/(1-'Mi negocio'!$C$26),6),1),0)</f>
        <v>12</v>
      </c>
      <c r="V15" s="32" t="n">
        <f aca="false">IFERROR(CEILING(ROUND(T15/(1-'Mi negocio'!$C$27),6),1),0)</f>
        <v>15</v>
      </c>
      <c r="W15" s="32" t="n">
        <f aca="false">IFERROR(CEILING(ROUND(T15/(1-'Mi negocio'!$C$28),6),1),0)</f>
        <v>18</v>
      </c>
      <c r="X15" s="32" t="n">
        <f aca="false">IFERROR(CEILING(ROUND(T15/(1-'Mi negocio'!$C$29),6),1),0)</f>
        <v>9</v>
      </c>
      <c r="Y15" s="14" t="n">
        <f aca="false">U15-T15</f>
        <v>6.02914893617021</v>
      </c>
      <c r="Z15" s="30" t="n">
        <f aca="false">IFERROR(Y15/U15,0)</f>
        <v>0.502429078014184</v>
      </c>
    </row>
    <row r="16" customFormat="false" ht="15" hidden="false" customHeight="false" outlineLevel="0" collapsed="false">
      <c r="A16" s="0" t="n">
        <v>12</v>
      </c>
      <c r="B16" s="19" t="s">
        <v>471</v>
      </c>
      <c r="C16" s="18" t="s">
        <v>826</v>
      </c>
      <c r="D16" s="13" t="s">
        <v>302</v>
      </c>
      <c r="E16" s="13" t="s">
        <v>268</v>
      </c>
      <c r="F16" s="13" t="s">
        <v>825</v>
      </c>
      <c r="G16" s="28" t="n">
        <v>50</v>
      </c>
      <c r="H16" s="6" t="n">
        <v>250</v>
      </c>
      <c r="I16" s="14" t="n">
        <f aca="false">IF(E16="",0,H16*VLOOKUP(E16,'Bases madre'!$A$5:$E$13,5,FALSE()))</f>
        <v>25.96</v>
      </c>
      <c r="J16" s="14" t="n">
        <f aca="false">SUMIF(Ingredientes!$A$5:$A$500,A16,Ingredientes!$H$5:$H$500)</f>
        <v>174.52</v>
      </c>
      <c r="K16" s="14" t="n">
        <f aca="false">IFERROR((I16+J16)/G16,0)</f>
        <v>4.0096</v>
      </c>
      <c r="L16" s="29" t="n">
        <v>0.6</v>
      </c>
      <c r="M16" s="29" t="n">
        <v>0.35</v>
      </c>
      <c r="N16" s="6" t="n">
        <v>1.4</v>
      </c>
      <c r="O16" s="14" t="n">
        <f aca="false">N16/60*'Mi negocio'!$C$23</f>
        <v>1.75</v>
      </c>
      <c r="P16" s="14" t="n">
        <f aca="false">'Mi negocio'!$C$20</f>
        <v>1.5</v>
      </c>
      <c r="Q16" s="14" t="n">
        <f aca="false">K16+L16+M16+O16+P16</f>
        <v>8.2096</v>
      </c>
      <c r="R16" s="26"/>
      <c r="S16" s="30" t="n">
        <f aca="false">IF(R16="",'Mi negocio'!$C$24,R16)</f>
        <v>0.06</v>
      </c>
      <c r="T16" s="31" t="n">
        <f aca="false">IFERROR(Q16/(1-S16),0)</f>
        <v>8.7336170212766</v>
      </c>
      <c r="U16" s="32" t="n">
        <f aca="false">IFERROR(CEILING(ROUND(T16/(1-'Mi negocio'!$C$26),6),1),0)</f>
        <v>18</v>
      </c>
      <c r="V16" s="32" t="n">
        <f aca="false">IFERROR(CEILING(ROUND(T16/(1-'Mi negocio'!$C$27),6),1),0)</f>
        <v>22</v>
      </c>
      <c r="W16" s="32" t="n">
        <f aca="false">IFERROR(CEILING(ROUND(T16/(1-'Mi negocio'!$C$28),6),1),0)</f>
        <v>26</v>
      </c>
      <c r="X16" s="32" t="n">
        <f aca="false">IFERROR(CEILING(ROUND(T16/(1-'Mi negocio'!$C$29),6),1),0)</f>
        <v>13</v>
      </c>
      <c r="Y16" s="14" t="n">
        <f aca="false">U16-T16</f>
        <v>9.2663829787234</v>
      </c>
      <c r="Z16" s="30" t="n">
        <f aca="false">IFERROR(Y16/U16,0)</f>
        <v>0.514799054373522</v>
      </c>
    </row>
    <row r="17" customFormat="false" ht="15" hidden="false" customHeight="false" outlineLevel="0" collapsed="false">
      <c r="A17" s="0" t="n">
        <v>13</v>
      </c>
      <c r="B17" s="19" t="s">
        <v>478</v>
      </c>
      <c r="C17" s="18" t="s">
        <v>826</v>
      </c>
      <c r="D17" s="13" t="s">
        <v>293</v>
      </c>
      <c r="E17" s="13" t="s">
        <v>268</v>
      </c>
      <c r="F17" s="13" t="s">
        <v>825</v>
      </c>
      <c r="G17" s="28" t="n">
        <v>50</v>
      </c>
      <c r="H17" s="6" t="n">
        <v>250</v>
      </c>
      <c r="I17" s="14" t="n">
        <f aca="false">IF(E17="",0,H17*VLOOKUP(E17,'Bases madre'!$A$5:$E$13,5,FALSE()))</f>
        <v>25.96</v>
      </c>
      <c r="J17" s="14" t="n">
        <f aca="false">SUMIF(Ingredientes!$A$5:$A$500,A17,Ingredientes!$H$5:$H$500)</f>
        <v>101.28</v>
      </c>
      <c r="K17" s="14" t="n">
        <f aca="false">IFERROR((I17+J17)/G17,0)</f>
        <v>2.5448</v>
      </c>
      <c r="L17" s="29" t="n">
        <v>0.6</v>
      </c>
      <c r="M17" s="29" t="n">
        <v>0.35</v>
      </c>
      <c r="N17" s="6" t="n">
        <v>1</v>
      </c>
      <c r="O17" s="14" t="n">
        <f aca="false">N17/60*'Mi negocio'!$C$23</f>
        <v>1.25</v>
      </c>
      <c r="P17" s="14" t="n">
        <f aca="false">'Mi negocio'!$C$20</f>
        <v>1.5</v>
      </c>
      <c r="Q17" s="14" t="n">
        <f aca="false">K17+L17+M17+O17+P17</f>
        <v>6.2448</v>
      </c>
      <c r="R17" s="26"/>
      <c r="S17" s="30" t="n">
        <f aca="false">IF(R17="",'Mi negocio'!$C$24,R17)</f>
        <v>0.06</v>
      </c>
      <c r="T17" s="31" t="n">
        <f aca="false">IFERROR(Q17/(1-S17),0)</f>
        <v>6.64340425531915</v>
      </c>
      <c r="U17" s="32" t="n">
        <f aca="false">IFERROR(CEILING(ROUND(T17/(1-'Mi negocio'!$C$26),6),1),0)</f>
        <v>14</v>
      </c>
      <c r="V17" s="32" t="n">
        <f aca="false">IFERROR(CEILING(ROUND(T17/(1-'Mi negocio'!$C$27),6),1),0)</f>
        <v>17</v>
      </c>
      <c r="W17" s="32" t="n">
        <f aca="false">IFERROR(CEILING(ROUND(T17/(1-'Mi negocio'!$C$28),6),1),0)</f>
        <v>20</v>
      </c>
      <c r="X17" s="32" t="n">
        <f aca="false">IFERROR(CEILING(ROUND(T17/(1-'Mi negocio'!$C$29),6),1),0)</f>
        <v>10</v>
      </c>
      <c r="Y17" s="14" t="n">
        <f aca="false">U17-T17</f>
        <v>7.35659574468085</v>
      </c>
      <c r="Z17" s="30" t="n">
        <f aca="false">IFERROR(Y17/U17,0)</f>
        <v>0.525471124620061</v>
      </c>
    </row>
    <row r="18" customFormat="false" ht="15" hidden="false" customHeight="false" outlineLevel="0" collapsed="false">
      <c r="A18" s="0" t="n">
        <v>14</v>
      </c>
      <c r="B18" s="19" t="s">
        <v>485</v>
      </c>
      <c r="C18" s="18" t="s">
        <v>826</v>
      </c>
      <c r="D18" s="13" t="s">
        <v>305</v>
      </c>
      <c r="E18" s="13" t="s">
        <v>268</v>
      </c>
      <c r="F18" s="13" t="s">
        <v>825</v>
      </c>
      <c r="G18" s="28" t="n">
        <v>50</v>
      </c>
      <c r="H18" s="6" t="n">
        <v>250</v>
      </c>
      <c r="I18" s="14" t="n">
        <f aca="false">IF(E18="",0,H18*VLOOKUP(E18,'Bases madre'!$A$5:$E$13,5,FALSE()))</f>
        <v>25.96</v>
      </c>
      <c r="J18" s="14" t="n">
        <f aca="false">SUMIF(Ingredientes!$A$5:$A$500,A18,Ingredientes!$H$5:$H$500)</f>
        <v>129.61</v>
      </c>
      <c r="K18" s="14" t="n">
        <f aca="false">IFERROR((I18+J18)/G18,0)</f>
        <v>3.1114</v>
      </c>
      <c r="L18" s="29" t="n">
        <v>0.6</v>
      </c>
      <c r="M18" s="29" t="n">
        <v>0.35</v>
      </c>
      <c r="N18" s="6" t="n">
        <v>1</v>
      </c>
      <c r="O18" s="14" t="n">
        <f aca="false">N18/60*'Mi negocio'!$C$23</f>
        <v>1.25</v>
      </c>
      <c r="P18" s="14" t="n">
        <f aca="false">'Mi negocio'!$C$20</f>
        <v>1.5</v>
      </c>
      <c r="Q18" s="14" t="n">
        <f aca="false">K18+L18+M18+O18+P18</f>
        <v>6.8114</v>
      </c>
      <c r="R18" s="26"/>
      <c r="S18" s="30" t="n">
        <f aca="false">IF(R18="",'Mi negocio'!$C$24,R18)</f>
        <v>0.06</v>
      </c>
      <c r="T18" s="31" t="n">
        <f aca="false">IFERROR(Q18/(1-S18),0)</f>
        <v>7.24617021276596</v>
      </c>
      <c r="U18" s="32" t="n">
        <f aca="false">IFERROR(CEILING(ROUND(T18/(1-'Mi negocio'!$C$26),6),1),0)</f>
        <v>15</v>
      </c>
      <c r="V18" s="32" t="n">
        <f aca="false">IFERROR(CEILING(ROUND(T18/(1-'Mi negocio'!$C$27),6),1),0)</f>
        <v>19</v>
      </c>
      <c r="W18" s="32" t="n">
        <f aca="false">IFERROR(CEILING(ROUND(T18/(1-'Mi negocio'!$C$28),6),1),0)</f>
        <v>22</v>
      </c>
      <c r="X18" s="32" t="n">
        <f aca="false">IFERROR(CEILING(ROUND(T18/(1-'Mi negocio'!$C$29),6),1),0)</f>
        <v>11</v>
      </c>
      <c r="Y18" s="14" t="n">
        <f aca="false">U18-T18</f>
        <v>7.75382978723404</v>
      </c>
      <c r="Z18" s="30" t="n">
        <f aca="false">IFERROR(Y18/U18,0)</f>
        <v>0.516921985815603</v>
      </c>
    </row>
    <row r="19" customFormat="false" ht="15" hidden="false" customHeight="false" outlineLevel="0" collapsed="false">
      <c r="A19" s="0" t="n">
        <v>15</v>
      </c>
      <c r="B19" s="19" t="s">
        <v>491</v>
      </c>
      <c r="C19" s="18" t="s">
        <v>826</v>
      </c>
      <c r="D19" s="13" t="s">
        <v>305</v>
      </c>
      <c r="E19" s="13" t="s">
        <v>268</v>
      </c>
      <c r="F19" s="13" t="s">
        <v>825</v>
      </c>
      <c r="G19" s="28" t="n">
        <v>50</v>
      </c>
      <c r="H19" s="6" t="n">
        <v>250</v>
      </c>
      <c r="I19" s="14" t="n">
        <f aca="false">IF(E19="",0,H19*VLOOKUP(E19,'Bases madre'!$A$5:$E$13,5,FALSE()))</f>
        <v>25.96</v>
      </c>
      <c r="J19" s="14" t="n">
        <f aca="false">SUMIF(Ingredientes!$A$5:$A$500,A19,Ingredientes!$H$5:$H$500)</f>
        <v>191.54</v>
      </c>
      <c r="K19" s="14" t="n">
        <f aca="false">IFERROR((I19+J19)/G19,0)</f>
        <v>4.35</v>
      </c>
      <c r="L19" s="29" t="n">
        <v>0.6</v>
      </c>
      <c r="M19" s="29" t="n">
        <v>0.35</v>
      </c>
      <c r="N19" s="6" t="n">
        <v>1</v>
      </c>
      <c r="O19" s="14" t="n">
        <f aca="false">N19/60*'Mi negocio'!$C$23</f>
        <v>1.25</v>
      </c>
      <c r="P19" s="14" t="n">
        <f aca="false">'Mi negocio'!$C$20</f>
        <v>1.5</v>
      </c>
      <c r="Q19" s="14" t="n">
        <f aca="false">K19+L19+M19+O19+P19</f>
        <v>8.05</v>
      </c>
      <c r="R19" s="26"/>
      <c r="S19" s="30" t="n">
        <f aca="false">IF(R19="",'Mi negocio'!$C$24,R19)</f>
        <v>0.06</v>
      </c>
      <c r="T19" s="31" t="n">
        <f aca="false">IFERROR(Q19/(1-S19),0)</f>
        <v>8.56382978723404</v>
      </c>
      <c r="U19" s="32" t="n">
        <f aca="false">IFERROR(CEILING(ROUND(T19/(1-'Mi negocio'!$C$26),6),1),0)</f>
        <v>18</v>
      </c>
      <c r="V19" s="32" t="n">
        <f aca="false">IFERROR(CEILING(ROUND(T19/(1-'Mi negocio'!$C$27),6),1),0)</f>
        <v>22</v>
      </c>
      <c r="W19" s="32" t="n">
        <f aca="false">IFERROR(CEILING(ROUND(T19/(1-'Mi negocio'!$C$28),6),1),0)</f>
        <v>26</v>
      </c>
      <c r="X19" s="32" t="n">
        <f aca="false">IFERROR(CEILING(ROUND(T19/(1-'Mi negocio'!$C$29),6),1),0)</f>
        <v>13</v>
      </c>
      <c r="Y19" s="14" t="n">
        <f aca="false">U19-T19</f>
        <v>9.43617021276596</v>
      </c>
      <c r="Z19" s="30" t="n">
        <f aca="false">IFERROR(Y19/U19,0)</f>
        <v>0.524231678486998</v>
      </c>
    </row>
    <row r="20" customFormat="false" ht="15" hidden="false" customHeight="false" outlineLevel="0" collapsed="false">
      <c r="A20" s="0" t="n">
        <v>16</v>
      </c>
      <c r="B20" s="19" t="s">
        <v>497</v>
      </c>
      <c r="C20" s="18" t="s">
        <v>826</v>
      </c>
      <c r="D20" s="13" t="s">
        <v>305</v>
      </c>
      <c r="E20" s="13" t="s">
        <v>271</v>
      </c>
      <c r="F20" s="13" t="s">
        <v>825</v>
      </c>
      <c r="G20" s="28" t="n">
        <v>50</v>
      </c>
      <c r="H20" s="6" t="n">
        <v>300</v>
      </c>
      <c r="I20" s="14" t="n">
        <f aca="false">IF(E20="",0,H20*VLOOKUP(E20,'Bases madre'!$A$5:$E$13,5,FALSE()))</f>
        <v>36.58</v>
      </c>
      <c r="J20" s="14" t="n">
        <f aca="false">SUMIF(Ingredientes!$A$5:$A$500,A20,Ingredientes!$H$5:$H$500)</f>
        <v>141.17</v>
      </c>
      <c r="K20" s="14" t="n">
        <f aca="false">IFERROR((I20+J20)/G20,0)</f>
        <v>3.555</v>
      </c>
      <c r="L20" s="29" t="n">
        <v>0.6</v>
      </c>
      <c r="M20" s="29" t="n">
        <v>0.35</v>
      </c>
      <c r="N20" s="6" t="n">
        <v>1.4</v>
      </c>
      <c r="O20" s="14" t="n">
        <f aca="false">N20/60*'Mi negocio'!$C$23</f>
        <v>1.75</v>
      </c>
      <c r="P20" s="14" t="n">
        <f aca="false">'Mi negocio'!$C$20</f>
        <v>1.5</v>
      </c>
      <c r="Q20" s="14" t="n">
        <f aca="false">K20+L20+M20+O20+P20</f>
        <v>7.755</v>
      </c>
      <c r="R20" s="26"/>
      <c r="S20" s="30" t="n">
        <f aca="false">IF(R20="",'Mi negocio'!$C$24,R20)</f>
        <v>0.06</v>
      </c>
      <c r="T20" s="31" t="n">
        <f aca="false">IFERROR(Q20/(1-S20),0)</f>
        <v>8.25</v>
      </c>
      <c r="U20" s="32" t="n">
        <f aca="false">IFERROR(CEILING(ROUND(T20/(1-'Mi negocio'!$C$26),6),1),0)</f>
        <v>17</v>
      </c>
      <c r="V20" s="32" t="n">
        <f aca="false">IFERROR(CEILING(ROUND(T20/(1-'Mi negocio'!$C$27),6),1),0)</f>
        <v>21</v>
      </c>
      <c r="W20" s="32" t="n">
        <f aca="false">IFERROR(CEILING(ROUND(T20/(1-'Mi negocio'!$C$28),6),1),0)</f>
        <v>25</v>
      </c>
      <c r="X20" s="32" t="n">
        <f aca="false">IFERROR(CEILING(ROUND(T20/(1-'Mi negocio'!$C$29),6),1),0)</f>
        <v>12</v>
      </c>
      <c r="Y20" s="14" t="n">
        <f aca="false">U20-T20</f>
        <v>8.75</v>
      </c>
      <c r="Z20" s="30" t="n">
        <f aca="false">IFERROR(Y20/U20,0)</f>
        <v>0.514705882352941</v>
      </c>
    </row>
    <row r="21" customFormat="false" ht="15" hidden="false" customHeight="false" outlineLevel="0" collapsed="false">
      <c r="A21" s="0" t="n">
        <v>17</v>
      </c>
      <c r="B21" s="19" t="s">
        <v>505</v>
      </c>
      <c r="C21" s="18" t="s">
        <v>826</v>
      </c>
      <c r="D21" s="13" t="s">
        <v>305</v>
      </c>
      <c r="E21" s="13" t="s">
        <v>271</v>
      </c>
      <c r="F21" s="13" t="s">
        <v>825</v>
      </c>
      <c r="G21" s="28" t="n">
        <v>50</v>
      </c>
      <c r="H21" s="6" t="n">
        <v>300</v>
      </c>
      <c r="I21" s="14" t="n">
        <f aca="false">IF(E21="",0,H21*VLOOKUP(E21,'Bases madre'!$A$5:$E$13,5,FALSE()))</f>
        <v>36.58</v>
      </c>
      <c r="J21" s="14" t="n">
        <f aca="false">SUMIF(Ingredientes!$A$5:$A$500,A21,Ingredientes!$H$5:$H$500)</f>
        <v>85.73</v>
      </c>
      <c r="K21" s="14" t="n">
        <f aca="false">IFERROR((I21+J21)/G21,0)</f>
        <v>2.4462</v>
      </c>
      <c r="L21" s="29" t="n">
        <v>0.6</v>
      </c>
      <c r="M21" s="29" t="n">
        <v>0.35</v>
      </c>
      <c r="N21" s="6" t="n">
        <v>1</v>
      </c>
      <c r="O21" s="14" t="n">
        <f aca="false">N21/60*'Mi negocio'!$C$23</f>
        <v>1.25</v>
      </c>
      <c r="P21" s="14" t="n">
        <f aca="false">'Mi negocio'!$C$20</f>
        <v>1.5</v>
      </c>
      <c r="Q21" s="14" t="n">
        <f aca="false">K21+L21+M21+O21+P21</f>
        <v>6.1462</v>
      </c>
      <c r="R21" s="26"/>
      <c r="S21" s="30" t="n">
        <f aca="false">IF(R21="",'Mi negocio'!$C$24,R21)</f>
        <v>0.06</v>
      </c>
      <c r="T21" s="31" t="n">
        <f aca="false">IFERROR(Q21/(1-S21),0)</f>
        <v>6.53851063829787</v>
      </c>
      <c r="U21" s="32" t="n">
        <f aca="false">IFERROR(CEILING(ROUND(T21/(1-'Mi negocio'!$C$26),6),1),0)</f>
        <v>14</v>
      </c>
      <c r="V21" s="32" t="n">
        <f aca="false">IFERROR(CEILING(ROUND(T21/(1-'Mi negocio'!$C$27),6),1),0)</f>
        <v>17</v>
      </c>
      <c r="W21" s="32" t="n">
        <f aca="false">IFERROR(CEILING(ROUND(T21/(1-'Mi negocio'!$C$28),6),1),0)</f>
        <v>20</v>
      </c>
      <c r="X21" s="32" t="n">
        <f aca="false">IFERROR(CEILING(ROUND(T21/(1-'Mi negocio'!$C$29),6),1),0)</f>
        <v>10</v>
      </c>
      <c r="Y21" s="14" t="n">
        <f aca="false">U21-T21</f>
        <v>7.46148936170213</v>
      </c>
      <c r="Z21" s="30" t="n">
        <f aca="false">IFERROR(Y21/U21,0)</f>
        <v>0.532963525835866</v>
      </c>
    </row>
    <row r="22" customFormat="false" ht="15" hidden="false" customHeight="false" outlineLevel="0" collapsed="false">
      <c r="A22" s="0" t="n">
        <v>18</v>
      </c>
      <c r="B22" s="19" t="s">
        <v>514</v>
      </c>
      <c r="C22" s="18" t="s">
        <v>826</v>
      </c>
      <c r="D22" s="13" t="s">
        <v>305</v>
      </c>
      <c r="E22" s="13" t="s">
        <v>271</v>
      </c>
      <c r="F22" s="13" t="s">
        <v>825</v>
      </c>
      <c r="G22" s="28" t="n">
        <v>50</v>
      </c>
      <c r="H22" s="6" t="n">
        <v>300</v>
      </c>
      <c r="I22" s="14" t="n">
        <f aca="false">IF(E22="",0,H22*VLOOKUP(E22,'Bases madre'!$A$5:$E$13,5,FALSE()))</f>
        <v>36.58</v>
      </c>
      <c r="J22" s="14" t="n">
        <f aca="false">SUMIF(Ingredientes!$A$5:$A$500,A22,Ingredientes!$H$5:$H$500)</f>
        <v>192.5</v>
      </c>
      <c r="K22" s="14" t="n">
        <f aca="false">IFERROR((I22+J22)/G22,0)</f>
        <v>4.5816</v>
      </c>
      <c r="L22" s="29" t="n">
        <v>0.6</v>
      </c>
      <c r="M22" s="29" t="n">
        <v>0.35</v>
      </c>
      <c r="N22" s="6" t="n">
        <v>1.4</v>
      </c>
      <c r="O22" s="14" t="n">
        <f aca="false">N22/60*'Mi negocio'!$C$23</f>
        <v>1.75</v>
      </c>
      <c r="P22" s="14" t="n">
        <f aca="false">'Mi negocio'!$C$20</f>
        <v>1.5</v>
      </c>
      <c r="Q22" s="14" t="n">
        <f aca="false">K22+L22+M22+O22+P22</f>
        <v>8.7816</v>
      </c>
      <c r="R22" s="26"/>
      <c r="S22" s="30" t="n">
        <f aca="false">IF(R22="",'Mi negocio'!$C$24,R22)</f>
        <v>0.06</v>
      </c>
      <c r="T22" s="31" t="n">
        <f aca="false">IFERROR(Q22/(1-S22),0)</f>
        <v>9.34212765957447</v>
      </c>
      <c r="U22" s="32" t="n">
        <f aca="false">IFERROR(CEILING(ROUND(T22/(1-'Mi negocio'!$C$26),6),1),0)</f>
        <v>19</v>
      </c>
      <c r="V22" s="32" t="n">
        <f aca="false">IFERROR(CEILING(ROUND(T22/(1-'Mi negocio'!$C$27),6),1),0)</f>
        <v>24</v>
      </c>
      <c r="W22" s="32" t="n">
        <f aca="false">IFERROR(CEILING(ROUND(T22/(1-'Mi negocio'!$C$28),6),1),0)</f>
        <v>28</v>
      </c>
      <c r="X22" s="32" t="n">
        <f aca="false">IFERROR(CEILING(ROUND(T22/(1-'Mi negocio'!$C$29),6),1),0)</f>
        <v>14</v>
      </c>
      <c r="Y22" s="14" t="n">
        <f aca="false">U22-T22</f>
        <v>9.65787234042553</v>
      </c>
      <c r="Z22" s="30" t="n">
        <f aca="false">IFERROR(Y22/U22,0)</f>
        <v>0.508309070548712</v>
      </c>
    </row>
    <row r="23" customFormat="false" ht="15" hidden="false" customHeight="false" outlineLevel="0" collapsed="false">
      <c r="A23" s="0" t="n">
        <v>19</v>
      </c>
      <c r="B23" s="19" t="s">
        <v>522</v>
      </c>
      <c r="C23" s="18" t="s">
        <v>826</v>
      </c>
      <c r="D23" s="13" t="s">
        <v>293</v>
      </c>
      <c r="E23" s="13" t="s">
        <v>271</v>
      </c>
      <c r="F23" s="13" t="s">
        <v>825</v>
      </c>
      <c r="G23" s="28" t="n">
        <v>50</v>
      </c>
      <c r="H23" s="6" t="n">
        <v>300</v>
      </c>
      <c r="I23" s="14" t="n">
        <f aca="false">IF(E23="",0,H23*VLOOKUP(E23,'Bases madre'!$A$5:$E$13,5,FALSE()))</f>
        <v>36.58</v>
      </c>
      <c r="J23" s="14" t="n">
        <f aca="false">SUMIF(Ingredientes!$A$5:$A$500,A23,Ingredientes!$H$5:$H$500)</f>
        <v>101.4</v>
      </c>
      <c r="K23" s="14" t="n">
        <f aca="false">IFERROR((I23+J23)/G23,0)</f>
        <v>2.7596</v>
      </c>
      <c r="L23" s="29" t="n">
        <v>0.6</v>
      </c>
      <c r="M23" s="29" t="n">
        <v>0.35</v>
      </c>
      <c r="N23" s="6" t="n">
        <v>1.4</v>
      </c>
      <c r="O23" s="14" t="n">
        <f aca="false">N23/60*'Mi negocio'!$C$23</f>
        <v>1.75</v>
      </c>
      <c r="P23" s="14" t="n">
        <f aca="false">'Mi negocio'!$C$20</f>
        <v>1.5</v>
      </c>
      <c r="Q23" s="14" t="n">
        <f aca="false">K23+L23+M23+O23+P23</f>
        <v>6.9596</v>
      </c>
      <c r="R23" s="26"/>
      <c r="S23" s="30" t="n">
        <f aca="false">IF(R23="",'Mi negocio'!$C$24,R23)</f>
        <v>0.06</v>
      </c>
      <c r="T23" s="31" t="n">
        <f aca="false">IFERROR(Q23/(1-S23),0)</f>
        <v>7.40382978723404</v>
      </c>
      <c r="U23" s="32" t="n">
        <f aca="false">IFERROR(CEILING(ROUND(T23/(1-'Mi negocio'!$C$26),6),1),0)</f>
        <v>15</v>
      </c>
      <c r="V23" s="32" t="n">
        <f aca="false">IFERROR(CEILING(ROUND(T23/(1-'Mi negocio'!$C$27),6),1),0)</f>
        <v>19</v>
      </c>
      <c r="W23" s="32" t="n">
        <f aca="false">IFERROR(CEILING(ROUND(T23/(1-'Mi negocio'!$C$28),6),1),0)</f>
        <v>22</v>
      </c>
      <c r="X23" s="32" t="n">
        <f aca="false">IFERROR(CEILING(ROUND(T23/(1-'Mi negocio'!$C$29),6),1),0)</f>
        <v>11</v>
      </c>
      <c r="Y23" s="14" t="n">
        <f aca="false">U23-T23</f>
        <v>7.59617021276596</v>
      </c>
      <c r="Z23" s="30" t="n">
        <f aca="false">IFERROR(Y23/U23,0)</f>
        <v>0.50641134751773</v>
      </c>
    </row>
    <row r="24" customFormat="false" ht="15" hidden="false" customHeight="false" outlineLevel="0" collapsed="false">
      <c r="A24" s="0" t="n">
        <v>20</v>
      </c>
      <c r="B24" s="19" t="s">
        <v>528</v>
      </c>
      <c r="C24" s="18" t="s">
        <v>826</v>
      </c>
      <c r="D24" s="13" t="s">
        <v>302</v>
      </c>
      <c r="E24" s="13" t="s">
        <v>271</v>
      </c>
      <c r="F24" s="13" t="s">
        <v>825</v>
      </c>
      <c r="G24" s="28" t="n">
        <v>50</v>
      </c>
      <c r="H24" s="6" t="n">
        <v>300</v>
      </c>
      <c r="I24" s="14" t="n">
        <f aca="false">IF(E24="",0,H24*VLOOKUP(E24,'Bases madre'!$A$5:$E$13,5,FALSE()))</f>
        <v>36.58</v>
      </c>
      <c r="J24" s="14" t="n">
        <f aca="false">SUMIF(Ingredientes!$A$5:$A$500,A24,Ingredientes!$H$5:$H$500)</f>
        <v>88.67</v>
      </c>
      <c r="K24" s="14" t="n">
        <f aca="false">IFERROR((I24+J24)/G24,0)</f>
        <v>2.505</v>
      </c>
      <c r="L24" s="29" t="n">
        <v>0.6</v>
      </c>
      <c r="M24" s="29" t="n">
        <v>0.35</v>
      </c>
      <c r="N24" s="6" t="n">
        <v>1</v>
      </c>
      <c r="O24" s="14" t="n">
        <f aca="false">N24/60*'Mi negocio'!$C$23</f>
        <v>1.25</v>
      </c>
      <c r="P24" s="14" t="n">
        <f aca="false">'Mi negocio'!$C$20</f>
        <v>1.5</v>
      </c>
      <c r="Q24" s="14" t="n">
        <f aca="false">K24+L24+M24+O24+P24</f>
        <v>6.205</v>
      </c>
      <c r="R24" s="26"/>
      <c r="S24" s="30" t="n">
        <f aca="false">IF(R24="",'Mi negocio'!$C$24,R24)</f>
        <v>0.06</v>
      </c>
      <c r="T24" s="31" t="n">
        <f aca="false">IFERROR(Q24/(1-S24),0)</f>
        <v>6.60106382978723</v>
      </c>
      <c r="U24" s="32" t="n">
        <f aca="false">IFERROR(CEILING(ROUND(T24/(1-'Mi negocio'!$C$26),6),1),0)</f>
        <v>14</v>
      </c>
      <c r="V24" s="32" t="n">
        <f aca="false">IFERROR(CEILING(ROUND(T24/(1-'Mi negocio'!$C$27),6),1),0)</f>
        <v>17</v>
      </c>
      <c r="W24" s="32" t="n">
        <f aca="false">IFERROR(CEILING(ROUND(T24/(1-'Mi negocio'!$C$28),6),1),0)</f>
        <v>20</v>
      </c>
      <c r="X24" s="32" t="n">
        <f aca="false">IFERROR(CEILING(ROUND(T24/(1-'Mi negocio'!$C$29),6),1),0)</f>
        <v>10</v>
      </c>
      <c r="Y24" s="14" t="n">
        <f aca="false">U24-T24</f>
        <v>7.39893617021277</v>
      </c>
      <c r="Z24" s="30" t="n">
        <f aca="false">IFERROR(Y24/U24,0)</f>
        <v>0.528495440729483</v>
      </c>
    </row>
    <row r="25" customFormat="false" ht="15" hidden="false" customHeight="false" outlineLevel="0" collapsed="false">
      <c r="A25" s="0" t="n">
        <v>21</v>
      </c>
      <c r="B25" s="19" t="s">
        <v>536</v>
      </c>
      <c r="C25" s="18" t="s">
        <v>827</v>
      </c>
      <c r="D25" s="13" t="s">
        <v>308</v>
      </c>
      <c r="E25" s="13" t="s">
        <v>274</v>
      </c>
      <c r="F25" s="13" t="s">
        <v>825</v>
      </c>
      <c r="G25" s="28" t="n">
        <v>50</v>
      </c>
      <c r="H25" s="6" t="n">
        <v>300</v>
      </c>
      <c r="I25" s="14" t="n">
        <f aca="false">IF(E25="",0,H25*VLOOKUP(E25,'Bases madre'!$A$5:$E$13,5,FALSE()))</f>
        <v>35.22</v>
      </c>
      <c r="J25" s="14" t="n">
        <f aca="false">SUMIF(Ingredientes!$A$5:$A$500,A25,Ingredientes!$H$5:$H$500)</f>
        <v>347.58</v>
      </c>
      <c r="K25" s="14" t="n">
        <f aca="false">IFERROR((I25+J25)/G25,0)</f>
        <v>7.656</v>
      </c>
      <c r="L25" s="29" t="n">
        <v>0.6</v>
      </c>
      <c r="M25" s="29" t="n">
        <v>0.35</v>
      </c>
      <c r="N25" s="6" t="n">
        <v>2</v>
      </c>
      <c r="O25" s="14" t="n">
        <f aca="false">N25/60*'Mi negocio'!$C$23</f>
        <v>2.5</v>
      </c>
      <c r="P25" s="14" t="n">
        <f aca="false">'Mi negocio'!$C$20</f>
        <v>1.5</v>
      </c>
      <c r="Q25" s="14" t="n">
        <f aca="false">K25+L25+M25+O25+P25</f>
        <v>12.606</v>
      </c>
      <c r="R25" s="26"/>
      <c r="S25" s="30" t="n">
        <f aca="false">IF(R25="",'Mi negocio'!$C$24,R25)</f>
        <v>0.06</v>
      </c>
      <c r="T25" s="31" t="n">
        <f aca="false">IFERROR(Q25/(1-S25),0)</f>
        <v>13.4106382978723</v>
      </c>
      <c r="U25" s="32" t="n">
        <f aca="false">IFERROR(CEILING(ROUND(T25/(1-'Mi negocio'!$C$26),6),1),0)</f>
        <v>27</v>
      </c>
      <c r="V25" s="32" t="n">
        <f aca="false">IFERROR(CEILING(ROUND(T25/(1-'Mi negocio'!$C$27),6),1),0)</f>
        <v>34</v>
      </c>
      <c r="W25" s="32" t="n">
        <f aca="false">IFERROR(CEILING(ROUND(T25/(1-'Mi negocio'!$C$28),6),1),0)</f>
        <v>40</v>
      </c>
      <c r="X25" s="32" t="n">
        <f aca="false">IFERROR(CEILING(ROUND(T25/(1-'Mi negocio'!$C$29),6),1),0)</f>
        <v>20</v>
      </c>
      <c r="Y25" s="14" t="n">
        <f aca="false">U25-T25</f>
        <v>13.5893617021277</v>
      </c>
      <c r="Z25" s="30" t="n">
        <f aca="false">IFERROR(Y25/U25,0)</f>
        <v>0.503309692671395</v>
      </c>
    </row>
    <row r="26" customFormat="false" ht="15" hidden="false" customHeight="false" outlineLevel="0" collapsed="false">
      <c r="A26" s="0" t="n">
        <v>22</v>
      </c>
      <c r="B26" s="19" t="s">
        <v>543</v>
      </c>
      <c r="C26" s="18" t="s">
        <v>827</v>
      </c>
      <c r="D26" s="13" t="s">
        <v>299</v>
      </c>
      <c r="E26" s="13" t="s">
        <v>274</v>
      </c>
      <c r="F26" s="13" t="s">
        <v>825</v>
      </c>
      <c r="G26" s="28" t="n">
        <v>50</v>
      </c>
      <c r="H26" s="6" t="n">
        <v>300</v>
      </c>
      <c r="I26" s="14" t="n">
        <f aca="false">IF(E26="",0,H26*VLOOKUP(E26,'Bases madre'!$A$5:$E$13,5,FALSE()))</f>
        <v>35.22</v>
      </c>
      <c r="J26" s="14" t="n">
        <f aca="false">SUMIF(Ingredientes!$A$5:$A$500,A26,Ingredientes!$H$5:$H$500)</f>
        <v>188.155</v>
      </c>
      <c r="K26" s="14" t="n">
        <f aca="false">IFERROR((I26+J26)/G26,0)</f>
        <v>4.4675</v>
      </c>
      <c r="L26" s="29" t="n">
        <v>0.6</v>
      </c>
      <c r="M26" s="29" t="n">
        <v>0.35</v>
      </c>
      <c r="N26" s="6" t="n">
        <v>1.4</v>
      </c>
      <c r="O26" s="14" t="n">
        <f aca="false">N26/60*'Mi negocio'!$C$23</f>
        <v>1.75</v>
      </c>
      <c r="P26" s="14" t="n">
        <f aca="false">'Mi negocio'!$C$20</f>
        <v>1.5</v>
      </c>
      <c r="Q26" s="14" t="n">
        <f aca="false">K26+L26+M26+O26+P26</f>
        <v>8.6675</v>
      </c>
      <c r="R26" s="26"/>
      <c r="S26" s="30" t="n">
        <f aca="false">IF(R26="",'Mi negocio'!$C$24,R26)</f>
        <v>0.06</v>
      </c>
      <c r="T26" s="31" t="n">
        <f aca="false">IFERROR(Q26/(1-S26),0)</f>
        <v>9.22074468085106</v>
      </c>
      <c r="U26" s="32" t="n">
        <f aca="false">IFERROR(CEILING(ROUND(T26/(1-'Mi negocio'!$C$26),6),1),0)</f>
        <v>19</v>
      </c>
      <c r="V26" s="32" t="n">
        <f aca="false">IFERROR(CEILING(ROUND(T26/(1-'Mi negocio'!$C$27),6),1),0)</f>
        <v>24</v>
      </c>
      <c r="W26" s="32" t="n">
        <f aca="false">IFERROR(CEILING(ROUND(T26/(1-'Mi negocio'!$C$28),6),1),0)</f>
        <v>28</v>
      </c>
      <c r="X26" s="32" t="n">
        <f aca="false">IFERROR(CEILING(ROUND(T26/(1-'Mi negocio'!$C$29),6),1),0)</f>
        <v>14</v>
      </c>
      <c r="Y26" s="14" t="n">
        <f aca="false">U26-T26</f>
        <v>9.77925531914894</v>
      </c>
      <c r="Z26" s="30" t="n">
        <f aca="false">IFERROR(Y26/U26,0)</f>
        <v>0.51469764837626</v>
      </c>
    </row>
    <row r="27" customFormat="false" ht="15" hidden="false" customHeight="false" outlineLevel="0" collapsed="false">
      <c r="A27" s="0" t="n">
        <v>23</v>
      </c>
      <c r="B27" s="19" t="s">
        <v>555</v>
      </c>
      <c r="C27" s="18" t="s">
        <v>827</v>
      </c>
      <c r="D27" s="13" t="s">
        <v>296</v>
      </c>
      <c r="E27" s="13" t="s">
        <v>274</v>
      </c>
      <c r="F27" s="13" t="s">
        <v>825</v>
      </c>
      <c r="G27" s="28" t="n">
        <v>50</v>
      </c>
      <c r="H27" s="6" t="n">
        <v>300</v>
      </c>
      <c r="I27" s="14" t="n">
        <f aca="false">IF(E27="",0,H27*VLOOKUP(E27,'Bases madre'!$A$5:$E$13,5,FALSE()))</f>
        <v>35.22</v>
      </c>
      <c r="J27" s="14" t="n">
        <f aca="false">SUMIF(Ingredientes!$A$5:$A$500,A27,Ingredientes!$H$5:$H$500)</f>
        <v>214.7</v>
      </c>
      <c r="K27" s="14" t="n">
        <f aca="false">IFERROR((I27+J27)/G27,0)</f>
        <v>4.9984</v>
      </c>
      <c r="L27" s="29" t="n">
        <v>0.6</v>
      </c>
      <c r="M27" s="29" t="n">
        <v>0.35</v>
      </c>
      <c r="N27" s="6" t="n">
        <v>1.4</v>
      </c>
      <c r="O27" s="14" t="n">
        <f aca="false">N27/60*'Mi negocio'!$C$23</f>
        <v>1.75</v>
      </c>
      <c r="P27" s="14" t="n">
        <f aca="false">'Mi negocio'!$C$20</f>
        <v>1.5</v>
      </c>
      <c r="Q27" s="14" t="n">
        <f aca="false">K27+L27+M27+O27+P27</f>
        <v>9.1984</v>
      </c>
      <c r="R27" s="26"/>
      <c r="S27" s="30" t="n">
        <f aca="false">IF(R27="",'Mi negocio'!$C$24,R27)</f>
        <v>0.06</v>
      </c>
      <c r="T27" s="31" t="n">
        <f aca="false">IFERROR(Q27/(1-S27),0)</f>
        <v>9.78553191489362</v>
      </c>
      <c r="U27" s="32" t="n">
        <f aca="false">IFERROR(CEILING(ROUND(T27/(1-'Mi negocio'!$C$26),6),1),0)</f>
        <v>20</v>
      </c>
      <c r="V27" s="32" t="n">
        <f aca="false">IFERROR(CEILING(ROUND(T27/(1-'Mi negocio'!$C$27),6),1),0)</f>
        <v>25</v>
      </c>
      <c r="W27" s="32" t="n">
        <f aca="false">IFERROR(CEILING(ROUND(T27/(1-'Mi negocio'!$C$28),6),1),0)</f>
        <v>29</v>
      </c>
      <c r="X27" s="32" t="n">
        <f aca="false">IFERROR(CEILING(ROUND(T27/(1-'Mi negocio'!$C$29),6),1),0)</f>
        <v>14</v>
      </c>
      <c r="Y27" s="14" t="n">
        <f aca="false">U27-T27</f>
        <v>10.2144680851064</v>
      </c>
      <c r="Z27" s="30" t="n">
        <f aca="false">IFERROR(Y27/U27,0)</f>
        <v>0.510723404255319</v>
      </c>
    </row>
    <row r="28" customFormat="false" ht="15" hidden="false" customHeight="false" outlineLevel="0" collapsed="false">
      <c r="A28" s="0" t="n">
        <v>24</v>
      </c>
      <c r="B28" s="19" t="s">
        <v>566</v>
      </c>
      <c r="C28" s="18" t="s">
        <v>827</v>
      </c>
      <c r="D28" s="13" t="s">
        <v>302</v>
      </c>
      <c r="E28" s="13" t="s">
        <v>274</v>
      </c>
      <c r="F28" s="13" t="s">
        <v>825</v>
      </c>
      <c r="G28" s="28" t="n">
        <v>50</v>
      </c>
      <c r="H28" s="6" t="n">
        <v>300</v>
      </c>
      <c r="I28" s="14" t="n">
        <f aca="false">IF(E28="",0,H28*VLOOKUP(E28,'Bases madre'!$A$5:$E$13,5,FALSE()))</f>
        <v>35.22</v>
      </c>
      <c r="J28" s="14" t="n">
        <f aca="false">SUMIF(Ingredientes!$A$5:$A$500,A28,Ingredientes!$H$5:$H$500)</f>
        <v>321.07</v>
      </c>
      <c r="K28" s="14" t="n">
        <f aca="false">IFERROR((I28+J28)/G28,0)</f>
        <v>7.1258</v>
      </c>
      <c r="L28" s="29" t="n">
        <v>0.6</v>
      </c>
      <c r="M28" s="29" t="n">
        <v>0.35</v>
      </c>
      <c r="N28" s="6" t="n">
        <v>1.4</v>
      </c>
      <c r="O28" s="14" t="n">
        <f aca="false">N28/60*'Mi negocio'!$C$23</f>
        <v>1.75</v>
      </c>
      <c r="P28" s="14" t="n">
        <f aca="false">'Mi negocio'!$C$20</f>
        <v>1.5</v>
      </c>
      <c r="Q28" s="14" t="n">
        <f aca="false">K28+L28+M28+O28+P28</f>
        <v>11.3258</v>
      </c>
      <c r="R28" s="26"/>
      <c r="S28" s="30" t="n">
        <f aca="false">IF(R28="",'Mi negocio'!$C$24,R28)</f>
        <v>0.06</v>
      </c>
      <c r="T28" s="31" t="n">
        <f aca="false">IFERROR(Q28/(1-S28),0)</f>
        <v>12.0487234042553</v>
      </c>
      <c r="U28" s="32" t="n">
        <f aca="false">IFERROR(CEILING(ROUND(T28/(1-'Mi negocio'!$C$26),6),1),0)</f>
        <v>25</v>
      </c>
      <c r="V28" s="32" t="n">
        <f aca="false">IFERROR(CEILING(ROUND(T28/(1-'Mi negocio'!$C$27),6),1),0)</f>
        <v>31</v>
      </c>
      <c r="W28" s="32" t="n">
        <f aca="false">IFERROR(CEILING(ROUND(T28/(1-'Mi negocio'!$C$28),6),1),0)</f>
        <v>36</v>
      </c>
      <c r="X28" s="32" t="n">
        <f aca="false">IFERROR(CEILING(ROUND(T28/(1-'Mi negocio'!$C$29),6),1),0)</f>
        <v>18</v>
      </c>
      <c r="Y28" s="14" t="n">
        <f aca="false">U28-T28</f>
        <v>12.9512765957447</v>
      </c>
      <c r="Z28" s="30" t="n">
        <f aca="false">IFERROR(Y28/U28,0)</f>
        <v>0.518051063829787</v>
      </c>
    </row>
    <row r="29" customFormat="false" ht="15" hidden="false" customHeight="false" outlineLevel="0" collapsed="false">
      <c r="A29" s="0" t="n">
        <v>25</v>
      </c>
      <c r="B29" s="19" t="s">
        <v>572</v>
      </c>
      <c r="C29" s="18" t="s">
        <v>827</v>
      </c>
      <c r="D29" s="13" t="s">
        <v>308</v>
      </c>
      <c r="E29" s="13" t="s">
        <v>274</v>
      </c>
      <c r="F29" s="13" t="s">
        <v>825</v>
      </c>
      <c r="G29" s="28" t="n">
        <v>50</v>
      </c>
      <c r="H29" s="6" t="n">
        <v>300</v>
      </c>
      <c r="I29" s="14" t="n">
        <f aca="false">IF(E29="",0,H29*VLOOKUP(E29,'Bases madre'!$A$5:$E$13,5,FALSE()))</f>
        <v>35.22</v>
      </c>
      <c r="J29" s="14" t="n">
        <f aca="false">SUMIF(Ingredientes!$A$5:$A$500,A29,Ingredientes!$H$5:$H$500)</f>
        <v>151.05</v>
      </c>
      <c r="K29" s="14" t="n">
        <f aca="false">IFERROR((I29+J29)/G29,0)</f>
        <v>3.7254</v>
      </c>
      <c r="L29" s="29" t="n">
        <v>0.6</v>
      </c>
      <c r="M29" s="29" t="n">
        <v>0.35</v>
      </c>
      <c r="N29" s="6" t="n">
        <v>1</v>
      </c>
      <c r="O29" s="14" t="n">
        <f aca="false">N29/60*'Mi negocio'!$C$23</f>
        <v>1.25</v>
      </c>
      <c r="P29" s="14" t="n">
        <f aca="false">'Mi negocio'!$C$20</f>
        <v>1.5</v>
      </c>
      <c r="Q29" s="14" t="n">
        <f aca="false">K29+L29+M29+O29+P29</f>
        <v>7.4254</v>
      </c>
      <c r="R29" s="26"/>
      <c r="S29" s="30" t="n">
        <f aca="false">IF(R29="",'Mi negocio'!$C$24,R29)</f>
        <v>0.06</v>
      </c>
      <c r="T29" s="31" t="n">
        <f aca="false">IFERROR(Q29/(1-S29),0)</f>
        <v>7.89936170212766</v>
      </c>
      <c r="U29" s="32" t="n">
        <f aca="false">IFERROR(CEILING(ROUND(T29/(1-'Mi negocio'!$C$26),6),1),0)</f>
        <v>16</v>
      </c>
      <c r="V29" s="32" t="n">
        <f aca="false">IFERROR(CEILING(ROUND(T29/(1-'Mi negocio'!$C$27),6),1),0)</f>
        <v>20</v>
      </c>
      <c r="W29" s="32" t="n">
        <f aca="false">IFERROR(CEILING(ROUND(T29/(1-'Mi negocio'!$C$28),6),1),0)</f>
        <v>24</v>
      </c>
      <c r="X29" s="32" t="n">
        <f aca="false">IFERROR(CEILING(ROUND(T29/(1-'Mi negocio'!$C$29),6),1),0)</f>
        <v>12</v>
      </c>
      <c r="Y29" s="14" t="n">
        <f aca="false">U29-T29</f>
        <v>8.10063829787234</v>
      </c>
      <c r="Z29" s="30" t="n">
        <f aca="false">IFERROR(Y29/U29,0)</f>
        <v>0.506289893617021</v>
      </c>
    </row>
    <row r="30" customFormat="false" ht="15" hidden="false" customHeight="false" outlineLevel="0" collapsed="false">
      <c r="A30" s="0" t="n">
        <v>26</v>
      </c>
      <c r="B30" s="19" t="s">
        <v>579</v>
      </c>
      <c r="C30" s="18" t="s">
        <v>827</v>
      </c>
      <c r="D30" s="13" t="s">
        <v>296</v>
      </c>
      <c r="E30" s="13" t="s">
        <v>277</v>
      </c>
      <c r="F30" s="13" t="s">
        <v>825</v>
      </c>
      <c r="G30" s="28" t="n">
        <v>50</v>
      </c>
      <c r="H30" s="6" t="n">
        <v>300</v>
      </c>
      <c r="I30" s="14" t="n">
        <f aca="false">IF(E30="",0,H30*VLOOKUP(E30,'Bases madre'!$A$5:$E$13,5,FALSE()))</f>
        <v>35.77</v>
      </c>
      <c r="J30" s="14" t="n">
        <f aca="false">SUMIF(Ingredientes!$A$5:$A$500,A30,Ingredientes!$H$5:$H$500)</f>
        <v>165.875</v>
      </c>
      <c r="K30" s="14" t="n">
        <f aca="false">IFERROR((I30+J30)/G30,0)</f>
        <v>4.0329</v>
      </c>
      <c r="L30" s="29" t="n">
        <v>0.6</v>
      </c>
      <c r="M30" s="29" t="n">
        <v>0.35</v>
      </c>
      <c r="N30" s="6" t="n">
        <v>1</v>
      </c>
      <c r="O30" s="14" t="n">
        <f aca="false">N30/60*'Mi negocio'!$C$23</f>
        <v>1.25</v>
      </c>
      <c r="P30" s="14" t="n">
        <f aca="false">'Mi negocio'!$C$20</f>
        <v>1.5</v>
      </c>
      <c r="Q30" s="14" t="n">
        <f aca="false">K30+L30+M30+O30+P30</f>
        <v>7.7329</v>
      </c>
      <c r="R30" s="26"/>
      <c r="S30" s="30" t="n">
        <f aca="false">IF(R30="",'Mi negocio'!$C$24,R30)</f>
        <v>0.06</v>
      </c>
      <c r="T30" s="31" t="n">
        <f aca="false">IFERROR(Q30/(1-S30),0)</f>
        <v>8.22648936170213</v>
      </c>
      <c r="U30" s="32" t="n">
        <f aca="false">IFERROR(CEILING(ROUND(T30/(1-'Mi negocio'!$C$26),6),1),0)</f>
        <v>17</v>
      </c>
      <c r="V30" s="32" t="n">
        <f aca="false">IFERROR(CEILING(ROUND(T30/(1-'Mi negocio'!$C$27),6),1),0)</f>
        <v>21</v>
      </c>
      <c r="W30" s="32" t="n">
        <f aca="false">IFERROR(CEILING(ROUND(T30/(1-'Mi negocio'!$C$28),6),1),0)</f>
        <v>25</v>
      </c>
      <c r="X30" s="32" t="n">
        <f aca="false">IFERROR(CEILING(ROUND(T30/(1-'Mi negocio'!$C$29),6),1),0)</f>
        <v>12</v>
      </c>
      <c r="Y30" s="14" t="n">
        <f aca="false">U30-T30</f>
        <v>8.77351063829787</v>
      </c>
      <c r="Z30" s="30" t="n">
        <f aca="false">IFERROR(Y30/U30,0)</f>
        <v>0.516088861076345</v>
      </c>
    </row>
    <row r="31" customFormat="false" ht="15" hidden="false" customHeight="false" outlineLevel="0" collapsed="false">
      <c r="A31" s="0" t="n">
        <v>27</v>
      </c>
      <c r="B31" s="19" t="s">
        <v>586</v>
      </c>
      <c r="C31" s="18" t="s">
        <v>827</v>
      </c>
      <c r="D31" s="13" t="s">
        <v>296</v>
      </c>
      <c r="E31" s="13" t="s">
        <v>277</v>
      </c>
      <c r="F31" s="13" t="s">
        <v>825</v>
      </c>
      <c r="G31" s="28" t="n">
        <v>50</v>
      </c>
      <c r="H31" s="6" t="n">
        <v>300</v>
      </c>
      <c r="I31" s="14" t="n">
        <f aca="false">IF(E31="",0,H31*VLOOKUP(E31,'Bases madre'!$A$5:$E$13,5,FALSE()))</f>
        <v>35.77</v>
      </c>
      <c r="J31" s="14" t="n">
        <f aca="false">SUMIF(Ingredientes!$A$5:$A$500,A31,Ingredientes!$H$5:$H$500)</f>
        <v>167.55</v>
      </c>
      <c r="K31" s="14" t="n">
        <f aca="false">IFERROR((I31+J31)/G31,0)</f>
        <v>4.0664</v>
      </c>
      <c r="L31" s="29" t="n">
        <v>0.6</v>
      </c>
      <c r="M31" s="29" t="n">
        <v>0.35</v>
      </c>
      <c r="N31" s="6" t="n">
        <v>2</v>
      </c>
      <c r="O31" s="14" t="n">
        <f aca="false">N31/60*'Mi negocio'!$C$23</f>
        <v>2.5</v>
      </c>
      <c r="P31" s="14" t="n">
        <f aca="false">'Mi negocio'!$C$20</f>
        <v>1.5</v>
      </c>
      <c r="Q31" s="14" t="n">
        <f aca="false">K31+L31+M31+O31+P31</f>
        <v>9.0164</v>
      </c>
      <c r="R31" s="26"/>
      <c r="S31" s="30" t="n">
        <f aca="false">IF(R31="",'Mi negocio'!$C$24,R31)</f>
        <v>0.06</v>
      </c>
      <c r="T31" s="31" t="n">
        <f aca="false">IFERROR(Q31/(1-S31),0)</f>
        <v>9.59191489361702</v>
      </c>
      <c r="U31" s="32" t="n">
        <f aca="false">IFERROR(CEILING(ROUND(T31/(1-'Mi negocio'!$C$26),6),1),0)</f>
        <v>20</v>
      </c>
      <c r="V31" s="32" t="n">
        <f aca="false">IFERROR(CEILING(ROUND(T31/(1-'Mi negocio'!$C$27),6),1),0)</f>
        <v>24</v>
      </c>
      <c r="W31" s="32" t="n">
        <f aca="false">IFERROR(CEILING(ROUND(T31/(1-'Mi negocio'!$C$28),6),1),0)</f>
        <v>29</v>
      </c>
      <c r="X31" s="32" t="n">
        <f aca="false">IFERROR(CEILING(ROUND(T31/(1-'Mi negocio'!$C$29),6),1),0)</f>
        <v>14</v>
      </c>
      <c r="Y31" s="14" t="n">
        <f aca="false">U31-T31</f>
        <v>10.408085106383</v>
      </c>
      <c r="Z31" s="30" t="n">
        <f aca="false">IFERROR(Y31/U31,0)</f>
        <v>0.520404255319149</v>
      </c>
    </row>
    <row r="32" customFormat="false" ht="15" hidden="false" customHeight="false" outlineLevel="0" collapsed="false">
      <c r="A32" s="0" t="n">
        <v>28</v>
      </c>
      <c r="B32" s="19" t="s">
        <v>597</v>
      </c>
      <c r="C32" s="18" t="s">
        <v>827</v>
      </c>
      <c r="D32" s="13" t="s">
        <v>293</v>
      </c>
      <c r="E32" s="13" t="s">
        <v>277</v>
      </c>
      <c r="F32" s="13" t="s">
        <v>825</v>
      </c>
      <c r="G32" s="28" t="n">
        <v>50</v>
      </c>
      <c r="H32" s="6" t="n">
        <v>300</v>
      </c>
      <c r="I32" s="14" t="n">
        <f aca="false">IF(E32="",0,H32*VLOOKUP(E32,'Bases madre'!$A$5:$E$13,5,FALSE()))</f>
        <v>35.77</v>
      </c>
      <c r="J32" s="14" t="n">
        <f aca="false">SUMIF(Ingredientes!$A$5:$A$500,A32,Ingredientes!$H$5:$H$500)</f>
        <v>74.89</v>
      </c>
      <c r="K32" s="14" t="n">
        <f aca="false">IFERROR((I32+J32)/G32,0)</f>
        <v>2.2132</v>
      </c>
      <c r="L32" s="29" t="n">
        <v>0.6</v>
      </c>
      <c r="M32" s="29" t="n">
        <v>0.35</v>
      </c>
      <c r="N32" s="6" t="n">
        <v>1.4</v>
      </c>
      <c r="O32" s="14" t="n">
        <f aca="false">N32/60*'Mi negocio'!$C$23</f>
        <v>1.75</v>
      </c>
      <c r="P32" s="14" t="n">
        <f aca="false">'Mi negocio'!$C$20</f>
        <v>1.5</v>
      </c>
      <c r="Q32" s="14" t="n">
        <f aca="false">K32+L32+M32+O32+P32</f>
        <v>6.4132</v>
      </c>
      <c r="R32" s="26"/>
      <c r="S32" s="30" t="n">
        <f aca="false">IF(R32="",'Mi negocio'!$C$24,R32)</f>
        <v>0.06</v>
      </c>
      <c r="T32" s="31" t="n">
        <f aca="false">IFERROR(Q32/(1-S32),0)</f>
        <v>6.82255319148936</v>
      </c>
      <c r="U32" s="32" t="n">
        <f aca="false">IFERROR(CEILING(ROUND(T32/(1-'Mi negocio'!$C$26),6),1),0)</f>
        <v>14</v>
      </c>
      <c r="V32" s="32" t="n">
        <f aca="false">IFERROR(CEILING(ROUND(T32/(1-'Mi negocio'!$C$27),6),1),0)</f>
        <v>18</v>
      </c>
      <c r="W32" s="32" t="n">
        <f aca="false">IFERROR(CEILING(ROUND(T32/(1-'Mi negocio'!$C$28),6),1),0)</f>
        <v>21</v>
      </c>
      <c r="X32" s="32" t="n">
        <f aca="false">IFERROR(CEILING(ROUND(T32/(1-'Mi negocio'!$C$29),6),1),0)</f>
        <v>10</v>
      </c>
      <c r="Y32" s="14" t="n">
        <f aca="false">U32-T32</f>
        <v>7.17744680851064</v>
      </c>
      <c r="Z32" s="30" t="n">
        <f aca="false">IFERROR(Y32/U32,0)</f>
        <v>0.512674772036474</v>
      </c>
    </row>
    <row r="33" customFormat="false" ht="15" hidden="false" customHeight="false" outlineLevel="0" collapsed="false">
      <c r="A33" s="0" t="n">
        <v>29</v>
      </c>
      <c r="B33" s="19" t="s">
        <v>604</v>
      </c>
      <c r="C33" s="18" t="s">
        <v>827</v>
      </c>
      <c r="D33" s="13" t="s">
        <v>302</v>
      </c>
      <c r="E33" s="13" t="s">
        <v>277</v>
      </c>
      <c r="F33" s="13" t="s">
        <v>825</v>
      </c>
      <c r="G33" s="28" t="n">
        <v>50</v>
      </c>
      <c r="H33" s="6" t="n">
        <v>300</v>
      </c>
      <c r="I33" s="14" t="n">
        <f aca="false">IF(E33="",0,H33*VLOOKUP(E33,'Bases madre'!$A$5:$E$13,5,FALSE()))</f>
        <v>35.77</v>
      </c>
      <c r="J33" s="14" t="n">
        <f aca="false">SUMIF(Ingredientes!$A$5:$A$500,A33,Ingredientes!$H$5:$H$500)</f>
        <v>144.29</v>
      </c>
      <c r="K33" s="14" t="n">
        <f aca="false">IFERROR((I33+J33)/G33,0)</f>
        <v>3.6012</v>
      </c>
      <c r="L33" s="29" t="n">
        <v>0.6</v>
      </c>
      <c r="M33" s="29" t="n">
        <v>0.35</v>
      </c>
      <c r="N33" s="6" t="n">
        <v>1.4</v>
      </c>
      <c r="O33" s="14" t="n">
        <f aca="false">N33/60*'Mi negocio'!$C$23</f>
        <v>1.75</v>
      </c>
      <c r="P33" s="14" t="n">
        <f aca="false">'Mi negocio'!$C$20</f>
        <v>1.5</v>
      </c>
      <c r="Q33" s="14" t="n">
        <f aca="false">K33+L33+M33+O33+P33</f>
        <v>7.8012</v>
      </c>
      <c r="R33" s="26"/>
      <c r="S33" s="30" t="n">
        <f aca="false">IF(R33="",'Mi negocio'!$C$24,R33)</f>
        <v>0.06</v>
      </c>
      <c r="T33" s="31" t="n">
        <f aca="false">IFERROR(Q33/(1-S33),0)</f>
        <v>8.29914893617021</v>
      </c>
      <c r="U33" s="32" t="n">
        <f aca="false">IFERROR(CEILING(ROUND(T33/(1-'Mi negocio'!$C$26),6),1),0)</f>
        <v>17</v>
      </c>
      <c r="V33" s="32" t="n">
        <f aca="false">IFERROR(CEILING(ROUND(T33/(1-'Mi negocio'!$C$27),6),1),0)</f>
        <v>21</v>
      </c>
      <c r="W33" s="32" t="n">
        <f aca="false">IFERROR(CEILING(ROUND(T33/(1-'Mi negocio'!$C$28),6),1),0)</f>
        <v>25</v>
      </c>
      <c r="X33" s="32" t="n">
        <f aca="false">IFERROR(CEILING(ROUND(T33/(1-'Mi negocio'!$C$29),6),1),0)</f>
        <v>12</v>
      </c>
      <c r="Y33" s="14" t="n">
        <f aca="false">U33-T33</f>
        <v>8.70085106382979</v>
      </c>
      <c r="Z33" s="30" t="n">
        <f aca="false">IFERROR(Y33/U33,0)</f>
        <v>0.511814768460576</v>
      </c>
    </row>
    <row r="34" customFormat="false" ht="15" hidden="false" customHeight="false" outlineLevel="0" collapsed="false">
      <c r="A34" s="0" t="n">
        <v>30</v>
      </c>
      <c r="B34" s="19" t="s">
        <v>611</v>
      </c>
      <c r="C34" s="18" t="s">
        <v>827</v>
      </c>
      <c r="D34" s="13" t="s">
        <v>302</v>
      </c>
      <c r="E34" s="13" t="s">
        <v>277</v>
      </c>
      <c r="F34" s="13" t="s">
        <v>825</v>
      </c>
      <c r="G34" s="28" t="n">
        <v>50</v>
      </c>
      <c r="H34" s="6" t="n">
        <v>300</v>
      </c>
      <c r="I34" s="14" t="n">
        <f aca="false">IF(E34="",0,H34*VLOOKUP(E34,'Bases madre'!$A$5:$E$13,5,FALSE()))</f>
        <v>35.77</v>
      </c>
      <c r="J34" s="14" t="n">
        <f aca="false">SUMIF(Ingredientes!$A$5:$A$500,A34,Ingredientes!$H$5:$H$500)</f>
        <v>261.494302325581</v>
      </c>
      <c r="K34" s="14" t="n">
        <f aca="false">IFERROR((I34+J34)/G34,0)</f>
        <v>5.94528604651163</v>
      </c>
      <c r="L34" s="29" t="n">
        <v>0.6</v>
      </c>
      <c r="M34" s="29" t="n">
        <v>0.35</v>
      </c>
      <c r="N34" s="6" t="n">
        <v>1.4</v>
      </c>
      <c r="O34" s="14" t="n">
        <f aca="false">N34/60*'Mi negocio'!$C$23</f>
        <v>1.75</v>
      </c>
      <c r="P34" s="14" t="n">
        <f aca="false">'Mi negocio'!$C$20</f>
        <v>1.5</v>
      </c>
      <c r="Q34" s="14" t="n">
        <f aca="false">K34+L34+M34+O34+P34</f>
        <v>10.1452860465116</v>
      </c>
      <c r="R34" s="26"/>
      <c r="S34" s="30" t="n">
        <f aca="false">IF(R34="",'Mi negocio'!$C$24,R34)</f>
        <v>0.06</v>
      </c>
      <c r="T34" s="31" t="n">
        <f aca="false">IFERROR(Q34/(1-S34),0)</f>
        <v>10.792857496289</v>
      </c>
      <c r="U34" s="32" t="n">
        <f aca="false">IFERROR(CEILING(ROUND(T34/(1-'Mi negocio'!$C$26),6),1),0)</f>
        <v>22</v>
      </c>
      <c r="V34" s="32" t="n">
        <f aca="false">IFERROR(CEILING(ROUND(T34/(1-'Mi negocio'!$C$27),6),1),0)</f>
        <v>27</v>
      </c>
      <c r="W34" s="32" t="n">
        <f aca="false">IFERROR(CEILING(ROUND(T34/(1-'Mi negocio'!$C$28),6),1),0)</f>
        <v>32</v>
      </c>
      <c r="X34" s="32" t="n">
        <f aca="false">IFERROR(CEILING(ROUND(T34/(1-'Mi negocio'!$C$29),6),1),0)</f>
        <v>16</v>
      </c>
      <c r="Y34" s="14" t="n">
        <f aca="false">U34-T34</f>
        <v>11.207142503711</v>
      </c>
      <c r="Z34" s="30" t="n">
        <f aca="false">IFERROR(Y34/U34,0)</f>
        <v>0.509415568350502</v>
      </c>
    </row>
    <row r="35" customFormat="false" ht="15" hidden="false" customHeight="false" outlineLevel="0" collapsed="false">
      <c r="A35" s="0" t="n">
        <v>31</v>
      </c>
      <c r="B35" s="19" t="s">
        <v>619</v>
      </c>
      <c r="C35" s="18" t="s">
        <v>828</v>
      </c>
      <c r="D35" s="13" t="s">
        <v>299</v>
      </c>
      <c r="E35" s="13" t="s">
        <v>280</v>
      </c>
      <c r="F35" s="13" t="s">
        <v>825</v>
      </c>
      <c r="G35" s="28" t="n">
        <v>50</v>
      </c>
      <c r="H35" s="6" t="n">
        <v>300</v>
      </c>
      <c r="I35" s="14" t="n">
        <f aca="false">IF(E35="",0,H35*VLOOKUP(E35,'Bases madre'!$A$5:$E$13,5,FALSE()))</f>
        <v>37.68</v>
      </c>
      <c r="J35" s="14" t="n">
        <f aca="false">SUMIF(Ingredientes!$A$5:$A$500,A35,Ingredientes!$H$5:$H$500)</f>
        <v>215.24</v>
      </c>
      <c r="K35" s="14" t="n">
        <f aca="false">IFERROR((I35+J35)/G35,0)</f>
        <v>5.0584</v>
      </c>
      <c r="L35" s="29" t="n">
        <v>0.6</v>
      </c>
      <c r="M35" s="29" t="n">
        <v>0.35</v>
      </c>
      <c r="N35" s="6" t="n">
        <v>1</v>
      </c>
      <c r="O35" s="14" t="n">
        <f aca="false">N35/60*'Mi negocio'!$C$23</f>
        <v>1.25</v>
      </c>
      <c r="P35" s="14" t="n">
        <f aca="false">'Mi negocio'!$C$20</f>
        <v>1.5</v>
      </c>
      <c r="Q35" s="14" t="n">
        <f aca="false">K35+L35+M35+O35+P35</f>
        <v>8.7584</v>
      </c>
      <c r="R35" s="26"/>
      <c r="S35" s="30" t="n">
        <f aca="false">IF(R35="",'Mi negocio'!$C$24,R35)</f>
        <v>0.06</v>
      </c>
      <c r="T35" s="31" t="n">
        <f aca="false">IFERROR(Q35/(1-S35),0)</f>
        <v>9.31744680851064</v>
      </c>
      <c r="U35" s="32" t="n">
        <f aca="false">IFERROR(CEILING(ROUND(T35/(1-'Mi negocio'!$C$26),6),1),0)</f>
        <v>19</v>
      </c>
      <c r="V35" s="32" t="n">
        <f aca="false">IFERROR(CEILING(ROUND(T35/(1-'Mi negocio'!$C$27),6),1),0)</f>
        <v>24</v>
      </c>
      <c r="W35" s="32" t="n">
        <f aca="false">IFERROR(CEILING(ROUND(T35/(1-'Mi negocio'!$C$28),6),1),0)</f>
        <v>28</v>
      </c>
      <c r="X35" s="32" t="n">
        <f aca="false">IFERROR(CEILING(ROUND(T35/(1-'Mi negocio'!$C$29),6),1),0)</f>
        <v>14</v>
      </c>
      <c r="Y35" s="14" t="n">
        <f aca="false">U35-T35</f>
        <v>9.68255319148936</v>
      </c>
      <c r="Z35" s="30" t="n">
        <f aca="false">IFERROR(Y35/U35,0)</f>
        <v>0.509608062709966</v>
      </c>
    </row>
    <row r="36" customFormat="false" ht="15" hidden="false" customHeight="false" outlineLevel="0" collapsed="false">
      <c r="A36" s="0" t="n">
        <v>32</v>
      </c>
      <c r="B36" s="19" t="s">
        <v>629</v>
      </c>
      <c r="C36" s="18" t="s">
        <v>828</v>
      </c>
      <c r="D36" s="13" t="s">
        <v>296</v>
      </c>
      <c r="E36" s="13" t="s">
        <v>280</v>
      </c>
      <c r="F36" s="13" t="s">
        <v>825</v>
      </c>
      <c r="G36" s="28" t="n">
        <v>50</v>
      </c>
      <c r="H36" s="6" t="n">
        <v>300</v>
      </c>
      <c r="I36" s="14" t="n">
        <f aca="false">IF(E36="",0,H36*VLOOKUP(E36,'Bases madre'!$A$5:$E$13,5,FALSE()))</f>
        <v>37.68</v>
      </c>
      <c r="J36" s="14" t="n">
        <f aca="false">SUMIF(Ingredientes!$A$5:$A$500,A36,Ingredientes!$H$5:$H$500)</f>
        <v>209.63</v>
      </c>
      <c r="K36" s="14" t="n">
        <f aca="false">IFERROR((I36+J36)/G36,0)</f>
        <v>4.9462</v>
      </c>
      <c r="L36" s="29" t="n">
        <v>0.6</v>
      </c>
      <c r="M36" s="29" t="n">
        <v>0.35</v>
      </c>
      <c r="N36" s="6" t="n">
        <v>1.4</v>
      </c>
      <c r="O36" s="14" t="n">
        <f aca="false">N36/60*'Mi negocio'!$C$23</f>
        <v>1.75</v>
      </c>
      <c r="P36" s="14" t="n">
        <f aca="false">'Mi negocio'!$C$20</f>
        <v>1.5</v>
      </c>
      <c r="Q36" s="14" t="n">
        <f aca="false">K36+L36+M36+O36+P36</f>
        <v>9.1462</v>
      </c>
      <c r="R36" s="26"/>
      <c r="S36" s="30" t="n">
        <f aca="false">IF(R36="",'Mi negocio'!$C$24,R36)</f>
        <v>0.06</v>
      </c>
      <c r="T36" s="31" t="n">
        <f aca="false">IFERROR(Q36/(1-S36),0)</f>
        <v>9.73</v>
      </c>
      <c r="U36" s="32" t="n">
        <f aca="false">IFERROR(CEILING(ROUND(T36/(1-'Mi negocio'!$C$26),6),1),0)</f>
        <v>20</v>
      </c>
      <c r="V36" s="32" t="n">
        <f aca="false">IFERROR(CEILING(ROUND(T36/(1-'Mi negocio'!$C$27),6),1),0)</f>
        <v>25</v>
      </c>
      <c r="W36" s="32" t="n">
        <f aca="false">IFERROR(CEILING(ROUND(T36/(1-'Mi negocio'!$C$28),6),1),0)</f>
        <v>29</v>
      </c>
      <c r="X36" s="32" t="n">
        <f aca="false">IFERROR(CEILING(ROUND(T36/(1-'Mi negocio'!$C$29),6),1),0)</f>
        <v>14</v>
      </c>
      <c r="Y36" s="14" t="n">
        <f aca="false">U36-T36</f>
        <v>10.27</v>
      </c>
      <c r="Z36" s="30" t="n">
        <f aca="false">IFERROR(Y36/U36,0)</f>
        <v>0.5135</v>
      </c>
    </row>
    <row r="37" customFormat="false" ht="15" hidden="false" customHeight="false" outlineLevel="0" collapsed="false">
      <c r="A37" s="0" t="n">
        <v>33</v>
      </c>
      <c r="B37" s="19" t="s">
        <v>635</v>
      </c>
      <c r="C37" s="18" t="s">
        <v>828</v>
      </c>
      <c r="D37" s="13" t="s">
        <v>302</v>
      </c>
      <c r="E37" s="13" t="s">
        <v>280</v>
      </c>
      <c r="F37" s="13" t="s">
        <v>825</v>
      </c>
      <c r="G37" s="28" t="n">
        <v>50</v>
      </c>
      <c r="H37" s="6" t="n">
        <v>300</v>
      </c>
      <c r="I37" s="14" t="n">
        <f aca="false">IF(E37="",0,H37*VLOOKUP(E37,'Bases madre'!$A$5:$E$13,5,FALSE()))</f>
        <v>37.68</v>
      </c>
      <c r="J37" s="14" t="n">
        <f aca="false">SUMIF(Ingredientes!$A$5:$A$500,A37,Ingredientes!$H$5:$H$500)</f>
        <v>330.07</v>
      </c>
      <c r="K37" s="14" t="n">
        <f aca="false">IFERROR((I37+J37)/G37,0)</f>
        <v>7.355</v>
      </c>
      <c r="L37" s="29" t="n">
        <v>0.6</v>
      </c>
      <c r="M37" s="29" t="n">
        <v>0.35</v>
      </c>
      <c r="N37" s="6" t="n">
        <v>1.4</v>
      </c>
      <c r="O37" s="14" t="n">
        <f aca="false">N37/60*'Mi negocio'!$C$23</f>
        <v>1.75</v>
      </c>
      <c r="P37" s="14" t="n">
        <f aca="false">'Mi negocio'!$C$20</f>
        <v>1.5</v>
      </c>
      <c r="Q37" s="14" t="n">
        <f aca="false">K37+L37+M37+O37+P37</f>
        <v>11.555</v>
      </c>
      <c r="R37" s="26"/>
      <c r="S37" s="30" t="n">
        <f aca="false">IF(R37="",'Mi negocio'!$C$24,R37)</f>
        <v>0.06</v>
      </c>
      <c r="T37" s="31" t="n">
        <f aca="false">IFERROR(Q37/(1-S37),0)</f>
        <v>12.2925531914894</v>
      </c>
      <c r="U37" s="32" t="n">
        <f aca="false">IFERROR(CEILING(ROUND(T37/(1-'Mi negocio'!$C$26),6),1),0)</f>
        <v>25</v>
      </c>
      <c r="V37" s="32" t="n">
        <f aca="false">IFERROR(CEILING(ROUND(T37/(1-'Mi negocio'!$C$27),6),1),0)</f>
        <v>31</v>
      </c>
      <c r="W37" s="32" t="n">
        <f aca="false">IFERROR(CEILING(ROUND(T37/(1-'Mi negocio'!$C$28),6),1),0)</f>
        <v>37</v>
      </c>
      <c r="X37" s="32" t="n">
        <f aca="false">IFERROR(CEILING(ROUND(T37/(1-'Mi negocio'!$C$29),6),1),0)</f>
        <v>18</v>
      </c>
      <c r="Y37" s="14" t="n">
        <f aca="false">U37-T37</f>
        <v>12.7074468085106</v>
      </c>
      <c r="Z37" s="30" t="n">
        <f aca="false">IFERROR(Y37/U37,0)</f>
        <v>0.508297872340425</v>
      </c>
    </row>
    <row r="38" customFormat="false" ht="15" hidden="false" customHeight="false" outlineLevel="0" collapsed="false">
      <c r="A38" s="0" t="n">
        <v>34</v>
      </c>
      <c r="B38" s="19" t="s">
        <v>641</v>
      </c>
      <c r="C38" s="18" t="s">
        <v>828</v>
      </c>
      <c r="D38" s="13" t="s">
        <v>296</v>
      </c>
      <c r="E38" s="13" t="s">
        <v>280</v>
      </c>
      <c r="F38" s="13" t="s">
        <v>825</v>
      </c>
      <c r="G38" s="28" t="n">
        <v>50</v>
      </c>
      <c r="H38" s="6" t="n">
        <v>300</v>
      </c>
      <c r="I38" s="14" t="n">
        <f aca="false">IF(E38="",0,H38*VLOOKUP(E38,'Bases madre'!$A$5:$E$13,5,FALSE()))</f>
        <v>37.68</v>
      </c>
      <c r="J38" s="14" t="n">
        <f aca="false">SUMIF(Ingredientes!$A$5:$A$500,A38,Ingredientes!$H$5:$H$500)</f>
        <v>291.38</v>
      </c>
      <c r="K38" s="14" t="n">
        <f aca="false">IFERROR((I38+J38)/G38,0)</f>
        <v>6.5812</v>
      </c>
      <c r="L38" s="29" t="n">
        <v>0.6</v>
      </c>
      <c r="M38" s="29" t="n">
        <v>0.35</v>
      </c>
      <c r="N38" s="6" t="n">
        <v>2</v>
      </c>
      <c r="O38" s="14" t="n">
        <f aca="false">N38/60*'Mi negocio'!$C$23</f>
        <v>2.5</v>
      </c>
      <c r="P38" s="14" t="n">
        <f aca="false">'Mi negocio'!$C$20</f>
        <v>1.5</v>
      </c>
      <c r="Q38" s="14" t="n">
        <f aca="false">K38+L38+M38+O38+P38</f>
        <v>11.5312</v>
      </c>
      <c r="R38" s="26"/>
      <c r="S38" s="30" t="n">
        <f aca="false">IF(R38="",'Mi negocio'!$C$24,R38)</f>
        <v>0.06</v>
      </c>
      <c r="T38" s="31" t="n">
        <f aca="false">IFERROR(Q38/(1-S38),0)</f>
        <v>12.2672340425532</v>
      </c>
      <c r="U38" s="32" t="n">
        <f aca="false">IFERROR(CEILING(ROUND(T38/(1-'Mi negocio'!$C$26),6),1),0)</f>
        <v>25</v>
      </c>
      <c r="V38" s="32" t="n">
        <f aca="false">IFERROR(CEILING(ROUND(T38/(1-'Mi negocio'!$C$27),6),1),0)</f>
        <v>31</v>
      </c>
      <c r="W38" s="32" t="n">
        <f aca="false">IFERROR(CEILING(ROUND(T38/(1-'Mi negocio'!$C$28),6),1),0)</f>
        <v>37</v>
      </c>
      <c r="X38" s="32" t="n">
        <f aca="false">IFERROR(CEILING(ROUND(T38/(1-'Mi negocio'!$C$29),6),1),0)</f>
        <v>18</v>
      </c>
      <c r="Y38" s="14" t="n">
        <f aca="false">U38-T38</f>
        <v>12.7327659574468</v>
      </c>
      <c r="Z38" s="30" t="n">
        <f aca="false">IFERROR(Y38/U38,0)</f>
        <v>0.509310638297872</v>
      </c>
    </row>
    <row r="39" customFormat="false" ht="15" hidden="false" customHeight="false" outlineLevel="0" collapsed="false">
      <c r="A39" s="0" t="n">
        <v>35</v>
      </c>
      <c r="B39" s="19" t="s">
        <v>653</v>
      </c>
      <c r="C39" s="18" t="s">
        <v>828</v>
      </c>
      <c r="D39" s="13" t="s">
        <v>296</v>
      </c>
      <c r="E39" s="13" t="s">
        <v>280</v>
      </c>
      <c r="F39" s="13" t="s">
        <v>825</v>
      </c>
      <c r="G39" s="28" t="n">
        <v>50</v>
      </c>
      <c r="H39" s="6" t="n">
        <v>300</v>
      </c>
      <c r="I39" s="14" t="n">
        <f aca="false">IF(E39="",0,H39*VLOOKUP(E39,'Bases madre'!$A$5:$E$13,5,FALSE()))</f>
        <v>37.68</v>
      </c>
      <c r="J39" s="14" t="n">
        <f aca="false">SUMIF(Ingredientes!$A$5:$A$500,A39,Ingredientes!$H$5:$H$500)</f>
        <v>229.92</v>
      </c>
      <c r="K39" s="14" t="n">
        <f aca="false">IFERROR((I39+J39)/G39,0)</f>
        <v>5.352</v>
      </c>
      <c r="L39" s="29" t="n">
        <v>0.6</v>
      </c>
      <c r="M39" s="29" t="n">
        <v>0.35</v>
      </c>
      <c r="N39" s="6" t="n">
        <v>1.4</v>
      </c>
      <c r="O39" s="14" t="n">
        <f aca="false">N39/60*'Mi negocio'!$C$23</f>
        <v>1.75</v>
      </c>
      <c r="P39" s="14" t="n">
        <f aca="false">'Mi negocio'!$C$20</f>
        <v>1.5</v>
      </c>
      <c r="Q39" s="14" t="n">
        <f aca="false">K39+L39+M39+O39+P39</f>
        <v>9.552</v>
      </c>
      <c r="R39" s="26"/>
      <c r="S39" s="30" t="n">
        <f aca="false">IF(R39="",'Mi negocio'!$C$24,R39)</f>
        <v>0.06</v>
      </c>
      <c r="T39" s="31" t="n">
        <f aca="false">IFERROR(Q39/(1-S39),0)</f>
        <v>10.1617021276596</v>
      </c>
      <c r="U39" s="32" t="n">
        <f aca="false">IFERROR(CEILING(ROUND(T39/(1-'Mi negocio'!$C$26),6),1),0)</f>
        <v>21</v>
      </c>
      <c r="V39" s="32" t="n">
        <f aca="false">IFERROR(CEILING(ROUND(T39/(1-'Mi negocio'!$C$27),6),1),0)</f>
        <v>26</v>
      </c>
      <c r="W39" s="32" t="n">
        <f aca="false">IFERROR(CEILING(ROUND(T39/(1-'Mi negocio'!$C$28),6),1),0)</f>
        <v>30</v>
      </c>
      <c r="X39" s="32" t="n">
        <f aca="false">IFERROR(CEILING(ROUND(T39/(1-'Mi negocio'!$C$29),6),1),0)</f>
        <v>15</v>
      </c>
      <c r="Y39" s="14" t="n">
        <f aca="false">U39-T39</f>
        <v>10.8382978723404</v>
      </c>
      <c r="Z39" s="30" t="n">
        <f aca="false">IFERROR(Y39/U39,0)</f>
        <v>0.516109422492401</v>
      </c>
    </row>
    <row r="40" customFormat="false" ht="15" hidden="false" customHeight="false" outlineLevel="0" collapsed="false">
      <c r="A40" s="0" t="n">
        <v>36</v>
      </c>
      <c r="B40" s="19" t="s">
        <v>659</v>
      </c>
      <c r="C40" s="18" t="s">
        <v>828</v>
      </c>
      <c r="D40" s="13" t="s">
        <v>302</v>
      </c>
      <c r="E40" s="13" t="s">
        <v>283</v>
      </c>
      <c r="F40" s="13" t="s">
        <v>825</v>
      </c>
      <c r="G40" s="28" t="n">
        <v>50</v>
      </c>
      <c r="H40" s="6" t="n">
        <v>300</v>
      </c>
      <c r="I40" s="14" t="n">
        <f aca="false">IF(E40="",0,H40*VLOOKUP(E40,'Bases madre'!$A$5:$E$13,5,FALSE()))</f>
        <v>44.29</v>
      </c>
      <c r="J40" s="14" t="n">
        <f aca="false">SUMIF(Ingredientes!$A$5:$A$500,A40,Ingredientes!$H$5:$H$500)</f>
        <v>374.1</v>
      </c>
      <c r="K40" s="14" t="n">
        <f aca="false">IFERROR((I40+J40)/G40,0)</f>
        <v>8.3678</v>
      </c>
      <c r="L40" s="29" t="n">
        <v>0.6</v>
      </c>
      <c r="M40" s="29" t="n">
        <v>0.35</v>
      </c>
      <c r="N40" s="6" t="n">
        <v>1</v>
      </c>
      <c r="O40" s="14" t="n">
        <f aca="false">N40/60*'Mi negocio'!$C$23</f>
        <v>1.25</v>
      </c>
      <c r="P40" s="14" t="n">
        <f aca="false">'Mi negocio'!$C$20</f>
        <v>1.5</v>
      </c>
      <c r="Q40" s="14" t="n">
        <f aca="false">K40+L40+M40+O40+P40</f>
        <v>12.0678</v>
      </c>
      <c r="R40" s="26"/>
      <c r="S40" s="30" t="n">
        <f aca="false">IF(R40="",'Mi negocio'!$C$24,R40)</f>
        <v>0.06</v>
      </c>
      <c r="T40" s="31" t="n">
        <f aca="false">IFERROR(Q40/(1-S40),0)</f>
        <v>12.838085106383</v>
      </c>
      <c r="U40" s="32" t="n">
        <f aca="false">IFERROR(CEILING(ROUND(T40/(1-'Mi negocio'!$C$26),6),1),0)</f>
        <v>26</v>
      </c>
      <c r="V40" s="32" t="n">
        <f aca="false">IFERROR(CEILING(ROUND(T40/(1-'Mi negocio'!$C$27),6),1),0)</f>
        <v>33</v>
      </c>
      <c r="W40" s="32" t="n">
        <f aca="false">IFERROR(CEILING(ROUND(T40/(1-'Mi negocio'!$C$28),6),1),0)</f>
        <v>38</v>
      </c>
      <c r="X40" s="32" t="n">
        <f aca="false">IFERROR(CEILING(ROUND(T40/(1-'Mi negocio'!$C$29),6),1),0)</f>
        <v>19</v>
      </c>
      <c r="Y40" s="14" t="n">
        <f aca="false">U40-T40</f>
        <v>13.161914893617</v>
      </c>
      <c r="Z40" s="30" t="n">
        <f aca="false">IFERROR(Y40/U40,0)</f>
        <v>0.506227495908347</v>
      </c>
    </row>
    <row r="41" customFormat="false" ht="15" hidden="false" customHeight="false" outlineLevel="0" collapsed="false">
      <c r="A41" s="0" t="n">
        <v>37</v>
      </c>
      <c r="B41" s="19" t="s">
        <v>665</v>
      </c>
      <c r="C41" s="18" t="s">
        <v>828</v>
      </c>
      <c r="D41" s="13" t="s">
        <v>296</v>
      </c>
      <c r="E41" s="13" t="s">
        <v>283</v>
      </c>
      <c r="F41" s="13" t="s">
        <v>825</v>
      </c>
      <c r="G41" s="28" t="n">
        <v>50</v>
      </c>
      <c r="H41" s="6" t="n">
        <v>300</v>
      </c>
      <c r="I41" s="14" t="n">
        <f aca="false">IF(E41="",0,H41*VLOOKUP(E41,'Bases madre'!$A$5:$E$13,5,FALSE()))</f>
        <v>44.29</v>
      </c>
      <c r="J41" s="14" t="n">
        <f aca="false">SUMIF(Ingredientes!$A$5:$A$500,A41,Ingredientes!$H$5:$H$500)</f>
        <v>205.97</v>
      </c>
      <c r="K41" s="14" t="n">
        <f aca="false">IFERROR((I41+J41)/G41,0)</f>
        <v>5.0052</v>
      </c>
      <c r="L41" s="29" t="n">
        <v>0.6</v>
      </c>
      <c r="M41" s="29" t="n">
        <v>0.35</v>
      </c>
      <c r="N41" s="6" t="n">
        <v>2</v>
      </c>
      <c r="O41" s="14" t="n">
        <f aca="false">N41/60*'Mi negocio'!$C$23</f>
        <v>2.5</v>
      </c>
      <c r="P41" s="14" t="n">
        <f aca="false">'Mi negocio'!$C$20</f>
        <v>1.5</v>
      </c>
      <c r="Q41" s="14" t="n">
        <f aca="false">K41+L41+M41+O41+P41</f>
        <v>9.9552</v>
      </c>
      <c r="R41" s="26"/>
      <c r="S41" s="30" t="n">
        <f aca="false">IF(R41="",'Mi negocio'!$C$24,R41)</f>
        <v>0.06</v>
      </c>
      <c r="T41" s="31" t="n">
        <f aca="false">IFERROR(Q41/(1-S41),0)</f>
        <v>10.5906382978723</v>
      </c>
      <c r="U41" s="32" t="n">
        <f aca="false">IFERROR(CEILING(ROUND(T41/(1-'Mi negocio'!$C$26),6),1),0)</f>
        <v>22</v>
      </c>
      <c r="V41" s="32" t="n">
        <f aca="false">IFERROR(CEILING(ROUND(T41/(1-'Mi negocio'!$C$27),6),1),0)</f>
        <v>27</v>
      </c>
      <c r="W41" s="32" t="n">
        <f aca="false">IFERROR(CEILING(ROUND(T41/(1-'Mi negocio'!$C$28),6),1),0)</f>
        <v>32</v>
      </c>
      <c r="X41" s="32" t="n">
        <f aca="false">IFERROR(CEILING(ROUND(T41/(1-'Mi negocio'!$C$29),6),1),0)</f>
        <v>16</v>
      </c>
      <c r="Y41" s="14" t="n">
        <f aca="false">U41-T41</f>
        <v>11.4093617021277</v>
      </c>
      <c r="Z41" s="30" t="n">
        <f aca="false">IFERROR(Y41/U41,0)</f>
        <v>0.518607350096712</v>
      </c>
    </row>
    <row r="42" customFormat="false" ht="15" hidden="false" customHeight="false" outlineLevel="0" collapsed="false">
      <c r="A42" s="0" t="n">
        <v>38</v>
      </c>
      <c r="B42" s="19" t="s">
        <v>672</v>
      </c>
      <c r="C42" s="18" t="s">
        <v>828</v>
      </c>
      <c r="D42" s="13" t="s">
        <v>296</v>
      </c>
      <c r="E42" s="13" t="s">
        <v>283</v>
      </c>
      <c r="F42" s="13" t="s">
        <v>825</v>
      </c>
      <c r="G42" s="28" t="n">
        <v>50</v>
      </c>
      <c r="H42" s="6" t="n">
        <v>300</v>
      </c>
      <c r="I42" s="14" t="n">
        <f aca="false">IF(E42="",0,H42*VLOOKUP(E42,'Bases madre'!$A$5:$E$13,5,FALSE()))</f>
        <v>44.29</v>
      </c>
      <c r="J42" s="14" t="n">
        <f aca="false">SUMIF(Ingredientes!$A$5:$A$500,A42,Ingredientes!$H$5:$H$500)</f>
        <v>256.58</v>
      </c>
      <c r="K42" s="14" t="n">
        <f aca="false">IFERROR((I42+J42)/G42,0)</f>
        <v>6.0174</v>
      </c>
      <c r="L42" s="29" t="n">
        <v>0.6</v>
      </c>
      <c r="M42" s="29" t="n">
        <v>0.35</v>
      </c>
      <c r="N42" s="6" t="n">
        <v>1.4</v>
      </c>
      <c r="O42" s="14" t="n">
        <f aca="false">N42/60*'Mi negocio'!$C$23</f>
        <v>1.75</v>
      </c>
      <c r="P42" s="14" t="n">
        <f aca="false">'Mi negocio'!$C$20</f>
        <v>1.5</v>
      </c>
      <c r="Q42" s="14" t="n">
        <f aca="false">K42+L42+M42+O42+P42</f>
        <v>10.2174</v>
      </c>
      <c r="R42" s="26"/>
      <c r="S42" s="30" t="n">
        <f aca="false">IF(R42="",'Mi negocio'!$C$24,R42)</f>
        <v>0.06</v>
      </c>
      <c r="T42" s="31" t="n">
        <f aca="false">IFERROR(Q42/(1-S42),0)</f>
        <v>10.8695744680851</v>
      </c>
      <c r="U42" s="32" t="n">
        <f aca="false">IFERROR(CEILING(ROUND(T42/(1-'Mi negocio'!$C$26),6),1),0)</f>
        <v>22</v>
      </c>
      <c r="V42" s="32" t="n">
        <f aca="false">IFERROR(CEILING(ROUND(T42/(1-'Mi negocio'!$C$27),6),1),0)</f>
        <v>28</v>
      </c>
      <c r="W42" s="32" t="n">
        <f aca="false">IFERROR(CEILING(ROUND(T42/(1-'Mi negocio'!$C$28),6),1),0)</f>
        <v>32</v>
      </c>
      <c r="X42" s="32" t="n">
        <f aca="false">IFERROR(CEILING(ROUND(T42/(1-'Mi negocio'!$C$29),6),1),0)</f>
        <v>16</v>
      </c>
      <c r="Y42" s="14" t="n">
        <f aca="false">U42-T42</f>
        <v>11.1304255319149</v>
      </c>
      <c r="Z42" s="30" t="n">
        <f aca="false">IFERROR(Y42/U42,0)</f>
        <v>0.505928433268859</v>
      </c>
    </row>
    <row r="43" customFormat="false" ht="15" hidden="false" customHeight="false" outlineLevel="0" collapsed="false">
      <c r="A43" s="0" t="n">
        <v>39</v>
      </c>
      <c r="B43" s="19" t="s">
        <v>678</v>
      </c>
      <c r="C43" s="18" t="s">
        <v>828</v>
      </c>
      <c r="D43" s="13" t="s">
        <v>299</v>
      </c>
      <c r="E43" s="13" t="s">
        <v>283</v>
      </c>
      <c r="F43" s="13" t="s">
        <v>825</v>
      </c>
      <c r="G43" s="28" t="n">
        <v>50</v>
      </c>
      <c r="H43" s="6" t="n">
        <v>300</v>
      </c>
      <c r="I43" s="14" t="n">
        <f aca="false">IF(E43="",0,H43*VLOOKUP(E43,'Bases madre'!$A$5:$E$13,5,FALSE()))</f>
        <v>44.29</v>
      </c>
      <c r="J43" s="14" t="n">
        <f aca="false">SUMIF(Ingredientes!$A$5:$A$500,A43,Ingredientes!$H$5:$H$500)</f>
        <v>217.685</v>
      </c>
      <c r="K43" s="14" t="n">
        <f aca="false">IFERROR((I43+J43)/G43,0)</f>
        <v>5.2395</v>
      </c>
      <c r="L43" s="29" t="n">
        <v>0.6</v>
      </c>
      <c r="M43" s="29" t="n">
        <v>0.35</v>
      </c>
      <c r="N43" s="6" t="n">
        <v>2</v>
      </c>
      <c r="O43" s="14" t="n">
        <f aca="false">N43/60*'Mi negocio'!$C$23</f>
        <v>2.5</v>
      </c>
      <c r="P43" s="14" t="n">
        <f aca="false">'Mi negocio'!$C$20</f>
        <v>1.5</v>
      </c>
      <c r="Q43" s="14" t="n">
        <f aca="false">K43+L43+M43+O43+P43</f>
        <v>10.1895</v>
      </c>
      <c r="R43" s="26"/>
      <c r="S43" s="30" t="n">
        <f aca="false">IF(R43="",'Mi negocio'!$C$24,R43)</f>
        <v>0.06</v>
      </c>
      <c r="T43" s="31" t="n">
        <f aca="false">IFERROR(Q43/(1-S43),0)</f>
        <v>10.8398936170213</v>
      </c>
      <c r="U43" s="32" t="n">
        <f aca="false">IFERROR(CEILING(ROUND(T43/(1-'Mi negocio'!$C$26),6),1),0)</f>
        <v>22</v>
      </c>
      <c r="V43" s="32" t="n">
        <f aca="false">IFERROR(CEILING(ROUND(T43/(1-'Mi negocio'!$C$27),6),1),0)</f>
        <v>28</v>
      </c>
      <c r="W43" s="32" t="n">
        <f aca="false">IFERROR(CEILING(ROUND(T43/(1-'Mi negocio'!$C$28),6),1),0)</f>
        <v>32</v>
      </c>
      <c r="X43" s="32" t="n">
        <f aca="false">IFERROR(CEILING(ROUND(T43/(1-'Mi negocio'!$C$29),6),1),0)</f>
        <v>16</v>
      </c>
      <c r="Y43" s="14" t="n">
        <f aca="false">U43-T43</f>
        <v>11.1601063829787</v>
      </c>
      <c r="Z43" s="30" t="n">
        <f aca="false">IFERROR(Y43/U43,0)</f>
        <v>0.507277562862669</v>
      </c>
    </row>
    <row r="44" customFormat="false" ht="15" hidden="false" customHeight="false" outlineLevel="0" collapsed="false">
      <c r="A44" s="0" t="n">
        <v>40</v>
      </c>
      <c r="B44" s="19" t="s">
        <v>686</v>
      </c>
      <c r="C44" s="18" t="s">
        <v>828</v>
      </c>
      <c r="D44" s="13" t="s">
        <v>296</v>
      </c>
      <c r="E44" s="13" t="s">
        <v>283</v>
      </c>
      <c r="F44" s="13" t="s">
        <v>825</v>
      </c>
      <c r="G44" s="28" t="n">
        <v>50</v>
      </c>
      <c r="H44" s="6" t="n">
        <v>300</v>
      </c>
      <c r="I44" s="14" t="n">
        <f aca="false">IF(E44="",0,H44*VLOOKUP(E44,'Bases madre'!$A$5:$E$13,5,FALSE()))</f>
        <v>44.29</v>
      </c>
      <c r="J44" s="14" t="n">
        <f aca="false">SUMIF(Ingredientes!$A$5:$A$500,A44,Ingredientes!$H$5:$H$500)</f>
        <v>213.95</v>
      </c>
      <c r="K44" s="14" t="n">
        <f aca="false">IFERROR((I44+J44)/G44,0)</f>
        <v>5.1648</v>
      </c>
      <c r="L44" s="29" t="n">
        <v>0.6</v>
      </c>
      <c r="M44" s="29" t="n">
        <v>0.35</v>
      </c>
      <c r="N44" s="6" t="n">
        <v>2</v>
      </c>
      <c r="O44" s="14" t="n">
        <f aca="false">N44/60*'Mi negocio'!$C$23</f>
        <v>2.5</v>
      </c>
      <c r="P44" s="14" t="n">
        <f aca="false">'Mi negocio'!$C$20</f>
        <v>1.5</v>
      </c>
      <c r="Q44" s="14" t="n">
        <f aca="false">K44+L44+M44+O44+P44</f>
        <v>10.1148</v>
      </c>
      <c r="R44" s="26"/>
      <c r="S44" s="30" t="n">
        <f aca="false">IF(R44="",'Mi negocio'!$C$24,R44)</f>
        <v>0.06</v>
      </c>
      <c r="T44" s="31" t="n">
        <f aca="false">IFERROR(Q44/(1-S44),0)</f>
        <v>10.7604255319149</v>
      </c>
      <c r="U44" s="32" t="n">
        <f aca="false">IFERROR(CEILING(ROUND(T44/(1-'Mi negocio'!$C$26),6),1),0)</f>
        <v>22</v>
      </c>
      <c r="V44" s="32" t="n">
        <f aca="false">IFERROR(CEILING(ROUND(T44/(1-'Mi negocio'!$C$27),6),1),0)</f>
        <v>27</v>
      </c>
      <c r="W44" s="32" t="n">
        <f aca="false">IFERROR(CEILING(ROUND(T44/(1-'Mi negocio'!$C$28),6),1),0)</f>
        <v>32</v>
      </c>
      <c r="X44" s="32" t="n">
        <f aca="false">IFERROR(CEILING(ROUND(T44/(1-'Mi negocio'!$C$29),6),1),0)</f>
        <v>16</v>
      </c>
      <c r="Y44" s="14" t="n">
        <f aca="false">U44-T44</f>
        <v>11.2395744680851</v>
      </c>
      <c r="Z44" s="30" t="n">
        <f aca="false">IFERROR(Y44/U44,0)</f>
        <v>0.510889748549323</v>
      </c>
    </row>
    <row r="45" customFormat="false" ht="15" hidden="false" customHeight="false" outlineLevel="0" collapsed="false">
      <c r="A45" s="0" t="n">
        <v>41</v>
      </c>
      <c r="B45" s="19" t="s">
        <v>693</v>
      </c>
      <c r="C45" s="18" t="s">
        <v>829</v>
      </c>
      <c r="D45" s="13" t="s">
        <v>296</v>
      </c>
      <c r="E45" s="13" t="s">
        <v>286</v>
      </c>
      <c r="F45" s="13" t="s">
        <v>825</v>
      </c>
      <c r="G45" s="28" t="n">
        <v>50</v>
      </c>
      <c r="H45" s="6" t="n">
        <v>300</v>
      </c>
      <c r="I45" s="14" t="n">
        <f aca="false">IF(E45="",0,H45*VLOOKUP(E45,'Bases madre'!$A$5:$E$13,5,FALSE()))</f>
        <v>35.7</v>
      </c>
      <c r="J45" s="14" t="n">
        <f aca="false">SUMIF(Ingredientes!$A$5:$A$500,A45,Ingredientes!$H$5:$H$500)</f>
        <v>588.22</v>
      </c>
      <c r="K45" s="14" t="n">
        <f aca="false">IFERROR((I45+J45)/G45,0)</f>
        <v>12.4784</v>
      </c>
      <c r="L45" s="29" t="n">
        <v>0.6</v>
      </c>
      <c r="M45" s="29" t="n">
        <v>0.35</v>
      </c>
      <c r="N45" s="6" t="n">
        <v>2</v>
      </c>
      <c r="O45" s="14" t="n">
        <f aca="false">N45/60*'Mi negocio'!$C$23</f>
        <v>2.5</v>
      </c>
      <c r="P45" s="14" t="n">
        <f aca="false">'Mi negocio'!$C$20</f>
        <v>1.5</v>
      </c>
      <c r="Q45" s="14" t="n">
        <f aca="false">K45+L45+M45+O45+P45</f>
        <v>17.4284</v>
      </c>
      <c r="R45" s="26"/>
      <c r="S45" s="30" t="n">
        <f aca="false">IF(R45="",'Mi negocio'!$C$24,R45)</f>
        <v>0.06</v>
      </c>
      <c r="T45" s="31" t="n">
        <f aca="false">IFERROR(Q45/(1-S45),0)</f>
        <v>18.5408510638298</v>
      </c>
      <c r="U45" s="32" t="n">
        <f aca="false">IFERROR(CEILING(ROUND(T45/(1-'Mi negocio'!$C$26),6),1),0)</f>
        <v>38</v>
      </c>
      <c r="V45" s="32" t="n">
        <f aca="false">IFERROR(CEILING(ROUND(T45/(1-'Mi negocio'!$C$27),6),1),0)</f>
        <v>47</v>
      </c>
      <c r="W45" s="32" t="n">
        <f aca="false">IFERROR(CEILING(ROUND(T45/(1-'Mi negocio'!$C$28),6),1),0)</f>
        <v>55</v>
      </c>
      <c r="X45" s="32" t="n">
        <f aca="false">IFERROR(CEILING(ROUND(T45/(1-'Mi negocio'!$C$29),6),1),0)</f>
        <v>27</v>
      </c>
      <c r="Y45" s="14" t="n">
        <f aca="false">U45-T45</f>
        <v>19.4591489361702</v>
      </c>
      <c r="Z45" s="30" t="n">
        <f aca="false">IFERROR(Y45/U45,0)</f>
        <v>0.512082866741321</v>
      </c>
    </row>
    <row r="46" customFormat="false" ht="15" hidden="false" customHeight="false" outlineLevel="0" collapsed="false">
      <c r="A46" s="0" t="n">
        <v>42</v>
      </c>
      <c r="B46" s="19" t="s">
        <v>700</v>
      </c>
      <c r="C46" s="18" t="s">
        <v>829</v>
      </c>
      <c r="D46" s="13" t="s">
        <v>308</v>
      </c>
      <c r="E46" s="13" t="s">
        <v>286</v>
      </c>
      <c r="F46" s="13" t="s">
        <v>825</v>
      </c>
      <c r="G46" s="28" t="n">
        <v>50</v>
      </c>
      <c r="H46" s="6" t="n">
        <v>300</v>
      </c>
      <c r="I46" s="14" t="n">
        <f aca="false">IF(E46="",0,H46*VLOOKUP(E46,'Bases madre'!$A$5:$E$13,5,FALSE()))</f>
        <v>35.7</v>
      </c>
      <c r="J46" s="14" t="n">
        <f aca="false">SUMIF(Ingredientes!$A$5:$A$500,A46,Ingredientes!$H$5:$H$500)</f>
        <v>252.02</v>
      </c>
      <c r="K46" s="14" t="n">
        <f aca="false">IFERROR((I46+J46)/G46,0)</f>
        <v>5.7544</v>
      </c>
      <c r="L46" s="29" t="n">
        <v>0.6</v>
      </c>
      <c r="M46" s="29" t="n">
        <v>0.35</v>
      </c>
      <c r="N46" s="6" t="n">
        <v>2</v>
      </c>
      <c r="O46" s="14" t="n">
        <f aca="false">N46/60*'Mi negocio'!$C$23</f>
        <v>2.5</v>
      </c>
      <c r="P46" s="14" t="n">
        <f aca="false">'Mi negocio'!$C$20</f>
        <v>1.5</v>
      </c>
      <c r="Q46" s="14" t="n">
        <f aca="false">K46+L46+M46+O46+P46</f>
        <v>10.7044</v>
      </c>
      <c r="R46" s="26"/>
      <c r="S46" s="30" t="n">
        <f aca="false">IF(R46="",'Mi negocio'!$C$24,R46)</f>
        <v>0.06</v>
      </c>
      <c r="T46" s="31" t="n">
        <f aca="false">IFERROR(Q46/(1-S46),0)</f>
        <v>11.3876595744681</v>
      </c>
      <c r="U46" s="32" t="n">
        <f aca="false">IFERROR(CEILING(ROUND(T46/(1-'Mi negocio'!$C$26),6),1),0)</f>
        <v>23</v>
      </c>
      <c r="V46" s="32" t="n">
        <f aca="false">IFERROR(CEILING(ROUND(T46/(1-'Mi negocio'!$C$27),6),1),0)</f>
        <v>29</v>
      </c>
      <c r="W46" s="32" t="n">
        <f aca="false">IFERROR(CEILING(ROUND(T46/(1-'Mi negocio'!$C$28),6),1),0)</f>
        <v>34</v>
      </c>
      <c r="X46" s="32" t="n">
        <f aca="false">IFERROR(CEILING(ROUND(T46/(1-'Mi negocio'!$C$29),6),1),0)</f>
        <v>17</v>
      </c>
      <c r="Y46" s="14" t="n">
        <f aca="false">U46-T46</f>
        <v>11.6123404255319</v>
      </c>
      <c r="Z46" s="30" t="n">
        <f aca="false">IFERROR(Y46/U46,0)</f>
        <v>0.504884366327475</v>
      </c>
    </row>
    <row r="47" customFormat="false" ht="15" hidden="false" customHeight="false" outlineLevel="0" collapsed="false">
      <c r="A47" s="0" t="n">
        <v>43</v>
      </c>
      <c r="B47" s="19" t="s">
        <v>708</v>
      </c>
      <c r="C47" s="18" t="s">
        <v>829</v>
      </c>
      <c r="D47" s="13" t="s">
        <v>308</v>
      </c>
      <c r="E47" s="13" t="s">
        <v>286</v>
      </c>
      <c r="F47" s="13" t="s">
        <v>825</v>
      </c>
      <c r="G47" s="28" t="n">
        <v>50</v>
      </c>
      <c r="H47" s="6" t="n">
        <v>300</v>
      </c>
      <c r="I47" s="14" t="n">
        <f aca="false">IF(E47="",0,H47*VLOOKUP(E47,'Bases madre'!$A$5:$E$13,5,FALSE()))</f>
        <v>35.7</v>
      </c>
      <c r="J47" s="14" t="n">
        <f aca="false">SUMIF(Ingredientes!$A$5:$A$500,A47,Ingredientes!$H$5:$H$500)</f>
        <v>557.54</v>
      </c>
      <c r="K47" s="14" t="n">
        <f aca="false">IFERROR((I47+J47)/G47,0)</f>
        <v>11.8648</v>
      </c>
      <c r="L47" s="29" t="n">
        <v>0.6</v>
      </c>
      <c r="M47" s="29" t="n">
        <v>0.35</v>
      </c>
      <c r="N47" s="6" t="n">
        <v>2</v>
      </c>
      <c r="O47" s="14" t="n">
        <f aca="false">N47/60*'Mi negocio'!$C$23</f>
        <v>2.5</v>
      </c>
      <c r="P47" s="14" t="n">
        <f aca="false">'Mi negocio'!$C$20</f>
        <v>1.5</v>
      </c>
      <c r="Q47" s="14" t="n">
        <f aca="false">K47+L47+M47+O47+P47</f>
        <v>16.8148</v>
      </c>
      <c r="R47" s="26"/>
      <c r="S47" s="30" t="n">
        <f aca="false">IF(R47="",'Mi negocio'!$C$24,R47)</f>
        <v>0.06</v>
      </c>
      <c r="T47" s="31" t="n">
        <f aca="false">IFERROR(Q47/(1-S47),0)</f>
        <v>17.888085106383</v>
      </c>
      <c r="U47" s="32" t="n">
        <f aca="false">IFERROR(CEILING(ROUND(T47/(1-'Mi negocio'!$C$26),6),1),0)</f>
        <v>36</v>
      </c>
      <c r="V47" s="32" t="n">
        <f aca="false">IFERROR(CEILING(ROUND(T47/(1-'Mi negocio'!$C$27),6),1),0)</f>
        <v>45</v>
      </c>
      <c r="W47" s="32" t="n">
        <f aca="false">IFERROR(CEILING(ROUND(T47/(1-'Mi negocio'!$C$28),6),1),0)</f>
        <v>53</v>
      </c>
      <c r="X47" s="32" t="n">
        <f aca="false">IFERROR(CEILING(ROUND(T47/(1-'Mi negocio'!$C$29),6),1),0)</f>
        <v>26</v>
      </c>
      <c r="Y47" s="14" t="n">
        <f aca="false">U47-T47</f>
        <v>18.111914893617</v>
      </c>
      <c r="Z47" s="30" t="n">
        <f aca="false">IFERROR(Y47/U47,0)</f>
        <v>0.503108747044917</v>
      </c>
    </row>
    <row r="48" customFormat="false" ht="15" hidden="false" customHeight="false" outlineLevel="0" collapsed="false">
      <c r="A48" s="0" t="n">
        <v>44</v>
      </c>
      <c r="B48" s="19" t="s">
        <v>715</v>
      </c>
      <c r="C48" s="18" t="s">
        <v>829</v>
      </c>
      <c r="D48" s="13" t="s">
        <v>308</v>
      </c>
      <c r="E48" s="13" t="s">
        <v>286</v>
      </c>
      <c r="F48" s="13" t="s">
        <v>825</v>
      </c>
      <c r="G48" s="28" t="n">
        <v>50</v>
      </c>
      <c r="H48" s="6" t="n">
        <v>300</v>
      </c>
      <c r="I48" s="14" t="n">
        <f aca="false">IF(E48="",0,H48*VLOOKUP(E48,'Bases madre'!$A$5:$E$13,5,FALSE()))</f>
        <v>35.7</v>
      </c>
      <c r="J48" s="14" t="n">
        <f aca="false">SUMIF(Ingredientes!$A$5:$A$500,A48,Ingredientes!$H$5:$H$500)</f>
        <v>250.46014084507</v>
      </c>
      <c r="K48" s="14" t="n">
        <f aca="false">IFERROR((I48+J48)/G48,0)</f>
        <v>5.72320281690141</v>
      </c>
      <c r="L48" s="29" t="n">
        <v>0.6</v>
      </c>
      <c r="M48" s="29" t="n">
        <v>0.35</v>
      </c>
      <c r="N48" s="6" t="n">
        <v>2</v>
      </c>
      <c r="O48" s="14" t="n">
        <f aca="false">N48/60*'Mi negocio'!$C$23</f>
        <v>2.5</v>
      </c>
      <c r="P48" s="14" t="n">
        <f aca="false">'Mi negocio'!$C$20</f>
        <v>1.5</v>
      </c>
      <c r="Q48" s="14" t="n">
        <f aca="false">K48+L48+M48+O48+P48</f>
        <v>10.6732028169014</v>
      </c>
      <c r="R48" s="26"/>
      <c r="S48" s="30" t="n">
        <f aca="false">IF(R48="",'Mi negocio'!$C$24,R48)</f>
        <v>0.06</v>
      </c>
      <c r="T48" s="31" t="n">
        <f aca="false">IFERROR(Q48/(1-S48),0)</f>
        <v>11.35447108181</v>
      </c>
      <c r="U48" s="32" t="n">
        <f aca="false">IFERROR(CEILING(ROUND(T48/(1-'Mi negocio'!$C$26),6),1),0)</f>
        <v>23</v>
      </c>
      <c r="V48" s="32" t="n">
        <f aca="false">IFERROR(CEILING(ROUND(T48/(1-'Mi negocio'!$C$27),6),1),0)</f>
        <v>29</v>
      </c>
      <c r="W48" s="32" t="n">
        <f aca="false">IFERROR(CEILING(ROUND(T48/(1-'Mi negocio'!$C$28),6),1),0)</f>
        <v>34</v>
      </c>
      <c r="X48" s="32" t="n">
        <f aca="false">IFERROR(CEILING(ROUND(T48/(1-'Mi negocio'!$C$29),6),1),0)</f>
        <v>17</v>
      </c>
      <c r="Y48" s="14" t="n">
        <f aca="false">U48-T48</f>
        <v>11.64552891819</v>
      </c>
      <c r="Z48" s="30" t="n">
        <f aca="false">IFERROR(Y48/U48,0)</f>
        <v>0.50632734426913</v>
      </c>
    </row>
    <row r="49" customFormat="false" ht="15" hidden="false" customHeight="false" outlineLevel="0" collapsed="false">
      <c r="A49" s="0" t="n">
        <v>45</v>
      </c>
      <c r="B49" s="19" t="s">
        <v>720</v>
      </c>
      <c r="C49" s="18" t="s">
        <v>829</v>
      </c>
      <c r="D49" s="13" t="s">
        <v>305</v>
      </c>
      <c r="E49" s="13" t="s">
        <v>286</v>
      </c>
      <c r="F49" s="13" t="s">
        <v>825</v>
      </c>
      <c r="G49" s="28" t="n">
        <v>50</v>
      </c>
      <c r="H49" s="6" t="n">
        <v>300</v>
      </c>
      <c r="I49" s="14" t="n">
        <f aca="false">IF(E49="",0,H49*VLOOKUP(E49,'Bases madre'!$A$5:$E$13,5,FALSE()))</f>
        <v>35.7</v>
      </c>
      <c r="J49" s="14" t="n">
        <f aca="false">SUMIF(Ingredientes!$A$5:$A$500,A49,Ingredientes!$H$5:$H$500)</f>
        <v>307.96</v>
      </c>
      <c r="K49" s="14" t="n">
        <f aca="false">IFERROR((I49+J49)/G49,0)</f>
        <v>6.8732</v>
      </c>
      <c r="L49" s="29" t="n">
        <v>0.6</v>
      </c>
      <c r="M49" s="29" t="n">
        <v>0.35</v>
      </c>
      <c r="N49" s="6" t="n">
        <v>1.4</v>
      </c>
      <c r="O49" s="14" t="n">
        <f aca="false">N49/60*'Mi negocio'!$C$23</f>
        <v>1.75</v>
      </c>
      <c r="P49" s="14" t="n">
        <f aca="false">'Mi negocio'!$C$20</f>
        <v>1.5</v>
      </c>
      <c r="Q49" s="14" t="n">
        <f aca="false">K49+L49+M49+O49+P49</f>
        <v>11.0732</v>
      </c>
      <c r="R49" s="26"/>
      <c r="S49" s="30" t="n">
        <f aca="false">IF(R49="",'Mi negocio'!$C$24,R49)</f>
        <v>0.06</v>
      </c>
      <c r="T49" s="31" t="n">
        <f aca="false">IFERROR(Q49/(1-S49),0)</f>
        <v>11.78</v>
      </c>
      <c r="U49" s="32" t="n">
        <f aca="false">IFERROR(CEILING(ROUND(T49/(1-'Mi negocio'!$C$26),6),1),0)</f>
        <v>24</v>
      </c>
      <c r="V49" s="32" t="n">
        <f aca="false">IFERROR(CEILING(ROUND(T49/(1-'Mi negocio'!$C$27),6),1),0)</f>
        <v>30</v>
      </c>
      <c r="W49" s="32" t="n">
        <f aca="false">IFERROR(CEILING(ROUND(T49/(1-'Mi negocio'!$C$28),6),1),0)</f>
        <v>35</v>
      </c>
      <c r="X49" s="32" t="n">
        <f aca="false">IFERROR(CEILING(ROUND(T49/(1-'Mi negocio'!$C$29),6),1),0)</f>
        <v>17</v>
      </c>
      <c r="Y49" s="14" t="n">
        <f aca="false">U49-T49</f>
        <v>12.22</v>
      </c>
      <c r="Z49" s="30" t="n">
        <f aca="false">IFERROR(Y49/U49,0)</f>
        <v>0.509166666666667</v>
      </c>
    </row>
    <row r="50" customFormat="false" ht="15" hidden="false" customHeight="false" outlineLevel="0" collapsed="false">
      <c r="A50" s="0" t="n">
        <v>46</v>
      </c>
      <c r="B50" s="19" t="s">
        <v>727</v>
      </c>
      <c r="C50" s="18" t="s">
        <v>829</v>
      </c>
      <c r="D50" s="13" t="s">
        <v>311</v>
      </c>
      <c r="F50" s="13" t="s">
        <v>830</v>
      </c>
      <c r="G50" s="28" t="n">
        <v>3.8</v>
      </c>
      <c r="H50" s="6" t="n">
        <v>0</v>
      </c>
      <c r="I50" s="14" t="n">
        <f aca="false">IF(E50="",0,H50*VLOOKUP(E50,'Bases madre'!$A$5:$E$13,5,FALSE()))</f>
        <v>0</v>
      </c>
      <c r="J50" s="14" t="n">
        <f aca="false">SUMIF(Ingredientes!$A$5:$A$500,A50,Ingredientes!$H$5:$H$500)</f>
        <v>49.08</v>
      </c>
      <c r="K50" s="14" t="n">
        <f aca="false">IFERROR((I50+J50)/G50,0)</f>
        <v>12.9157894736842</v>
      </c>
      <c r="L50" s="29" t="n">
        <v>9</v>
      </c>
      <c r="M50" s="29" t="n">
        <v>1.5</v>
      </c>
      <c r="N50" s="6" t="n">
        <v>6</v>
      </c>
      <c r="O50" s="14" t="n">
        <f aca="false">N50/60*'Mi negocio'!$C$23</f>
        <v>7.5</v>
      </c>
      <c r="P50" s="14" t="n">
        <f aca="false">'Mi negocio'!$C$20</f>
        <v>1.5</v>
      </c>
      <c r="Q50" s="14" t="n">
        <f aca="false">K50+L50+M50+O50+P50</f>
        <v>32.4157894736842</v>
      </c>
      <c r="R50" s="26"/>
      <c r="S50" s="30" t="n">
        <f aca="false">IF(R50="",'Mi negocio'!$C$24,R50)</f>
        <v>0.06</v>
      </c>
      <c r="T50" s="31" t="n">
        <f aca="false">IFERROR(Q50/(1-S50),0)</f>
        <v>34.484882418813</v>
      </c>
      <c r="U50" s="32" t="n">
        <f aca="false">IFERROR(CEILING(ROUND(T50/(1-'Mi negocio'!$C$26),6),1),0)</f>
        <v>69</v>
      </c>
      <c r="V50" s="32" t="n">
        <f aca="false">IFERROR(CEILING(ROUND(T50/(1-'Mi negocio'!$C$27),6),1),0)</f>
        <v>87</v>
      </c>
      <c r="W50" s="32" t="n">
        <f aca="false">IFERROR(CEILING(ROUND(T50/(1-'Mi negocio'!$C$28),6),1),0)</f>
        <v>102</v>
      </c>
      <c r="X50" s="32" t="n">
        <f aca="false">IFERROR(CEILING(ROUND(T50/(1-'Mi negocio'!$C$29),6),1),0)</f>
        <v>50</v>
      </c>
      <c r="Y50" s="14" t="n">
        <f aca="false">U50-T50</f>
        <v>34.515117581187</v>
      </c>
      <c r="Z50" s="30" t="n">
        <f aca="false">IFERROR(Y50/U50,0)</f>
        <v>0.500219095379522</v>
      </c>
    </row>
    <row r="51" customFormat="false" ht="15" hidden="false" customHeight="false" outlineLevel="0" collapsed="false">
      <c r="A51" s="0" t="n">
        <v>47</v>
      </c>
      <c r="B51" s="19" t="s">
        <v>736</v>
      </c>
      <c r="C51" s="18" t="s">
        <v>829</v>
      </c>
      <c r="D51" s="13" t="s">
        <v>311</v>
      </c>
      <c r="F51" s="13" t="s">
        <v>830</v>
      </c>
      <c r="G51" s="28" t="n">
        <v>3.6</v>
      </c>
      <c r="H51" s="6" t="n">
        <v>0</v>
      </c>
      <c r="I51" s="14" t="n">
        <f aca="false">IF(E51="",0,H51*VLOOKUP(E51,'Bases madre'!$A$5:$E$13,5,FALSE()))</f>
        <v>0</v>
      </c>
      <c r="J51" s="14" t="n">
        <f aca="false">SUMIF(Ingredientes!$A$5:$A$500,A51,Ingredientes!$H$5:$H$500)</f>
        <v>41.54</v>
      </c>
      <c r="K51" s="14" t="n">
        <f aca="false">IFERROR((I51+J51)/G51,0)</f>
        <v>11.5388888888889</v>
      </c>
      <c r="L51" s="29" t="n">
        <v>9</v>
      </c>
      <c r="M51" s="29" t="n">
        <v>1.5</v>
      </c>
      <c r="N51" s="6" t="n">
        <v>6</v>
      </c>
      <c r="O51" s="14" t="n">
        <f aca="false">N51/60*'Mi negocio'!$C$23</f>
        <v>7.5</v>
      </c>
      <c r="P51" s="14" t="n">
        <f aca="false">'Mi negocio'!$C$20</f>
        <v>1.5</v>
      </c>
      <c r="Q51" s="14" t="n">
        <f aca="false">K51+L51+M51+O51+P51</f>
        <v>31.0388888888889</v>
      </c>
      <c r="R51" s="26"/>
      <c r="S51" s="30" t="n">
        <f aca="false">IF(R51="",'Mi negocio'!$C$24,R51)</f>
        <v>0.06</v>
      </c>
      <c r="T51" s="31" t="n">
        <f aca="false">IFERROR(Q51/(1-S51),0)</f>
        <v>33.0200945626478</v>
      </c>
      <c r="U51" s="32" t="n">
        <f aca="false">IFERROR(CEILING(ROUND(T51/(1-'Mi negocio'!$C$26),6),1),0)</f>
        <v>67</v>
      </c>
      <c r="V51" s="32" t="n">
        <f aca="false">IFERROR(CEILING(ROUND(T51/(1-'Mi negocio'!$C$27),6),1),0)</f>
        <v>83</v>
      </c>
      <c r="W51" s="32" t="n">
        <f aca="false">IFERROR(CEILING(ROUND(T51/(1-'Mi negocio'!$C$28),6),1),0)</f>
        <v>98</v>
      </c>
      <c r="X51" s="32" t="n">
        <f aca="false">IFERROR(CEILING(ROUND(T51/(1-'Mi negocio'!$C$29),6),1),0)</f>
        <v>48</v>
      </c>
      <c r="Y51" s="14" t="n">
        <f aca="false">U51-T51</f>
        <v>33.9799054373522</v>
      </c>
      <c r="Z51" s="30" t="n">
        <f aca="false">IFERROR(Y51/U51,0)</f>
        <v>0.507162767721675</v>
      </c>
    </row>
    <row r="52" customFormat="false" ht="15" hidden="false" customHeight="false" outlineLevel="0" collapsed="false">
      <c r="A52" s="0" t="n">
        <v>48</v>
      </c>
      <c r="B52" s="19" t="s">
        <v>744</v>
      </c>
      <c r="C52" s="18" t="s">
        <v>829</v>
      </c>
      <c r="D52" s="13" t="s">
        <v>311</v>
      </c>
      <c r="F52" s="13" t="s">
        <v>830</v>
      </c>
      <c r="G52" s="28" t="n">
        <v>3.2</v>
      </c>
      <c r="H52" s="6" t="n">
        <v>0</v>
      </c>
      <c r="I52" s="14" t="n">
        <f aca="false">IF(E52="",0,H52*VLOOKUP(E52,'Bases madre'!$A$5:$E$13,5,FALSE()))</f>
        <v>0</v>
      </c>
      <c r="J52" s="14" t="n">
        <f aca="false">SUMIF(Ingredientes!$A$5:$A$500,A52,Ingredientes!$H$5:$H$500)</f>
        <v>37.89</v>
      </c>
      <c r="K52" s="14" t="n">
        <f aca="false">IFERROR((I52+J52)/G52,0)</f>
        <v>11.840625</v>
      </c>
      <c r="L52" s="29" t="n">
        <v>9</v>
      </c>
      <c r="M52" s="29" t="n">
        <v>1.5</v>
      </c>
      <c r="N52" s="6" t="n">
        <v>6</v>
      </c>
      <c r="O52" s="14" t="n">
        <f aca="false">N52/60*'Mi negocio'!$C$23</f>
        <v>7.5</v>
      </c>
      <c r="P52" s="14" t="n">
        <f aca="false">'Mi negocio'!$C$20</f>
        <v>1.5</v>
      </c>
      <c r="Q52" s="14" t="n">
        <f aca="false">K52+L52+M52+O52+P52</f>
        <v>31.340625</v>
      </c>
      <c r="R52" s="26"/>
      <c r="S52" s="30" t="n">
        <f aca="false">IF(R52="",'Mi negocio'!$C$24,R52)</f>
        <v>0.06</v>
      </c>
      <c r="T52" s="31" t="n">
        <f aca="false">IFERROR(Q52/(1-S52),0)</f>
        <v>33.3410904255319</v>
      </c>
      <c r="U52" s="32" t="n">
        <f aca="false">IFERROR(CEILING(ROUND(T52/(1-'Mi negocio'!$C$26),6),1),0)</f>
        <v>67</v>
      </c>
      <c r="V52" s="32" t="n">
        <f aca="false">IFERROR(CEILING(ROUND(T52/(1-'Mi negocio'!$C$27),6),1),0)</f>
        <v>84</v>
      </c>
      <c r="W52" s="32" t="n">
        <f aca="false">IFERROR(CEILING(ROUND(T52/(1-'Mi negocio'!$C$28),6),1),0)</f>
        <v>99</v>
      </c>
      <c r="X52" s="32" t="n">
        <f aca="false">IFERROR(CEILING(ROUND(T52/(1-'Mi negocio'!$C$29),6),1),0)</f>
        <v>48</v>
      </c>
      <c r="Y52" s="14" t="n">
        <f aca="false">U52-T52</f>
        <v>33.6589095744681</v>
      </c>
      <c r="Z52" s="30" t="n">
        <f aca="false">IFERROR(Y52/U52,0)</f>
        <v>0.502371784693554</v>
      </c>
    </row>
    <row r="53" customFormat="false" ht="15" hidden="false" customHeight="false" outlineLevel="0" collapsed="false">
      <c r="A53" s="0" t="n">
        <v>49</v>
      </c>
      <c r="B53" s="19" t="s">
        <v>752</v>
      </c>
      <c r="C53" s="18" t="s">
        <v>829</v>
      </c>
      <c r="D53" s="13" t="s">
        <v>311</v>
      </c>
      <c r="F53" s="13" t="s">
        <v>830</v>
      </c>
      <c r="G53" s="28" t="n">
        <v>4.2</v>
      </c>
      <c r="H53" s="6" t="n">
        <v>0</v>
      </c>
      <c r="I53" s="14" t="n">
        <f aca="false">IF(E53="",0,H53*VLOOKUP(E53,'Bases madre'!$A$5:$E$13,5,FALSE()))</f>
        <v>0</v>
      </c>
      <c r="J53" s="14" t="n">
        <f aca="false">SUMIF(Ingredientes!$A$5:$A$500,A53,Ingredientes!$H$5:$H$500)</f>
        <v>45.59</v>
      </c>
      <c r="K53" s="14" t="n">
        <f aca="false">IFERROR((I53+J53)/G53,0)</f>
        <v>10.8547619047619</v>
      </c>
      <c r="L53" s="29" t="n">
        <v>9</v>
      </c>
      <c r="M53" s="29" t="n">
        <v>1.5</v>
      </c>
      <c r="N53" s="6" t="n">
        <v>6</v>
      </c>
      <c r="O53" s="14" t="n">
        <f aca="false">N53/60*'Mi negocio'!$C$23</f>
        <v>7.5</v>
      </c>
      <c r="P53" s="14" t="n">
        <f aca="false">'Mi negocio'!$C$20</f>
        <v>1.5</v>
      </c>
      <c r="Q53" s="14" t="n">
        <f aca="false">K53+L53+M53+O53+P53</f>
        <v>30.3547619047619</v>
      </c>
      <c r="R53" s="26"/>
      <c r="S53" s="30" t="n">
        <f aca="false">IF(R53="",'Mi negocio'!$C$24,R53)</f>
        <v>0.06</v>
      </c>
      <c r="T53" s="31" t="n">
        <f aca="false">IFERROR(Q53/(1-S53),0)</f>
        <v>32.2922998986829</v>
      </c>
      <c r="U53" s="32" t="n">
        <f aca="false">IFERROR(CEILING(ROUND(T53/(1-'Mi negocio'!$C$26),6),1),0)</f>
        <v>65</v>
      </c>
      <c r="V53" s="32" t="n">
        <f aca="false">IFERROR(CEILING(ROUND(T53/(1-'Mi negocio'!$C$27),6),1),0)</f>
        <v>81</v>
      </c>
      <c r="W53" s="32" t="n">
        <f aca="false">IFERROR(CEILING(ROUND(T53/(1-'Mi negocio'!$C$28),6),1),0)</f>
        <v>95</v>
      </c>
      <c r="X53" s="32" t="n">
        <f aca="false">IFERROR(CEILING(ROUND(T53/(1-'Mi negocio'!$C$29),6),1),0)</f>
        <v>47</v>
      </c>
      <c r="Y53" s="14" t="n">
        <f aca="false">U53-T53</f>
        <v>32.7077001013171</v>
      </c>
      <c r="Z53" s="30" t="n">
        <f aca="false">IFERROR(Y53/U53,0)</f>
        <v>0.50319538617411</v>
      </c>
    </row>
    <row r="54" customFormat="false" ht="15" hidden="false" customHeight="false" outlineLevel="0" collapsed="false">
      <c r="A54" s="0" t="n">
        <v>50</v>
      </c>
      <c r="B54" s="19" t="s">
        <v>757</v>
      </c>
      <c r="C54" s="18" t="s">
        <v>829</v>
      </c>
      <c r="D54" s="13" t="s">
        <v>311</v>
      </c>
      <c r="F54" s="13" t="s">
        <v>830</v>
      </c>
      <c r="G54" s="28" t="n">
        <v>4</v>
      </c>
      <c r="H54" s="6" t="n">
        <v>0</v>
      </c>
      <c r="I54" s="14" t="n">
        <f aca="false">IF(E54="",0,H54*VLOOKUP(E54,'Bases madre'!$A$5:$E$13,5,FALSE()))</f>
        <v>0</v>
      </c>
      <c r="J54" s="14" t="n">
        <f aca="false">SUMIF(Ingredientes!$A$5:$A$500,A54,Ingredientes!$H$5:$H$500)</f>
        <v>125.07</v>
      </c>
      <c r="K54" s="14" t="n">
        <f aca="false">IFERROR((I54+J54)/G54,0)</f>
        <v>31.2675</v>
      </c>
      <c r="L54" s="29" t="n">
        <v>9</v>
      </c>
      <c r="M54" s="29" t="n">
        <v>1.5</v>
      </c>
      <c r="N54" s="6" t="n">
        <v>6</v>
      </c>
      <c r="O54" s="14" t="n">
        <f aca="false">N54/60*'Mi negocio'!$C$23</f>
        <v>7.5</v>
      </c>
      <c r="P54" s="14" t="n">
        <f aca="false">'Mi negocio'!$C$20</f>
        <v>1.5</v>
      </c>
      <c r="Q54" s="14" t="n">
        <f aca="false">K54+L54+M54+O54+P54</f>
        <v>50.7675</v>
      </c>
      <c r="R54" s="26"/>
      <c r="S54" s="30" t="n">
        <f aca="false">IF(R54="",'Mi negocio'!$C$24,R54)</f>
        <v>0.06</v>
      </c>
      <c r="T54" s="31" t="n">
        <f aca="false">IFERROR(Q54/(1-S54),0)</f>
        <v>54.0079787234043</v>
      </c>
      <c r="U54" s="32" t="n">
        <f aca="false">IFERROR(CEILING(ROUND(T54/(1-'Mi negocio'!$C$26),6),1),0)</f>
        <v>109</v>
      </c>
      <c r="V54" s="32" t="n">
        <f aca="false">IFERROR(CEILING(ROUND(T54/(1-'Mi negocio'!$C$27),6),1),0)</f>
        <v>136</v>
      </c>
      <c r="W54" s="32" t="n">
        <f aca="false">IFERROR(CEILING(ROUND(T54/(1-'Mi negocio'!$C$28),6),1),0)</f>
        <v>159</v>
      </c>
      <c r="X54" s="32" t="n">
        <f aca="false">IFERROR(CEILING(ROUND(T54/(1-'Mi negocio'!$C$29),6),1),0)</f>
        <v>78</v>
      </c>
      <c r="Y54" s="14" t="n">
        <f aca="false">U54-T54</f>
        <v>54.9920212765957</v>
      </c>
      <c r="Z54" s="30" t="n">
        <f aca="false">IFERROR(Y54/U54,0)</f>
        <v>0.504513956666016</v>
      </c>
    </row>
    <row r="56" customFormat="false" ht="15" hidden="false" customHeight="false" outlineLevel="0" collapsed="false">
      <c r="B56" s="7" t="s">
        <v>831</v>
      </c>
    </row>
  </sheetData>
  <autoFilter ref="A4:Z54"/>
  <conditionalFormatting sqref="T5:T49">
    <cfRule type="colorScale" priority="2">
      <colorScale>
        <cfvo type="min" val="0"/>
        <cfvo type="percentile" val="50"/>
        <cfvo type="max" val="0"/>
        <color rgb="FFE7F3EC"/>
        <color rgb="FFFFF2C4"/>
        <color rgb="FFF9D3C7"/>
      </colorScale>
    </cfRule>
  </conditionalFormatting>
  <conditionalFormatting sqref="Z5:Z54">
    <cfRule type="expression" priority="3" aboveAverage="0" equalAverage="0" bottom="0" percent="0" rank="0" text="" dxfId="7">
      <formula>Z5&lt;'Mi negocio'!$C$26-0.02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0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832</v>
      </c>
    </row>
    <row r="2" customFormat="false" ht="15" hidden="false" customHeight="false" outlineLevel="0" collapsed="false">
      <c r="A2" s="7" t="s">
        <v>833</v>
      </c>
    </row>
    <row r="4" customFormat="false" ht="30" hidden="false" customHeight="true" outlineLevel="0" collapsed="false">
      <c r="A4" s="8" t="s">
        <v>834</v>
      </c>
      <c r="B4" s="8" t="s">
        <v>835</v>
      </c>
      <c r="C4" s="8" t="s">
        <v>836</v>
      </c>
      <c r="D4" s="8" t="s">
        <v>367</v>
      </c>
      <c r="E4" s="8" t="s">
        <v>837</v>
      </c>
      <c r="F4" s="8" t="s">
        <v>838</v>
      </c>
      <c r="G4" s="8" t="s">
        <v>839</v>
      </c>
      <c r="H4" s="8" t="s">
        <v>840</v>
      </c>
      <c r="I4" s="8" t="s">
        <v>841</v>
      </c>
      <c r="J4" s="8" t="s">
        <v>842</v>
      </c>
      <c r="K4" s="8" t="s">
        <v>843</v>
      </c>
      <c r="L4" s="8" t="s">
        <v>844</v>
      </c>
    </row>
    <row r="5" customFormat="false" ht="15" hidden="false" customHeight="false" outlineLevel="0" collapsed="false">
      <c r="A5" s="33" t="n">
        <v>46300</v>
      </c>
      <c r="B5" s="6" t="s">
        <v>845</v>
      </c>
      <c r="C5" s="6" t="n">
        <v>1</v>
      </c>
      <c r="D5" s="0" t="str">
        <f aca="false">IF(C5="","",IFERROR(VLOOKUP(C5,'Recetas y precios'!$A$5:$B$54,2,FALSE()),""))</f>
        <v>Papa Machacada Campesina con Cebolla Confitada al Comal</v>
      </c>
      <c r="E5" s="6" t="n">
        <v>50</v>
      </c>
      <c r="F5" s="6" t="n">
        <v>48</v>
      </c>
      <c r="G5" s="6" t="n">
        <v>2</v>
      </c>
      <c r="H5" s="30" t="n">
        <f aca="false">IF((F5+G5)&gt;0,G5/(F5+G5),"")</f>
        <v>0.04</v>
      </c>
      <c r="I5" s="14" t="n">
        <f aca="false">IF(C5="",0,IFERROR(VLOOKUP(C5,'Recetas y precios'!$A$5:$T$54,20,FALSE()),0))</f>
        <v>6.39595744680851</v>
      </c>
      <c r="J5" s="14" t="n">
        <f aca="false">G5*I5</f>
        <v>12.791914893617</v>
      </c>
      <c r="K5" s="20" t="s">
        <v>846</v>
      </c>
      <c r="L5" s="6" t="s">
        <v>847</v>
      </c>
    </row>
    <row r="6" customFormat="false" ht="15" hidden="false" customHeight="false" outlineLevel="0" collapsed="false">
      <c r="A6" s="33"/>
      <c r="B6" s="6"/>
      <c r="C6" s="6"/>
      <c r="D6" s="0" t="str">
        <f aca="false">IF(C6="","",IFERROR(VLOOKUP(C6,'Recetas y precios'!$A$5:$B$54,2,FALSE()),""))</f>
        <v/>
      </c>
      <c r="E6" s="6"/>
      <c r="F6" s="6"/>
      <c r="G6" s="6"/>
      <c r="H6" s="30" t="str">
        <f aca="false">IF((F6+G6)&gt;0,G6/(F6+G6),"")</f>
        <v/>
      </c>
      <c r="I6" s="14" t="n">
        <f aca="false">IF(C6="",0,IFERROR(VLOOKUP(C6,'Recetas y precios'!$A$5:$T$54,20,FALSE()),0))</f>
        <v>0</v>
      </c>
      <c r="J6" s="14" t="n">
        <f aca="false">G6*I6</f>
        <v>0</v>
      </c>
      <c r="K6" s="20"/>
      <c r="L6" s="6"/>
    </row>
    <row r="7" customFormat="false" ht="15" hidden="false" customHeight="false" outlineLevel="0" collapsed="false">
      <c r="A7" s="33"/>
      <c r="B7" s="6"/>
      <c r="C7" s="6"/>
      <c r="D7" s="0" t="str">
        <f aca="false">IF(C7="","",IFERROR(VLOOKUP(C7,'Recetas y precios'!$A$5:$B$54,2,FALSE()),""))</f>
        <v/>
      </c>
      <c r="E7" s="6"/>
      <c r="F7" s="6"/>
      <c r="G7" s="6"/>
      <c r="H7" s="30" t="str">
        <f aca="false">IF((F7+G7)&gt;0,G7/(F7+G7),"")</f>
        <v/>
      </c>
      <c r="I7" s="14" t="n">
        <f aca="false">IF(C7="",0,IFERROR(VLOOKUP(C7,'Recetas y precios'!$A$5:$T$54,20,FALSE()),0))</f>
        <v>0</v>
      </c>
      <c r="J7" s="14" t="n">
        <f aca="false">G7*I7</f>
        <v>0</v>
      </c>
      <c r="K7" s="20"/>
      <c r="L7" s="6"/>
    </row>
    <row r="8" customFormat="false" ht="15" hidden="false" customHeight="false" outlineLevel="0" collapsed="false">
      <c r="A8" s="33"/>
      <c r="B8" s="6"/>
      <c r="C8" s="6"/>
      <c r="D8" s="0" t="str">
        <f aca="false">IF(C8="","",IFERROR(VLOOKUP(C8,'Recetas y precios'!$A$5:$B$54,2,FALSE()),""))</f>
        <v/>
      </c>
      <c r="E8" s="6"/>
      <c r="F8" s="6"/>
      <c r="G8" s="6"/>
      <c r="H8" s="30" t="str">
        <f aca="false">IF((F8+G8)&gt;0,G8/(F8+G8),"")</f>
        <v/>
      </c>
      <c r="I8" s="14" t="n">
        <f aca="false">IF(C8="",0,IFERROR(VLOOKUP(C8,'Recetas y precios'!$A$5:$T$54,20,FALSE()),0))</f>
        <v>0</v>
      </c>
      <c r="J8" s="14" t="n">
        <f aca="false">G8*I8</f>
        <v>0</v>
      </c>
      <c r="K8" s="20"/>
      <c r="L8" s="6"/>
    </row>
    <row r="9" customFormat="false" ht="15" hidden="false" customHeight="false" outlineLevel="0" collapsed="false">
      <c r="A9" s="33"/>
      <c r="B9" s="6"/>
      <c r="C9" s="6"/>
      <c r="D9" s="0" t="str">
        <f aca="false">IF(C9="","",IFERROR(VLOOKUP(C9,'Recetas y precios'!$A$5:$B$54,2,FALSE()),""))</f>
        <v/>
      </c>
      <c r="E9" s="6"/>
      <c r="F9" s="6"/>
      <c r="G9" s="6"/>
      <c r="H9" s="30" t="str">
        <f aca="false">IF((F9+G9)&gt;0,G9/(F9+G9),"")</f>
        <v/>
      </c>
      <c r="I9" s="14" t="n">
        <f aca="false">IF(C9="",0,IFERROR(VLOOKUP(C9,'Recetas y precios'!$A$5:$T$54,20,FALSE()),0))</f>
        <v>0</v>
      </c>
      <c r="J9" s="14" t="n">
        <f aca="false">G9*I9</f>
        <v>0</v>
      </c>
      <c r="K9" s="20"/>
      <c r="L9" s="6"/>
    </row>
    <row r="10" customFormat="false" ht="15" hidden="false" customHeight="false" outlineLevel="0" collapsed="false">
      <c r="A10" s="33"/>
      <c r="B10" s="6"/>
      <c r="C10" s="6"/>
      <c r="D10" s="0" t="str">
        <f aca="false">IF(C10="","",IFERROR(VLOOKUP(C10,'Recetas y precios'!$A$5:$B$54,2,FALSE()),""))</f>
        <v/>
      </c>
      <c r="E10" s="6"/>
      <c r="F10" s="6"/>
      <c r="G10" s="6"/>
      <c r="H10" s="30" t="str">
        <f aca="false">IF((F10+G10)&gt;0,G10/(F10+G10),"")</f>
        <v/>
      </c>
      <c r="I10" s="14" t="n">
        <f aca="false">IF(C10="",0,IFERROR(VLOOKUP(C10,'Recetas y precios'!$A$5:$T$54,20,FALSE()),0))</f>
        <v>0</v>
      </c>
      <c r="J10" s="14" t="n">
        <f aca="false">G10*I10</f>
        <v>0</v>
      </c>
      <c r="K10" s="20"/>
      <c r="L10" s="6"/>
    </row>
    <row r="11" customFormat="false" ht="15" hidden="false" customHeight="false" outlineLevel="0" collapsed="false">
      <c r="A11" s="33"/>
      <c r="B11" s="6"/>
      <c r="C11" s="6"/>
      <c r="D11" s="0" t="str">
        <f aca="false">IF(C11="","",IFERROR(VLOOKUP(C11,'Recetas y precios'!$A$5:$B$54,2,FALSE()),""))</f>
        <v/>
      </c>
      <c r="E11" s="6"/>
      <c r="F11" s="6"/>
      <c r="G11" s="6"/>
      <c r="H11" s="30" t="str">
        <f aca="false">IF((F11+G11)&gt;0,G11/(F11+G11),"")</f>
        <v/>
      </c>
      <c r="I11" s="14" t="n">
        <f aca="false">IF(C11="",0,IFERROR(VLOOKUP(C11,'Recetas y precios'!$A$5:$T$54,20,FALSE()),0))</f>
        <v>0</v>
      </c>
      <c r="J11" s="14" t="n">
        <f aca="false">G11*I11</f>
        <v>0</v>
      </c>
      <c r="K11" s="20"/>
      <c r="L11" s="6"/>
    </row>
    <row r="12" customFormat="false" ht="15" hidden="false" customHeight="false" outlineLevel="0" collapsed="false">
      <c r="A12" s="33"/>
      <c r="B12" s="6"/>
      <c r="C12" s="6"/>
      <c r="D12" s="0" t="str">
        <f aca="false">IF(C12="","",IFERROR(VLOOKUP(C12,'Recetas y precios'!$A$5:$B$54,2,FALSE()),""))</f>
        <v/>
      </c>
      <c r="E12" s="6"/>
      <c r="F12" s="6"/>
      <c r="G12" s="6"/>
      <c r="H12" s="30" t="str">
        <f aca="false">IF((F12+G12)&gt;0,G12/(F12+G12),"")</f>
        <v/>
      </c>
      <c r="I12" s="14" t="n">
        <f aca="false">IF(C12="",0,IFERROR(VLOOKUP(C12,'Recetas y precios'!$A$5:$T$54,20,FALSE()),0))</f>
        <v>0</v>
      </c>
      <c r="J12" s="14" t="n">
        <f aca="false">G12*I12</f>
        <v>0</v>
      </c>
      <c r="K12" s="20"/>
      <c r="L12" s="6"/>
    </row>
    <row r="13" customFormat="false" ht="15" hidden="false" customHeight="false" outlineLevel="0" collapsed="false">
      <c r="A13" s="33"/>
      <c r="B13" s="6"/>
      <c r="C13" s="6"/>
      <c r="D13" s="0" t="str">
        <f aca="false">IF(C13="","",IFERROR(VLOOKUP(C13,'Recetas y precios'!$A$5:$B$54,2,FALSE()),""))</f>
        <v/>
      </c>
      <c r="E13" s="6"/>
      <c r="F13" s="6"/>
      <c r="G13" s="6"/>
      <c r="H13" s="30" t="str">
        <f aca="false">IF((F13+G13)&gt;0,G13/(F13+G13),"")</f>
        <v/>
      </c>
      <c r="I13" s="14" t="n">
        <f aca="false">IF(C13="",0,IFERROR(VLOOKUP(C13,'Recetas y precios'!$A$5:$T$54,20,FALSE()),0))</f>
        <v>0</v>
      </c>
      <c r="J13" s="14" t="n">
        <f aca="false">G13*I13</f>
        <v>0</v>
      </c>
      <c r="K13" s="20"/>
      <c r="L13" s="6"/>
    </row>
    <row r="14" customFormat="false" ht="15" hidden="false" customHeight="false" outlineLevel="0" collapsed="false">
      <c r="A14" s="33"/>
      <c r="B14" s="6"/>
      <c r="C14" s="6"/>
      <c r="D14" s="0" t="str">
        <f aca="false">IF(C14="","",IFERROR(VLOOKUP(C14,'Recetas y precios'!$A$5:$B$54,2,FALSE()),""))</f>
        <v/>
      </c>
      <c r="E14" s="6"/>
      <c r="F14" s="6"/>
      <c r="G14" s="6"/>
      <c r="H14" s="30" t="str">
        <f aca="false">IF((F14+G14)&gt;0,G14/(F14+G14),"")</f>
        <v/>
      </c>
      <c r="I14" s="14" t="n">
        <f aca="false">IF(C14="",0,IFERROR(VLOOKUP(C14,'Recetas y precios'!$A$5:$T$54,20,FALSE()),0))</f>
        <v>0</v>
      </c>
      <c r="J14" s="14" t="n">
        <f aca="false">G14*I14</f>
        <v>0</v>
      </c>
      <c r="K14" s="20"/>
      <c r="L14" s="6"/>
    </row>
    <row r="15" customFormat="false" ht="15" hidden="false" customHeight="false" outlineLevel="0" collapsed="false">
      <c r="A15" s="33"/>
      <c r="B15" s="6"/>
      <c r="C15" s="6"/>
      <c r="D15" s="0" t="str">
        <f aca="false">IF(C15="","",IFERROR(VLOOKUP(C15,'Recetas y precios'!$A$5:$B$54,2,FALSE()),""))</f>
        <v/>
      </c>
      <c r="E15" s="6"/>
      <c r="F15" s="6"/>
      <c r="G15" s="6"/>
      <c r="H15" s="30" t="str">
        <f aca="false">IF((F15+G15)&gt;0,G15/(F15+G15),"")</f>
        <v/>
      </c>
      <c r="I15" s="14" t="n">
        <f aca="false">IF(C15="",0,IFERROR(VLOOKUP(C15,'Recetas y precios'!$A$5:$T$54,20,FALSE()),0))</f>
        <v>0</v>
      </c>
      <c r="J15" s="14" t="n">
        <f aca="false">G15*I15</f>
        <v>0</v>
      </c>
      <c r="K15" s="20"/>
      <c r="L15" s="6"/>
    </row>
    <row r="16" customFormat="false" ht="15" hidden="false" customHeight="false" outlineLevel="0" collapsed="false">
      <c r="A16" s="33"/>
      <c r="B16" s="6"/>
      <c r="C16" s="6"/>
      <c r="D16" s="0" t="str">
        <f aca="false">IF(C16="","",IFERROR(VLOOKUP(C16,'Recetas y precios'!$A$5:$B$54,2,FALSE()),""))</f>
        <v/>
      </c>
      <c r="E16" s="6"/>
      <c r="F16" s="6"/>
      <c r="G16" s="6"/>
      <c r="H16" s="30" t="str">
        <f aca="false">IF((F16+G16)&gt;0,G16/(F16+G16),"")</f>
        <v/>
      </c>
      <c r="I16" s="14" t="n">
        <f aca="false">IF(C16="",0,IFERROR(VLOOKUP(C16,'Recetas y precios'!$A$5:$T$54,20,FALSE()),0))</f>
        <v>0</v>
      </c>
      <c r="J16" s="14" t="n">
        <f aca="false">G16*I16</f>
        <v>0</v>
      </c>
      <c r="K16" s="20"/>
      <c r="L16" s="6"/>
    </row>
    <row r="17" customFormat="false" ht="15" hidden="false" customHeight="false" outlineLevel="0" collapsed="false">
      <c r="A17" s="33"/>
      <c r="B17" s="6"/>
      <c r="C17" s="6"/>
      <c r="D17" s="0" t="str">
        <f aca="false">IF(C17="","",IFERROR(VLOOKUP(C17,'Recetas y precios'!$A$5:$B$54,2,FALSE()),""))</f>
        <v/>
      </c>
      <c r="E17" s="6"/>
      <c r="F17" s="6"/>
      <c r="G17" s="6"/>
      <c r="H17" s="30" t="str">
        <f aca="false">IF((F17+G17)&gt;0,G17/(F17+G17),"")</f>
        <v/>
      </c>
      <c r="I17" s="14" t="n">
        <f aca="false">IF(C17="",0,IFERROR(VLOOKUP(C17,'Recetas y precios'!$A$5:$T$54,20,FALSE()),0))</f>
        <v>0</v>
      </c>
      <c r="J17" s="14" t="n">
        <f aca="false">G17*I17</f>
        <v>0</v>
      </c>
      <c r="K17" s="20"/>
      <c r="L17" s="6"/>
    </row>
    <row r="18" customFormat="false" ht="15" hidden="false" customHeight="false" outlineLevel="0" collapsed="false">
      <c r="A18" s="33"/>
      <c r="B18" s="6"/>
      <c r="C18" s="6"/>
      <c r="D18" s="0" t="str">
        <f aca="false">IF(C18="","",IFERROR(VLOOKUP(C18,'Recetas y precios'!$A$5:$B$54,2,FALSE()),""))</f>
        <v/>
      </c>
      <c r="E18" s="6"/>
      <c r="F18" s="6"/>
      <c r="G18" s="6"/>
      <c r="H18" s="30" t="str">
        <f aca="false">IF((F18+G18)&gt;0,G18/(F18+G18),"")</f>
        <v/>
      </c>
      <c r="I18" s="14" t="n">
        <f aca="false">IF(C18="",0,IFERROR(VLOOKUP(C18,'Recetas y precios'!$A$5:$T$54,20,FALSE()),0))</f>
        <v>0</v>
      </c>
      <c r="J18" s="14" t="n">
        <f aca="false">G18*I18</f>
        <v>0</v>
      </c>
      <c r="K18" s="20"/>
      <c r="L18" s="6"/>
    </row>
    <row r="19" customFormat="false" ht="15" hidden="false" customHeight="false" outlineLevel="0" collapsed="false">
      <c r="A19" s="33"/>
      <c r="B19" s="6"/>
      <c r="C19" s="6"/>
      <c r="D19" s="0" t="str">
        <f aca="false">IF(C19="","",IFERROR(VLOOKUP(C19,'Recetas y precios'!$A$5:$B$54,2,FALSE()),""))</f>
        <v/>
      </c>
      <c r="E19" s="6"/>
      <c r="F19" s="6"/>
      <c r="G19" s="6"/>
      <c r="H19" s="30" t="str">
        <f aca="false">IF((F19+G19)&gt;0,G19/(F19+G19),"")</f>
        <v/>
      </c>
      <c r="I19" s="14" t="n">
        <f aca="false">IF(C19="",0,IFERROR(VLOOKUP(C19,'Recetas y precios'!$A$5:$T$54,20,FALSE()),0))</f>
        <v>0</v>
      </c>
      <c r="J19" s="14" t="n">
        <f aca="false">G19*I19</f>
        <v>0</v>
      </c>
      <c r="K19" s="20"/>
      <c r="L19" s="6"/>
    </row>
    <row r="20" customFormat="false" ht="15" hidden="false" customHeight="false" outlineLevel="0" collapsed="false">
      <c r="A20" s="33"/>
      <c r="B20" s="6"/>
      <c r="C20" s="6"/>
      <c r="D20" s="0" t="str">
        <f aca="false">IF(C20="","",IFERROR(VLOOKUP(C20,'Recetas y precios'!$A$5:$B$54,2,FALSE()),""))</f>
        <v/>
      </c>
      <c r="E20" s="6"/>
      <c r="F20" s="6"/>
      <c r="G20" s="6"/>
      <c r="H20" s="30" t="str">
        <f aca="false">IF((F20+G20)&gt;0,G20/(F20+G20),"")</f>
        <v/>
      </c>
      <c r="I20" s="14" t="n">
        <f aca="false">IF(C20="",0,IFERROR(VLOOKUP(C20,'Recetas y precios'!$A$5:$T$54,20,FALSE()),0))</f>
        <v>0</v>
      </c>
      <c r="J20" s="14" t="n">
        <f aca="false">G20*I20</f>
        <v>0</v>
      </c>
      <c r="K20" s="20"/>
      <c r="L20" s="6"/>
    </row>
    <row r="21" customFormat="false" ht="15" hidden="false" customHeight="false" outlineLevel="0" collapsed="false">
      <c r="A21" s="33"/>
      <c r="B21" s="6"/>
      <c r="C21" s="6"/>
      <c r="D21" s="0" t="str">
        <f aca="false">IF(C21="","",IFERROR(VLOOKUP(C21,'Recetas y precios'!$A$5:$B$54,2,FALSE()),""))</f>
        <v/>
      </c>
      <c r="E21" s="6"/>
      <c r="F21" s="6"/>
      <c r="G21" s="6"/>
      <c r="H21" s="30" t="str">
        <f aca="false">IF((F21+G21)&gt;0,G21/(F21+G21),"")</f>
        <v/>
      </c>
      <c r="I21" s="14" t="n">
        <f aca="false">IF(C21="",0,IFERROR(VLOOKUP(C21,'Recetas y precios'!$A$5:$T$54,20,FALSE()),0))</f>
        <v>0</v>
      </c>
      <c r="J21" s="14" t="n">
        <f aca="false">G21*I21</f>
        <v>0</v>
      </c>
      <c r="K21" s="20"/>
      <c r="L21" s="6"/>
    </row>
    <row r="22" customFormat="false" ht="15" hidden="false" customHeight="false" outlineLevel="0" collapsed="false">
      <c r="A22" s="33"/>
      <c r="B22" s="6"/>
      <c r="C22" s="6"/>
      <c r="D22" s="0" t="str">
        <f aca="false">IF(C22="","",IFERROR(VLOOKUP(C22,'Recetas y precios'!$A$5:$B$54,2,FALSE()),""))</f>
        <v/>
      </c>
      <c r="E22" s="6"/>
      <c r="F22" s="6"/>
      <c r="G22" s="6"/>
      <c r="H22" s="30" t="str">
        <f aca="false">IF((F22+G22)&gt;0,G22/(F22+G22),"")</f>
        <v/>
      </c>
      <c r="I22" s="14" t="n">
        <f aca="false">IF(C22="",0,IFERROR(VLOOKUP(C22,'Recetas y precios'!$A$5:$T$54,20,FALSE()),0))</f>
        <v>0</v>
      </c>
      <c r="J22" s="14" t="n">
        <f aca="false">G22*I22</f>
        <v>0</v>
      </c>
      <c r="K22" s="20"/>
      <c r="L22" s="6"/>
    </row>
    <row r="23" customFormat="false" ht="15" hidden="false" customHeight="false" outlineLevel="0" collapsed="false">
      <c r="A23" s="33"/>
      <c r="B23" s="6"/>
      <c r="C23" s="6"/>
      <c r="D23" s="0" t="str">
        <f aca="false">IF(C23="","",IFERROR(VLOOKUP(C23,'Recetas y precios'!$A$5:$B$54,2,FALSE()),""))</f>
        <v/>
      </c>
      <c r="E23" s="6"/>
      <c r="F23" s="6"/>
      <c r="G23" s="6"/>
      <c r="H23" s="30" t="str">
        <f aca="false">IF((F23+G23)&gt;0,G23/(F23+G23),"")</f>
        <v/>
      </c>
      <c r="I23" s="14" t="n">
        <f aca="false">IF(C23="",0,IFERROR(VLOOKUP(C23,'Recetas y precios'!$A$5:$T$54,20,FALSE()),0))</f>
        <v>0</v>
      </c>
      <c r="J23" s="14" t="n">
        <f aca="false">G23*I23</f>
        <v>0</v>
      </c>
      <c r="K23" s="20"/>
      <c r="L23" s="6"/>
    </row>
    <row r="24" customFormat="false" ht="15" hidden="false" customHeight="false" outlineLevel="0" collapsed="false">
      <c r="A24" s="33"/>
      <c r="B24" s="6"/>
      <c r="C24" s="6"/>
      <c r="D24" s="0" t="str">
        <f aca="false">IF(C24="","",IFERROR(VLOOKUP(C24,'Recetas y precios'!$A$5:$B$54,2,FALSE()),""))</f>
        <v/>
      </c>
      <c r="E24" s="6"/>
      <c r="F24" s="6"/>
      <c r="G24" s="6"/>
      <c r="H24" s="30" t="str">
        <f aca="false">IF((F24+G24)&gt;0,G24/(F24+G24),"")</f>
        <v/>
      </c>
      <c r="I24" s="14" t="n">
        <f aca="false">IF(C24="",0,IFERROR(VLOOKUP(C24,'Recetas y precios'!$A$5:$T$54,20,FALSE()),0))</f>
        <v>0</v>
      </c>
      <c r="J24" s="14" t="n">
        <f aca="false">G24*I24</f>
        <v>0</v>
      </c>
      <c r="K24" s="20"/>
      <c r="L24" s="6"/>
    </row>
    <row r="25" customFormat="false" ht="15" hidden="false" customHeight="false" outlineLevel="0" collapsed="false">
      <c r="A25" s="33"/>
      <c r="B25" s="6"/>
      <c r="C25" s="6"/>
      <c r="D25" s="0" t="str">
        <f aca="false">IF(C25="","",IFERROR(VLOOKUP(C25,'Recetas y precios'!$A$5:$B$54,2,FALSE()),""))</f>
        <v/>
      </c>
      <c r="E25" s="6"/>
      <c r="F25" s="6"/>
      <c r="G25" s="6"/>
      <c r="H25" s="30" t="str">
        <f aca="false">IF((F25+G25)&gt;0,G25/(F25+G25),"")</f>
        <v/>
      </c>
      <c r="I25" s="14" t="n">
        <f aca="false">IF(C25="",0,IFERROR(VLOOKUP(C25,'Recetas y precios'!$A$5:$T$54,20,FALSE()),0))</f>
        <v>0</v>
      </c>
      <c r="J25" s="14" t="n">
        <f aca="false">G25*I25</f>
        <v>0</v>
      </c>
      <c r="K25" s="20"/>
      <c r="L25" s="6"/>
    </row>
    <row r="26" customFormat="false" ht="15" hidden="false" customHeight="false" outlineLevel="0" collapsed="false">
      <c r="A26" s="33"/>
      <c r="B26" s="6"/>
      <c r="C26" s="6"/>
      <c r="D26" s="0" t="str">
        <f aca="false">IF(C26="","",IFERROR(VLOOKUP(C26,'Recetas y precios'!$A$5:$B$54,2,FALSE()),""))</f>
        <v/>
      </c>
      <c r="E26" s="6"/>
      <c r="F26" s="6"/>
      <c r="G26" s="6"/>
      <c r="H26" s="30" t="str">
        <f aca="false">IF((F26+G26)&gt;0,G26/(F26+G26),"")</f>
        <v/>
      </c>
      <c r="I26" s="14" t="n">
        <f aca="false">IF(C26="",0,IFERROR(VLOOKUP(C26,'Recetas y precios'!$A$5:$T$54,20,FALSE()),0))</f>
        <v>0</v>
      </c>
      <c r="J26" s="14" t="n">
        <f aca="false">G26*I26</f>
        <v>0</v>
      </c>
      <c r="K26" s="20"/>
      <c r="L26" s="6"/>
    </row>
    <row r="27" customFormat="false" ht="15" hidden="false" customHeight="false" outlineLevel="0" collapsed="false">
      <c r="A27" s="33"/>
      <c r="B27" s="6"/>
      <c r="C27" s="6"/>
      <c r="D27" s="0" t="str">
        <f aca="false">IF(C27="","",IFERROR(VLOOKUP(C27,'Recetas y precios'!$A$5:$B$54,2,FALSE()),""))</f>
        <v/>
      </c>
      <c r="E27" s="6"/>
      <c r="F27" s="6"/>
      <c r="G27" s="6"/>
      <c r="H27" s="30" t="str">
        <f aca="false">IF((F27+G27)&gt;0,G27/(F27+G27),"")</f>
        <v/>
      </c>
      <c r="I27" s="14" t="n">
        <f aca="false">IF(C27="",0,IFERROR(VLOOKUP(C27,'Recetas y precios'!$A$5:$T$54,20,FALSE()),0))</f>
        <v>0</v>
      </c>
      <c r="J27" s="14" t="n">
        <f aca="false">G27*I27</f>
        <v>0</v>
      </c>
      <c r="K27" s="20"/>
      <c r="L27" s="6"/>
    </row>
    <row r="28" customFormat="false" ht="15" hidden="false" customHeight="false" outlineLevel="0" collapsed="false">
      <c r="A28" s="33"/>
      <c r="B28" s="6"/>
      <c r="C28" s="6"/>
      <c r="D28" s="0" t="str">
        <f aca="false">IF(C28="","",IFERROR(VLOOKUP(C28,'Recetas y precios'!$A$5:$B$54,2,FALSE()),""))</f>
        <v/>
      </c>
      <c r="E28" s="6"/>
      <c r="F28" s="6"/>
      <c r="G28" s="6"/>
      <c r="H28" s="30" t="str">
        <f aca="false">IF((F28+G28)&gt;0,G28/(F28+G28),"")</f>
        <v/>
      </c>
      <c r="I28" s="14" t="n">
        <f aca="false">IF(C28="",0,IFERROR(VLOOKUP(C28,'Recetas y precios'!$A$5:$T$54,20,FALSE()),0))</f>
        <v>0</v>
      </c>
      <c r="J28" s="14" t="n">
        <f aca="false">G28*I28</f>
        <v>0</v>
      </c>
      <c r="K28" s="20"/>
      <c r="L28" s="6"/>
    </row>
    <row r="29" customFormat="false" ht="15" hidden="false" customHeight="false" outlineLevel="0" collapsed="false">
      <c r="A29" s="33"/>
      <c r="B29" s="6"/>
      <c r="C29" s="6"/>
      <c r="D29" s="0" t="str">
        <f aca="false">IF(C29="","",IFERROR(VLOOKUP(C29,'Recetas y precios'!$A$5:$B$54,2,FALSE()),""))</f>
        <v/>
      </c>
      <c r="E29" s="6"/>
      <c r="F29" s="6"/>
      <c r="G29" s="6"/>
      <c r="H29" s="30" t="str">
        <f aca="false">IF((F29+G29)&gt;0,G29/(F29+G29),"")</f>
        <v/>
      </c>
      <c r="I29" s="14" t="n">
        <f aca="false">IF(C29="",0,IFERROR(VLOOKUP(C29,'Recetas y precios'!$A$5:$T$54,20,FALSE()),0))</f>
        <v>0</v>
      </c>
      <c r="J29" s="14" t="n">
        <f aca="false">G29*I29</f>
        <v>0</v>
      </c>
      <c r="K29" s="20"/>
      <c r="L29" s="6"/>
    </row>
    <row r="30" customFormat="false" ht="15" hidden="false" customHeight="false" outlineLevel="0" collapsed="false">
      <c r="A30" s="33"/>
      <c r="B30" s="6"/>
      <c r="C30" s="6"/>
      <c r="D30" s="0" t="str">
        <f aca="false">IF(C30="","",IFERROR(VLOOKUP(C30,'Recetas y precios'!$A$5:$B$54,2,FALSE()),""))</f>
        <v/>
      </c>
      <c r="E30" s="6"/>
      <c r="F30" s="6"/>
      <c r="G30" s="6"/>
      <c r="H30" s="30" t="str">
        <f aca="false">IF((F30+G30)&gt;0,G30/(F30+G30),"")</f>
        <v/>
      </c>
      <c r="I30" s="14" t="n">
        <f aca="false">IF(C30="",0,IFERROR(VLOOKUP(C30,'Recetas y precios'!$A$5:$T$54,20,FALSE()),0))</f>
        <v>0</v>
      </c>
      <c r="J30" s="14" t="n">
        <f aca="false">G30*I30</f>
        <v>0</v>
      </c>
      <c r="K30" s="20"/>
      <c r="L30" s="6"/>
    </row>
    <row r="31" customFormat="false" ht="15" hidden="false" customHeight="false" outlineLevel="0" collapsed="false">
      <c r="A31" s="33"/>
      <c r="B31" s="6"/>
      <c r="C31" s="6"/>
      <c r="D31" s="0" t="str">
        <f aca="false">IF(C31="","",IFERROR(VLOOKUP(C31,'Recetas y precios'!$A$5:$B$54,2,FALSE()),""))</f>
        <v/>
      </c>
      <c r="E31" s="6"/>
      <c r="F31" s="6"/>
      <c r="G31" s="6"/>
      <c r="H31" s="30" t="str">
        <f aca="false">IF((F31+G31)&gt;0,G31/(F31+G31),"")</f>
        <v/>
      </c>
      <c r="I31" s="14" t="n">
        <f aca="false">IF(C31="",0,IFERROR(VLOOKUP(C31,'Recetas y precios'!$A$5:$T$54,20,FALSE()),0))</f>
        <v>0</v>
      </c>
      <c r="J31" s="14" t="n">
        <f aca="false">G31*I31</f>
        <v>0</v>
      </c>
      <c r="K31" s="20"/>
      <c r="L31" s="6"/>
    </row>
    <row r="32" customFormat="false" ht="15" hidden="false" customHeight="false" outlineLevel="0" collapsed="false">
      <c r="A32" s="33"/>
      <c r="B32" s="6"/>
      <c r="C32" s="6"/>
      <c r="D32" s="0" t="str">
        <f aca="false">IF(C32="","",IFERROR(VLOOKUP(C32,'Recetas y precios'!$A$5:$B$54,2,FALSE()),""))</f>
        <v/>
      </c>
      <c r="E32" s="6"/>
      <c r="F32" s="6"/>
      <c r="G32" s="6"/>
      <c r="H32" s="30" t="str">
        <f aca="false">IF((F32+G32)&gt;0,G32/(F32+G32),"")</f>
        <v/>
      </c>
      <c r="I32" s="14" t="n">
        <f aca="false">IF(C32="",0,IFERROR(VLOOKUP(C32,'Recetas y precios'!$A$5:$T$54,20,FALSE()),0))</f>
        <v>0</v>
      </c>
      <c r="J32" s="14" t="n">
        <f aca="false">G32*I32</f>
        <v>0</v>
      </c>
      <c r="K32" s="20"/>
      <c r="L32" s="6"/>
    </row>
    <row r="33" customFormat="false" ht="15" hidden="false" customHeight="false" outlineLevel="0" collapsed="false">
      <c r="A33" s="33"/>
      <c r="B33" s="6"/>
      <c r="C33" s="6"/>
      <c r="D33" s="0" t="str">
        <f aca="false">IF(C33="","",IFERROR(VLOOKUP(C33,'Recetas y precios'!$A$5:$B$54,2,FALSE()),""))</f>
        <v/>
      </c>
      <c r="E33" s="6"/>
      <c r="F33" s="6"/>
      <c r="G33" s="6"/>
      <c r="H33" s="30" t="str">
        <f aca="false">IF((F33+G33)&gt;0,G33/(F33+G33),"")</f>
        <v/>
      </c>
      <c r="I33" s="14" t="n">
        <f aca="false">IF(C33="",0,IFERROR(VLOOKUP(C33,'Recetas y precios'!$A$5:$T$54,20,FALSE()),0))</f>
        <v>0</v>
      </c>
      <c r="J33" s="14" t="n">
        <f aca="false">G33*I33</f>
        <v>0</v>
      </c>
      <c r="K33" s="20"/>
      <c r="L33" s="6"/>
    </row>
    <row r="34" customFormat="false" ht="15" hidden="false" customHeight="false" outlineLevel="0" collapsed="false">
      <c r="A34" s="33"/>
      <c r="B34" s="6"/>
      <c r="C34" s="6"/>
      <c r="D34" s="0" t="str">
        <f aca="false">IF(C34="","",IFERROR(VLOOKUP(C34,'Recetas y precios'!$A$5:$B$54,2,FALSE()),""))</f>
        <v/>
      </c>
      <c r="E34" s="6"/>
      <c r="F34" s="6"/>
      <c r="G34" s="6"/>
      <c r="H34" s="30" t="str">
        <f aca="false">IF((F34+G34)&gt;0,G34/(F34+G34),"")</f>
        <v/>
      </c>
      <c r="I34" s="14" t="n">
        <f aca="false">IF(C34="",0,IFERROR(VLOOKUP(C34,'Recetas y precios'!$A$5:$T$54,20,FALSE()),0))</f>
        <v>0</v>
      </c>
      <c r="J34" s="14" t="n">
        <f aca="false">G34*I34</f>
        <v>0</v>
      </c>
      <c r="K34" s="20"/>
      <c r="L34" s="6"/>
    </row>
    <row r="35" customFormat="false" ht="15" hidden="false" customHeight="false" outlineLevel="0" collapsed="false">
      <c r="A35" s="33"/>
      <c r="B35" s="6"/>
      <c r="C35" s="6"/>
      <c r="D35" s="0" t="str">
        <f aca="false">IF(C35="","",IFERROR(VLOOKUP(C35,'Recetas y precios'!$A$5:$B$54,2,FALSE()),""))</f>
        <v/>
      </c>
      <c r="E35" s="6"/>
      <c r="F35" s="6"/>
      <c r="G35" s="6"/>
      <c r="H35" s="30" t="str">
        <f aca="false">IF((F35+G35)&gt;0,G35/(F35+G35),"")</f>
        <v/>
      </c>
      <c r="I35" s="14" t="n">
        <f aca="false">IF(C35="",0,IFERROR(VLOOKUP(C35,'Recetas y precios'!$A$5:$T$54,20,FALSE()),0))</f>
        <v>0</v>
      </c>
      <c r="J35" s="14" t="n">
        <f aca="false">G35*I35</f>
        <v>0</v>
      </c>
      <c r="K35" s="20"/>
      <c r="L35" s="6"/>
    </row>
    <row r="36" customFormat="false" ht="15" hidden="false" customHeight="false" outlineLevel="0" collapsed="false">
      <c r="A36" s="33"/>
      <c r="B36" s="6"/>
      <c r="C36" s="6"/>
      <c r="D36" s="0" t="str">
        <f aca="false">IF(C36="","",IFERROR(VLOOKUP(C36,'Recetas y precios'!$A$5:$B$54,2,FALSE()),""))</f>
        <v/>
      </c>
      <c r="E36" s="6"/>
      <c r="F36" s="6"/>
      <c r="G36" s="6"/>
      <c r="H36" s="30" t="str">
        <f aca="false">IF((F36+G36)&gt;0,G36/(F36+G36),"")</f>
        <v/>
      </c>
      <c r="I36" s="14" t="n">
        <f aca="false">IF(C36="",0,IFERROR(VLOOKUP(C36,'Recetas y precios'!$A$5:$T$54,20,FALSE()),0))</f>
        <v>0</v>
      </c>
      <c r="J36" s="14" t="n">
        <f aca="false">G36*I36</f>
        <v>0</v>
      </c>
      <c r="K36" s="20"/>
      <c r="L36" s="6"/>
    </row>
    <row r="37" customFormat="false" ht="15" hidden="false" customHeight="false" outlineLevel="0" collapsed="false">
      <c r="A37" s="33"/>
      <c r="B37" s="6"/>
      <c r="C37" s="6"/>
      <c r="D37" s="0" t="str">
        <f aca="false">IF(C37="","",IFERROR(VLOOKUP(C37,'Recetas y precios'!$A$5:$B$54,2,FALSE()),""))</f>
        <v/>
      </c>
      <c r="E37" s="6"/>
      <c r="F37" s="6"/>
      <c r="G37" s="6"/>
      <c r="H37" s="30" t="str">
        <f aca="false">IF((F37+G37)&gt;0,G37/(F37+G37),"")</f>
        <v/>
      </c>
      <c r="I37" s="14" t="n">
        <f aca="false">IF(C37="",0,IFERROR(VLOOKUP(C37,'Recetas y precios'!$A$5:$T$54,20,FALSE()),0))</f>
        <v>0</v>
      </c>
      <c r="J37" s="14" t="n">
        <f aca="false">G37*I37</f>
        <v>0</v>
      </c>
      <c r="K37" s="20"/>
      <c r="L37" s="6"/>
    </row>
    <row r="38" customFormat="false" ht="15" hidden="false" customHeight="false" outlineLevel="0" collapsed="false">
      <c r="A38" s="33"/>
      <c r="B38" s="6"/>
      <c r="C38" s="6"/>
      <c r="D38" s="0" t="str">
        <f aca="false">IF(C38="","",IFERROR(VLOOKUP(C38,'Recetas y precios'!$A$5:$B$54,2,FALSE()),""))</f>
        <v/>
      </c>
      <c r="E38" s="6"/>
      <c r="F38" s="6"/>
      <c r="G38" s="6"/>
      <c r="H38" s="30" t="str">
        <f aca="false">IF((F38+G38)&gt;0,G38/(F38+G38),"")</f>
        <v/>
      </c>
      <c r="I38" s="14" t="n">
        <f aca="false">IF(C38="",0,IFERROR(VLOOKUP(C38,'Recetas y precios'!$A$5:$T$54,20,FALSE()),0))</f>
        <v>0</v>
      </c>
      <c r="J38" s="14" t="n">
        <f aca="false">G38*I38</f>
        <v>0</v>
      </c>
      <c r="K38" s="20"/>
      <c r="L38" s="6"/>
    </row>
    <row r="39" customFormat="false" ht="15" hidden="false" customHeight="false" outlineLevel="0" collapsed="false">
      <c r="A39" s="33"/>
      <c r="B39" s="6"/>
      <c r="C39" s="6"/>
      <c r="D39" s="0" t="str">
        <f aca="false">IF(C39="","",IFERROR(VLOOKUP(C39,'Recetas y precios'!$A$5:$B$54,2,FALSE()),""))</f>
        <v/>
      </c>
      <c r="E39" s="6"/>
      <c r="F39" s="6"/>
      <c r="G39" s="6"/>
      <c r="H39" s="30" t="str">
        <f aca="false">IF((F39+G39)&gt;0,G39/(F39+G39),"")</f>
        <v/>
      </c>
      <c r="I39" s="14" t="n">
        <f aca="false">IF(C39="",0,IFERROR(VLOOKUP(C39,'Recetas y precios'!$A$5:$T$54,20,FALSE()),0))</f>
        <v>0</v>
      </c>
      <c r="J39" s="14" t="n">
        <f aca="false">G39*I39</f>
        <v>0</v>
      </c>
      <c r="K39" s="20"/>
      <c r="L39" s="6"/>
    </row>
    <row r="40" customFormat="false" ht="15" hidden="false" customHeight="false" outlineLevel="0" collapsed="false">
      <c r="A40" s="33"/>
      <c r="B40" s="6"/>
      <c r="C40" s="6"/>
      <c r="D40" s="0" t="str">
        <f aca="false">IF(C40="","",IFERROR(VLOOKUP(C40,'Recetas y precios'!$A$5:$B$54,2,FALSE()),""))</f>
        <v/>
      </c>
      <c r="E40" s="6"/>
      <c r="F40" s="6"/>
      <c r="G40" s="6"/>
      <c r="H40" s="30" t="str">
        <f aca="false">IF((F40+G40)&gt;0,G40/(F40+G40),"")</f>
        <v/>
      </c>
      <c r="I40" s="14" t="n">
        <f aca="false">IF(C40="",0,IFERROR(VLOOKUP(C40,'Recetas y precios'!$A$5:$T$54,20,FALSE()),0))</f>
        <v>0</v>
      </c>
      <c r="J40" s="14" t="n">
        <f aca="false">G40*I40</f>
        <v>0</v>
      </c>
      <c r="K40" s="20"/>
      <c r="L40" s="6"/>
    </row>
    <row r="41" customFormat="false" ht="15" hidden="false" customHeight="false" outlineLevel="0" collapsed="false">
      <c r="A41" s="33"/>
      <c r="B41" s="6"/>
      <c r="C41" s="6"/>
      <c r="D41" s="0" t="str">
        <f aca="false">IF(C41="","",IFERROR(VLOOKUP(C41,'Recetas y precios'!$A$5:$B$54,2,FALSE()),""))</f>
        <v/>
      </c>
      <c r="E41" s="6"/>
      <c r="F41" s="6"/>
      <c r="G41" s="6"/>
      <c r="H41" s="30" t="str">
        <f aca="false">IF((F41+G41)&gt;0,G41/(F41+G41),"")</f>
        <v/>
      </c>
      <c r="I41" s="14" t="n">
        <f aca="false">IF(C41="",0,IFERROR(VLOOKUP(C41,'Recetas y precios'!$A$5:$T$54,20,FALSE()),0))</f>
        <v>0</v>
      </c>
      <c r="J41" s="14" t="n">
        <f aca="false">G41*I41</f>
        <v>0</v>
      </c>
      <c r="K41" s="20"/>
      <c r="L41" s="6"/>
    </row>
    <row r="42" customFormat="false" ht="15" hidden="false" customHeight="false" outlineLevel="0" collapsed="false">
      <c r="A42" s="33"/>
      <c r="B42" s="6"/>
      <c r="C42" s="6"/>
      <c r="D42" s="0" t="str">
        <f aca="false">IF(C42="","",IFERROR(VLOOKUP(C42,'Recetas y precios'!$A$5:$B$54,2,FALSE()),""))</f>
        <v/>
      </c>
      <c r="E42" s="6"/>
      <c r="F42" s="6"/>
      <c r="G42" s="6"/>
      <c r="H42" s="30" t="str">
        <f aca="false">IF((F42+G42)&gt;0,G42/(F42+G42),"")</f>
        <v/>
      </c>
      <c r="I42" s="14" t="n">
        <f aca="false">IF(C42="",0,IFERROR(VLOOKUP(C42,'Recetas y precios'!$A$5:$T$54,20,FALSE()),0))</f>
        <v>0</v>
      </c>
      <c r="J42" s="14" t="n">
        <f aca="false">G42*I42</f>
        <v>0</v>
      </c>
      <c r="K42" s="20"/>
      <c r="L42" s="6"/>
    </row>
    <row r="43" customFormat="false" ht="15" hidden="false" customHeight="false" outlineLevel="0" collapsed="false">
      <c r="A43" s="33"/>
      <c r="B43" s="6"/>
      <c r="C43" s="6"/>
      <c r="D43" s="0" t="str">
        <f aca="false">IF(C43="","",IFERROR(VLOOKUP(C43,'Recetas y precios'!$A$5:$B$54,2,FALSE()),""))</f>
        <v/>
      </c>
      <c r="E43" s="6"/>
      <c r="F43" s="6"/>
      <c r="G43" s="6"/>
      <c r="H43" s="30" t="str">
        <f aca="false">IF((F43+G43)&gt;0,G43/(F43+G43),"")</f>
        <v/>
      </c>
      <c r="I43" s="14" t="n">
        <f aca="false">IF(C43="",0,IFERROR(VLOOKUP(C43,'Recetas y precios'!$A$5:$T$54,20,FALSE()),0))</f>
        <v>0</v>
      </c>
      <c r="J43" s="14" t="n">
        <f aca="false">G43*I43</f>
        <v>0</v>
      </c>
      <c r="K43" s="20"/>
      <c r="L43" s="6"/>
    </row>
    <row r="44" customFormat="false" ht="15" hidden="false" customHeight="false" outlineLevel="0" collapsed="false">
      <c r="A44" s="33"/>
      <c r="B44" s="6"/>
      <c r="C44" s="6"/>
      <c r="D44" s="0" t="str">
        <f aca="false">IF(C44="","",IFERROR(VLOOKUP(C44,'Recetas y precios'!$A$5:$B$54,2,FALSE()),""))</f>
        <v/>
      </c>
      <c r="E44" s="6"/>
      <c r="F44" s="6"/>
      <c r="G44" s="6"/>
      <c r="H44" s="30" t="str">
        <f aca="false">IF((F44+G44)&gt;0,G44/(F44+G44),"")</f>
        <v/>
      </c>
      <c r="I44" s="14" t="n">
        <f aca="false">IF(C44="",0,IFERROR(VLOOKUP(C44,'Recetas y precios'!$A$5:$T$54,20,FALSE()),0))</f>
        <v>0</v>
      </c>
      <c r="J44" s="14" t="n">
        <f aca="false">G44*I44</f>
        <v>0</v>
      </c>
      <c r="K44" s="20"/>
      <c r="L44" s="6"/>
    </row>
    <row r="45" customFormat="false" ht="15" hidden="false" customHeight="false" outlineLevel="0" collapsed="false">
      <c r="A45" s="33"/>
      <c r="B45" s="6"/>
      <c r="C45" s="6"/>
      <c r="D45" s="0" t="str">
        <f aca="false">IF(C45="","",IFERROR(VLOOKUP(C45,'Recetas y precios'!$A$5:$B$54,2,FALSE()),""))</f>
        <v/>
      </c>
      <c r="E45" s="6"/>
      <c r="F45" s="6"/>
      <c r="G45" s="6"/>
      <c r="H45" s="30" t="str">
        <f aca="false">IF((F45+G45)&gt;0,G45/(F45+G45),"")</f>
        <v/>
      </c>
      <c r="I45" s="14" t="n">
        <f aca="false">IF(C45="",0,IFERROR(VLOOKUP(C45,'Recetas y precios'!$A$5:$T$54,20,FALSE()),0))</f>
        <v>0</v>
      </c>
      <c r="J45" s="14" t="n">
        <f aca="false">G45*I45</f>
        <v>0</v>
      </c>
      <c r="K45" s="20"/>
      <c r="L45" s="6"/>
    </row>
    <row r="46" customFormat="false" ht="15" hidden="false" customHeight="false" outlineLevel="0" collapsed="false">
      <c r="A46" s="33"/>
      <c r="B46" s="6"/>
      <c r="C46" s="6"/>
      <c r="D46" s="0" t="str">
        <f aca="false">IF(C46="","",IFERROR(VLOOKUP(C46,'Recetas y precios'!$A$5:$B$54,2,FALSE()),""))</f>
        <v/>
      </c>
      <c r="E46" s="6"/>
      <c r="F46" s="6"/>
      <c r="G46" s="6"/>
      <c r="H46" s="30" t="str">
        <f aca="false">IF((F46+G46)&gt;0,G46/(F46+G46),"")</f>
        <v/>
      </c>
      <c r="I46" s="14" t="n">
        <f aca="false">IF(C46="",0,IFERROR(VLOOKUP(C46,'Recetas y precios'!$A$5:$T$54,20,FALSE()),0))</f>
        <v>0</v>
      </c>
      <c r="J46" s="14" t="n">
        <f aca="false">G46*I46</f>
        <v>0</v>
      </c>
      <c r="K46" s="20"/>
      <c r="L46" s="6"/>
    </row>
    <row r="47" customFormat="false" ht="15" hidden="false" customHeight="false" outlineLevel="0" collapsed="false">
      <c r="A47" s="33"/>
      <c r="B47" s="6"/>
      <c r="C47" s="6"/>
      <c r="D47" s="0" t="str">
        <f aca="false">IF(C47="","",IFERROR(VLOOKUP(C47,'Recetas y precios'!$A$5:$B$54,2,FALSE()),""))</f>
        <v/>
      </c>
      <c r="E47" s="6"/>
      <c r="F47" s="6"/>
      <c r="G47" s="6"/>
      <c r="H47" s="30" t="str">
        <f aca="false">IF((F47+G47)&gt;0,G47/(F47+G47),"")</f>
        <v/>
      </c>
      <c r="I47" s="14" t="n">
        <f aca="false">IF(C47="",0,IFERROR(VLOOKUP(C47,'Recetas y precios'!$A$5:$T$54,20,FALSE()),0))</f>
        <v>0</v>
      </c>
      <c r="J47" s="14" t="n">
        <f aca="false">G47*I47</f>
        <v>0</v>
      </c>
      <c r="K47" s="20"/>
      <c r="L47" s="6"/>
    </row>
    <row r="48" customFormat="false" ht="15" hidden="false" customHeight="false" outlineLevel="0" collapsed="false">
      <c r="A48" s="33"/>
      <c r="B48" s="6"/>
      <c r="C48" s="6"/>
      <c r="D48" s="0" t="str">
        <f aca="false">IF(C48="","",IFERROR(VLOOKUP(C48,'Recetas y precios'!$A$5:$B$54,2,FALSE()),""))</f>
        <v/>
      </c>
      <c r="E48" s="6"/>
      <c r="F48" s="6"/>
      <c r="G48" s="6"/>
      <c r="H48" s="30" t="str">
        <f aca="false">IF((F48+G48)&gt;0,G48/(F48+G48),"")</f>
        <v/>
      </c>
      <c r="I48" s="14" t="n">
        <f aca="false">IF(C48="",0,IFERROR(VLOOKUP(C48,'Recetas y precios'!$A$5:$T$54,20,FALSE()),0))</f>
        <v>0</v>
      </c>
      <c r="J48" s="14" t="n">
        <f aca="false">G48*I48</f>
        <v>0</v>
      </c>
      <c r="K48" s="20"/>
      <c r="L48" s="6"/>
    </row>
    <row r="49" customFormat="false" ht="15" hidden="false" customHeight="false" outlineLevel="0" collapsed="false">
      <c r="A49" s="33"/>
      <c r="B49" s="6"/>
      <c r="C49" s="6"/>
      <c r="D49" s="0" t="str">
        <f aca="false">IF(C49="","",IFERROR(VLOOKUP(C49,'Recetas y precios'!$A$5:$B$54,2,FALSE()),""))</f>
        <v/>
      </c>
      <c r="E49" s="6"/>
      <c r="F49" s="6"/>
      <c r="G49" s="6"/>
      <c r="H49" s="30" t="str">
        <f aca="false">IF((F49+G49)&gt;0,G49/(F49+G49),"")</f>
        <v/>
      </c>
      <c r="I49" s="14" t="n">
        <f aca="false">IF(C49="",0,IFERROR(VLOOKUP(C49,'Recetas y precios'!$A$5:$T$54,20,FALSE()),0))</f>
        <v>0</v>
      </c>
      <c r="J49" s="14" t="n">
        <f aca="false">G49*I49</f>
        <v>0</v>
      </c>
      <c r="K49" s="20"/>
      <c r="L49" s="6"/>
    </row>
    <row r="50" customFormat="false" ht="15" hidden="false" customHeight="false" outlineLevel="0" collapsed="false">
      <c r="A50" s="33"/>
      <c r="B50" s="6"/>
      <c r="C50" s="6"/>
      <c r="D50" s="0" t="str">
        <f aca="false">IF(C50="","",IFERROR(VLOOKUP(C50,'Recetas y precios'!$A$5:$B$54,2,FALSE()),""))</f>
        <v/>
      </c>
      <c r="E50" s="6"/>
      <c r="F50" s="6"/>
      <c r="G50" s="6"/>
      <c r="H50" s="30" t="str">
        <f aca="false">IF((F50+G50)&gt;0,G50/(F50+G50),"")</f>
        <v/>
      </c>
      <c r="I50" s="14" t="n">
        <f aca="false">IF(C50="",0,IFERROR(VLOOKUP(C50,'Recetas y precios'!$A$5:$T$54,20,FALSE()),0))</f>
        <v>0</v>
      </c>
      <c r="J50" s="14" t="n">
        <f aca="false">G50*I50</f>
        <v>0</v>
      </c>
      <c r="K50" s="20"/>
      <c r="L50" s="6"/>
    </row>
    <row r="51" customFormat="false" ht="15" hidden="false" customHeight="false" outlineLevel="0" collapsed="false">
      <c r="A51" s="33"/>
      <c r="B51" s="6"/>
      <c r="C51" s="6"/>
      <c r="D51" s="0" t="str">
        <f aca="false">IF(C51="","",IFERROR(VLOOKUP(C51,'Recetas y precios'!$A$5:$B$54,2,FALSE()),""))</f>
        <v/>
      </c>
      <c r="E51" s="6"/>
      <c r="F51" s="6"/>
      <c r="G51" s="6"/>
      <c r="H51" s="30" t="str">
        <f aca="false">IF((F51+G51)&gt;0,G51/(F51+G51),"")</f>
        <v/>
      </c>
      <c r="I51" s="14" t="n">
        <f aca="false">IF(C51="",0,IFERROR(VLOOKUP(C51,'Recetas y precios'!$A$5:$T$54,20,FALSE()),0))</f>
        <v>0</v>
      </c>
      <c r="J51" s="14" t="n">
        <f aca="false">G51*I51</f>
        <v>0</v>
      </c>
      <c r="K51" s="20"/>
      <c r="L51" s="6"/>
    </row>
    <row r="52" customFormat="false" ht="15" hidden="false" customHeight="false" outlineLevel="0" collapsed="false">
      <c r="A52" s="33"/>
      <c r="B52" s="6"/>
      <c r="C52" s="6"/>
      <c r="D52" s="0" t="str">
        <f aca="false">IF(C52="","",IFERROR(VLOOKUP(C52,'Recetas y precios'!$A$5:$B$54,2,FALSE()),""))</f>
        <v/>
      </c>
      <c r="E52" s="6"/>
      <c r="F52" s="6"/>
      <c r="G52" s="6"/>
      <c r="H52" s="30" t="str">
        <f aca="false">IF((F52+G52)&gt;0,G52/(F52+G52),"")</f>
        <v/>
      </c>
      <c r="I52" s="14" t="n">
        <f aca="false">IF(C52="",0,IFERROR(VLOOKUP(C52,'Recetas y precios'!$A$5:$T$54,20,FALSE()),0))</f>
        <v>0</v>
      </c>
      <c r="J52" s="14" t="n">
        <f aca="false">G52*I52</f>
        <v>0</v>
      </c>
      <c r="K52" s="20"/>
      <c r="L52" s="6"/>
    </row>
    <row r="53" customFormat="false" ht="15" hidden="false" customHeight="false" outlineLevel="0" collapsed="false">
      <c r="A53" s="33"/>
      <c r="B53" s="6"/>
      <c r="C53" s="6"/>
      <c r="D53" s="0" t="str">
        <f aca="false">IF(C53="","",IFERROR(VLOOKUP(C53,'Recetas y precios'!$A$5:$B$54,2,FALSE()),""))</f>
        <v/>
      </c>
      <c r="E53" s="6"/>
      <c r="F53" s="6"/>
      <c r="G53" s="6"/>
      <c r="H53" s="30" t="str">
        <f aca="false">IF((F53+G53)&gt;0,G53/(F53+G53),"")</f>
        <v/>
      </c>
      <c r="I53" s="14" t="n">
        <f aca="false">IF(C53="",0,IFERROR(VLOOKUP(C53,'Recetas y precios'!$A$5:$T$54,20,FALSE()),0))</f>
        <v>0</v>
      </c>
      <c r="J53" s="14" t="n">
        <f aca="false">G53*I53</f>
        <v>0</v>
      </c>
      <c r="K53" s="20"/>
      <c r="L53" s="6"/>
    </row>
    <row r="54" customFormat="false" ht="15" hidden="false" customHeight="false" outlineLevel="0" collapsed="false">
      <c r="A54" s="33"/>
      <c r="B54" s="6"/>
      <c r="C54" s="6"/>
      <c r="D54" s="0" t="str">
        <f aca="false">IF(C54="","",IFERROR(VLOOKUP(C54,'Recetas y precios'!$A$5:$B$54,2,FALSE()),""))</f>
        <v/>
      </c>
      <c r="E54" s="6"/>
      <c r="F54" s="6"/>
      <c r="G54" s="6"/>
      <c r="H54" s="30" t="str">
        <f aca="false">IF((F54+G54)&gt;0,G54/(F54+G54),"")</f>
        <v/>
      </c>
      <c r="I54" s="14" t="n">
        <f aca="false">IF(C54="",0,IFERROR(VLOOKUP(C54,'Recetas y precios'!$A$5:$T$54,20,FALSE()),0))</f>
        <v>0</v>
      </c>
      <c r="J54" s="14" t="n">
        <f aca="false">G54*I54</f>
        <v>0</v>
      </c>
      <c r="K54" s="20"/>
      <c r="L54" s="6"/>
    </row>
    <row r="55" customFormat="false" ht="15" hidden="false" customHeight="false" outlineLevel="0" collapsed="false">
      <c r="A55" s="33"/>
      <c r="B55" s="6"/>
      <c r="C55" s="6"/>
      <c r="D55" s="0" t="str">
        <f aca="false">IF(C55="","",IFERROR(VLOOKUP(C55,'Recetas y precios'!$A$5:$B$54,2,FALSE()),""))</f>
        <v/>
      </c>
      <c r="E55" s="6"/>
      <c r="F55" s="6"/>
      <c r="G55" s="6"/>
      <c r="H55" s="30" t="str">
        <f aca="false">IF((F55+G55)&gt;0,G55/(F55+G55),"")</f>
        <v/>
      </c>
      <c r="I55" s="14" t="n">
        <f aca="false">IF(C55="",0,IFERROR(VLOOKUP(C55,'Recetas y precios'!$A$5:$T$54,20,FALSE()),0))</f>
        <v>0</v>
      </c>
      <c r="J55" s="14" t="n">
        <f aca="false">G55*I55</f>
        <v>0</v>
      </c>
      <c r="K55" s="20"/>
      <c r="L55" s="6"/>
    </row>
    <row r="56" customFormat="false" ht="15" hidden="false" customHeight="false" outlineLevel="0" collapsed="false">
      <c r="A56" s="33"/>
      <c r="B56" s="6"/>
      <c r="C56" s="6"/>
      <c r="D56" s="0" t="str">
        <f aca="false">IF(C56="","",IFERROR(VLOOKUP(C56,'Recetas y precios'!$A$5:$B$54,2,FALSE()),""))</f>
        <v/>
      </c>
      <c r="E56" s="6"/>
      <c r="F56" s="6"/>
      <c r="G56" s="6"/>
      <c r="H56" s="30" t="str">
        <f aca="false">IF((F56+G56)&gt;0,G56/(F56+G56),"")</f>
        <v/>
      </c>
      <c r="I56" s="14" t="n">
        <f aca="false">IF(C56="",0,IFERROR(VLOOKUP(C56,'Recetas y precios'!$A$5:$T$54,20,FALSE()),0))</f>
        <v>0</v>
      </c>
      <c r="J56" s="14" t="n">
        <f aca="false">G56*I56</f>
        <v>0</v>
      </c>
      <c r="K56" s="20"/>
      <c r="L56" s="6"/>
    </row>
    <row r="57" customFormat="false" ht="15" hidden="false" customHeight="false" outlineLevel="0" collapsed="false">
      <c r="A57" s="33"/>
      <c r="B57" s="6"/>
      <c r="C57" s="6"/>
      <c r="D57" s="0" t="str">
        <f aca="false">IF(C57="","",IFERROR(VLOOKUP(C57,'Recetas y precios'!$A$5:$B$54,2,FALSE()),""))</f>
        <v/>
      </c>
      <c r="E57" s="6"/>
      <c r="F57" s="6"/>
      <c r="G57" s="6"/>
      <c r="H57" s="30" t="str">
        <f aca="false">IF((F57+G57)&gt;0,G57/(F57+G57),"")</f>
        <v/>
      </c>
      <c r="I57" s="14" t="n">
        <f aca="false">IF(C57="",0,IFERROR(VLOOKUP(C57,'Recetas y precios'!$A$5:$T$54,20,FALSE()),0))</f>
        <v>0</v>
      </c>
      <c r="J57" s="14" t="n">
        <f aca="false">G57*I57</f>
        <v>0</v>
      </c>
      <c r="K57" s="20"/>
      <c r="L57" s="6"/>
    </row>
    <row r="58" customFormat="false" ht="15" hidden="false" customHeight="false" outlineLevel="0" collapsed="false">
      <c r="A58" s="33"/>
      <c r="B58" s="6"/>
      <c r="C58" s="6"/>
      <c r="D58" s="0" t="str">
        <f aca="false">IF(C58="","",IFERROR(VLOOKUP(C58,'Recetas y precios'!$A$5:$B$54,2,FALSE()),""))</f>
        <v/>
      </c>
      <c r="E58" s="6"/>
      <c r="F58" s="6"/>
      <c r="G58" s="6"/>
      <c r="H58" s="30" t="str">
        <f aca="false">IF((F58+G58)&gt;0,G58/(F58+G58),"")</f>
        <v/>
      </c>
      <c r="I58" s="14" t="n">
        <f aca="false">IF(C58="",0,IFERROR(VLOOKUP(C58,'Recetas y precios'!$A$5:$T$54,20,FALSE()),0))</f>
        <v>0</v>
      </c>
      <c r="J58" s="14" t="n">
        <f aca="false">G58*I58</f>
        <v>0</v>
      </c>
      <c r="K58" s="20"/>
      <c r="L58" s="6"/>
    </row>
    <row r="59" customFormat="false" ht="15" hidden="false" customHeight="false" outlineLevel="0" collapsed="false">
      <c r="A59" s="33"/>
      <c r="B59" s="6"/>
      <c r="C59" s="6"/>
      <c r="D59" s="0" t="str">
        <f aca="false">IF(C59="","",IFERROR(VLOOKUP(C59,'Recetas y precios'!$A$5:$B$54,2,FALSE()),""))</f>
        <v/>
      </c>
      <c r="E59" s="6"/>
      <c r="F59" s="6"/>
      <c r="G59" s="6"/>
      <c r="H59" s="30" t="str">
        <f aca="false">IF((F59+G59)&gt;0,G59/(F59+G59),"")</f>
        <v/>
      </c>
      <c r="I59" s="14" t="n">
        <f aca="false">IF(C59="",0,IFERROR(VLOOKUP(C59,'Recetas y precios'!$A$5:$T$54,20,FALSE()),0))</f>
        <v>0</v>
      </c>
      <c r="J59" s="14" t="n">
        <f aca="false">G59*I59</f>
        <v>0</v>
      </c>
      <c r="K59" s="20"/>
      <c r="L59" s="6"/>
    </row>
    <row r="60" customFormat="false" ht="15" hidden="false" customHeight="false" outlineLevel="0" collapsed="false">
      <c r="A60" s="33"/>
      <c r="B60" s="6"/>
      <c r="C60" s="6"/>
      <c r="D60" s="0" t="str">
        <f aca="false">IF(C60="","",IFERROR(VLOOKUP(C60,'Recetas y precios'!$A$5:$B$54,2,FALSE()),""))</f>
        <v/>
      </c>
      <c r="E60" s="6"/>
      <c r="F60" s="6"/>
      <c r="G60" s="6"/>
      <c r="H60" s="30" t="str">
        <f aca="false">IF((F60+G60)&gt;0,G60/(F60+G60),"")</f>
        <v/>
      </c>
      <c r="I60" s="14" t="n">
        <f aca="false">IF(C60="",0,IFERROR(VLOOKUP(C60,'Recetas y precios'!$A$5:$T$54,20,FALSE()),0))</f>
        <v>0</v>
      </c>
      <c r="J60" s="14" t="n">
        <f aca="false">G60*I60</f>
        <v>0</v>
      </c>
      <c r="K60" s="20"/>
      <c r="L60" s="6"/>
    </row>
    <row r="61" customFormat="false" ht="15" hidden="false" customHeight="false" outlineLevel="0" collapsed="false">
      <c r="A61" s="33"/>
      <c r="B61" s="6"/>
      <c r="C61" s="6"/>
      <c r="D61" s="0" t="str">
        <f aca="false">IF(C61="","",IFERROR(VLOOKUP(C61,'Recetas y precios'!$A$5:$B$54,2,FALSE()),""))</f>
        <v/>
      </c>
      <c r="E61" s="6"/>
      <c r="F61" s="6"/>
      <c r="G61" s="6"/>
      <c r="H61" s="30" t="str">
        <f aca="false">IF((F61+G61)&gt;0,G61/(F61+G61),"")</f>
        <v/>
      </c>
      <c r="I61" s="14" t="n">
        <f aca="false">IF(C61="",0,IFERROR(VLOOKUP(C61,'Recetas y precios'!$A$5:$T$54,20,FALSE()),0))</f>
        <v>0</v>
      </c>
      <c r="J61" s="14" t="n">
        <f aca="false">G61*I61</f>
        <v>0</v>
      </c>
      <c r="K61" s="20"/>
      <c r="L61" s="6"/>
    </row>
    <row r="62" customFormat="false" ht="15" hidden="false" customHeight="false" outlineLevel="0" collapsed="false">
      <c r="A62" s="33"/>
      <c r="B62" s="6"/>
      <c r="C62" s="6"/>
      <c r="D62" s="0" t="str">
        <f aca="false">IF(C62="","",IFERROR(VLOOKUP(C62,'Recetas y precios'!$A$5:$B$54,2,FALSE()),""))</f>
        <v/>
      </c>
      <c r="E62" s="6"/>
      <c r="F62" s="6"/>
      <c r="G62" s="6"/>
      <c r="H62" s="30" t="str">
        <f aca="false">IF((F62+G62)&gt;0,G62/(F62+G62),"")</f>
        <v/>
      </c>
      <c r="I62" s="14" t="n">
        <f aca="false">IF(C62="",0,IFERROR(VLOOKUP(C62,'Recetas y precios'!$A$5:$T$54,20,FALSE()),0))</f>
        <v>0</v>
      </c>
      <c r="J62" s="14" t="n">
        <f aca="false">G62*I62</f>
        <v>0</v>
      </c>
      <c r="K62" s="20"/>
      <c r="L62" s="6"/>
    </row>
    <row r="63" customFormat="false" ht="15" hidden="false" customHeight="false" outlineLevel="0" collapsed="false">
      <c r="A63" s="33"/>
      <c r="B63" s="6"/>
      <c r="C63" s="6"/>
      <c r="D63" s="0" t="str">
        <f aca="false">IF(C63="","",IFERROR(VLOOKUP(C63,'Recetas y precios'!$A$5:$B$54,2,FALSE()),""))</f>
        <v/>
      </c>
      <c r="E63" s="6"/>
      <c r="F63" s="6"/>
      <c r="G63" s="6"/>
      <c r="H63" s="30" t="str">
        <f aca="false">IF((F63+G63)&gt;0,G63/(F63+G63),"")</f>
        <v/>
      </c>
      <c r="I63" s="14" t="n">
        <f aca="false">IF(C63="",0,IFERROR(VLOOKUP(C63,'Recetas y precios'!$A$5:$T$54,20,FALSE()),0))</f>
        <v>0</v>
      </c>
      <c r="J63" s="14" t="n">
        <f aca="false">G63*I63</f>
        <v>0</v>
      </c>
      <c r="K63" s="20"/>
      <c r="L63" s="6"/>
    </row>
    <row r="64" customFormat="false" ht="15" hidden="false" customHeight="false" outlineLevel="0" collapsed="false">
      <c r="A64" s="33"/>
      <c r="B64" s="6"/>
      <c r="C64" s="6"/>
      <c r="D64" s="0" t="str">
        <f aca="false">IF(C64="","",IFERROR(VLOOKUP(C64,'Recetas y precios'!$A$5:$B$54,2,FALSE()),""))</f>
        <v/>
      </c>
      <c r="E64" s="6"/>
      <c r="F64" s="6"/>
      <c r="G64" s="6"/>
      <c r="H64" s="30" t="str">
        <f aca="false">IF((F64+G64)&gt;0,G64/(F64+G64),"")</f>
        <v/>
      </c>
      <c r="I64" s="14" t="n">
        <f aca="false">IF(C64="",0,IFERROR(VLOOKUP(C64,'Recetas y precios'!$A$5:$T$54,20,FALSE()),0))</f>
        <v>0</v>
      </c>
      <c r="J64" s="14" t="n">
        <f aca="false">G64*I64</f>
        <v>0</v>
      </c>
      <c r="K64" s="20"/>
      <c r="L64" s="6"/>
    </row>
    <row r="65" customFormat="false" ht="15" hidden="false" customHeight="false" outlineLevel="0" collapsed="false">
      <c r="A65" s="33"/>
      <c r="B65" s="6"/>
      <c r="C65" s="6"/>
      <c r="D65" s="0" t="str">
        <f aca="false">IF(C65="","",IFERROR(VLOOKUP(C65,'Recetas y precios'!$A$5:$B$54,2,FALSE()),""))</f>
        <v/>
      </c>
      <c r="E65" s="6"/>
      <c r="F65" s="6"/>
      <c r="G65" s="6"/>
      <c r="H65" s="30" t="str">
        <f aca="false">IF((F65+G65)&gt;0,G65/(F65+G65),"")</f>
        <v/>
      </c>
      <c r="I65" s="14" t="n">
        <f aca="false">IF(C65="",0,IFERROR(VLOOKUP(C65,'Recetas y precios'!$A$5:$T$54,20,FALSE()),0))</f>
        <v>0</v>
      </c>
      <c r="J65" s="14" t="n">
        <f aca="false">G65*I65</f>
        <v>0</v>
      </c>
      <c r="K65" s="20"/>
      <c r="L65" s="6"/>
    </row>
    <row r="66" customFormat="false" ht="15" hidden="false" customHeight="false" outlineLevel="0" collapsed="false">
      <c r="A66" s="33"/>
      <c r="B66" s="6"/>
      <c r="C66" s="6"/>
      <c r="D66" s="0" t="str">
        <f aca="false">IF(C66="","",IFERROR(VLOOKUP(C66,'Recetas y precios'!$A$5:$B$54,2,FALSE()),""))</f>
        <v/>
      </c>
      <c r="E66" s="6"/>
      <c r="F66" s="6"/>
      <c r="G66" s="6"/>
      <c r="H66" s="30" t="str">
        <f aca="false">IF((F66+G66)&gt;0,G66/(F66+G66),"")</f>
        <v/>
      </c>
      <c r="I66" s="14" t="n">
        <f aca="false">IF(C66="",0,IFERROR(VLOOKUP(C66,'Recetas y precios'!$A$5:$T$54,20,FALSE()),0))</f>
        <v>0</v>
      </c>
      <c r="J66" s="14" t="n">
        <f aca="false">G66*I66</f>
        <v>0</v>
      </c>
      <c r="K66" s="20"/>
      <c r="L66" s="6"/>
    </row>
    <row r="67" customFormat="false" ht="15" hidden="false" customHeight="false" outlineLevel="0" collapsed="false">
      <c r="A67" s="33"/>
      <c r="B67" s="6"/>
      <c r="C67" s="6"/>
      <c r="D67" s="0" t="str">
        <f aca="false">IF(C67="","",IFERROR(VLOOKUP(C67,'Recetas y precios'!$A$5:$B$54,2,FALSE()),""))</f>
        <v/>
      </c>
      <c r="E67" s="6"/>
      <c r="F67" s="6"/>
      <c r="G67" s="6"/>
      <c r="H67" s="30" t="str">
        <f aca="false">IF((F67+G67)&gt;0,G67/(F67+G67),"")</f>
        <v/>
      </c>
      <c r="I67" s="14" t="n">
        <f aca="false">IF(C67="",0,IFERROR(VLOOKUP(C67,'Recetas y precios'!$A$5:$T$54,20,FALSE()),0))</f>
        <v>0</v>
      </c>
      <c r="J67" s="14" t="n">
        <f aca="false">G67*I67</f>
        <v>0</v>
      </c>
      <c r="K67" s="20"/>
      <c r="L67" s="6"/>
    </row>
    <row r="68" customFormat="false" ht="15" hidden="false" customHeight="false" outlineLevel="0" collapsed="false">
      <c r="A68" s="33"/>
      <c r="B68" s="6"/>
      <c r="C68" s="6"/>
      <c r="D68" s="0" t="str">
        <f aca="false">IF(C68="","",IFERROR(VLOOKUP(C68,'Recetas y precios'!$A$5:$B$54,2,FALSE()),""))</f>
        <v/>
      </c>
      <c r="E68" s="6"/>
      <c r="F68" s="6"/>
      <c r="G68" s="6"/>
      <c r="H68" s="30" t="str">
        <f aca="false">IF((F68+G68)&gt;0,G68/(F68+G68),"")</f>
        <v/>
      </c>
      <c r="I68" s="14" t="n">
        <f aca="false">IF(C68="",0,IFERROR(VLOOKUP(C68,'Recetas y precios'!$A$5:$T$54,20,FALSE()),0))</f>
        <v>0</v>
      </c>
      <c r="J68" s="14" t="n">
        <f aca="false">G68*I68</f>
        <v>0</v>
      </c>
      <c r="K68" s="20"/>
      <c r="L68" s="6"/>
    </row>
    <row r="69" customFormat="false" ht="15" hidden="false" customHeight="false" outlineLevel="0" collapsed="false">
      <c r="A69" s="33"/>
      <c r="B69" s="6"/>
      <c r="C69" s="6"/>
      <c r="D69" s="0" t="str">
        <f aca="false">IF(C69="","",IFERROR(VLOOKUP(C69,'Recetas y precios'!$A$5:$B$54,2,FALSE()),""))</f>
        <v/>
      </c>
      <c r="E69" s="6"/>
      <c r="F69" s="6"/>
      <c r="G69" s="6"/>
      <c r="H69" s="30" t="str">
        <f aca="false">IF((F69+G69)&gt;0,G69/(F69+G69),"")</f>
        <v/>
      </c>
      <c r="I69" s="14" t="n">
        <f aca="false">IF(C69="",0,IFERROR(VLOOKUP(C69,'Recetas y precios'!$A$5:$T$54,20,FALSE()),0))</f>
        <v>0</v>
      </c>
      <c r="J69" s="14" t="n">
        <f aca="false">G69*I69</f>
        <v>0</v>
      </c>
      <c r="K69" s="20"/>
      <c r="L69" s="6"/>
    </row>
    <row r="70" customFormat="false" ht="15" hidden="false" customHeight="false" outlineLevel="0" collapsed="false">
      <c r="A70" s="33"/>
      <c r="B70" s="6"/>
      <c r="C70" s="6"/>
      <c r="D70" s="0" t="str">
        <f aca="false">IF(C70="","",IFERROR(VLOOKUP(C70,'Recetas y precios'!$A$5:$B$54,2,FALSE()),""))</f>
        <v/>
      </c>
      <c r="E70" s="6"/>
      <c r="F70" s="6"/>
      <c r="G70" s="6"/>
      <c r="H70" s="30" t="str">
        <f aca="false">IF((F70+G70)&gt;0,G70/(F70+G70),"")</f>
        <v/>
      </c>
      <c r="I70" s="14" t="n">
        <f aca="false">IF(C70="",0,IFERROR(VLOOKUP(C70,'Recetas y precios'!$A$5:$T$54,20,FALSE()),0))</f>
        <v>0</v>
      </c>
      <c r="J70" s="14" t="n">
        <f aca="false">G70*I70</f>
        <v>0</v>
      </c>
      <c r="K70" s="20"/>
      <c r="L70" s="6"/>
    </row>
    <row r="71" customFormat="false" ht="15" hidden="false" customHeight="false" outlineLevel="0" collapsed="false">
      <c r="A71" s="33"/>
      <c r="B71" s="6"/>
      <c r="C71" s="6"/>
      <c r="D71" s="0" t="str">
        <f aca="false">IF(C71="","",IFERROR(VLOOKUP(C71,'Recetas y precios'!$A$5:$B$54,2,FALSE()),""))</f>
        <v/>
      </c>
      <c r="E71" s="6"/>
      <c r="F71" s="6"/>
      <c r="G71" s="6"/>
      <c r="H71" s="30" t="str">
        <f aca="false">IF((F71+G71)&gt;0,G71/(F71+G71),"")</f>
        <v/>
      </c>
      <c r="I71" s="14" t="n">
        <f aca="false">IF(C71="",0,IFERROR(VLOOKUP(C71,'Recetas y precios'!$A$5:$T$54,20,FALSE()),0))</f>
        <v>0</v>
      </c>
      <c r="J71" s="14" t="n">
        <f aca="false">G71*I71</f>
        <v>0</v>
      </c>
      <c r="K71" s="20"/>
      <c r="L71" s="6"/>
    </row>
    <row r="72" customFormat="false" ht="15" hidden="false" customHeight="false" outlineLevel="0" collapsed="false">
      <c r="A72" s="33"/>
      <c r="B72" s="6"/>
      <c r="C72" s="6"/>
      <c r="D72" s="0" t="str">
        <f aca="false">IF(C72="","",IFERROR(VLOOKUP(C72,'Recetas y precios'!$A$5:$B$54,2,FALSE()),""))</f>
        <v/>
      </c>
      <c r="E72" s="6"/>
      <c r="F72" s="6"/>
      <c r="G72" s="6"/>
      <c r="H72" s="30" t="str">
        <f aca="false">IF((F72+G72)&gt;0,G72/(F72+G72),"")</f>
        <v/>
      </c>
      <c r="I72" s="14" t="n">
        <f aca="false">IF(C72="",0,IFERROR(VLOOKUP(C72,'Recetas y precios'!$A$5:$T$54,20,FALSE()),0))</f>
        <v>0</v>
      </c>
      <c r="J72" s="14" t="n">
        <f aca="false">G72*I72</f>
        <v>0</v>
      </c>
      <c r="K72" s="20"/>
      <c r="L72" s="6"/>
    </row>
    <row r="73" customFormat="false" ht="15" hidden="false" customHeight="false" outlineLevel="0" collapsed="false">
      <c r="A73" s="33"/>
      <c r="B73" s="6"/>
      <c r="C73" s="6"/>
      <c r="D73" s="0" t="str">
        <f aca="false">IF(C73="","",IFERROR(VLOOKUP(C73,'Recetas y precios'!$A$5:$B$54,2,FALSE()),""))</f>
        <v/>
      </c>
      <c r="E73" s="6"/>
      <c r="F73" s="6"/>
      <c r="G73" s="6"/>
      <c r="H73" s="30" t="str">
        <f aca="false">IF((F73+G73)&gt;0,G73/(F73+G73),"")</f>
        <v/>
      </c>
      <c r="I73" s="14" t="n">
        <f aca="false">IF(C73="",0,IFERROR(VLOOKUP(C73,'Recetas y precios'!$A$5:$T$54,20,FALSE()),0))</f>
        <v>0</v>
      </c>
      <c r="J73" s="14" t="n">
        <f aca="false">G73*I73</f>
        <v>0</v>
      </c>
      <c r="K73" s="20"/>
      <c r="L73" s="6"/>
    </row>
    <row r="74" customFormat="false" ht="15" hidden="false" customHeight="false" outlineLevel="0" collapsed="false">
      <c r="A74" s="33"/>
      <c r="B74" s="6"/>
      <c r="C74" s="6"/>
      <c r="D74" s="0" t="str">
        <f aca="false">IF(C74="","",IFERROR(VLOOKUP(C74,'Recetas y precios'!$A$5:$B$54,2,FALSE()),""))</f>
        <v/>
      </c>
      <c r="E74" s="6"/>
      <c r="F74" s="6"/>
      <c r="G74" s="6"/>
      <c r="H74" s="30" t="str">
        <f aca="false">IF((F74+G74)&gt;0,G74/(F74+G74),"")</f>
        <v/>
      </c>
      <c r="I74" s="14" t="n">
        <f aca="false">IF(C74="",0,IFERROR(VLOOKUP(C74,'Recetas y precios'!$A$5:$T$54,20,FALSE()),0))</f>
        <v>0</v>
      </c>
      <c r="J74" s="14" t="n">
        <f aca="false">G74*I74</f>
        <v>0</v>
      </c>
      <c r="K74" s="20"/>
      <c r="L74" s="6"/>
    </row>
    <row r="75" customFormat="false" ht="15" hidden="false" customHeight="false" outlineLevel="0" collapsed="false">
      <c r="A75" s="33"/>
      <c r="B75" s="6"/>
      <c r="C75" s="6"/>
      <c r="D75" s="0" t="str">
        <f aca="false">IF(C75="","",IFERROR(VLOOKUP(C75,'Recetas y precios'!$A$5:$B$54,2,FALSE()),""))</f>
        <v/>
      </c>
      <c r="E75" s="6"/>
      <c r="F75" s="6"/>
      <c r="G75" s="6"/>
      <c r="H75" s="30" t="str">
        <f aca="false">IF((F75+G75)&gt;0,G75/(F75+G75),"")</f>
        <v/>
      </c>
      <c r="I75" s="14" t="n">
        <f aca="false">IF(C75="",0,IFERROR(VLOOKUP(C75,'Recetas y precios'!$A$5:$T$54,20,FALSE()),0))</f>
        <v>0</v>
      </c>
      <c r="J75" s="14" t="n">
        <f aca="false">G75*I75</f>
        <v>0</v>
      </c>
      <c r="K75" s="20"/>
      <c r="L75" s="6"/>
    </row>
    <row r="76" customFormat="false" ht="15" hidden="false" customHeight="false" outlineLevel="0" collapsed="false">
      <c r="A76" s="33"/>
      <c r="B76" s="6"/>
      <c r="C76" s="6"/>
      <c r="D76" s="0" t="str">
        <f aca="false">IF(C76="","",IFERROR(VLOOKUP(C76,'Recetas y precios'!$A$5:$B$54,2,FALSE()),""))</f>
        <v/>
      </c>
      <c r="E76" s="6"/>
      <c r="F76" s="6"/>
      <c r="G76" s="6"/>
      <c r="H76" s="30" t="str">
        <f aca="false">IF((F76+G76)&gt;0,G76/(F76+G76),"")</f>
        <v/>
      </c>
      <c r="I76" s="14" t="n">
        <f aca="false">IF(C76="",0,IFERROR(VLOOKUP(C76,'Recetas y precios'!$A$5:$T$54,20,FALSE()),0))</f>
        <v>0</v>
      </c>
      <c r="J76" s="14" t="n">
        <f aca="false">G76*I76</f>
        <v>0</v>
      </c>
      <c r="K76" s="20"/>
      <c r="L76" s="6"/>
    </row>
    <row r="77" customFormat="false" ht="15" hidden="false" customHeight="false" outlineLevel="0" collapsed="false">
      <c r="A77" s="33"/>
      <c r="B77" s="6"/>
      <c r="C77" s="6"/>
      <c r="D77" s="0" t="str">
        <f aca="false">IF(C77="","",IFERROR(VLOOKUP(C77,'Recetas y precios'!$A$5:$B$54,2,FALSE()),""))</f>
        <v/>
      </c>
      <c r="E77" s="6"/>
      <c r="F77" s="6"/>
      <c r="G77" s="6"/>
      <c r="H77" s="30" t="str">
        <f aca="false">IF((F77+G77)&gt;0,G77/(F77+G77),"")</f>
        <v/>
      </c>
      <c r="I77" s="14" t="n">
        <f aca="false">IF(C77="",0,IFERROR(VLOOKUP(C77,'Recetas y precios'!$A$5:$T$54,20,FALSE()),0))</f>
        <v>0</v>
      </c>
      <c r="J77" s="14" t="n">
        <f aca="false">G77*I77</f>
        <v>0</v>
      </c>
      <c r="K77" s="20"/>
      <c r="L77" s="6"/>
    </row>
    <row r="78" customFormat="false" ht="15" hidden="false" customHeight="false" outlineLevel="0" collapsed="false">
      <c r="A78" s="33"/>
      <c r="B78" s="6"/>
      <c r="C78" s="6"/>
      <c r="D78" s="0" t="str">
        <f aca="false">IF(C78="","",IFERROR(VLOOKUP(C78,'Recetas y precios'!$A$5:$B$54,2,FALSE()),""))</f>
        <v/>
      </c>
      <c r="E78" s="6"/>
      <c r="F78" s="6"/>
      <c r="G78" s="6"/>
      <c r="H78" s="30" t="str">
        <f aca="false">IF((F78+G78)&gt;0,G78/(F78+G78),"")</f>
        <v/>
      </c>
      <c r="I78" s="14" t="n">
        <f aca="false">IF(C78="",0,IFERROR(VLOOKUP(C78,'Recetas y precios'!$A$5:$T$54,20,FALSE()),0))</f>
        <v>0</v>
      </c>
      <c r="J78" s="14" t="n">
        <f aca="false">G78*I78</f>
        <v>0</v>
      </c>
      <c r="K78" s="20"/>
      <c r="L78" s="6"/>
    </row>
    <row r="79" customFormat="false" ht="15" hidden="false" customHeight="false" outlineLevel="0" collapsed="false">
      <c r="A79" s="33"/>
      <c r="B79" s="6"/>
      <c r="C79" s="6"/>
      <c r="D79" s="0" t="str">
        <f aca="false">IF(C79="","",IFERROR(VLOOKUP(C79,'Recetas y precios'!$A$5:$B$54,2,FALSE()),""))</f>
        <v/>
      </c>
      <c r="E79" s="6"/>
      <c r="F79" s="6"/>
      <c r="G79" s="6"/>
      <c r="H79" s="30" t="str">
        <f aca="false">IF((F79+G79)&gt;0,G79/(F79+G79),"")</f>
        <v/>
      </c>
      <c r="I79" s="14" t="n">
        <f aca="false">IF(C79="",0,IFERROR(VLOOKUP(C79,'Recetas y precios'!$A$5:$T$54,20,FALSE()),0))</f>
        <v>0</v>
      </c>
      <c r="J79" s="14" t="n">
        <f aca="false">G79*I79</f>
        <v>0</v>
      </c>
      <c r="K79" s="20"/>
      <c r="L79" s="6"/>
    </row>
    <row r="80" customFormat="false" ht="15" hidden="false" customHeight="false" outlineLevel="0" collapsed="false">
      <c r="A80" s="33"/>
      <c r="B80" s="6"/>
      <c r="C80" s="6"/>
      <c r="D80" s="0" t="str">
        <f aca="false">IF(C80="","",IFERROR(VLOOKUP(C80,'Recetas y precios'!$A$5:$B$54,2,FALSE()),""))</f>
        <v/>
      </c>
      <c r="E80" s="6"/>
      <c r="F80" s="6"/>
      <c r="G80" s="6"/>
      <c r="H80" s="30" t="str">
        <f aca="false">IF((F80+G80)&gt;0,G80/(F80+G80),"")</f>
        <v/>
      </c>
      <c r="I80" s="14" t="n">
        <f aca="false">IF(C80="",0,IFERROR(VLOOKUP(C80,'Recetas y precios'!$A$5:$T$54,20,FALSE()),0))</f>
        <v>0</v>
      </c>
      <c r="J80" s="14" t="n">
        <f aca="false">G80*I80</f>
        <v>0</v>
      </c>
      <c r="K80" s="20"/>
      <c r="L80" s="6"/>
    </row>
    <row r="81" customFormat="false" ht="15" hidden="false" customHeight="false" outlineLevel="0" collapsed="false">
      <c r="A81" s="33"/>
      <c r="B81" s="6"/>
      <c r="C81" s="6"/>
      <c r="D81" s="0" t="str">
        <f aca="false">IF(C81="","",IFERROR(VLOOKUP(C81,'Recetas y precios'!$A$5:$B$54,2,FALSE()),""))</f>
        <v/>
      </c>
      <c r="E81" s="6"/>
      <c r="F81" s="6"/>
      <c r="G81" s="6"/>
      <c r="H81" s="30" t="str">
        <f aca="false">IF((F81+G81)&gt;0,G81/(F81+G81),"")</f>
        <v/>
      </c>
      <c r="I81" s="14" t="n">
        <f aca="false">IF(C81="",0,IFERROR(VLOOKUP(C81,'Recetas y precios'!$A$5:$T$54,20,FALSE()),0))</f>
        <v>0</v>
      </c>
      <c r="J81" s="14" t="n">
        <f aca="false">G81*I81</f>
        <v>0</v>
      </c>
      <c r="K81" s="20"/>
      <c r="L81" s="6"/>
    </row>
    <row r="82" customFormat="false" ht="15" hidden="false" customHeight="false" outlineLevel="0" collapsed="false">
      <c r="A82" s="33"/>
      <c r="B82" s="6"/>
      <c r="C82" s="6"/>
      <c r="D82" s="0" t="str">
        <f aca="false">IF(C82="","",IFERROR(VLOOKUP(C82,'Recetas y precios'!$A$5:$B$54,2,FALSE()),""))</f>
        <v/>
      </c>
      <c r="E82" s="6"/>
      <c r="F82" s="6"/>
      <c r="G82" s="6"/>
      <c r="H82" s="30" t="str">
        <f aca="false">IF((F82+G82)&gt;0,G82/(F82+G82),"")</f>
        <v/>
      </c>
      <c r="I82" s="14" t="n">
        <f aca="false">IF(C82="",0,IFERROR(VLOOKUP(C82,'Recetas y precios'!$A$5:$T$54,20,FALSE()),0))</f>
        <v>0</v>
      </c>
      <c r="J82" s="14" t="n">
        <f aca="false">G82*I82</f>
        <v>0</v>
      </c>
      <c r="K82" s="20"/>
      <c r="L82" s="6"/>
    </row>
    <row r="83" customFormat="false" ht="15" hidden="false" customHeight="false" outlineLevel="0" collapsed="false">
      <c r="A83" s="33"/>
      <c r="B83" s="6"/>
      <c r="C83" s="6"/>
      <c r="D83" s="0" t="str">
        <f aca="false">IF(C83="","",IFERROR(VLOOKUP(C83,'Recetas y precios'!$A$5:$B$54,2,FALSE()),""))</f>
        <v/>
      </c>
      <c r="E83" s="6"/>
      <c r="F83" s="6"/>
      <c r="G83" s="6"/>
      <c r="H83" s="30" t="str">
        <f aca="false">IF((F83+G83)&gt;0,G83/(F83+G83),"")</f>
        <v/>
      </c>
      <c r="I83" s="14" t="n">
        <f aca="false">IF(C83="",0,IFERROR(VLOOKUP(C83,'Recetas y precios'!$A$5:$T$54,20,FALSE()),0))</f>
        <v>0</v>
      </c>
      <c r="J83" s="14" t="n">
        <f aca="false">G83*I83</f>
        <v>0</v>
      </c>
      <c r="K83" s="20"/>
      <c r="L83" s="6"/>
    </row>
    <row r="84" customFormat="false" ht="15" hidden="false" customHeight="false" outlineLevel="0" collapsed="false">
      <c r="A84" s="33"/>
      <c r="B84" s="6"/>
      <c r="C84" s="6"/>
      <c r="D84" s="0" t="str">
        <f aca="false">IF(C84="","",IFERROR(VLOOKUP(C84,'Recetas y precios'!$A$5:$B$54,2,FALSE()),""))</f>
        <v/>
      </c>
      <c r="E84" s="6"/>
      <c r="F84" s="6"/>
      <c r="G84" s="6"/>
      <c r="H84" s="30" t="str">
        <f aca="false">IF((F84+G84)&gt;0,G84/(F84+G84),"")</f>
        <v/>
      </c>
      <c r="I84" s="14" t="n">
        <f aca="false">IF(C84="",0,IFERROR(VLOOKUP(C84,'Recetas y precios'!$A$5:$T$54,20,FALSE()),0))</f>
        <v>0</v>
      </c>
      <c r="J84" s="14" t="n">
        <f aca="false">G84*I84</f>
        <v>0</v>
      </c>
      <c r="K84" s="20"/>
      <c r="L84" s="6"/>
    </row>
    <row r="85" customFormat="false" ht="15" hidden="false" customHeight="false" outlineLevel="0" collapsed="false">
      <c r="A85" s="33"/>
      <c r="B85" s="6"/>
      <c r="C85" s="6"/>
      <c r="D85" s="0" t="str">
        <f aca="false">IF(C85="","",IFERROR(VLOOKUP(C85,'Recetas y precios'!$A$5:$B$54,2,FALSE()),""))</f>
        <v/>
      </c>
      <c r="E85" s="6"/>
      <c r="F85" s="6"/>
      <c r="G85" s="6"/>
      <c r="H85" s="30" t="str">
        <f aca="false">IF((F85+G85)&gt;0,G85/(F85+G85),"")</f>
        <v/>
      </c>
      <c r="I85" s="14" t="n">
        <f aca="false">IF(C85="",0,IFERROR(VLOOKUP(C85,'Recetas y precios'!$A$5:$T$54,20,FALSE()),0))</f>
        <v>0</v>
      </c>
      <c r="J85" s="14" t="n">
        <f aca="false">G85*I85</f>
        <v>0</v>
      </c>
      <c r="K85" s="20"/>
      <c r="L85" s="6"/>
    </row>
    <row r="86" customFormat="false" ht="15" hidden="false" customHeight="false" outlineLevel="0" collapsed="false">
      <c r="A86" s="33"/>
      <c r="B86" s="6"/>
      <c r="C86" s="6"/>
      <c r="D86" s="0" t="str">
        <f aca="false">IF(C86="","",IFERROR(VLOOKUP(C86,'Recetas y precios'!$A$5:$B$54,2,FALSE()),""))</f>
        <v/>
      </c>
      <c r="E86" s="6"/>
      <c r="F86" s="6"/>
      <c r="G86" s="6"/>
      <c r="H86" s="30" t="str">
        <f aca="false">IF((F86+G86)&gt;0,G86/(F86+G86),"")</f>
        <v/>
      </c>
      <c r="I86" s="14" t="n">
        <f aca="false">IF(C86="",0,IFERROR(VLOOKUP(C86,'Recetas y precios'!$A$5:$T$54,20,FALSE()),0))</f>
        <v>0</v>
      </c>
      <c r="J86" s="14" t="n">
        <f aca="false">G86*I86</f>
        <v>0</v>
      </c>
      <c r="K86" s="20"/>
      <c r="L86" s="6"/>
    </row>
    <row r="87" customFormat="false" ht="15" hidden="false" customHeight="false" outlineLevel="0" collapsed="false">
      <c r="A87" s="33"/>
      <c r="B87" s="6"/>
      <c r="C87" s="6"/>
      <c r="D87" s="0" t="str">
        <f aca="false">IF(C87="","",IFERROR(VLOOKUP(C87,'Recetas y precios'!$A$5:$B$54,2,FALSE()),""))</f>
        <v/>
      </c>
      <c r="E87" s="6"/>
      <c r="F87" s="6"/>
      <c r="G87" s="6"/>
      <c r="H87" s="30" t="str">
        <f aca="false">IF((F87+G87)&gt;0,G87/(F87+G87),"")</f>
        <v/>
      </c>
      <c r="I87" s="14" t="n">
        <f aca="false">IF(C87="",0,IFERROR(VLOOKUP(C87,'Recetas y precios'!$A$5:$T$54,20,FALSE()),0))</f>
        <v>0</v>
      </c>
      <c r="J87" s="14" t="n">
        <f aca="false">G87*I87</f>
        <v>0</v>
      </c>
      <c r="K87" s="20"/>
      <c r="L87" s="6"/>
    </row>
    <row r="88" customFormat="false" ht="15" hidden="false" customHeight="false" outlineLevel="0" collapsed="false">
      <c r="A88" s="33"/>
      <c r="B88" s="6"/>
      <c r="C88" s="6"/>
      <c r="D88" s="0" t="str">
        <f aca="false">IF(C88="","",IFERROR(VLOOKUP(C88,'Recetas y precios'!$A$5:$B$54,2,FALSE()),""))</f>
        <v/>
      </c>
      <c r="E88" s="6"/>
      <c r="F88" s="6"/>
      <c r="G88" s="6"/>
      <c r="H88" s="30" t="str">
        <f aca="false">IF((F88+G88)&gt;0,G88/(F88+G88),"")</f>
        <v/>
      </c>
      <c r="I88" s="14" t="n">
        <f aca="false">IF(C88="",0,IFERROR(VLOOKUP(C88,'Recetas y precios'!$A$5:$T$54,20,FALSE()),0))</f>
        <v>0</v>
      </c>
      <c r="J88" s="14" t="n">
        <f aca="false">G88*I88</f>
        <v>0</v>
      </c>
      <c r="K88" s="20"/>
      <c r="L88" s="6"/>
    </row>
    <row r="89" customFormat="false" ht="15" hidden="false" customHeight="false" outlineLevel="0" collapsed="false">
      <c r="A89" s="33"/>
      <c r="B89" s="6"/>
      <c r="C89" s="6"/>
      <c r="D89" s="0" t="str">
        <f aca="false">IF(C89="","",IFERROR(VLOOKUP(C89,'Recetas y precios'!$A$5:$B$54,2,FALSE()),""))</f>
        <v/>
      </c>
      <c r="E89" s="6"/>
      <c r="F89" s="6"/>
      <c r="G89" s="6"/>
      <c r="H89" s="30" t="str">
        <f aca="false">IF((F89+G89)&gt;0,G89/(F89+G89),"")</f>
        <v/>
      </c>
      <c r="I89" s="14" t="n">
        <f aca="false">IF(C89="",0,IFERROR(VLOOKUP(C89,'Recetas y precios'!$A$5:$T$54,20,FALSE()),0))</f>
        <v>0</v>
      </c>
      <c r="J89" s="14" t="n">
        <f aca="false">G89*I89</f>
        <v>0</v>
      </c>
      <c r="K89" s="20"/>
      <c r="L89" s="6"/>
    </row>
    <row r="90" customFormat="false" ht="15" hidden="false" customHeight="false" outlineLevel="0" collapsed="false">
      <c r="A90" s="33"/>
      <c r="B90" s="6"/>
      <c r="C90" s="6"/>
      <c r="D90" s="0" t="str">
        <f aca="false">IF(C90="","",IFERROR(VLOOKUP(C90,'Recetas y precios'!$A$5:$B$54,2,FALSE()),""))</f>
        <v/>
      </c>
      <c r="E90" s="6"/>
      <c r="F90" s="6"/>
      <c r="G90" s="6"/>
      <c r="H90" s="30" t="str">
        <f aca="false">IF((F90+G90)&gt;0,G90/(F90+G90),"")</f>
        <v/>
      </c>
      <c r="I90" s="14" t="n">
        <f aca="false">IF(C90="",0,IFERROR(VLOOKUP(C90,'Recetas y precios'!$A$5:$T$54,20,FALSE()),0))</f>
        <v>0</v>
      </c>
      <c r="J90" s="14" t="n">
        <f aca="false">G90*I90</f>
        <v>0</v>
      </c>
      <c r="K90" s="20"/>
      <c r="L90" s="6"/>
    </row>
    <row r="91" customFormat="false" ht="15" hidden="false" customHeight="false" outlineLevel="0" collapsed="false">
      <c r="A91" s="33"/>
      <c r="B91" s="6"/>
      <c r="C91" s="6"/>
      <c r="D91" s="0" t="str">
        <f aca="false">IF(C91="","",IFERROR(VLOOKUP(C91,'Recetas y precios'!$A$5:$B$54,2,FALSE()),""))</f>
        <v/>
      </c>
      <c r="E91" s="6"/>
      <c r="F91" s="6"/>
      <c r="G91" s="6"/>
      <c r="H91" s="30" t="str">
        <f aca="false">IF((F91+G91)&gt;0,G91/(F91+G91),"")</f>
        <v/>
      </c>
      <c r="I91" s="14" t="n">
        <f aca="false">IF(C91="",0,IFERROR(VLOOKUP(C91,'Recetas y precios'!$A$5:$T$54,20,FALSE()),0))</f>
        <v>0</v>
      </c>
      <c r="J91" s="14" t="n">
        <f aca="false">G91*I91</f>
        <v>0</v>
      </c>
      <c r="K91" s="20"/>
      <c r="L91" s="6"/>
    </row>
    <row r="92" customFormat="false" ht="15" hidden="false" customHeight="false" outlineLevel="0" collapsed="false">
      <c r="A92" s="33"/>
      <c r="B92" s="6"/>
      <c r="C92" s="6"/>
      <c r="D92" s="0" t="str">
        <f aca="false">IF(C92="","",IFERROR(VLOOKUP(C92,'Recetas y precios'!$A$5:$B$54,2,FALSE()),""))</f>
        <v/>
      </c>
      <c r="E92" s="6"/>
      <c r="F92" s="6"/>
      <c r="G92" s="6"/>
      <c r="H92" s="30" t="str">
        <f aca="false">IF((F92+G92)&gt;0,G92/(F92+G92),"")</f>
        <v/>
      </c>
      <c r="I92" s="14" t="n">
        <f aca="false">IF(C92="",0,IFERROR(VLOOKUP(C92,'Recetas y precios'!$A$5:$T$54,20,FALSE()),0))</f>
        <v>0</v>
      </c>
      <c r="J92" s="14" t="n">
        <f aca="false">G92*I92</f>
        <v>0</v>
      </c>
      <c r="K92" s="20"/>
      <c r="L92" s="6"/>
    </row>
    <row r="93" customFormat="false" ht="15" hidden="false" customHeight="false" outlineLevel="0" collapsed="false">
      <c r="A93" s="33"/>
      <c r="B93" s="6"/>
      <c r="C93" s="6"/>
      <c r="D93" s="0" t="str">
        <f aca="false">IF(C93="","",IFERROR(VLOOKUP(C93,'Recetas y precios'!$A$5:$B$54,2,FALSE()),""))</f>
        <v/>
      </c>
      <c r="E93" s="6"/>
      <c r="F93" s="6"/>
      <c r="G93" s="6"/>
      <c r="H93" s="30" t="str">
        <f aca="false">IF((F93+G93)&gt;0,G93/(F93+G93),"")</f>
        <v/>
      </c>
      <c r="I93" s="14" t="n">
        <f aca="false">IF(C93="",0,IFERROR(VLOOKUP(C93,'Recetas y precios'!$A$5:$T$54,20,FALSE()),0))</f>
        <v>0</v>
      </c>
      <c r="J93" s="14" t="n">
        <f aca="false">G93*I93</f>
        <v>0</v>
      </c>
      <c r="K93" s="20"/>
      <c r="L93" s="6"/>
    </row>
    <row r="94" customFormat="false" ht="15" hidden="false" customHeight="false" outlineLevel="0" collapsed="false">
      <c r="A94" s="33"/>
      <c r="B94" s="6"/>
      <c r="C94" s="6"/>
      <c r="D94" s="0" t="str">
        <f aca="false">IF(C94="","",IFERROR(VLOOKUP(C94,'Recetas y precios'!$A$5:$B$54,2,FALSE()),""))</f>
        <v/>
      </c>
      <c r="E94" s="6"/>
      <c r="F94" s="6"/>
      <c r="G94" s="6"/>
      <c r="H94" s="30" t="str">
        <f aca="false">IF((F94+G94)&gt;0,G94/(F94+G94),"")</f>
        <v/>
      </c>
      <c r="I94" s="14" t="n">
        <f aca="false">IF(C94="",0,IFERROR(VLOOKUP(C94,'Recetas y precios'!$A$5:$T$54,20,FALSE()),0))</f>
        <v>0</v>
      </c>
      <c r="J94" s="14" t="n">
        <f aca="false">G94*I94</f>
        <v>0</v>
      </c>
      <c r="K94" s="20"/>
      <c r="L94" s="6"/>
    </row>
    <row r="95" customFormat="false" ht="15" hidden="false" customHeight="false" outlineLevel="0" collapsed="false">
      <c r="A95" s="33"/>
      <c r="B95" s="6"/>
      <c r="C95" s="6"/>
      <c r="D95" s="0" t="str">
        <f aca="false">IF(C95="","",IFERROR(VLOOKUP(C95,'Recetas y precios'!$A$5:$B$54,2,FALSE()),""))</f>
        <v/>
      </c>
      <c r="E95" s="6"/>
      <c r="F95" s="6"/>
      <c r="G95" s="6"/>
      <c r="H95" s="30" t="str">
        <f aca="false">IF((F95+G95)&gt;0,G95/(F95+G95),"")</f>
        <v/>
      </c>
      <c r="I95" s="14" t="n">
        <f aca="false">IF(C95="",0,IFERROR(VLOOKUP(C95,'Recetas y precios'!$A$5:$T$54,20,FALSE()),0))</f>
        <v>0</v>
      </c>
      <c r="J95" s="14" t="n">
        <f aca="false">G95*I95</f>
        <v>0</v>
      </c>
      <c r="K95" s="20"/>
      <c r="L95" s="6"/>
    </row>
    <row r="96" customFormat="false" ht="15" hidden="false" customHeight="false" outlineLevel="0" collapsed="false">
      <c r="A96" s="33"/>
      <c r="B96" s="6"/>
      <c r="C96" s="6"/>
      <c r="D96" s="0" t="str">
        <f aca="false">IF(C96="","",IFERROR(VLOOKUP(C96,'Recetas y precios'!$A$5:$B$54,2,FALSE()),""))</f>
        <v/>
      </c>
      <c r="E96" s="6"/>
      <c r="F96" s="6"/>
      <c r="G96" s="6"/>
      <c r="H96" s="30" t="str">
        <f aca="false">IF((F96+G96)&gt;0,G96/(F96+G96),"")</f>
        <v/>
      </c>
      <c r="I96" s="14" t="n">
        <f aca="false">IF(C96="",0,IFERROR(VLOOKUP(C96,'Recetas y precios'!$A$5:$T$54,20,FALSE()),0))</f>
        <v>0</v>
      </c>
      <c r="J96" s="14" t="n">
        <f aca="false">G96*I96</f>
        <v>0</v>
      </c>
      <c r="K96" s="20"/>
      <c r="L96" s="6"/>
    </row>
    <row r="97" customFormat="false" ht="15" hidden="false" customHeight="false" outlineLevel="0" collapsed="false">
      <c r="A97" s="33"/>
      <c r="B97" s="6"/>
      <c r="C97" s="6"/>
      <c r="D97" s="0" t="str">
        <f aca="false">IF(C97="","",IFERROR(VLOOKUP(C97,'Recetas y precios'!$A$5:$B$54,2,FALSE()),""))</f>
        <v/>
      </c>
      <c r="E97" s="6"/>
      <c r="F97" s="6"/>
      <c r="G97" s="6"/>
      <c r="H97" s="30" t="str">
        <f aca="false">IF((F97+G97)&gt;0,G97/(F97+G97),"")</f>
        <v/>
      </c>
      <c r="I97" s="14" t="n">
        <f aca="false">IF(C97="",0,IFERROR(VLOOKUP(C97,'Recetas y precios'!$A$5:$T$54,20,FALSE()),0))</f>
        <v>0</v>
      </c>
      <c r="J97" s="14" t="n">
        <f aca="false">G97*I97</f>
        <v>0</v>
      </c>
      <c r="K97" s="20"/>
      <c r="L97" s="6"/>
    </row>
    <row r="98" customFormat="false" ht="15" hidden="false" customHeight="false" outlineLevel="0" collapsed="false">
      <c r="A98" s="33"/>
      <c r="B98" s="6"/>
      <c r="C98" s="6"/>
      <c r="D98" s="0" t="str">
        <f aca="false">IF(C98="","",IFERROR(VLOOKUP(C98,'Recetas y precios'!$A$5:$B$54,2,FALSE()),""))</f>
        <v/>
      </c>
      <c r="E98" s="6"/>
      <c r="F98" s="6"/>
      <c r="G98" s="6"/>
      <c r="H98" s="30" t="str">
        <f aca="false">IF((F98+G98)&gt;0,G98/(F98+G98),"")</f>
        <v/>
      </c>
      <c r="I98" s="14" t="n">
        <f aca="false">IF(C98="",0,IFERROR(VLOOKUP(C98,'Recetas y precios'!$A$5:$T$54,20,FALSE()),0))</f>
        <v>0</v>
      </c>
      <c r="J98" s="14" t="n">
        <f aca="false">G98*I98</f>
        <v>0</v>
      </c>
      <c r="K98" s="20"/>
      <c r="L98" s="6"/>
    </row>
    <row r="99" customFormat="false" ht="15" hidden="false" customHeight="false" outlineLevel="0" collapsed="false">
      <c r="A99" s="33"/>
      <c r="B99" s="6"/>
      <c r="C99" s="6"/>
      <c r="D99" s="0" t="str">
        <f aca="false">IF(C99="","",IFERROR(VLOOKUP(C99,'Recetas y precios'!$A$5:$B$54,2,FALSE()),""))</f>
        <v/>
      </c>
      <c r="E99" s="6"/>
      <c r="F99" s="6"/>
      <c r="G99" s="6"/>
      <c r="H99" s="30" t="str">
        <f aca="false">IF((F99+G99)&gt;0,G99/(F99+G99),"")</f>
        <v/>
      </c>
      <c r="I99" s="14" t="n">
        <f aca="false">IF(C99="",0,IFERROR(VLOOKUP(C99,'Recetas y precios'!$A$5:$T$54,20,FALSE()),0))</f>
        <v>0</v>
      </c>
      <c r="J99" s="14" t="n">
        <f aca="false">G99*I99</f>
        <v>0</v>
      </c>
      <c r="K99" s="20"/>
      <c r="L99" s="6"/>
    </row>
    <row r="100" customFormat="false" ht="15" hidden="false" customHeight="false" outlineLevel="0" collapsed="false">
      <c r="A100" s="33"/>
      <c r="B100" s="6"/>
      <c r="C100" s="6"/>
      <c r="D100" s="0" t="str">
        <f aca="false">IF(C100="","",IFERROR(VLOOKUP(C100,'Recetas y precios'!$A$5:$B$54,2,FALSE()),""))</f>
        <v/>
      </c>
      <c r="E100" s="6"/>
      <c r="F100" s="6"/>
      <c r="G100" s="6"/>
      <c r="H100" s="30" t="str">
        <f aca="false">IF((F100+G100)&gt;0,G100/(F100+G100),"")</f>
        <v/>
      </c>
      <c r="I100" s="14" t="n">
        <f aca="false">IF(C100="",0,IFERROR(VLOOKUP(C100,'Recetas y precios'!$A$5:$T$54,20,FALSE()),0))</f>
        <v>0</v>
      </c>
      <c r="J100" s="14" t="n">
        <f aca="false">G100*I100</f>
        <v>0</v>
      </c>
      <c r="K100" s="20"/>
      <c r="L100" s="6"/>
    </row>
    <row r="101" customFormat="false" ht="15" hidden="false" customHeight="false" outlineLevel="0" collapsed="false">
      <c r="A101" s="33"/>
      <c r="B101" s="6"/>
      <c r="C101" s="6"/>
      <c r="D101" s="0" t="str">
        <f aca="false">IF(C101="","",IFERROR(VLOOKUP(C101,'Recetas y precios'!$A$5:$B$54,2,FALSE()),""))</f>
        <v/>
      </c>
      <c r="E101" s="6"/>
      <c r="F101" s="6"/>
      <c r="G101" s="6"/>
      <c r="H101" s="30" t="str">
        <f aca="false">IF((F101+G101)&gt;0,G101/(F101+G101),"")</f>
        <v/>
      </c>
      <c r="I101" s="14" t="n">
        <f aca="false">IF(C101="",0,IFERROR(VLOOKUP(C101,'Recetas y precios'!$A$5:$T$54,20,FALSE()),0))</f>
        <v>0</v>
      </c>
      <c r="J101" s="14" t="n">
        <f aca="false">G101*I101</f>
        <v>0</v>
      </c>
      <c r="K101" s="20"/>
      <c r="L101" s="6"/>
    </row>
    <row r="102" customFormat="false" ht="15" hidden="false" customHeight="false" outlineLevel="0" collapsed="false">
      <c r="A102" s="33"/>
      <c r="B102" s="6"/>
      <c r="C102" s="6"/>
      <c r="D102" s="0" t="str">
        <f aca="false">IF(C102="","",IFERROR(VLOOKUP(C102,'Recetas y precios'!$A$5:$B$54,2,FALSE()),""))</f>
        <v/>
      </c>
      <c r="E102" s="6"/>
      <c r="F102" s="6"/>
      <c r="G102" s="6"/>
      <c r="H102" s="30" t="str">
        <f aca="false">IF((F102+G102)&gt;0,G102/(F102+G102),"")</f>
        <v/>
      </c>
      <c r="I102" s="14" t="n">
        <f aca="false">IF(C102="",0,IFERROR(VLOOKUP(C102,'Recetas y precios'!$A$5:$T$54,20,FALSE()),0))</f>
        <v>0</v>
      </c>
      <c r="J102" s="14" t="n">
        <f aca="false">G102*I102</f>
        <v>0</v>
      </c>
      <c r="K102" s="20"/>
      <c r="L102" s="6"/>
    </row>
    <row r="103" customFormat="false" ht="15" hidden="false" customHeight="false" outlineLevel="0" collapsed="false">
      <c r="A103" s="33"/>
      <c r="B103" s="6"/>
      <c r="C103" s="6"/>
      <c r="D103" s="0" t="str">
        <f aca="false">IF(C103="","",IFERROR(VLOOKUP(C103,'Recetas y precios'!$A$5:$B$54,2,FALSE()),""))</f>
        <v/>
      </c>
      <c r="E103" s="6"/>
      <c r="F103" s="6"/>
      <c r="G103" s="6"/>
      <c r="H103" s="30" t="str">
        <f aca="false">IF((F103+G103)&gt;0,G103/(F103+G103),"")</f>
        <v/>
      </c>
      <c r="I103" s="14" t="n">
        <f aca="false">IF(C103="",0,IFERROR(VLOOKUP(C103,'Recetas y precios'!$A$5:$T$54,20,FALSE()),0))</f>
        <v>0</v>
      </c>
      <c r="J103" s="14" t="n">
        <f aca="false">G103*I103</f>
        <v>0</v>
      </c>
      <c r="K103" s="20"/>
      <c r="L103" s="6"/>
    </row>
    <row r="104" customFormat="false" ht="15" hidden="false" customHeight="false" outlineLevel="0" collapsed="false">
      <c r="A104" s="33"/>
      <c r="B104" s="6"/>
      <c r="C104" s="6"/>
      <c r="D104" s="0" t="str">
        <f aca="false">IF(C104="","",IFERROR(VLOOKUP(C104,'Recetas y precios'!$A$5:$B$54,2,FALSE()),""))</f>
        <v/>
      </c>
      <c r="E104" s="6"/>
      <c r="F104" s="6"/>
      <c r="G104" s="6"/>
      <c r="H104" s="30" t="str">
        <f aca="false">IF((F104+G104)&gt;0,G104/(F104+G104),"")</f>
        <v/>
      </c>
      <c r="I104" s="14" t="n">
        <f aca="false">IF(C104="",0,IFERROR(VLOOKUP(C104,'Recetas y precios'!$A$5:$T$54,20,FALSE()),0))</f>
        <v>0</v>
      </c>
      <c r="J104" s="14" t="n">
        <f aca="false">G104*I104</f>
        <v>0</v>
      </c>
      <c r="K104" s="20"/>
      <c r="L104" s="6"/>
    </row>
    <row r="105" customFormat="false" ht="15" hidden="false" customHeight="false" outlineLevel="0" collapsed="false">
      <c r="A105" s="33"/>
      <c r="B105" s="6"/>
      <c r="C105" s="6"/>
      <c r="D105" s="0" t="str">
        <f aca="false">IF(C105="","",IFERROR(VLOOKUP(C105,'Recetas y precios'!$A$5:$B$54,2,FALSE()),""))</f>
        <v/>
      </c>
      <c r="E105" s="6"/>
      <c r="F105" s="6"/>
      <c r="G105" s="6"/>
      <c r="H105" s="30" t="str">
        <f aca="false">IF((F105+G105)&gt;0,G105/(F105+G105),"")</f>
        <v/>
      </c>
      <c r="I105" s="14" t="n">
        <f aca="false">IF(C105="",0,IFERROR(VLOOKUP(C105,'Recetas y precios'!$A$5:$T$54,20,FALSE()),0))</f>
        <v>0</v>
      </c>
      <c r="J105" s="14" t="n">
        <f aca="false">G105*I105</f>
        <v>0</v>
      </c>
      <c r="K105" s="20"/>
      <c r="L105" s="6"/>
    </row>
    <row r="106" customFormat="false" ht="15" hidden="false" customHeight="false" outlineLevel="0" collapsed="false">
      <c r="A106" s="33"/>
      <c r="B106" s="6"/>
      <c r="C106" s="6"/>
      <c r="D106" s="0" t="str">
        <f aca="false">IF(C106="","",IFERROR(VLOOKUP(C106,'Recetas y precios'!$A$5:$B$54,2,FALSE()),""))</f>
        <v/>
      </c>
      <c r="E106" s="6"/>
      <c r="F106" s="6"/>
      <c r="G106" s="6"/>
      <c r="H106" s="30" t="str">
        <f aca="false">IF((F106+G106)&gt;0,G106/(F106+G106),"")</f>
        <v/>
      </c>
      <c r="I106" s="14" t="n">
        <f aca="false">IF(C106="",0,IFERROR(VLOOKUP(C106,'Recetas y precios'!$A$5:$T$54,20,FALSE()),0))</f>
        <v>0</v>
      </c>
      <c r="J106" s="14" t="n">
        <f aca="false">G106*I106</f>
        <v>0</v>
      </c>
      <c r="K106" s="20"/>
      <c r="L106" s="6"/>
    </row>
    <row r="107" customFormat="false" ht="15" hidden="false" customHeight="false" outlineLevel="0" collapsed="false">
      <c r="A107" s="33"/>
      <c r="B107" s="6"/>
      <c r="C107" s="6"/>
      <c r="D107" s="0" t="str">
        <f aca="false">IF(C107="","",IFERROR(VLOOKUP(C107,'Recetas y precios'!$A$5:$B$54,2,FALSE()),""))</f>
        <v/>
      </c>
      <c r="E107" s="6"/>
      <c r="F107" s="6"/>
      <c r="G107" s="6"/>
      <c r="H107" s="30" t="str">
        <f aca="false">IF((F107+G107)&gt;0,G107/(F107+G107),"")</f>
        <v/>
      </c>
      <c r="I107" s="14" t="n">
        <f aca="false">IF(C107="",0,IFERROR(VLOOKUP(C107,'Recetas y precios'!$A$5:$T$54,20,FALSE()),0))</f>
        <v>0</v>
      </c>
      <c r="J107" s="14" t="n">
        <f aca="false">G107*I107</f>
        <v>0</v>
      </c>
      <c r="K107" s="20"/>
      <c r="L107" s="6"/>
    </row>
    <row r="108" customFormat="false" ht="15" hidden="false" customHeight="false" outlineLevel="0" collapsed="false">
      <c r="A108" s="33"/>
      <c r="B108" s="6"/>
      <c r="C108" s="6"/>
      <c r="D108" s="0" t="str">
        <f aca="false">IF(C108="","",IFERROR(VLOOKUP(C108,'Recetas y precios'!$A$5:$B$54,2,FALSE()),""))</f>
        <v/>
      </c>
      <c r="E108" s="6"/>
      <c r="F108" s="6"/>
      <c r="G108" s="6"/>
      <c r="H108" s="30" t="str">
        <f aca="false">IF((F108+G108)&gt;0,G108/(F108+G108),"")</f>
        <v/>
      </c>
      <c r="I108" s="14" t="n">
        <f aca="false">IF(C108="",0,IFERROR(VLOOKUP(C108,'Recetas y precios'!$A$5:$T$54,20,FALSE()),0))</f>
        <v>0</v>
      </c>
      <c r="J108" s="14" t="n">
        <f aca="false">G108*I108</f>
        <v>0</v>
      </c>
      <c r="K108" s="20"/>
      <c r="L108" s="6"/>
    </row>
    <row r="109" customFormat="false" ht="15" hidden="false" customHeight="false" outlineLevel="0" collapsed="false">
      <c r="A109" s="33"/>
      <c r="B109" s="6"/>
      <c r="C109" s="6"/>
      <c r="D109" s="0" t="str">
        <f aca="false">IF(C109="","",IFERROR(VLOOKUP(C109,'Recetas y precios'!$A$5:$B$54,2,FALSE()),""))</f>
        <v/>
      </c>
      <c r="E109" s="6"/>
      <c r="F109" s="6"/>
      <c r="G109" s="6"/>
      <c r="H109" s="30" t="str">
        <f aca="false">IF((F109+G109)&gt;0,G109/(F109+G109),"")</f>
        <v/>
      </c>
      <c r="I109" s="14" t="n">
        <f aca="false">IF(C109="",0,IFERROR(VLOOKUP(C109,'Recetas y precios'!$A$5:$T$54,20,FALSE()),0))</f>
        <v>0</v>
      </c>
      <c r="J109" s="14" t="n">
        <f aca="false">G109*I109</f>
        <v>0</v>
      </c>
      <c r="K109" s="20"/>
      <c r="L109" s="6"/>
    </row>
    <row r="110" customFormat="false" ht="15" hidden="false" customHeight="false" outlineLevel="0" collapsed="false">
      <c r="A110" s="33"/>
      <c r="B110" s="6"/>
      <c r="C110" s="6"/>
      <c r="D110" s="0" t="str">
        <f aca="false">IF(C110="","",IFERROR(VLOOKUP(C110,'Recetas y precios'!$A$5:$B$54,2,FALSE()),""))</f>
        <v/>
      </c>
      <c r="E110" s="6"/>
      <c r="F110" s="6"/>
      <c r="G110" s="6"/>
      <c r="H110" s="30" t="str">
        <f aca="false">IF((F110+G110)&gt;0,G110/(F110+G110),"")</f>
        <v/>
      </c>
      <c r="I110" s="14" t="n">
        <f aca="false">IF(C110="",0,IFERROR(VLOOKUP(C110,'Recetas y precios'!$A$5:$T$54,20,FALSE()),0))</f>
        <v>0</v>
      </c>
      <c r="J110" s="14" t="n">
        <f aca="false">G110*I110</f>
        <v>0</v>
      </c>
      <c r="K110" s="20"/>
      <c r="L110" s="6"/>
    </row>
    <row r="111" customFormat="false" ht="15" hidden="false" customHeight="false" outlineLevel="0" collapsed="false">
      <c r="A111" s="33"/>
      <c r="B111" s="6"/>
      <c r="C111" s="6"/>
      <c r="D111" s="0" t="str">
        <f aca="false">IF(C111="","",IFERROR(VLOOKUP(C111,'Recetas y precios'!$A$5:$B$54,2,FALSE()),""))</f>
        <v/>
      </c>
      <c r="E111" s="6"/>
      <c r="F111" s="6"/>
      <c r="G111" s="6"/>
      <c r="H111" s="30" t="str">
        <f aca="false">IF((F111+G111)&gt;0,G111/(F111+G111),"")</f>
        <v/>
      </c>
      <c r="I111" s="14" t="n">
        <f aca="false">IF(C111="",0,IFERROR(VLOOKUP(C111,'Recetas y precios'!$A$5:$T$54,20,FALSE()),0))</f>
        <v>0</v>
      </c>
      <c r="J111" s="14" t="n">
        <f aca="false">G111*I111</f>
        <v>0</v>
      </c>
      <c r="K111" s="20"/>
      <c r="L111" s="6"/>
    </row>
    <row r="112" customFormat="false" ht="15" hidden="false" customHeight="false" outlineLevel="0" collapsed="false">
      <c r="A112" s="33"/>
      <c r="B112" s="6"/>
      <c r="C112" s="6"/>
      <c r="D112" s="0" t="str">
        <f aca="false">IF(C112="","",IFERROR(VLOOKUP(C112,'Recetas y precios'!$A$5:$B$54,2,FALSE()),""))</f>
        <v/>
      </c>
      <c r="E112" s="6"/>
      <c r="F112" s="6"/>
      <c r="G112" s="6"/>
      <c r="H112" s="30" t="str">
        <f aca="false">IF((F112+G112)&gt;0,G112/(F112+G112),"")</f>
        <v/>
      </c>
      <c r="I112" s="14" t="n">
        <f aca="false">IF(C112="",0,IFERROR(VLOOKUP(C112,'Recetas y precios'!$A$5:$T$54,20,FALSE()),0))</f>
        <v>0</v>
      </c>
      <c r="J112" s="14" t="n">
        <f aca="false">G112*I112</f>
        <v>0</v>
      </c>
      <c r="K112" s="20"/>
      <c r="L112" s="6"/>
    </row>
    <row r="113" customFormat="false" ht="15" hidden="false" customHeight="false" outlineLevel="0" collapsed="false">
      <c r="A113" s="33"/>
      <c r="B113" s="6"/>
      <c r="C113" s="6"/>
      <c r="D113" s="0" t="str">
        <f aca="false">IF(C113="","",IFERROR(VLOOKUP(C113,'Recetas y precios'!$A$5:$B$54,2,FALSE()),""))</f>
        <v/>
      </c>
      <c r="E113" s="6"/>
      <c r="F113" s="6"/>
      <c r="G113" s="6"/>
      <c r="H113" s="30" t="str">
        <f aca="false">IF((F113+G113)&gt;0,G113/(F113+G113),"")</f>
        <v/>
      </c>
      <c r="I113" s="14" t="n">
        <f aca="false">IF(C113="",0,IFERROR(VLOOKUP(C113,'Recetas y precios'!$A$5:$T$54,20,FALSE()),0))</f>
        <v>0</v>
      </c>
      <c r="J113" s="14" t="n">
        <f aca="false">G113*I113</f>
        <v>0</v>
      </c>
      <c r="K113" s="20"/>
      <c r="L113" s="6"/>
    </row>
    <row r="114" customFormat="false" ht="15" hidden="false" customHeight="false" outlineLevel="0" collapsed="false">
      <c r="A114" s="33"/>
      <c r="B114" s="6"/>
      <c r="C114" s="6"/>
      <c r="D114" s="0" t="str">
        <f aca="false">IF(C114="","",IFERROR(VLOOKUP(C114,'Recetas y precios'!$A$5:$B$54,2,FALSE()),""))</f>
        <v/>
      </c>
      <c r="E114" s="6"/>
      <c r="F114" s="6"/>
      <c r="G114" s="6"/>
      <c r="H114" s="30" t="str">
        <f aca="false">IF((F114+G114)&gt;0,G114/(F114+G114),"")</f>
        <v/>
      </c>
      <c r="I114" s="14" t="n">
        <f aca="false">IF(C114="",0,IFERROR(VLOOKUP(C114,'Recetas y precios'!$A$5:$T$54,20,FALSE()),0))</f>
        <v>0</v>
      </c>
      <c r="J114" s="14" t="n">
        <f aca="false">G114*I114</f>
        <v>0</v>
      </c>
      <c r="K114" s="20"/>
      <c r="L114" s="6"/>
    </row>
    <row r="115" customFormat="false" ht="15" hidden="false" customHeight="false" outlineLevel="0" collapsed="false">
      <c r="A115" s="33"/>
      <c r="B115" s="6"/>
      <c r="C115" s="6"/>
      <c r="D115" s="0" t="str">
        <f aca="false">IF(C115="","",IFERROR(VLOOKUP(C115,'Recetas y precios'!$A$5:$B$54,2,FALSE()),""))</f>
        <v/>
      </c>
      <c r="E115" s="6"/>
      <c r="F115" s="6"/>
      <c r="G115" s="6"/>
      <c r="H115" s="30" t="str">
        <f aca="false">IF((F115+G115)&gt;0,G115/(F115+G115),"")</f>
        <v/>
      </c>
      <c r="I115" s="14" t="n">
        <f aca="false">IF(C115="",0,IFERROR(VLOOKUP(C115,'Recetas y precios'!$A$5:$T$54,20,FALSE()),0))</f>
        <v>0</v>
      </c>
      <c r="J115" s="14" t="n">
        <f aca="false">G115*I115</f>
        <v>0</v>
      </c>
      <c r="K115" s="20"/>
      <c r="L115" s="6"/>
    </row>
    <row r="116" customFormat="false" ht="15" hidden="false" customHeight="false" outlineLevel="0" collapsed="false">
      <c r="A116" s="33"/>
      <c r="B116" s="6"/>
      <c r="C116" s="6"/>
      <c r="D116" s="0" t="str">
        <f aca="false">IF(C116="","",IFERROR(VLOOKUP(C116,'Recetas y precios'!$A$5:$B$54,2,FALSE()),""))</f>
        <v/>
      </c>
      <c r="E116" s="6"/>
      <c r="F116" s="6"/>
      <c r="G116" s="6"/>
      <c r="H116" s="30" t="str">
        <f aca="false">IF((F116+G116)&gt;0,G116/(F116+G116),"")</f>
        <v/>
      </c>
      <c r="I116" s="14" t="n">
        <f aca="false">IF(C116="",0,IFERROR(VLOOKUP(C116,'Recetas y precios'!$A$5:$T$54,20,FALSE()),0))</f>
        <v>0</v>
      </c>
      <c r="J116" s="14" t="n">
        <f aca="false">G116*I116</f>
        <v>0</v>
      </c>
      <c r="K116" s="20"/>
      <c r="L116" s="6"/>
    </row>
    <row r="117" customFormat="false" ht="15" hidden="false" customHeight="false" outlineLevel="0" collapsed="false">
      <c r="A117" s="33"/>
      <c r="B117" s="6"/>
      <c r="C117" s="6"/>
      <c r="D117" s="0" t="str">
        <f aca="false">IF(C117="","",IFERROR(VLOOKUP(C117,'Recetas y precios'!$A$5:$B$54,2,FALSE()),""))</f>
        <v/>
      </c>
      <c r="E117" s="6"/>
      <c r="F117" s="6"/>
      <c r="G117" s="6"/>
      <c r="H117" s="30" t="str">
        <f aca="false">IF((F117+G117)&gt;0,G117/(F117+G117),"")</f>
        <v/>
      </c>
      <c r="I117" s="14" t="n">
        <f aca="false">IF(C117="",0,IFERROR(VLOOKUP(C117,'Recetas y precios'!$A$5:$T$54,20,FALSE()),0))</f>
        <v>0</v>
      </c>
      <c r="J117" s="14" t="n">
        <f aca="false">G117*I117</f>
        <v>0</v>
      </c>
      <c r="K117" s="20"/>
      <c r="L117" s="6"/>
    </row>
    <row r="118" customFormat="false" ht="15" hidden="false" customHeight="false" outlineLevel="0" collapsed="false">
      <c r="A118" s="33"/>
      <c r="B118" s="6"/>
      <c r="C118" s="6"/>
      <c r="D118" s="0" t="str">
        <f aca="false">IF(C118="","",IFERROR(VLOOKUP(C118,'Recetas y precios'!$A$5:$B$54,2,FALSE()),""))</f>
        <v/>
      </c>
      <c r="E118" s="6"/>
      <c r="F118" s="6"/>
      <c r="G118" s="6"/>
      <c r="H118" s="30" t="str">
        <f aca="false">IF((F118+G118)&gt;0,G118/(F118+G118),"")</f>
        <v/>
      </c>
      <c r="I118" s="14" t="n">
        <f aca="false">IF(C118="",0,IFERROR(VLOOKUP(C118,'Recetas y precios'!$A$5:$T$54,20,FALSE()),0))</f>
        <v>0</v>
      </c>
      <c r="J118" s="14" t="n">
        <f aca="false">G118*I118</f>
        <v>0</v>
      </c>
      <c r="K118" s="20"/>
      <c r="L118" s="6"/>
    </row>
    <row r="119" customFormat="false" ht="15" hidden="false" customHeight="false" outlineLevel="0" collapsed="false">
      <c r="A119" s="33"/>
      <c r="B119" s="6"/>
      <c r="C119" s="6"/>
      <c r="D119" s="0" t="str">
        <f aca="false">IF(C119="","",IFERROR(VLOOKUP(C119,'Recetas y precios'!$A$5:$B$54,2,FALSE()),""))</f>
        <v/>
      </c>
      <c r="E119" s="6"/>
      <c r="F119" s="6"/>
      <c r="G119" s="6"/>
      <c r="H119" s="30" t="str">
        <f aca="false">IF((F119+G119)&gt;0,G119/(F119+G119),"")</f>
        <v/>
      </c>
      <c r="I119" s="14" t="n">
        <f aca="false">IF(C119="",0,IFERROR(VLOOKUP(C119,'Recetas y precios'!$A$5:$T$54,20,FALSE()),0))</f>
        <v>0</v>
      </c>
      <c r="J119" s="14" t="n">
        <f aca="false">G119*I119</f>
        <v>0</v>
      </c>
      <c r="K119" s="20"/>
      <c r="L119" s="6"/>
    </row>
    <row r="120" customFormat="false" ht="15" hidden="false" customHeight="false" outlineLevel="0" collapsed="false">
      <c r="A120" s="33"/>
      <c r="B120" s="6"/>
      <c r="C120" s="6"/>
      <c r="D120" s="0" t="str">
        <f aca="false">IF(C120="","",IFERROR(VLOOKUP(C120,'Recetas y precios'!$A$5:$B$54,2,FALSE()),""))</f>
        <v/>
      </c>
      <c r="E120" s="6"/>
      <c r="F120" s="6"/>
      <c r="G120" s="6"/>
      <c r="H120" s="30" t="str">
        <f aca="false">IF((F120+G120)&gt;0,G120/(F120+G120),"")</f>
        <v/>
      </c>
      <c r="I120" s="14" t="n">
        <f aca="false">IF(C120="",0,IFERROR(VLOOKUP(C120,'Recetas y precios'!$A$5:$T$54,20,FALSE()),0))</f>
        <v>0</v>
      </c>
      <c r="J120" s="14" t="n">
        <f aca="false">G120*I120</f>
        <v>0</v>
      </c>
      <c r="K120" s="20"/>
      <c r="L120" s="6"/>
    </row>
    <row r="121" customFormat="false" ht="15" hidden="false" customHeight="false" outlineLevel="0" collapsed="false">
      <c r="A121" s="33"/>
      <c r="B121" s="6"/>
      <c r="C121" s="6"/>
      <c r="D121" s="0" t="str">
        <f aca="false">IF(C121="","",IFERROR(VLOOKUP(C121,'Recetas y precios'!$A$5:$B$54,2,FALSE()),""))</f>
        <v/>
      </c>
      <c r="E121" s="6"/>
      <c r="F121" s="6"/>
      <c r="G121" s="6"/>
      <c r="H121" s="30" t="str">
        <f aca="false">IF((F121+G121)&gt;0,G121/(F121+G121),"")</f>
        <v/>
      </c>
      <c r="I121" s="14" t="n">
        <f aca="false">IF(C121="",0,IFERROR(VLOOKUP(C121,'Recetas y precios'!$A$5:$T$54,20,FALSE()),0))</f>
        <v>0</v>
      </c>
      <c r="J121" s="14" t="n">
        <f aca="false">G121*I121</f>
        <v>0</v>
      </c>
      <c r="K121" s="20"/>
      <c r="L121" s="6"/>
    </row>
    <row r="122" customFormat="false" ht="15" hidden="false" customHeight="false" outlineLevel="0" collapsed="false">
      <c r="A122" s="33"/>
      <c r="B122" s="6"/>
      <c r="C122" s="6"/>
      <c r="D122" s="0" t="str">
        <f aca="false">IF(C122="","",IFERROR(VLOOKUP(C122,'Recetas y precios'!$A$5:$B$54,2,FALSE()),""))</f>
        <v/>
      </c>
      <c r="E122" s="6"/>
      <c r="F122" s="6"/>
      <c r="G122" s="6"/>
      <c r="H122" s="30" t="str">
        <f aca="false">IF((F122+G122)&gt;0,G122/(F122+G122),"")</f>
        <v/>
      </c>
      <c r="I122" s="14" t="n">
        <f aca="false">IF(C122="",0,IFERROR(VLOOKUP(C122,'Recetas y precios'!$A$5:$T$54,20,FALSE()),0))</f>
        <v>0</v>
      </c>
      <c r="J122" s="14" t="n">
        <f aca="false">G122*I122</f>
        <v>0</v>
      </c>
      <c r="K122" s="20"/>
      <c r="L122" s="6"/>
    </row>
    <row r="123" customFormat="false" ht="15" hidden="false" customHeight="false" outlineLevel="0" collapsed="false">
      <c r="A123" s="33"/>
      <c r="B123" s="6"/>
      <c r="C123" s="6"/>
      <c r="D123" s="0" t="str">
        <f aca="false">IF(C123="","",IFERROR(VLOOKUP(C123,'Recetas y precios'!$A$5:$B$54,2,FALSE()),""))</f>
        <v/>
      </c>
      <c r="E123" s="6"/>
      <c r="F123" s="6"/>
      <c r="G123" s="6"/>
      <c r="H123" s="30" t="str">
        <f aca="false">IF((F123+G123)&gt;0,G123/(F123+G123),"")</f>
        <v/>
      </c>
      <c r="I123" s="14" t="n">
        <f aca="false">IF(C123="",0,IFERROR(VLOOKUP(C123,'Recetas y precios'!$A$5:$T$54,20,FALSE()),0))</f>
        <v>0</v>
      </c>
      <c r="J123" s="14" t="n">
        <f aca="false">G123*I123</f>
        <v>0</v>
      </c>
      <c r="K123" s="20"/>
      <c r="L123" s="6"/>
    </row>
    <row r="124" customFormat="false" ht="15" hidden="false" customHeight="false" outlineLevel="0" collapsed="false">
      <c r="A124" s="33"/>
      <c r="B124" s="6"/>
      <c r="C124" s="6"/>
      <c r="D124" s="0" t="str">
        <f aca="false">IF(C124="","",IFERROR(VLOOKUP(C124,'Recetas y precios'!$A$5:$B$54,2,FALSE()),""))</f>
        <v/>
      </c>
      <c r="E124" s="6"/>
      <c r="F124" s="6"/>
      <c r="G124" s="6"/>
      <c r="H124" s="30" t="str">
        <f aca="false">IF((F124+G124)&gt;0,G124/(F124+G124),"")</f>
        <v/>
      </c>
      <c r="I124" s="14" t="n">
        <f aca="false">IF(C124="",0,IFERROR(VLOOKUP(C124,'Recetas y precios'!$A$5:$T$54,20,FALSE()),0))</f>
        <v>0</v>
      </c>
      <c r="J124" s="14" t="n">
        <f aca="false">G124*I124</f>
        <v>0</v>
      </c>
      <c r="K124" s="20"/>
      <c r="L124" s="6"/>
    </row>
    <row r="125" customFormat="false" ht="15" hidden="false" customHeight="false" outlineLevel="0" collapsed="false">
      <c r="A125" s="33"/>
      <c r="B125" s="6"/>
      <c r="C125" s="6"/>
      <c r="D125" s="0" t="str">
        <f aca="false">IF(C125="","",IFERROR(VLOOKUP(C125,'Recetas y precios'!$A$5:$B$54,2,FALSE()),""))</f>
        <v/>
      </c>
      <c r="E125" s="6"/>
      <c r="F125" s="6"/>
      <c r="G125" s="6"/>
      <c r="H125" s="30" t="str">
        <f aca="false">IF((F125+G125)&gt;0,G125/(F125+G125),"")</f>
        <v/>
      </c>
      <c r="I125" s="14" t="n">
        <f aca="false">IF(C125="",0,IFERROR(VLOOKUP(C125,'Recetas y precios'!$A$5:$T$54,20,FALSE()),0))</f>
        <v>0</v>
      </c>
      <c r="J125" s="14" t="n">
        <f aca="false">G125*I125</f>
        <v>0</v>
      </c>
      <c r="K125" s="20"/>
      <c r="L125" s="6"/>
    </row>
    <row r="126" customFormat="false" ht="15" hidden="false" customHeight="false" outlineLevel="0" collapsed="false">
      <c r="A126" s="33"/>
      <c r="B126" s="6"/>
      <c r="C126" s="6"/>
      <c r="D126" s="0" t="str">
        <f aca="false">IF(C126="","",IFERROR(VLOOKUP(C126,'Recetas y precios'!$A$5:$B$54,2,FALSE()),""))</f>
        <v/>
      </c>
      <c r="E126" s="6"/>
      <c r="F126" s="6"/>
      <c r="G126" s="6"/>
      <c r="H126" s="30" t="str">
        <f aca="false">IF((F126+G126)&gt;0,G126/(F126+G126),"")</f>
        <v/>
      </c>
      <c r="I126" s="14" t="n">
        <f aca="false">IF(C126="",0,IFERROR(VLOOKUP(C126,'Recetas y precios'!$A$5:$T$54,20,FALSE()),0))</f>
        <v>0</v>
      </c>
      <c r="J126" s="14" t="n">
        <f aca="false">G126*I126</f>
        <v>0</v>
      </c>
      <c r="K126" s="20"/>
      <c r="L126" s="6"/>
    </row>
    <row r="127" customFormat="false" ht="15" hidden="false" customHeight="false" outlineLevel="0" collapsed="false">
      <c r="A127" s="33"/>
      <c r="B127" s="6"/>
      <c r="C127" s="6"/>
      <c r="D127" s="0" t="str">
        <f aca="false">IF(C127="","",IFERROR(VLOOKUP(C127,'Recetas y precios'!$A$5:$B$54,2,FALSE()),""))</f>
        <v/>
      </c>
      <c r="E127" s="6"/>
      <c r="F127" s="6"/>
      <c r="G127" s="6"/>
      <c r="H127" s="30" t="str">
        <f aca="false">IF((F127+G127)&gt;0,G127/(F127+G127),"")</f>
        <v/>
      </c>
      <c r="I127" s="14" t="n">
        <f aca="false">IF(C127="",0,IFERROR(VLOOKUP(C127,'Recetas y precios'!$A$5:$T$54,20,FALSE()),0))</f>
        <v>0</v>
      </c>
      <c r="J127" s="14" t="n">
        <f aca="false">G127*I127</f>
        <v>0</v>
      </c>
      <c r="K127" s="20"/>
      <c r="L127" s="6"/>
    </row>
    <row r="128" customFormat="false" ht="15" hidden="false" customHeight="false" outlineLevel="0" collapsed="false">
      <c r="A128" s="33"/>
      <c r="B128" s="6"/>
      <c r="C128" s="6"/>
      <c r="D128" s="0" t="str">
        <f aca="false">IF(C128="","",IFERROR(VLOOKUP(C128,'Recetas y precios'!$A$5:$B$54,2,FALSE()),""))</f>
        <v/>
      </c>
      <c r="E128" s="6"/>
      <c r="F128" s="6"/>
      <c r="G128" s="6"/>
      <c r="H128" s="30" t="str">
        <f aca="false">IF((F128+G128)&gt;0,G128/(F128+G128),"")</f>
        <v/>
      </c>
      <c r="I128" s="14" t="n">
        <f aca="false">IF(C128="",0,IFERROR(VLOOKUP(C128,'Recetas y precios'!$A$5:$T$54,20,FALSE()),0))</f>
        <v>0</v>
      </c>
      <c r="J128" s="14" t="n">
        <f aca="false">G128*I128</f>
        <v>0</v>
      </c>
      <c r="K128" s="20"/>
      <c r="L128" s="6"/>
    </row>
    <row r="129" customFormat="false" ht="15" hidden="false" customHeight="false" outlineLevel="0" collapsed="false">
      <c r="A129" s="33"/>
      <c r="B129" s="6"/>
      <c r="C129" s="6"/>
      <c r="D129" s="0" t="str">
        <f aca="false">IF(C129="","",IFERROR(VLOOKUP(C129,'Recetas y precios'!$A$5:$B$54,2,FALSE()),""))</f>
        <v/>
      </c>
      <c r="E129" s="6"/>
      <c r="F129" s="6"/>
      <c r="G129" s="6"/>
      <c r="H129" s="30" t="str">
        <f aca="false">IF((F129+G129)&gt;0,G129/(F129+G129),"")</f>
        <v/>
      </c>
      <c r="I129" s="14" t="n">
        <f aca="false">IF(C129="",0,IFERROR(VLOOKUP(C129,'Recetas y precios'!$A$5:$T$54,20,FALSE()),0))</f>
        <v>0</v>
      </c>
      <c r="J129" s="14" t="n">
        <f aca="false">G129*I129</f>
        <v>0</v>
      </c>
      <c r="K129" s="20"/>
      <c r="L129" s="6"/>
    </row>
    <row r="130" customFormat="false" ht="15" hidden="false" customHeight="false" outlineLevel="0" collapsed="false">
      <c r="A130" s="33"/>
      <c r="B130" s="6"/>
      <c r="C130" s="6"/>
      <c r="D130" s="0" t="str">
        <f aca="false">IF(C130="","",IFERROR(VLOOKUP(C130,'Recetas y precios'!$A$5:$B$54,2,FALSE()),""))</f>
        <v/>
      </c>
      <c r="E130" s="6"/>
      <c r="F130" s="6"/>
      <c r="G130" s="6"/>
      <c r="H130" s="30" t="str">
        <f aca="false">IF((F130+G130)&gt;0,G130/(F130+G130),"")</f>
        <v/>
      </c>
      <c r="I130" s="14" t="n">
        <f aca="false">IF(C130="",0,IFERROR(VLOOKUP(C130,'Recetas y precios'!$A$5:$T$54,20,FALSE()),0))</f>
        <v>0</v>
      </c>
      <c r="J130" s="14" t="n">
        <f aca="false">G130*I130</f>
        <v>0</v>
      </c>
      <c r="K130" s="20"/>
      <c r="L130" s="6"/>
    </row>
    <row r="131" customFormat="false" ht="15" hidden="false" customHeight="false" outlineLevel="0" collapsed="false">
      <c r="A131" s="33"/>
      <c r="B131" s="6"/>
      <c r="C131" s="6"/>
      <c r="D131" s="0" t="str">
        <f aca="false">IF(C131="","",IFERROR(VLOOKUP(C131,'Recetas y precios'!$A$5:$B$54,2,FALSE()),""))</f>
        <v/>
      </c>
      <c r="E131" s="6"/>
      <c r="F131" s="6"/>
      <c r="G131" s="6"/>
      <c r="H131" s="30" t="str">
        <f aca="false">IF((F131+G131)&gt;0,G131/(F131+G131),"")</f>
        <v/>
      </c>
      <c r="I131" s="14" t="n">
        <f aca="false">IF(C131="",0,IFERROR(VLOOKUP(C131,'Recetas y precios'!$A$5:$T$54,20,FALSE()),0))</f>
        <v>0</v>
      </c>
      <c r="J131" s="14" t="n">
        <f aca="false">G131*I131</f>
        <v>0</v>
      </c>
      <c r="K131" s="20"/>
      <c r="L131" s="6"/>
    </row>
    <row r="132" customFormat="false" ht="15" hidden="false" customHeight="false" outlineLevel="0" collapsed="false">
      <c r="A132" s="33"/>
      <c r="B132" s="6"/>
      <c r="C132" s="6"/>
      <c r="D132" s="0" t="str">
        <f aca="false">IF(C132="","",IFERROR(VLOOKUP(C132,'Recetas y precios'!$A$5:$B$54,2,FALSE()),""))</f>
        <v/>
      </c>
      <c r="E132" s="6"/>
      <c r="F132" s="6"/>
      <c r="G132" s="6"/>
      <c r="H132" s="30" t="str">
        <f aca="false">IF((F132+G132)&gt;0,G132/(F132+G132),"")</f>
        <v/>
      </c>
      <c r="I132" s="14" t="n">
        <f aca="false">IF(C132="",0,IFERROR(VLOOKUP(C132,'Recetas y precios'!$A$5:$T$54,20,FALSE()),0))</f>
        <v>0</v>
      </c>
      <c r="J132" s="14" t="n">
        <f aca="false">G132*I132</f>
        <v>0</v>
      </c>
      <c r="K132" s="20"/>
      <c r="L132" s="6"/>
    </row>
    <row r="133" customFormat="false" ht="15" hidden="false" customHeight="false" outlineLevel="0" collapsed="false">
      <c r="A133" s="33"/>
      <c r="B133" s="6"/>
      <c r="C133" s="6"/>
      <c r="D133" s="0" t="str">
        <f aca="false">IF(C133="","",IFERROR(VLOOKUP(C133,'Recetas y precios'!$A$5:$B$54,2,FALSE()),""))</f>
        <v/>
      </c>
      <c r="E133" s="6"/>
      <c r="F133" s="6"/>
      <c r="G133" s="6"/>
      <c r="H133" s="30" t="str">
        <f aca="false">IF((F133+G133)&gt;0,G133/(F133+G133),"")</f>
        <v/>
      </c>
      <c r="I133" s="14" t="n">
        <f aca="false">IF(C133="",0,IFERROR(VLOOKUP(C133,'Recetas y precios'!$A$5:$T$54,20,FALSE()),0))</f>
        <v>0</v>
      </c>
      <c r="J133" s="14" t="n">
        <f aca="false">G133*I133</f>
        <v>0</v>
      </c>
      <c r="K133" s="20"/>
      <c r="L133" s="6"/>
    </row>
    <row r="134" customFormat="false" ht="15" hidden="false" customHeight="false" outlineLevel="0" collapsed="false">
      <c r="A134" s="33"/>
      <c r="B134" s="6"/>
      <c r="C134" s="6"/>
      <c r="D134" s="0" t="str">
        <f aca="false">IF(C134="","",IFERROR(VLOOKUP(C134,'Recetas y precios'!$A$5:$B$54,2,FALSE()),""))</f>
        <v/>
      </c>
      <c r="E134" s="6"/>
      <c r="F134" s="6"/>
      <c r="G134" s="6"/>
      <c r="H134" s="30" t="str">
        <f aca="false">IF((F134+G134)&gt;0,G134/(F134+G134),"")</f>
        <v/>
      </c>
      <c r="I134" s="14" t="n">
        <f aca="false">IF(C134="",0,IFERROR(VLOOKUP(C134,'Recetas y precios'!$A$5:$T$54,20,FALSE()),0))</f>
        <v>0</v>
      </c>
      <c r="J134" s="14" t="n">
        <f aca="false">G134*I134</f>
        <v>0</v>
      </c>
      <c r="K134" s="20"/>
      <c r="L134" s="6"/>
    </row>
    <row r="135" customFormat="false" ht="15" hidden="false" customHeight="false" outlineLevel="0" collapsed="false">
      <c r="A135" s="33"/>
      <c r="B135" s="6"/>
      <c r="C135" s="6"/>
      <c r="D135" s="0" t="str">
        <f aca="false">IF(C135="","",IFERROR(VLOOKUP(C135,'Recetas y precios'!$A$5:$B$54,2,FALSE()),""))</f>
        <v/>
      </c>
      <c r="E135" s="6"/>
      <c r="F135" s="6"/>
      <c r="G135" s="6"/>
      <c r="H135" s="30" t="str">
        <f aca="false">IF((F135+G135)&gt;0,G135/(F135+G135),"")</f>
        <v/>
      </c>
      <c r="I135" s="14" t="n">
        <f aca="false">IF(C135="",0,IFERROR(VLOOKUP(C135,'Recetas y precios'!$A$5:$T$54,20,FALSE()),0))</f>
        <v>0</v>
      </c>
      <c r="J135" s="14" t="n">
        <f aca="false">G135*I135</f>
        <v>0</v>
      </c>
      <c r="K135" s="20"/>
      <c r="L135" s="6"/>
    </row>
    <row r="136" customFormat="false" ht="15" hidden="false" customHeight="false" outlineLevel="0" collapsed="false">
      <c r="A136" s="33"/>
      <c r="B136" s="6"/>
      <c r="C136" s="6"/>
      <c r="D136" s="0" t="str">
        <f aca="false">IF(C136="","",IFERROR(VLOOKUP(C136,'Recetas y precios'!$A$5:$B$54,2,FALSE()),""))</f>
        <v/>
      </c>
      <c r="E136" s="6"/>
      <c r="F136" s="6"/>
      <c r="G136" s="6"/>
      <c r="H136" s="30" t="str">
        <f aca="false">IF((F136+G136)&gt;0,G136/(F136+G136),"")</f>
        <v/>
      </c>
      <c r="I136" s="14" t="n">
        <f aca="false">IF(C136="",0,IFERROR(VLOOKUP(C136,'Recetas y precios'!$A$5:$T$54,20,FALSE()),0))</f>
        <v>0</v>
      </c>
      <c r="J136" s="14" t="n">
        <f aca="false">G136*I136</f>
        <v>0</v>
      </c>
      <c r="K136" s="20"/>
      <c r="L136" s="6"/>
    </row>
    <row r="137" customFormat="false" ht="15" hidden="false" customHeight="false" outlineLevel="0" collapsed="false">
      <c r="A137" s="33"/>
      <c r="B137" s="6"/>
      <c r="C137" s="6"/>
      <c r="D137" s="0" t="str">
        <f aca="false">IF(C137="","",IFERROR(VLOOKUP(C137,'Recetas y precios'!$A$5:$B$54,2,FALSE()),""))</f>
        <v/>
      </c>
      <c r="E137" s="6"/>
      <c r="F137" s="6"/>
      <c r="G137" s="6"/>
      <c r="H137" s="30" t="str">
        <f aca="false">IF((F137+G137)&gt;0,G137/(F137+G137),"")</f>
        <v/>
      </c>
      <c r="I137" s="14" t="n">
        <f aca="false">IF(C137="",0,IFERROR(VLOOKUP(C137,'Recetas y precios'!$A$5:$T$54,20,FALSE()),0))</f>
        <v>0</v>
      </c>
      <c r="J137" s="14" t="n">
        <f aca="false">G137*I137</f>
        <v>0</v>
      </c>
      <c r="K137" s="20"/>
      <c r="L137" s="6"/>
    </row>
    <row r="138" customFormat="false" ht="15" hidden="false" customHeight="false" outlineLevel="0" collapsed="false">
      <c r="A138" s="33"/>
      <c r="B138" s="6"/>
      <c r="C138" s="6"/>
      <c r="D138" s="0" t="str">
        <f aca="false">IF(C138="","",IFERROR(VLOOKUP(C138,'Recetas y precios'!$A$5:$B$54,2,FALSE()),""))</f>
        <v/>
      </c>
      <c r="E138" s="6"/>
      <c r="F138" s="6"/>
      <c r="G138" s="6"/>
      <c r="H138" s="30" t="str">
        <f aca="false">IF((F138+G138)&gt;0,G138/(F138+G138),"")</f>
        <v/>
      </c>
      <c r="I138" s="14" t="n">
        <f aca="false">IF(C138="",0,IFERROR(VLOOKUP(C138,'Recetas y precios'!$A$5:$T$54,20,FALSE()),0))</f>
        <v>0</v>
      </c>
      <c r="J138" s="14" t="n">
        <f aca="false">G138*I138</f>
        <v>0</v>
      </c>
      <c r="K138" s="20"/>
      <c r="L138" s="6"/>
    </row>
    <row r="139" customFormat="false" ht="15" hidden="false" customHeight="false" outlineLevel="0" collapsed="false">
      <c r="A139" s="33"/>
      <c r="B139" s="6"/>
      <c r="C139" s="6"/>
      <c r="D139" s="0" t="str">
        <f aca="false">IF(C139="","",IFERROR(VLOOKUP(C139,'Recetas y precios'!$A$5:$B$54,2,FALSE()),""))</f>
        <v/>
      </c>
      <c r="E139" s="6"/>
      <c r="F139" s="6"/>
      <c r="G139" s="6"/>
      <c r="H139" s="30" t="str">
        <f aca="false">IF((F139+G139)&gt;0,G139/(F139+G139),"")</f>
        <v/>
      </c>
      <c r="I139" s="14" t="n">
        <f aca="false">IF(C139="",0,IFERROR(VLOOKUP(C139,'Recetas y precios'!$A$5:$T$54,20,FALSE()),0))</f>
        <v>0</v>
      </c>
      <c r="J139" s="14" t="n">
        <f aca="false">G139*I139</f>
        <v>0</v>
      </c>
      <c r="K139" s="20"/>
      <c r="L139" s="6"/>
    </row>
    <row r="140" customFormat="false" ht="15" hidden="false" customHeight="false" outlineLevel="0" collapsed="false">
      <c r="A140" s="33"/>
      <c r="B140" s="6"/>
      <c r="C140" s="6"/>
      <c r="D140" s="0" t="str">
        <f aca="false">IF(C140="","",IFERROR(VLOOKUP(C140,'Recetas y precios'!$A$5:$B$54,2,FALSE()),""))</f>
        <v/>
      </c>
      <c r="E140" s="6"/>
      <c r="F140" s="6"/>
      <c r="G140" s="6"/>
      <c r="H140" s="30" t="str">
        <f aca="false">IF((F140+G140)&gt;0,G140/(F140+G140),"")</f>
        <v/>
      </c>
      <c r="I140" s="14" t="n">
        <f aca="false">IF(C140="",0,IFERROR(VLOOKUP(C140,'Recetas y precios'!$A$5:$T$54,20,FALSE()),0))</f>
        <v>0</v>
      </c>
      <c r="J140" s="14" t="n">
        <f aca="false">G140*I140</f>
        <v>0</v>
      </c>
      <c r="K140" s="20"/>
      <c r="L140" s="6"/>
    </row>
    <row r="141" customFormat="false" ht="15" hidden="false" customHeight="false" outlineLevel="0" collapsed="false">
      <c r="A141" s="33"/>
      <c r="B141" s="6"/>
      <c r="C141" s="6"/>
      <c r="D141" s="0" t="str">
        <f aca="false">IF(C141="","",IFERROR(VLOOKUP(C141,'Recetas y precios'!$A$5:$B$54,2,FALSE()),""))</f>
        <v/>
      </c>
      <c r="E141" s="6"/>
      <c r="F141" s="6"/>
      <c r="G141" s="6"/>
      <c r="H141" s="30" t="str">
        <f aca="false">IF((F141+G141)&gt;0,G141/(F141+G141),"")</f>
        <v/>
      </c>
      <c r="I141" s="14" t="n">
        <f aca="false">IF(C141="",0,IFERROR(VLOOKUP(C141,'Recetas y precios'!$A$5:$T$54,20,FALSE()),0))</f>
        <v>0</v>
      </c>
      <c r="J141" s="14" t="n">
        <f aca="false">G141*I141</f>
        <v>0</v>
      </c>
      <c r="K141" s="20"/>
      <c r="L141" s="6"/>
    </row>
    <row r="142" customFormat="false" ht="15" hidden="false" customHeight="false" outlineLevel="0" collapsed="false">
      <c r="A142" s="33"/>
      <c r="B142" s="6"/>
      <c r="C142" s="6"/>
      <c r="D142" s="0" t="str">
        <f aca="false">IF(C142="","",IFERROR(VLOOKUP(C142,'Recetas y precios'!$A$5:$B$54,2,FALSE()),""))</f>
        <v/>
      </c>
      <c r="E142" s="6"/>
      <c r="F142" s="6"/>
      <c r="G142" s="6"/>
      <c r="H142" s="30" t="str">
        <f aca="false">IF((F142+G142)&gt;0,G142/(F142+G142),"")</f>
        <v/>
      </c>
      <c r="I142" s="14" t="n">
        <f aca="false">IF(C142="",0,IFERROR(VLOOKUP(C142,'Recetas y precios'!$A$5:$T$54,20,FALSE()),0))</f>
        <v>0</v>
      </c>
      <c r="J142" s="14" t="n">
        <f aca="false">G142*I142</f>
        <v>0</v>
      </c>
      <c r="K142" s="20"/>
      <c r="L142" s="6"/>
    </row>
    <row r="143" customFormat="false" ht="15" hidden="false" customHeight="false" outlineLevel="0" collapsed="false">
      <c r="A143" s="33"/>
      <c r="B143" s="6"/>
      <c r="C143" s="6"/>
      <c r="D143" s="0" t="str">
        <f aca="false">IF(C143="","",IFERROR(VLOOKUP(C143,'Recetas y precios'!$A$5:$B$54,2,FALSE()),""))</f>
        <v/>
      </c>
      <c r="E143" s="6"/>
      <c r="F143" s="6"/>
      <c r="G143" s="6"/>
      <c r="H143" s="30" t="str">
        <f aca="false">IF((F143+G143)&gt;0,G143/(F143+G143),"")</f>
        <v/>
      </c>
      <c r="I143" s="14" t="n">
        <f aca="false">IF(C143="",0,IFERROR(VLOOKUP(C143,'Recetas y precios'!$A$5:$T$54,20,FALSE()),0))</f>
        <v>0</v>
      </c>
      <c r="J143" s="14" t="n">
        <f aca="false">G143*I143</f>
        <v>0</v>
      </c>
      <c r="K143" s="20"/>
      <c r="L143" s="6"/>
    </row>
    <row r="144" customFormat="false" ht="15" hidden="false" customHeight="false" outlineLevel="0" collapsed="false">
      <c r="A144" s="33"/>
      <c r="B144" s="6"/>
      <c r="C144" s="6"/>
      <c r="D144" s="0" t="str">
        <f aca="false">IF(C144="","",IFERROR(VLOOKUP(C144,'Recetas y precios'!$A$5:$B$54,2,FALSE()),""))</f>
        <v/>
      </c>
      <c r="E144" s="6"/>
      <c r="F144" s="6"/>
      <c r="G144" s="6"/>
      <c r="H144" s="30" t="str">
        <f aca="false">IF((F144+G144)&gt;0,G144/(F144+G144),"")</f>
        <v/>
      </c>
      <c r="I144" s="14" t="n">
        <f aca="false">IF(C144="",0,IFERROR(VLOOKUP(C144,'Recetas y precios'!$A$5:$T$54,20,FALSE()),0))</f>
        <v>0</v>
      </c>
      <c r="J144" s="14" t="n">
        <f aca="false">G144*I144</f>
        <v>0</v>
      </c>
      <c r="K144" s="20"/>
      <c r="L144" s="6"/>
    </row>
    <row r="145" customFormat="false" ht="15" hidden="false" customHeight="false" outlineLevel="0" collapsed="false">
      <c r="A145" s="33"/>
      <c r="B145" s="6"/>
      <c r="C145" s="6"/>
      <c r="D145" s="0" t="str">
        <f aca="false">IF(C145="","",IFERROR(VLOOKUP(C145,'Recetas y precios'!$A$5:$B$54,2,FALSE()),""))</f>
        <v/>
      </c>
      <c r="E145" s="6"/>
      <c r="F145" s="6"/>
      <c r="G145" s="6"/>
      <c r="H145" s="30" t="str">
        <f aca="false">IF((F145+G145)&gt;0,G145/(F145+G145),"")</f>
        <v/>
      </c>
      <c r="I145" s="14" t="n">
        <f aca="false">IF(C145="",0,IFERROR(VLOOKUP(C145,'Recetas y precios'!$A$5:$T$54,20,FALSE()),0))</f>
        <v>0</v>
      </c>
      <c r="J145" s="14" t="n">
        <f aca="false">G145*I145</f>
        <v>0</v>
      </c>
      <c r="K145" s="20"/>
      <c r="L145" s="6"/>
    </row>
    <row r="146" customFormat="false" ht="15" hidden="false" customHeight="false" outlineLevel="0" collapsed="false">
      <c r="A146" s="33"/>
      <c r="B146" s="6"/>
      <c r="C146" s="6"/>
      <c r="D146" s="0" t="str">
        <f aca="false">IF(C146="","",IFERROR(VLOOKUP(C146,'Recetas y precios'!$A$5:$B$54,2,FALSE()),""))</f>
        <v/>
      </c>
      <c r="E146" s="6"/>
      <c r="F146" s="6"/>
      <c r="G146" s="6"/>
      <c r="H146" s="30" t="str">
        <f aca="false">IF((F146+G146)&gt;0,G146/(F146+G146),"")</f>
        <v/>
      </c>
      <c r="I146" s="14" t="n">
        <f aca="false">IF(C146="",0,IFERROR(VLOOKUP(C146,'Recetas y precios'!$A$5:$T$54,20,FALSE()),0))</f>
        <v>0</v>
      </c>
      <c r="J146" s="14" t="n">
        <f aca="false">G146*I146</f>
        <v>0</v>
      </c>
      <c r="K146" s="20"/>
      <c r="L146" s="6"/>
    </row>
    <row r="147" customFormat="false" ht="15" hidden="false" customHeight="false" outlineLevel="0" collapsed="false">
      <c r="A147" s="33"/>
      <c r="B147" s="6"/>
      <c r="C147" s="6"/>
      <c r="D147" s="0" t="str">
        <f aca="false">IF(C147="","",IFERROR(VLOOKUP(C147,'Recetas y precios'!$A$5:$B$54,2,FALSE()),""))</f>
        <v/>
      </c>
      <c r="E147" s="6"/>
      <c r="F147" s="6"/>
      <c r="G147" s="6"/>
      <c r="H147" s="30" t="str">
        <f aca="false">IF((F147+G147)&gt;0,G147/(F147+G147),"")</f>
        <v/>
      </c>
      <c r="I147" s="14" t="n">
        <f aca="false">IF(C147="",0,IFERROR(VLOOKUP(C147,'Recetas y precios'!$A$5:$T$54,20,FALSE()),0))</f>
        <v>0</v>
      </c>
      <c r="J147" s="14" t="n">
        <f aca="false">G147*I147</f>
        <v>0</v>
      </c>
      <c r="K147" s="20"/>
      <c r="L147" s="6"/>
    </row>
    <row r="148" customFormat="false" ht="15" hidden="false" customHeight="false" outlineLevel="0" collapsed="false">
      <c r="A148" s="33"/>
      <c r="B148" s="6"/>
      <c r="C148" s="6"/>
      <c r="D148" s="0" t="str">
        <f aca="false">IF(C148="","",IFERROR(VLOOKUP(C148,'Recetas y precios'!$A$5:$B$54,2,FALSE()),""))</f>
        <v/>
      </c>
      <c r="E148" s="6"/>
      <c r="F148" s="6"/>
      <c r="G148" s="6"/>
      <c r="H148" s="30" t="str">
        <f aca="false">IF((F148+G148)&gt;0,G148/(F148+G148),"")</f>
        <v/>
      </c>
      <c r="I148" s="14" t="n">
        <f aca="false">IF(C148="",0,IFERROR(VLOOKUP(C148,'Recetas y precios'!$A$5:$T$54,20,FALSE()),0))</f>
        <v>0</v>
      </c>
      <c r="J148" s="14" t="n">
        <f aca="false">G148*I148</f>
        <v>0</v>
      </c>
      <c r="K148" s="20"/>
      <c r="L148" s="6"/>
    </row>
    <row r="149" customFormat="false" ht="15" hidden="false" customHeight="false" outlineLevel="0" collapsed="false">
      <c r="A149" s="33"/>
      <c r="B149" s="6"/>
      <c r="C149" s="6"/>
      <c r="D149" s="0" t="str">
        <f aca="false">IF(C149="","",IFERROR(VLOOKUP(C149,'Recetas y precios'!$A$5:$B$54,2,FALSE()),""))</f>
        <v/>
      </c>
      <c r="E149" s="6"/>
      <c r="F149" s="6"/>
      <c r="G149" s="6"/>
      <c r="H149" s="30" t="str">
        <f aca="false">IF((F149+G149)&gt;0,G149/(F149+G149),"")</f>
        <v/>
      </c>
      <c r="I149" s="14" t="n">
        <f aca="false">IF(C149="",0,IFERROR(VLOOKUP(C149,'Recetas y precios'!$A$5:$T$54,20,FALSE()),0))</f>
        <v>0</v>
      </c>
      <c r="J149" s="14" t="n">
        <f aca="false">G149*I149</f>
        <v>0</v>
      </c>
      <c r="K149" s="20"/>
      <c r="L149" s="6"/>
    </row>
    <row r="150" customFormat="false" ht="15" hidden="false" customHeight="false" outlineLevel="0" collapsed="false">
      <c r="A150" s="33"/>
      <c r="B150" s="6"/>
      <c r="C150" s="6"/>
      <c r="D150" s="0" t="str">
        <f aca="false">IF(C150="","",IFERROR(VLOOKUP(C150,'Recetas y precios'!$A$5:$B$54,2,FALSE()),""))</f>
        <v/>
      </c>
      <c r="E150" s="6"/>
      <c r="F150" s="6"/>
      <c r="G150" s="6"/>
      <c r="H150" s="30" t="str">
        <f aca="false">IF((F150+G150)&gt;0,G150/(F150+G150),"")</f>
        <v/>
      </c>
      <c r="I150" s="14" t="n">
        <f aca="false">IF(C150="",0,IFERROR(VLOOKUP(C150,'Recetas y precios'!$A$5:$T$54,20,FALSE()),0))</f>
        <v>0</v>
      </c>
      <c r="J150" s="14" t="n">
        <f aca="false">G150*I150</f>
        <v>0</v>
      </c>
      <c r="K150" s="20"/>
      <c r="L150" s="6"/>
    </row>
    <row r="151" customFormat="false" ht="15" hidden="false" customHeight="false" outlineLevel="0" collapsed="false">
      <c r="A151" s="33"/>
      <c r="B151" s="6"/>
      <c r="C151" s="6"/>
      <c r="D151" s="0" t="str">
        <f aca="false">IF(C151="","",IFERROR(VLOOKUP(C151,'Recetas y precios'!$A$5:$B$54,2,FALSE()),""))</f>
        <v/>
      </c>
      <c r="E151" s="6"/>
      <c r="F151" s="6"/>
      <c r="G151" s="6"/>
      <c r="H151" s="30" t="str">
        <f aca="false">IF((F151+G151)&gt;0,G151/(F151+G151),"")</f>
        <v/>
      </c>
      <c r="I151" s="14" t="n">
        <f aca="false">IF(C151="",0,IFERROR(VLOOKUP(C151,'Recetas y precios'!$A$5:$T$54,20,FALSE()),0))</f>
        <v>0</v>
      </c>
      <c r="J151" s="14" t="n">
        <f aca="false">G151*I151</f>
        <v>0</v>
      </c>
      <c r="K151" s="20"/>
      <c r="L151" s="6"/>
    </row>
    <row r="152" customFormat="false" ht="15" hidden="false" customHeight="false" outlineLevel="0" collapsed="false">
      <c r="A152" s="33"/>
      <c r="B152" s="6"/>
      <c r="C152" s="6"/>
      <c r="D152" s="0" t="str">
        <f aca="false">IF(C152="","",IFERROR(VLOOKUP(C152,'Recetas y precios'!$A$5:$B$54,2,FALSE()),""))</f>
        <v/>
      </c>
      <c r="E152" s="6"/>
      <c r="F152" s="6"/>
      <c r="G152" s="6"/>
      <c r="H152" s="30" t="str">
        <f aca="false">IF((F152+G152)&gt;0,G152/(F152+G152),"")</f>
        <v/>
      </c>
      <c r="I152" s="14" t="n">
        <f aca="false">IF(C152="",0,IFERROR(VLOOKUP(C152,'Recetas y precios'!$A$5:$T$54,20,FALSE()),0))</f>
        <v>0</v>
      </c>
      <c r="J152" s="14" t="n">
        <f aca="false">G152*I152</f>
        <v>0</v>
      </c>
      <c r="K152" s="20"/>
      <c r="L152" s="6"/>
    </row>
    <row r="153" customFormat="false" ht="15" hidden="false" customHeight="false" outlineLevel="0" collapsed="false">
      <c r="A153" s="33"/>
      <c r="B153" s="6"/>
      <c r="C153" s="6"/>
      <c r="D153" s="0" t="str">
        <f aca="false">IF(C153="","",IFERROR(VLOOKUP(C153,'Recetas y precios'!$A$5:$B$54,2,FALSE()),""))</f>
        <v/>
      </c>
      <c r="E153" s="6"/>
      <c r="F153" s="6"/>
      <c r="G153" s="6"/>
      <c r="H153" s="30" t="str">
        <f aca="false">IF((F153+G153)&gt;0,G153/(F153+G153),"")</f>
        <v/>
      </c>
      <c r="I153" s="14" t="n">
        <f aca="false">IF(C153="",0,IFERROR(VLOOKUP(C153,'Recetas y precios'!$A$5:$T$54,20,FALSE()),0))</f>
        <v>0</v>
      </c>
      <c r="J153" s="14" t="n">
        <f aca="false">G153*I153</f>
        <v>0</v>
      </c>
      <c r="K153" s="20"/>
      <c r="L153" s="6"/>
    </row>
    <row r="154" customFormat="false" ht="15" hidden="false" customHeight="false" outlineLevel="0" collapsed="false">
      <c r="A154" s="33"/>
      <c r="B154" s="6"/>
      <c r="C154" s="6"/>
      <c r="D154" s="0" t="str">
        <f aca="false">IF(C154="","",IFERROR(VLOOKUP(C154,'Recetas y precios'!$A$5:$B$54,2,FALSE()),""))</f>
        <v/>
      </c>
      <c r="E154" s="6"/>
      <c r="F154" s="6"/>
      <c r="G154" s="6"/>
      <c r="H154" s="30" t="str">
        <f aca="false">IF((F154+G154)&gt;0,G154/(F154+G154),"")</f>
        <v/>
      </c>
      <c r="I154" s="14" t="n">
        <f aca="false">IF(C154="",0,IFERROR(VLOOKUP(C154,'Recetas y precios'!$A$5:$T$54,20,FALSE()),0))</f>
        <v>0</v>
      </c>
      <c r="J154" s="14" t="n">
        <f aca="false">G154*I154</f>
        <v>0</v>
      </c>
      <c r="K154" s="20"/>
      <c r="L154" s="6"/>
    </row>
    <row r="155" customFormat="false" ht="15" hidden="false" customHeight="false" outlineLevel="0" collapsed="false">
      <c r="A155" s="33"/>
      <c r="B155" s="6"/>
      <c r="C155" s="6"/>
      <c r="D155" s="0" t="str">
        <f aca="false">IF(C155="","",IFERROR(VLOOKUP(C155,'Recetas y precios'!$A$5:$B$54,2,FALSE()),""))</f>
        <v/>
      </c>
      <c r="E155" s="6"/>
      <c r="F155" s="6"/>
      <c r="G155" s="6"/>
      <c r="H155" s="30" t="str">
        <f aca="false">IF((F155+G155)&gt;0,G155/(F155+G155),"")</f>
        <v/>
      </c>
      <c r="I155" s="14" t="n">
        <f aca="false">IF(C155="",0,IFERROR(VLOOKUP(C155,'Recetas y precios'!$A$5:$T$54,20,FALSE()),0))</f>
        <v>0</v>
      </c>
      <c r="J155" s="14" t="n">
        <f aca="false">G155*I155</f>
        <v>0</v>
      </c>
      <c r="K155" s="20"/>
      <c r="L155" s="6"/>
    </row>
    <row r="156" customFormat="false" ht="15" hidden="false" customHeight="false" outlineLevel="0" collapsed="false">
      <c r="A156" s="33"/>
      <c r="B156" s="6"/>
      <c r="C156" s="6"/>
      <c r="D156" s="0" t="str">
        <f aca="false">IF(C156="","",IFERROR(VLOOKUP(C156,'Recetas y precios'!$A$5:$B$54,2,FALSE()),""))</f>
        <v/>
      </c>
      <c r="E156" s="6"/>
      <c r="F156" s="6"/>
      <c r="G156" s="6"/>
      <c r="H156" s="30" t="str">
        <f aca="false">IF((F156+G156)&gt;0,G156/(F156+G156),"")</f>
        <v/>
      </c>
      <c r="I156" s="14" t="n">
        <f aca="false">IF(C156="",0,IFERROR(VLOOKUP(C156,'Recetas y precios'!$A$5:$T$54,20,FALSE()),0))</f>
        <v>0</v>
      </c>
      <c r="J156" s="14" t="n">
        <f aca="false">G156*I156</f>
        <v>0</v>
      </c>
      <c r="K156" s="20"/>
      <c r="L156" s="6"/>
    </row>
    <row r="157" customFormat="false" ht="15" hidden="false" customHeight="false" outlineLevel="0" collapsed="false">
      <c r="A157" s="33"/>
      <c r="B157" s="6"/>
      <c r="C157" s="6"/>
      <c r="D157" s="0" t="str">
        <f aca="false">IF(C157="","",IFERROR(VLOOKUP(C157,'Recetas y precios'!$A$5:$B$54,2,FALSE()),""))</f>
        <v/>
      </c>
      <c r="E157" s="6"/>
      <c r="F157" s="6"/>
      <c r="G157" s="6"/>
      <c r="H157" s="30" t="str">
        <f aca="false">IF((F157+G157)&gt;0,G157/(F157+G157),"")</f>
        <v/>
      </c>
      <c r="I157" s="14" t="n">
        <f aca="false">IF(C157="",0,IFERROR(VLOOKUP(C157,'Recetas y precios'!$A$5:$T$54,20,FALSE()),0))</f>
        <v>0</v>
      </c>
      <c r="J157" s="14" t="n">
        <f aca="false">G157*I157</f>
        <v>0</v>
      </c>
      <c r="K157" s="20"/>
      <c r="L157" s="6"/>
    </row>
    <row r="158" customFormat="false" ht="15" hidden="false" customHeight="false" outlineLevel="0" collapsed="false">
      <c r="A158" s="33"/>
      <c r="B158" s="6"/>
      <c r="C158" s="6"/>
      <c r="D158" s="0" t="str">
        <f aca="false">IF(C158="","",IFERROR(VLOOKUP(C158,'Recetas y precios'!$A$5:$B$54,2,FALSE()),""))</f>
        <v/>
      </c>
      <c r="E158" s="6"/>
      <c r="F158" s="6"/>
      <c r="G158" s="6"/>
      <c r="H158" s="30" t="str">
        <f aca="false">IF((F158+G158)&gt;0,G158/(F158+G158),"")</f>
        <v/>
      </c>
      <c r="I158" s="14" t="n">
        <f aca="false">IF(C158="",0,IFERROR(VLOOKUP(C158,'Recetas y precios'!$A$5:$T$54,20,FALSE()),0))</f>
        <v>0</v>
      </c>
      <c r="J158" s="14" t="n">
        <f aca="false">G158*I158</f>
        <v>0</v>
      </c>
      <c r="K158" s="20"/>
      <c r="L158" s="6"/>
    </row>
    <row r="159" customFormat="false" ht="15" hidden="false" customHeight="false" outlineLevel="0" collapsed="false">
      <c r="A159" s="33"/>
      <c r="B159" s="6"/>
      <c r="C159" s="6"/>
      <c r="D159" s="0" t="str">
        <f aca="false">IF(C159="","",IFERROR(VLOOKUP(C159,'Recetas y precios'!$A$5:$B$54,2,FALSE()),""))</f>
        <v/>
      </c>
      <c r="E159" s="6"/>
      <c r="F159" s="6"/>
      <c r="G159" s="6"/>
      <c r="H159" s="30" t="str">
        <f aca="false">IF((F159+G159)&gt;0,G159/(F159+G159),"")</f>
        <v/>
      </c>
      <c r="I159" s="14" t="n">
        <f aca="false">IF(C159="",0,IFERROR(VLOOKUP(C159,'Recetas y precios'!$A$5:$T$54,20,FALSE()),0))</f>
        <v>0</v>
      </c>
      <c r="J159" s="14" t="n">
        <f aca="false">G159*I159</f>
        <v>0</v>
      </c>
      <c r="K159" s="20"/>
      <c r="L159" s="6"/>
    </row>
    <row r="160" customFormat="false" ht="15" hidden="false" customHeight="false" outlineLevel="0" collapsed="false">
      <c r="A160" s="33"/>
      <c r="B160" s="6"/>
      <c r="C160" s="6"/>
      <c r="D160" s="0" t="str">
        <f aca="false">IF(C160="","",IFERROR(VLOOKUP(C160,'Recetas y precios'!$A$5:$B$54,2,FALSE()),""))</f>
        <v/>
      </c>
      <c r="E160" s="6"/>
      <c r="F160" s="6"/>
      <c r="G160" s="6"/>
      <c r="H160" s="30" t="str">
        <f aca="false">IF((F160+G160)&gt;0,G160/(F160+G160),"")</f>
        <v/>
      </c>
      <c r="I160" s="14" t="n">
        <f aca="false">IF(C160="",0,IFERROR(VLOOKUP(C160,'Recetas y precios'!$A$5:$T$54,20,FALSE()),0))</f>
        <v>0</v>
      </c>
      <c r="J160" s="14" t="n">
        <f aca="false">G160*I160</f>
        <v>0</v>
      </c>
      <c r="K160" s="20"/>
      <c r="L160" s="6"/>
    </row>
    <row r="161" customFormat="false" ht="15" hidden="false" customHeight="false" outlineLevel="0" collapsed="false">
      <c r="A161" s="33"/>
      <c r="B161" s="6"/>
      <c r="C161" s="6"/>
      <c r="D161" s="0" t="str">
        <f aca="false">IF(C161="","",IFERROR(VLOOKUP(C161,'Recetas y precios'!$A$5:$B$54,2,FALSE()),""))</f>
        <v/>
      </c>
      <c r="E161" s="6"/>
      <c r="F161" s="6"/>
      <c r="G161" s="6"/>
      <c r="H161" s="30" t="str">
        <f aca="false">IF((F161+G161)&gt;0,G161/(F161+G161),"")</f>
        <v/>
      </c>
      <c r="I161" s="14" t="n">
        <f aca="false">IF(C161="",0,IFERROR(VLOOKUP(C161,'Recetas y precios'!$A$5:$T$54,20,FALSE()),0))</f>
        <v>0</v>
      </c>
      <c r="J161" s="14" t="n">
        <f aca="false">G161*I161</f>
        <v>0</v>
      </c>
      <c r="K161" s="20"/>
      <c r="L161" s="6"/>
    </row>
    <row r="162" customFormat="false" ht="15" hidden="false" customHeight="false" outlineLevel="0" collapsed="false">
      <c r="A162" s="33"/>
      <c r="B162" s="6"/>
      <c r="C162" s="6"/>
      <c r="D162" s="0" t="str">
        <f aca="false">IF(C162="","",IFERROR(VLOOKUP(C162,'Recetas y precios'!$A$5:$B$54,2,FALSE()),""))</f>
        <v/>
      </c>
      <c r="E162" s="6"/>
      <c r="F162" s="6"/>
      <c r="G162" s="6"/>
      <c r="H162" s="30" t="str">
        <f aca="false">IF((F162+G162)&gt;0,G162/(F162+G162),"")</f>
        <v/>
      </c>
      <c r="I162" s="14" t="n">
        <f aca="false">IF(C162="",0,IFERROR(VLOOKUP(C162,'Recetas y precios'!$A$5:$T$54,20,FALSE()),0))</f>
        <v>0</v>
      </c>
      <c r="J162" s="14" t="n">
        <f aca="false">G162*I162</f>
        <v>0</v>
      </c>
      <c r="K162" s="20"/>
      <c r="L162" s="6"/>
    </row>
    <row r="163" customFormat="false" ht="15" hidden="false" customHeight="false" outlineLevel="0" collapsed="false">
      <c r="A163" s="33"/>
      <c r="B163" s="6"/>
      <c r="C163" s="6"/>
      <c r="D163" s="0" t="str">
        <f aca="false">IF(C163="","",IFERROR(VLOOKUP(C163,'Recetas y precios'!$A$5:$B$54,2,FALSE()),""))</f>
        <v/>
      </c>
      <c r="E163" s="6"/>
      <c r="F163" s="6"/>
      <c r="G163" s="6"/>
      <c r="H163" s="30" t="str">
        <f aca="false">IF((F163+G163)&gt;0,G163/(F163+G163),"")</f>
        <v/>
      </c>
      <c r="I163" s="14" t="n">
        <f aca="false">IF(C163="",0,IFERROR(VLOOKUP(C163,'Recetas y precios'!$A$5:$T$54,20,FALSE()),0))</f>
        <v>0</v>
      </c>
      <c r="J163" s="14" t="n">
        <f aca="false">G163*I163</f>
        <v>0</v>
      </c>
      <c r="K163" s="20"/>
      <c r="L163" s="6"/>
    </row>
    <row r="164" customFormat="false" ht="15" hidden="false" customHeight="false" outlineLevel="0" collapsed="false">
      <c r="A164" s="33"/>
      <c r="B164" s="6"/>
      <c r="C164" s="6"/>
      <c r="D164" s="0" t="str">
        <f aca="false">IF(C164="","",IFERROR(VLOOKUP(C164,'Recetas y precios'!$A$5:$B$54,2,FALSE()),""))</f>
        <v/>
      </c>
      <c r="E164" s="6"/>
      <c r="F164" s="6"/>
      <c r="G164" s="6"/>
      <c r="H164" s="30" t="str">
        <f aca="false">IF((F164+G164)&gt;0,G164/(F164+G164),"")</f>
        <v/>
      </c>
      <c r="I164" s="14" t="n">
        <f aca="false">IF(C164="",0,IFERROR(VLOOKUP(C164,'Recetas y precios'!$A$5:$T$54,20,FALSE()),0))</f>
        <v>0</v>
      </c>
      <c r="J164" s="14" t="n">
        <f aca="false">G164*I164</f>
        <v>0</v>
      </c>
      <c r="K164" s="20"/>
      <c r="L164" s="6"/>
    </row>
    <row r="165" customFormat="false" ht="15" hidden="false" customHeight="false" outlineLevel="0" collapsed="false">
      <c r="A165" s="33"/>
      <c r="B165" s="6"/>
      <c r="C165" s="6"/>
      <c r="D165" s="0" t="str">
        <f aca="false">IF(C165="","",IFERROR(VLOOKUP(C165,'Recetas y precios'!$A$5:$B$54,2,FALSE()),""))</f>
        <v/>
      </c>
      <c r="E165" s="6"/>
      <c r="F165" s="6"/>
      <c r="G165" s="6"/>
      <c r="H165" s="30" t="str">
        <f aca="false">IF((F165+G165)&gt;0,G165/(F165+G165),"")</f>
        <v/>
      </c>
      <c r="I165" s="14" t="n">
        <f aca="false">IF(C165="",0,IFERROR(VLOOKUP(C165,'Recetas y precios'!$A$5:$T$54,20,FALSE()),0))</f>
        <v>0</v>
      </c>
      <c r="J165" s="14" t="n">
        <f aca="false">G165*I165</f>
        <v>0</v>
      </c>
      <c r="K165" s="20"/>
      <c r="L165" s="6"/>
    </row>
    <row r="166" customFormat="false" ht="15" hidden="false" customHeight="false" outlineLevel="0" collapsed="false">
      <c r="A166" s="33"/>
      <c r="B166" s="6"/>
      <c r="C166" s="6"/>
      <c r="D166" s="0" t="str">
        <f aca="false">IF(C166="","",IFERROR(VLOOKUP(C166,'Recetas y precios'!$A$5:$B$54,2,FALSE()),""))</f>
        <v/>
      </c>
      <c r="E166" s="6"/>
      <c r="F166" s="6"/>
      <c r="G166" s="6"/>
      <c r="H166" s="30" t="str">
        <f aca="false">IF((F166+G166)&gt;0,G166/(F166+G166),"")</f>
        <v/>
      </c>
      <c r="I166" s="14" t="n">
        <f aca="false">IF(C166="",0,IFERROR(VLOOKUP(C166,'Recetas y precios'!$A$5:$T$54,20,FALSE()),0))</f>
        <v>0</v>
      </c>
      <c r="J166" s="14" t="n">
        <f aca="false">G166*I166</f>
        <v>0</v>
      </c>
      <c r="K166" s="20"/>
      <c r="L166" s="6"/>
    </row>
    <row r="167" customFormat="false" ht="15" hidden="false" customHeight="false" outlineLevel="0" collapsed="false">
      <c r="A167" s="33"/>
      <c r="B167" s="6"/>
      <c r="C167" s="6"/>
      <c r="D167" s="0" t="str">
        <f aca="false">IF(C167="","",IFERROR(VLOOKUP(C167,'Recetas y precios'!$A$5:$B$54,2,FALSE()),""))</f>
        <v/>
      </c>
      <c r="E167" s="6"/>
      <c r="F167" s="6"/>
      <c r="G167" s="6"/>
      <c r="H167" s="30" t="str">
        <f aca="false">IF((F167+G167)&gt;0,G167/(F167+G167),"")</f>
        <v/>
      </c>
      <c r="I167" s="14" t="n">
        <f aca="false">IF(C167="",0,IFERROR(VLOOKUP(C167,'Recetas y precios'!$A$5:$T$54,20,FALSE()),0))</f>
        <v>0</v>
      </c>
      <c r="J167" s="14" t="n">
        <f aca="false">G167*I167</f>
        <v>0</v>
      </c>
      <c r="K167" s="20"/>
      <c r="L167" s="6"/>
    </row>
    <row r="168" customFormat="false" ht="15" hidden="false" customHeight="false" outlineLevel="0" collapsed="false">
      <c r="A168" s="33"/>
      <c r="B168" s="6"/>
      <c r="C168" s="6"/>
      <c r="D168" s="0" t="str">
        <f aca="false">IF(C168="","",IFERROR(VLOOKUP(C168,'Recetas y precios'!$A$5:$B$54,2,FALSE()),""))</f>
        <v/>
      </c>
      <c r="E168" s="6"/>
      <c r="F168" s="6"/>
      <c r="G168" s="6"/>
      <c r="H168" s="30" t="str">
        <f aca="false">IF((F168+G168)&gt;0,G168/(F168+G168),"")</f>
        <v/>
      </c>
      <c r="I168" s="14" t="n">
        <f aca="false">IF(C168="",0,IFERROR(VLOOKUP(C168,'Recetas y precios'!$A$5:$T$54,20,FALSE()),0))</f>
        <v>0</v>
      </c>
      <c r="J168" s="14" t="n">
        <f aca="false">G168*I168</f>
        <v>0</v>
      </c>
      <c r="K168" s="20"/>
      <c r="L168" s="6"/>
    </row>
    <row r="169" customFormat="false" ht="15" hidden="false" customHeight="false" outlineLevel="0" collapsed="false">
      <c r="A169" s="33"/>
      <c r="B169" s="6"/>
      <c r="C169" s="6"/>
      <c r="D169" s="0" t="str">
        <f aca="false">IF(C169="","",IFERROR(VLOOKUP(C169,'Recetas y precios'!$A$5:$B$54,2,FALSE()),""))</f>
        <v/>
      </c>
      <c r="E169" s="6"/>
      <c r="F169" s="6"/>
      <c r="G169" s="6"/>
      <c r="H169" s="30" t="str">
        <f aca="false">IF((F169+G169)&gt;0,G169/(F169+G169),"")</f>
        <v/>
      </c>
      <c r="I169" s="14" t="n">
        <f aca="false">IF(C169="",0,IFERROR(VLOOKUP(C169,'Recetas y precios'!$A$5:$T$54,20,FALSE()),0))</f>
        <v>0</v>
      </c>
      <c r="J169" s="14" t="n">
        <f aca="false">G169*I169</f>
        <v>0</v>
      </c>
      <c r="K169" s="20"/>
      <c r="L169" s="6"/>
    </row>
    <row r="170" customFormat="false" ht="15" hidden="false" customHeight="false" outlineLevel="0" collapsed="false">
      <c r="A170" s="33"/>
      <c r="B170" s="6"/>
      <c r="C170" s="6"/>
      <c r="D170" s="0" t="str">
        <f aca="false">IF(C170="","",IFERROR(VLOOKUP(C170,'Recetas y precios'!$A$5:$B$54,2,FALSE()),""))</f>
        <v/>
      </c>
      <c r="E170" s="6"/>
      <c r="F170" s="6"/>
      <c r="G170" s="6"/>
      <c r="H170" s="30" t="str">
        <f aca="false">IF((F170+G170)&gt;0,G170/(F170+G170),"")</f>
        <v/>
      </c>
      <c r="I170" s="14" t="n">
        <f aca="false">IF(C170="",0,IFERROR(VLOOKUP(C170,'Recetas y precios'!$A$5:$T$54,20,FALSE()),0))</f>
        <v>0</v>
      </c>
      <c r="J170" s="14" t="n">
        <f aca="false">G170*I170</f>
        <v>0</v>
      </c>
      <c r="K170" s="20"/>
      <c r="L170" s="6"/>
    </row>
    <row r="171" customFormat="false" ht="15" hidden="false" customHeight="false" outlineLevel="0" collapsed="false">
      <c r="A171" s="33"/>
      <c r="B171" s="6"/>
      <c r="C171" s="6"/>
      <c r="D171" s="0" t="str">
        <f aca="false">IF(C171="","",IFERROR(VLOOKUP(C171,'Recetas y precios'!$A$5:$B$54,2,FALSE()),""))</f>
        <v/>
      </c>
      <c r="E171" s="6"/>
      <c r="F171" s="6"/>
      <c r="G171" s="6"/>
      <c r="H171" s="30" t="str">
        <f aca="false">IF((F171+G171)&gt;0,G171/(F171+G171),"")</f>
        <v/>
      </c>
      <c r="I171" s="14" t="n">
        <f aca="false">IF(C171="",0,IFERROR(VLOOKUP(C171,'Recetas y precios'!$A$5:$T$54,20,FALSE()),0))</f>
        <v>0</v>
      </c>
      <c r="J171" s="14" t="n">
        <f aca="false">G171*I171</f>
        <v>0</v>
      </c>
      <c r="K171" s="20"/>
      <c r="L171" s="6"/>
    </row>
    <row r="172" customFormat="false" ht="15" hidden="false" customHeight="false" outlineLevel="0" collapsed="false">
      <c r="A172" s="33"/>
      <c r="B172" s="6"/>
      <c r="C172" s="6"/>
      <c r="D172" s="0" t="str">
        <f aca="false">IF(C172="","",IFERROR(VLOOKUP(C172,'Recetas y precios'!$A$5:$B$54,2,FALSE()),""))</f>
        <v/>
      </c>
      <c r="E172" s="6"/>
      <c r="F172" s="6"/>
      <c r="G172" s="6"/>
      <c r="H172" s="30" t="str">
        <f aca="false">IF((F172+G172)&gt;0,G172/(F172+G172),"")</f>
        <v/>
      </c>
      <c r="I172" s="14" t="n">
        <f aca="false">IF(C172="",0,IFERROR(VLOOKUP(C172,'Recetas y precios'!$A$5:$T$54,20,FALSE()),0))</f>
        <v>0</v>
      </c>
      <c r="J172" s="14" t="n">
        <f aca="false">G172*I172</f>
        <v>0</v>
      </c>
      <c r="K172" s="20"/>
      <c r="L172" s="6"/>
    </row>
    <row r="173" customFormat="false" ht="15" hidden="false" customHeight="false" outlineLevel="0" collapsed="false">
      <c r="A173" s="33"/>
      <c r="B173" s="6"/>
      <c r="C173" s="6"/>
      <c r="D173" s="0" t="str">
        <f aca="false">IF(C173="","",IFERROR(VLOOKUP(C173,'Recetas y precios'!$A$5:$B$54,2,FALSE()),""))</f>
        <v/>
      </c>
      <c r="E173" s="6"/>
      <c r="F173" s="6"/>
      <c r="G173" s="6"/>
      <c r="H173" s="30" t="str">
        <f aca="false">IF((F173+G173)&gt;0,G173/(F173+G173),"")</f>
        <v/>
      </c>
      <c r="I173" s="14" t="n">
        <f aca="false">IF(C173="",0,IFERROR(VLOOKUP(C173,'Recetas y precios'!$A$5:$T$54,20,FALSE()),0))</f>
        <v>0</v>
      </c>
      <c r="J173" s="14" t="n">
        <f aca="false">G173*I173</f>
        <v>0</v>
      </c>
      <c r="K173" s="20"/>
      <c r="L173" s="6"/>
    </row>
    <row r="174" customFormat="false" ht="15" hidden="false" customHeight="false" outlineLevel="0" collapsed="false">
      <c r="A174" s="33"/>
      <c r="B174" s="6"/>
      <c r="C174" s="6"/>
      <c r="D174" s="0" t="str">
        <f aca="false">IF(C174="","",IFERROR(VLOOKUP(C174,'Recetas y precios'!$A$5:$B$54,2,FALSE()),""))</f>
        <v/>
      </c>
      <c r="E174" s="6"/>
      <c r="F174" s="6"/>
      <c r="G174" s="6"/>
      <c r="H174" s="30" t="str">
        <f aca="false">IF((F174+G174)&gt;0,G174/(F174+G174),"")</f>
        <v/>
      </c>
      <c r="I174" s="14" t="n">
        <f aca="false">IF(C174="",0,IFERROR(VLOOKUP(C174,'Recetas y precios'!$A$5:$T$54,20,FALSE()),0))</f>
        <v>0</v>
      </c>
      <c r="J174" s="14" t="n">
        <f aca="false">G174*I174</f>
        <v>0</v>
      </c>
      <c r="K174" s="20"/>
      <c r="L174" s="6"/>
    </row>
    <row r="175" customFormat="false" ht="15" hidden="false" customHeight="false" outlineLevel="0" collapsed="false">
      <c r="A175" s="33"/>
      <c r="B175" s="6"/>
      <c r="C175" s="6"/>
      <c r="D175" s="0" t="str">
        <f aca="false">IF(C175="","",IFERROR(VLOOKUP(C175,'Recetas y precios'!$A$5:$B$54,2,FALSE()),""))</f>
        <v/>
      </c>
      <c r="E175" s="6"/>
      <c r="F175" s="6"/>
      <c r="G175" s="6"/>
      <c r="H175" s="30" t="str">
        <f aca="false">IF((F175+G175)&gt;0,G175/(F175+G175),"")</f>
        <v/>
      </c>
      <c r="I175" s="14" t="n">
        <f aca="false">IF(C175="",0,IFERROR(VLOOKUP(C175,'Recetas y precios'!$A$5:$T$54,20,FALSE()),0))</f>
        <v>0</v>
      </c>
      <c r="J175" s="14" t="n">
        <f aca="false">G175*I175</f>
        <v>0</v>
      </c>
      <c r="K175" s="20"/>
      <c r="L175" s="6"/>
    </row>
    <row r="176" customFormat="false" ht="15" hidden="false" customHeight="false" outlineLevel="0" collapsed="false">
      <c r="A176" s="33"/>
      <c r="B176" s="6"/>
      <c r="C176" s="6"/>
      <c r="D176" s="0" t="str">
        <f aca="false">IF(C176="","",IFERROR(VLOOKUP(C176,'Recetas y precios'!$A$5:$B$54,2,FALSE()),""))</f>
        <v/>
      </c>
      <c r="E176" s="6"/>
      <c r="F176" s="6"/>
      <c r="G176" s="6"/>
      <c r="H176" s="30" t="str">
        <f aca="false">IF((F176+G176)&gt;0,G176/(F176+G176),"")</f>
        <v/>
      </c>
      <c r="I176" s="14" t="n">
        <f aca="false">IF(C176="",0,IFERROR(VLOOKUP(C176,'Recetas y precios'!$A$5:$T$54,20,FALSE()),0))</f>
        <v>0</v>
      </c>
      <c r="J176" s="14" t="n">
        <f aca="false">G176*I176</f>
        <v>0</v>
      </c>
      <c r="K176" s="20"/>
      <c r="L176" s="6"/>
    </row>
    <row r="177" customFormat="false" ht="15" hidden="false" customHeight="false" outlineLevel="0" collapsed="false">
      <c r="A177" s="33"/>
      <c r="B177" s="6"/>
      <c r="C177" s="6"/>
      <c r="D177" s="0" t="str">
        <f aca="false">IF(C177="","",IFERROR(VLOOKUP(C177,'Recetas y precios'!$A$5:$B$54,2,FALSE()),""))</f>
        <v/>
      </c>
      <c r="E177" s="6"/>
      <c r="F177" s="6"/>
      <c r="G177" s="6"/>
      <c r="H177" s="30" t="str">
        <f aca="false">IF((F177+G177)&gt;0,G177/(F177+G177),"")</f>
        <v/>
      </c>
      <c r="I177" s="14" t="n">
        <f aca="false">IF(C177="",0,IFERROR(VLOOKUP(C177,'Recetas y precios'!$A$5:$T$54,20,FALSE()),0))</f>
        <v>0</v>
      </c>
      <c r="J177" s="14" t="n">
        <f aca="false">G177*I177</f>
        <v>0</v>
      </c>
      <c r="K177" s="20"/>
      <c r="L177" s="6"/>
    </row>
    <row r="178" customFormat="false" ht="15" hidden="false" customHeight="false" outlineLevel="0" collapsed="false">
      <c r="A178" s="33"/>
      <c r="B178" s="6"/>
      <c r="C178" s="6"/>
      <c r="D178" s="0" t="str">
        <f aca="false">IF(C178="","",IFERROR(VLOOKUP(C178,'Recetas y precios'!$A$5:$B$54,2,FALSE()),""))</f>
        <v/>
      </c>
      <c r="E178" s="6"/>
      <c r="F178" s="6"/>
      <c r="G178" s="6"/>
      <c r="H178" s="30" t="str">
        <f aca="false">IF((F178+G178)&gt;0,G178/(F178+G178),"")</f>
        <v/>
      </c>
      <c r="I178" s="14" t="n">
        <f aca="false">IF(C178="",0,IFERROR(VLOOKUP(C178,'Recetas y precios'!$A$5:$T$54,20,FALSE()),0))</f>
        <v>0</v>
      </c>
      <c r="J178" s="14" t="n">
        <f aca="false">G178*I178</f>
        <v>0</v>
      </c>
      <c r="K178" s="20"/>
      <c r="L178" s="6"/>
    </row>
    <row r="179" customFormat="false" ht="15" hidden="false" customHeight="false" outlineLevel="0" collapsed="false">
      <c r="A179" s="33"/>
      <c r="B179" s="6"/>
      <c r="C179" s="6"/>
      <c r="D179" s="0" t="str">
        <f aca="false">IF(C179="","",IFERROR(VLOOKUP(C179,'Recetas y precios'!$A$5:$B$54,2,FALSE()),""))</f>
        <v/>
      </c>
      <c r="E179" s="6"/>
      <c r="F179" s="6"/>
      <c r="G179" s="6"/>
      <c r="H179" s="30" t="str">
        <f aca="false">IF((F179+G179)&gt;0,G179/(F179+G179),"")</f>
        <v/>
      </c>
      <c r="I179" s="14" t="n">
        <f aca="false">IF(C179="",0,IFERROR(VLOOKUP(C179,'Recetas y precios'!$A$5:$T$54,20,FALSE()),0))</f>
        <v>0</v>
      </c>
      <c r="J179" s="14" t="n">
        <f aca="false">G179*I179</f>
        <v>0</v>
      </c>
      <c r="K179" s="20"/>
      <c r="L179" s="6"/>
    </row>
    <row r="180" customFormat="false" ht="15" hidden="false" customHeight="false" outlineLevel="0" collapsed="false">
      <c r="A180" s="33"/>
      <c r="B180" s="6"/>
      <c r="C180" s="6"/>
      <c r="D180" s="0" t="str">
        <f aca="false">IF(C180="","",IFERROR(VLOOKUP(C180,'Recetas y precios'!$A$5:$B$54,2,FALSE()),""))</f>
        <v/>
      </c>
      <c r="E180" s="6"/>
      <c r="F180" s="6"/>
      <c r="G180" s="6"/>
      <c r="H180" s="30" t="str">
        <f aca="false">IF((F180+G180)&gt;0,G180/(F180+G180),"")</f>
        <v/>
      </c>
      <c r="I180" s="14" t="n">
        <f aca="false">IF(C180="",0,IFERROR(VLOOKUP(C180,'Recetas y precios'!$A$5:$T$54,20,FALSE()),0))</f>
        <v>0</v>
      </c>
      <c r="J180" s="14" t="n">
        <f aca="false">G180*I180</f>
        <v>0</v>
      </c>
      <c r="K180" s="20"/>
      <c r="L180" s="6"/>
    </row>
    <row r="181" customFormat="false" ht="15" hidden="false" customHeight="false" outlineLevel="0" collapsed="false">
      <c r="A181" s="33"/>
      <c r="B181" s="6"/>
      <c r="C181" s="6"/>
      <c r="D181" s="0" t="str">
        <f aca="false">IF(C181="","",IFERROR(VLOOKUP(C181,'Recetas y precios'!$A$5:$B$54,2,FALSE()),""))</f>
        <v/>
      </c>
      <c r="E181" s="6"/>
      <c r="F181" s="6"/>
      <c r="G181" s="6"/>
      <c r="H181" s="30" t="str">
        <f aca="false">IF((F181+G181)&gt;0,G181/(F181+G181),"")</f>
        <v/>
      </c>
      <c r="I181" s="14" t="n">
        <f aca="false">IF(C181="",0,IFERROR(VLOOKUP(C181,'Recetas y precios'!$A$5:$T$54,20,FALSE()),0))</f>
        <v>0</v>
      </c>
      <c r="J181" s="14" t="n">
        <f aca="false">G181*I181</f>
        <v>0</v>
      </c>
      <c r="K181" s="20"/>
      <c r="L181" s="6"/>
    </row>
    <row r="182" customFormat="false" ht="15" hidden="false" customHeight="false" outlineLevel="0" collapsed="false">
      <c r="A182" s="33"/>
      <c r="B182" s="6"/>
      <c r="C182" s="6"/>
      <c r="D182" s="0" t="str">
        <f aca="false">IF(C182="","",IFERROR(VLOOKUP(C182,'Recetas y precios'!$A$5:$B$54,2,FALSE()),""))</f>
        <v/>
      </c>
      <c r="E182" s="6"/>
      <c r="F182" s="6"/>
      <c r="G182" s="6"/>
      <c r="H182" s="30" t="str">
        <f aca="false">IF((F182+G182)&gt;0,G182/(F182+G182),"")</f>
        <v/>
      </c>
      <c r="I182" s="14" t="n">
        <f aca="false">IF(C182="",0,IFERROR(VLOOKUP(C182,'Recetas y precios'!$A$5:$T$54,20,FALSE()),0))</f>
        <v>0</v>
      </c>
      <c r="J182" s="14" t="n">
        <f aca="false">G182*I182</f>
        <v>0</v>
      </c>
      <c r="K182" s="20"/>
      <c r="L182" s="6"/>
    </row>
    <row r="183" customFormat="false" ht="15" hidden="false" customHeight="false" outlineLevel="0" collapsed="false">
      <c r="A183" s="33"/>
      <c r="B183" s="6"/>
      <c r="C183" s="6"/>
      <c r="D183" s="0" t="str">
        <f aca="false">IF(C183="","",IFERROR(VLOOKUP(C183,'Recetas y precios'!$A$5:$B$54,2,FALSE()),""))</f>
        <v/>
      </c>
      <c r="E183" s="6"/>
      <c r="F183" s="6"/>
      <c r="G183" s="6"/>
      <c r="H183" s="30" t="str">
        <f aca="false">IF((F183+G183)&gt;0,G183/(F183+G183),"")</f>
        <v/>
      </c>
      <c r="I183" s="14" t="n">
        <f aca="false">IF(C183="",0,IFERROR(VLOOKUP(C183,'Recetas y precios'!$A$5:$T$54,20,FALSE()),0))</f>
        <v>0</v>
      </c>
      <c r="J183" s="14" t="n">
        <f aca="false">G183*I183</f>
        <v>0</v>
      </c>
      <c r="K183" s="20"/>
      <c r="L183" s="6"/>
    </row>
    <row r="184" customFormat="false" ht="15" hidden="false" customHeight="false" outlineLevel="0" collapsed="false">
      <c r="A184" s="33"/>
      <c r="B184" s="6"/>
      <c r="C184" s="6"/>
      <c r="D184" s="0" t="str">
        <f aca="false">IF(C184="","",IFERROR(VLOOKUP(C184,'Recetas y precios'!$A$5:$B$54,2,FALSE()),""))</f>
        <v/>
      </c>
      <c r="E184" s="6"/>
      <c r="F184" s="6"/>
      <c r="G184" s="6"/>
      <c r="H184" s="30" t="str">
        <f aca="false">IF((F184+G184)&gt;0,G184/(F184+G184),"")</f>
        <v/>
      </c>
      <c r="I184" s="14" t="n">
        <f aca="false">IF(C184="",0,IFERROR(VLOOKUP(C184,'Recetas y precios'!$A$5:$T$54,20,FALSE()),0))</f>
        <v>0</v>
      </c>
      <c r="J184" s="14" t="n">
        <f aca="false">G184*I184</f>
        <v>0</v>
      </c>
      <c r="K184" s="20"/>
      <c r="L184" s="6"/>
    </row>
    <row r="185" customFormat="false" ht="15" hidden="false" customHeight="false" outlineLevel="0" collapsed="false">
      <c r="A185" s="33"/>
      <c r="B185" s="6"/>
      <c r="C185" s="6"/>
      <c r="D185" s="0" t="str">
        <f aca="false">IF(C185="","",IFERROR(VLOOKUP(C185,'Recetas y precios'!$A$5:$B$54,2,FALSE()),""))</f>
        <v/>
      </c>
      <c r="E185" s="6"/>
      <c r="F185" s="6"/>
      <c r="G185" s="6"/>
      <c r="H185" s="30" t="str">
        <f aca="false">IF((F185+G185)&gt;0,G185/(F185+G185),"")</f>
        <v/>
      </c>
      <c r="I185" s="14" t="n">
        <f aca="false">IF(C185="",0,IFERROR(VLOOKUP(C185,'Recetas y precios'!$A$5:$T$54,20,FALSE()),0))</f>
        <v>0</v>
      </c>
      <c r="J185" s="14" t="n">
        <f aca="false">G185*I185</f>
        <v>0</v>
      </c>
      <c r="K185" s="20"/>
      <c r="L185" s="6"/>
    </row>
    <row r="186" customFormat="false" ht="15" hidden="false" customHeight="false" outlineLevel="0" collapsed="false">
      <c r="A186" s="33"/>
      <c r="B186" s="6"/>
      <c r="C186" s="6"/>
      <c r="D186" s="0" t="str">
        <f aca="false">IF(C186="","",IFERROR(VLOOKUP(C186,'Recetas y precios'!$A$5:$B$54,2,FALSE()),""))</f>
        <v/>
      </c>
      <c r="E186" s="6"/>
      <c r="F186" s="6"/>
      <c r="G186" s="6"/>
      <c r="H186" s="30" t="str">
        <f aca="false">IF((F186+G186)&gt;0,G186/(F186+G186),"")</f>
        <v/>
      </c>
      <c r="I186" s="14" t="n">
        <f aca="false">IF(C186="",0,IFERROR(VLOOKUP(C186,'Recetas y precios'!$A$5:$T$54,20,FALSE()),0))</f>
        <v>0</v>
      </c>
      <c r="J186" s="14" t="n">
        <f aca="false">G186*I186</f>
        <v>0</v>
      </c>
      <c r="K186" s="20"/>
      <c r="L186" s="6"/>
    </row>
    <row r="187" customFormat="false" ht="15" hidden="false" customHeight="false" outlineLevel="0" collapsed="false">
      <c r="A187" s="33"/>
      <c r="B187" s="6"/>
      <c r="C187" s="6"/>
      <c r="D187" s="0" t="str">
        <f aca="false">IF(C187="","",IFERROR(VLOOKUP(C187,'Recetas y precios'!$A$5:$B$54,2,FALSE()),""))</f>
        <v/>
      </c>
      <c r="E187" s="6"/>
      <c r="F187" s="6"/>
      <c r="G187" s="6"/>
      <c r="H187" s="30" t="str">
        <f aca="false">IF((F187+G187)&gt;0,G187/(F187+G187),"")</f>
        <v/>
      </c>
      <c r="I187" s="14" t="n">
        <f aca="false">IF(C187="",0,IFERROR(VLOOKUP(C187,'Recetas y precios'!$A$5:$T$54,20,FALSE()),0))</f>
        <v>0</v>
      </c>
      <c r="J187" s="14" t="n">
        <f aca="false">G187*I187</f>
        <v>0</v>
      </c>
      <c r="K187" s="20"/>
      <c r="L187" s="6"/>
    </row>
    <row r="188" customFormat="false" ht="15" hidden="false" customHeight="false" outlineLevel="0" collapsed="false">
      <c r="A188" s="33"/>
      <c r="B188" s="6"/>
      <c r="C188" s="6"/>
      <c r="D188" s="0" t="str">
        <f aca="false">IF(C188="","",IFERROR(VLOOKUP(C188,'Recetas y precios'!$A$5:$B$54,2,FALSE()),""))</f>
        <v/>
      </c>
      <c r="E188" s="6"/>
      <c r="F188" s="6"/>
      <c r="G188" s="6"/>
      <c r="H188" s="30" t="str">
        <f aca="false">IF((F188+G188)&gt;0,G188/(F188+G188),"")</f>
        <v/>
      </c>
      <c r="I188" s="14" t="n">
        <f aca="false">IF(C188="",0,IFERROR(VLOOKUP(C188,'Recetas y precios'!$A$5:$T$54,20,FALSE()),0))</f>
        <v>0</v>
      </c>
      <c r="J188" s="14" t="n">
        <f aca="false">G188*I188</f>
        <v>0</v>
      </c>
      <c r="K188" s="20"/>
      <c r="L188" s="6"/>
    </row>
    <row r="189" customFormat="false" ht="15" hidden="false" customHeight="false" outlineLevel="0" collapsed="false">
      <c r="A189" s="33"/>
      <c r="B189" s="6"/>
      <c r="C189" s="6"/>
      <c r="D189" s="0" t="str">
        <f aca="false">IF(C189="","",IFERROR(VLOOKUP(C189,'Recetas y precios'!$A$5:$B$54,2,FALSE()),""))</f>
        <v/>
      </c>
      <c r="E189" s="6"/>
      <c r="F189" s="6"/>
      <c r="G189" s="6"/>
      <c r="H189" s="30" t="str">
        <f aca="false">IF((F189+G189)&gt;0,G189/(F189+G189),"")</f>
        <v/>
      </c>
      <c r="I189" s="14" t="n">
        <f aca="false">IF(C189="",0,IFERROR(VLOOKUP(C189,'Recetas y precios'!$A$5:$T$54,20,FALSE()),0))</f>
        <v>0</v>
      </c>
      <c r="J189" s="14" t="n">
        <f aca="false">G189*I189</f>
        <v>0</v>
      </c>
      <c r="K189" s="20"/>
      <c r="L189" s="6"/>
    </row>
    <row r="190" customFormat="false" ht="15" hidden="false" customHeight="false" outlineLevel="0" collapsed="false">
      <c r="A190" s="33"/>
      <c r="B190" s="6"/>
      <c r="C190" s="6"/>
      <c r="D190" s="0" t="str">
        <f aca="false">IF(C190="","",IFERROR(VLOOKUP(C190,'Recetas y precios'!$A$5:$B$54,2,FALSE()),""))</f>
        <v/>
      </c>
      <c r="E190" s="6"/>
      <c r="F190" s="6"/>
      <c r="G190" s="6"/>
      <c r="H190" s="30" t="str">
        <f aca="false">IF((F190+G190)&gt;0,G190/(F190+G190),"")</f>
        <v/>
      </c>
      <c r="I190" s="14" t="n">
        <f aca="false">IF(C190="",0,IFERROR(VLOOKUP(C190,'Recetas y precios'!$A$5:$T$54,20,FALSE()),0))</f>
        <v>0</v>
      </c>
      <c r="J190" s="14" t="n">
        <f aca="false">G190*I190</f>
        <v>0</v>
      </c>
      <c r="K190" s="20"/>
      <c r="L190" s="6"/>
    </row>
    <row r="191" customFormat="false" ht="15" hidden="false" customHeight="false" outlineLevel="0" collapsed="false">
      <c r="A191" s="33"/>
      <c r="B191" s="6"/>
      <c r="C191" s="6"/>
      <c r="D191" s="0" t="str">
        <f aca="false">IF(C191="","",IFERROR(VLOOKUP(C191,'Recetas y precios'!$A$5:$B$54,2,FALSE()),""))</f>
        <v/>
      </c>
      <c r="E191" s="6"/>
      <c r="F191" s="6"/>
      <c r="G191" s="6"/>
      <c r="H191" s="30" t="str">
        <f aca="false">IF((F191+G191)&gt;0,G191/(F191+G191),"")</f>
        <v/>
      </c>
      <c r="I191" s="14" t="n">
        <f aca="false">IF(C191="",0,IFERROR(VLOOKUP(C191,'Recetas y precios'!$A$5:$T$54,20,FALSE()),0))</f>
        <v>0</v>
      </c>
      <c r="J191" s="14" t="n">
        <f aca="false">G191*I191</f>
        <v>0</v>
      </c>
      <c r="K191" s="20"/>
      <c r="L191" s="6"/>
    </row>
    <row r="192" customFormat="false" ht="15" hidden="false" customHeight="false" outlineLevel="0" collapsed="false">
      <c r="A192" s="33"/>
      <c r="B192" s="6"/>
      <c r="C192" s="6"/>
      <c r="D192" s="0" t="str">
        <f aca="false">IF(C192="","",IFERROR(VLOOKUP(C192,'Recetas y precios'!$A$5:$B$54,2,FALSE()),""))</f>
        <v/>
      </c>
      <c r="E192" s="6"/>
      <c r="F192" s="6"/>
      <c r="G192" s="6"/>
      <c r="H192" s="30" t="str">
        <f aca="false">IF((F192+G192)&gt;0,G192/(F192+G192),"")</f>
        <v/>
      </c>
      <c r="I192" s="14" t="n">
        <f aca="false">IF(C192="",0,IFERROR(VLOOKUP(C192,'Recetas y precios'!$A$5:$T$54,20,FALSE()),0))</f>
        <v>0</v>
      </c>
      <c r="J192" s="14" t="n">
        <f aca="false">G192*I192</f>
        <v>0</v>
      </c>
      <c r="K192" s="20"/>
      <c r="L192" s="6"/>
    </row>
    <row r="193" customFormat="false" ht="15" hidden="false" customHeight="false" outlineLevel="0" collapsed="false">
      <c r="A193" s="33"/>
      <c r="B193" s="6"/>
      <c r="C193" s="6"/>
      <c r="D193" s="0" t="str">
        <f aca="false">IF(C193="","",IFERROR(VLOOKUP(C193,'Recetas y precios'!$A$5:$B$54,2,FALSE()),""))</f>
        <v/>
      </c>
      <c r="E193" s="6"/>
      <c r="F193" s="6"/>
      <c r="G193" s="6"/>
      <c r="H193" s="30" t="str">
        <f aca="false">IF((F193+G193)&gt;0,G193/(F193+G193),"")</f>
        <v/>
      </c>
      <c r="I193" s="14" t="n">
        <f aca="false">IF(C193="",0,IFERROR(VLOOKUP(C193,'Recetas y precios'!$A$5:$T$54,20,FALSE()),0))</f>
        <v>0</v>
      </c>
      <c r="J193" s="14" t="n">
        <f aca="false">G193*I193</f>
        <v>0</v>
      </c>
      <c r="K193" s="20"/>
      <c r="L193" s="6"/>
    </row>
    <row r="194" customFormat="false" ht="15" hidden="false" customHeight="false" outlineLevel="0" collapsed="false">
      <c r="A194" s="33"/>
      <c r="B194" s="6"/>
      <c r="C194" s="6"/>
      <c r="D194" s="0" t="str">
        <f aca="false">IF(C194="","",IFERROR(VLOOKUP(C194,'Recetas y precios'!$A$5:$B$54,2,FALSE()),""))</f>
        <v/>
      </c>
      <c r="E194" s="6"/>
      <c r="F194" s="6"/>
      <c r="G194" s="6"/>
      <c r="H194" s="30" t="str">
        <f aca="false">IF((F194+G194)&gt;0,G194/(F194+G194),"")</f>
        <v/>
      </c>
      <c r="I194" s="14" t="n">
        <f aca="false">IF(C194="",0,IFERROR(VLOOKUP(C194,'Recetas y precios'!$A$5:$T$54,20,FALSE()),0))</f>
        <v>0</v>
      </c>
      <c r="J194" s="14" t="n">
        <f aca="false">G194*I194</f>
        <v>0</v>
      </c>
      <c r="K194" s="20"/>
      <c r="L194" s="6"/>
    </row>
    <row r="195" customFormat="false" ht="15" hidden="false" customHeight="false" outlineLevel="0" collapsed="false">
      <c r="A195" s="33"/>
      <c r="B195" s="6"/>
      <c r="C195" s="6"/>
      <c r="D195" s="0" t="str">
        <f aca="false">IF(C195="","",IFERROR(VLOOKUP(C195,'Recetas y precios'!$A$5:$B$54,2,FALSE()),""))</f>
        <v/>
      </c>
      <c r="E195" s="6"/>
      <c r="F195" s="6"/>
      <c r="G195" s="6"/>
      <c r="H195" s="30" t="str">
        <f aca="false">IF((F195+G195)&gt;0,G195/(F195+G195),"")</f>
        <v/>
      </c>
      <c r="I195" s="14" t="n">
        <f aca="false">IF(C195="",0,IFERROR(VLOOKUP(C195,'Recetas y precios'!$A$5:$T$54,20,FALSE()),0))</f>
        <v>0</v>
      </c>
      <c r="J195" s="14" t="n">
        <f aca="false">G195*I195</f>
        <v>0</v>
      </c>
      <c r="K195" s="20"/>
      <c r="L195" s="6"/>
    </row>
    <row r="196" customFormat="false" ht="15" hidden="false" customHeight="false" outlineLevel="0" collapsed="false">
      <c r="A196" s="33"/>
      <c r="B196" s="6"/>
      <c r="C196" s="6"/>
      <c r="D196" s="0" t="str">
        <f aca="false">IF(C196="","",IFERROR(VLOOKUP(C196,'Recetas y precios'!$A$5:$B$54,2,FALSE()),""))</f>
        <v/>
      </c>
      <c r="E196" s="6"/>
      <c r="F196" s="6"/>
      <c r="G196" s="6"/>
      <c r="H196" s="30" t="str">
        <f aca="false">IF((F196+G196)&gt;0,G196/(F196+G196),"")</f>
        <v/>
      </c>
      <c r="I196" s="14" t="n">
        <f aca="false">IF(C196="",0,IFERROR(VLOOKUP(C196,'Recetas y precios'!$A$5:$T$54,20,FALSE()),0))</f>
        <v>0</v>
      </c>
      <c r="J196" s="14" t="n">
        <f aca="false">G196*I196</f>
        <v>0</v>
      </c>
      <c r="K196" s="20"/>
      <c r="L196" s="6"/>
    </row>
    <row r="197" customFormat="false" ht="15" hidden="false" customHeight="false" outlineLevel="0" collapsed="false">
      <c r="A197" s="33"/>
      <c r="B197" s="6"/>
      <c r="C197" s="6"/>
      <c r="D197" s="0" t="str">
        <f aca="false">IF(C197="","",IFERROR(VLOOKUP(C197,'Recetas y precios'!$A$5:$B$54,2,FALSE()),""))</f>
        <v/>
      </c>
      <c r="E197" s="6"/>
      <c r="F197" s="6"/>
      <c r="G197" s="6"/>
      <c r="H197" s="30" t="str">
        <f aca="false">IF((F197+G197)&gt;0,G197/(F197+G197),"")</f>
        <v/>
      </c>
      <c r="I197" s="14" t="n">
        <f aca="false">IF(C197="",0,IFERROR(VLOOKUP(C197,'Recetas y precios'!$A$5:$T$54,20,FALSE()),0))</f>
        <v>0</v>
      </c>
      <c r="J197" s="14" t="n">
        <f aca="false">G197*I197</f>
        <v>0</v>
      </c>
      <c r="K197" s="20"/>
      <c r="L197" s="6"/>
    </row>
    <row r="198" customFormat="false" ht="15" hidden="false" customHeight="false" outlineLevel="0" collapsed="false">
      <c r="A198" s="33"/>
      <c r="B198" s="6"/>
      <c r="C198" s="6"/>
      <c r="D198" s="0" t="str">
        <f aca="false">IF(C198="","",IFERROR(VLOOKUP(C198,'Recetas y precios'!$A$5:$B$54,2,FALSE()),""))</f>
        <v/>
      </c>
      <c r="E198" s="6"/>
      <c r="F198" s="6"/>
      <c r="G198" s="6"/>
      <c r="H198" s="30" t="str">
        <f aca="false">IF((F198+G198)&gt;0,G198/(F198+G198),"")</f>
        <v/>
      </c>
      <c r="I198" s="14" t="n">
        <f aca="false">IF(C198="",0,IFERROR(VLOOKUP(C198,'Recetas y precios'!$A$5:$T$54,20,FALSE()),0))</f>
        <v>0</v>
      </c>
      <c r="J198" s="14" t="n">
        <f aca="false">G198*I198</f>
        <v>0</v>
      </c>
      <c r="K198" s="20"/>
      <c r="L198" s="6"/>
    </row>
    <row r="199" customFormat="false" ht="15" hidden="false" customHeight="false" outlineLevel="0" collapsed="false">
      <c r="A199" s="33"/>
      <c r="B199" s="6"/>
      <c r="C199" s="6"/>
      <c r="D199" s="0" t="str">
        <f aca="false">IF(C199="","",IFERROR(VLOOKUP(C199,'Recetas y precios'!$A$5:$B$54,2,FALSE()),""))</f>
        <v/>
      </c>
      <c r="E199" s="6"/>
      <c r="F199" s="6"/>
      <c r="G199" s="6"/>
      <c r="H199" s="30" t="str">
        <f aca="false">IF((F199+G199)&gt;0,G199/(F199+G199),"")</f>
        <v/>
      </c>
      <c r="I199" s="14" t="n">
        <f aca="false">IF(C199="",0,IFERROR(VLOOKUP(C199,'Recetas y precios'!$A$5:$T$54,20,FALSE()),0))</f>
        <v>0</v>
      </c>
      <c r="J199" s="14" t="n">
        <f aca="false">G199*I199</f>
        <v>0</v>
      </c>
      <c r="K199" s="20"/>
      <c r="L199" s="6"/>
    </row>
    <row r="200" customFormat="false" ht="15" hidden="false" customHeight="false" outlineLevel="0" collapsed="false">
      <c r="A200" s="33"/>
      <c r="B200" s="6"/>
      <c r="C200" s="6"/>
      <c r="D200" s="0" t="str">
        <f aca="false">IF(C200="","",IFERROR(VLOOKUP(C200,'Recetas y precios'!$A$5:$B$54,2,FALSE()),""))</f>
        <v/>
      </c>
      <c r="E200" s="6"/>
      <c r="F200" s="6"/>
      <c r="G200" s="6"/>
      <c r="H200" s="30" t="str">
        <f aca="false">IF((F200+G200)&gt;0,G200/(F200+G200),"")</f>
        <v/>
      </c>
      <c r="I200" s="14" t="n">
        <f aca="false">IF(C200="",0,IFERROR(VLOOKUP(C200,'Recetas y precios'!$A$5:$T$54,20,FALSE()),0))</f>
        <v>0</v>
      </c>
      <c r="J200" s="14" t="n">
        <f aca="false">G200*I200</f>
        <v>0</v>
      </c>
      <c r="K200" s="20"/>
      <c r="L200" s="6"/>
    </row>
    <row r="201" customFormat="false" ht="15" hidden="false" customHeight="false" outlineLevel="0" collapsed="false">
      <c r="A201" s="33"/>
      <c r="B201" s="6"/>
      <c r="C201" s="6"/>
      <c r="D201" s="0" t="str">
        <f aca="false">IF(C201="","",IFERROR(VLOOKUP(C201,'Recetas y precios'!$A$5:$B$54,2,FALSE()),""))</f>
        <v/>
      </c>
      <c r="E201" s="6"/>
      <c r="F201" s="6"/>
      <c r="G201" s="6"/>
      <c r="H201" s="30" t="str">
        <f aca="false">IF((F201+G201)&gt;0,G201/(F201+G201),"")</f>
        <v/>
      </c>
      <c r="I201" s="14" t="n">
        <f aca="false">IF(C201="",0,IFERROR(VLOOKUP(C201,'Recetas y precios'!$A$5:$T$54,20,FALSE()),0))</f>
        <v>0</v>
      </c>
      <c r="J201" s="14" t="n">
        <f aca="false">G201*I201</f>
        <v>0</v>
      </c>
      <c r="K201" s="20"/>
      <c r="L201" s="6"/>
    </row>
    <row r="202" customFormat="false" ht="15" hidden="false" customHeight="false" outlineLevel="0" collapsed="false">
      <c r="A202" s="33"/>
      <c r="B202" s="6"/>
      <c r="C202" s="6"/>
      <c r="D202" s="0" t="str">
        <f aca="false">IF(C202="","",IFERROR(VLOOKUP(C202,'Recetas y precios'!$A$5:$B$54,2,FALSE()),""))</f>
        <v/>
      </c>
      <c r="E202" s="6"/>
      <c r="F202" s="6"/>
      <c r="G202" s="6"/>
      <c r="H202" s="30" t="str">
        <f aca="false">IF((F202+G202)&gt;0,G202/(F202+G202),"")</f>
        <v/>
      </c>
      <c r="I202" s="14" t="n">
        <f aca="false">IF(C202="",0,IFERROR(VLOOKUP(C202,'Recetas y precios'!$A$5:$T$54,20,FALSE()),0))</f>
        <v>0</v>
      </c>
      <c r="J202" s="14" t="n">
        <f aca="false">G202*I202</f>
        <v>0</v>
      </c>
      <c r="K202" s="20"/>
      <c r="L202" s="6"/>
    </row>
    <row r="203" customFormat="false" ht="15" hidden="false" customHeight="false" outlineLevel="0" collapsed="false">
      <c r="A203" s="33"/>
      <c r="B203" s="6"/>
      <c r="C203" s="6"/>
      <c r="D203" s="0" t="str">
        <f aca="false">IF(C203="","",IFERROR(VLOOKUP(C203,'Recetas y precios'!$A$5:$B$54,2,FALSE()),""))</f>
        <v/>
      </c>
      <c r="E203" s="6"/>
      <c r="F203" s="6"/>
      <c r="G203" s="6"/>
      <c r="H203" s="30" t="str">
        <f aca="false">IF((F203+G203)&gt;0,G203/(F203+G203),"")</f>
        <v/>
      </c>
      <c r="I203" s="14" t="n">
        <f aca="false">IF(C203="",0,IFERROR(VLOOKUP(C203,'Recetas y precios'!$A$5:$T$54,20,FALSE()),0))</f>
        <v>0</v>
      </c>
      <c r="J203" s="14" t="n">
        <f aca="false">G203*I203</f>
        <v>0</v>
      </c>
      <c r="K203" s="20"/>
      <c r="L203" s="6"/>
    </row>
    <row r="204" customFormat="false" ht="15" hidden="false" customHeight="false" outlineLevel="0" collapsed="false">
      <c r="A204" s="33"/>
      <c r="B204" s="6"/>
      <c r="C204" s="6"/>
      <c r="D204" s="0" t="str">
        <f aca="false">IF(C204="","",IFERROR(VLOOKUP(C204,'Recetas y precios'!$A$5:$B$54,2,FALSE()),""))</f>
        <v/>
      </c>
      <c r="E204" s="6"/>
      <c r="F204" s="6"/>
      <c r="G204" s="6"/>
      <c r="H204" s="30" t="str">
        <f aca="false">IF((F204+G204)&gt;0,G204/(F204+G204),"")</f>
        <v/>
      </c>
      <c r="I204" s="14" t="n">
        <f aca="false">IF(C204="",0,IFERROR(VLOOKUP(C204,'Recetas y precios'!$A$5:$T$54,20,FALSE()),0))</f>
        <v>0</v>
      </c>
      <c r="J204" s="14" t="n">
        <f aca="false">G204*I204</f>
        <v>0</v>
      </c>
      <c r="K204" s="20"/>
      <c r="L204" s="6"/>
    </row>
    <row r="205" customFormat="false" ht="15" hidden="false" customHeight="false" outlineLevel="0" collapsed="false">
      <c r="A205" s="33"/>
      <c r="B205" s="6"/>
      <c r="C205" s="6"/>
      <c r="D205" s="0" t="str">
        <f aca="false">IF(C205="","",IFERROR(VLOOKUP(C205,'Recetas y precios'!$A$5:$B$54,2,FALSE()),""))</f>
        <v/>
      </c>
      <c r="E205" s="6"/>
      <c r="F205" s="6"/>
      <c r="G205" s="6"/>
      <c r="H205" s="30" t="str">
        <f aca="false">IF((F205+G205)&gt;0,G205/(F205+G205),"")</f>
        <v/>
      </c>
      <c r="I205" s="14" t="n">
        <f aca="false">IF(C205="",0,IFERROR(VLOOKUP(C205,'Recetas y precios'!$A$5:$T$54,20,FALSE()),0))</f>
        <v>0</v>
      </c>
      <c r="J205" s="14" t="n">
        <f aca="false">G205*I205</f>
        <v>0</v>
      </c>
      <c r="K205" s="20"/>
      <c r="L205" s="6"/>
    </row>
    <row r="206" customFormat="false" ht="15" hidden="false" customHeight="false" outlineLevel="0" collapsed="false">
      <c r="A206" s="33"/>
      <c r="B206" s="6"/>
      <c r="C206" s="6"/>
      <c r="D206" s="0" t="str">
        <f aca="false">IF(C206="","",IFERROR(VLOOKUP(C206,'Recetas y precios'!$A$5:$B$54,2,FALSE()),""))</f>
        <v/>
      </c>
      <c r="E206" s="6"/>
      <c r="F206" s="6"/>
      <c r="G206" s="6"/>
      <c r="H206" s="30" t="str">
        <f aca="false">IF((F206+G206)&gt;0,G206/(F206+G206),"")</f>
        <v/>
      </c>
      <c r="I206" s="14" t="n">
        <f aca="false">IF(C206="",0,IFERROR(VLOOKUP(C206,'Recetas y precios'!$A$5:$T$54,20,FALSE()),0))</f>
        <v>0</v>
      </c>
      <c r="J206" s="14" t="n">
        <f aca="false">G206*I206</f>
        <v>0</v>
      </c>
      <c r="K206" s="20"/>
      <c r="L206" s="6"/>
    </row>
    <row r="207" customFormat="false" ht="15" hidden="false" customHeight="false" outlineLevel="0" collapsed="false">
      <c r="A207" s="33"/>
      <c r="B207" s="6"/>
      <c r="C207" s="6"/>
      <c r="D207" s="0" t="str">
        <f aca="false">IF(C207="","",IFERROR(VLOOKUP(C207,'Recetas y precios'!$A$5:$B$54,2,FALSE()),""))</f>
        <v/>
      </c>
      <c r="E207" s="6"/>
      <c r="F207" s="6"/>
      <c r="G207" s="6"/>
      <c r="H207" s="30" t="str">
        <f aca="false">IF((F207+G207)&gt;0,G207/(F207+G207),"")</f>
        <v/>
      </c>
      <c r="I207" s="14" t="n">
        <f aca="false">IF(C207="",0,IFERROR(VLOOKUP(C207,'Recetas y precios'!$A$5:$T$54,20,FALSE()),0))</f>
        <v>0</v>
      </c>
      <c r="J207" s="14" t="n">
        <f aca="false">G207*I207</f>
        <v>0</v>
      </c>
      <c r="K207" s="20"/>
      <c r="L207" s="6"/>
    </row>
    <row r="208" customFormat="false" ht="15" hidden="false" customHeight="false" outlineLevel="0" collapsed="false">
      <c r="A208" s="33"/>
      <c r="B208" s="6"/>
      <c r="C208" s="6"/>
      <c r="D208" s="0" t="str">
        <f aca="false">IF(C208="","",IFERROR(VLOOKUP(C208,'Recetas y precios'!$A$5:$B$54,2,FALSE()),""))</f>
        <v/>
      </c>
      <c r="E208" s="6"/>
      <c r="F208" s="6"/>
      <c r="G208" s="6"/>
      <c r="H208" s="30" t="str">
        <f aca="false">IF((F208+G208)&gt;0,G208/(F208+G208),"")</f>
        <v/>
      </c>
      <c r="I208" s="14" t="n">
        <f aca="false">IF(C208="",0,IFERROR(VLOOKUP(C208,'Recetas y precios'!$A$5:$T$54,20,FALSE()),0))</f>
        <v>0</v>
      </c>
      <c r="J208" s="14" t="n">
        <f aca="false">G208*I208</f>
        <v>0</v>
      </c>
      <c r="K208" s="20"/>
      <c r="L208" s="6"/>
    </row>
    <row r="209" customFormat="false" ht="15" hidden="false" customHeight="false" outlineLevel="0" collapsed="false">
      <c r="A209" s="33"/>
      <c r="B209" s="6"/>
      <c r="C209" s="6"/>
      <c r="D209" s="0" t="str">
        <f aca="false">IF(C209="","",IFERROR(VLOOKUP(C209,'Recetas y precios'!$A$5:$B$54,2,FALSE()),""))</f>
        <v/>
      </c>
      <c r="E209" s="6"/>
      <c r="F209" s="6"/>
      <c r="G209" s="6"/>
      <c r="H209" s="30" t="str">
        <f aca="false">IF((F209+G209)&gt;0,G209/(F209+G209),"")</f>
        <v/>
      </c>
      <c r="I209" s="14" t="n">
        <f aca="false">IF(C209="",0,IFERROR(VLOOKUP(C209,'Recetas y precios'!$A$5:$T$54,20,FALSE()),0))</f>
        <v>0</v>
      </c>
      <c r="J209" s="14" t="n">
        <f aca="false">G209*I209</f>
        <v>0</v>
      </c>
      <c r="K209" s="20"/>
      <c r="L209" s="6"/>
    </row>
    <row r="210" customFormat="false" ht="15" hidden="false" customHeight="false" outlineLevel="0" collapsed="false">
      <c r="A210" s="33"/>
      <c r="B210" s="6"/>
      <c r="C210" s="6"/>
      <c r="D210" s="0" t="str">
        <f aca="false">IF(C210="","",IFERROR(VLOOKUP(C210,'Recetas y precios'!$A$5:$B$54,2,FALSE()),""))</f>
        <v/>
      </c>
      <c r="E210" s="6"/>
      <c r="F210" s="6"/>
      <c r="G210" s="6"/>
      <c r="H210" s="30" t="str">
        <f aca="false">IF((F210+G210)&gt;0,G210/(F210+G210),"")</f>
        <v/>
      </c>
      <c r="I210" s="14" t="n">
        <f aca="false">IF(C210="",0,IFERROR(VLOOKUP(C210,'Recetas y precios'!$A$5:$T$54,20,FALSE()),0))</f>
        <v>0</v>
      </c>
      <c r="J210" s="14" t="n">
        <f aca="false">G210*I210</f>
        <v>0</v>
      </c>
      <c r="K210" s="20"/>
      <c r="L210" s="6"/>
    </row>
    <row r="211" customFormat="false" ht="15" hidden="false" customHeight="false" outlineLevel="0" collapsed="false">
      <c r="A211" s="33"/>
      <c r="B211" s="6"/>
      <c r="C211" s="6"/>
      <c r="D211" s="0" t="str">
        <f aca="false">IF(C211="","",IFERROR(VLOOKUP(C211,'Recetas y precios'!$A$5:$B$54,2,FALSE()),""))</f>
        <v/>
      </c>
      <c r="E211" s="6"/>
      <c r="F211" s="6"/>
      <c r="G211" s="6"/>
      <c r="H211" s="30" t="str">
        <f aca="false">IF((F211+G211)&gt;0,G211/(F211+G211),"")</f>
        <v/>
      </c>
      <c r="I211" s="14" t="n">
        <f aca="false">IF(C211="",0,IFERROR(VLOOKUP(C211,'Recetas y precios'!$A$5:$T$54,20,FALSE()),0))</f>
        <v>0</v>
      </c>
      <c r="J211" s="14" t="n">
        <f aca="false">G211*I211</f>
        <v>0</v>
      </c>
      <c r="K211" s="20"/>
      <c r="L211" s="6"/>
    </row>
    <row r="212" customFormat="false" ht="15" hidden="false" customHeight="false" outlineLevel="0" collapsed="false">
      <c r="A212" s="33"/>
      <c r="B212" s="6"/>
      <c r="C212" s="6"/>
      <c r="D212" s="0" t="str">
        <f aca="false">IF(C212="","",IFERROR(VLOOKUP(C212,'Recetas y precios'!$A$5:$B$54,2,FALSE()),""))</f>
        <v/>
      </c>
      <c r="E212" s="6"/>
      <c r="F212" s="6"/>
      <c r="G212" s="6"/>
      <c r="H212" s="30" t="str">
        <f aca="false">IF((F212+G212)&gt;0,G212/(F212+G212),"")</f>
        <v/>
      </c>
      <c r="I212" s="14" t="n">
        <f aca="false">IF(C212="",0,IFERROR(VLOOKUP(C212,'Recetas y precios'!$A$5:$T$54,20,FALSE()),0))</f>
        <v>0</v>
      </c>
      <c r="J212" s="14" t="n">
        <f aca="false">G212*I212</f>
        <v>0</v>
      </c>
      <c r="K212" s="20"/>
      <c r="L212" s="6"/>
    </row>
    <row r="213" customFormat="false" ht="15" hidden="false" customHeight="false" outlineLevel="0" collapsed="false">
      <c r="A213" s="33"/>
      <c r="B213" s="6"/>
      <c r="C213" s="6"/>
      <c r="D213" s="0" t="str">
        <f aca="false">IF(C213="","",IFERROR(VLOOKUP(C213,'Recetas y precios'!$A$5:$B$54,2,FALSE()),""))</f>
        <v/>
      </c>
      <c r="E213" s="6"/>
      <c r="F213" s="6"/>
      <c r="G213" s="6"/>
      <c r="H213" s="30" t="str">
        <f aca="false">IF((F213+G213)&gt;0,G213/(F213+G213),"")</f>
        <v/>
      </c>
      <c r="I213" s="14" t="n">
        <f aca="false">IF(C213="",0,IFERROR(VLOOKUP(C213,'Recetas y precios'!$A$5:$T$54,20,FALSE()),0))</f>
        <v>0</v>
      </c>
      <c r="J213" s="14" t="n">
        <f aca="false">G213*I213</f>
        <v>0</v>
      </c>
      <c r="K213" s="20"/>
      <c r="L213" s="6"/>
    </row>
    <row r="214" customFormat="false" ht="15" hidden="false" customHeight="false" outlineLevel="0" collapsed="false">
      <c r="A214" s="33"/>
      <c r="B214" s="6"/>
      <c r="C214" s="6"/>
      <c r="D214" s="0" t="str">
        <f aca="false">IF(C214="","",IFERROR(VLOOKUP(C214,'Recetas y precios'!$A$5:$B$54,2,FALSE()),""))</f>
        <v/>
      </c>
      <c r="E214" s="6"/>
      <c r="F214" s="6"/>
      <c r="G214" s="6"/>
      <c r="H214" s="30" t="str">
        <f aca="false">IF((F214+G214)&gt;0,G214/(F214+G214),"")</f>
        <v/>
      </c>
      <c r="I214" s="14" t="n">
        <f aca="false">IF(C214="",0,IFERROR(VLOOKUP(C214,'Recetas y precios'!$A$5:$T$54,20,FALSE()),0))</f>
        <v>0</v>
      </c>
      <c r="J214" s="14" t="n">
        <f aca="false">G214*I214</f>
        <v>0</v>
      </c>
      <c r="K214" s="20"/>
      <c r="L214" s="6"/>
    </row>
    <row r="215" customFormat="false" ht="15" hidden="false" customHeight="false" outlineLevel="0" collapsed="false">
      <c r="A215" s="33"/>
      <c r="B215" s="6"/>
      <c r="C215" s="6"/>
      <c r="D215" s="0" t="str">
        <f aca="false">IF(C215="","",IFERROR(VLOOKUP(C215,'Recetas y precios'!$A$5:$B$54,2,FALSE()),""))</f>
        <v/>
      </c>
      <c r="E215" s="6"/>
      <c r="F215" s="6"/>
      <c r="G215" s="6"/>
      <c r="H215" s="30" t="str">
        <f aca="false">IF((F215+G215)&gt;0,G215/(F215+G215),"")</f>
        <v/>
      </c>
      <c r="I215" s="14" t="n">
        <f aca="false">IF(C215="",0,IFERROR(VLOOKUP(C215,'Recetas y precios'!$A$5:$T$54,20,FALSE()),0))</f>
        <v>0</v>
      </c>
      <c r="J215" s="14" t="n">
        <f aca="false">G215*I215</f>
        <v>0</v>
      </c>
      <c r="K215" s="20"/>
      <c r="L215" s="6"/>
    </row>
    <row r="216" customFormat="false" ht="15" hidden="false" customHeight="false" outlineLevel="0" collapsed="false">
      <c r="A216" s="33"/>
      <c r="B216" s="6"/>
      <c r="C216" s="6"/>
      <c r="D216" s="0" t="str">
        <f aca="false">IF(C216="","",IFERROR(VLOOKUP(C216,'Recetas y precios'!$A$5:$B$54,2,FALSE()),""))</f>
        <v/>
      </c>
      <c r="E216" s="6"/>
      <c r="F216" s="6"/>
      <c r="G216" s="6"/>
      <c r="H216" s="30" t="str">
        <f aca="false">IF((F216+G216)&gt;0,G216/(F216+G216),"")</f>
        <v/>
      </c>
      <c r="I216" s="14" t="n">
        <f aca="false">IF(C216="",0,IFERROR(VLOOKUP(C216,'Recetas y precios'!$A$5:$T$54,20,FALSE()),0))</f>
        <v>0</v>
      </c>
      <c r="J216" s="14" t="n">
        <f aca="false">G216*I216</f>
        <v>0</v>
      </c>
      <c r="K216" s="20"/>
      <c r="L216" s="6"/>
    </row>
    <row r="217" customFormat="false" ht="15" hidden="false" customHeight="false" outlineLevel="0" collapsed="false">
      <c r="A217" s="33"/>
      <c r="B217" s="6"/>
      <c r="C217" s="6"/>
      <c r="D217" s="0" t="str">
        <f aca="false">IF(C217="","",IFERROR(VLOOKUP(C217,'Recetas y precios'!$A$5:$B$54,2,FALSE()),""))</f>
        <v/>
      </c>
      <c r="E217" s="6"/>
      <c r="F217" s="6"/>
      <c r="G217" s="6"/>
      <c r="H217" s="30" t="str">
        <f aca="false">IF((F217+G217)&gt;0,G217/(F217+G217),"")</f>
        <v/>
      </c>
      <c r="I217" s="14" t="n">
        <f aca="false">IF(C217="",0,IFERROR(VLOOKUP(C217,'Recetas y precios'!$A$5:$T$54,20,FALSE()),0))</f>
        <v>0</v>
      </c>
      <c r="J217" s="14" t="n">
        <f aca="false">G217*I217</f>
        <v>0</v>
      </c>
      <c r="K217" s="20"/>
      <c r="L217" s="6"/>
    </row>
    <row r="218" customFormat="false" ht="15" hidden="false" customHeight="false" outlineLevel="0" collapsed="false">
      <c r="A218" s="33"/>
      <c r="B218" s="6"/>
      <c r="C218" s="6"/>
      <c r="D218" s="0" t="str">
        <f aca="false">IF(C218="","",IFERROR(VLOOKUP(C218,'Recetas y precios'!$A$5:$B$54,2,FALSE()),""))</f>
        <v/>
      </c>
      <c r="E218" s="6"/>
      <c r="F218" s="6"/>
      <c r="G218" s="6"/>
      <c r="H218" s="30" t="str">
        <f aca="false">IF((F218+G218)&gt;0,G218/(F218+G218),"")</f>
        <v/>
      </c>
      <c r="I218" s="14" t="n">
        <f aca="false">IF(C218="",0,IFERROR(VLOOKUP(C218,'Recetas y precios'!$A$5:$T$54,20,FALSE()),0))</f>
        <v>0</v>
      </c>
      <c r="J218" s="14" t="n">
        <f aca="false">G218*I218</f>
        <v>0</v>
      </c>
      <c r="K218" s="20"/>
      <c r="L218" s="6"/>
    </row>
    <row r="219" customFormat="false" ht="15" hidden="false" customHeight="false" outlineLevel="0" collapsed="false">
      <c r="A219" s="33"/>
      <c r="B219" s="6"/>
      <c r="C219" s="6"/>
      <c r="D219" s="0" t="str">
        <f aca="false">IF(C219="","",IFERROR(VLOOKUP(C219,'Recetas y precios'!$A$5:$B$54,2,FALSE()),""))</f>
        <v/>
      </c>
      <c r="E219" s="6"/>
      <c r="F219" s="6"/>
      <c r="G219" s="6"/>
      <c r="H219" s="30" t="str">
        <f aca="false">IF((F219+G219)&gt;0,G219/(F219+G219),"")</f>
        <v/>
      </c>
      <c r="I219" s="14" t="n">
        <f aca="false">IF(C219="",0,IFERROR(VLOOKUP(C219,'Recetas y precios'!$A$5:$T$54,20,FALSE()),0))</f>
        <v>0</v>
      </c>
      <c r="J219" s="14" t="n">
        <f aca="false">G219*I219</f>
        <v>0</v>
      </c>
      <c r="K219" s="20"/>
      <c r="L219" s="6"/>
    </row>
    <row r="220" customFormat="false" ht="15" hidden="false" customHeight="false" outlineLevel="0" collapsed="false">
      <c r="A220" s="33"/>
      <c r="B220" s="6"/>
      <c r="C220" s="6"/>
      <c r="D220" s="0" t="str">
        <f aca="false">IF(C220="","",IFERROR(VLOOKUP(C220,'Recetas y precios'!$A$5:$B$54,2,FALSE()),""))</f>
        <v/>
      </c>
      <c r="E220" s="6"/>
      <c r="F220" s="6"/>
      <c r="G220" s="6"/>
      <c r="H220" s="30" t="str">
        <f aca="false">IF((F220+G220)&gt;0,G220/(F220+G220),"")</f>
        <v/>
      </c>
      <c r="I220" s="14" t="n">
        <f aca="false">IF(C220="",0,IFERROR(VLOOKUP(C220,'Recetas y precios'!$A$5:$T$54,20,FALSE()),0))</f>
        <v>0</v>
      </c>
      <c r="J220" s="14" t="n">
        <f aca="false">G220*I220</f>
        <v>0</v>
      </c>
      <c r="K220" s="20"/>
      <c r="L220" s="6"/>
    </row>
    <row r="221" customFormat="false" ht="15" hidden="false" customHeight="false" outlineLevel="0" collapsed="false">
      <c r="A221" s="33"/>
      <c r="B221" s="6"/>
      <c r="C221" s="6"/>
      <c r="D221" s="0" t="str">
        <f aca="false">IF(C221="","",IFERROR(VLOOKUP(C221,'Recetas y precios'!$A$5:$B$54,2,FALSE()),""))</f>
        <v/>
      </c>
      <c r="E221" s="6"/>
      <c r="F221" s="6"/>
      <c r="G221" s="6"/>
      <c r="H221" s="30" t="str">
        <f aca="false">IF((F221+G221)&gt;0,G221/(F221+G221),"")</f>
        <v/>
      </c>
      <c r="I221" s="14" t="n">
        <f aca="false">IF(C221="",0,IFERROR(VLOOKUP(C221,'Recetas y precios'!$A$5:$T$54,20,FALSE()),0))</f>
        <v>0</v>
      </c>
      <c r="J221" s="14" t="n">
        <f aca="false">G221*I221</f>
        <v>0</v>
      </c>
      <c r="K221" s="20"/>
      <c r="L221" s="6"/>
    </row>
    <row r="222" customFormat="false" ht="15" hidden="false" customHeight="false" outlineLevel="0" collapsed="false">
      <c r="A222" s="33"/>
      <c r="B222" s="6"/>
      <c r="C222" s="6"/>
      <c r="D222" s="0" t="str">
        <f aca="false">IF(C222="","",IFERROR(VLOOKUP(C222,'Recetas y precios'!$A$5:$B$54,2,FALSE()),""))</f>
        <v/>
      </c>
      <c r="E222" s="6"/>
      <c r="F222" s="6"/>
      <c r="G222" s="6"/>
      <c r="H222" s="30" t="str">
        <f aca="false">IF((F222+G222)&gt;0,G222/(F222+G222),"")</f>
        <v/>
      </c>
      <c r="I222" s="14" t="n">
        <f aca="false">IF(C222="",0,IFERROR(VLOOKUP(C222,'Recetas y precios'!$A$5:$T$54,20,FALSE()),0))</f>
        <v>0</v>
      </c>
      <c r="J222" s="14" t="n">
        <f aca="false">G222*I222</f>
        <v>0</v>
      </c>
      <c r="K222" s="20"/>
      <c r="L222" s="6"/>
    </row>
    <row r="223" customFormat="false" ht="15" hidden="false" customHeight="false" outlineLevel="0" collapsed="false">
      <c r="A223" s="33"/>
      <c r="B223" s="6"/>
      <c r="C223" s="6"/>
      <c r="D223" s="0" t="str">
        <f aca="false">IF(C223="","",IFERROR(VLOOKUP(C223,'Recetas y precios'!$A$5:$B$54,2,FALSE()),""))</f>
        <v/>
      </c>
      <c r="E223" s="6"/>
      <c r="F223" s="6"/>
      <c r="G223" s="6"/>
      <c r="H223" s="30" t="str">
        <f aca="false">IF((F223+G223)&gt;0,G223/(F223+G223),"")</f>
        <v/>
      </c>
      <c r="I223" s="14" t="n">
        <f aca="false">IF(C223="",0,IFERROR(VLOOKUP(C223,'Recetas y precios'!$A$5:$T$54,20,FALSE()),0))</f>
        <v>0</v>
      </c>
      <c r="J223" s="14" t="n">
        <f aca="false">G223*I223</f>
        <v>0</v>
      </c>
      <c r="K223" s="20"/>
      <c r="L223" s="6"/>
    </row>
    <row r="224" customFormat="false" ht="15" hidden="false" customHeight="false" outlineLevel="0" collapsed="false">
      <c r="A224" s="33"/>
      <c r="B224" s="6"/>
      <c r="C224" s="6"/>
      <c r="D224" s="0" t="str">
        <f aca="false">IF(C224="","",IFERROR(VLOOKUP(C224,'Recetas y precios'!$A$5:$B$54,2,FALSE()),""))</f>
        <v/>
      </c>
      <c r="E224" s="6"/>
      <c r="F224" s="6"/>
      <c r="G224" s="6"/>
      <c r="H224" s="30" t="str">
        <f aca="false">IF((F224+G224)&gt;0,G224/(F224+G224),"")</f>
        <v/>
      </c>
      <c r="I224" s="14" t="n">
        <f aca="false">IF(C224="",0,IFERROR(VLOOKUP(C224,'Recetas y precios'!$A$5:$T$54,20,FALSE()),0))</f>
        <v>0</v>
      </c>
      <c r="J224" s="14" t="n">
        <f aca="false">G224*I224</f>
        <v>0</v>
      </c>
      <c r="K224" s="20"/>
      <c r="L224" s="6"/>
    </row>
    <row r="225" customFormat="false" ht="15" hidden="false" customHeight="false" outlineLevel="0" collapsed="false">
      <c r="A225" s="33"/>
      <c r="B225" s="6"/>
      <c r="C225" s="6"/>
      <c r="D225" s="0" t="str">
        <f aca="false">IF(C225="","",IFERROR(VLOOKUP(C225,'Recetas y precios'!$A$5:$B$54,2,FALSE()),""))</f>
        <v/>
      </c>
      <c r="E225" s="6"/>
      <c r="F225" s="6"/>
      <c r="G225" s="6"/>
      <c r="H225" s="30" t="str">
        <f aca="false">IF((F225+G225)&gt;0,G225/(F225+G225),"")</f>
        <v/>
      </c>
      <c r="I225" s="14" t="n">
        <f aca="false">IF(C225="",0,IFERROR(VLOOKUP(C225,'Recetas y precios'!$A$5:$T$54,20,FALSE()),0))</f>
        <v>0</v>
      </c>
      <c r="J225" s="14" t="n">
        <f aca="false">G225*I225</f>
        <v>0</v>
      </c>
      <c r="K225" s="20"/>
      <c r="L225" s="6"/>
    </row>
    <row r="226" customFormat="false" ht="15" hidden="false" customHeight="false" outlineLevel="0" collapsed="false">
      <c r="A226" s="33"/>
      <c r="B226" s="6"/>
      <c r="C226" s="6"/>
      <c r="D226" s="0" t="str">
        <f aca="false">IF(C226="","",IFERROR(VLOOKUP(C226,'Recetas y precios'!$A$5:$B$54,2,FALSE()),""))</f>
        <v/>
      </c>
      <c r="E226" s="6"/>
      <c r="F226" s="6"/>
      <c r="G226" s="6"/>
      <c r="H226" s="30" t="str">
        <f aca="false">IF((F226+G226)&gt;0,G226/(F226+G226),"")</f>
        <v/>
      </c>
      <c r="I226" s="14" t="n">
        <f aca="false">IF(C226="",0,IFERROR(VLOOKUP(C226,'Recetas y precios'!$A$5:$T$54,20,FALSE()),0))</f>
        <v>0</v>
      </c>
      <c r="J226" s="14" t="n">
        <f aca="false">G226*I226</f>
        <v>0</v>
      </c>
      <c r="K226" s="20"/>
      <c r="L226" s="6"/>
    </row>
    <row r="227" customFormat="false" ht="15" hidden="false" customHeight="false" outlineLevel="0" collapsed="false">
      <c r="A227" s="33"/>
      <c r="B227" s="6"/>
      <c r="C227" s="6"/>
      <c r="D227" s="0" t="str">
        <f aca="false">IF(C227="","",IFERROR(VLOOKUP(C227,'Recetas y precios'!$A$5:$B$54,2,FALSE()),""))</f>
        <v/>
      </c>
      <c r="E227" s="6"/>
      <c r="F227" s="6"/>
      <c r="G227" s="6"/>
      <c r="H227" s="30" t="str">
        <f aca="false">IF((F227+G227)&gt;0,G227/(F227+G227),"")</f>
        <v/>
      </c>
      <c r="I227" s="14" t="n">
        <f aca="false">IF(C227="",0,IFERROR(VLOOKUP(C227,'Recetas y precios'!$A$5:$T$54,20,FALSE()),0))</f>
        <v>0</v>
      </c>
      <c r="J227" s="14" t="n">
        <f aca="false">G227*I227</f>
        <v>0</v>
      </c>
      <c r="K227" s="20"/>
      <c r="L227" s="6"/>
    </row>
    <row r="228" customFormat="false" ht="15" hidden="false" customHeight="false" outlineLevel="0" collapsed="false">
      <c r="A228" s="33"/>
      <c r="B228" s="6"/>
      <c r="C228" s="6"/>
      <c r="D228" s="0" t="str">
        <f aca="false">IF(C228="","",IFERROR(VLOOKUP(C228,'Recetas y precios'!$A$5:$B$54,2,FALSE()),""))</f>
        <v/>
      </c>
      <c r="E228" s="6"/>
      <c r="F228" s="6"/>
      <c r="G228" s="6"/>
      <c r="H228" s="30" t="str">
        <f aca="false">IF((F228+G228)&gt;0,G228/(F228+G228),"")</f>
        <v/>
      </c>
      <c r="I228" s="14" t="n">
        <f aca="false">IF(C228="",0,IFERROR(VLOOKUP(C228,'Recetas y precios'!$A$5:$T$54,20,FALSE()),0))</f>
        <v>0</v>
      </c>
      <c r="J228" s="14" t="n">
        <f aca="false">G228*I228</f>
        <v>0</v>
      </c>
      <c r="K228" s="20"/>
      <c r="L228" s="6"/>
    </row>
    <row r="229" customFormat="false" ht="15" hidden="false" customHeight="false" outlineLevel="0" collapsed="false">
      <c r="A229" s="33"/>
      <c r="B229" s="6"/>
      <c r="C229" s="6"/>
      <c r="D229" s="0" t="str">
        <f aca="false">IF(C229="","",IFERROR(VLOOKUP(C229,'Recetas y precios'!$A$5:$B$54,2,FALSE()),""))</f>
        <v/>
      </c>
      <c r="E229" s="6"/>
      <c r="F229" s="6"/>
      <c r="G229" s="6"/>
      <c r="H229" s="30" t="str">
        <f aca="false">IF((F229+G229)&gt;0,G229/(F229+G229),"")</f>
        <v/>
      </c>
      <c r="I229" s="14" t="n">
        <f aca="false">IF(C229="",0,IFERROR(VLOOKUP(C229,'Recetas y precios'!$A$5:$T$54,20,FALSE()),0))</f>
        <v>0</v>
      </c>
      <c r="J229" s="14" t="n">
        <f aca="false">G229*I229</f>
        <v>0</v>
      </c>
      <c r="K229" s="20"/>
      <c r="L229" s="6"/>
    </row>
    <row r="230" customFormat="false" ht="15" hidden="false" customHeight="false" outlineLevel="0" collapsed="false">
      <c r="A230" s="33"/>
      <c r="B230" s="6"/>
      <c r="C230" s="6"/>
      <c r="D230" s="0" t="str">
        <f aca="false">IF(C230="","",IFERROR(VLOOKUP(C230,'Recetas y precios'!$A$5:$B$54,2,FALSE()),""))</f>
        <v/>
      </c>
      <c r="E230" s="6"/>
      <c r="F230" s="6"/>
      <c r="G230" s="6"/>
      <c r="H230" s="30" t="str">
        <f aca="false">IF((F230+G230)&gt;0,G230/(F230+G230),"")</f>
        <v/>
      </c>
      <c r="I230" s="14" t="n">
        <f aca="false">IF(C230="",0,IFERROR(VLOOKUP(C230,'Recetas y precios'!$A$5:$T$54,20,FALSE()),0))</f>
        <v>0</v>
      </c>
      <c r="J230" s="14" t="n">
        <f aca="false">G230*I230</f>
        <v>0</v>
      </c>
      <c r="K230" s="20"/>
      <c r="L230" s="6"/>
    </row>
    <row r="231" customFormat="false" ht="15" hidden="false" customHeight="false" outlineLevel="0" collapsed="false">
      <c r="A231" s="33"/>
      <c r="B231" s="6"/>
      <c r="C231" s="6"/>
      <c r="D231" s="0" t="str">
        <f aca="false">IF(C231="","",IFERROR(VLOOKUP(C231,'Recetas y precios'!$A$5:$B$54,2,FALSE()),""))</f>
        <v/>
      </c>
      <c r="E231" s="6"/>
      <c r="F231" s="6"/>
      <c r="G231" s="6"/>
      <c r="H231" s="30" t="str">
        <f aca="false">IF((F231+G231)&gt;0,G231/(F231+G231),"")</f>
        <v/>
      </c>
      <c r="I231" s="14" t="n">
        <f aca="false">IF(C231="",0,IFERROR(VLOOKUP(C231,'Recetas y precios'!$A$5:$T$54,20,FALSE()),0))</f>
        <v>0</v>
      </c>
      <c r="J231" s="14" t="n">
        <f aca="false">G231*I231</f>
        <v>0</v>
      </c>
      <c r="K231" s="20"/>
      <c r="L231" s="6"/>
    </row>
    <row r="232" customFormat="false" ht="15" hidden="false" customHeight="false" outlineLevel="0" collapsed="false">
      <c r="A232" s="33"/>
      <c r="B232" s="6"/>
      <c r="C232" s="6"/>
      <c r="D232" s="0" t="str">
        <f aca="false">IF(C232="","",IFERROR(VLOOKUP(C232,'Recetas y precios'!$A$5:$B$54,2,FALSE()),""))</f>
        <v/>
      </c>
      <c r="E232" s="6"/>
      <c r="F232" s="6"/>
      <c r="G232" s="6"/>
      <c r="H232" s="30" t="str">
        <f aca="false">IF((F232+G232)&gt;0,G232/(F232+G232),"")</f>
        <v/>
      </c>
      <c r="I232" s="14" t="n">
        <f aca="false">IF(C232="",0,IFERROR(VLOOKUP(C232,'Recetas y precios'!$A$5:$T$54,20,FALSE()),0))</f>
        <v>0</v>
      </c>
      <c r="J232" s="14" t="n">
        <f aca="false">G232*I232</f>
        <v>0</v>
      </c>
      <c r="K232" s="20"/>
      <c r="L232" s="6"/>
    </row>
    <row r="233" customFormat="false" ht="15" hidden="false" customHeight="false" outlineLevel="0" collapsed="false">
      <c r="A233" s="33"/>
      <c r="B233" s="6"/>
      <c r="C233" s="6"/>
      <c r="D233" s="0" t="str">
        <f aca="false">IF(C233="","",IFERROR(VLOOKUP(C233,'Recetas y precios'!$A$5:$B$54,2,FALSE()),""))</f>
        <v/>
      </c>
      <c r="E233" s="6"/>
      <c r="F233" s="6"/>
      <c r="G233" s="6"/>
      <c r="H233" s="30" t="str">
        <f aca="false">IF((F233+G233)&gt;0,G233/(F233+G233),"")</f>
        <v/>
      </c>
      <c r="I233" s="14" t="n">
        <f aca="false">IF(C233="",0,IFERROR(VLOOKUP(C233,'Recetas y precios'!$A$5:$T$54,20,FALSE()),0))</f>
        <v>0</v>
      </c>
      <c r="J233" s="14" t="n">
        <f aca="false">G233*I233</f>
        <v>0</v>
      </c>
      <c r="K233" s="20"/>
      <c r="L233" s="6"/>
    </row>
    <row r="234" customFormat="false" ht="15" hidden="false" customHeight="false" outlineLevel="0" collapsed="false">
      <c r="A234" s="33"/>
      <c r="B234" s="6"/>
      <c r="C234" s="6"/>
      <c r="D234" s="0" t="str">
        <f aca="false">IF(C234="","",IFERROR(VLOOKUP(C234,'Recetas y precios'!$A$5:$B$54,2,FALSE()),""))</f>
        <v/>
      </c>
      <c r="E234" s="6"/>
      <c r="F234" s="6"/>
      <c r="G234" s="6"/>
      <c r="H234" s="30" t="str">
        <f aca="false">IF((F234+G234)&gt;0,G234/(F234+G234),"")</f>
        <v/>
      </c>
      <c r="I234" s="14" t="n">
        <f aca="false">IF(C234="",0,IFERROR(VLOOKUP(C234,'Recetas y precios'!$A$5:$T$54,20,FALSE()),0))</f>
        <v>0</v>
      </c>
      <c r="J234" s="14" t="n">
        <f aca="false">G234*I234</f>
        <v>0</v>
      </c>
      <c r="K234" s="20"/>
      <c r="L234" s="6"/>
    </row>
    <row r="235" customFormat="false" ht="15" hidden="false" customHeight="false" outlineLevel="0" collapsed="false">
      <c r="A235" s="33"/>
      <c r="B235" s="6"/>
      <c r="C235" s="6"/>
      <c r="D235" s="0" t="str">
        <f aca="false">IF(C235="","",IFERROR(VLOOKUP(C235,'Recetas y precios'!$A$5:$B$54,2,FALSE()),""))</f>
        <v/>
      </c>
      <c r="E235" s="6"/>
      <c r="F235" s="6"/>
      <c r="G235" s="6"/>
      <c r="H235" s="30" t="str">
        <f aca="false">IF((F235+G235)&gt;0,G235/(F235+G235),"")</f>
        <v/>
      </c>
      <c r="I235" s="14" t="n">
        <f aca="false">IF(C235="",0,IFERROR(VLOOKUP(C235,'Recetas y precios'!$A$5:$T$54,20,FALSE()),0))</f>
        <v>0</v>
      </c>
      <c r="J235" s="14" t="n">
        <f aca="false">G235*I235</f>
        <v>0</v>
      </c>
      <c r="K235" s="20"/>
      <c r="L235" s="6"/>
    </row>
    <row r="236" customFormat="false" ht="15" hidden="false" customHeight="false" outlineLevel="0" collapsed="false">
      <c r="A236" s="33"/>
      <c r="B236" s="6"/>
      <c r="C236" s="6"/>
      <c r="D236" s="0" t="str">
        <f aca="false">IF(C236="","",IFERROR(VLOOKUP(C236,'Recetas y precios'!$A$5:$B$54,2,FALSE()),""))</f>
        <v/>
      </c>
      <c r="E236" s="6"/>
      <c r="F236" s="6"/>
      <c r="G236" s="6"/>
      <c r="H236" s="30" t="str">
        <f aca="false">IF((F236+G236)&gt;0,G236/(F236+G236),"")</f>
        <v/>
      </c>
      <c r="I236" s="14" t="n">
        <f aca="false">IF(C236="",0,IFERROR(VLOOKUP(C236,'Recetas y precios'!$A$5:$T$54,20,FALSE()),0))</f>
        <v>0</v>
      </c>
      <c r="J236" s="14" t="n">
        <f aca="false">G236*I236</f>
        <v>0</v>
      </c>
      <c r="K236" s="20"/>
      <c r="L236" s="6"/>
    </row>
    <row r="237" customFormat="false" ht="15" hidden="false" customHeight="false" outlineLevel="0" collapsed="false">
      <c r="A237" s="33"/>
      <c r="B237" s="6"/>
      <c r="C237" s="6"/>
      <c r="D237" s="0" t="str">
        <f aca="false">IF(C237="","",IFERROR(VLOOKUP(C237,'Recetas y precios'!$A$5:$B$54,2,FALSE()),""))</f>
        <v/>
      </c>
      <c r="E237" s="6"/>
      <c r="F237" s="6"/>
      <c r="G237" s="6"/>
      <c r="H237" s="30" t="str">
        <f aca="false">IF((F237+G237)&gt;0,G237/(F237+G237),"")</f>
        <v/>
      </c>
      <c r="I237" s="14" t="n">
        <f aca="false">IF(C237="",0,IFERROR(VLOOKUP(C237,'Recetas y precios'!$A$5:$T$54,20,FALSE()),0))</f>
        <v>0</v>
      </c>
      <c r="J237" s="14" t="n">
        <f aca="false">G237*I237</f>
        <v>0</v>
      </c>
      <c r="K237" s="20"/>
      <c r="L237" s="6"/>
    </row>
    <row r="238" customFormat="false" ht="15" hidden="false" customHeight="false" outlineLevel="0" collapsed="false">
      <c r="A238" s="33"/>
      <c r="B238" s="6"/>
      <c r="C238" s="6"/>
      <c r="D238" s="0" t="str">
        <f aca="false">IF(C238="","",IFERROR(VLOOKUP(C238,'Recetas y precios'!$A$5:$B$54,2,FALSE()),""))</f>
        <v/>
      </c>
      <c r="E238" s="6"/>
      <c r="F238" s="6"/>
      <c r="G238" s="6"/>
      <c r="H238" s="30" t="str">
        <f aca="false">IF((F238+G238)&gt;0,G238/(F238+G238),"")</f>
        <v/>
      </c>
      <c r="I238" s="14" t="n">
        <f aca="false">IF(C238="",0,IFERROR(VLOOKUP(C238,'Recetas y precios'!$A$5:$T$54,20,FALSE()),0))</f>
        <v>0</v>
      </c>
      <c r="J238" s="14" t="n">
        <f aca="false">G238*I238</f>
        <v>0</v>
      </c>
      <c r="K238" s="20"/>
      <c r="L238" s="6"/>
    </row>
    <row r="239" customFormat="false" ht="15" hidden="false" customHeight="false" outlineLevel="0" collapsed="false">
      <c r="A239" s="33"/>
      <c r="B239" s="6"/>
      <c r="C239" s="6"/>
      <c r="D239" s="0" t="str">
        <f aca="false">IF(C239="","",IFERROR(VLOOKUP(C239,'Recetas y precios'!$A$5:$B$54,2,FALSE()),""))</f>
        <v/>
      </c>
      <c r="E239" s="6"/>
      <c r="F239" s="6"/>
      <c r="G239" s="6"/>
      <c r="H239" s="30" t="str">
        <f aca="false">IF((F239+G239)&gt;0,G239/(F239+G239),"")</f>
        <v/>
      </c>
      <c r="I239" s="14" t="n">
        <f aca="false">IF(C239="",0,IFERROR(VLOOKUP(C239,'Recetas y precios'!$A$5:$T$54,20,FALSE()),0))</f>
        <v>0</v>
      </c>
      <c r="J239" s="14" t="n">
        <f aca="false">G239*I239</f>
        <v>0</v>
      </c>
      <c r="K239" s="20"/>
      <c r="L239" s="6"/>
    </row>
    <row r="240" customFormat="false" ht="15" hidden="false" customHeight="false" outlineLevel="0" collapsed="false">
      <c r="A240" s="33"/>
      <c r="B240" s="6"/>
      <c r="C240" s="6"/>
      <c r="D240" s="0" t="str">
        <f aca="false">IF(C240="","",IFERROR(VLOOKUP(C240,'Recetas y precios'!$A$5:$B$54,2,FALSE()),""))</f>
        <v/>
      </c>
      <c r="E240" s="6"/>
      <c r="F240" s="6"/>
      <c r="G240" s="6"/>
      <c r="H240" s="30" t="str">
        <f aca="false">IF((F240+G240)&gt;0,G240/(F240+G240),"")</f>
        <v/>
      </c>
      <c r="I240" s="14" t="n">
        <f aca="false">IF(C240="",0,IFERROR(VLOOKUP(C240,'Recetas y precios'!$A$5:$T$54,20,FALSE()),0))</f>
        <v>0</v>
      </c>
      <c r="J240" s="14" t="n">
        <f aca="false">G240*I240</f>
        <v>0</v>
      </c>
      <c r="K240" s="20"/>
      <c r="L240" s="6"/>
    </row>
    <row r="241" customFormat="false" ht="15" hidden="false" customHeight="false" outlineLevel="0" collapsed="false">
      <c r="A241" s="33"/>
      <c r="B241" s="6"/>
      <c r="C241" s="6"/>
      <c r="D241" s="0" t="str">
        <f aca="false">IF(C241="","",IFERROR(VLOOKUP(C241,'Recetas y precios'!$A$5:$B$54,2,FALSE()),""))</f>
        <v/>
      </c>
      <c r="E241" s="6"/>
      <c r="F241" s="6"/>
      <c r="G241" s="6"/>
      <c r="H241" s="30" t="str">
        <f aca="false">IF((F241+G241)&gt;0,G241/(F241+G241),"")</f>
        <v/>
      </c>
      <c r="I241" s="14" t="n">
        <f aca="false">IF(C241="",0,IFERROR(VLOOKUP(C241,'Recetas y precios'!$A$5:$T$54,20,FALSE()),0))</f>
        <v>0</v>
      </c>
      <c r="J241" s="14" t="n">
        <f aca="false">G241*I241</f>
        <v>0</v>
      </c>
      <c r="K241" s="20"/>
      <c r="L241" s="6"/>
    </row>
    <row r="242" customFormat="false" ht="15" hidden="false" customHeight="false" outlineLevel="0" collapsed="false">
      <c r="A242" s="33"/>
      <c r="B242" s="6"/>
      <c r="C242" s="6"/>
      <c r="D242" s="0" t="str">
        <f aca="false">IF(C242="","",IFERROR(VLOOKUP(C242,'Recetas y precios'!$A$5:$B$54,2,FALSE()),""))</f>
        <v/>
      </c>
      <c r="E242" s="6"/>
      <c r="F242" s="6"/>
      <c r="G242" s="6"/>
      <c r="H242" s="30" t="str">
        <f aca="false">IF((F242+G242)&gt;0,G242/(F242+G242),"")</f>
        <v/>
      </c>
      <c r="I242" s="14" t="n">
        <f aca="false">IF(C242="",0,IFERROR(VLOOKUP(C242,'Recetas y precios'!$A$5:$T$54,20,FALSE()),0))</f>
        <v>0</v>
      </c>
      <c r="J242" s="14" t="n">
        <f aca="false">G242*I242</f>
        <v>0</v>
      </c>
      <c r="K242" s="20"/>
      <c r="L242" s="6"/>
    </row>
    <row r="243" customFormat="false" ht="15" hidden="false" customHeight="false" outlineLevel="0" collapsed="false">
      <c r="A243" s="33"/>
      <c r="B243" s="6"/>
      <c r="C243" s="6"/>
      <c r="D243" s="0" t="str">
        <f aca="false">IF(C243="","",IFERROR(VLOOKUP(C243,'Recetas y precios'!$A$5:$B$54,2,FALSE()),""))</f>
        <v/>
      </c>
      <c r="E243" s="6"/>
      <c r="F243" s="6"/>
      <c r="G243" s="6"/>
      <c r="H243" s="30" t="str">
        <f aca="false">IF((F243+G243)&gt;0,G243/(F243+G243),"")</f>
        <v/>
      </c>
      <c r="I243" s="14" t="n">
        <f aca="false">IF(C243="",0,IFERROR(VLOOKUP(C243,'Recetas y precios'!$A$5:$T$54,20,FALSE()),0))</f>
        <v>0</v>
      </c>
      <c r="J243" s="14" t="n">
        <f aca="false">G243*I243</f>
        <v>0</v>
      </c>
      <c r="K243" s="20"/>
      <c r="L243" s="6"/>
    </row>
    <row r="244" customFormat="false" ht="15" hidden="false" customHeight="false" outlineLevel="0" collapsed="false">
      <c r="A244" s="33"/>
      <c r="B244" s="6"/>
      <c r="C244" s="6"/>
      <c r="D244" s="0" t="str">
        <f aca="false">IF(C244="","",IFERROR(VLOOKUP(C244,'Recetas y precios'!$A$5:$B$54,2,FALSE()),""))</f>
        <v/>
      </c>
      <c r="E244" s="6"/>
      <c r="F244" s="6"/>
      <c r="G244" s="6"/>
      <c r="H244" s="30" t="str">
        <f aca="false">IF((F244+G244)&gt;0,G244/(F244+G244),"")</f>
        <v/>
      </c>
      <c r="I244" s="14" t="n">
        <f aca="false">IF(C244="",0,IFERROR(VLOOKUP(C244,'Recetas y precios'!$A$5:$T$54,20,FALSE()),0))</f>
        <v>0</v>
      </c>
      <c r="J244" s="14" t="n">
        <f aca="false">G244*I244</f>
        <v>0</v>
      </c>
      <c r="K244" s="20"/>
      <c r="L244" s="6"/>
    </row>
    <row r="245" customFormat="false" ht="15" hidden="false" customHeight="false" outlineLevel="0" collapsed="false">
      <c r="A245" s="33"/>
      <c r="B245" s="6"/>
      <c r="C245" s="6"/>
      <c r="D245" s="0" t="str">
        <f aca="false">IF(C245="","",IFERROR(VLOOKUP(C245,'Recetas y precios'!$A$5:$B$54,2,FALSE()),""))</f>
        <v/>
      </c>
      <c r="E245" s="6"/>
      <c r="F245" s="6"/>
      <c r="G245" s="6"/>
      <c r="H245" s="30" t="str">
        <f aca="false">IF((F245+G245)&gt;0,G245/(F245+G245),"")</f>
        <v/>
      </c>
      <c r="I245" s="14" t="n">
        <f aca="false">IF(C245="",0,IFERROR(VLOOKUP(C245,'Recetas y precios'!$A$5:$T$54,20,FALSE()),0))</f>
        <v>0</v>
      </c>
      <c r="J245" s="14" t="n">
        <f aca="false">G245*I245</f>
        <v>0</v>
      </c>
      <c r="K245" s="20"/>
      <c r="L245" s="6"/>
    </row>
    <row r="246" customFormat="false" ht="15" hidden="false" customHeight="false" outlineLevel="0" collapsed="false">
      <c r="A246" s="33"/>
      <c r="B246" s="6"/>
      <c r="C246" s="6"/>
      <c r="D246" s="0" t="str">
        <f aca="false">IF(C246="","",IFERROR(VLOOKUP(C246,'Recetas y precios'!$A$5:$B$54,2,FALSE()),""))</f>
        <v/>
      </c>
      <c r="E246" s="6"/>
      <c r="F246" s="6"/>
      <c r="G246" s="6"/>
      <c r="H246" s="30" t="str">
        <f aca="false">IF((F246+G246)&gt;0,G246/(F246+G246),"")</f>
        <v/>
      </c>
      <c r="I246" s="14" t="n">
        <f aca="false">IF(C246="",0,IFERROR(VLOOKUP(C246,'Recetas y precios'!$A$5:$T$54,20,FALSE()),0))</f>
        <v>0</v>
      </c>
      <c r="J246" s="14" t="n">
        <f aca="false">G246*I246</f>
        <v>0</v>
      </c>
      <c r="K246" s="20"/>
      <c r="L246" s="6"/>
    </row>
    <row r="247" customFormat="false" ht="15" hidden="false" customHeight="false" outlineLevel="0" collapsed="false">
      <c r="A247" s="33"/>
      <c r="B247" s="6"/>
      <c r="C247" s="6"/>
      <c r="D247" s="0" t="str">
        <f aca="false">IF(C247="","",IFERROR(VLOOKUP(C247,'Recetas y precios'!$A$5:$B$54,2,FALSE()),""))</f>
        <v/>
      </c>
      <c r="E247" s="6"/>
      <c r="F247" s="6"/>
      <c r="G247" s="6"/>
      <c r="H247" s="30" t="str">
        <f aca="false">IF((F247+G247)&gt;0,G247/(F247+G247),"")</f>
        <v/>
      </c>
      <c r="I247" s="14" t="n">
        <f aca="false">IF(C247="",0,IFERROR(VLOOKUP(C247,'Recetas y precios'!$A$5:$T$54,20,FALSE()),0))</f>
        <v>0</v>
      </c>
      <c r="J247" s="14" t="n">
        <f aca="false">G247*I247</f>
        <v>0</v>
      </c>
      <c r="K247" s="20"/>
      <c r="L247" s="6"/>
    </row>
    <row r="248" customFormat="false" ht="15" hidden="false" customHeight="false" outlineLevel="0" collapsed="false">
      <c r="A248" s="33"/>
      <c r="B248" s="6"/>
      <c r="C248" s="6"/>
      <c r="D248" s="0" t="str">
        <f aca="false">IF(C248="","",IFERROR(VLOOKUP(C248,'Recetas y precios'!$A$5:$B$54,2,FALSE()),""))</f>
        <v/>
      </c>
      <c r="E248" s="6"/>
      <c r="F248" s="6"/>
      <c r="G248" s="6"/>
      <c r="H248" s="30" t="str">
        <f aca="false">IF((F248+G248)&gt;0,G248/(F248+G248),"")</f>
        <v/>
      </c>
      <c r="I248" s="14" t="n">
        <f aca="false">IF(C248="",0,IFERROR(VLOOKUP(C248,'Recetas y precios'!$A$5:$T$54,20,FALSE()),0))</f>
        <v>0</v>
      </c>
      <c r="J248" s="14" t="n">
        <f aca="false">G248*I248</f>
        <v>0</v>
      </c>
      <c r="K248" s="20"/>
      <c r="L248" s="6"/>
    </row>
    <row r="249" customFormat="false" ht="15" hidden="false" customHeight="false" outlineLevel="0" collapsed="false">
      <c r="A249" s="33"/>
      <c r="B249" s="6"/>
      <c r="C249" s="6"/>
      <c r="D249" s="0" t="str">
        <f aca="false">IF(C249="","",IFERROR(VLOOKUP(C249,'Recetas y precios'!$A$5:$B$54,2,FALSE()),""))</f>
        <v/>
      </c>
      <c r="E249" s="6"/>
      <c r="F249" s="6"/>
      <c r="G249" s="6"/>
      <c r="H249" s="30" t="str">
        <f aca="false">IF((F249+G249)&gt;0,G249/(F249+G249),"")</f>
        <v/>
      </c>
      <c r="I249" s="14" t="n">
        <f aca="false">IF(C249="",0,IFERROR(VLOOKUP(C249,'Recetas y precios'!$A$5:$T$54,20,FALSE()),0))</f>
        <v>0</v>
      </c>
      <c r="J249" s="14" t="n">
        <f aca="false">G249*I249</f>
        <v>0</v>
      </c>
      <c r="K249" s="20"/>
      <c r="L249" s="6"/>
    </row>
    <row r="250" customFormat="false" ht="15" hidden="false" customHeight="false" outlineLevel="0" collapsed="false">
      <c r="A250" s="33"/>
      <c r="B250" s="6"/>
      <c r="C250" s="6"/>
      <c r="D250" s="0" t="str">
        <f aca="false">IF(C250="","",IFERROR(VLOOKUP(C250,'Recetas y precios'!$A$5:$B$54,2,FALSE()),""))</f>
        <v/>
      </c>
      <c r="E250" s="6"/>
      <c r="F250" s="6"/>
      <c r="G250" s="6"/>
      <c r="H250" s="30" t="str">
        <f aca="false">IF((F250+G250)&gt;0,G250/(F250+G250),"")</f>
        <v/>
      </c>
      <c r="I250" s="14" t="n">
        <f aca="false">IF(C250="",0,IFERROR(VLOOKUP(C250,'Recetas y precios'!$A$5:$T$54,20,FALSE()),0))</f>
        <v>0</v>
      </c>
      <c r="J250" s="14" t="n">
        <f aca="false">G250*I250</f>
        <v>0</v>
      </c>
      <c r="K250" s="20"/>
      <c r="L250" s="6"/>
    </row>
    <row r="251" customFormat="false" ht="15" hidden="false" customHeight="false" outlineLevel="0" collapsed="false">
      <c r="A251" s="33"/>
      <c r="B251" s="6"/>
      <c r="C251" s="6"/>
      <c r="D251" s="0" t="str">
        <f aca="false">IF(C251="","",IFERROR(VLOOKUP(C251,'Recetas y precios'!$A$5:$B$54,2,FALSE()),""))</f>
        <v/>
      </c>
      <c r="E251" s="6"/>
      <c r="F251" s="6"/>
      <c r="G251" s="6"/>
      <c r="H251" s="30" t="str">
        <f aca="false">IF((F251+G251)&gt;0,G251/(F251+G251),"")</f>
        <v/>
      </c>
      <c r="I251" s="14" t="n">
        <f aca="false">IF(C251="",0,IFERROR(VLOOKUP(C251,'Recetas y precios'!$A$5:$T$54,20,FALSE()),0))</f>
        <v>0</v>
      </c>
      <c r="J251" s="14" t="n">
        <f aca="false">G251*I251</f>
        <v>0</v>
      </c>
      <c r="K251" s="20"/>
      <c r="L251" s="6"/>
    </row>
    <row r="252" customFormat="false" ht="15" hidden="false" customHeight="false" outlineLevel="0" collapsed="false">
      <c r="A252" s="33"/>
      <c r="B252" s="6"/>
      <c r="C252" s="6"/>
      <c r="D252" s="0" t="str">
        <f aca="false">IF(C252="","",IFERROR(VLOOKUP(C252,'Recetas y precios'!$A$5:$B$54,2,FALSE()),""))</f>
        <v/>
      </c>
      <c r="E252" s="6"/>
      <c r="F252" s="6"/>
      <c r="G252" s="6"/>
      <c r="H252" s="30" t="str">
        <f aca="false">IF((F252+G252)&gt;0,G252/(F252+G252),"")</f>
        <v/>
      </c>
      <c r="I252" s="14" t="n">
        <f aca="false">IF(C252="",0,IFERROR(VLOOKUP(C252,'Recetas y precios'!$A$5:$T$54,20,FALSE()),0))</f>
        <v>0</v>
      </c>
      <c r="J252" s="14" t="n">
        <f aca="false">G252*I252</f>
        <v>0</v>
      </c>
      <c r="K252" s="20"/>
      <c r="L252" s="6"/>
    </row>
    <row r="253" customFormat="false" ht="15" hidden="false" customHeight="false" outlineLevel="0" collapsed="false">
      <c r="A253" s="33"/>
      <c r="B253" s="6"/>
      <c r="C253" s="6"/>
      <c r="D253" s="0" t="str">
        <f aca="false">IF(C253="","",IFERROR(VLOOKUP(C253,'Recetas y precios'!$A$5:$B$54,2,FALSE()),""))</f>
        <v/>
      </c>
      <c r="E253" s="6"/>
      <c r="F253" s="6"/>
      <c r="G253" s="6"/>
      <c r="H253" s="30" t="str">
        <f aca="false">IF((F253+G253)&gt;0,G253/(F253+G253),"")</f>
        <v/>
      </c>
      <c r="I253" s="14" t="n">
        <f aca="false">IF(C253="",0,IFERROR(VLOOKUP(C253,'Recetas y precios'!$A$5:$T$54,20,FALSE()),0))</f>
        <v>0</v>
      </c>
      <c r="J253" s="14" t="n">
        <f aca="false">G253*I253</f>
        <v>0</v>
      </c>
      <c r="K253" s="20"/>
      <c r="L253" s="6"/>
    </row>
    <row r="254" customFormat="false" ht="15" hidden="false" customHeight="false" outlineLevel="0" collapsed="false">
      <c r="A254" s="33"/>
      <c r="B254" s="6"/>
      <c r="C254" s="6"/>
      <c r="D254" s="0" t="str">
        <f aca="false">IF(C254="","",IFERROR(VLOOKUP(C254,'Recetas y precios'!$A$5:$B$54,2,FALSE()),""))</f>
        <v/>
      </c>
      <c r="E254" s="6"/>
      <c r="F254" s="6"/>
      <c r="G254" s="6"/>
      <c r="H254" s="30" t="str">
        <f aca="false">IF((F254+G254)&gt;0,G254/(F254+G254),"")</f>
        <v/>
      </c>
      <c r="I254" s="14" t="n">
        <f aca="false">IF(C254="",0,IFERROR(VLOOKUP(C254,'Recetas y precios'!$A$5:$T$54,20,FALSE()),0))</f>
        <v>0</v>
      </c>
      <c r="J254" s="14" t="n">
        <f aca="false">G254*I254</f>
        <v>0</v>
      </c>
      <c r="K254" s="20"/>
      <c r="L254" s="6"/>
    </row>
    <row r="255" customFormat="false" ht="15" hidden="false" customHeight="false" outlineLevel="0" collapsed="false">
      <c r="A255" s="33"/>
      <c r="B255" s="6"/>
      <c r="C255" s="6"/>
      <c r="D255" s="0" t="str">
        <f aca="false">IF(C255="","",IFERROR(VLOOKUP(C255,'Recetas y precios'!$A$5:$B$54,2,FALSE()),""))</f>
        <v/>
      </c>
      <c r="E255" s="6"/>
      <c r="F255" s="6"/>
      <c r="G255" s="6"/>
      <c r="H255" s="30" t="str">
        <f aca="false">IF((F255+G255)&gt;0,G255/(F255+G255),"")</f>
        <v/>
      </c>
      <c r="I255" s="14" t="n">
        <f aca="false">IF(C255="",0,IFERROR(VLOOKUP(C255,'Recetas y precios'!$A$5:$T$54,20,FALSE()),0))</f>
        <v>0</v>
      </c>
      <c r="J255" s="14" t="n">
        <f aca="false">G255*I255</f>
        <v>0</v>
      </c>
      <c r="K255" s="20"/>
      <c r="L255" s="6"/>
    </row>
    <row r="256" customFormat="false" ht="15" hidden="false" customHeight="false" outlineLevel="0" collapsed="false">
      <c r="A256" s="33"/>
      <c r="B256" s="6"/>
      <c r="C256" s="6"/>
      <c r="D256" s="0" t="str">
        <f aca="false">IF(C256="","",IFERROR(VLOOKUP(C256,'Recetas y precios'!$A$5:$B$54,2,FALSE()),""))</f>
        <v/>
      </c>
      <c r="E256" s="6"/>
      <c r="F256" s="6"/>
      <c r="G256" s="6"/>
      <c r="H256" s="30" t="str">
        <f aca="false">IF((F256+G256)&gt;0,G256/(F256+G256),"")</f>
        <v/>
      </c>
      <c r="I256" s="14" t="n">
        <f aca="false">IF(C256="",0,IFERROR(VLOOKUP(C256,'Recetas y precios'!$A$5:$T$54,20,FALSE()),0))</f>
        <v>0</v>
      </c>
      <c r="J256" s="14" t="n">
        <f aca="false">G256*I256</f>
        <v>0</v>
      </c>
      <c r="K256" s="20"/>
      <c r="L256" s="6"/>
    </row>
    <row r="257" customFormat="false" ht="15" hidden="false" customHeight="false" outlineLevel="0" collapsed="false">
      <c r="A257" s="33"/>
      <c r="B257" s="6"/>
      <c r="C257" s="6"/>
      <c r="D257" s="0" t="str">
        <f aca="false">IF(C257="","",IFERROR(VLOOKUP(C257,'Recetas y precios'!$A$5:$B$54,2,FALSE()),""))</f>
        <v/>
      </c>
      <c r="E257" s="6"/>
      <c r="F257" s="6"/>
      <c r="G257" s="6"/>
      <c r="H257" s="30" t="str">
        <f aca="false">IF((F257+G257)&gt;0,G257/(F257+G257),"")</f>
        <v/>
      </c>
      <c r="I257" s="14" t="n">
        <f aca="false">IF(C257="",0,IFERROR(VLOOKUP(C257,'Recetas y precios'!$A$5:$T$54,20,FALSE()),0))</f>
        <v>0</v>
      </c>
      <c r="J257" s="14" t="n">
        <f aca="false">G257*I257</f>
        <v>0</v>
      </c>
      <c r="K257" s="20"/>
      <c r="L257" s="6"/>
    </row>
    <row r="258" customFormat="false" ht="15" hidden="false" customHeight="false" outlineLevel="0" collapsed="false">
      <c r="A258" s="33"/>
      <c r="B258" s="6"/>
      <c r="C258" s="6"/>
      <c r="D258" s="0" t="str">
        <f aca="false">IF(C258="","",IFERROR(VLOOKUP(C258,'Recetas y precios'!$A$5:$B$54,2,FALSE()),""))</f>
        <v/>
      </c>
      <c r="E258" s="6"/>
      <c r="F258" s="6"/>
      <c r="G258" s="6"/>
      <c r="H258" s="30" t="str">
        <f aca="false">IF((F258+G258)&gt;0,G258/(F258+G258),"")</f>
        <v/>
      </c>
      <c r="I258" s="14" t="n">
        <f aca="false">IF(C258="",0,IFERROR(VLOOKUP(C258,'Recetas y precios'!$A$5:$T$54,20,FALSE()),0))</f>
        <v>0</v>
      </c>
      <c r="J258" s="14" t="n">
        <f aca="false">G258*I258</f>
        <v>0</v>
      </c>
      <c r="K258" s="20"/>
      <c r="L258" s="6"/>
    </row>
    <row r="259" customFormat="false" ht="15" hidden="false" customHeight="false" outlineLevel="0" collapsed="false">
      <c r="A259" s="33"/>
      <c r="B259" s="6"/>
      <c r="C259" s="6"/>
      <c r="D259" s="0" t="str">
        <f aca="false">IF(C259="","",IFERROR(VLOOKUP(C259,'Recetas y precios'!$A$5:$B$54,2,FALSE()),""))</f>
        <v/>
      </c>
      <c r="E259" s="6"/>
      <c r="F259" s="6"/>
      <c r="G259" s="6"/>
      <c r="H259" s="30" t="str">
        <f aca="false">IF((F259+G259)&gt;0,G259/(F259+G259),"")</f>
        <v/>
      </c>
      <c r="I259" s="14" t="n">
        <f aca="false">IF(C259="",0,IFERROR(VLOOKUP(C259,'Recetas y precios'!$A$5:$T$54,20,FALSE()),0))</f>
        <v>0</v>
      </c>
      <c r="J259" s="14" t="n">
        <f aca="false">G259*I259</f>
        <v>0</v>
      </c>
      <c r="K259" s="20"/>
      <c r="L259" s="6"/>
    </row>
    <row r="260" customFormat="false" ht="15" hidden="false" customHeight="false" outlineLevel="0" collapsed="false">
      <c r="A260" s="33"/>
      <c r="B260" s="6"/>
      <c r="C260" s="6"/>
      <c r="D260" s="0" t="str">
        <f aca="false">IF(C260="","",IFERROR(VLOOKUP(C260,'Recetas y precios'!$A$5:$B$54,2,FALSE()),""))</f>
        <v/>
      </c>
      <c r="E260" s="6"/>
      <c r="F260" s="6"/>
      <c r="G260" s="6"/>
      <c r="H260" s="30" t="str">
        <f aca="false">IF((F260+G260)&gt;0,G260/(F260+G260),"")</f>
        <v/>
      </c>
      <c r="I260" s="14" t="n">
        <f aca="false">IF(C260="",0,IFERROR(VLOOKUP(C260,'Recetas y precios'!$A$5:$T$54,20,FALSE()),0))</f>
        <v>0</v>
      </c>
      <c r="J260" s="14" t="n">
        <f aca="false">G260*I260</f>
        <v>0</v>
      </c>
      <c r="K260" s="20"/>
      <c r="L260" s="6"/>
    </row>
    <row r="261" customFormat="false" ht="15" hidden="false" customHeight="false" outlineLevel="0" collapsed="false">
      <c r="A261" s="33"/>
      <c r="B261" s="6"/>
      <c r="C261" s="6"/>
      <c r="D261" s="0" t="str">
        <f aca="false">IF(C261="","",IFERROR(VLOOKUP(C261,'Recetas y precios'!$A$5:$B$54,2,FALSE()),""))</f>
        <v/>
      </c>
      <c r="E261" s="6"/>
      <c r="F261" s="6"/>
      <c r="G261" s="6"/>
      <c r="H261" s="30" t="str">
        <f aca="false">IF((F261+G261)&gt;0,G261/(F261+G261),"")</f>
        <v/>
      </c>
      <c r="I261" s="14" t="n">
        <f aca="false">IF(C261="",0,IFERROR(VLOOKUP(C261,'Recetas y precios'!$A$5:$T$54,20,FALSE()),0))</f>
        <v>0</v>
      </c>
      <c r="J261" s="14" t="n">
        <f aca="false">G261*I261</f>
        <v>0</v>
      </c>
      <c r="K261" s="20"/>
      <c r="L261" s="6"/>
    </row>
    <row r="262" customFormat="false" ht="15" hidden="false" customHeight="false" outlineLevel="0" collapsed="false">
      <c r="A262" s="33"/>
      <c r="B262" s="6"/>
      <c r="C262" s="6"/>
      <c r="D262" s="0" t="str">
        <f aca="false">IF(C262="","",IFERROR(VLOOKUP(C262,'Recetas y precios'!$A$5:$B$54,2,FALSE()),""))</f>
        <v/>
      </c>
      <c r="E262" s="6"/>
      <c r="F262" s="6"/>
      <c r="G262" s="6"/>
      <c r="H262" s="30" t="str">
        <f aca="false">IF((F262+G262)&gt;0,G262/(F262+G262),"")</f>
        <v/>
      </c>
      <c r="I262" s="14" t="n">
        <f aca="false">IF(C262="",0,IFERROR(VLOOKUP(C262,'Recetas y precios'!$A$5:$T$54,20,FALSE()),0))</f>
        <v>0</v>
      </c>
      <c r="J262" s="14" t="n">
        <f aca="false">G262*I262</f>
        <v>0</v>
      </c>
      <c r="K262" s="20"/>
      <c r="L262" s="6"/>
    </row>
    <row r="263" customFormat="false" ht="15" hidden="false" customHeight="false" outlineLevel="0" collapsed="false">
      <c r="A263" s="33"/>
      <c r="B263" s="6"/>
      <c r="C263" s="6"/>
      <c r="D263" s="0" t="str">
        <f aca="false">IF(C263="","",IFERROR(VLOOKUP(C263,'Recetas y precios'!$A$5:$B$54,2,FALSE()),""))</f>
        <v/>
      </c>
      <c r="E263" s="6"/>
      <c r="F263" s="6"/>
      <c r="G263" s="6"/>
      <c r="H263" s="30" t="str">
        <f aca="false">IF((F263+G263)&gt;0,G263/(F263+G263),"")</f>
        <v/>
      </c>
      <c r="I263" s="14" t="n">
        <f aca="false">IF(C263="",0,IFERROR(VLOOKUP(C263,'Recetas y precios'!$A$5:$T$54,20,FALSE()),0))</f>
        <v>0</v>
      </c>
      <c r="J263" s="14" t="n">
        <f aca="false">G263*I263</f>
        <v>0</v>
      </c>
      <c r="K263" s="20"/>
      <c r="L263" s="6"/>
    </row>
    <row r="264" customFormat="false" ht="15" hidden="false" customHeight="false" outlineLevel="0" collapsed="false">
      <c r="A264" s="33"/>
      <c r="B264" s="6"/>
      <c r="C264" s="6"/>
      <c r="D264" s="0" t="str">
        <f aca="false">IF(C264="","",IFERROR(VLOOKUP(C264,'Recetas y precios'!$A$5:$B$54,2,FALSE()),""))</f>
        <v/>
      </c>
      <c r="E264" s="6"/>
      <c r="F264" s="6"/>
      <c r="G264" s="6"/>
      <c r="H264" s="30" t="str">
        <f aca="false">IF((F264+G264)&gt;0,G264/(F264+G264),"")</f>
        <v/>
      </c>
      <c r="I264" s="14" t="n">
        <f aca="false">IF(C264="",0,IFERROR(VLOOKUP(C264,'Recetas y precios'!$A$5:$T$54,20,FALSE()),0))</f>
        <v>0</v>
      </c>
      <c r="J264" s="14" t="n">
        <f aca="false">G264*I264</f>
        <v>0</v>
      </c>
      <c r="K264" s="20"/>
      <c r="L264" s="6"/>
    </row>
    <row r="265" customFormat="false" ht="15" hidden="false" customHeight="false" outlineLevel="0" collapsed="false">
      <c r="A265" s="33"/>
      <c r="B265" s="6"/>
      <c r="C265" s="6"/>
      <c r="D265" s="0" t="str">
        <f aca="false">IF(C265="","",IFERROR(VLOOKUP(C265,'Recetas y precios'!$A$5:$B$54,2,FALSE()),""))</f>
        <v/>
      </c>
      <c r="E265" s="6"/>
      <c r="F265" s="6"/>
      <c r="G265" s="6"/>
      <c r="H265" s="30" t="str">
        <f aca="false">IF((F265+G265)&gt;0,G265/(F265+G265),"")</f>
        <v/>
      </c>
      <c r="I265" s="14" t="n">
        <f aca="false">IF(C265="",0,IFERROR(VLOOKUP(C265,'Recetas y precios'!$A$5:$T$54,20,FALSE()),0))</f>
        <v>0</v>
      </c>
      <c r="J265" s="14" t="n">
        <f aca="false">G265*I265</f>
        <v>0</v>
      </c>
      <c r="K265" s="20"/>
      <c r="L265" s="6"/>
    </row>
    <row r="266" customFormat="false" ht="15" hidden="false" customHeight="false" outlineLevel="0" collapsed="false">
      <c r="A266" s="33"/>
      <c r="B266" s="6"/>
      <c r="C266" s="6"/>
      <c r="D266" s="0" t="str">
        <f aca="false">IF(C266="","",IFERROR(VLOOKUP(C266,'Recetas y precios'!$A$5:$B$54,2,FALSE()),""))</f>
        <v/>
      </c>
      <c r="E266" s="6"/>
      <c r="F266" s="6"/>
      <c r="G266" s="6"/>
      <c r="H266" s="30" t="str">
        <f aca="false">IF((F266+G266)&gt;0,G266/(F266+G266),"")</f>
        <v/>
      </c>
      <c r="I266" s="14" t="n">
        <f aca="false">IF(C266="",0,IFERROR(VLOOKUP(C266,'Recetas y precios'!$A$5:$T$54,20,FALSE()),0))</f>
        <v>0</v>
      </c>
      <c r="J266" s="14" t="n">
        <f aca="false">G266*I266</f>
        <v>0</v>
      </c>
      <c r="K266" s="20"/>
      <c r="L266" s="6"/>
    </row>
    <row r="267" customFormat="false" ht="15" hidden="false" customHeight="false" outlineLevel="0" collapsed="false">
      <c r="A267" s="33"/>
      <c r="B267" s="6"/>
      <c r="C267" s="6"/>
      <c r="D267" s="0" t="str">
        <f aca="false">IF(C267="","",IFERROR(VLOOKUP(C267,'Recetas y precios'!$A$5:$B$54,2,FALSE()),""))</f>
        <v/>
      </c>
      <c r="E267" s="6"/>
      <c r="F267" s="6"/>
      <c r="G267" s="6"/>
      <c r="H267" s="30" t="str">
        <f aca="false">IF((F267+G267)&gt;0,G267/(F267+G267),"")</f>
        <v/>
      </c>
      <c r="I267" s="14" t="n">
        <f aca="false">IF(C267="",0,IFERROR(VLOOKUP(C267,'Recetas y precios'!$A$5:$T$54,20,FALSE()),0))</f>
        <v>0</v>
      </c>
      <c r="J267" s="14" t="n">
        <f aca="false">G267*I267</f>
        <v>0</v>
      </c>
      <c r="K267" s="20"/>
      <c r="L267" s="6"/>
    </row>
    <row r="268" customFormat="false" ht="15" hidden="false" customHeight="false" outlineLevel="0" collapsed="false">
      <c r="A268" s="33"/>
      <c r="B268" s="6"/>
      <c r="C268" s="6"/>
      <c r="D268" s="0" t="str">
        <f aca="false">IF(C268="","",IFERROR(VLOOKUP(C268,'Recetas y precios'!$A$5:$B$54,2,FALSE()),""))</f>
        <v/>
      </c>
      <c r="E268" s="6"/>
      <c r="F268" s="6"/>
      <c r="G268" s="6"/>
      <c r="H268" s="30" t="str">
        <f aca="false">IF((F268+G268)&gt;0,G268/(F268+G268),"")</f>
        <v/>
      </c>
      <c r="I268" s="14" t="n">
        <f aca="false">IF(C268="",0,IFERROR(VLOOKUP(C268,'Recetas y precios'!$A$5:$T$54,20,FALSE()),0))</f>
        <v>0</v>
      </c>
      <c r="J268" s="14" t="n">
        <f aca="false">G268*I268</f>
        <v>0</v>
      </c>
      <c r="K268" s="20"/>
      <c r="L268" s="6"/>
    </row>
    <row r="269" customFormat="false" ht="15" hidden="false" customHeight="false" outlineLevel="0" collapsed="false">
      <c r="A269" s="33"/>
      <c r="B269" s="6"/>
      <c r="C269" s="6"/>
      <c r="D269" s="0" t="str">
        <f aca="false">IF(C269="","",IFERROR(VLOOKUP(C269,'Recetas y precios'!$A$5:$B$54,2,FALSE()),""))</f>
        <v/>
      </c>
      <c r="E269" s="6"/>
      <c r="F269" s="6"/>
      <c r="G269" s="6"/>
      <c r="H269" s="30" t="str">
        <f aca="false">IF((F269+G269)&gt;0,G269/(F269+G269),"")</f>
        <v/>
      </c>
      <c r="I269" s="14" t="n">
        <f aca="false">IF(C269="",0,IFERROR(VLOOKUP(C269,'Recetas y precios'!$A$5:$T$54,20,FALSE()),0))</f>
        <v>0</v>
      </c>
      <c r="J269" s="14" t="n">
        <f aca="false">G269*I269</f>
        <v>0</v>
      </c>
      <c r="K269" s="20"/>
      <c r="L269" s="6"/>
    </row>
    <row r="270" customFormat="false" ht="15" hidden="false" customHeight="false" outlineLevel="0" collapsed="false">
      <c r="A270" s="33"/>
      <c r="B270" s="6"/>
      <c r="C270" s="6"/>
      <c r="D270" s="0" t="str">
        <f aca="false">IF(C270="","",IFERROR(VLOOKUP(C270,'Recetas y precios'!$A$5:$B$54,2,FALSE()),""))</f>
        <v/>
      </c>
      <c r="E270" s="6"/>
      <c r="F270" s="6"/>
      <c r="G270" s="6"/>
      <c r="H270" s="30" t="str">
        <f aca="false">IF((F270+G270)&gt;0,G270/(F270+G270),"")</f>
        <v/>
      </c>
      <c r="I270" s="14" t="n">
        <f aca="false">IF(C270="",0,IFERROR(VLOOKUP(C270,'Recetas y precios'!$A$5:$T$54,20,FALSE()),0))</f>
        <v>0</v>
      </c>
      <c r="J270" s="14" t="n">
        <f aca="false">G270*I270</f>
        <v>0</v>
      </c>
      <c r="K270" s="20"/>
      <c r="L270" s="6"/>
    </row>
    <row r="271" customFormat="false" ht="15" hidden="false" customHeight="false" outlineLevel="0" collapsed="false">
      <c r="A271" s="33"/>
      <c r="B271" s="6"/>
      <c r="C271" s="6"/>
      <c r="D271" s="0" t="str">
        <f aca="false">IF(C271="","",IFERROR(VLOOKUP(C271,'Recetas y precios'!$A$5:$B$54,2,FALSE()),""))</f>
        <v/>
      </c>
      <c r="E271" s="6"/>
      <c r="F271" s="6"/>
      <c r="G271" s="6"/>
      <c r="H271" s="30" t="str">
        <f aca="false">IF((F271+G271)&gt;0,G271/(F271+G271),"")</f>
        <v/>
      </c>
      <c r="I271" s="14" t="n">
        <f aca="false">IF(C271="",0,IFERROR(VLOOKUP(C271,'Recetas y precios'!$A$5:$T$54,20,FALSE()),0))</f>
        <v>0</v>
      </c>
      <c r="J271" s="14" t="n">
        <f aca="false">G271*I271</f>
        <v>0</v>
      </c>
      <c r="K271" s="20"/>
      <c r="L271" s="6"/>
    </row>
    <row r="272" customFormat="false" ht="15" hidden="false" customHeight="false" outlineLevel="0" collapsed="false">
      <c r="A272" s="33"/>
      <c r="B272" s="6"/>
      <c r="C272" s="6"/>
      <c r="D272" s="0" t="str">
        <f aca="false">IF(C272="","",IFERROR(VLOOKUP(C272,'Recetas y precios'!$A$5:$B$54,2,FALSE()),""))</f>
        <v/>
      </c>
      <c r="E272" s="6"/>
      <c r="F272" s="6"/>
      <c r="G272" s="6"/>
      <c r="H272" s="30" t="str">
        <f aca="false">IF((F272+G272)&gt;0,G272/(F272+G272),"")</f>
        <v/>
      </c>
      <c r="I272" s="14" t="n">
        <f aca="false">IF(C272="",0,IFERROR(VLOOKUP(C272,'Recetas y precios'!$A$5:$T$54,20,FALSE()),0))</f>
        <v>0</v>
      </c>
      <c r="J272" s="14" t="n">
        <f aca="false">G272*I272</f>
        <v>0</v>
      </c>
      <c r="K272" s="20"/>
      <c r="L272" s="6"/>
    </row>
    <row r="273" customFormat="false" ht="15" hidden="false" customHeight="false" outlineLevel="0" collapsed="false">
      <c r="A273" s="33"/>
      <c r="B273" s="6"/>
      <c r="C273" s="6"/>
      <c r="D273" s="0" t="str">
        <f aca="false">IF(C273="","",IFERROR(VLOOKUP(C273,'Recetas y precios'!$A$5:$B$54,2,FALSE()),""))</f>
        <v/>
      </c>
      <c r="E273" s="6"/>
      <c r="F273" s="6"/>
      <c r="G273" s="6"/>
      <c r="H273" s="30" t="str">
        <f aca="false">IF((F273+G273)&gt;0,G273/(F273+G273),"")</f>
        <v/>
      </c>
      <c r="I273" s="14" t="n">
        <f aca="false">IF(C273="",0,IFERROR(VLOOKUP(C273,'Recetas y precios'!$A$5:$T$54,20,FALSE()),0))</f>
        <v>0</v>
      </c>
      <c r="J273" s="14" t="n">
        <f aca="false">G273*I273</f>
        <v>0</v>
      </c>
      <c r="K273" s="20"/>
      <c r="L273" s="6"/>
    </row>
    <row r="274" customFormat="false" ht="15" hidden="false" customHeight="false" outlineLevel="0" collapsed="false">
      <c r="A274" s="33"/>
      <c r="B274" s="6"/>
      <c r="C274" s="6"/>
      <c r="D274" s="0" t="str">
        <f aca="false">IF(C274="","",IFERROR(VLOOKUP(C274,'Recetas y precios'!$A$5:$B$54,2,FALSE()),""))</f>
        <v/>
      </c>
      <c r="E274" s="6"/>
      <c r="F274" s="6"/>
      <c r="G274" s="6"/>
      <c r="H274" s="30" t="str">
        <f aca="false">IF((F274+G274)&gt;0,G274/(F274+G274),"")</f>
        <v/>
      </c>
      <c r="I274" s="14" t="n">
        <f aca="false">IF(C274="",0,IFERROR(VLOOKUP(C274,'Recetas y precios'!$A$5:$T$54,20,FALSE()),0))</f>
        <v>0</v>
      </c>
      <c r="J274" s="14" t="n">
        <f aca="false">G274*I274</f>
        <v>0</v>
      </c>
      <c r="K274" s="20"/>
      <c r="L274" s="6"/>
    </row>
    <row r="275" customFormat="false" ht="15" hidden="false" customHeight="false" outlineLevel="0" collapsed="false">
      <c r="A275" s="33"/>
      <c r="B275" s="6"/>
      <c r="C275" s="6"/>
      <c r="D275" s="0" t="str">
        <f aca="false">IF(C275="","",IFERROR(VLOOKUP(C275,'Recetas y precios'!$A$5:$B$54,2,FALSE()),""))</f>
        <v/>
      </c>
      <c r="E275" s="6"/>
      <c r="F275" s="6"/>
      <c r="G275" s="6"/>
      <c r="H275" s="30" t="str">
        <f aca="false">IF((F275+G275)&gt;0,G275/(F275+G275),"")</f>
        <v/>
      </c>
      <c r="I275" s="14" t="n">
        <f aca="false">IF(C275="",0,IFERROR(VLOOKUP(C275,'Recetas y precios'!$A$5:$T$54,20,FALSE()),0))</f>
        <v>0</v>
      </c>
      <c r="J275" s="14" t="n">
        <f aca="false">G275*I275</f>
        <v>0</v>
      </c>
      <c r="K275" s="20"/>
      <c r="L275" s="6"/>
    </row>
    <row r="276" customFormat="false" ht="15" hidden="false" customHeight="false" outlineLevel="0" collapsed="false">
      <c r="A276" s="33"/>
      <c r="B276" s="6"/>
      <c r="C276" s="6"/>
      <c r="D276" s="0" t="str">
        <f aca="false">IF(C276="","",IFERROR(VLOOKUP(C276,'Recetas y precios'!$A$5:$B$54,2,FALSE()),""))</f>
        <v/>
      </c>
      <c r="E276" s="6"/>
      <c r="F276" s="6"/>
      <c r="G276" s="6"/>
      <c r="H276" s="30" t="str">
        <f aca="false">IF((F276+G276)&gt;0,G276/(F276+G276),"")</f>
        <v/>
      </c>
      <c r="I276" s="14" t="n">
        <f aca="false">IF(C276="",0,IFERROR(VLOOKUP(C276,'Recetas y precios'!$A$5:$T$54,20,FALSE()),0))</f>
        <v>0</v>
      </c>
      <c r="J276" s="14" t="n">
        <f aca="false">G276*I276</f>
        <v>0</v>
      </c>
      <c r="K276" s="20"/>
      <c r="L276" s="6"/>
    </row>
    <row r="277" customFormat="false" ht="15" hidden="false" customHeight="false" outlineLevel="0" collapsed="false">
      <c r="A277" s="33"/>
      <c r="B277" s="6"/>
      <c r="C277" s="6"/>
      <c r="D277" s="0" t="str">
        <f aca="false">IF(C277="","",IFERROR(VLOOKUP(C277,'Recetas y precios'!$A$5:$B$54,2,FALSE()),""))</f>
        <v/>
      </c>
      <c r="E277" s="6"/>
      <c r="F277" s="6"/>
      <c r="G277" s="6"/>
      <c r="H277" s="30" t="str">
        <f aca="false">IF((F277+G277)&gt;0,G277/(F277+G277),"")</f>
        <v/>
      </c>
      <c r="I277" s="14" t="n">
        <f aca="false">IF(C277="",0,IFERROR(VLOOKUP(C277,'Recetas y precios'!$A$5:$T$54,20,FALSE()),0))</f>
        <v>0</v>
      </c>
      <c r="J277" s="14" t="n">
        <f aca="false">G277*I277</f>
        <v>0</v>
      </c>
      <c r="K277" s="20"/>
      <c r="L277" s="6"/>
    </row>
    <row r="278" customFormat="false" ht="15" hidden="false" customHeight="false" outlineLevel="0" collapsed="false">
      <c r="A278" s="33"/>
      <c r="B278" s="6"/>
      <c r="C278" s="6"/>
      <c r="D278" s="0" t="str">
        <f aca="false">IF(C278="","",IFERROR(VLOOKUP(C278,'Recetas y precios'!$A$5:$B$54,2,FALSE()),""))</f>
        <v/>
      </c>
      <c r="E278" s="6"/>
      <c r="F278" s="6"/>
      <c r="G278" s="6"/>
      <c r="H278" s="30" t="str">
        <f aca="false">IF((F278+G278)&gt;0,G278/(F278+G278),"")</f>
        <v/>
      </c>
      <c r="I278" s="14" t="n">
        <f aca="false">IF(C278="",0,IFERROR(VLOOKUP(C278,'Recetas y precios'!$A$5:$T$54,20,FALSE()),0))</f>
        <v>0</v>
      </c>
      <c r="J278" s="14" t="n">
        <f aca="false">G278*I278</f>
        <v>0</v>
      </c>
      <c r="K278" s="20"/>
      <c r="L278" s="6"/>
    </row>
    <row r="279" customFormat="false" ht="15" hidden="false" customHeight="false" outlineLevel="0" collapsed="false">
      <c r="A279" s="33"/>
      <c r="B279" s="6"/>
      <c r="C279" s="6"/>
      <c r="D279" s="0" t="str">
        <f aca="false">IF(C279="","",IFERROR(VLOOKUP(C279,'Recetas y precios'!$A$5:$B$54,2,FALSE()),""))</f>
        <v/>
      </c>
      <c r="E279" s="6"/>
      <c r="F279" s="6"/>
      <c r="G279" s="6"/>
      <c r="H279" s="30" t="str">
        <f aca="false">IF((F279+G279)&gt;0,G279/(F279+G279),"")</f>
        <v/>
      </c>
      <c r="I279" s="14" t="n">
        <f aca="false">IF(C279="",0,IFERROR(VLOOKUP(C279,'Recetas y precios'!$A$5:$T$54,20,FALSE()),0))</f>
        <v>0</v>
      </c>
      <c r="J279" s="14" t="n">
        <f aca="false">G279*I279</f>
        <v>0</v>
      </c>
      <c r="K279" s="20"/>
      <c r="L279" s="6"/>
    </row>
    <row r="280" customFormat="false" ht="15" hidden="false" customHeight="false" outlineLevel="0" collapsed="false">
      <c r="A280" s="33"/>
      <c r="B280" s="6"/>
      <c r="C280" s="6"/>
      <c r="D280" s="0" t="str">
        <f aca="false">IF(C280="","",IFERROR(VLOOKUP(C280,'Recetas y precios'!$A$5:$B$54,2,FALSE()),""))</f>
        <v/>
      </c>
      <c r="E280" s="6"/>
      <c r="F280" s="6"/>
      <c r="G280" s="6"/>
      <c r="H280" s="30" t="str">
        <f aca="false">IF((F280+G280)&gt;0,G280/(F280+G280),"")</f>
        <v/>
      </c>
      <c r="I280" s="14" t="n">
        <f aca="false">IF(C280="",0,IFERROR(VLOOKUP(C280,'Recetas y precios'!$A$5:$T$54,20,FALSE()),0))</f>
        <v>0</v>
      </c>
      <c r="J280" s="14" t="n">
        <f aca="false">G280*I280</f>
        <v>0</v>
      </c>
      <c r="K280" s="20"/>
      <c r="L280" s="6"/>
    </row>
    <row r="281" customFormat="false" ht="15" hidden="false" customHeight="false" outlineLevel="0" collapsed="false">
      <c r="A281" s="33"/>
      <c r="B281" s="6"/>
      <c r="C281" s="6"/>
      <c r="D281" s="0" t="str">
        <f aca="false">IF(C281="","",IFERROR(VLOOKUP(C281,'Recetas y precios'!$A$5:$B$54,2,FALSE()),""))</f>
        <v/>
      </c>
      <c r="E281" s="6"/>
      <c r="F281" s="6"/>
      <c r="G281" s="6"/>
      <c r="H281" s="30" t="str">
        <f aca="false">IF((F281+G281)&gt;0,G281/(F281+G281),"")</f>
        <v/>
      </c>
      <c r="I281" s="14" t="n">
        <f aca="false">IF(C281="",0,IFERROR(VLOOKUP(C281,'Recetas y precios'!$A$5:$T$54,20,FALSE()),0))</f>
        <v>0</v>
      </c>
      <c r="J281" s="14" t="n">
        <f aca="false">G281*I281</f>
        <v>0</v>
      </c>
      <c r="K281" s="20"/>
      <c r="L281" s="6"/>
    </row>
    <row r="282" customFormat="false" ht="15" hidden="false" customHeight="false" outlineLevel="0" collapsed="false">
      <c r="A282" s="33"/>
      <c r="B282" s="6"/>
      <c r="C282" s="6"/>
      <c r="D282" s="0" t="str">
        <f aca="false">IF(C282="","",IFERROR(VLOOKUP(C282,'Recetas y precios'!$A$5:$B$54,2,FALSE()),""))</f>
        <v/>
      </c>
      <c r="E282" s="6"/>
      <c r="F282" s="6"/>
      <c r="G282" s="6"/>
      <c r="H282" s="30" t="str">
        <f aca="false">IF((F282+G282)&gt;0,G282/(F282+G282),"")</f>
        <v/>
      </c>
      <c r="I282" s="14" t="n">
        <f aca="false">IF(C282="",0,IFERROR(VLOOKUP(C282,'Recetas y precios'!$A$5:$T$54,20,FALSE()),0))</f>
        <v>0</v>
      </c>
      <c r="J282" s="14" t="n">
        <f aca="false">G282*I282</f>
        <v>0</v>
      </c>
      <c r="K282" s="20"/>
      <c r="L282" s="6"/>
    </row>
    <row r="283" customFormat="false" ht="15" hidden="false" customHeight="false" outlineLevel="0" collapsed="false">
      <c r="A283" s="33"/>
      <c r="B283" s="6"/>
      <c r="C283" s="6"/>
      <c r="D283" s="0" t="str">
        <f aca="false">IF(C283="","",IFERROR(VLOOKUP(C283,'Recetas y precios'!$A$5:$B$54,2,FALSE()),""))</f>
        <v/>
      </c>
      <c r="E283" s="6"/>
      <c r="F283" s="6"/>
      <c r="G283" s="6"/>
      <c r="H283" s="30" t="str">
        <f aca="false">IF((F283+G283)&gt;0,G283/(F283+G283),"")</f>
        <v/>
      </c>
      <c r="I283" s="14" t="n">
        <f aca="false">IF(C283="",0,IFERROR(VLOOKUP(C283,'Recetas y precios'!$A$5:$T$54,20,FALSE()),0))</f>
        <v>0</v>
      </c>
      <c r="J283" s="14" t="n">
        <f aca="false">G283*I283</f>
        <v>0</v>
      </c>
      <c r="K283" s="20"/>
      <c r="L283" s="6"/>
    </row>
    <row r="284" customFormat="false" ht="15" hidden="false" customHeight="false" outlineLevel="0" collapsed="false">
      <c r="A284" s="33"/>
      <c r="B284" s="6"/>
      <c r="C284" s="6"/>
      <c r="D284" s="0" t="str">
        <f aca="false">IF(C284="","",IFERROR(VLOOKUP(C284,'Recetas y precios'!$A$5:$B$54,2,FALSE()),""))</f>
        <v/>
      </c>
      <c r="E284" s="6"/>
      <c r="F284" s="6"/>
      <c r="G284" s="6"/>
      <c r="H284" s="30" t="str">
        <f aca="false">IF((F284+G284)&gt;0,G284/(F284+G284),"")</f>
        <v/>
      </c>
      <c r="I284" s="14" t="n">
        <f aca="false">IF(C284="",0,IFERROR(VLOOKUP(C284,'Recetas y precios'!$A$5:$T$54,20,FALSE()),0))</f>
        <v>0</v>
      </c>
      <c r="J284" s="14" t="n">
        <f aca="false">G284*I284</f>
        <v>0</v>
      </c>
      <c r="K284" s="20"/>
      <c r="L284" s="6"/>
    </row>
    <row r="285" customFormat="false" ht="15" hidden="false" customHeight="false" outlineLevel="0" collapsed="false">
      <c r="A285" s="33"/>
      <c r="B285" s="6"/>
      <c r="C285" s="6"/>
      <c r="D285" s="0" t="str">
        <f aca="false">IF(C285="","",IFERROR(VLOOKUP(C285,'Recetas y precios'!$A$5:$B$54,2,FALSE()),""))</f>
        <v/>
      </c>
      <c r="E285" s="6"/>
      <c r="F285" s="6"/>
      <c r="G285" s="6"/>
      <c r="H285" s="30" t="str">
        <f aca="false">IF((F285+G285)&gt;0,G285/(F285+G285),"")</f>
        <v/>
      </c>
      <c r="I285" s="14" t="n">
        <f aca="false">IF(C285="",0,IFERROR(VLOOKUP(C285,'Recetas y precios'!$A$5:$T$54,20,FALSE()),0))</f>
        <v>0</v>
      </c>
      <c r="J285" s="14" t="n">
        <f aca="false">G285*I285</f>
        <v>0</v>
      </c>
      <c r="K285" s="20"/>
      <c r="L285" s="6"/>
    </row>
    <row r="286" customFormat="false" ht="15" hidden="false" customHeight="false" outlineLevel="0" collapsed="false">
      <c r="A286" s="33"/>
      <c r="B286" s="6"/>
      <c r="C286" s="6"/>
      <c r="D286" s="0" t="str">
        <f aca="false">IF(C286="","",IFERROR(VLOOKUP(C286,'Recetas y precios'!$A$5:$B$54,2,FALSE()),""))</f>
        <v/>
      </c>
      <c r="E286" s="6"/>
      <c r="F286" s="6"/>
      <c r="G286" s="6"/>
      <c r="H286" s="30" t="str">
        <f aca="false">IF((F286+G286)&gt;0,G286/(F286+G286),"")</f>
        <v/>
      </c>
      <c r="I286" s="14" t="n">
        <f aca="false">IF(C286="",0,IFERROR(VLOOKUP(C286,'Recetas y precios'!$A$5:$T$54,20,FALSE()),0))</f>
        <v>0</v>
      </c>
      <c r="J286" s="14" t="n">
        <f aca="false">G286*I286</f>
        <v>0</v>
      </c>
      <c r="K286" s="20"/>
      <c r="L286" s="6"/>
    </row>
    <row r="287" customFormat="false" ht="15" hidden="false" customHeight="false" outlineLevel="0" collapsed="false">
      <c r="A287" s="33"/>
      <c r="B287" s="6"/>
      <c r="C287" s="6"/>
      <c r="D287" s="0" t="str">
        <f aca="false">IF(C287="","",IFERROR(VLOOKUP(C287,'Recetas y precios'!$A$5:$B$54,2,FALSE()),""))</f>
        <v/>
      </c>
      <c r="E287" s="6"/>
      <c r="F287" s="6"/>
      <c r="G287" s="6"/>
      <c r="H287" s="30" t="str">
        <f aca="false">IF((F287+G287)&gt;0,G287/(F287+G287),"")</f>
        <v/>
      </c>
      <c r="I287" s="14" t="n">
        <f aca="false">IF(C287="",0,IFERROR(VLOOKUP(C287,'Recetas y precios'!$A$5:$T$54,20,FALSE()),0))</f>
        <v>0</v>
      </c>
      <c r="J287" s="14" t="n">
        <f aca="false">G287*I287</f>
        <v>0</v>
      </c>
      <c r="K287" s="20"/>
      <c r="L287" s="6"/>
    </row>
    <row r="288" customFormat="false" ht="15" hidden="false" customHeight="false" outlineLevel="0" collapsed="false">
      <c r="A288" s="33"/>
      <c r="B288" s="6"/>
      <c r="C288" s="6"/>
      <c r="D288" s="0" t="str">
        <f aca="false">IF(C288="","",IFERROR(VLOOKUP(C288,'Recetas y precios'!$A$5:$B$54,2,FALSE()),""))</f>
        <v/>
      </c>
      <c r="E288" s="6"/>
      <c r="F288" s="6"/>
      <c r="G288" s="6"/>
      <c r="H288" s="30" t="str">
        <f aca="false">IF((F288+G288)&gt;0,G288/(F288+G288),"")</f>
        <v/>
      </c>
      <c r="I288" s="14" t="n">
        <f aca="false">IF(C288="",0,IFERROR(VLOOKUP(C288,'Recetas y precios'!$A$5:$T$54,20,FALSE()),0))</f>
        <v>0</v>
      </c>
      <c r="J288" s="14" t="n">
        <f aca="false">G288*I288</f>
        <v>0</v>
      </c>
      <c r="K288" s="20"/>
      <c r="L288" s="6"/>
    </row>
    <row r="289" customFormat="false" ht="15" hidden="false" customHeight="false" outlineLevel="0" collapsed="false">
      <c r="A289" s="33"/>
      <c r="B289" s="6"/>
      <c r="C289" s="6"/>
      <c r="D289" s="0" t="str">
        <f aca="false">IF(C289="","",IFERROR(VLOOKUP(C289,'Recetas y precios'!$A$5:$B$54,2,FALSE()),""))</f>
        <v/>
      </c>
      <c r="E289" s="6"/>
      <c r="F289" s="6"/>
      <c r="G289" s="6"/>
      <c r="H289" s="30" t="str">
        <f aca="false">IF((F289+G289)&gt;0,G289/(F289+G289),"")</f>
        <v/>
      </c>
      <c r="I289" s="14" t="n">
        <f aca="false">IF(C289="",0,IFERROR(VLOOKUP(C289,'Recetas y precios'!$A$5:$T$54,20,FALSE()),0))</f>
        <v>0</v>
      </c>
      <c r="J289" s="14" t="n">
        <f aca="false">G289*I289</f>
        <v>0</v>
      </c>
      <c r="K289" s="20"/>
      <c r="L289" s="6"/>
    </row>
    <row r="290" customFormat="false" ht="15" hidden="false" customHeight="false" outlineLevel="0" collapsed="false">
      <c r="A290" s="33"/>
      <c r="B290" s="6"/>
      <c r="C290" s="6"/>
      <c r="D290" s="0" t="str">
        <f aca="false">IF(C290="","",IFERROR(VLOOKUP(C290,'Recetas y precios'!$A$5:$B$54,2,FALSE()),""))</f>
        <v/>
      </c>
      <c r="E290" s="6"/>
      <c r="F290" s="6"/>
      <c r="G290" s="6"/>
      <c r="H290" s="30" t="str">
        <f aca="false">IF((F290+G290)&gt;0,G290/(F290+G290),"")</f>
        <v/>
      </c>
      <c r="I290" s="14" t="n">
        <f aca="false">IF(C290="",0,IFERROR(VLOOKUP(C290,'Recetas y precios'!$A$5:$T$54,20,FALSE()),0))</f>
        <v>0</v>
      </c>
      <c r="J290" s="14" t="n">
        <f aca="false">G290*I290</f>
        <v>0</v>
      </c>
      <c r="K290" s="20"/>
      <c r="L290" s="6"/>
    </row>
    <row r="291" customFormat="false" ht="15" hidden="false" customHeight="false" outlineLevel="0" collapsed="false">
      <c r="A291" s="33"/>
      <c r="B291" s="6"/>
      <c r="C291" s="6"/>
      <c r="D291" s="0" t="str">
        <f aca="false">IF(C291="","",IFERROR(VLOOKUP(C291,'Recetas y precios'!$A$5:$B$54,2,FALSE()),""))</f>
        <v/>
      </c>
      <c r="E291" s="6"/>
      <c r="F291" s="6"/>
      <c r="G291" s="6"/>
      <c r="H291" s="30" t="str">
        <f aca="false">IF((F291+G291)&gt;0,G291/(F291+G291),"")</f>
        <v/>
      </c>
      <c r="I291" s="14" t="n">
        <f aca="false">IF(C291="",0,IFERROR(VLOOKUP(C291,'Recetas y precios'!$A$5:$T$54,20,FALSE()),0))</f>
        <v>0</v>
      </c>
      <c r="J291" s="14" t="n">
        <f aca="false">G291*I291</f>
        <v>0</v>
      </c>
      <c r="K291" s="20"/>
      <c r="L291" s="6"/>
    </row>
    <row r="292" customFormat="false" ht="15" hidden="false" customHeight="false" outlineLevel="0" collapsed="false">
      <c r="A292" s="33"/>
      <c r="B292" s="6"/>
      <c r="C292" s="6"/>
      <c r="D292" s="0" t="str">
        <f aca="false">IF(C292="","",IFERROR(VLOOKUP(C292,'Recetas y precios'!$A$5:$B$54,2,FALSE()),""))</f>
        <v/>
      </c>
      <c r="E292" s="6"/>
      <c r="F292" s="6"/>
      <c r="G292" s="6"/>
      <c r="H292" s="30" t="str">
        <f aca="false">IF((F292+G292)&gt;0,G292/(F292+G292),"")</f>
        <v/>
      </c>
      <c r="I292" s="14" t="n">
        <f aca="false">IF(C292="",0,IFERROR(VLOOKUP(C292,'Recetas y precios'!$A$5:$T$54,20,FALSE()),0))</f>
        <v>0</v>
      </c>
      <c r="J292" s="14" t="n">
        <f aca="false">G292*I292</f>
        <v>0</v>
      </c>
      <c r="K292" s="20"/>
      <c r="L292" s="6"/>
    </row>
    <row r="293" customFormat="false" ht="15" hidden="false" customHeight="false" outlineLevel="0" collapsed="false">
      <c r="A293" s="33"/>
      <c r="B293" s="6"/>
      <c r="C293" s="6"/>
      <c r="D293" s="0" t="str">
        <f aca="false">IF(C293="","",IFERROR(VLOOKUP(C293,'Recetas y precios'!$A$5:$B$54,2,FALSE()),""))</f>
        <v/>
      </c>
      <c r="E293" s="6"/>
      <c r="F293" s="6"/>
      <c r="G293" s="6"/>
      <c r="H293" s="30" t="str">
        <f aca="false">IF((F293+G293)&gt;0,G293/(F293+G293),"")</f>
        <v/>
      </c>
      <c r="I293" s="14" t="n">
        <f aca="false">IF(C293="",0,IFERROR(VLOOKUP(C293,'Recetas y precios'!$A$5:$T$54,20,FALSE()),0))</f>
        <v>0</v>
      </c>
      <c r="J293" s="14" t="n">
        <f aca="false">G293*I293</f>
        <v>0</v>
      </c>
      <c r="K293" s="20"/>
      <c r="L293" s="6"/>
    </row>
    <row r="294" customFormat="false" ht="15" hidden="false" customHeight="false" outlineLevel="0" collapsed="false">
      <c r="A294" s="33"/>
      <c r="B294" s="6"/>
      <c r="C294" s="6"/>
      <c r="D294" s="0" t="str">
        <f aca="false">IF(C294="","",IFERROR(VLOOKUP(C294,'Recetas y precios'!$A$5:$B$54,2,FALSE()),""))</f>
        <v/>
      </c>
      <c r="E294" s="6"/>
      <c r="F294" s="6"/>
      <c r="G294" s="6"/>
      <c r="H294" s="30" t="str">
        <f aca="false">IF((F294+G294)&gt;0,G294/(F294+G294),"")</f>
        <v/>
      </c>
      <c r="I294" s="14" t="n">
        <f aca="false">IF(C294="",0,IFERROR(VLOOKUP(C294,'Recetas y precios'!$A$5:$T$54,20,FALSE()),0))</f>
        <v>0</v>
      </c>
      <c r="J294" s="14" t="n">
        <f aca="false">G294*I294</f>
        <v>0</v>
      </c>
      <c r="K294" s="20"/>
      <c r="L294" s="6"/>
    </row>
    <row r="295" customFormat="false" ht="15" hidden="false" customHeight="false" outlineLevel="0" collapsed="false">
      <c r="A295" s="33"/>
      <c r="B295" s="6"/>
      <c r="C295" s="6"/>
      <c r="D295" s="0" t="str">
        <f aca="false">IF(C295="","",IFERROR(VLOOKUP(C295,'Recetas y precios'!$A$5:$B$54,2,FALSE()),""))</f>
        <v/>
      </c>
      <c r="E295" s="6"/>
      <c r="F295" s="6"/>
      <c r="G295" s="6"/>
      <c r="H295" s="30" t="str">
        <f aca="false">IF((F295+G295)&gt;0,G295/(F295+G295),"")</f>
        <v/>
      </c>
      <c r="I295" s="14" t="n">
        <f aca="false">IF(C295="",0,IFERROR(VLOOKUP(C295,'Recetas y precios'!$A$5:$T$54,20,FALSE()),0))</f>
        <v>0</v>
      </c>
      <c r="J295" s="14" t="n">
        <f aca="false">G295*I295</f>
        <v>0</v>
      </c>
      <c r="K295" s="20"/>
      <c r="L295" s="6"/>
    </row>
    <row r="296" customFormat="false" ht="15" hidden="false" customHeight="false" outlineLevel="0" collapsed="false">
      <c r="A296" s="33"/>
      <c r="B296" s="6"/>
      <c r="C296" s="6"/>
      <c r="D296" s="0" t="str">
        <f aca="false">IF(C296="","",IFERROR(VLOOKUP(C296,'Recetas y precios'!$A$5:$B$54,2,FALSE()),""))</f>
        <v/>
      </c>
      <c r="E296" s="6"/>
      <c r="F296" s="6"/>
      <c r="G296" s="6"/>
      <c r="H296" s="30" t="str">
        <f aca="false">IF((F296+G296)&gt;0,G296/(F296+G296),"")</f>
        <v/>
      </c>
      <c r="I296" s="14" t="n">
        <f aca="false">IF(C296="",0,IFERROR(VLOOKUP(C296,'Recetas y precios'!$A$5:$T$54,20,FALSE()),0))</f>
        <v>0</v>
      </c>
      <c r="J296" s="14" t="n">
        <f aca="false">G296*I296</f>
        <v>0</v>
      </c>
      <c r="K296" s="20"/>
      <c r="L296" s="6"/>
    </row>
    <row r="297" customFormat="false" ht="15" hidden="false" customHeight="false" outlineLevel="0" collapsed="false">
      <c r="A297" s="33"/>
      <c r="B297" s="6"/>
      <c r="C297" s="6"/>
      <c r="D297" s="0" t="str">
        <f aca="false">IF(C297="","",IFERROR(VLOOKUP(C297,'Recetas y precios'!$A$5:$B$54,2,FALSE()),""))</f>
        <v/>
      </c>
      <c r="E297" s="6"/>
      <c r="F297" s="6"/>
      <c r="G297" s="6"/>
      <c r="H297" s="30" t="str">
        <f aca="false">IF((F297+G297)&gt;0,G297/(F297+G297),"")</f>
        <v/>
      </c>
      <c r="I297" s="14" t="n">
        <f aca="false">IF(C297="",0,IFERROR(VLOOKUP(C297,'Recetas y precios'!$A$5:$T$54,20,FALSE()),0))</f>
        <v>0</v>
      </c>
      <c r="J297" s="14" t="n">
        <f aca="false">G297*I297</f>
        <v>0</v>
      </c>
      <c r="K297" s="20"/>
      <c r="L297" s="6"/>
    </row>
    <row r="298" customFormat="false" ht="15" hidden="false" customHeight="false" outlineLevel="0" collapsed="false">
      <c r="A298" s="33"/>
      <c r="B298" s="6"/>
      <c r="C298" s="6"/>
      <c r="D298" s="0" t="str">
        <f aca="false">IF(C298="","",IFERROR(VLOOKUP(C298,'Recetas y precios'!$A$5:$B$54,2,FALSE()),""))</f>
        <v/>
      </c>
      <c r="E298" s="6"/>
      <c r="F298" s="6"/>
      <c r="G298" s="6"/>
      <c r="H298" s="30" t="str">
        <f aca="false">IF((F298+G298)&gt;0,G298/(F298+G298),"")</f>
        <v/>
      </c>
      <c r="I298" s="14" t="n">
        <f aca="false">IF(C298="",0,IFERROR(VLOOKUP(C298,'Recetas y precios'!$A$5:$T$54,20,FALSE()),0))</f>
        <v>0</v>
      </c>
      <c r="J298" s="14" t="n">
        <f aca="false">G298*I298</f>
        <v>0</v>
      </c>
      <c r="K298" s="20"/>
      <c r="L298" s="6"/>
    </row>
    <row r="299" customFormat="false" ht="15" hidden="false" customHeight="false" outlineLevel="0" collapsed="false">
      <c r="A299" s="33"/>
      <c r="B299" s="6"/>
      <c r="C299" s="6"/>
      <c r="D299" s="0" t="str">
        <f aca="false">IF(C299="","",IFERROR(VLOOKUP(C299,'Recetas y precios'!$A$5:$B$54,2,FALSE()),""))</f>
        <v/>
      </c>
      <c r="E299" s="6"/>
      <c r="F299" s="6"/>
      <c r="G299" s="6"/>
      <c r="H299" s="30" t="str">
        <f aca="false">IF((F299+G299)&gt;0,G299/(F299+G299),"")</f>
        <v/>
      </c>
      <c r="I299" s="14" t="n">
        <f aca="false">IF(C299="",0,IFERROR(VLOOKUP(C299,'Recetas y precios'!$A$5:$T$54,20,FALSE()),0))</f>
        <v>0</v>
      </c>
      <c r="J299" s="14" t="n">
        <f aca="false">G299*I299</f>
        <v>0</v>
      </c>
      <c r="K299" s="20"/>
      <c r="L299" s="6"/>
    </row>
    <row r="300" customFormat="false" ht="15" hidden="false" customHeight="false" outlineLevel="0" collapsed="false">
      <c r="A300" s="33"/>
      <c r="B300" s="6"/>
      <c r="C300" s="6"/>
      <c r="D300" s="0" t="str">
        <f aca="false">IF(C300="","",IFERROR(VLOOKUP(C300,'Recetas y precios'!$A$5:$B$54,2,FALSE()),""))</f>
        <v/>
      </c>
      <c r="E300" s="6"/>
      <c r="F300" s="6"/>
      <c r="G300" s="6"/>
      <c r="H300" s="30" t="str">
        <f aca="false">IF((F300+G300)&gt;0,G300/(F300+G300),"")</f>
        <v/>
      </c>
      <c r="I300" s="14" t="n">
        <f aca="false">IF(C300="",0,IFERROR(VLOOKUP(C300,'Recetas y precios'!$A$5:$T$54,20,FALSE()),0))</f>
        <v>0</v>
      </c>
      <c r="J300" s="14" t="n">
        <f aca="false">G300*I300</f>
        <v>0</v>
      </c>
      <c r="K300" s="20"/>
      <c r="L300" s="6"/>
    </row>
    <row r="301" customFormat="false" ht="15" hidden="false" customHeight="false" outlineLevel="0" collapsed="false">
      <c r="A301" s="33"/>
      <c r="B301" s="6"/>
      <c r="C301" s="6"/>
      <c r="D301" s="0" t="str">
        <f aca="false">IF(C301="","",IFERROR(VLOOKUP(C301,'Recetas y precios'!$A$5:$B$54,2,FALSE()),""))</f>
        <v/>
      </c>
      <c r="E301" s="6"/>
      <c r="F301" s="6"/>
      <c r="G301" s="6"/>
      <c r="H301" s="30" t="str">
        <f aca="false">IF((F301+G301)&gt;0,G301/(F301+G301),"")</f>
        <v/>
      </c>
      <c r="I301" s="14" t="n">
        <f aca="false">IF(C301="",0,IFERROR(VLOOKUP(C301,'Recetas y precios'!$A$5:$T$54,20,FALSE()),0))</f>
        <v>0</v>
      </c>
      <c r="J301" s="14" t="n">
        <f aca="false">G301*I301</f>
        <v>0</v>
      </c>
      <c r="K301" s="20"/>
      <c r="L301" s="6"/>
    </row>
    <row r="302" customFormat="false" ht="15" hidden="false" customHeight="false" outlineLevel="0" collapsed="false">
      <c r="A302" s="33"/>
      <c r="B302" s="6"/>
      <c r="C302" s="6"/>
      <c r="D302" s="0" t="str">
        <f aca="false">IF(C302="","",IFERROR(VLOOKUP(C302,'Recetas y precios'!$A$5:$B$54,2,FALSE()),""))</f>
        <v/>
      </c>
      <c r="E302" s="6"/>
      <c r="F302" s="6"/>
      <c r="G302" s="6"/>
      <c r="H302" s="30" t="str">
        <f aca="false">IF((F302+G302)&gt;0,G302/(F302+G302),"")</f>
        <v/>
      </c>
      <c r="I302" s="14" t="n">
        <f aca="false">IF(C302="",0,IFERROR(VLOOKUP(C302,'Recetas y precios'!$A$5:$T$54,20,FALSE()),0))</f>
        <v>0</v>
      </c>
      <c r="J302" s="14" t="n">
        <f aca="false">G302*I302</f>
        <v>0</v>
      </c>
      <c r="K302" s="20"/>
      <c r="L302" s="6"/>
    </row>
    <row r="303" customFormat="false" ht="15" hidden="false" customHeight="false" outlineLevel="0" collapsed="false">
      <c r="A303" s="33"/>
      <c r="B303" s="6"/>
      <c r="C303" s="6"/>
      <c r="D303" s="0" t="str">
        <f aca="false">IF(C303="","",IFERROR(VLOOKUP(C303,'Recetas y precios'!$A$5:$B$54,2,FALSE()),""))</f>
        <v/>
      </c>
      <c r="E303" s="6"/>
      <c r="F303" s="6"/>
      <c r="G303" s="6"/>
      <c r="H303" s="30" t="str">
        <f aca="false">IF((F303+G303)&gt;0,G303/(F303+G303),"")</f>
        <v/>
      </c>
      <c r="I303" s="14" t="n">
        <f aca="false">IF(C303="",0,IFERROR(VLOOKUP(C303,'Recetas y precios'!$A$5:$T$54,20,FALSE()),0))</f>
        <v>0</v>
      </c>
      <c r="J303" s="14" t="n">
        <f aca="false">G303*I303</f>
        <v>0</v>
      </c>
      <c r="K303" s="20"/>
      <c r="L303" s="6"/>
    </row>
    <row r="304" customFormat="false" ht="15" hidden="false" customHeight="false" outlineLevel="0" collapsed="false">
      <c r="A304" s="33"/>
      <c r="B304" s="6"/>
      <c r="C304" s="6"/>
      <c r="D304" s="0" t="str">
        <f aca="false">IF(C304="","",IFERROR(VLOOKUP(C304,'Recetas y precios'!$A$5:$B$54,2,FALSE()),""))</f>
        <v/>
      </c>
      <c r="E304" s="6"/>
      <c r="F304" s="6"/>
      <c r="G304" s="6"/>
      <c r="H304" s="30" t="str">
        <f aca="false">IF((F304+G304)&gt;0,G304/(F304+G304),"")</f>
        <v/>
      </c>
      <c r="I304" s="14" t="n">
        <f aca="false">IF(C304="",0,IFERROR(VLOOKUP(C304,'Recetas y precios'!$A$5:$T$54,20,FALSE()),0))</f>
        <v>0</v>
      </c>
      <c r="J304" s="14" t="n">
        <f aca="false">G304*I304</f>
        <v>0</v>
      </c>
      <c r="K304" s="20"/>
      <c r="L304" s="6"/>
    </row>
  </sheetData>
  <conditionalFormatting sqref="H5:H304">
    <cfRule type="expression" priority="2" aboveAverage="0" equalAverage="0" bottom="0" percent="0" rank="0" text="" dxfId="7">
      <formula>AND(H5&lt;&gt;"",H5&gt;'Mi negocio'!$C$24)</formula>
    </cfRule>
  </conditionalFormatting>
  <dataValidations count="2">
    <dataValidation allowBlank="true" errorStyle="stop" operator="between" showDropDown="false" showErrorMessage="false" showInputMessage="false" sqref="K5:K304" type="list">
      <formula1>"Tortilla rota o desfondada,Guisado aguado,Canasta abierta antes de tiempo,Sobrante al final de la ruta,Temperatura baja (&lt; 60 °C),Tortilla quebradiza,Error de porcionado,Devolución de cliente,Prueba y cata,Otro"</formula1>
      <formula2>0</formula2>
    </dataValidation>
    <dataValidation allowBlank="true" errorStyle="stop" operator="between" showDropDown="false" showErrorMessage="false" showInputMessage="false" sqref="C5:C304" type="whole">
      <formula1>1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848</v>
      </c>
    </row>
    <row r="2" customFormat="false" ht="15" hidden="false" customHeight="false" outlineLevel="0" collapsed="false">
      <c r="A2" s="7" t="s">
        <v>849</v>
      </c>
    </row>
    <row r="4" customFormat="false" ht="30" hidden="false" customHeight="true" outlineLevel="0" collapsed="false">
      <c r="A4" s="8" t="s">
        <v>834</v>
      </c>
      <c r="B4" s="8" t="s">
        <v>836</v>
      </c>
      <c r="C4" s="8" t="s">
        <v>367</v>
      </c>
      <c r="D4" s="8" t="s">
        <v>850</v>
      </c>
      <c r="E4" s="8" t="s">
        <v>851</v>
      </c>
      <c r="F4" s="8" t="s">
        <v>852</v>
      </c>
      <c r="G4" s="8" t="s">
        <v>853</v>
      </c>
      <c r="H4" s="8" t="s">
        <v>854</v>
      </c>
      <c r="I4" s="8" t="s">
        <v>855</v>
      </c>
      <c r="J4" s="8" t="s">
        <v>856</v>
      </c>
      <c r="K4" s="8" t="s">
        <v>857</v>
      </c>
      <c r="L4" s="8" t="s">
        <v>858</v>
      </c>
      <c r="M4" s="8" t="s">
        <v>859</v>
      </c>
    </row>
    <row r="5" customFormat="false" ht="15" hidden="false" customHeight="false" outlineLevel="0" collapsed="false">
      <c r="A5" s="33" t="n">
        <v>46300</v>
      </c>
      <c r="B5" s="6" t="n">
        <v>1</v>
      </c>
      <c r="C5" s="0" t="str">
        <f aca="false">IF(B5="","",IFERROR(VLOOKUP(B5,'Recetas y precios'!$A$5:$B$54,2,FALSE()),""))</f>
        <v>Papa Machacada Campesina con Cebolla Confitada al Comal</v>
      </c>
      <c r="D5" s="20" t="s">
        <v>860</v>
      </c>
      <c r="E5" s="6" t="n">
        <v>40</v>
      </c>
      <c r="F5" s="29" t="n">
        <v>13</v>
      </c>
      <c r="G5" s="14" t="n">
        <f aca="false">E5*F5</f>
        <v>520</v>
      </c>
      <c r="H5" s="14" t="n">
        <f aca="false">IF(B5="",0,E5*IFERROR(VLOOKUP(B5,'Recetas y precios'!$A$5:$T$54,20,FALSE()),0))</f>
        <v>255.83829787234</v>
      </c>
      <c r="I5" s="26" t="n">
        <v>0</v>
      </c>
      <c r="J5" s="14" t="n">
        <f aca="false">G5*I5</f>
        <v>0</v>
      </c>
      <c r="K5" s="14" t="n">
        <f aca="false">G5-H5-J5</f>
        <v>264.16170212766</v>
      </c>
      <c r="L5" s="30" t="n">
        <f aca="false">IF(G5&gt;0,K5/G5,"")</f>
        <v>0.508003273322422</v>
      </c>
      <c r="M5" s="6" t="s">
        <v>847</v>
      </c>
    </row>
    <row r="6" customFormat="false" ht="15" hidden="false" customHeight="false" outlineLevel="0" collapsed="false">
      <c r="A6" s="33"/>
      <c r="B6" s="6"/>
      <c r="C6" s="0" t="str">
        <f aca="false">IF(B6="","",IFERROR(VLOOKUP(B6,'Recetas y precios'!$A$5:$B$54,2,FALSE()),""))</f>
        <v/>
      </c>
      <c r="D6" s="20"/>
      <c r="E6" s="6"/>
      <c r="F6" s="29"/>
      <c r="G6" s="14" t="n">
        <f aca="false">E6*F6</f>
        <v>0</v>
      </c>
      <c r="H6" s="14" t="n">
        <f aca="false">IF(B6="",0,E6*IFERROR(VLOOKUP(B6,'Recetas y precios'!$A$5:$T$54,20,FALSE()),0))</f>
        <v>0</v>
      </c>
      <c r="I6" s="26"/>
      <c r="J6" s="14" t="n">
        <f aca="false">G6*I6</f>
        <v>0</v>
      </c>
      <c r="K6" s="14" t="n">
        <f aca="false">G6-H6-J6</f>
        <v>0</v>
      </c>
      <c r="L6" s="30" t="str">
        <f aca="false">IF(G6&gt;0,K6/G6,"")</f>
        <v/>
      </c>
      <c r="M6" s="6"/>
    </row>
    <row r="7" customFormat="false" ht="15" hidden="false" customHeight="false" outlineLevel="0" collapsed="false">
      <c r="A7" s="33"/>
      <c r="B7" s="6"/>
      <c r="C7" s="0" t="str">
        <f aca="false">IF(B7="","",IFERROR(VLOOKUP(B7,'Recetas y precios'!$A$5:$B$54,2,FALSE()),""))</f>
        <v/>
      </c>
      <c r="D7" s="20"/>
      <c r="E7" s="6"/>
      <c r="F7" s="29"/>
      <c r="G7" s="14" t="n">
        <f aca="false">E7*F7</f>
        <v>0</v>
      </c>
      <c r="H7" s="14" t="n">
        <f aca="false">IF(B7="",0,E7*IFERROR(VLOOKUP(B7,'Recetas y precios'!$A$5:$T$54,20,FALSE()),0))</f>
        <v>0</v>
      </c>
      <c r="I7" s="26"/>
      <c r="J7" s="14" t="n">
        <f aca="false">G7*I7</f>
        <v>0</v>
      </c>
      <c r="K7" s="14" t="n">
        <f aca="false">G7-H7-J7</f>
        <v>0</v>
      </c>
      <c r="L7" s="30" t="str">
        <f aca="false">IF(G7&gt;0,K7/G7,"")</f>
        <v/>
      </c>
      <c r="M7" s="6"/>
    </row>
    <row r="8" customFormat="false" ht="15" hidden="false" customHeight="false" outlineLevel="0" collapsed="false">
      <c r="A8" s="33"/>
      <c r="B8" s="6"/>
      <c r="C8" s="0" t="str">
        <f aca="false">IF(B8="","",IFERROR(VLOOKUP(B8,'Recetas y precios'!$A$5:$B$54,2,FALSE()),""))</f>
        <v/>
      </c>
      <c r="D8" s="20"/>
      <c r="E8" s="6"/>
      <c r="F8" s="29"/>
      <c r="G8" s="14" t="n">
        <f aca="false">E8*F8</f>
        <v>0</v>
      </c>
      <c r="H8" s="14" t="n">
        <f aca="false">IF(B8="",0,E8*IFERROR(VLOOKUP(B8,'Recetas y precios'!$A$5:$T$54,20,FALSE()),0))</f>
        <v>0</v>
      </c>
      <c r="I8" s="26"/>
      <c r="J8" s="14" t="n">
        <f aca="false">G8*I8</f>
        <v>0</v>
      </c>
      <c r="K8" s="14" t="n">
        <f aca="false">G8-H8-J8</f>
        <v>0</v>
      </c>
      <c r="L8" s="30" t="str">
        <f aca="false">IF(G8&gt;0,K8/G8,"")</f>
        <v/>
      </c>
      <c r="M8" s="6"/>
    </row>
    <row r="9" customFormat="false" ht="15" hidden="false" customHeight="false" outlineLevel="0" collapsed="false">
      <c r="A9" s="33"/>
      <c r="B9" s="6"/>
      <c r="C9" s="0" t="str">
        <f aca="false">IF(B9="","",IFERROR(VLOOKUP(B9,'Recetas y precios'!$A$5:$B$54,2,FALSE()),""))</f>
        <v/>
      </c>
      <c r="D9" s="20"/>
      <c r="E9" s="6"/>
      <c r="F9" s="29"/>
      <c r="G9" s="14" t="n">
        <f aca="false">E9*F9</f>
        <v>0</v>
      </c>
      <c r="H9" s="14" t="n">
        <f aca="false">IF(B9="",0,E9*IFERROR(VLOOKUP(B9,'Recetas y precios'!$A$5:$T$54,20,FALSE()),0))</f>
        <v>0</v>
      </c>
      <c r="I9" s="26"/>
      <c r="J9" s="14" t="n">
        <f aca="false">G9*I9</f>
        <v>0</v>
      </c>
      <c r="K9" s="14" t="n">
        <f aca="false">G9-H9-J9</f>
        <v>0</v>
      </c>
      <c r="L9" s="30" t="str">
        <f aca="false">IF(G9&gt;0,K9/G9,"")</f>
        <v/>
      </c>
      <c r="M9" s="6"/>
    </row>
    <row r="10" customFormat="false" ht="15" hidden="false" customHeight="false" outlineLevel="0" collapsed="false">
      <c r="A10" s="33"/>
      <c r="B10" s="6"/>
      <c r="C10" s="0" t="str">
        <f aca="false">IF(B10="","",IFERROR(VLOOKUP(B10,'Recetas y precios'!$A$5:$B$54,2,FALSE()),""))</f>
        <v/>
      </c>
      <c r="D10" s="20"/>
      <c r="E10" s="6"/>
      <c r="F10" s="29"/>
      <c r="G10" s="14" t="n">
        <f aca="false">E10*F10</f>
        <v>0</v>
      </c>
      <c r="H10" s="14" t="n">
        <f aca="false">IF(B10="",0,E10*IFERROR(VLOOKUP(B10,'Recetas y precios'!$A$5:$T$54,20,FALSE()),0))</f>
        <v>0</v>
      </c>
      <c r="I10" s="26"/>
      <c r="J10" s="14" t="n">
        <f aca="false">G10*I10</f>
        <v>0</v>
      </c>
      <c r="K10" s="14" t="n">
        <f aca="false">G10-H10-J10</f>
        <v>0</v>
      </c>
      <c r="L10" s="30" t="str">
        <f aca="false">IF(G10&gt;0,K10/G10,"")</f>
        <v/>
      </c>
      <c r="M10" s="6"/>
    </row>
    <row r="11" customFormat="false" ht="15" hidden="false" customHeight="false" outlineLevel="0" collapsed="false">
      <c r="A11" s="33"/>
      <c r="B11" s="6"/>
      <c r="C11" s="0" t="str">
        <f aca="false">IF(B11="","",IFERROR(VLOOKUP(B11,'Recetas y precios'!$A$5:$B$54,2,FALSE()),""))</f>
        <v/>
      </c>
      <c r="D11" s="20"/>
      <c r="E11" s="6"/>
      <c r="F11" s="29"/>
      <c r="G11" s="14" t="n">
        <f aca="false">E11*F11</f>
        <v>0</v>
      </c>
      <c r="H11" s="14" t="n">
        <f aca="false">IF(B11="",0,E11*IFERROR(VLOOKUP(B11,'Recetas y precios'!$A$5:$T$54,20,FALSE()),0))</f>
        <v>0</v>
      </c>
      <c r="I11" s="26"/>
      <c r="J11" s="14" t="n">
        <f aca="false">G11*I11</f>
        <v>0</v>
      </c>
      <c r="K11" s="14" t="n">
        <f aca="false">G11-H11-J11</f>
        <v>0</v>
      </c>
      <c r="L11" s="30" t="str">
        <f aca="false">IF(G11&gt;0,K11/G11,"")</f>
        <v/>
      </c>
      <c r="M11" s="6"/>
    </row>
    <row r="12" customFormat="false" ht="15" hidden="false" customHeight="false" outlineLevel="0" collapsed="false">
      <c r="A12" s="33"/>
      <c r="B12" s="6"/>
      <c r="C12" s="0" t="str">
        <f aca="false">IF(B12="","",IFERROR(VLOOKUP(B12,'Recetas y precios'!$A$5:$B$54,2,FALSE()),""))</f>
        <v/>
      </c>
      <c r="D12" s="20"/>
      <c r="E12" s="6"/>
      <c r="F12" s="29"/>
      <c r="G12" s="14" t="n">
        <f aca="false">E12*F12</f>
        <v>0</v>
      </c>
      <c r="H12" s="14" t="n">
        <f aca="false">IF(B12="",0,E12*IFERROR(VLOOKUP(B12,'Recetas y precios'!$A$5:$T$54,20,FALSE()),0))</f>
        <v>0</v>
      </c>
      <c r="I12" s="26"/>
      <c r="J12" s="14" t="n">
        <f aca="false">G12*I12</f>
        <v>0</v>
      </c>
      <c r="K12" s="14" t="n">
        <f aca="false">G12-H12-J12</f>
        <v>0</v>
      </c>
      <c r="L12" s="30" t="str">
        <f aca="false">IF(G12&gt;0,K12/G12,"")</f>
        <v/>
      </c>
      <c r="M12" s="6"/>
    </row>
    <row r="13" customFormat="false" ht="15" hidden="false" customHeight="false" outlineLevel="0" collapsed="false">
      <c r="A13" s="33"/>
      <c r="B13" s="6"/>
      <c r="C13" s="0" t="str">
        <f aca="false">IF(B13="","",IFERROR(VLOOKUP(B13,'Recetas y precios'!$A$5:$B$54,2,FALSE()),""))</f>
        <v/>
      </c>
      <c r="D13" s="20"/>
      <c r="E13" s="6"/>
      <c r="F13" s="29"/>
      <c r="G13" s="14" t="n">
        <f aca="false">E13*F13</f>
        <v>0</v>
      </c>
      <c r="H13" s="14" t="n">
        <f aca="false">IF(B13="",0,E13*IFERROR(VLOOKUP(B13,'Recetas y precios'!$A$5:$T$54,20,FALSE()),0))</f>
        <v>0</v>
      </c>
      <c r="I13" s="26"/>
      <c r="J13" s="14" t="n">
        <f aca="false">G13*I13</f>
        <v>0</v>
      </c>
      <c r="K13" s="14" t="n">
        <f aca="false">G13-H13-J13</f>
        <v>0</v>
      </c>
      <c r="L13" s="30" t="str">
        <f aca="false">IF(G13&gt;0,K13/G13,"")</f>
        <v/>
      </c>
      <c r="M13" s="6"/>
    </row>
    <row r="14" customFormat="false" ht="15" hidden="false" customHeight="false" outlineLevel="0" collapsed="false">
      <c r="A14" s="33"/>
      <c r="B14" s="6"/>
      <c r="C14" s="0" t="str">
        <f aca="false">IF(B14="","",IFERROR(VLOOKUP(B14,'Recetas y precios'!$A$5:$B$54,2,FALSE()),""))</f>
        <v/>
      </c>
      <c r="D14" s="20"/>
      <c r="E14" s="6"/>
      <c r="F14" s="29"/>
      <c r="G14" s="14" t="n">
        <f aca="false">E14*F14</f>
        <v>0</v>
      </c>
      <c r="H14" s="14" t="n">
        <f aca="false">IF(B14="",0,E14*IFERROR(VLOOKUP(B14,'Recetas y precios'!$A$5:$T$54,20,FALSE()),0))</f>
        <v>0</v>
      </c>
      <c r="I14" s="26"/>
      <c r="J14" s="14" t="n">
        <f aca="false">G14*I14</f>
        <v>0</v>
      </c>
      <c r="K14" s="14" t="n">
        <f aca="false">G14-H14-J14</f>
        <v>0</v>
      </c>
      <c r="L14" s="30" t="str">
        <f aca="false">IF(G14&gt;0,K14/G14,"")</f>
        <v/>
      </c>
      <c r="M14" s="6"/>
    </row>
    <row r="15" customFormat="false" ht="15" hidden="false" customHeight="false" outlineLevel="0" collapsed="false">
      <c r="A15" s="33"/>
      <c r="B15" s="6"/>
      <c r="C15" s="0" t="str">
        <f aca="false">IF(B15="","",IFERROR(VLOOKUP(B15,'Recetas y precios'!$A$5:$B$54,2,FALSE()),""))</f>
        <v/>
      </c>
      <c r="D15" s="20"/>
      <c r="E15" s="6"/>
      <c r="F15" s="29"/>
      <c r="G15" s="14" t="n">
        <f aca="false">E15*F15</f>
        <v>0</v>
      </c>
      <c r="H15" s="14" t="n">
        <f aca="false">IF(B15="",0,E15*IFERROR(VLOOKUP(B15,'Recetas y precios'!$A$5:$T$54,20,FALSE()),0))</f>
        <v>0</v>
      </c>
      <c r="I15" s="26"/>
      <c r="J15" s="14" t="n">
        <f aca="false">G15*I15</f>
        <v>0</v>
      </c>
      <c r="K15" s="14" t="n">
        <f aca="false">G15-H15-J15</f>
        <v>0</v>
      </c>
      <c r="L15" s="30" t="str">
        <f aca="false">IF(G15&gt;0,K15/G15,"")</f>
        <v/>
      </c>
      <c r="M15" s="6"/>
    </row>
    <row r="16" customFormat="false" ht="15" hidden="false" customHeight="false" outlineLevel="0" collapsed="false">
      <c r="A16" s="33"/>
      <c r="B16" s="6"/>
      <c r="C16" s="0" t="str">
        <f aca="false">IF(B16="","",IFERROR(VLOOKUP(B16,'Recetas y precios'!$A$5:$B$54,2,FALSE()),""))</f>
        <v/>
      </c>
      <c r="D16" s="20"/>
      <c r="E16" s="6"/>
      <c r="F16" s="29"/>
      <c r="G16" s="14" t="n">
        <f aca="false">E16*F16</f>
        <v>0</v>
      </c>
      <c r="H16" s="14" t="n">
        <f aca="false">IF(B16="",0,E16*IFERROR(VLOOKUP(B16,'Recetas y precios'!$A$5:$T$54,20,FALSE()),0))</f>
        <v>0</v>
      </c>
      <c r="I16" s="26"/>
      <c r="J16" s="14" t="n">
        <f aca="false">G16*I16</f>
        <v>0</v>
      </c>
      <c r="K16" s="14" t="n">
        <f aca="false">G16-H16-J16</f>
        <v>0</v>
      </c>
      <c r="L16" s="30" t="str">
        <f aca="false">IF(G16&gt;0,K16/G16,"")</f>
        <v/>
      </c>
      <c r="M16" s="6"/>
    </row>
    <row r="17" customFormat="false" ht="15" hidden="false" customHeight="false" outlineLevel="0" collapsed="false">
      <c r="A17" s="33"/>
      <c r="B17" s="6"/>
      <c r="C17" s="0" t="str">
        <f aca="false">IF(B17="","",IFERROR(VLOOKUP(B17,'Recetas y precios'!$A$5:$B$54,2,FALSE()),""))</f>
        <v/>
      </c>
      <c r="D17" s="20"/>
      <c r="E17" s="6"/>
      <c r="F17" s="29"/>
      <c r="G17" s="14" t="n">
        <f aca="false">E17*F17</f>
        <v>0</v>
      </c>
      <c r="H17" s="14" t="n">
        <f aca="false">IF(B17="",0,E17*IFERROR(VLOOKUP(B17,'Recetas y precios'!$A$5:$T$54,20,FALSE()),0))</f>
        <v>0</v>
      </c>
      <c r="I17" s="26"/>
      <c r="J17" s="14" t="n">
        <f aca="false">G17*I17</f>
        <v>0</v>
      </c>
      <c r="K17" s="14" t="n">
        <f aca="false">G17-H17-J17</f>
        <v>0</v>
      </c>
      <c r="L17" s="30" t="str">
        <f aca="false">IF(G17&gt;0,K17/G17,"")</f>
        <v/>
      </c>
      <c r="M17" s="6"/>
    </row>
    <row r="18" customFormat="false" ht="15" hidden="false" customHeight="false" outlineLevel="0" collapsed="false">
      <c r="A18" s="33"/>
      <c r="B18" s="6"/>
      <c r="C18" s="0" t="str">
        <f aca="false">IF(B18="","",IFERROR(VLOOKUP(B18,'Recetas y precios'!$A$5:$B$54,2,FALSE()),""))</f>
        <v/>
      </c>
      <c r="D18" s="20"/>
      <c r="E18" s="6"/>
      <c r="F18" s="29"/>
      <c r="G18" s="14" t="n">
        <f aca="false">E18*F18</f>
        <v>0</v>
      </c>
      <c r="H18" s="14" t="n">
        <f aca="false">IF(B18="",0,E18*IFERROR(VLOOKUP(B18,'Recetas y precios'!$A$5:$T$54,20,FALSE()),0))</f>
        <v>0</v>
      </c>
      <c r="I18" s="26"/>
      <c r="J18" s="14" t="n">
        <f aca="false">G18*I18</f>
        <v>0</v>
      </c>
      <c r="K18" s="14" t="n">
        <f aca="false">G18-H18-J18</f>
        <v>0</v>
      </c>
      <c r="L18" s="30" t="str">
        <f aca="false">IF(G18&gt;0,K18/G18,"")</f>
        <v/>
      </c>
      <c r="M18" s="6"/>
    </row>
    <row r="19" customFormat="false" ht="15" hidden="false" customHeight="false" outlineLevel="0" collapsed="false">
      <c r="A19" s="33"/>
      <c r="B19" s="6"/>
      <c r="C19" s="0" t="str">
        <f aca="false">IF(B19="","",IFERROR(VLOOKUP(B19,'Recetas y precios'!$A$5:$B$54,2,FALSE()),""))</f>
        <v/>
      </c>
      <c r="D19" s="20"/>
      <c r="E19" s="6"/>
      <c r="F19" s="29"/>
      <c r="G19" s="14" t="n">
        <f aca="false">E19*F19</f>
        <v>0</v>
      </c>
      <c r="H19" s="14" t="n">
        <f aca="false">IF(B19="",0,E19*IFERROR(VLOOKUP(B19,'Recetas y precios'!$A$5:$T$54,20,FALSE()),0))</f>
        <v>0</v>
      </c>
      <c r="I19" s="26"/>
      <c r="J19" s="14" t="n">
        <f aca="false">G19*I19</f>
        <v>0</v>
      </c>
      <c r="K19" s="14" t="n">
        <f aca="false">G19-H19-J19</f>
        <v>0</v>
      </c>
      <c r="L19" s="30" t="str">
        <f aca="false">IF(G19&gt;0,K19/G19,"")</f>
        <v/>
      </c>
      <c r="M19" s="6"/>
    </row>
    <row r="20" customFormat="false" ht="15" hidden="false" customHeight="false" outlineLevel="0" collapsed="false">
      <c r="A20" s="33"/>
      <c r="B20" s="6"/>
      <c r="C20" s="0" t="str">
        <f aca="false">IF(B20="","",IFERROR(VLOOKUP(B20,'Recetas y precios'!$A$5:$B$54,2,FALSE()),""))</f>
        <v/>
      </c>
      <c r="D20" s="20"/>
      <c r="E20" s="6"/>
      <c r="F20" s="29"/>
      <c r="G20" s="14" t="n">
        <f aca="false">E20*F20</f>
        <v>0</v>
      </c>
      <c r="H20" s="14" t="n">
        <f aca="false">IF(B20="",0,E20*IFERROR(VLOOKUP(B20,'Recetas y precios'!$A$5:$T$54,20,FALSE()),0))</f>
        <v>0</v>
      </c>
      <c r="I20" s="26"/>
      <c r="J20" s="14" t="n">
        <f aca="false">G20*I20</f>
        <v>0</v>
      </c>
      <c r="K20" s="14" t="n">
        <f aca="false">G20-H20-J20</f>
        <v>0</v>
      </c>
      <c r="L20" s="30" t="str">
        <f aca="false">IF(G20&gt;0,K20/G20,"")</f>
        <v/>
      </c>
      <c r="M20" s="6"/>
    </row>
    <row r="21" customFormat="false" ht="15" hidden="false" customHeight="false" outlineLevel="0" collapsed="false">
      <c r="A21" s="33"/>
      <c r="B21" s="6"/>
      <c r="C21" s="0" t="str">
        <f aca="false">IF(B21="","",IFERROR(VLOOKUP(B21,'Recetas y precios'!$A$5:$B$54,2,FALSE()),""))</f>
        <v/>
      </c>
      <c r="D21" s="20"/>
      <c r="E21" s="6"/>
      <c r="F21" s="29"/>
      <c r="G21" s="14" t="n">
        <f aca="false">E21*F21</f>
        <v>0</v>
      </c>
      <c r="H21" s="14" t="n">
        <f aca="false">IF(B21="",0,E21*IFERROR(VLOOKUP(B21,'Recetas y precios'!$A$5:$T$54,20,FALSE()),0))</f>
        <v>0</v>
      </c>
      <c r="I21" s="26"/>
      <c r="J21" s="14" t="n">
        <f aca="false">G21*I21</f>
        <v>0</v>
      </c>
      <c r="K21" s="14" t="n">
        <f aca="false">G21-H21-J21</f>
        <v>0</v>
      </c>
      <c r="L21" s="30" t="str">
        <f aca="false">IF(G21&gt;0,K21/G21,"")</f>
        <v/>
      </c>
      <c r="M21" s="6"/>
    </row>
    <row r="22" customFormat="false" ht="15" hidden="false" customHeight="false" outlineLevel="0" collapsed="false">
      <c r="A22" s="33"/>
      <c r="B22" s="6"/>
      <c r="C22" s="0" t="str">
        <f aca="false">IF(B22="","",IFERROR(VLOOKUP(B22,'Recetas y precios'!$A$5:$B$54,2,FALSE()),""))</f>
        <v/>
      </c>
      <c r="D22" s="20"/>
      <c r="E22" s="6"/>
      <c r="F22" s="29"/>
      <c r="G22" s="14" t="n">
        <f aca="false">E22*F22</f>
        <v>0</v>
      </c>
      <c r="H22" s="14" t="n">
        <f aca="false">IF(B22="",0,E22*IFERROR(VLOOKUP(B22,'Recetas y precios'!$A$5:$T$54,20,FALSE()),0))</f>
        <v>0</v>
      </c>
      <c r="I22" s="26"/>
      <c r="J22" s="14" t="n">
        <f aca="false">G22*I22</f>
        <v>0</v>
      </c>
      <c r="K22" s="14" t="n">
        <f aca="false">G22-H22-J22</f>
        <v>0</v>
      </c>
      <c r="L22" s="30" t="str">
        <f aca="false">IF(G22&gt;0,K22/G22,"")</f>
        <v/>
      </c>
      <c r="M22" s="6"/>
    </row>
    <row r="23" customFormat="false" ht="15" hidden="false" customHeight="false" outlineLevel="0" collapsed="false">
      <c r="A23" s="33"/>
      <c r="B23" s="6"/>
      <c r="C23" s="0" t="str">
        <f aca="false">IF(B23="","",IFERROR(VLOOKUP(B23,'Recetas y precios'!$A$5:$B$54,2,FALSE()),""))</f>
        <v/>
      </c>
      <c r="D23" s="20"/>
      <c r="E23" s="6"/>
      <c r="F23" s="29"/>
      <c r="G23" s="14" t="n">
        <f aca="false">E23*F23</f>
        <v>0</v>
      </c>
      <c r="H23" s="14" t="n">
        <f aca="false">IF(B23="",0,E23*IFERROR(VLOOKUP(B23,'Recetas y precios'!$A$5:$T$54,20,FALSE()),0))</f>
        <v>0</v>
      </c>
      <c r="I23" s="26"/>
      <c r="J23" s="14" t="n">
        <f aca="false">G23*I23</f>
        <v>0</v>
      </c>
      <c r="K23" s="14" t="n">
        <f aca="false">G23-H23-J23</f>
        <v>0</v>
      </c>
      <c r="L23" s="30" t="str">
        <f aca="false">IF(G23&gt;0,K23/G23,"")</f>
        <v/>
      </c>
      <c r="M23" s="6"/>
    </row>
    <row r="24" customFormat="false" ht="15" hidden="false" customHeight="false" outlineLevel="0" collapsed="false">
      <c r="A24" s="33"/>
      <c r="B24" s="6"/>
      <c r="C24" s="0" t="str">
        <f aca="false">IF(B24="","",IFERROR(VLOOKUP(B24,'Recetas y precios'!$A$5:$B$54,2,FALSE()),""))</f>
        <v/>
      </c>
      <c r="D24" s="20"/>
      <c r="E24" s="6"/>
      <c r="F24" s="29"/>
      <c r="G24" s="14" t="n">
        <f aca="false">E24*F24</f>
        <v>0</v>
      </c>
      <c r="H24" s="14" t="n">
        <f aca="false">IF(B24="",0,E24*IFERROR(VLOOKUP(B24,'Recetas y precios'!$A$5:$T$54,20,FALSE()),0))</f>
        <v>0</v>
      </c>
      <c r="I24" s="26"/>
      <c r="J24" s="14" t="n">
        <f aca="false">G24*I24</f>
        <v>0</v>
      </c>
      <c r="K24" s="14" t="n">
        <f aca="false">G24-H24-J24</f>
        <v>0</v>
      </c>
      <c r="L24" s="30" t="str">
        <f aca="false">IF(G24&gt;0,K24/G24,"")</f>
        <v/>
      </c>
      <c r="M24" s="6"/>
    </row>
    <row r="25" customFormat="false" ht="15" hidden="false" customHeight="false" outlineLevel="0" collapsed="false">
      <c r="A25" s="33"/>
      <c r="B25" s="6"/>
      <c r="C25" s="0" t="str">
        <f aca="false">IF(B25="","",IFERROR(VLOOKUP(B25,'Recetas y precios'!$A$5:$B$54,2,FALSE()),""))</f>
        <v/>
      </c>
      <c r="D25" s="20"/>
      <c r="E25" s="6"/>
      <c r="F25" s="29"/>
      <c r="G25" s="14" t="n">
        <f aca="false">E25*F25</f>
        <v>0</v>
      </c>
      <c r="H25" s="14" t="n">
        <f aca="false">IF(B25="",0,E25*IFERROR(VLOOKUP(B25,'Recetas y precios'!$A$5:$T$54,20,FALSE()),0))</f>
        <v>0</v>
      </c>
      <c r="I25" s="26"/>
      <c r="J25" s="14" t="n">
        <f aca="false">G25*I25</f>
        <v>0</v>
      </c>
      <c r="K25" s="14" t="n">
        <f aca="false">G25-H25-J25</f>
        <v>0</v>
      </c>
      <c r="L25" s="30" t="str">
        <f aca="false">IF(G25&gt;0,K25/G25,"")</f>
        <v/>
      </c>
      <c r="M25" s="6"/>
    </row>
    <row r="26" customFormat="false" ht="15" hidden="false" customHeight="false" outlineLevel="0" collapsed="false">
      <c r="A26" s="33"/>
      <c r="B26" s="6"/>
      <c r="C26" s="0" t="str">
        <f aca="false">IF(B26="","",IFERROR(VLOOKUP(B26,'Recetas y precios'!$A$5:$B$54,2,FALSE()),""))</f>
        <v/>
      </c>
      <c r="D26" s="20"/>
      <c r="E26" s="6"/>
      <c r="F26" s="29"/>
      <c r="G26" s="14" t="n">
        <f aca="false">E26*F26</f>
        <v>0</v>
      </c>
      <c r="H26" s="14" t="n">
        <f aca="false">IF(B26="",0,E26*IFERROR(VLOOKUP(B26,'Recetas y precios'!$A$5:$T$54,20,FALSE()),0))</f>
        <v>0</v>
      </c>
      <c r="I26" s="26"/>
      <c r="J26" s="14" t="n">
        <f aca="false">G26*I26</f>
        <v>0</v>
      </c>
      <c r="K26" s="14" t="n">
        <f aca="false">G26-H26-J26</f>
        <v>0</v>
      </c>
      <c r="L26" s="30" t="str">
        <f aca="false">IF(G26&gt;0,K26/G26,"")</f>
        <v/>
      </c>
      <c r="M26" s="6"/>
    </row>
    <row r="27" customFormat="false" ht="15" hidden="false" customHeight="false" outlineLevel="0" collapsed="false">
      <c r="A27" s="33"/>
      <c r="B27" s="6"/>
      <c r="C27" s="0" t="str">
        <f aca="false">IF(B27="","",IFERROR(VLOOKUP(B27,'Recetas y precios'!$A$5:$B$54,2,FALSE()),""))</f>
        <v/>
      </c>
      <c r="D27" s="20"/>
      <c r="E27" s="6"/>
      <c r="F27" s="29"/>
      <c r="G27" s="14" t="n">
        <f aca="false">E27*F27</f>
        <v>0</v>
      </c>
      <c r="H27" s="14" t="n">
        <f aca="false">IF(B27="",0,E27*IFERROR(VLOOKUP(B27,'Recetas y precios'!$A$5:$T$54,20,FALSE()),0))</f>
        <v>0</v>
      </c>
      <c r="I27" s="26"/>
      <c r="J27" s="14" t="n">
        <f aca="false">G27*I27</f>
        <v>0</v>
      </c>
      <c r="K27" s="14" t="n">
        <f aca="false">G27-H27-J27</f>
        <v>0</v>
      </c>
      <c r="L27" s="30" t="str">
        <f aca="false">IF(G27&gt;0,K27/G27,"")</f>
        <v/>
      </c>
      <c r="M27" s="6"/>
    </row>
    <row r="28" customFormat="false" ht="15" hidden="false" customHeight="false" outlineLevel="0" collapsed="false">
      <c r="A28" s="33"/>
      <c r="B28" s="6"/>
      <c r="C28" s="0" t="str">
        <f aca="false">IF(B28="","",IFERROR(VLOOKUP(B28,'Recetas y precios'!$A$5:$B$54,2,FALSE()),""))</f>
        <v/>
      </c>
      <c r="D28" s="20"/>
      <c r="E28" s="6"/>
      <c r="F28" s="29"/>
      <c r="G28" s="14" t="n">
        <f aca="false">E28*F28</f>
        <v>0</v>
      </c>
      <c r="H28" s="14" t="n">
        <f aca="false">IF(B28="",0,E28*IFERROR(VLOOKUP(B28,'Recetas y precios'!$A$5:$T$54,20,FALSE()),0))</f>
        <v>0</v>
      </c>
      <c r="I28" s="26"/>
      <c r="J28" s="14" t="n">
        <f aca="false">G28*I28</f>
        <v>0</v>
      </c>
      <c r="K28" s="14" t="n">
        <f aca="false">G28-H28-J28</f>
        <v>0</v>
      </c>
      <c r="L28" s="30" t="str">
        <f aca="false">IF(G28&gt;0,K28/G28,"")</f>
        <v/>
      </c>
      <c r="M28" s="6"/>
    </row>
    <row r="29" customFormat="false" ht="15" hidden="false" customHeight="false" outlineLevel="0" collapsed="false">
      <c r="A29" s="33"/>
      <c r="B29" s="6"/>
      <c r="C29" s="0" t="str">
        <f aca="false">IF(B29="","",IFERROR(VLOOKUP(B29,'Recetas y precios'!$A$5:$B$54,2,FALSE()),""))</f>
        <v/>
      </c>
      <c r="D29" s="20"/>
      <c r="E29" s="6"/>
      <c r="F29" s="29"/>
      <c r="G29" s="14" t="n">
        <f aca="false">E29*F29</f>
        <v>0</v>
      </c>
      <c r="H29" s="14" t="n">
        <f aca="false">IF(B29="",0,E29*IFERROR(VLOOKUP(B29,'Recetas y precios'!$A$5:$T$54,20,FALSE()),0))</f>
        <v>0</v>
      </c>
      <c r="I29" s="26"/>
      <c r="J29" s="14" t="n">
        <f aca="false">G29*I29</f>
        <v>0</v>
      </c>
      <c r="K29" s="14" t="n">
        <f aca="false">G29-H29-J29</f>
        <v>0</v>
      </c>
      <c r="L29" s="30" t="str">
        <f aca="false">IF(G29&gt;0,K29/G29,"")</f>
        <v/>
      </c>
      <c r="M29" s="6"/>
    </row>
    <row r="30" customFormat="false" ht="15" hidden="false" customHeight="false" outlineLevel="0" collapsed="false">
      <c r="A30" s="33"/>
      <c r="B30" s="6"/>
      <c r="C30" s="0" t="str">
        <f aca="false">IF(B30="","",IFERROR(VLOOKUP(B30,'Recetas y precios'!$A$5:$B$54,2,FALSE()),""))</f>
        <v/>
      </c>
      <c r="D30" s="20"/>
      <c r="E30" s="6"/>
      <c r="F30" s="29"/>
      <c r="G30" s="14" t="n">
        <f aca="false">E30*F30</f>
        <v>0</v>
      </c>
      <c r="H30" s="14" t="n">
        <f aca="false">IF(B30="",0,E30*IFERROR(VLOOKUP(B30,'Recetas y precios'!$A$5:$T$54,20,FALSE()),0))</f>
        <v>0</v>
      </c>
      <c r="I30" s="26"/>
      <c r="J30" s="14" t="n">
        <f aca="false">G30*I30</f>
        <v>0</v>
      </c>
      <c r="K30" s="14" t="n">
        <f aca="false">G30-H30-J30</f>
        <v>0</v>
      </c>
      <c r="L30" s="30" t="str">
        <f aca="false">IF(G30&gt;0,K30/G30,"")</f>
        <v/>
      </c>
      <c r="M30" s="6"/>
    </row>
    <row r="31" customFormat="false" ht="15" hidden="false" customHeight="false" outlineLevel="0" collapsed="false">
      <c r="A31" s="33"/>
      <c r="B31" s="6"/>
      <c r="C31" s="0" t="str">
        <f aca="false">IF(B31="","",IFERROR(VLOOKUP(B31,'Recetas y precios'!$A$5:$B$54,2,FALSE()),""))</f>
        <v/>
      </c>
      <c r="D31" s="20"/>
      <c r="E31" s="6"/>
      <c r="F31" s="29"/>
      <c r="G31" s="14" t="n">
        <f aca="false">E31*F31</f>
        <v>0</v>
      </c>
      <c r="H31" s="14" t="n">
        <f aca="false">IF(B31="",0,E31*IFERROR(VLOOKUP(B31,'Recetas y precios'!$A$5:$T$54,20,FALSE()),0))</f>
        <v>0</v>
      </c>
      <c r="I31" s="26"/>
      <c r="J31" s="14" t="n">
        <f aca="false">G31*I31</f>
        <v>0</v>
      </c>
      <c r="K31" s="14" t="n">
        <f aca="false">G31-H31-J31</f>
        <v>0</v>
      </c>
      <c r="L31" s="30" t="str">
        <f aca="false">IF(G31&gt;0,K31/G31,"")</f>
        <v/>
      </c>
      <c r="M31" s="6"/>
    </row>
    <row r="32" customFormat="false" ht="15" hidden="false" customHeight="false" outlineLevel="0" collapsed="false">
      <c r="A32" s="33"/>
      <c r="B32" s="6"/>
      <c r="C32" s="0" t="str">
        <f aca="false">IF(B32="","",IFERROR(VLOOKUP(B32,'Recetas y precios'!$A$5:$B$54,2,FALSE()),""))</f>
        <v/>
      </c>
      <c r="D32" s="20"/>
      <c r="E32" s="6"/>
      <c r="F32" s="29"/>
      <c r="G32" s="14" t="n">
        <f aca="false">E32*F32</f>
        <v>0</v>
      </c>
      <c r="H32" s="14" t="n">
        <f aca="false">IF(B32="",0,E32*IFERROR(VLOOKUP(B32,'Recetas y precios'!$A$5:$T$54,20,FALSE()),0))</f>
        <v>0</v>
      </c>
      <c r="I32" s="26"/>
      <c r="J32" s="14" t="n">
        <f aca="false">G32*I32</f>
        <v>0</v>
      </c>
      <c r="K32" s="14" t="n">
        <f aca="false">G32-H32-J32</f>
        <v>0</v>
      </c>
      <c r="L32" s="30" t="str">
        <f aca="false">IF(G32&gt;0,K32/G32,"")</f>
        <v/>
      </c>
      <c r="M32" s="6"/>
    </row>
    <row r="33" customFormat="false" ht="15" hidden="false" customHeight="false" outlineLevel="0" collapsed="false">
      <c r="A33" s="33"/>
      <c r="B33" s="6"/>
      <c r="C33" s="0" t="str">
        <f aca="false">IF(B33="","",IFERROR(VLOOKUP(B33,'Recetas y precios'!$A$5:$B$54,2,FALSE()),""))</f>
        <v/>
      </c>
      <c r="D33" s="20"/>
      <c r="E33" s="6"/>
      <c r="F33" s="29"/>
      <c r="G33" s="14" t="n">
        <f aca="false">E33*F33</f>
        <v>0</v>
      </c>
      <c r="H33" s="14" t="n">
        <f aca="false">IF(B33="",0,E33*IFERROR(VLOOKUP(B33,'Recetas y precios'!$A$5:$T$54,20,FALSE()),0))</f>
        <v>0</v>
      </c>
      <c r="I33" s="26"/>
      <c r="J33" s="14" t="n">
        <f aca="false">G33*I33</f>
        <v>0</v>
      </c>
      <c r="K33" s="14" t="n">
        <f aca="false">G33-H33-J33</f>
        <v>0</v>
      </c>
      <c r="L33" s="30" t="str">
        <f aca="false">IF(G33&gt;0,K33/G33,"")</f>
        <v/>
      </c>
      <c r="M33" s="6"/>
    </row>
    <row r="34" customFormat="false" ht="15" hidden="false" customHeight="false" outlineLevel="0" collapsed="false">
      <c r="A34" s="33"/>
      <c r="B34" s="6"/>
      <c r="C34" s="0" t="str">
        <f aca="false">IF(B34="","",IFERROR(VLOOKUP(B34,'Recetas y precios'!$A$5:$B$54,2,FALSE()),""))</f>
        <v/>
      </c>
      <c r="D34" s="20"/>
      <c r="E34" s="6"/>
      <c r="F34" s="29"/>
      <c r="G34" s="14" t="n">
        <f aca="false">E34*F34</f>
        <v>0</v>
      </c>
      <c r="H34" s="14" t="n">
        <f aca="false">IF(B34="",0,E34*IFERROR(VLOOKUP(B34,'Recetas y precios'!$A$5:$T$54,20,FALSE()),0))</f>
        <v>0</v>
      </c>
      <c r="I34" s="26"/>
      <c r="J34" s="14" t="n">
        <f aca="false">G34*I34</f>
        <v>0</v>
      </c>
      <c r="K34" s="14" t="n">
        <f aca="false">G34-H34-J34</f>
        <v>0</v>
      </c>
      <c r="L34" s="30" t="str">
        <f aca="false">IF(G34&gt;0,K34/G34,"")</f>
        <v/>
      </c>
      <c r="M34" s="6"/>
    </row>
    <row r="35" customFormat="false" ht="15" hidden="false" customHeight="false" outlineLevel="0" collapsed="false">
      <c r="A35" s="33"/>
      <c r="B35" s="6"/>
      <c r="C35" s="0" t="str">
        <f aca="false">IF(B35="","",IFERROR(VLOOKUP(B35,'Recetas y precios'!$A$5:$B$54,2,FALSE()),""))</f>
        <v/>
      </c>
      <c r="D35" s="20"/>
      <c r="E35" s="6"/>
      <c r="F35" s="29"/>
      <c r="G35" s="14" t="n">
        <f aca="false">E35*F35</f>
        <v>0</v>
      </c>
      <c r="H35" s="14" t="n">
        <f aca="false">IF(B35="",0,E35*IFERROR(VLOOKUP(B35,'Recetas y precios'!$A$5:$T$54,20,FALSE()),0))</f>
        <v>0</v>
      </c>
      <c r="I35" s="26"/>
      <c r="J35" s="14" t="n">
        <f aca="false">G35*I35</f>
        <v>0</v>
      </c>
      <c r="K35" s="14" t="n">
        <f aca="false">G35-H35-J35</f>
        <v>0</v>
      </c>
      <c r="L35" s="30" t="str">
        <f aca="false">IF(G35&gt;0,K35/G35,"")</f>
        <v/>
      </c>
      <c r="M35" s="6"/>
    </row>
    <row r="36" customFormat="false" ht="15" hidden="false" customHeight="false" outlineLevel="0" collapsed="false">
      <c r="A36" s="33"/>
      <c r="B36" s="6"/>
      <c r="C36" s="0" t="str">
        <f aca="false">IF(B36="","",IFERROR(VLOOKUP(B36,'Recetas y precios'!$A$5:$B$54,2,FALSE()),""))</f>
        <v/>
      </c>
      <c r="D36" s="20"/>
      <c r="E36" s="6"/>
      <c r="F36" s="29"/>
      <c r="G36" s="14" t="n">
        <f aca="false">E36*F36</f>
        <v>0</v>
      </c>
      <c r="H36" s="14" t="n">
        <f aca="false">IF(B36="",0,E36*IFERROR(VLOOKUP(B36,'Recetas y precios'!$A$5:$T$54,20,FALSE()),0))</f>
        <v>0</v>
      </c>
      <c r="I36" s="26"/>
      <c r="J36" s="14" t="n">
        <f aca="false">G36*I36</f>
        <v>0</v>
      </c>
      <c r="K36" s="14" t="n">
        <f aca="false">G36-H36-J36</f>
        <v>0</v>
      </c>
      <c r="L36" s="30" t="str">
        <f aca="false">IF(G36&gt;0,K36/G36,"")</f>
        <v/>
      </c>
      <c r="M36" s="6"/>
    </row>
    <row r="37" customFormat="false" ht="15" hidden="false" customHeight="false" outlineLevel="0" collapsed="false">
      <c r="A37" s="33"/>
      <c r="B37" s="6"/>
      <c r="C37" s="0" t="str">
        <f aca="false">IF(B37="","",IFERROR(VLOOKUP(B37,'Recetas y precios'!$A$5:$B$54,2,FALSE()),""))</f>
        <v/>
      </c>
      <c r="D37" s="20"/>
      <c r="E37" s="6"/>
      <c r="F37" s="29"/>
      <c r="G37" s="14" t="n">
        <f aca="false">E37*F37</f>
        <v>0</v>
      </c>
      <c r="H37" s="14" t="n">
        <f aca="false">IF(B37="",0,E37*IFERROR(VLOOKUP(B37,'Recetas y precios'!$A$5:$T$54,20,FALSE()),0))</f>
        <v>0</v>
      </c>
      <c r="I37" s="26"/>
      <c r="J37" s="14" t="n">
        <f aca="false">G37*I37</f>
        <v>0</v>
      </c>
      <c r="K37" s="14" t="n">
        <f aca="false">G37-H37-J37</f>
        <v>0</v>
      </c>
      <c r="L37" s="30" t="str">
        <f aca="false">IF(G37&gt;0,K37/G37,"")</f>
        <v/>
      </c>
      <c r="M37" s="6"/>
    </row>
    <row r="38" customFormat="false" ht="15" hidden="false" customHeight="false" outlineLevel="0" collapsed="false">
      <c r="A38" s="33"/>
      <c r="B38" s="6"/>
      <c r="C38" s="0" t="str">
        <f aca="false">IF(B38="","",IFERROR(VLOOKUP(B38,'Recetas y precios'!$A$5:$B$54,2,FALSE()),""))</f>
        <v/>
      </c>
      <c r="D38" s="20"/>
      <c r="E38" s="6"/>
      <c r="F38" s="29"/>
      <c r="G38" s="14" t="n">
        <f aca="false">E38*F38</f>
        <v>0</v>
      </c>
      <c r="H38" s="14" t="n">
        <f aca="false">IF(B38="",0,E38*IFERROR(VLOOKUP(B38,'Recetas y precios'!$A$5:$T$54,20,FALSE()),0))</f>
        <v>0</v>
      </c>
      <c r="I38" s="26"/>
      <c r="J38" s="14" t="n">
        <f aca="false">G38*I38</f>
        <v>0</v>
      </c>
      <c r="K38" s="14" t="n">
        <f aca="false">G38-H38-J38</f>
        <v>0</v>
      </c>
      <c r="L38" s="30" t="str">
        <f aca="false">IF(G38&gt;0,K38/G38,"")</f>
        <v/>
      </c>
      <c r="M38" s="6"/>
    </row>
    <row r="39" customFormat="false" ht="15" hidden="false" customHeight="false" outlineLevel="0" collapsed="false">
      <c r="A39" s="33"/>
      <c r="B39" s="6"/>
      <c r="C39" s="0" t="str">
        <f aca="false">IF(B39="","",IFERROR(VLOOKUP(B39,'Recetas y precios'!$A$5:$B$54,2,FALSE()),""))</f>
        <v/>
      </c>
      <c r="D39" s="20"/>
      <c r="E39" s="6"/>
      <c r="F39" s="29"/>
      <c r="G39" s="14" t="n">
        <f aca="false">E39*F39</f>
        <v>0</v>
      </c>
      <c r="H39" s="14" t="n">
        <f aca="false">IF(B39="",0,E39*IFERROR(VLOOKUP(B39,'Recetas y precios'!$A$5:$T$54,20,FALSE()),0))</f>
        <v>0</v>
      </c>
      <c r="I39" s="26"/>
      <c r="J39" s="14" t="n">
        <f aca="false">G39*I39</f>
        <v>0</v>
      </c>
      <c r="K39" s="14" t="n">
        <f aca="false">G39-H39-J39</f>
        <v>0</v>
      </c>
      <c r="L39" s="30" t="str">
        <f aca="false">IF(G39&gt;0,K39/G39,"")</f>
        <v/>
      </c>
      <c r="M39" s="6"/>
    </row>
    <row r="40" customFormat="false" ht="15" hidden="false" customHeight="false" outlineLevel="0" collapsed="false">
      <c r="A40" s="33"/>
      <c r="B40" s="6"/>
      <c r="C40" s="0" t="str">
        <f aca="false">IF(B40="","",IFERROR(VLOOKUP(B40,'Recetas y precios'!$A$5:$B$54,2,FALSE()),""))</f>
        <v/>
      </c>
      <c r="D40" s="20"/>
      <c r="E40" s="6"/>
      <c r="F40" s="29"/>
      <c r="G40" s="14" t="n">
        <f aca="false">E40*F40</f>
        <v>0</v>
      </c>
      <c r="H40" s="14" t="n">
        <f aca="false">IF(B40="",0,E40*IFERROR(VLOOKUP(B40,'Recetas y precios'!$A$5:$T$54,20,FALSE()),0))</f>
        <v>0</v>
      </c>
      <c r="I40" s="26"/>
      <c r="J40" s="14" t="n">
        <f aca="false">G40*I40</f>
        <v>0</v>
      </c>
      <c r="K40" s="14" t="n">
        <f aca="false">G40-H40-J40</f>
        <v>0</v>
      </c>
      <c r="L40" s="30" t="str">
        <f aca="false">IF(G40&gt;0,K40/G40,"")</f>
        <v/>
      </c>
      <c r="M40" s="6"/>
    </row>
    <row r="41" customFormat="false" ht="15" hidden="false" customHeight="false" outlineLevel="0" collapsed="false">
      <c r="A41" s="33"/>
      <c r="B41" s="6"/>
      <c r="C41" s="0" t="str">
        <f aca="false">IF(B41="","",IFERROR(VLOOKUP(B41,'Recetas y precios'!$A$5:$B$54,2,FALSE()),""))</f>
        <v/>
      </c>
      <c r="D41" s="20"/>
      <c r="E41" s="6"/>
      <c r="F41" s="29"/>
      <c r="G41" s="14" t="n">
        <f aca="false">E41*F41</f>
        <v>0</v>
      </c>
      <c r="H41" s="14" t="n">
        <f aca="false">IF(B41="",0,E41*IFERROR(VLOOKUP(B41,'Recetas y precios'!$A$5:$T$54,20,FALSE()),0))</f>
        <v>0</v>
      </c>
      <c r="I41" s="26"/>
      <c r="J41" s="14" t="n">
        <f aca="false">G41*I41</f>
        <v>0</v>
      </c>
      <c r="K41" s="14" t="n">
        <f aca="false">G41-H41-J41</f>
        <v>0</v>
      </c>
      <c r="L41" s="30" t="str">
        <f aca="false">IF(G41&gt;0,K41/G41,"")</f>
        <v/>
      </c>
      <c r="M41" s="6"/>
    </row>
    <row r="42" customFormat="false" ht="15" hidden="false" customHeight="false" outlineLevel="0" collapsed="false">
      <c r="A42" s="33"/>
      <c r="B42" s="6"/>
      <c r="C42" s="0" t="str">
        <f aca="false">IF(B42="","",IFERROR(VLOOKUP(B42,'Recetas y precios'!$A$5:$B$54,2,FALSE()),""))</f>
        <v/>
      </c>
      <c r="D42" s="20"/>
      <c r="E42" s="6"/>
      <c r="F42" s="29"/>
      <c r="G42" s="14" t="n">
        <f aca="false">E42*F42</f>
        <v>0</v>
      </c>
      <c r="H42" s="14" t="n">
        <f aca="false">IF(B42="",0,E42*IFERROR(VLOOKUP(B42,'Recetas y precios'!$A$5:$T$54,20,FALSE()),0))</f>
        <v>0</v>
      </c>
      <c r="I42" s="26"/>
      <c r="J42" s="14" t="n">
        <f aca="false">G42*I42</f>
        <v>0</v>
      </c>
      <c r="K42" s="14" t="n">
        <f aca="false">G42-H42-J42</f>
        <v>0</v>
      </c>
      <c r="L42" s="30" t="str">
        <f aca="false">IF(G42&gt;0,K42/G42,"")</f>
        <v/>
      </c>
      <c r="M42" s="6"/>
    </row>
    <row r="43" customFormat="false" ht="15" hidden="false" customHeight="false" outlineLevel="0" collapsed="false">
      <c r="A43" s="33"/>
      <c r="B43" s="6"/>
      <c r="C43" s="0" t="str">
        <f aca="false">IF(B43="","",IFERROR(VLOOKUP(B43,'Recetas y precios'!$A$5:$B$54,2,FALSE()),""))</f>
        <v/>
      </c>
      <c r="D43" s="20"/>
      <c r="E43" s="6"/>
      <c r="F43" s="29"/>
      <c r="G43" s="14" t="n">
        <f aca="false">E43*F43</f>
        <v>0</v>
      </c>
      <c r="H43" s="14" t="n">
        <f aca="false">IF(B43="",0,E43*IFERROR(VLOOKUP(B43,'Recetas y precios'!$A$5:$T$54,20,FALSE()),0))</f>
        <v>0</v>
      </c>
      <c r="I43" s="26"/>
      <c r="J43" s="14" t="n">
        <f aca="false">G43*I43</f>
        <v>0</v>
      </c>
      <c r="K43" s="14" t="n">
        <f aca="false">G43-H43-J43</f>
        <v>0</v>
      </c>
      <c r="L43" s="30" t="str">
        <f aca="false">IF(G43&gt;0,K43/G43,"")</f>
        <v/>
      </c>
      <c r="M43" s="6"/>
    </row>
    <row r="44" customFormat="false" ht="15" hidden="false" customHeight="false" outlineLevel="0" collapsed="false">
      <c r="A44" s="33"/>
      <c r="B44" s="6"/>
      <c r="C44" s="0" t="str">
        <f aca="false">IF(B44="","",IFERROR(VLOOKUP(B44,'Recetas y precios'!$A$5:$B$54,2,FALSE()),""))</f>
        <v/>
      </c>
      <c r="D44" s="20"/>
      <c r="E44" s="6"/>
      <c r="F44" s="29"/>
      <c r="G44" s="14" t="n">
        <f aca="false">E44*F44</f>
        <v>0</v>
      </c>
      <c r="H44" s="14" t="n">
        <f aca="false">IF(B44="",0,E44*IFERROR(VLOOKUP(B44,'Recetas y precios'!$A$5:$T$54,20,FALSE()),0))</f>
        <v>0</v>
      </c>
      <c r="I44" s="26"/>
      <c r="J44" s="14" t="n">
        <f aca="false">G44*I44</f>
        <v>0</v>
      </c>
      <c r="K44" s="14" t="n">
        <f aca="false">G44-H44-J44</f>
        <v>0</v>
      </c>
      <c r="L44" s="30" t="str">
        <f aca="false">IF(G44&gt;0,K44/G44,"")</f>
        <v/>
      </c>
      <c r="M44" s="6"/>
    </row>
    <row r="45" customFormat="false" ht="15" hidden="false" customHeight="false" outlineLevel="0" collapsed="false">
      <c r="A45" s="33"/>
      <c r="B45" s="6"/>
      <c r="C45" s="0" t="str">
        <f aca="false">IF(B45="","",IFERROR(VLOOKUP(B45,'Recetas y precios'!$A$5:$B$54,2,FALSE()),""))</f>
        <v/>
      </c>
      <c r="D45" s="20"/>
      <c r="E45" s="6"/>
      <c r="F45" s="29"/>
      <c r="G45" s="14" t="n">
        <f aca="false">E45*F45</f>
        <v>0</v>
      </c>
      <c r="H45" s="14" t="n">
        <f aca="false">IF(B45="",0,E45*IFERROR(VLOOKUP(B45,'Recetas y precios'!$A$5:$T$54,20,FALSE()),0))</f>
        <v>0</v>
      </c>
      <c r="I45" s="26"/>
      <c r="J45" s="14" t="n">
        <f aca="false">G45*I45</f>
        <v>0</v>
      </c>
      <c r="K45" s="14" t="n">
        <f aca="false">G45-H45-J45</f>
        <v>0</v>
      </c>
      <c r="L45" s="30" t="str">
        <f aca="false">IF(G45&gt;0,K45/G45,"")</f>
        <v/>
      </c>
      <c r="M45" s="6"/>
    </row>
    <row r="46" customFormat="false" ht="15" hidden="false" customHeight="false" outlineLevel="0" collapsed="false">
      <c r="A46" s="33"/>
      <c r="B46" s="6"/>
      <c r="C46" s="0" t="str">
        <f aca="false">IF(B46="","",IFERROR(VLOOKUP(B46,'Recetas y precios'!$A$5:$B$54,2,FALSE()),""))</f>
        <v/>
      </c>
      <c r="D46" s="20"/>
      <c r="E46" s="6"/>
      <c r="F46" s="29"/>
      <c r="G46" s="14" t="n">
        <f aca="false">E46*F46</f>
        <v>0</v>
      </c>
      <c r="H46" s="14" t="n">
        <f aca="false">IF(B46="",0,E46*IFERROR(VLOOKUP(B46,'Recetas y precios'!$A$5:$T$54,20,FALSE()),0))</f>
        <v>0</v>
      </c>
      <c r="I46" s="26"/>
      <c r="J46" s="14" t="n">
        <f aca="false">G46*I46</f>
        <v>0</v>
      </c>
      <c r="K46" s="14" t="n">
        <f aca="false">G46-H46-J46</f>
        <v>0</v>
      </c>
      <c r="L46" s="30" t="str">
        <f aca="false">IF(G46&gt;0,K46/G46,"")</f>
        <v/>
      </c>
      <c r="M46" s="6"/>
    </row>
    <row r="47" customFormat="false" ht="15" hidden="false" customHeight="false" outlineLevel="0" collapsed="false">
      <c r="A47" s="33"/>
      <c r="B47" s="6"/>
      <c r="C47" s="0" t="str">
        <f aca="false">IF(B47="","",IFERROR(VLOOKUP(B47,'Recetas y precios'!$A$5:$B$54,2,FALSE()),""))</f>
        <v/>
      </c>
      <c r="D47" s="20"/>
      <c r="E47" s="6"/>
      <c r="F47" s="29"/>
      <c r="G47" s="14" t="n">
        <f aca="false">E47*F47</f>
        <v>0</v>
      </c>
      <c r="H47" s="14" t="n">
        <f aca="false">IF(B47="",0,E47*IFERROR(VLOOKUP(B47,'Recetas y precios'!$A$5:$T$54,20,FALSE()),0))</f>
        <v>0</v>
      </c>
      <c r="I47" s="26"/>
      <c r="J47" s="14" t="n">
        <f aca="false">G47*I47</f>
        <v>0</v>
      </c>
      <c r="K47" s="14" t="n">
        <f aca="false">G47-H47-J47</f>
        <v>0</v>
      </c>
      <c r="L47" s="30" t="str">
        <f aca="false">IF(G47&gt;0,K47/G47,"")</f>
        <v/>
      </c>
      <c r="M47" s="6"/>
    </row>
    <row r="48" customFormat="false" ht="15" hidden="false" customHeight="false" outlineLevel="0" collapsed="false">
      <c r="A48" s="33"/>
      <c r="B48" s="6"/>
      <c r="C48" s="0" t="str">
        <f aca="false">IF(B48="","",IFERROR(VLOOKUP(B48,'Recetas y precios'!$A$5:$B$54,2,FALSE()),""))</f>
        <v/>
      </c>
      <c r="D48" s="20"/>
      <c r="E48" s="6"/>
      <c r="F48" s="29"/>
      <c r="G48" s="14" t="n">
        <f aca="false">E48*F48</f>
        <v>0</v>
      </c>
      <c r="H48" s="14" t="n">
        <f aca="false">IF(B48="",0,E48*IFERROR(VLOOKUP(B48,'Recetas y precios'!$A$5:$T$54,20,FALSE()),0))</f>
        <v>0</v>
      </c>
      <c r="I48" s="26"/>
      <c r="J48" s="14" t="n">
        <f aca="false">G48*I48</f>
        <v>0</v>
      </c>
      <c r="K48" s="14" t="n">
        <f aca="false">G48-H48-J48</f>
        <v>0</v>
      </c>
      <c r="L48" s="30" t="str">
        <f aca="false">IF(G48&gt;0,K48/G48,"")</f>
        <v/>
      </c>
      <c r="M48" s="6"/>
    </row>
    <row r="49" customFormat="false" ht="15" hidden="false" customHeight="false" outlineLevel="0" collapsed="false">
      <c r="A49" s="33"/>
      <c r="B49" s="6"/>
      <c r="C49" s="0" t="str">
        <f aca="false">IF(B49="","",IFERROR(VLOOKUP(B49,'Recetas y precios'!$A$5:$B$54,2,FALSE()),""))</f>
        <v/>
      </c>
      <c r="D49" s="20"/>
      <c r="E49" s="6"/>
      <c r="F49" s="29"/>
      <c r="G49" s="14" t="n">
        <f aca="false">E49*F49</f>
        <v>0</v>
      </c>
      <c r="H49" s="14" t="n">
        <f aca="false">IF(B49="",0,E49*IFERROR(VLOOKUP(B49,'Recetas y precios'!$A$5:$T$54,20,FALSE()),0))</f>
        <v>0</v>
      </c>
      <c r="I49" s="26"/>
      <c r="J49" s="14" t="n">
        <f aca="false">G49*I49</f>
        <v>0</v>
      </c>
      <c r="K49" s="14" t="n">
        <f aca="false">G49-H49-J49</f>
        <v>0</v>
      </c>
      <c r="L49" s="30" t="str">
        <f aca="false">IF(G49&gt;0,K49/G49,"")</f>
        <v/>
      </c>
      <c r="M49" s="6"/>
    </row>
    <row r="50" customFormat="false" ht="15" hidden="false" customHeight="false" outlineLevel="0" collapsed="false">
      <c r="A50" s="33"/>
      <c r="B50" s="6"/>
      <c r="C50" s="0" t="str">
        <f aca="false">IF(B50="","",IFERROR(VLOOKUP(B50,'Recetas y precios'!$A$5:$B$54,2,FALSE()),""))</f>
        <v/>
      </c>
      <c r="D50" s="20"/>
      <c r="E50" s="6"/>
      <c r="F50" s="29"/>
      <c r="G50" s="14" t="n">
        <f aca="false">E50*F50</f>
        <v>0</v>
      </c>
      <c r="H50" s="14" t="n">
        <f aca="false">IF(B50="",0,E50*IFERROR(VLOOKUP(B50,'Recetas y precios'!$A$5:$T$54,20,FALSE()),0))</f>
        <v>0</v>
      </c>
      <c r="I50" s="26"/>
      <c r="J50" s="14" t="n">
        <f aca="false">G50*I50</f>
        <v>0</v>
      </c>
      <c r="K50" s="14" t="n">
        <f aca="false">G50-H50-J50</f>
        <v>0</v>
      </c>
      <c r="L50" s="30" t="str">
        <f aca="false">IF(G50&gt;0,K50/G50,"")</f>
        <v/>
      </c>
      <c r="M50" s="6"/>
    </row>
    <row r="51" customFormat="false" ht="15" hidden="false" customHeight="false" outlineLevel="0" collapsed="false">
      <c r="A51" s="33"/>
      <c r="B51" s="6"/>
      <c r="C51" s="0" t="str">
        <f aca="false">IF(B51="","",IFERROR(VLOOKUP(B51,'Recetas y precios'!$A$5:$B$54,2,FALSE()),""))</f>
        <v/>
      </c>
      <c r="D51" s="20"/>
      <c r="E51" s="6"/>
      <c r="F51" s="29"/>
      <c r="G51" s="14" t="n">
        <f aca="false">E51*F51</f>
        <v>0</v>
      </c>
      <c r="H51" s="14" t="n">
        <f aca="false">IF(B51="",0,E51*IFERROR(VLOOKUP(B51,'Recetas y precios'!$A$5:$T$54,20,FALSE()),0))</f>
        <v>0</v>
      </c>
      <c r="I51" s="26"/>
      <c r="J51" s="14" t="n">
        <f aca="false">G51*I51</f>
        <v>0</v>
      </c>
      <c r="K51" s="14" t="n">
        <f aca="false">G51-H51-J51</f>
        <v>0</v>
      </c>
      <c r="L51" s="30" t="str">
        <f aca="false">IF(G51&gt;0,K51/G51,"")</f>
        <v/>
      </c>
      <c r="M51" s="6"/>
    </row>
    <row r="52" customFormat="false" ht="15" hidden="false" customHeight="false" outlineLevel="0" collapsed="false">
      <c r="A52" s="33"/>
      <c r="B52" s="6"/>
      <c r="C52" s="0" t="str">
        <f aca="false">IF(B52="","",IFERROR(VLOOKUP(B52,'Recetas y precios'!$A$5:$B$54,2,FALSE()),""))</f>
        <v/>
      </c>
      <c r="D52" s="20"/>
      <c r="E52" s="6"/>
      <c r="F52" s="29"/>
      <c r="G52" s="14" t="n">
        <f aca="false">E52*F52</f>
        <v>0</v>
      </c>
      <c r="H52" s="14" t="n">
        <f aca="false">IF(B52="",0,E52*IFERROR(VLOOKUP(B52,'Recetas y precios'!$A$5:$T$54,20,FALSE()),0))</f>
        <v>0</v>
      </c>
      <c r="I52" s="26"/>
      <c r="J52" s="14" t="n">
        <f aca="false">G52*I52</f>
        <v>0</v>
      </c>
      <c r="K52" s="14" t="n">
        <f aca="false">G52-H52-J52</f>
        <v>0</v>
      </c>
      <c r="L52" s="30" t="str">
        <f aca="false">IF(G52&gt;0,K52/G52,"")</f>
        <v/>
      </c>
      <c r="M52" s="6"/>
    </row>
    <row r="53" customFormat="false" ht="15" hidden="false" customHeight="false" outlineLevel="0" collapsed="false">
      <c r="A53" s="33"/>
      <c r="B53" s="6"/>
      <c r="C53" s="0" t="str">
        <f aca="false">IF(B53="","",IFERROR(VLOOKUP(B53,'Recetas y precios'!$A$5:$B$54,2,FALSE()),""))</f>
        <v/>
      </c>
      <c r="D53" s="20"/>
      <c r="E53" s="6"/>
      <c r="F53" s="29"/>
      <c r="G53" s="14" t="n">
        <f aca="false">E53*F53</f>
        <v>0</v>
      </c>
      <c r="H53" s="14" t="n">
        <f aca="false">IF(B53="",0,E53*IFERROR(VLOOKUP(B53,'Recetas y precios'!$A$5:$T$54,20,FALSE()),0))</f>
        <v>0</v>
      </c>
      <c r="I53" s="26"/>
      <c r="J53" s="14" t="n">
        <f aca="false">G53*I53</f>
        <v>0</v>
      </c>
      <c r="K53" s="14" t="n">
        <f aca="false">G53-H53-J53</f>
        <v>0</v>
      </c>
      <c r="L53" s="30" t="str">
        <f aca="false">IF(G53&gt;0,K53/G53,"")</f>
        <v/>
      </c>
      <c r="M53" s="6"/>
    </row>
    <row r="54" customFormat="false" ht="15" hidden="false" customHeight="false" outlineLevel="0" collapsed="false">
      <c r="A54" s="33"/>
      <c r="B54" s="6"/>
      <c r="C54" s="0" t="str">
        <f aca="false">IF(B54="","",IFERROR(VLOOKUP(B54,'Recetas y precios'!$A$5:$B$54,2,FALSE()),""))</f>
        <v/>
      </c>
      <c r="D54" s="20"/>
      <c r="E54" s="6"/>
      <c r="F54" s="29"/>
      <c r="G54" s="14" t="n">
        <f aca="false">E54*F54</f>
        <v>0</v>
      </c>
      <c r="H54" s="14" t="n">
        <f aca="false">IF(B54="",0,E54*IFERROR(VLOOKUP(B54,'Recetas y precios'!$A$5:$T$54,20,FALSE()),0))</f>
        <v>0</v>
      </c>
      <c r="I54" s="26"/>
      <c r="J54" s="14" t="n">
        <f aca="false">G54*I54</f>
        <v>0</v>
      </c>
      <c r="K54" s="14" t="n">
        <f aca="false">G54-H54-J54</f>
        <v>0</v>
      </c>
      <c r="L54" s="30" t="str">
        <f aca="false">IF(G54&gt;0,K54/G54,"")</f>
        <v/>
      </c>
      <c r="M54" s="6"/>
    </row>
    <row r="55" customFormat="false" ht="15" hidden="false" customHeight="false" outlineLevel="0" collapsed="false">
      <c r="A55" s="33"/>
      <c r="B55" s="6"/>
      <c r="C55" s="0" t="str">
        <f aca="false">IF(B55="","",IFERROR(VLOOKUP(B55,'Recetas y precios'!$A$5:$B$54,2,FALSE()),""))</f>
        <v/>
      </c>
      <c r="D55" s="20"/>
      <c r="E55" s="6"/>
      <c r="F55" s="29"/>
      <c r="G55" s="14" t="n">
        <f aca="false">E55*F55</f>
        <v>0</v>
      </c>
      <c r="H55" s="14" t="n">
        <f aca="false">IF(B55="",0,E55*IFERROR(VLOOKUP(B55,'Recetas y precios'!$A$5:$T$54,20,FALSE()),0))</f>
        <v>0</v>
      </c>
      <c r="I55" s="26"/>
      <c r="J55" s="14" t="n">
        <f aca="false">G55*I55</f>
        <v>0</v>
      </c>
      <c r="K55" s="14" t="n">
        <f aca="false">G55-H55-J55</f>
        <v>0</v>
      </c>
      <c r="L55" s="30" t="str">
        <f aca="false">IF(G55&gt;0,K55/G55,"")</f>
        <v/>
      </c>
      <c r="M55" s="6"/>
    </row>
    <row r="56" customFormat="false" ht="15" hidden="false" customHeight="false" outlineLevel="0" collapsed="false">
      <c r="A56" s="33"/>
      <c r="B56" s="6"/>
      <c r="C56" s="0" t="str">
        <f aca="false">IF(B56="","",IFERROR(VLOOKUP(B56,'Recetas y precios'!$A$5:$B$54,2,FALSE()),""))</f>
        <v/>
      </c>
      <c r="D56" s="20"/>
      <c r="E56" s="6"/>
      <c r="F56" s="29"/>
      <c r="G56" s="14" t="n">
        <f aca="false">E56*F56</f>
        <v>0</v>
      </c>
      <c r="H56" s="14" t="n">
        <f aca="false">IF(B56="",0,E56*IFERROR(VLOOKUP(B56,'Recetas y precios'!$A$5:$T$54,20,FALSE()),0))</f>
        <v>0</v>
      </c>
      <c r="I56" s="26"/>
      <c r="J56" s="14" t="n">
        <f aca="false">G56*I56</f>
        <v>0</v>
      </c>
      <c r="K56" s="14" t="n">
        <f aca="false">G56-H56-J56</f>
        <v>0</v>
      </c>
      <c r="L56" s="30" t="str">
        <f aca="false">IF(G56&gt;0,K56/G56,"")</f>
        <v/>
      </c>
      <c r="M56" s="6"/>
    </row>
    <row r="57" customFormat="false" ht="15" hidden="false" customHeight="false" outlineLevel="0" collapsed="false">
      <c r="A57" s="33"/>
      <c r="B57" s="6"/>
      <c r="C57" s="0" t="str">
        <f aca="false">IF(B57="","",IFERROR(VLOOKUP(B57,'Recetas y precios'!$A$5:$B$54,2,FALSE()),""))</f>
        <v/>
      </c>
      <c r="D57" s="20"/>
      <c r="E57" s="6"/>
      <c r="F57" s="29"/>
      <c r="G57" s="14" t="n">
        <f aca="false">E57*F57</f>
        <v>0</v>
      </c>
      <c r="H57" s="14" t="n">
        <f aca="false">IF(B57="",0,E57*IFERROR(VLOOKUP(B57,'Recetas y precios'!$A$5:$T$54,20,FALSE()),0))</f>
        <v>0</v>
      </c>
      <c r="I57" s="26"/>
      <c r="J57" s="14" t="n">
        <f aca="false">G57*I57</f>
        <v>0</v>
      </c>
      <c r="K57" s="14" t="n">
        <f aca="false">G57-H57-J57</f>
        <v>0</v>
      </c>
      <c r="L57" s="30" t="str">
        <f aca="false">IF(G57&gt;0,K57/G57,"")</f>
        <v/>
      </c>
      <c r="M57" s="6"/>
    </row>
    <row r="58" customFormat="false" ht="15" hidden="false" customHeight="false" outlineLevel="0" collapsed="false">
      <c r="A58" s="33"/>
      <c r="B58" s="6"/>
      <c r="C58" s="0" t="str">
        <f aca="false">IF(B58="","",IFERROR(VLOOKUP(B58,'Recetas y precios'!$A$5:$B$54,2,FALSE()),""))</f>
        <v/>
      </c>
      <c r="D58" s="20"/>
      <c r="E58" s="6"/>
      <c r="F58" s="29"/>
      <c r="G58" s="14" t="n">
        <f aca="false">E58*F58</f>
        <v>0</v>
      </c>
      <c r="H58" s="14" t="n">
        <f aca="false">IF(B58="",0,E58*IFERROR(VLOOKUP(B58,'Recetas y precios'!$A$5:$T$54,20,FALSE()),0))</f>
        <v>0</v>
      </c>
      <c r="I58" s="26"/>
      <c r="J58" s="14" t="n">
        <f aca="false">G58*I58</f>
        <v>0</v>
      </c>
      <c r="K58" s="14" t="n">
        <f aca="false">G58-H58-J58</f>
        <v>0</v>
      </c>
      <c r="L58" s="30" t="str">
        <f aca="false">IF(G58&gt;0,K58/G58,"")</f>
        <v/>
      </c>
      <c r="M58" s="6"/>
    </row>
    <row r="59" customFormat="false" ht="15" hidden="false" customHeight="false" outlineLevel="0" collapsed="false">
      <c r="A59" s="33"/>
      <c r="B59" s="6"/>
      <c r="C59" s="0" t="str">
        <f aca="false">IF(B59="","",IFERROR(VLOOKUP(B59,'Recetas y precios'!$A$5:$B$54,2,FALSE()),""))</f>
        <v/>
      </c>
      <c r="D59" s="20"/>
      <c r="E59" s="6"/>
      <c r="F59" s="29"/>
      <c r="G59" s="14" t="n">
        <f aca="false">E59*F59</f>
        <v>0</v>
      </c>
      <c r="H59" s="14" t="n">
        <f aca="false">IF(B59="",0,E59*IFERROR(VLOOKUP(B59,'Recetas y precios'!$A$5:$T$54,20,FALSE()),0))</f>
        <v>0</v>
      </c>
      <c r="I59" s="26"/>
      <c r="J59" s="14" t="n">
        <f aca="false">G59*I59</f>
        <v>0</v>
      </c>
      <c r="K59" s="14" t="n">
        <f aca="false">G59-H59-J59</f>
        <v>0</v>
      </c>
      <c r="L59" s="30" t="str">
        <f aca="false">IF(G59&gt;0,K59/G59,"")</f>
        <v/>
      </c>
      <c r="M59" s="6"/>
    </row>
    <row r="60" customFormat="false" ht="15" hidden="false" customHeight="false" outlineLevel="0" collapsed="false">
      <c r="A60" s="33"/>
      <c r="B60" s="6"/>
      <c r="C60" s="0" t="str">
        <f aca="false">IF(B60="","",IFERROR(VLOOKUP(B60,'Recetas y precios'!$A$5:$B$54,2,FALSE()),""))</f>
        <v/>
      </c>
      <c r="D60" s="20"/>
      <c r="E60" s="6"/>
      <c r="F60" s="29"/>
      <c r="G60" s="14" t="n">
        <f aca="false">E60*F60</f>
        <v>0</v>
      </c>
      <c r="H60" s="14" t="n">
        <f aca="false">IF(B60="",0,E60*IFERROR(VLOOKUP(B60,'Recetas y precios'!$A$5:$T$54,20,FALSE()),0))</f>
        <v>0</v>
      </c>
      <c r="I60" s="26"/>
      <c r="J60" s="14" t="n">
        <f aca="false">G60*I60</f>
        <v>0</v>
      </c>
      <c r="K60" s="14" t="n">
        <f aca="false">G60-H60-J60</f>
        <v>0</v>
      </c>
      <c r="L60" s="30" t="str">
        <f aca="false">IF(G60&gt;0,K60/G60,"")</f>
        <v/>
      </c>
      <c r="M60" s="6"/>
    </row>
    <row r="61" customFormat="false" ht="15" hidden="false" customHeight="false" outlineLevel="0" collapsed="false">
      <c r="A61" s="33"/>
      <c r="B61" s="6"/>
      <c r="C61" s="0" t="str">
        <f aca="false">IF(B61="","",IFERROR(VLOOKUP(B61,'Recetas y precios'!$A$5:$B$54,2,FALSE()),""))</f>
        <v/>
      </c>
      <c r="D61" s="20"/>
      <c r="E61" s="6"/>
      <c r="F61" s="29"/>
      <c r="G61" s="14" t="n">
        <f aca="false">E61*F61</f>
        <v>0</v>
      </c>
      <c r="H61" s="14" t="n">
        <f aca="false">IF(B61="",0,E61*IFERROR(VLOOKUP(B61,'Recetas y precios'!$A$5:$T$54,20,FALSE()),0))</f>
        <v>0</v>
      </c>
      <c r="I61" s="26"/>
      <c r="J61" s="14" t="n">
        <f aca="false">G61*I61</f>
        <v>0</v>
      </c>
      <c r="K61" s="14" t="n">
        <f aca="false">G61-H61-J61</f>
        <v>0</v>
      </c>
      <c r="L61" s="30" t="str">
        <f aca="false">IF(G61&gt;0,K61/G61,"")</f>
        <v/>
      </c>
      <c r="M61" s="6"/>
    </row>
    <row r="62" customFormat="false" ht="15" hidden="false" customHeight="false" outlineLevel="0" collapsed="false">
      <c r="A62" s="33"/>
      <c r="B62" s="6"/>
      <c r="C62" s="0" t="str">
        <f aca="false">IF(B62="","",IFERROR(VLOOKUP(B62,'Recetas y precios'!$A$5:$B$54,2,FALSE()),""))</f>
        <v/>
      </c>
      <c r="D62" s="20"/>
      <c r="E62" s="6"/>
      <c r="F62" s="29"/>
      <c r="G62" s="14" t="n">
        <f aca="false">E62*F62</f>
        <v>0</v>
      </c>
      <c r="H62" s="14" t="n">
        <f aca="false">IF(B62="",0,E62*IFERROR(VLOOKUP(B62,'Recetas y precios'!$A$5:$T$54,20,FALSE()),0))</f>
        <v>0</v>
      </c>
      <c r="I62" s="26"/>
      <c r="J62" s="14" t="n">
        <f aca="false">G62*I62</f>
        <v>0</v>
      </c>
      <c r="K62" s="14" t="n">
        <f aca="false">G62-H62-J62</f>
        <v>0</v>
      </c>
      <c r="L62" s="30" t="str">
        <f aca="false">IF(G62&gt;0,K62/G62,"")</f>
        <v/>
      </c>
      <c r="M62" s="6"/>
    </row>
    <row r="63" customFormat="false" ht="15" hidden="false" customHeight="false" outlineLevel="0" collapsed="false">
      <c r="A63" s="33"/>
      <c r="B63" s="6"/>
      <c r="C63" s="0" t="str">
        <f aca="false">IF(B63="","",IFERROR(VLOOKUP(B63,'Recetas y precios'!$A$5:$B$54,2,FALSE()),""))</f>
        <v/>
      </c>
      <c r="D63" s="20"/>
      <c r="E63" s="6"/>
      <c r="F63" s="29"/>
      <c r="G63" s="14" t="n">
        <f aca="false">E63*F63</f>
        <v>0</v>
      </c>
      <c r="H63" s="14" t="n">
        <f aca="false">IF(B63="",0,E63*IFERROR(VLOOKUP(B63,'Recetas y precios'!$A$5:$T$54,20,FALSE()),0))</f>
        <v>0</v>
      </c>
      <c r="I63" s="26"/>
      <c r="J63" s="14" t="n">
        <f aca="false">G63*I63</f>
        <v>0</v>
      </c>
      <c r="K63" s="14" t="n">
        <f aca="false">G63-H63-J63</f>
        <v>0</v>
      </c>
      <c r="L63" s="30" t="str">
        <f aca="false">IF(G63&gt;0,K63/G63,"")</f>
        <v/>
      </c>
      <c r="M63" s="6"/>
    </row>
    <row r="64" customFormat="false" ht="15" hidden="false" customHeight="false" outlineLevel="0" collapsed="false">
      <c r="A64" s="33"/>
      <c r="B64" s="6"/>
      <c r="C64" s="0" t="str">
        <f aca="false">IF(B64="","",IFERROR(VLOOKUP(B64,'Recetas y precios'!$A$5:$B$54,2,FALSE()),""))</f>
        <v/>
      </c>
      <c r="D64" s="20"/>
      <c r="E64" s="6"/>
      <c r="F64" s="29"/>
      <c r="G64" s="14" t="n">
        <f aca="false">E64*F64</f>
        <v>0</v>
      </c>
      <c r="H64" s="14" t="n">
        <f aca="false">IF(B64="",0,E64*IFERROR(VLOOKUP(B64,'Recetas y precios'!$A$5:$T$54,20,FALSE()),0))</f>
        <v>0</v>
      </c>
      <c r="I64" s="26"/>
      <c r="J64" s="14" t="n">
        <f aca="false">G64*I64</f>
        <v>0</v>
      </c>
      <c r="K64" s="14" t="n">
        <f aca="false">G64-H64-J64</f>
        <v>0</v>
      </c>
      <c r="L64" s="30" t="str">
        <f aca="false">IF(G64&gt;0,K64/G64,"")</f>
        <v/>
      </c>
      <c r="M64" s="6"/>
    </row>
    <row r="65" customFormat="false" ht="15" hidden="false" customHeight="false" outlineLevel="0" collapsed="false">
      <c r="A65" s="33"/>
      <c r="B65" s="6"/>
      <c r="C65" s="0" t="str">
        <f aca="false">IF(B65="","",IFERROR(VLOOKUP(B65,'Recetas y precios'!$A$5:$B$54,2,FALSE()),""))</f>
        <v/>
      </c>
      <c r="D65" s="20"/>
      <c r="E65" s="6"/>
      <c r="F65" s="29"/>
      <c r="G65" s="14" t="n">
        <f aca="false">E65*F65</f>
        <v>0</v>
      </c>
      <c r="H65" s="14" t="n">
        <f aca="false">IF(B65="",0,E65*IFERROR(VLOOKUP(B65,'Recetas y precios'!$A$5:$T$54,20,FALSE()),0))</f>
        <v>0</v>
      </c>
      <c r="I65" s="26"/>
      <c r="J65" s="14" t="n">
        <f aca="false">G65*I65</f>
        <v>0</v>
      </c>
      <c r="K65" s="14" t="n">
        <f aca="false">G65-H65-J65</f>
        <v>0</v>
      </c>
      <c r="L65" s="30" t="str">
        <f aca="false">IF(G65&gt;0,K65/G65,"")</f>
        <v/>
      </c>
      <c r="M65" s="6"/>
    </row>
    <row r="66" customFormat="false" ht="15" hidden="false" customHeight="false" outlineLevel="0" collapsed="false">
      <c r="A66" s="33"/>
      <c r="B66" s="6"/>
      <c r="C66" s="0" t="str">
        <f aca="false">IF(B66="","",IFERROR(VLOOKUP(B66,'Recetas y precios'!$A$5:$B$54,2,FALSE()),""))</f>
        <v/>
      </c>
      <c r="D66" s="20"/>
      <c r="E66" s="6"/>
      <c r="F66" s="29"/>
      <c r="G66" s="14" t="n">
        <f aca="false">E66*F66</f>
        <v>0</v>
      </c>
      <c r="H66" s="14" t="n">
        <f aca="false">IF(B66="",0,E66*IFERROR(VLOOKUP(B66,'Recetas y precios'!$A$5:$T$54,20,FALSE()),0))</f>
        <v>0</v>
      </c>
      <c r="I66" s="26"/>
      <c r="J66" s="14" t="n">
        <f aca="false">G66*I66</f>
        <v>0</v>
      </c>
      <c r="K66" s="14" t="n">
        <f aca="false">G66-H66-J66</f>
        <v>0</v>
      </c>
      <c r="L66" s="30" t="str">
        <f aca="false">IF(G66&gt;0,K66/G66,"")</f>
        <v/>
      </c>
      <c r="M66" s="6"/>
    </row>
    <row r="67" customFormat="false" ht="15" hidden="false" customHeight="false" outlineLevel="0" collapsed="false">
      <c r="A67" s="33"/>
      <c r="B67" s="6"/>
      <c r="C67" s="0" t="str">
        <f aca="false">IF(B67="","",IFERROR(VLOOKUP(B67,'Recetas y precios'!$A$5:$B$54,2,FALSE()),""))</f>
        <v/>
      </c>
      <c r="D67" s="20"/>
      <c r="E67" s="6"/>
      <c r="F67" s="29"/>
      <c r="G67" s="14" t="n">
        <f aca="false">E67*F67</f>
        <v>0</v>
      </c>
      <c r="H67" s="14" t="n">
        <f aca="false">IF(B67="",0,E67*IFERROR(VLOOKUP(B67,'Recetas y precios'!$A$5:$T$54,20,FALSE()),0))</f>
        <v>0</v>
      </c>
      <c r="I67" s="26"/>
      <c r="J67" s="14" t="n">
        <f aca="false">G67*I67</f>
        <v>0</v>
      </c>
      <c r="K67" s="14" t="n">
        <f aca="false">G67-H67-J67</f>
        <v>0</v>
      </c>
      <c r="L67" s="30" t="str">
        <f aca="false">IF(G67&gt;0,K67/G67,"")</f>
        <v/>
      </c>
      <c r="M67" s="6"/>
    </row>
    <row r="68" customFormat="false" ht="15" hidden="false" customHeight="false" outlineLevel="0" collapsed="false">
      <c r="A68" s="33"/>
      <c r="B68" s="6"/>
      <c r="C68" s="0" t="str">
        <f aca="false">IF(B68="","",IFERROR(VLOOKUP(B68,'Recetas y precios'!$A$5:$B$54,2,FALSE()),""))</f>
        <v/>
      </c>
      <c r="D68" s="20"/>
      <c r="E68" s="6"/>
      <c r="F68" s="29"/>
      <c r="G68" s="14" t="n">
        <f aca="false">E68*F68</f>
        <v>0</v>
      </c>
      <c r="H68" s="14" t="n">
        <f aca="false">IF(B68="",0,E68*IFERROR(VLOOKUP(B68,'Recetas y precios'!$A$5:$T$54,20,FALSE()),0))</f>
        <v>0</v>
      </c>
      <c r="I68" s="26"/>
      <c r="J68" s="14" t="n">
        <f aca="false">G68*I68</f>
        <v>0</v>
      </c>
      <c r="K68" s="14" t="n">
        <f aca="false">G68-H68-J68</f>
        <v>0</v>
      </c>
      <c r="L68" s="30" t="str">
        <f aca="false">IF(G68&gt;0,K68/G68,"")</f>
        <v/>
      </c>
      <c r="M68" s="6"/>
    </row>
    <row r="69" customFormat="false" ht="15" hidden="false" customHeight="false" outlineLevel="0" collapsed="false">
      <c r="A69" s="33"/>
      <c r="B69" s="6"/>
      <c r="C69" s="0" t="str">
        <f aca="false">IF(B69="","",IFERROR(VLOOKUP(B69,'Recetas y precios'!$A$5:$B$54,2,FALSE()),""))</f>
        <v/>
      </c>
      <c r="D69" s="20"/>
      <c r="E69" s="6"/>
      <c r="F69" s="29"/>
      <c r="G69" s="14" t="n">
        <f aca="false">E69*F69</f>
        <v>0</v>
      </c>
      <c r="H69" s="14" t="n">
        <f aca="false">IF(B69="",0,E69*IFERROR(VLOOKUP(B69,'Recetas y precios'!$A$5:$T$54,20,FALSE()),0))</f>
        <v>0</v>
      </c>
      <c r="I69" s="26"/>
      <c r="J69" s="14" t="n">
        <f aca="false">G69*I69</f>
        <v>0</v>
      </c>
      <c r="K69" s="14" t="n">
        <f aca="false">G69-H69-J69</f>
        <v>0</v>
      </c>
      <c r="L69" s="30" t="str">
        <f aca="false">IF(G69&gt;0,K69/G69,"")</f>
        <v/>
      </c>
      <c r="M69" s="6"/>
    </row>
    <row r="70" customFormat="false" ht="15" hidden="false" customHeight="false" outlineLevel="0" collapsed="false">
      <c r="A70" s="33"/>
      <c r="B70" s="6"/>
      <c r="C70" s="0" t="str">
        <f aca="false">IF(B70="","",IFERROR(VLOOKUP(B70,'Recetas y precios'!$A$5:$B$54,2,FALSE()),""))</f>
        <v/>
      </c>
      <c r="D70" s="20"/>
      <c r="E70" s="6"/>
      <c r="F70" s="29"/>
      <c r="G70" s="14" t="n">
        <f aca="false">E70*F70</f>
        <v>0</v>
      </c>
      <c r="H70" s="14" t="n">
        <f aca="false">IF(B70="",0,E70*IFERROR(VLOOKUP(B70,'Recetas y precios'!$A$5:$T$54,20,FALSE()),0))</f>
        <v>0</v>
      </c>
      <c r="I70" s="26"/>
      <c r="J70" s="14" t="n">
        <f aca="false">G70*I70</f>
        <v>0</v>
      </c>
      <c r="K70" s="14" t="n">
        <f aca="false">G70-H70-J70</f>
        <v>0</v>
      </c>
      <c r="L70" s="30" t="str">
        <f aca="false">IF(G70&gt;0,K70/G70,"")</f>
        <v/>
      </c>
      <c r="M70" s="6"/>
    </row>
    <row r="71" customFormat="false" ht="15" hidden="false" customHeight="false" outlineLevel="0" collapsed="false">
      <c r="A71" s="33"/>
      <c r="B71" s="6"/>
      <c r="C71" s="0" t="str">
        <f aca="false">IF(B71="","",IFERROR(VLOOKUP(B71,'Recetas y precios'!$A$5:$B$54,2,FALSE()),""))</f>
        <v/>
      </c>
      <c r="D71" s="20"/>
      <c r="E71" s="6"/>
      <c r="F71" s="29"/>
      <c r="G71" s="14" t="n">
        <f aca="false">E71*F71</f>
        <v>0</v>
      </c>
      <c r="H71" s="14" t="n">
        <f aca="false">IF(B71="",0,E71*IFERROR(VLOOKUP(B71,'Recetas y precios'!$A$5:$T$54,20,FALSE()),0))</f>
        <v>0</v>
      </c>
      <c r="I71" s="26"/>
      <c r="J71" s="14" t="n">
        <f aca="false">G71*I71</f>
        <v>0</v>
      </c>
      <c r="K71" s="14" t="n">
        <f aca="false">G71-H71-J71</f>
        <v>0</v>
      </c>
      <c r="L71" s="30" t="str">
        <f aca="false">IF(G71&gt;0,K71/G71,"")</f>
        <v/>
      </c>
      <c r="M71" s="6"/>
    </row>
    <row r="72" customFormat="false" ht="15" hidden="false" customHeight="false" outlineLevel="0" collapsed="false">
      <c r="A72" s="33"/>
      <c r="B72" s="6"/>
      <c r="C72" s="0" t="str">
        <f aca="false">IF(B72="","",IFERROR(VLOOKUP(B72,'Recetas y precios'!$A$5:$B$54,2,FALSE()),""))</f>
        <v/>
      </c>
      <c r="D72" s="20"/>
      <c r="E72" s="6"/>
      <c r="F72" s="29"/>
      <c r="G72" s="14" t="n">
        <f aca="false">E72*F72</f>
        <v>0</v>
      </c>
      <c r="H72" s="14" t="n">
        <f aca="false">IF(B72="",0,E72*IFERROR(VLOOKUP(B72,'Recetas y precios'!$A$5:$T$54,20,FALSE()),0))</f>
        <v>0</v>
      </c>
      <c r="I72" s="26"/>
      <c r="J72" s="14" t="n">
        <f aca="false">G72*I72</f>
        <v>0</v>
      </c>
      <c r="K72" s="14" t="n">
        <f aca="false">G72-H72-J72</f>
        <v>0</v>
      </c>
      <c r="L72" s="30" t="str">
        <f aca="false">IF(G72&gt;0,K72/G72,"")</f>
        <v/>
      </c>
      <c r="M72" s="6"/>
    </row>
    <row r="73" customFormat="false" ht="15" hidden="false" customHeight="false" outlineLevel="0" collapsed="false">
      <c r="A73" s="33"/>
      <c r="B73" s="6"/>
      <c r="C73" s="0" t="str">
        <f aca="false">IF(B73="","",IFERROR(VLOOKUP(B73,'Recetas y precios'!$A$5:$B$54,2,FALSE()),""))</f>
        <v/>
      </c>
      <c r="D73" s="20"/>
      <c r="E73" s="6"/>
      <c r="F73" s="29"/>
      <c r="G73" s="14" t="n">
        <f aca="false">E73*F73</f>
        <v>0</v>
      </c>
      <c r="H73" s="14" t="n">
        <f aca="false">IF(B73="",0,E73*IFERROR(VLOOKUP(B73,'Recetas y precios'!$A$5:$T$54,20,FALSE()),0))</f>
        <v>0</v>
      </c>
      <c r="I73" s="26"/>
      <c r="J73" s="14" t="n">
        <f aca="false">G73*I73</f>
        <v>0</v>
      </c>
      <c r="K73" s="14" t="n">
        <f aca="false">G73-H73-J73</f>
        <v>0</v>
      </c>
      <c r="L73" s="30" t="str">
        <f aca="false">IF(G73&gt;0,K73/G73,"")</f>
        <v/>
      </c>
      <c r="M73" s="6"/>
    </row>
    <row r="74" customFormat="false" ht="15" hidden="false" customHeight="false" outlineLevel="0" collapsed="false">
      <c r="A74" s="33"/>
      <c r="B74" s="6"/>
      <c r="C74" s="0" t="str">
        <f aca="false">IF(B74="","",IFERROR(VLOOKUP(B74,'Recetas y precios'!$A$5:$B$54,2,FALSE()),""))</f>
        <v/>
      </c>
      <c r="D74" s="20"/>
      <c r="E74" s="6"/>
      <c r="F74" s="29"/>
      <c r="G74" s="14" t="n">
        <f aca="false">E74*F74</f>
        <v>0</v>
      </c>
      <c r="H74" s="14" t="n">
        <f aca="false">IF(B74="",0,E74*IFERROR(VLOOKUP(B74,'Recetas y precios'!$A$5:$T$54,20,FALSE()),0))</f>
        <v>0</v>
      </c>
      <c r="I74" s="26"/>
      <c r="J74" s="14" t="n">
        <f aca="false">G74*I74</f>
        <v>0</v>
      </c>
      <c r="K74" s="14" t="n">
        <f aca="false">G74-H74-J74</f>
        <v>0</v>
      </c>
      <c r="L74" s="30" t="str">
        <f aca="false">IF(G74&gt;0,K74/G74,"")</f>
        <v/>
      </c>
      <c r="M74" s="6"/>
    </row>
    <row r="75" customFormat="false" ht="15" hidden="false" customHeight="false" outlineLevel="0" collapsed="false">
      <c r="A75" s="33"/>
      <c r="B75" s="6"/>
      <c r="C75" s="0" t="str">
        <f aca="false">IF(B75="","",IFERROR(VLOOKUP(B75,'Recetas y precios'!$A$5:$B$54,2,FALSE()),""))</f>
        <v/>
      </c>
      <c r="D75" s="20"/>
      <c r="E75" s="6"/>
      <c r="F75" s="29"/>
      <c r="G75" s="14" t="n">
        <f aca="false">E75*F75</f>
        <v>0</v>
      </c>
      <c r="H75" s="14" t="n">
        <f aca="false">IF(B75="",0,E75*IFERROR(VLOOKUP(B75,'Recetas y precios'!$A$5:$T$54,20,FALSE()),0))</f>
        <v>0</v>
      </c>
      <c r="I75" s="26"/>
      <c r="J75" s="14" t="n">
        <f aca="false">G75*I75</f>
        <v>0</v>
      </c>
      <c r="K75" s="14" t="n">
        <f aca="false">G75-H75-J75</f>
        <v>0</v>
      </c>
      <c r="L75" s="30" t="str">
        <f aca="false">IF(G75&gt;0,K75/G75,"")</f>
        <v/>
      </c>
      <c r="M75" s="6"/>
    </row>
    <row r="76" customFormat="false" ht="15" hidden="false" customHeight="false" outlineLevel="0" collapsed="false">
      <c r="A76" s="33"/>
      <c r="B76" s="6"/>
      <c r="C76" s="0" t="str">
        <f aca="false">IF(B76="","",IFERROR(VLOOKUP(B76,'Recetas y precios'!$A$5:$B$54,2,FALSE()),""))</f>
        <v/>
      </c>
      <c r="D76" s="20"/>
      <c r="E76" s="6"/>
      <c r="F76" s="29"/>
      <c r="G76" s="14" t="n">
        <f aca="false">E76*F76</f>
        <v>0</v>
      </c>
      <c r="H76" s="14" t="n">
        <f aca="false">IF(B76="",0,E76*IFERROR(VLOOKUP(B76,'Recetas y precios'!$A$5:$T$54,20,FALSE()),0))</f>
        <v>0</v>
      </c>
      <c r="I76" s="26"/>
      <c r="J76" s="14" t="n">
        <f aca="false">G76*I76</f>
        <v>0</v>
      </c>
      <c r="K76" s="14" t="n">
        <f aca="false">G76-H76-J76</f>
        <v>0</v>
      </c>
      <c r="L76" s="30" t="str">
        <f aca="false">IF(G76&gt;0,K76/G76,"")</f>
        <v/>
      </c>
      <c r="M76" s="6"/>
    </row>
    <row r="77" customFormat="false" ht="15" hidden="false" customHeight="false" outlineLevel="0" collapsed="false">
      <c r="A77" s="33"/>
      <c r="B77" s="6"/>
      <c r="C77" s="0" t="str">
        <f aca="false">IF(B77="","",IFERROR(VLOOKUP(B77,'Recetas y precios'!$A$5:$B$54,2,FALSE()),""))</f>
        <v/>
      </c>
      <c r="D77" s="20"/>
      <c r="E77" s="6"/>
      <c r="F77" s="29"/>
      <c r="G77" s="14" t="n">
        <f aca="false">E77*F77</f>
        <v>0</v>
      </c>
      <c r="H77" s="14" t="n">
        <f aca="false">IF(B77="",0,E77*IFERROR(VLOOKUP(B77,'Recetas y precios'!$A$5:$T$54,20,FALSE()),0))</f>
        <v>0</v>
      </c>
      <c r="I77" s="26"/>
      <c r="J77" s="14" t="n">
        <f aca="false">G77*I77</f>
        <v>0</v>
      </c>
      <c r="K77" s="14" t="n">
        <f aca="false">G77-H77-J77</f>
        <v>0</v>
      </c>
      <c r="L77" s="30" t="str">
        <f aca="false">IF(G77&gt;0,K77/G77,"")</f>
        <v/>
      </c>
      <c r="M77" s="6"/>
    </row>
    <row r="78" customFormat="false" ht="15" hidden="false" customHeight="false" outlineLevel="0" collapsed="false">
      <c r="A78" s="33"/>
      <c r="B78" s="6"/>
      <c r="C78" s="0" t="str">
        <f aca="false">IF(B78="","",IFERROR(VLOOKUP(B78,'Recetas y precios'!$A$5:$B$54,2,FALSE()),""))</f>
        <v/>
      </c>
      <c r="D78" s="20"/>
      <c r="E78" s="6"/>
      <c r="F78" s="29"/>
      <c r="G78" s="14" t="n">
        <f aca="false">E78*F78</f>
        <v>0</v>
      </c>
      <c r="H78" s="14" t="n">
        <f aca="false">IF(B78="",0,E78*IFERROR(VLOOKUP(B78,'Recetas y precios'!$A$5:$T$54,20,FALSE()),0))</f>
        <v>0</v>
      </c>
      <c r="I78" s="26"/>
      <c r="J78" s="14" t="n">
        <f aca="false">G78*I78</f>
        <v>0</v>
      </c>
      <c r="K78" s="14" t="n">
        <f aca="false">G78-H78-J78</f>
        <v>0</v>
      </c>
      <c r="L78" s="30" t="str">
        <f aca="false">IF(G78&gt;0,K78/G78,"")</f>
        <v/>
      </c>
      <c r="M78" s="6"/>
    </row>
    <row r="79" customFormat="false" ht="15" hidden="false" customHeight="false" outlineLevel="0" collapsed="false">
      <c r="A79" s="33"/>
      <c r="B79" s="6"/>
      <c r="C79" s="0" t="str">
        <f aca="false">IF(B79="","",IFERROR(VLOOKUP(B79,'Recetas y precios'!$A$5:$B$54,2,FALSE()),""))</f>
        <v/>
      </c>
      <c r="D79" s="20"/>
      <c r="E79" s="6"/>
      <c r="F79" s="29"/>
      <c r="G79" s="14" t="n">
        <f aca="false">E79*F79</f>
        <v>0</v>
      </c>
      <c r="H79" s="14" t="n">
        <f aca="false">IF(B79="",0,E79*IFERROR(VLOOKUP(B79,'Recetas y precios'!$A$5:$T$54,20,FALSE()),0))</f>
        <v>0</v>
      </c>
      <c r="I79" s="26"/>
      <c r="J79" s="14" t="n">
        <f aca="false">G79*I79</f>
        <v>0</v>
      </c>
      <c r="K79" s="14" t="n">
        <f aca="false">G79-H79-J79</f>
        <v>0</v>
      </c>
      <c r="L79" s="30" t="str">
        <f aca="false">IF(G79&gt;0,K79/G79,"")</f>
        <v/>
      </c>
      <c r="M79" s="6"/>
    </row>
    <row r="80" customFormat="false" ht="15" hidden="false" customHeight="false" outlineLevel="0" collapsed="false">
      <c r="A80" s="33"/>
      <c r="B80" s="6"/>
      <c r="C80" s="0" t="str">
        <f aca="false">IF(B80="","",IFERROR(VLOOKUP(B80,'Recetas y precios'!$A$5:$B$54,2,FALSE()),""))</f>
        <v/>
      </c>
      <c r="D80" s="20"/>
      <c r="E80" s="6"/>
      <c r="F80" s="29"/>
      <c r="G80" s="14" t="n">
        <f aca="false">E80*F80</f>
        <v>0</v>
      </c>
      <c r="H80" s="14" t="n">
        <f aca="false">IF(B80="",0,E80*IFERROR(VLOOKUP(B80,'Recetas y precios'!$A$5:$T$54,20,FALSE()),0))</f>
        <v>0</v>
      </c>
      <c r="I80" s="26"/>
      <c r="J80" s="14" t="n">
        <f aca="false">G80*I80</f>
        <v>0</v>
      </c>
      <c r="K80" s="14" t="n">
        <f aca="false">G80-H80-J80</f>
        <v>0</v>
      </c>
      <c r="L80" s="30" t="str">
        <f aca="false">IF(G80&gt;0,K80/G80,"")</f>
        <v/>
      </c>
      <c r="M80" s="6"/>
    </row>
    <row r="81" customFormat="false" ht="15" hidden="false" customHeight="false" outlineLevel="0" collapsed="false">
      <c r="A81" s="33"/>
      <c r="B81" s="6"/>
      <c r="C81" s="0" t="str">
        <f aca="false">IF(B81="","",IFERROR(VLOOKUP(B81,'Recetas y precios'!$A$5:$B$54,2,FALSE()),""))</f>
        <v/>
      </c>
      <c r="D81" s="20"/>
      <c r="E81" s="6"/>
      <c r="F81" s="29"/>
      <c r="G81" s="14" t="n">
        <f aca="false">E81*F81</f>
        <v>0</v>
      </c>
      <c r="H81" s="14" t="n">
        <f aca="false">IF(B81="",0,E81*IFERROR(VLOOKUP(B81,'Recetas y precios'!$A$5:$T$54,20,FALSE()),0))</f>
        <v>0</v>
      </c>
      <c r="I81" s="26"/>
      <c r="J81" s="14" t="n">
        <f aca="false">G81*I81</f>
        <v>0</v>
      </c>
      <c r="K81" s="14" t="n">
        <f aca="false">G81-H81-J81</f>
        <v>0</v>
      </c>
      <c r="L81" s="30" t="str">
        <f aca="false">IF(G81&gt;0,K81/G81,"")</f>
        <v/>
      </c>
      <c r="M81" s="6"/>
    </row>
    <row r="82" customFormat="false" ht="15" hidden="false" customHeight="false" outlineLevel="0" collapsed="false">
      <c r="A82" s="33"/>
      <c r="B82" s="6"/>
      <c r="C82" s="0" t="str">
        <f aca="false">IF(B82="","",IFERROR(VLOOKUP(B82,'Recetas y precios'!$A$5:$B$54,2,FALSE()),""))</f>
        <v/>
      </c>
      <c r="D82" s="20"/>
      <c r="E82" s="6"/>
      <c r="F82" s="29"/>
      <c r="G82" s="14" t="n">
        <f aca="false">E82*F82</f>
        <v>0</v>
      </c>
      <c r="H82" s="14" t="n">
        <f aca="false">IF(B82="",0,E82*IFERROR(VLOOKUP(B82,'Recetas y precios'!$A$5:$T$54,20,FALSE()),0))</f>
        <v>0</v>
      </c>
      <c r="I82" s="26"/>
      <c r="J82" s="14" t="n">
        <f aca="false">G82*I82</f>
        <v>0</v>
      </c>
      <c r="K82" s="14" t="n">
        <f aca="false">G82-H82-J82</f>
        <v>0</v>
      </c>
      <c r="L82" s="30" t="str">
        <f aca="false">IF(G82&gt;0,K82/G82,"")</f>
        <v/>
      </c>
      <c r="M82" s="6"/>
    </row>
    <row r="83" customFormat="false" ht="15" hidden="false" customHeight="false" outlineLevel="0" collapsed="false">
      <c r="A83" s="33"/>
      <c r="B83" s="6"/>
      <c r="C83" s="0" t="str">
        <f aca="false">IF(B83="","",IFERROR(VLOOKUP(B83,'Recetas y precios'!$A$5:$B$54,2,FALSE()),""))</f>
        <v/>
      </c>
      <c r="D83" s="20"/>
      <c r="E83" s="6"/>
      <c r="F83" s="29"/>
      <c r="G83" s="14" t="n">
        <f aca="false">E83*F83</f>
        <v>0</v>
      </c>
      <c r="H83" s="14" t="n">
        <f aca="false">IF(B83="",0,E83*IFERROR(VLOOKUP(B83,'Recetas y precios'!$A$5:$T$54,20,FALSE()),0))</f>
        <v>0</v>
      </c>
      <c r="I83" s="26"/>
      <c r="J83" s="14" t="n">
        <f aca="false">G83*I83</f>
        <v>0</v>
      </c>
      <c r="K83" s="14" t="n">
        <f aca="false">G83-H83-J83</f>
        <v>0</v>
      </c>
      <c r="L83" s="30" t="str">
        <f aca="false">IF(G83&gt;0,K83/G83,"")</f>
        <v/>
      </c>
      <c r="M83" s="6"/>
    </row>
    <row r="84" customFormat="false" ht="15" hidden="false" customHeight="false" outlineLevel="0" collapsed="false">
      <c r="A84" s="33"/>
      <c r="B84" s="6"/>
      <c r="C84" s="0" t="str">
        <f aca="false">IF(B84="","",IFERROR(VLOOKUP(B84,'Recetas y precios'!$A$5:$B$54,2,FALSE()),""))</f>
        <v/>
      </c>
      <c r="D84" s="20"/>
      <c r="E84" s="6"/>
      <c r="F84" s="29"/>
      <c r="G84" s="14" t="n">
        <f aca="false">E84*F84</f>
        <v>0</v>
      </c>
      <c r="H84" s="14" t="n">
        <f aca="false">IF(B84="",0,E84*IFERROR(VLOOKUP(B84,'Recetas y precios'!$A$5:$T$54,20,FALSE()),0))</f>
        <v>0</v>
      </c>
      <c r="I84" s="26"/>
      <c r="J84" s="14" t="n">
        <f aca="false">G84*I84</f>
        <v>0</v>
      </c>
      <c r="K84" s="14" t="n">
        <f aca="false">G84-H84-J84</f>
        <v>0</v>
      </c>
      <c r="L84" s="30" t="str">
        <f aca="false">IF(G84&gt;0,K84/G84,"")</f>
        <v/>
      </c>
      <c r="M84" s="6"/>
    </row>
    <row r="85" customFormat="false" ht="15" hidden="false" customHeight="false" outlineLevel="0" collapsed="false">
      <c r="A85" s="33"/>
      <c r="B85" s="6"/>
      <c r="C85" s="0" t="str">
        <f aca="false">IF(B85="","",IFERROR(VLOOKUP(B85,'Recetas y precios'!$A$5:$B$54,2,FALSE()),""))</f>
        <v/>
      </c>
      <c r="D85" s="20"/>
      <c r="E85" s="6"/>
      <c r="F85" s="29"/>
      <c r="G85" s="14" t="n">
        <f aca="false">E85*F85</f>
        <v>0</v>
      </c>
      <c r="H85" s="14" t="n">
        <f aca="false">IF(B85="",0,E85*IFERROR(VLOOKUP(B85,'Recetas y precios'!$A$5:$T$54,20,FALSE()),0))</f>
        <v>0</v>
      </c>
      <c r="I85" s="26"/>
      <c r="J85" s="14" t="n">
        <f aca="false">G85*I85</f>
        <v>0</v>
      </c>
      <c r="K85" s="14" t="n">
        <f aca="false">G85-H85-J85</f>
        <v>0</v>
      </c>
      <c r="L85" s="30" t="str">
        <f aca="false">IF(G85&gt;0,K85/G85,"")</f>
        <v/>
      </c>
      <c r="M85" s="6"/>
    </row>
    <row r="86" customFormat="false" ht="15" hidden="false" customHeight="false" outlineLevel="0" collapsed="false">
      <c r="A86" s="33"/>
      <c r="B86" s="6"/>
      <c r="C86" s="0" t="str">
        <f aca="false">IF(B86="","",IFERROR(VLOOKUP(B86,'Recetas y precios'!$A$5:$B$54,2,FALSE()),""))</f>
        <v/>
      </c>
      <c r="D86" s="20"/>
      <c r="E86" s="6"/>
      <c r="F86" s="29"/>
      <c r="G86" s="14" t="n">
        <f aca="false">E86*F86</f>
        <v>0</v>
      </c>
      <c r="H86" s="14" t="n">
        <f aca="false">IF(B86="",0,E86*IFERROR(VLOOKUP(B86,'Recetas y precios'!$A$5:$T$54,20,FALSE()),0))</f>
        <v>0</v>
      </c>
      <c r="I86" s="26"/>
      <c r="J86" s="14" t="n">
        <f aca="false">G86*I86</f>
        <v>0</v>
      </c>
      <c r="K86" s="14" t="n">
        <f aca="false">G86-H86-J86</f>
        <v>0</v>
      </c>
      <c r="L86" s="30" t="str">
        <f aca="false">IF(G86&gt;0,K86/G86,"")</f>
        <v/>
      </c>
      <c r="M86" s="6"/>
    </row>
    <row r="87" customFormat="false" ht="15" hidden="false" customHeight="false" outlineLevel="0" collapsed="false">
      <c r="A87" s="33"/>
      <c r="B87" s="6"/>
      <c r="C87" s="0" t="str">
        <f aca="false">IF(B87="","",IFERROR(VLOOKUP(B87,'Recetas y precios'!$A$5:$B$54,2,FALSE()),""))</f>
        <v/>
      </c>
      <c r="D87" s="20"/>
      <c r="E87" s="6"/>
      <c r="F87" s="29"/>
      <c r="G87" s="14" t="n">
        <f aca="false">E87*F87</f>
        <v>0</v>
      </c>
      <c r="H87" s="14" t="n">
        <f aca="false">IF(B87="",0,E87*IFERROR(VLOOKUP(B87,'Recetas y precios'!$A$5:$T$54,20,FALSE()),0))</f>
        <v>0</v>
      </c>
      <c r="I87" s="26"/>
      <c r="J87" s="14" t="n">
        <f aca="false">G87*I87</f>
        <v>0</v>
      </c>
      <c r="K87" s="14" t="n">
        <f aca="false">G87-H87-J87</f>
        <v>0</v>
      </c>
      <c r="L87" s="30" t="str">
        <f aca="false">IF(G87&gt;0,K87/G87,"")</f>
        <v/>
      </c>
      <c r="M87" s="6"/>
    </row>
    <row r="88" customFormat="false" ht="15" hidden="false" customHeight="false" outlineLevel="0" collapsed="false">
      <c r="A88" s="33"/>
      <c r="B88" s="6"/>
      <c r="C88" s="0" t="str">
        <f aca="false">IF(B88="","",IFERROR(VLOOKUP(B88,'Recetas y precios'!$A$5:$B$54,2,FALSE()),""))</f>
        <v/>
      </c>
      <c r="D88" s="20"/>
      <c r="E88" s="6"/>
      <c r="F88" s="29"/>
      <c r="G88" s="14" t="n">
        <f aca="false">E88*F88</f>
        <v>0</v>
      </c>
      <c r="H88" s="14" t="n">
        <f aca="false">IF(B88="",0,E88*IFERROR(VLOOKUP(B88,'Recetas y precios'!$A$5:$T$54,20,FALSE()),0))</f>
        <v>0</v>
      </c>
      <c r="I88" s="26"/>
      <c r="J88" s="14" t="n">
        <f aca="false">G88*I88</f>
        <v>0</v>
      </c>
      <c r="K88" s="14" t="n">
        <f aca="false">G88-H88-J88</f>
        <v>0</v>
      </c>
      <c r="L88" s="30" t="str">
        <f aca="false">IF(G88&gt;0,K88/G88,"")</f>
        <v/>
      </c>
      <c r="M88" s="6"/>
    </row>
    <row r="89" customFormat="false" ht="15" hidden="false" customHeight="false" outlineLevel="0" collapsed="false">
      <c r="A89" s="33"/>
      <c r="B89" s="6"/>
      <c r="C89" s="0" t="str">
        <f aca="false">IF(B89="","",IFERROR(VLOOKUP(B89,'Recetas y precios'!$A$5:$B$54,2,FALSE()),""))</f>
        <v/>
      </c>
      <c r="D89" s="20"/>
      <c r="E89" s="6"/>
      <c r="F89" s="29"/>
      <c r="G89" s="14" t="n">
        <f aca="false">E89*F89</f>
        <v>0</v>
      </c>
      <c r="H89" s="14" t="n">
        <f aca="false">IF(B89="",0,E89*IFERROR(VLOOKUP(B89,'Recetas y precios'!$A$5:$T$54,20,FALSE()),0))</f>
        <v>0</v>
      </c>
      <c r="I89" s="26"/>
      <c r="J89" s="14" t="n">
        <f aca="false">G89*I89</f>
        <v>0</v>
      </c>
      <c r="K89" s="14" t="n">
        <f aca="false">G89-H89-J89</f>
        <v>0</v>
      </c>
      <c r="L89" s="30" t="str">
        <f aca="false">IF(G89&gt;0,K89/G89,"")</f>
        <v/>
      </c>
      <c r="M89" s="6"/>
    </row>
    <row r="90" customFormat="false" ht="15" hidden="false" customHeight="false" outlineLevel="0" collapsed="false">
      <c r="A90" s="33"/>
      <c r="B90" s="6"/>
      <c r="C90" s="0" t="str">
        <f aca="false">IF(B90="","",IFERROR(VLOOKUP(B90,'Recetas y precios'!$A$5:$B$54,2,FALSE()),""))</f>
        <v/>
      </c>
      <c r="D90" s="20"/>
      <c r="E90" s="6"/>
      <c r="F90" s="29"/>
      <c r="G90" s="14" t="n">
        <f aca="false">E90*F90</f>
        <v>0</v>
      </c>
      <c r="H90" s="14" t="n">
        <f aca="false">IF(B90="",0,E90*IFERROR(VLOOKUP(B90,'Recetas y precios'!$A$5:$T$54,20,FALSE()),0))</f>
        <v>0</v>
      </c>
      <c r="I90" s="26"/>
      <c r="J90" s="14" t="n">
        <f aca="false">G90*I90</f>
        <v>0</v>
      </c>
      <c r="K90" s="14" t="n">
        <f aca="false">G90-H90-J90</f>
        <v>0</v>
      </c>
      <c r="L90" s="30" t="str">
        <f aca="false">IF(G90&gt;0,K90/G90,"")</f>
        <v/>
      </c>
      <c r="M90" s="6"/>
    </row>
    <row r="91" customFormat="false" ht="15" hidden="false" customHeight="false" outlineLevel="0" collapsed="false">
      <c r="A91" s="33"/>
      <c r="B91" s="6"/>
      <c r="C91" s="0" t="str">
        <f aca="false">IF(B91="","",IFERROR(VLOOKUP(B91,'Recetas y precios'!$A$5:$B$54,2,FALSE()),""))</f>
        <v/>
      </c>
      <c r="D91" s="20"/>
      <c r="E91" s="6"/>
      <c r="F91" s="29"/>
      <c r="G91" s="14" t="n">
        <f aca="false">E91*F91</f>
        <v>0</v>
      </c>
      <c r="H91" s="14" t="n">
        <f aca="false">IF(B91="",0,E91*IFERROR(VLOOKUP(B91,'Recetas y precios'!$A$5:$T$54,20,FALSE()),0))</f>
        <v>0</v>
      </c>
      <c r="I91" s="26"/>
      <c r="J91" s="14" t="n">
        <f aca="false">G91*I91</f>
        <v>0</v>
      </c>
      <c r="K91" s="14" t="n">
        <f aca="false">G91-H91-J91</f>
        <v>0</v>
      </c>
      <c r="L91" s="30" t="str">
        <f aca="false">IF(G91&gt;0,K91/G91,"")</f>
        <v/>
      </c>
      <c r="M91" s="6"/>
    </row>
    <row r="92" customFormat="false" ht="15" hidden="false" customHeight="false" outlineLevel="0" collapsed="false">
      <c r="A92" s="33"/>
      <c r="B92" s="6"/>
      <c r="C92" s="0" t="str">
        <f aca="false">IF(B92="","",IFERROR(VLOOKUP(B92,'Recetas y precios'!$A$5:$B$54,2,FALSE()),""))</f>
        <v/>
      </c>
      <c r="D92" s="20"/>
      <c r="E92" s="6"/>
      <c r="F92" s="29"/>
      <c r="G92" s="14" t="n">
        <f aca="false">E92*F92</f>
        <v>0</v>
      </c>
      <c r="H92" s="14" t="n">
        <f aca="false">IF(B92="",0,E92*IFERROR(VLOOKUP(B92,'Recetas y precios'!$A$5:$T$54,20,FALSE()),0))</f>
        <v>0</v>
      </c>
      <c r="I92" s="26"/>
      <c r="J92" s="14" t="n">
        <f aca="false">G92*I92</f>
        <v>0</v>
      </c>
      <c r="K92" s="14" t="n">
        <f aca="false">G92-H92-J92</f>
        <v>0</v>
      </c>
      <c r="L92" s="30" t="str">
        <f aca="false">IF(G92&gt;0,K92/G92,"")</f>
        <v/>
      </c>
      <c r="M92" s="6"/>
    </row>
    <row r="93" customFormat="false" ht="15" hidden="false" customHeight="false" outlineLevel="0" collapsed="false">
      <c r="A93" s="33"/>
      <c r="B93" s="6"/>
      <c r="C93" s="0" t="str">
        <f aca="false">IF(B93="","",IFERROR(VLOOKUP(B93,'Recetas y precios'!$A$5:$B$54,2,FALSE()),""))</f>
        <v/>
      </c>
      <c r="D93" s="20"/>
      <c r="E93" s="6"/>
      <c r="F93" s="29"/>
      <c r="G93" s="14" t="n">
        <f aca="false">E93*F93</f>
        <v>0</v>
      </c>
      <c r="H93" s="14" t="n">
        <f aca="false">IF(B93="",0,E93*IFERROR(VLOOKUP(B93,'Recetas y precios'!$A$5:$T$54,20,FALSE()),0))</f>
        <v>0</v>
      </c>
      <c r="I93" s="26"/>
      <c r="J93" s="14" t="n">
        <f aca="false">G93*I93</f>
        <v>0</v>
      </c>
      <c r="K93" s="14" t="n">
        <f aca="false">G93-H93-J93</f>
        <v>0</v>
      </c>
      <c r="L93" s="30" t="str">
        <f aca="false">IF(G93&gt;0,K93/G93,"")</f>
        <v/>
      </c>
      <c r="M93" s="6"/>
    </row>
    <row r="94" customFormat="false" ht="15" hidden="false" customHeight="false" outlineLevel="0" collapsed="false">
      <c r="A94" s="33"/>
      <c r="B94" s="6"/>
      <c r="C94" s="0" t="str">
        <f aca="false">IF(B94="","",IFERROR(VLOOKUP(B94,'Recetas y precios'!$A$5:$B$54,2,FALSE()),""))</f>
        <v/>
      </c>
      <c r="D94" s="20"/>
      <c r="E94" s="6"/>
      <c r="F94" s="29"/>
      <c r="G94" s="14" t="n">
        <f aca="false">E94*F94</f>
        <v>0</v>
      </c>
      <c r="H94" s="14" t="n">
        <f aca="false">IF(B94="",0,E94*IFERROR(VLOOKUP(B94,'Recetas y precios'!$A$5:$T$54,20,FALSE()),0))</f>
        <v>0</v>
      </c>
      <c r="I94" s="26"/>
      <c r="J94" s="14" t="n">
        <f aca="false">G94*I94</f>
        <v>0</v>
      </c>
      <c r="K94" s="14" t="n">
        <f aca="false">G94-H94-J94</f>
        <v>0</v>
      </c>
      <c r="L94" s="30" t="str">
        <f aca="false">IF(G94&gt;0,K94/G94,"")</f>
        <v/>
      </c>
      <c r="M94" s="6"/>
    </row>
    <row r="95" customFormat="false" ht="15" hidden="false" customHeight="false" outlineLevel="0" collapsed="false">
      <c r="A95" s="33"/>
      <c r="B95" s="6"/>
      <c r="C95" s="0" t="str">
        <f aca="false">IF(B95="","",IFERROR(VLOOKUP(B95,'Recetas y precios'!$A$5:$B$54,2,FALSE()),""))</f>
        <v/>
      </c>
      <c r="D95" s="20"/>
      <c r="E95" s="6"/>
      <c r="F95" s="29"/>
      <c r="G95" s="14" t="n">
        <f aca="false">E95*F95</f>
        <v>0</v>
      </c>
      <c r="H95" s="14" t="n">
        <f aca="false">IF(B95="",0,E95*IFERROR(VLOOKUP(B95,'Recetas y precios'!$A$5:$T$54,20,FALSE()),0))</f>
        <v>0</v>
      </c>
      <c r="I95" s="26"/>
      <c r="J95" s="14" t="n">
        <f aca="false">G95*I95</f>
        <v>0</v>
      </c>
      <c r="K95" s="14" t="n">
        <f aca="false">G95-H95-J95</f>
        <v>0</v>
      </c>
      <c r="L95" s="30" t="str">
        <f aca="false">IF(G95&gt;0,K95/G95,"")</f>
        <v/>
      </c>
      <c r="M95" s="6"/>
    </row>
    <row r="96" customFormat="false" ht="15" hidden="false" customHeight="false" outlineLevel="0" collapsed="false">
      <c r="A96" s="33"/>
      <c r="B96" s="6"/>
      <c r="C96" s="0" t="str">
        <f aca="false">IF(B96="","",IFERROR(VLOOKUP(B96,'Recetas y precios'!$A$5:$B$54,2,FALSE()),""))</f>
        <v/>
      </c>
      <c r="D96" s="20"/>
      <c r="E96" s="6"/>
      <c r="F96" s="29"/>
      <c r="G96" s="14" t="n">
        <f aca="false">E96*F96</f>
        <v>0</v>
      </c>
      <c r="H96" s="14" t="n">
        <f aca="false">IF(B96="",0,E96*IFERROR(VLOOKUP(B96,'Recetas y precios'!$A$5:$T$54,20,FALSE()),0))</f>
        <v>0</v>
      </c>
      <c r="I96" s="26"/>
      <c r="J96" s="14" t="n">
        <f aca="false">G96*I96</f>
        <v>0</v>
      </c>
      <c r="K96" s="14" t="n">
        <f aca="false">G96-H96-J96</f>
        <v>0</v>
      </c>
      <c r="L96" s="30" t="str">
        <f aca="false">IF(G96&gt;0,K96/G96,"")</f>
        <v/>
      </c>
      <c r="M96" s="6"/>
    </row>
    <row r="97" customFormat="false" ht="15" hidden="false" customHeight="false" outlineLevel="0" collapsed="false">
      <c r="A97" s="33"/>
      <c r="B97" s="6"/>
      <c r="C97" s="0" t="str">
        <f aca="false">IF(B97="","",IFERROR(VLOOKUP(B97,'Recetas y precios'!$A$5:$B$54,2,FALSE()),""))</f>
        <v/>
      </c>
      <c r="D97" s="20"/>
      <c r="E97" s="6"/>
      <c r="F97" s="29"/>
      <c r="G97" s="14" t="n">
        <f aca="false">E97*F97</f>
        <v>0</v>
      </c>
      <c r="H97" s="14" t="n">
        <f aca="false">IF(B97="",0,E97*IFERROR(VLOOKUP(B97,'Recetas y precios'!$A$5:$T$54,20,FALSE()),0))</f>
        <v>0</v>
      </c>
      <c r="I97" s="26"/>
      <c r="J97" s="14" t="n">
        <f aca="false">G97*I97</f>
        <v>0</v>
      </c>
      <c r="K97" s="14" t="n">
        <f aca="false">G97-H97-J97</f>
        <v>0</v>
      </c>
      <c r="L97" s="30" t="str">
        <f aca="false">IF(G97&gt;0,K97/G97,"")</f>
        <v/>
      </c>
      <c r="M97" s="6"/>
    </row>
    <row r="98" customFormat="false" ht="15" hidden="false" customHeight="false" outlineLevel="0" collapsed="false">
      <c r="A98" s="33"/>
      <c r="B98" s="6"/>
      <c r="C98" s="0" t="str">
        <f aca="false">IF(B98="","",IFERROR(VLOOKUP(B98,'Recetas y precios'!$A$5:$B$54,2,FALSE()),""))</f>
        <v/>
      </c>
      <c r="D98" s="20"/>
      <c r="E98" s="6"/>
      <c r="F98" s="29"/>
      <c r="G98" s="14" t="n">
        <f aca="false">E98*F98</f>
        <v>0</v>
      </c>
      <c r="H98" s="14" t="n">
        <f aca="false">IF(B98="",0,E98*IFERROR(VLOOKUP(B98,'Recetas y precios'!$A$5:$T$54,20,FALSE()),0))</f>
        <v>0</v>
      </c>
      <c r="I98" s="26"/>
      <c r="J98" s="14" t="n">
        <f aca="false">G98*I98</f>
        <v>0</v>
      </c>
      <c r="K98" s="14" t="n">
        <f aca="false">G98-H98-J98</f>
        <v>0</v>
      </c>
      <c r="L98" s="30" t="str">
        <f aca="false">IF(G98&gt;0,K98/G98,"")</f>
        <v/>
      </c>
      <c r="M98" s="6"/>
    </row>
    <row r="99" customFormat="false" ht="15" hidden="false" customHeight="false" outlineLevel="0" collapsed="false">
      <c r="A99" s="33"/>
      <c r="B99" s="6"/>
      <c r="C99" s="0" t="str">
        <f aca="false">IF(B99="","",IFERROR(VLOOKUP(B99,'Recetas y precios'!$A$5:$B$54,2,FALSE()),""))</f>
        <v/>
      </c>
      <c r="D99" s="20"/>
      <c r="E99" s="6"/>
      <c r="F99" s="29"/>
      <c r="G99" s="14" t="n">
        <f aca="false">E99*F99</f>
        <v>0</v>
      </c>
      <c r="H99" s="14" t="n">
        <f aca="false">IF(B99="",0,E99*IFERROR(VLOOKUP(B99,'Recetas y precios'!$A$5:$T$54,20,FALSE()),0))</f>
        <v>0</v>
      </c>
      <c r="I99" s="26"/>
      <c r="J99" s="14" t="n">
        <f aca="false">G99*I99</f>
        <v>0</v>
      </c>
      <c r="K99" s="14" t="n">
        <f aca="false">G99-H99-J99</f>
        <v>0</v>
      </c>
      <c r="L99" s="30" t="str">
        <f aca="false">IF(G99&gt;0,K99/G99,"")</f>
        <v/>
      </c>
      <c r="M99" s="6"/>
    </row>
    <row r="100" customFormat="false" ht="15" hidden="false" customHeight="false" outlineLevel="0" collapsed="false">
      <c r="A100" s="33"/>
      <c r="B100" s="6"/>
      <c r="C100" s="0" t="str">
        <f aca="false">IF(B100="","",IFERROR(VLOOKUP(B100,'Recetas y precios'!$A$5:$B$54,2,FALSE()),""))</f>
        <v/>
      </c>
      <c r="D100" s="20"/>
      <c r="E100" s="6"/>
      <c r="F100" s="29"/>
      <c r="G100" s="14" t="n">
        <f aca="false">E100*F100</f>
        <v>0</v>
      </c>
      <c r="H100" s="14" t="n">
        <f aca="false">IF(B100="",0,E100*IFERROR(VLOOKUP(B100,'Recetas y precios'!$A$5:$T$54,20,FALSE()),0))</f>
        <v>0</v>
      </c>
      <c r="I100" s="26"/>
      <c r="J100" s="14" t="n">
        <f aca="false">G100*I100</f>
        <v>0</v>
      </c>
      <c r="K100" s="14" t="n">
        <f aca="false">G100-H100-J100</f>
        <v>0</v>
      </c>
      <c r="L100" s="30" t="str">
        <f aca="false">IF(G100&gt;0,K100/G100,"")</f>
        <v/>
      </c>
      <c r="M100" s="6"/>
    </row>
    <row r="101" customFormat="false" ht="15" hidden="false" customHeight="false" outlineLevel="0" collapsed="false">
      <c r="A101" s="33"/>
      <c r="B101" s="6"/>
      <c r="C101" s="0" t="str">
        <f aca="false">IF(B101="","",IFERROR(VLOOKUP(B101,'Recetas y precios'!$A$5:$B$54,2,FALSE()),""))</f>
        <v/>
      </c>
      <c r="D101" s="20"/>
      <c r="E101" s="6"/>
      <c r="F101" s="29"/>
      <c r="G101" s="14" t="n">
        <f aca="false">E101*F101</f>
        <v>0</v>
      </c>
      <c r="H101" s="14" t="n">
        <f aca="false">IF(B101="",0,E101*IFERROR(VLOOKUP(B101,'Recetas y precios'!$A$5:$T$54,20,FALSE()),0))</f>
        <v>0</v>
      </c>
      <c r="I101" s="26"/>
      <c r="J101" s="14" t="n">
        <f aca="false">G101*I101</f>
        <v>0</v>
      </c>
      <c r="K101" s="14" t="n">
        <f aca="false">G101-H101-J101</f>
        <v>0</v>
      </c>
      <c r="L101" s="30" t="str">
        <f aca="false">IF(G101&gt;0,K101/G101,"")</f>
        <v/>
      </c>
      <c r="M101" s="6"/>
    </row>
    <row r="102" customFormat="false" ht="15" hidden="false" customHeight="false" outlineLevel="0" collapsed="false">
      <c r="A102" s="33"/>
      <c r="B102" s="6"/>
      <c r="C102" s="0" t="str">
        <f aca="false">IF(B102="","",IFERROR(VLOOKUP(B102,'Recetas y precios'!$A$5:$B$54,2,FALSE()),""))</f>
        <v/>
      </c>
      <c r="D102" s="20"/>
      <c r="E102" s="6"/>
      <c r="F102" s="29"/>
      <c r="G102" s="14" t="n">
        <f aca="false">E102*F102</f>
        <v>0</v>
      </c>
      <c r="H102" s="14" t="n">
        <f aca="false">IF(B102="",0,E102*IFERROR(VLOOKUP(B102,'Recetas y precios'!$A$5:$T$54,20,FALSE()),0))</f>
        <v>0</v>
      </c>
      <c r="I102" s="26"/>
      <c r="J102" s="14" t="n">
        <f aca="false">G102*I102</f>
        <v>0</v>
      </c>
      <c r="K102" s="14" t="n">
        <f aca="false">G102-H102-J102</f>
        <v>0</v>
      </c>
      <c r="L102" s="30" t="str">
        <f aca="false">IF(G102&gt;0,K102/G102,"")</f>
        <v/>
      </c>
      <c r="M102" s="6"/>
    </row>
    <row r="103" customFormat="false" ht="15" hidden="false" customHeight="false" outlineLevel="0" collapsed="false">
      <c r="A103" s="33"/>
      <c r="B103" s="6"/>
      <c r="C103" s="0" t="str">
        <f aca="false">IF(B103="","",IFERROR(VLOOKUP(B103,'Recetas y precios'!$A$5:$B$54,2,FALSE()),""))</f>
        <v/>
      </c>
      <c r="D103" s="20"/>
      <c r="E103" s="6"/>
      <c r="F103" s="29"/>
      <c r="G103" s="14" t="n">
        <f aca="false">E103*F103</f>
        <v>0</v>
      </c>
      <c r="H103" s="14" t="n">
        <f aca="false">IF(B103="",0,E103*IFERROR(VLOOKUP(B103,'Recetas y precios'!$A$5:$T$54,20,FALSE()),0))</f>
        <v>0</v>
      </c>
      <c r="I103" s="26"/>
      <c r="J103" s="14" t="n">
        <f aca="false">G103*I103</f>
        <v>0</v>
      </c>
      <c r="K103" s="14" t="n">
        <f aca="false">G103-H103-J103</f>
        <v>0</v>
      </c>
      <c r="L103" s="30" t="str">
        <f aca="false">IF(G103&gt;0,K103/G103,"")</f>
        <v/>
      </c>
      <c r="M103" s="6"/>
    </row>
    <row r="104" customFormat="false" ht="15" hidden="false" customHeight="false" outlineLevel="0" collapsed="false">
      <c r="A104" s="33"/>
      <c r="B104" s="6"/>
      <c r="C104" s="0" t="str">
        <f aca="false">IF(B104="","",IFERROR(VLOOKUP(B104,'Recetas y precios'!$A$5:$B$54,2,FALSE()),""))</f>
        <v/>
      </c>
      <c r="D104" s="20"/>
      <c r="E104" s="6"/>
      <c r="F104" s="29"/>
      <c r="G104" s="14" t="n">
        <f aca="false">E104*F104</f>
        <v>0</v>
      </c>
      <c r="H104" s="14" t="n">
        <f aca="false">IF(B104="",0,E104*IFERROR(VLOOKUP(B104,'Recetas y precios'!$A$5:$T$54,20,FALSE()),0))</f>
        <v>0</v>
      </c>
      <c r="I104" s="26"/>
      <c r="J104" s="14" t="n">
        <f aca="false">G104*I104</f>
        <v>0</v>
      </c>
      <c r="K104" s="14" t="n">
        <f aca="false">G104-H104-J104</f>
        <v>0</v>
      </c>
      <c r="L104" s="30" t="str">
        <f aca="false">IF(G104&gt;0,K104/G104,"")</f>
        <v/>
      </c>
      <c r="M104" s="6"/>
    </row>
    <row r="105" customFormat="false" ht="15" hidden="false" customHeight="false" outlineLevel="0" collapsed="false">
      <c r="A105" s="33"/>
      <c r="B105" s="6"/>
      <c r="C105" s="0" t="str">
        <f aca="false">IF(B105="","",IFERROR(VLOOKUP(B105,'Recetas y precios'!$A$5:$B$54,2,FALSE()),""))</f>
        <v/>
      </c>
      <c r="D105" s="20"/>
      <c r="E105" s="6"/>
      <c r="F105" s="29"/>
      <c r="G105" s="14" t="n">
        <f aca="false">E105*F105</f>
        <v>0</v>
      </c>
      <c r="H105" s="14" t="n">
        <f aca="false">IF(B105="",0,E105*IFERROR(VLOOKUP(B105,'Recetas y precios'!$A$5:$T$54,20,FALSE()),0))</f>
        <v>0</v>
      </c>
      <c r="I105" s="26"/>
      <c r="J105" s="14" t="n">
        <f aca="false">G105*I105</f>
        <v>0</v>
      </c>
      <c r="K105" s="14" t="n">
        <f aca="false">G105-H105-J105</f>
        <v>0</v>
      </c>
      <c r="L105" s="30" t="str">
        <f aca="false">IF(G105&gt;0,K105/G105,"")</f>
        <v/>
      </c>
      <c r="M105" s="6"/>
    </row>
    <row r="106" customFormat="false" ht="15" hidden="false" customHeight="false" outlineLevel="0" collapsed="false">
      <c r="A106" s="33"/>
      <c r="B106" s="6"/>
      <c r="C106" s="0" t="str">
        <f aca="false">IF(B106="","",IFERROR(VLOOKUP(B106,'Recetas y precios'!$A$5:$B$54,2,FALSE()),""))</f>
        <v/>
      </c>
      <c r="D106" s="20"/>
      <c r="E106" s="6"/>
      <c r="F106" s="29"/>
      <c r="G106" s="14" t="n">
        <f aca="false">E106*F106</f>
        <v>0</v>
      </c>
      <c r="H106" s="14" t="n">
        <f aca="false">IF(B106="",0,E106*IFERROR(VLOOKUP(B106,'Recetas y precios'!$A$5:$T$54,20,FALSE()),0))</f>
        <v>0</v>
      </c>
      <c r="I106" s="26"/>
      <c r="J106" s="14" t="n">
        <f aca="false">G106*I106</f>
        <v>0</v>
      </c>
      <c r="K106" s="14" t="n">
        <f aca="false">G106-H106-J106</f>
        <v>0</v>
      </c>
      <c r="L106" s="30" t="str">
        <f aca="false">IF(G106&gt;0,K106/G106,"")</f>
        <v/>
      </c>
      <c r="M106" s="6"/>
    </row>
    <row r="107" customFormat="false" ht="15" hidden="false" customHeight="false" outlineLevel="0" collapsed="false">
      <c r="A107" s="33"/>
      <c r="B107" s="6"/>
      <c r="C107" s="0" t="str">
        <f aca="false">IF(B107="","",IFERROR(VLOOKUP(B107,'Recetas y precios'!$A$5:$B$54,2,FALSE()),""))</f>
        <v/>
      </c>
      <c r="D107" s="20"/>
      <c r="E107" s="6"/>
      <c r="F107" s="29"/>
      <c r="G107" s="14" t="n">
        <f aca="false">E107*F107</f>
        <v>0</v>
      </c>
      <c r="H107" s="14" t="n">
        <f aca="false">IF(B107="",0,E107*IFERROR(VLOOKUP(B107,'Recetas y precios'!$A$5:$T$54,20,FALSE()),0))</f>
        <v>0</v>
      </c>
      <c r="I107" s="26"/>
      <c r="J107" s="14" t="n">
        <f aca="false">G107*I107</f>
        <v>0</v>
      </c>
      <c r="K107" s="14" t="n">
        <f aca="false">G107-H107-J107</f>
        <v>0</v>
      </c>
      <c r="L107" s="30" t="str">
        <f aca="false">IF(G107&gt;0,K107/G107,"")</f>
        <v/>
      </c>
      <c r="M107" s="6"/>
    </row>
    <row r="108" customFormat="false" ht="15" hidden="false" customHeight="false" outlineLevel="0" collapsed="false">
      <c r="A108" s="33"/>
      <c r="B108" s="6"/>
      <c r="C108" s="0" t="str">
        <f aca="false">IF(B108="","",IFERROR(VLOOKUP(B108,'Recetas y precios'!$A$5:$B$54,2,FALSE()),""))</f>
        <v/>
      </c>
      <c r="D108" s="20"/>
      <c r="E108" s="6"/>
      <c r="F108" s="29"/>
      <c r="G108" s="14" t="n">
        <f aca="false">E108*F108</f>
        <v>0</v>
      </c>
      <c r="H108" s="14" t="n">
        <f aca="false">IF(B108="",0,E108*IFERROR(VLOOKUP(B108,'Recetas y precios'!$A$5:$T$54,20,FALSE()),0))</f>
        <v>0</v>
      </c>
      <c r="I108" s="26"/>
      <c r="J108" s="14" t="n">
        <f aca="false">G108*I108</f>
        <v>0</v>
      </c>
      <c r="K108" s="14" t="n">
        <f aca="false">G108-H108-J108</f>
        <v>0</v>
      </c>
      <c r="L108" s="30" t="str">
        <f aca="false">IF(G108&gt;0,K108/G108,"")</f>
        <v/>
      </c>
      <c r="M108" s="6"/>
    </row>
    <row r="109" customFormat="false" ht="15" hidden="false" customHeight="false" outlineLevel="0" collapsed="false">
      <c r="A109" s="33"/>
      <c r="B109" s="6"/>
      <c r="C109" s="0" t="str">
        <f aca="false">IF(B109="","",IFERROR(VLOOKUP(B109,'Recetas y precios'!$A$5:$B$54,2,FALSE()),""))</f>
        <v/>
      </c>
      <c r="D109" s="20"/>
      <c r="E109" s="6"/>
      <c r="F109" s="29"/>
      <c r="G109" s="14" t="n">
        <f aca="false">E109*F109</f>
        <v>0</v>
      </c>
      <c r="H109" s="14" t="n">
        <f aca="false">IF(B109="",0,E109*IFERROR(VLOOKUP(B109,'Recetas y precios'!$A$5:$T$54,20,FALSE()),0))</f>
        <v>0</v>
      </c>
      <c r="I109" s="26"/>
      <c r="J109" s="14" t="n">
        <f aca="false">G109*I109</f>
        <v>0</v>
      </c>
      <c r="K109" s="14" t="n">
        <f aca="false">G109-H109-J109</f>
        <v>0</v>
      </c>
      <c r="L109" s="30" t="str">
        <f aca="false">IF(G109&gt;0,K109/G109,"")</f>
        <v/>
      </c>
      <c r="M109" s="6"/>
    </row>
    <row r="110" customFormat="false" ht="15" hidden="false" customHeight="false" outlineLevel="0" collapsed="false">
      <c r="A110" s="33"/>
      <c r="B110" s="6"/>
      <c r="C110" s="0" t="str">
        <f aca="false">IF(B110="","",IFERROR(VLOOKUP(B110,'Recetas y precios'!$A$5:$B$54,2,FALSE()),""))</f>
        <v/>
      </c>
      <c r="D110" s="20"/>
      <c r="E110" s="6"/>
      <c r="F110" s="29"/>
      <c r="G110" s="14" t="n">
        <f aca="false">E110*F110</f>
        <v>0</v>
      </c>
      <c r="H110" s="14" t="n">
        <f aca="false">IF(B110="",0,E110*IFERROR(VLOOKUP(B110,'Recetas y precios'!$A$5:$T$54,20,FALSE()),0))</f>
        <v>0</v>
      </c>
      <c r="I110" s="26"/>
      <c r="J110" s="14" t="n">
        <f aca="false">G110*I110</f>
        <v>0</v>
      </c>
      <c r="K110" s="14" t="n">
        <f aca="false">G110-H110-J110</f>
        <v>0</v>
      </c>
      <c r="L110" s="30" t="str">
        <f aca="false">IF(G110&gt;0,K110/G110,"")</f>
        <v/>
      </c>
      <c r="M110" s="6"/>
    </row>
    <row r="111" customFormat="false" ht="15" hidden="false" customHeight="false" outlineLevel="0" collapsed="false">
      <c r="A111" s="33"/>
      <c r="B111" s="6"/>
      <c r="C111" s="0" t="str">
        <f aca="false">IF(B111="","",IFERROR(VLOOKUP(B111,'Recetas y precios'!$A$5:$B$54,2,FALSE()),""))</f>
        <v/>
      </c>
      <c r="D111" s="20"/>
      <c r="E111" s="6"/>
      <c r="F111" s="29"/>
      <c r="G111" s="14" t="n">
        <f aca="false">E111*F111</f>
        <v>0</v>
      </c>
      <c r="H111" s="14" t="n">
        <f aca="false">IF(B111="",0,E111*IFERROR(VLOOKUP(B111,'Recetas y precios'!$A$5:$T$54,20,FALSE()),0))</f>
        <v>0</v>
      </c>
      <c r="I111" s="26"/>
      <c r="J111" s="14" t="n">
        <f aca="false">G111*I111</f>
        <v>0</v>
      </c>
      <c r="K111" s="14" t="n">
        <f aca="false">G111-H111-J111</f>
        <v>0</v>
      </c>
      <c r="L111" s="30" t="str">
        <f aca="false">IF(G111&gt;0,K111/G111,"")</f>
        <v/>
      </c>
      <c r="M111" s="6"/>
    </row>
    <row r="112" customFormat="false" ht="15" hidden="false" customHeight="false" outlineLevel="0" collapsed="false">
      <c r="A112" s="33"/>
      <c r="B112" s="6"/>
      <c r="C112" s="0" t="str">
        <f aca="false">IF(B112="","",IFERROR(VLOOKUP(B112,'Recetas y precios'!$A$5:$B$54,2,FALSE()),""))</f>
        <v/>
      </c>
      <c r="D112" s="20"/>
      <c r="E112" s="6"/>
      <c r="F112" s="29"/>
      <c r="G112" s="14" t="n">
        <f aca="false">E112*F112</f>
        <v>0</v>
      </c>
      <c r="H112" s="14" t="n">
        <f aca="false">IF(B112="",0,E112*IFERROR(VLOOKUP(B112,'Recetas y precios'!$A$5:$T$54,20,FALSE()),0))</f>
        <v>0</v>
      </c>
      <c r="I112" s="26"/>
      <c r="J112" s="14" t="n">
        <f aca="false">G112*I112</f>
        <v>0</v>
      </c>
      <c r="K112" s="14" t="n">
        <f aca="false">G112-H112-J112</f>
        <v>0</v>
      </c>
      <c r="L112" s="30" t="str">
        <f aca="false">IF(G112&gt;0,K112/G112,"")</f>
        <v/>
      </c>
      <c r="M112" s="6"/>
    </row>
    <row r="113" customFormat="false" ht="15" hidden="false" customHeight="false" outlineLevel="0" collapsed="false">
      <c r="A113" s="33"/>
      <c r="B113" s="6"/>
      <c r="C113" s="0" t="str">
        <f aca="false">IF(B113="","",IFERROR(VLOOKUP(B113,'Recetas y precios'!$A$5:$B$54,2,FALSE()),""))</f>
        <v/>
      </c>
      <c r="D113" s="20"/>
      <c r="E113" s="6"/>
      <c r="F113" s="29"/>
      <c r="G113" s="14" t="n">
        <f aca="false">E113*F113</f>
        <v>0</v>
      </c>
      <c r="H113" s="14" t="n">
        <f aca="false">IF(B113="",0,E113*IFERROR(VLOOKUP(B113,'Recetas y precios'!$A$5:$T$54,20,FALSE()),0))</f>
        <v>0</v>
      </c>
      <c r="I113" s="26"/>
      <c r="J113" s="14" t="n">
        <f aca="false">G113*I113</f>
        <v>0</v>
      </c>
      <c r="K113" s="14" t="n">
        <f aca="false">G113-H113-J113</f>
        <v>0</v>
      </c>
      <c r="L113" s="30" t="str">
        <f aca="false">IF(G113&gt;0,K113/G113,"")</f>
        <v/>
      </c>
      <c r="M113" s="6"/>
    </row>
    <row r="114" customFormat="false" ht="15" hidden="false" customHeight="false" outlineLevel="0" collapsed="false">
      <c r="A114" s="33"/>
      <c r="B114" s="6"/>
      <c r="C114" s="0" t="str">
        <f aca="false">IF(B114="","",IFERROR(VLOOKUP(B114,'Recetas y precios'!$A$5:$B$54,2,FALSE()),""))</f>
        <v/>
      </c>
      <c r="D114" s="20"/>
      <c r="E114" s="6"/>
      <c r="F114" s="29"/>
      <c r="G114" s="14" t="n">
        <f aca="false">E114*F114</f>
        <v>0</v>
      </c>
      <c r="H114" s="14" t="n">
        <f aca="false">IF(B114="",0,E114*IFERROR(VLOOKUP(B114,'Recetas y precios'!$A$5:$T$54,20,FALSE()),0))</f>
        <v>0</v>
      </c>
      <c r="I114" s="26"/>
      <c r="J114" s="14" t="n">
        <f aca="false">G114*I114</f>
        <v>0</v>
      </c>
      <c r="K114" s="14" t="n">
        <f aca="false">G114-H114-J114</f>
        <v>0</v>
      </c>
      <c r="L114" s="30" t="str">
        <f aca="false">IF(G114&gt;0,K114/G114,"")</f>
        <v/>
      </c>
      <c r="M114" s="6"/>
    </row>
    <row r="115" customFormat="false" ht="15" hidden="false" customHeight="false" outlineLevel="0" collapsed="false">
      <c r="A115" s="33"/>
      <c r="B115" s="6"/>
      <c r="C115" s="0" t="str">
        <f aca="false">IF(B115="","",IFERROR(VLOOKUP(B115,'Recetas y precios'!$A$5:$B$54,2,FALSE()),""))</f>
        <v/>
      </c>
      <c r="D115" s="20"/>
      <c r="E115" s="6"/>
      <c r="F115" s="29"/>
      <c r="G115" s="14" t="n">
        <f aca="false">E115*F115</f>
        <v>0</v>
      </c>
      <c r="H115" s="14" t="n">
        <f aca="false">IF(B115="",0,E115*IFERROR(VLOOKUP(B115,'Recetas y precios'!$A$5:$T$54,20,FALSE()),0))</f>
        <v>0</v>
      </c>
      <c r="I115" s="26"/>
      <c r="J115" s="14" t="n">
        <f aca="false">G115*I115</f>
        <v>0</v>
      </c>
      <c r="K115" s="14" t="n">
        <f aca="false">G115-H115-J115</f>
        <v>0</v>
      </c>
      <c r="L115" s="30" t="str">
        <f aca="false">IF(G115&gt;0,K115/G115,"")</f>
        <v/>
      </c>
      <c r="M115" s="6"/>
    </row>
    <row r="116" customFormat="false" ht="15" hidden="false" customHeight="false" outlineLevel="0" collapsed="false">
      <c r="A116" s="33"/>
      <c r="B116" s="6"/>
      <c r="C116" s="0" t="str">
        <f aca="false">IF(B116="","",IFERROR(VLOOKUP(B116,'Recetas y precios'!$A$5:$B$54,2,FALSE()),""))</f>
        <v/>
      </c>
      <c r="D116" s="20"/>
      <c r="E116" s="6"/>
      <c r="F116" s="29"/>
      <c r="G116" s="14" t="n">
        <f aca="false">E116*F116</f>
        <v>0</v>
      </c>
      <c r="H116" s="14" t="n">
        <f aca="false">IF(B116="",0,E116*IFERROR(VLOOKUP(B116,'Recetas y precios'!$A$5:$T$54,20,FALSE()),0))</f>
        <v>0</v>
      </c>
      <c r="I116" s="26"/>
      <c r="J116" s="14" t="n">
        <f aca="false">G116*I116</f>
        <v>0</v>
      </c>
      <c r="K116" s="14" t="n">
        <f aca="false">G116-H116-J116</f>
        <v>0</v>
      </c>
      <c r="L116" s="30" t="str">
        <f aca="false">IF(G116&gt;0,K116/G116,"")</f>
        <v/>
      </c>
      <c r="M116" s="6"/>
    </row>
    <row r="117" customFormat="false" ht="15" hidden="false" customHeight="false" outlineLevel="0" collapsed="false">
      <c r="A117" s="33"/>
      <c r="B117" s="6"/>
      <c r="C117" s="0" t="str">
        <f aca="false">IF(B117="","",IFERROR(VLOOKUP(B117,'Recetas y precios'!$A$5:$B$54,2,FALSE()),""))</f>
        <v/>
      </c>
      <c r="D117" s="20"/>
      <c r="E117" s="6"/>
      <c r="F117" s="29"/>
      <c r="G117" s="14" t="n">
        <f aca="false">E117*F117</f>
        <v>0</v>
      </c>
      <c r="H117" s="14" t="n">
        <f aca="false">IF(B117="",0,E117*IFERROR(VLOOKUP(B117,'Recetas y precios'!$A$5:$T$54,20,FALSE()),0))</f>
        <v>0</v>
      </c>
      <c r="I117" s="26"/>
      <c r="J117" s="14" t="n">
        <f aca="false">G117*I117</f>
        <v>0</v>
      </c>
      <c r="K117" s="14" t="n">
        <f aca="false">G117-H117-J117</f>
        <v>0</v>
      </c>
      <c r="L117" s="30" t="str">
        <f aca="false">IF(G117&gt;0,K117/G117,"")</f>
        <v/>
      </c>
      <c r="M117" s="6"/>
    </row>
    <row r="118" customFormat="false" ht="15" hidden="false" customHeight="false" outlineLevel="0" collapsed="false">
      <c r="A118" s="33"/>
      <c r="B118" s="6"/>
      <c r="C118" s="0" t="str">
        <f aca="false">IF(B118="","",IFERROR(VLOOKUP(B118,'Recetas y precios'!$A$5:$B$54,2,FALSE()),""))</f>
        <v/>
      </c>
      <c r="D118" s="20"/>
      <c r="E118" s="6"/>
      <c r="F118" s="29"/>
      <c r="G118" s="14" t="n">
        <f aca="false">E118*F118</f>
        <v>0</v>
      </c>
      <c r="H118" s="14" t="n">
        <f aca="false">IF(B118="",0,E118*IFERROR(VLOOKUP(B118,'Recetas y precios'!$A$5:$T$54,20,FALSE()),0))</f>
        <v>0</v>
      </c>
      <c r="I118" s="26"/>
      <c r="J118" s="14" t="n">
        <f aca="false">G118*I118</f>
        <v>0</v>
      </c>
      <c r="K118" s="14" t="n">
        <f aca="false">G118-H118-J118</f>
        <v>0</v>
      </c>
      <c r="L118" s="30" t="str">
        <f aca="false">IF(G118&gt;0,K118/G118,"")</f>
        <v/>
      </c>
      <c r="M118" s="6"/>
    </row>
    <row r="119" customFormat="false" ht="15" hidden="false" customHeight="false" outlineLevel="0" collapsed="false">
      <c r="A119" s="33"/>
      <c r="B119" s="6"/>
      <c r="C119" s="0" t="str">
        <f aca="false">IF(B119="","",IFERROR(VLOOKUP(B119,'Recetas y precios'!$A$5:$B$54,2,FALSE()),""))</f>
        <v/>
      </c>
      <c r="D119" s="20"/>
      <c r="E119" s="6"/>
      <c r="F119" s="29"/>
      <c r="G119" s="14" t="n">
        <f aca="false">E119*F119</f>
        <v>0</v>
      </c>
      <c r="H119" s="14" t="n">
        <f aca="false">IF(B119="",0,E119*IFERROR(VLOOKUP(B119,'Recetas y precios'!$A$5:$T$54,20,FALSE()),0))</f>
        <v>0</v>
      </c>
      <c r="I119" s="26"/>
      <c r="J119" s="14" t="n">
        <f aca="false">G119*I119</f>
        <v>0</v>
      </c>
      <c r="K119" s="14" t="n">
        <f aca="false">G119-H119-J119</f>
        <v>0</v>
      </c>
      <c r="L119" s="30" t="str">
        <f aca="false">IF(G119&gt;0,K119/G119,"")</f>
        <v/>
      </c>
      <c r="M119" s="6"/>
    </row>
    <row r="120" customFormat="false" ht="15" hidden="false" customHeight="false" outlineLevel="0" collapsed="false">
      <c r="A120" s="33"/>
      <c r="B120" s="6"/>
      <c r="C120" s="0" t="str">
        <f aca="false">IF(B120="","",IFERROR(VLOOKUP(B120,'Recetas y precios'!$A$5:$B$54,2,FALSE()),""))</f>
        <v/>
      </c>
      <c r="D120" s="20"/>
      <c r="E120" s="6"/>
      <c r="F120" s="29"/>
      <c r="G120" s="14" t="n">
        <f aca="false">E120*F120</f>
        <v>0</v>
      </c>
      <c r="H120" s="14" t="n">
        <f aca="false">IF(B120="",0,E120*IFERROR(VLOOKUP(B120,'Recetas y precios'!$A$5:$T$54,20,FALSE()),0))</f>
        <v>0</v>
      </c>
      <c r="I120" s="26"/>
      <c r="J120" s="14" t="n">
        <f aca="false">G120*I120</f>
        <v>0</v>
      </c>
      <c r="K120" s="14" t="n">
        <f aca="false">G120-H120-J120</f>
        <v>0</v>
      </c>
      <c r="L120" s="30" t="str">
        <f aca="false">IF(G120&gt;0,K120/G120,"")</f>
        <v/>
      </c>
      <c r="M120" s="6"/>
    </row>
    <row r="121" customFormat="false" ht="15" hidden="false" customHeight="false" outlineLevel="0" collapsed="false">
      <c r="A121" s="33"/>
      <c r="B121" s="6"/>
      <c r="C121" s="0" t="str">
        <f aca="false">IF(B121="","",IFERROR(VLOOKUP(B121,'Recetas y precios'!$A$5:$B$54,2,FALSE()),""))</f>
        <v/>
      </c>
      <c r="D121" s="20"/>
      <c r="E121" s="6"/>
      <c r="F121" s="29"/>
      <c r="G121" s="14" t="n">
        <f aca="false">E121*F121</f>
        <v>0</v>
      </c>
      <c r="H121" s="14" t="n">
        <f aca="false">IF(B121="",0,E121*IFERROR(VLOOKUP(B121,'Recetas y precios'!$A$5:$T$54,20,FALSE()),0))</f>
        <v>0</v>
      </c>
      <c r="I121" s="26"/>
      <c r="J121" s="14" t="n">
        <f aca="false">G121*I121</f>
        <v>0</v>
      </c>
      <c r="K121" s="14" t="n">
        <f aca="false">G121-H121-J121</f>
        <v>0</v>
      </c>
      <c r="L121" s="30" t="str">
        <f aca="false">IF(G121&gt;0,K121/G121,"")</f>
        <v/>
      </c>
      <c r="M121" s="6"/>
    </row>
    <row r="122" customFormat="false" ht="15" hidden="false" customHeight="false" outlineLevel="0" collapsed="false">
      <c r="A122" s="33"/>
      <c r="B122" s="6"/>
      <c r="C122" s="0" t="str">
        <f aca="false">IF(B122="","",IFERROR(VLOOKUP(B122,'Recetas y precios'!$A$5:$B$54,2,FALSE()),""))</f>
        <v/>
      </c>
      <c r="D122" s="20"/>
      <c r="E122" s="6"/>
      <c r="F122" s="29"/>
      <c r="G122" s="14" t="n">
        <f aca="false">E122*F122</f>
        <v>0</v>
      </c>
      <c r="H122" s="14" t="n">
        <f aca="false">IF(B122="",0,E122*IFERROR(VLOOKUP(B122,'Recetas y precios'!$A$5:$T$54,20,FALSE()),0))</f>
        <v>0</v>
      </c>
      <c r="I122" s="26"/>
      <c r="J122" s="14" t="n">
        <f aca="false">G122*I122</f>
        <v>0</v>
      </c>
      <c r="K122" s="14" t="n">
        <f aca="false">G122-H122-J122</f>
        <v>0</v>
      </c>
      <c r="L122" s="30" t="str">
        <f aca="false">IF(G122&gt;0,K122/G122,"")</f>
        <v/>
      </c>
      <c r="M122" s="6"/>
    </row>
    <row r="123" customFormat="false" ht="15" hidden="false" customHeight="false" outlineLevel="0" collapsed="false">
      <c r="A123" s="33"/>
      <c r="B123" s="6"/>
      <c r="C123" s="0" t="str">
        <f aca="false">IF(B123="","",IFERROR(VLOOKUP(B123,'Recetas y precios'!$A$5:$B$54,2,FALSE()),""))</f>
        <v/>
      </c>
      <c r="D123" s="20"/>
      <c r="E123" s="6"/>
      <c r="F123" s="29"/>
      <c r="G123" s="14" t="n">
        <f aca="false">E123*F123</f>
        <v>0</v>
      </c>
      <c r="H123" s="14" t="n">
        <f aca="false">IF(B123="",0,E123*IFERROR(VLOOKUP(B123,'Recetas y precios'!$A$5:$T$54,20,FALSE()),0))</f>
        <v>0</v>
      </c>
      <c r="I123" s="26"/>
      <c r="J123" s="14" t="n">
        <f aca="false">G123*I123</f>
        <v>0</v>
      </c>
      <c r="K123" s="14" t="n">
        <f aca="false">G123-H123-J123</f>
        <v>0</v>
      </c>
      <c r="L123" s="30" t="str">
        <f aca="false">IF(G123&gt;0,K123/G123,"")</f>
        <v/>
      </c>
      <c r="M123" s="6"/>
    </row>
    <row r="124" customFormat="false" ht="15" hidden="false" customHeight="false" outlineLevel="0" collapsed="false">
      <c r="A124" s="33"/>
      <c r="B124" s="6"/>
      <c r="C124" s="0" t="str">
        <f aca="false">IF(B124="","",IFERROR(VLOOKUP(B124,'Recetas y precios'!$A$5:$B$54,2,FALSE()),""))</f>
        <v/>
      </c>
      <c r="D124" s="20"/>
      <c r="E124" s="6"/>
      <c r="F124" s="29"/>
      <c r="G124" s="14" t="n">
        <f aca="false">E124*F124</f>
        <v>0</v>
      </c>
      <c r="H124" s="14" t="n">
        <f aca="false">IF(B124="",0,E124*IFERROR(VLOOKUP(B124,'Recetas y precios'!$A$5:$T$54,20,FALSE()),0))</f>
        <v>0</v>
      </c>
      <c r="I124" s="26"/>
      <c r="J124" s="14" t="n">
        <f aca="false">G124*I124</f>
        <v>0</v>
      </c>
      <c r="K124" s="14" t="n">
        <f aca="false">G124-H124-J124</f>
        <v>0</v>
      </c>
      <c r="L124" s="30" t="str">
        <f aca="false">IF(G124&gt;0,K124/G124,"")</f>
        <v/>
      </c>
      <c r="M124" s="6"/>
    </row>
    <row r="125" customFormat="false" ht="15" hidden="false" customHeight="false" outlineLevel="0" collapsed="false">
      <c r="A125" s="33"/>
      <c r="B125" s="6"/>
      <c r="C125" s="0" t="str">
        <f aca="false">IF(B125="","",IFERROR(VLOOKUP(B125,'Recetas y precios'!$A$5:$B$54,2,FALSE()),""))</f>
        <v/>
      </c>
      <c r="D125" s="20"/>
      <c r="E125" s="6"/>
      <c r="F125" s="29"/>
      <c r="G125" s="14" t="n">
        <f aca="false">E125*F125</f>
        <v>0</v>
      </c>
      <c r="H125" s="14" t="n">
        <f aca="false">IF(B125="",0,E125*IFERROR(VLOOKUP(B125,'Recetas y precios'!$A$5:$T$54,20,FALSE()),0))</f>
        <v>0</v>
      </c>
      <c r="I125" s="26"/>
      <c r="J125" s="14" t="n">
        <f aca="false">G125*I125</f>
        <v>0</v>
      </c>
      <c r="K125" s="14" t="n">
        <f aca="false">G125-H125-J125</f>
        <v>0</v>
      </c>
      <c r="L125" s="30" t="str">
        <f aca="false">IF(G125&gt;0,K125/G125,"")</f>
        <v/>
      </c>
      <c r="M125" s="6"/>
    </row>
    <row r="126" customFormat="false" ht="15" hidden="false" customHeight="false" outlineLevel="0" collapsed="false">
      <c r="A126" s="33"/>
      <c r="B126" s="6"/>
      <c r="C126" s="0" t="str">
        <f aca="false">IF(B126="","",IFERROR(VLOOKUP(B126,'Recetas y precios'!$A$5:$B$54,2,FALSE()),""))</f>
        <v/>
      </c>
      <c r="D126" s="20"/>
      <c r="E126" s="6"/>
      <c r="F126" s="29"/>
      <c r="G126" s="14" t="n">
        <f aca="false">E126*F126</f>
        <v>0</v>
      </c>
      <c r="H126" s="14" t="n">
        <f aca="false">IF(B126="",0,E126*IFERROR(VLOOKUP(B126,'Recetas y precios'!$A$5:$T$54,20,FALSE()),0))</f>
        <v>0</v>
      </c>
      <c r="I126" s="26"/>
      <c r="J126" s="14" t="n">
        <f aca="false">G126*I126</f>
        <v>0</v>
      </c>
      <c r="K126" s="14" t="n">
        <f aca="false">G126-H126-J126</f>
        <v>0</v>
      </c>
      <c r="L126" s="30" t="str">
        <f aca="false">IF(G126&gt;0,K126/G126,"")</f>
        <v/>
      </c>
      <c r="M126" s="6"/>
    </row>
    <row r="127" customFormat="false" ht="15" hidden="false" customHeight="false" outlineLevel="0" collapsed="false">
      <c r="A127" s="33"/>
      <c r="B127" s="6"/>
      <c r="C127" s="0" t="str">
        <f aca="false">IF(B127="","",IFERROR(VLOOKUP(B127,'Recetas y precios'!$A$5:$B$54,2,FALSE()),""))</f>
        <v/>
      </c>
      <c r="D127" s="20"/>
      <c r="E127" s="6"/>
      <c r="F127" s="29"/>
      <c r="G127" s="14" t="n">
        <f aca="false">E127*F127</f>
        <v>0</v>
      </c>
      <c r="H127" s="14" t="n">
        <f aca="false">IF(B127="",0,E127*IFERROR(VLOOKUP(B127,'Recetas y precios'!$A$5:$T$54,20,FALSE()),0))</f>
        <v>0</v>
      </c>
      <c r="I127" s="26"/>
      <c r="J127" s="14" t="n">
        <f aca="false">G127*I127</f>
        <v>0</v>
      </c>
      <c r="K127" s="14" t="n">
        <f aca="false">G127-H127-J127</f>
        <v>0</v>
      </c>
      <c r="L127" s="30" t="str">
        <f aca="false">IF(G127&gt;0,K127/G127,"")</f>
        <v/>
      </c>
      <c r="M127" s="6"/>
    </row>
    <row r="128" customFormat="false" ht="15" hidden="false" customHeight="false" outlineLevel="0" collapsed="false">
      <c r="A128" s="33"/>
      <c r="B128" s="6"/>
      <c r="C128" s="0" t="str">
        <f aca="false">IF(B128="","",IFERROR(VLOOKUP(B128,'Recetas y precios'!$A$5:$B$54,2,FALSE()),""))</f>
        <v/>
      </c>
      <c r="D128" s="20"/>
      <c r="E128" s="6"/>
      <c r="F128" s="29"/>
      <c r="G128" s="14" t="n">
        <f aca="false">E128*F128</f>
        <v>0</v>
      </c>
      <c r="H128" s="14" t="n">
        <f aca="false">IF(B128="",0,E128*IFERROR(VLOOKUP(B128,'Recetas y precios'!$A$5:$T$54,20,FALSE()),0))</f>
        <v>0</v>
      </c>
      <c r="I128" s="26"/>
      <c r="J128" s="14" t="n">
        <f aca="false">G128*I128</f>
        <v>0</v>
      </c>
      <c r="K128" s="14" t="n">
        <f aca="false">G128-H128-J128</f>
        <v>0</v>
      </c>
      <c r="L128" s="30" t="str">
        <f aca="false">IF(G128&gt;0,K128/G128,"")</f>
        <v/>
      </c>
      <c r="M128" s="6"/>
    </row>
    <row r="129" customFormat="false" ht="15" hidden="false" customHeight="false" outlineLevel="0" collapsed="false">
      <c r="A129" s="33"/>
      <c r="B129" s="6"/>
      <c r="C129" s="0" t="str">
        <f aca="false">IF(B129="","",IFERROR(VLOOKUP(B129,'Recetas y precios'!$A$5:$B$54,2,FALSE()),""))</f>
        <v/>
      </c>
      <c r="D129" s="20"/>
      <c r="E129" s="6"/>
      <c r="F129" s="29"/>
      <c r="G129" s="14" t="n">
        <f aca="false">E129*F129</f>
        <v>0</v>
      </c>
      <c r="H129" s="14" t="n">
        <f aca="false">IF(B129="",0,E129*IFERROR(VLOOKUP(B129,'Recetas y precios'!$A$5:$T$54,20,FALSE()),0))</f>
        <v>0</v>
      </c>
      <c r="I129" s="26"/>
      <c r="J129" s="14" t="n">
        <f aca="false">G129*I129</f>
        <v>0</v>
      </c>
      <c r="K129" s="14" t="n">
        <f aca="false">G129-H129-J129</f>
        <v>0</v>
      </c>
      <c r="L129" s="30" t="str">
        <f aca="false">IF(G129&gt;0,K129/G129,"")</f>
        <v/>
      </c>
      <c r="M129" s="6"/>
    </row>
    <row r="130" customFormat="false" ht="15" hidden="false" customHeight="false" outlineLevel="0" collapsed="false">
      <c r="A130" s="33"/>
      <c r="B130" s="6"/>
      <c r="C130" s="0" t="str">
        <f aca="false">IF(B130="","",IFERROR(VLOOKUP(B130,'Recetas y precios'!$A$5:$B$54,2,FALSE()),""))</f>
        <v/>
      </c>
      <c r="D130" s="20"/>
      <c r="E130" s="6"/>
      <c r="F130" s="29"/>
      <c r="G130" s="14" t="n">
        <f aca="false">E130*F130</f>
        <v>0</v>
      </c>
      <c r="H130" s="14" t="n">
        <f aca="false">IF(B130="",0,E130*IFERROR(VLOOKUP(B130,'Recetas y precios'!$A$5:$T$54,20,FALSE()),0))</f>
        <v>0</v>
      </c>
      <c r="I130" s="26"/>
      <c r="J130" s="14" t="n">
        <f aca="false">G130*I130</f>
        <v>0</v>
      </c>
      <c r="K130" s="14" t="n">
        <f aca="false">G130-H130-J130</f>
        <v>0</v>
      </c>
      <c r="L130" s="30" t="str">
        <f aca="false">IF(G130&gt;0,K130/G130,"")</f>
        <v/>
      </c>
      <c r="M130" s="6"/>
    </row>
    <row r="131" customFormat="false" ht="15" hidden="false" customHeight="false" outlineLevel="0" collapsed="false">
      <c r="A131" s="33"/>
      <c r="B131" s="6"/>
      <c r="C131" s="0" t="str">
        <f aca="false">IF(B131="","",IFERROR(VLOOKUP(B131,'Recetas y precios'!$A$5:$B$54,2,FALSE()),""))</f>
        <v/>
      </c>
      <c r="D131" s="20"/>
      <c r="E131" s="6"/>
      <c r="F131" s="29"/>
      <c r="G131" s="14" t="n">
        <f aca="false">E131*F131</f>
        <v>0</v>
      </c>
      <c r="H131" s="14" t="n">
        <f aca="false">IF(B131="",0,E131*IFERROR(VLOOKUP(B131,'Recetas y precios'!$A$5:$T$54,20,FALSE()),0))</f>
        <v>0</v>
      </c>
      <c r="I131" s="26"/>
      <c r="J131" s="14" t="n">
        <f aca="false">G131*I131</f>
        <v>0</v>
      </c>
      <c r="K131" s="14" t="n">
        <f aca="false">G131-H131-J131</f>
        <v>0</v>
      </c>
      <c r="L131" s="30" t="str">
        <f aca="false">IF(G131&gt;0,K131/G131,"")</f>
        <v/>
      </c>
      <c r="M131" s="6"/>
    </row>
    <row r="132" customFormat="false" ht="15" hidden="false" customHeight="false" outlineLevel="0" collapsed="false">
      <c r="A132" s="33"/>
      <c r="B132" s="6"/>
      <c r="C132" s="0" t="str">
        <f aca="false">IF(B132="","",IFERROR(VLOOKUP(B132,'Recetas y precios'!$A$5:$B$54,2,FALSE()),""))</f>
        <v/>
      </c>
      <c r="D132" s="20"/>
      <c r="E132" s="6"/>
      <c r="F132" s="29"/>
      <c r="G132" s="14" t="n">
        <f aca="false">E132*F132</f>
        <v>0</v>
      </c>
      <c r="H132" s="14" t="n">
        <f aca="false">IF(B132="",0,E132*IFERROR(VLOOKUP(B132,'Recetas y precios'!$A$5:$T$54,20,FALSE()),0))</f>
        <v>0</v>
      </c>
      <c r="I132" s="26"/>
      <c r="J132" s="14" t="n">
        <f aca="false">G132*I132</f>
        <v>0</v>
      </c>
      <c r="K132" s="14" t="n">
        <f aca="false">G132-H132-J132</f>
        <v>0</v>
      </c>
      <c r="L132" s="30" t="str">
        <f aca="false">IF(G132&gt;0,K132/G132,"")</f>
        <v/>
      </c>
      <c r="M132" s="6"/>
    </row>
    <row r="133" customFormat="false" ht="15" hidden="false" customHeight="false" outlineLevel="0" collapsed="false">
      <c r="A133" s="33"/>
      <c r="B133" s="6"/>
      <c r="C133" s="0" t="str">
        <f aca="false">IF(B133="","",IFERROR(VLOOKUP(B133,'Recetas y precios'!$A$5:$B$54,2,FALSE()),""))</f>
        <v/>
      </c>
      <c r="D133" s="20"/>
      <c r="E133" s="6"/>
      <c r="F133" s="29"/>
      <c r="G133" s="14" t="n">
        <f aca="false">E133*F133</f>
        <v>0</v>
      </c>
      <c r="H133" s="14" t="n">
        <f aca="false">IF(B133="",0,E133*IFERROR(VLOOKUP(B133,'Recetas y precios'!$A$5:$T$54,20,FALSE()),0))</f>
        <v>0</v>
      </c>
      <c r="I133" s="26"/>
      <c r="J133" s="14" t="n">
        <f aca="false">G133*I133</f>
        <v>0</v>
      </c>
      <c r="K133" s="14" t="n">
        <f aca="false">G133-H133-J133</f>
        <v>0</v>
      </c>
      <c r="L133" s="30" t="str">
        <f aca="false">IF(G133&gt;0,K133/G133,"")</f>
        <v/>
      </c>
      <c r="M133" s="6"/>
    </row>
    <row r="134" customFormat="false" ht="15" hidden="false" customHeight="false" outlineLevel="0" collapsed="false">
      <c r="A134" s="33"/>
      <c r="B134" s="6"/>
      <c r="C134" s="0" t="str">
        <f aca="false">IF(B134="","",IFERROR(VLOOKUP(B134,'Recetas y precios'!$A$5:$B$54,2,FALSE()),""))</f>
        <v/>
      </c>
      <c r="D134" s="20"/>
      <c r="E134" s="6"/>
      <c r="F134" s="29"/>
      <c r="G134" s="14" t="n">
        <f aca="false">E134*F134</f>
        <v>0</v>
      </c>
      <c r="H134" s="14" t="n">
        <f aca="false">IF(B134="",0,E134*IFERROR(VLOOKUP(B134,'Recetas y precios'!$A$5:$T$54,20,FALSE()),0))</f>
        <v>0</v>
      </c>
      <c r="I134" s="26"/>
      <c r="J134" s="14" t="n">
        <f aca="false">G134*I134</f>
        <v>0</v>
      </c>
      <c r="K134" s="14" t="n">
        <f aca="false">G134-H134-J134</f>
        <v>0</v>
      </c>
      <c r="L134" s="30" t="str">
        <f aca="false">IF(G134&gt;0,K134/G134,"")</f>
        <v/>
      </c>
      <c r="M134" s="6"/>
    </row>
    <row r="135" customFormat="false" ht="15" hidden="false" customHeight="false" outlineLevel="0" collapsed="false">
      <c r="A135" s="33"/>
      <c r="B135" s="6"/>
      <c r="C135" s="0" t="str">
        <f aca="false">IF(B135="","",IFERROR(VLOOKUP(B135,'Recetas y precios'!$A$5:$B$54,2,FALSE()),""))</f>
        <v/>
      </c>
      <c r="D135" s="20"/>
      <c r="E135" s="6"/>
      <c r="F135" s="29"/>
      <c r="G135" s="14" t="n">
        <f aca="false">E135*F135</f>
        <v>0</v>
      </c>
      <c r="H135" s="14" t="n">
        <f aca="false">IF(B135="",0,E135*IFERROR(VLOOKUP(B135,'Recetas y precios'!$A$5:$T$54,20,FALSE()),0))</f>
        <v>0</v>
      </c>
      <c r="I135" s="26"/>
      <c r="J135" s="14" t="n">
        <f aca="false">G135*I135</f>
        <v>0</v>
      </c>
      <c r="K135" s="14" t="n">
        <f aca="false">G135-H135-J135</f>
        <v>0</v>
      </c>
      <c r="L135" s="30" t="str">
        <f aca="false">IF(G135&gt;0,K135/G135,"")</f>
        <v/>
      </c>
      <c r="M135" s="6"/>
    </row>
    <row r="136" customFormat="false" ht="15" hidden="false" customHeight="false" outlineLevel="0" collapsed="false">
      <c r="A136" s="33"/>
      <c r="B136" s="6"/>
      <c r="C136" s="0" t="str">
        <f aca="false">IF(B136="","",IFERROR(VLOOKUP(B136,'Recetas y precios'!$A$5:$B$54,2,FALSE()),""))</f>
        <v/>
      </c>
      <c r="D136" s="20"/>
      <c r="E136" s="6"/>
      <c r="F136" s="29"/>
      <c r="G136" s="14" t="n">
        <f aca="false">E136*F136</f>
        <v>0</v>
      </c>
      <c r="H136" s="14" t="n">
        <f aca="false">IF(B136="",0,E136*IFERROR(VLOOKUP(B136,'Recetas y precios'!$A$5:$T$54,20,FALSE()),0))</f>
        <v>0</v>
      </c>
      <c r="I136" s="26"/>
      <c r="J136" s="14" t="n">
        <f aca="false">G136*I136</f>
        <v>0</v>
      </c>
      <c r="K136" s="14" t="n">
        <f aca="false">G136-H136-J136</f>
        <v>0</v>
      </c>
      <c r="L136" s="30" t="str">
        <f aca="false">IF(G136&gt;0,K136/G136,"")</f>
        <v/>
      </c>
      <c r="M136" s="6"/>
    </row>
    <row r="137" customFormat="false" ht="15" hidden="false" customHeight="false" outlineLevel="0" collapsed="false">
      <c r="A137" s="33"/>
      <c r="B137" s="6"/>
      <c r="C137" s="0" t="str">
        <f aca="false">IF(B137="","",IFERROR(VLOOKUP(B137,'Recetas y precios'!$A$5:$B$54,2,FALSE()),""))</f>
        <v/>
      </c>
      <c r="D137" s="20"/>
      <c r="E137" s="6"/>
      <c r="F137" s="29"/>
      <c r="G137" s="14" t="n">
        <f aca="false">E137*F137</f>
        <v>0</v>
      </c>
      <c r="H137" s="14" t="n">
        <f aca="false">IF(B137="",0,E137*IFERROR(VLOOKUP(B137,'Recetas y precios'!$A$5:$T$54,20,FALSE()),0))</f>
        <v>0</v>
      </c>
      <c r="I137" s="26"/>
      <c r="J137" s="14" t="n">
        <f aca="false">G137*I137</f>
        <v>0</v>
      </c>
      <c r="K137" s="14" t="n">
        <f aca="false">G137-H137-J137</f>
        <v>0</v>
      </c>
      <c r="L137" s="30" t="str">
        <f aca="false">IF(G137&gt;0,K137/G137,"")</f>
        <v/>
      </c>
      <c r="M137" s="6"/>
    </row>
    <row r="138" customFormat="false" ht="15" hidden="false" customHeight="false" outlineLevel="0" collapsed="false">
      <c r="A138" s="33"/>
      <c r="B138" s="6"/>
      <c r="C138" s="0" t="str">
        <f aca="false">IF(B138="","",IFERROR(VLOOKUP(B138,'Recetas y precios'!$A$5:$B$54,2,FALSE()),""))</f>
        <v/>
      </c>
      <c r="D138" s="20"/>
      <c r="E138" s="6"/>
      <c r="F138" s="29"/>
      <c r="G138" s="14" t="n">
        <f aca="false">E138*F138</f>
        <v>0</v>
      </c>
      <c r="H138" s="14" t="n">
        <f aca="false">IF(B138="",0,E138*IFERROR(VLOOKUP(B138,'Recetas y precios'!$A$5:$T$54,20,FALSE()),0))</f>
        <v>0</v>
      </c>
      <c r="I138" s="26"/>
      <c r="J138" s="14" t="n">
        <f aca="false">G138*I138</f>
        <v>0</v>
      </c>
      <c r="K138" s="14" t="n">
        <f aca="false">G138-H138-J138</f>
        <v>0</v>
      </c>
      <c r="L138" s="30" t="str">
        <f aca="false">IF(G138&gt;0,K138/G138,"")</f>
        <v/>
      </c>
      <c r="M138" s="6"/>
    </row>
    <row r="139" customFormat="false" ht="15" hidden="false" customHeight="false" outlineLevel="0" collapsed="false">
      <c r="A139" s="33"/>
      <c r="B139" s="6"/>
      <c r="C139" s="0" t="str">
        <f aca="false">IF(B139="","",IFERROR(VLOOKUP(B139,'Recetas y precios'!$A$5:$B$54,2,FALSE()),""))</f>
        <v/>
      </c>
      <c r="D139" s="20"/>
      <c r="E139" s="6"/>
      <c r="F139" s="29"/>
      <c r="G139" s="14" t="n">
        <f aca="false">E139*F139</f>
        <v>0</v>
      </c>
      <c r="H139" s="14" t="n">
        <f aca="false">IF(B139="",0,E139*IFERROR(VLOOKUP(B139,'Recetas y precios'!$A$5:$T$54,20,FALSE()),0))</f>
        <v>0</v>
      </c>
      <c r="I139" s="26"/>
      <c r="J139" s="14" t="n">
        <f aca="false">G139*I139</f>
        <v>0</v>
      </c>
      <c r="K139" s="14" t="n">
        <f aca="false">G139-H139-J139</f>
        <v>0</v>
      </c>
      <c r="L139" s="30" t="str">
        <f aca="false">IF(G139&gt;0,K139/G139,"")</f>
        <v/>
      </c>
      <c r="M139" s="6"/>
    </row>
    <row r="140" customFormat="false" ht="15" hidden="false" customHeight="false" outlineLevel="0" collapsed="false">
      <c r="A140" s="33"/>
      <c r="B140" s="6"/>
      <c r="C140" s="0" t="str">
        <f aca="false">IF(B140="","",IFERROR(VLOOKUP(B140,'Recetas y precios'!$A$5:$B$54,2,FALSE()),""))</f>
        <v/>
      </c>
      <c r="D140" s="20"/>
      <c r="E140" s="6"/>
      <c r="F140" s="29"/>
      <c r="G140" s="14" t="n">
        <f aca="false">E140*F140</f>
        <v>0</v>
      </c>
      <c r="H140" s="14" t="n">
        <f aca="false">IF(B140="",0,E140*IFERROR(VLOOKUP(B140,'Recetas y precios'!$A$5:$T$54,20,FALSE()),0))</f>
        <v>0</v>
      </c>
      <c r="I140" s="26"/>
      <c r="J140" s="14" t="n">
        <f aca="false">G140*I140</f>
        <v>0</v>
      </c>
      <c r="K140" s="14" t="n">
        <f aca="false">G140-H140-J140</f>
        <v>0</v>
      </c>
      <c r="L140" s="30" t="str">
        <f aca="false">IF(G140&gt;0,K140/G140,"")</f>
        <v/>
      </c>
      <c r="M140" s="6"/>
    </row>
    <row r="141" customFormat="false" ht="15" hidden="false" customHeight="false" outlineLevel="0" collapsed="false">
      <c r="A141" s="33"/>
      <c r="B141" s="6"/>
      <c r="C141" s="0" t="str">
        <f aca="false">IF(B141="","",IFERROR(VLOOKUP(B141,'Recetas y precios'!$A$5:$B$54,2,FALSE()),""))</f>
        <v/>
      </c>
      <c r="D141" s="20"/>
      <c r="E141" s="6"/>
      <c r="F141" s="29"/>
      <c r="G141" s="14" t="n">
        <f aca="false">E141*F141</f>
        <v>0</v>
      </c>
      <c r="H141" s="14" t="n">
        <f aca="false">IF(B141="",0,E141*IFERROR(VLOOKUP(B141,'Recetas y precios'!$A$5:$T$54,20,FALSE()),0))</f>
        <v>0</v>
      </c>
      <c r="I141" s="26"/>
      <c r="J141" s="14" t="n">
        <f aca="false">G141*I141</f>
        <v>0</v>
      </c>
      <c r="K141" s="14" t="n">
        <f aca="false">G141-H141-J141</f>
        <v>0</v>
      </c>
      <c r="L141" s="30" t="str">
        <f aca="false">IF(G141&gt;0,K141/G141,"")</f>
        <v/>
      </c>
      <c r="M141" s="6"/>
    </row>
    <row r="142" customFormat="false" ht="15" hidden="false" customHeight="false" outlineLevel="0" collapsed="false">
      <c r="A142" s="33"/>
      <c r="B142" s="6"/>
      <c r="C142" s="0" t="str">
        <f aca="false">IF(B142="","",IFERROR(VLOOKUP(B142,'Recetas y precios'!$A$5:$B$54,2,FALSE()),""))</f>
        <v/>
      </c>
      <c r="D142" s="20"/>
      <c r="E142" s="6"/>
      <c r="F142" s="29"/>
      <c r="G142" s="14" t="n">
        <f aca="false">E142*F142</f>
        <v>0</v>
      </c>
      <c r="H142" s="14" t="n">
        <f aca="false">IF(B142="",0,E142*IFERROR(VLOOKUP(B142,'Recetas y precios'!$A$5:$T$54,20,FALSE()),0))</f>
        <v>0</v>
      </c>
      <c r="I142" s="26"/>
      <c r="J142" s="14" t="n">
        <f aca="false">G142*I142</f>
        <v>0</v>
      </c>
      <c r="K142" s="14" t="n">
        <f aca="false">G142-H142-J142</f>
        <v>0</v>
      </c>
      <c r="L142" s="30" t="str">
        <f aca="false">IF(G142&gt;0,K142/G142,"")</f>
        <v/>
      </c>
      <c r="M142" s="6"/>
    </row>
    <row r="143" customFormat="false" ht="15" hidden="false" customHeight="false" outlineLevel="0" collapsed="false">
      <c r="A143" s="33"/>
      <c r="B143" s="6"/>
      <c r="C143" s="0" t="str">
        <f aca="false">IF(B143="","",IFERROR(VLOOKUP(B143,'Recetas y precios'!$A$5:$B$54,2,FALSE()),""))</f>
        <v/>
      </c>
      <c r="D143" s="20"/>
      <c r="E143" s="6"/>
      <c r="F143" s="29"/>
      <c r="G143" s="14" t="n">
        <f aca="false">E143*F143</f>
        <v>0</v>
      </c>
      <c r="H143" s="14" t="n">
        <f aca="false">IF(B143="",0,E143*IFERROR(VLOOKUP(B143,'Recetas y precios'!$A$5:$T$54,20,FALSE()),0))</f>
        <v>0</v>
      </c>
      <c r="I143" s="26"/>
      <c r="J143" s="14" t="n">
        <f aca="false">G143*I143</f>
        <v>0</v>
      </c>
      <c r="K143" s="14" t="n">
        <f aca="false">G143-H143-J143</f>
        <v>0</v>
      </c>
      <c r="L143" s="30" t="str">
        <f aca="false">IF(G143&gt;0,K143/G143,"")</f>
        <v/>
      </c>
      <c r="M143" s="6"/>
    </row>
    <row r="144" customFormat="false" ht="15" hidden="false" customHeight="false" outlineLevel="0" collapsed="false">
      <c r="A144" s="33"/>
      <c r="B144" s="6"/>
      <c r="C144" s="0" t="str">
        <f aca="false">IF(B144="","",IFERROR(VLOOKUP(B144,'Recetas y precios'!$A$5:$B$54,2,FALSE()),""))</f>
        <v/>
      </c>
      <c r="D144" s="20"/>
      <c r="E144" s="6"/>
      <c r="F144" s="29"/>
      <c r="G144" s="14" t="n">
        <f aca="false">E144*F144</f>
        <v>0</v>
      </c>
      <c r="H144" s="14" t="n">
        <f aca="false">IF(B144="",0,E144*IFERROR(VLOOKUP(B144,'Recetas y precios'!$A$5:$T$54,20,FALSE()),0))</f>
        <v>0</v>
      </c>
      <c r="I144" s="26"/>
      <c r="J144" s="14" t="n">
        <f aca="false">G144*I144</f>
        <v>0</v>
      </c>
      <c r="K144" s="14" t="n">
        <f aca="false">G144-H144-J144</f>
        <v>0</v>
      </c>
      <c r="L144" s="30" t="str">
        <f aca="false">IF(G144&gt;0,K144/G144,"")</f>
        <v/>
      </c>
      <c r="M144" s="6"/>
    </row>
    <row r="145" customFormat="false" ht="15" hidden="false" customHeight="false" outlineLevel="0" collapsed="false">
      <c r="A145" s="33"/>
      <c r="B145" s="6"/>
      <c r="C145" s="0" t="str">
        <f aca="false">IF(B145="","",IFERROR(VLOOKUP(B145,'Recetas y precios'!$A$5:$B$54,2,FALSE()),""))</f>
        <v/>
      </c>
      <c r="D145" s="20"/>
      <c r="E145" s="6"/>
      <c r="F145" s="29"/>
      <c r="G145" s="14" t="n">
        <f aca="false">E145*F145</f>
        <v>0</v>
      </c>
      <c r="H145" s="14" t="n">
        <f aca="false">IF(B145="",0,E145*IFERROR(VLOOKUP(B145,'Recetas y precios'!$A$5:$T$54,20,FALSE()),0))</f>
        <v>0</v>
      </c>
      <c r="I145" s="26"/>
      <c r="J145" s="14" t="n">
        <f aca="false">G145*I145</f>
        <v>0</v>
      </c>
      <c r="K145" s="14" t="n">
        <f aca="false">G145-H145-J145</f>
        <v>0</v>
      </c>
      <c r="L145" s="30" t="str">
        <f aca="false">IF(G145&gt;0,K145/G145,"")</f>
        <v/>
      </c>
      <c r="M145" s="6"/>
    </row>
    <row r="146" customFormat="false" ht="15" hidden="false" customHeight="false" outlineLevel="0" collapsed="false">
      <c r="A146" s="33"/>
      <c r="B146" s="6"/>
      <c r="C146" s="0" t="str">
        <f aca="false">IF(B146="","",IFERROR(VLOOKUP(B146,'Recetas y precios'!$A$5:$B$54,2,FALSE()),""))</f>
        <v/>
      </c>
      <c r="D146" s="20"/>
      <c r="E146" s="6"/>
      <c r="F146" s="29"/>
      <c r="G146" s="14" t="n">
        <f aca="false">E146*F146</f>
        <v>0</v>
      </c>
      <c r="H146" s="14" t="n">
        <f aca="false">IF(B146="",0,E146*IFERROR(VLOOKUP(B146,'Recetas y precios'!$A$5:$T$54,20,FALSE()),0))</f>
        <v>0</v>
      </c>
      <c r="I146" s="26"/>
      <c r="J146" s="14" t="n">
        <f aca="false">G146*I146</f>
        <v>0</v>
      </c>
      <c r="K146" s="14" t="n">
        <f aca="false">G146-H146-J146</f>
        <v>0</v>
      </c>
      <c r="L146" s="30" t="str">
        <f aca="false">IF(G146&gt;0,K146/G146,"")</f>
        <v/>
      </c>
      <c r="M146" s="6"/>
    </row>
    <row r="147" customFormat="false" ht="15" hidden="false" customHeight="false" outlineLevel="0" collapsed="false">
      <c r="A147" s="33"/>
      <c r="B147" s="6"/>
      <c r="C147" s="0" t="str">
        <f aca="false">IF(B147="","",IFERROR(VLOOKUP(B147,'Recetas y precios'!$A$5:$B$54,2,FALSE()),""))</f>
        <v/>
      </c>
      <c r="D147" s="20"/>
      <c r="E147" s="6"/>
      <c r="F147" s="29"/>
      <c r="G147" s="14" t="n">
        <f aca="false">E147*F147</f>
        <v>0</v>
      </c>
      <c r="H147" s="14" t="n">
        <f aca="false">IF(B147="",0,E147*IFERROR(VLOOKUP(B147,'Recetas y precios'!$A$5:$T$54,20,FALSE()),0))</f>
        <v>0</v>
      </c>
      <c r="I147" s="26"/>
      <c r="J147" s="14" t="n">
        <f aca="false">G147*I147</f>
        <v>0</v>
      </c>
      <c r="K147" s="14" t="n">
        <f aca="false">G147-H147-J147</f>
        <v>0</v>
      </c>
      <c r="L147" s="30" t="str">
        <f aca="false">IF(G147&gt;0,K147/G147,"")</f>
        <v/>
      </c>
      <c r="M147" s="6"/>
    </row>
    <row r="148" customFormat="false" ht="15" hidden="false" customHeight="false" outlineLevel="0" collapsed="false">
      <c r="A148" s="33"/>
      <c r="B148" s="6"/>
      <c r="C148" s="0" t="str">
        <f aca="false">IF(B148="","",IFERROR(VLOOKUP(B148,'Recetas y precios'!$A$5:$B$54,2,FALSE()),""))</f>
        <v/>
      </c>
      <c r="D148" s="20"/>
      <c r="E148" s="6"/>
      <c r="F148" s="29"/>
      <c r="G148" s="14" t="n">
        <f aca="false">E148*F148</f>
        <v>0</v>
      </c>
      <c r="H148" s="14" t="n">
        <f aca="false">IF(B148="",0,E148*IFERROR(VLOOKUP(B148,'Recetas y precios'!$A$5:$T$54,20,FALSE()),0))</f>
        <v>0</v>
      </c>
      <c r="I148" s="26"/>
      <c r="J148" s="14" t="n">
        <f aca="false">G148*I148</f>
        <v>0</v>
      </c>
      <c r="K148" s="14" t="n">
        <f aca="false">G148-H148-J148</f>
        <v>0</v>
      </c>
      <c r="L148" s="30" t="str">
        <f aca="false">IF(G148&gt;0,K148/G148,"")</f>
        <v/>
      </c>
      <c r="M148" s="6"/>
    </row>
    <row r="149" customFormat="false" ht="15" hidden="false" customHeight="false" outlineLevel="0" collapsed="false">
      <c r="A149" s="33"/>
      <c r="B149" s="6"/>
      <c r="C149" s="0" t="str">
        <f aca="false">IF(B149="","",IFERROR(VLOOKUP(B149,'Recetas y precios'!$A$5:$B$54,2,FALSE()),""))</f>
        <v/>
      </c>
      <c r="D149" s="20"/>
      <c r="E149" s="6"/>
      <c r="F149" s="29"/>
      <c r="G149" s="14" t="n">
        <f aca="false">E149*F149</f>
        <v>0</v>
      </c>
      <c r="H149" s="14" t="n">
        <f aca="false">IF(B149="",0,E149*IFERROR(VLOOKUP(B149,'Recetas y precios'!$A$5:$T$54,20,FALSE()),0))</f>
        <v>0</v>
      </c>
      <c r="I149" s="26"/>
      <c r="J149" s="14" t="n">
        <f aca="false">G149*I149</f>
        <v>0</v>
      </c>
      <c r="K149" s="14" t="n">
        <f aca="false">G149-H149-J149</f>
        <v>0</v>
      </c>
      <c r="L149" s="30" t="str">
        <f aca="false">IF(G149&gt;0,K149/G149,"")</f>
        <v/>
      </c>
      <c r="M149" s="6"/>
    </row>
    <row r="150" customFormat="false" ht="15" hidden="false" customHeight="false" outlineLevel="0" collapsed="false">
      <c r="A150" s="33"/>
      <c r="B150" s="6"/>
      <c r="C150" s="0" t="str">
        <f aca="false">IF(B150="","",IFERROR(VLOOKUP(B150,'Recetas y precios'!$A$5:$B$54,2,FALSE()),""))</f>
        <v/>
      </c>
      <c r="D150" s="20"/>
      <c r="E150" s="6"/>
      <c r="F150" s="29"/>
      <c r="G150" s="14" t="n">
        <f aca="false">E150*F150</f>
        <v>0</v>
      </c>
      <c r="H150" s="14" t="n">
        <f aca="false">IF(B150="",0,E150*IFERROR(VLOOKUP(B150,'Recetas y precios'!$A$5:$T$54,20,FALSE()),0))</f>
        <v>0</v>
      </c>
      <c r="I150" s="26"/>
      <c r="J150" s="14" t="n">
        <f aca="false">G150*I150</f>
        <v>0</v>
      </c>
      <c r="K150" s="14" t="n">
        <f aca="false">G150-H150-J150</f>
        <v>0</v>
      </c>
      <c r="L150" s="30" t="str">
        <f aca="false">IF(G150&gt;0,K150/G150,"")</f>
        <v/>
      </c>
      <c r="M150" s="6"/>
    </row>
    <row r="151" customFormat="false" ht="15" hidden="false" customHeight="false" outlineLevel="0" collapsed="false">
      <c r="A151" s="33"/>
      <c r="B151" s="6"/>
      <c r="C151" s="0" t="str">
        <f aca="false">IF(B151="","",IFERROR(VLOOKUP(B151,'Recetas y precios'!$A$5:$B$54,2,FALSE()),""))</f>
        <v/>
      </c>
      <c r="D151" s="20"/>
      <c r="E151" s="6"/>
      <c r="F151" s="29"/>
      <c r="G151" s="14" t="n">
        <f aca="false">E151*F151</f>
        <v>0</v>
      </c>
      <c r="H151" s="14" t="n">
        <f aca="false">IF(B151="",0,E151*IFERROR(VLOOKUP(B151,'Recetas y precios'!$A$5:$T$54,20,FALSE()),0))</f>
        <v>0</v>
      </c>
      <c r="I151" s="26"/>
      <c r="J151" s="14" t="n">
        <f aca="false">G151*I151</f>
        <v>0</v>
      </c>
      <c r="K151" s="14" t="n">
        <f aca="false">G151-H151-J151</f>
        <v>0</v>
      </c>
      <c r="L151" s="30" t="str">
        <f aca="false">IF(G151&gt;0,K151/G151,"")</f>
        <v/>
      </c>
      <c r="M151" s="6"/>
    </row>
    <row r="152" customFormat="false" ht="15" hidden="false" customHeight="false" outlineLevel="0" collapsed="false">
      <c r="A152" s="33"/>
      <c r="B152" s="6"/>
      <c r="C152" s="0" t="str">
        <f aca="false">IF(B152="","",IFERROR(VLOOKUP(B152,'Recetas y precios'!$A$5:$B$54,2,FALSE()),""))</f>
        <v/>
      </c>
      <c r="D152" s="20"/>
      <c r="E152" s="6"/>
      <c r="F152" s="29"/>
      <c r="G152" s="14" t="n">
        <f aca="false">E152*F152</f>
        <v>0</v>
      </c>
      <c r="H152" s="14" t="n">
        <f aca="false">IF(B152="",0,E152*IFERROR(VLOOKUP(B152,'Recetas y precios'!$A$5:$T$54,20,FALSE()),0))</f>
        <v>0</v>
      </c>
      <c r="I152" s="26"/>
      <c r="J152" s="14" t="n">
        <f aca="false">G152*I152</f>
        <v>0</v>
      </c>
      <c r="K152" s="14" t="n">
        <f aca="false">G152-H152-J152</f>
        <v>0</v>
      </c>
      <c r="L152" s="30" t="str">
        <f aca="false">IF(G152&gt;0,K152/G152,"")</f>
        <v/>
      </c>
      <c r="M152" s="6"/>
    </row>
    <row r="153" customFormat="false" ht="15" hidden="false" customHeight="false" outlineLevel="0" collapsed="false">
      <c r="A153" s="33"/>
      <c r="B153" s="6"/>
      <c r="C153" s="0" t="str">
        <f aca="false">IF(B153="","",IFERROR(VLOOKUP(B153,'Recetas y precios'!$A$5:$B$54,2,FALSE()),""))</f>
        <v/>
      </c>
      <c r="D153" s="20"/>
      <c r="E153" s="6"/>
      <c r="F153" s="29"/>
      <c r="G153" s="14" t="n">
        <f aca="false">E153*F153</f>
        <v>0</v>
      </c>
      <c r="H153" s="14" t="n">
        <f aca="false">IF(B153="",0,E153*IFERROR(VLOOKUP(B153,'Recetas y precios'!$A$5:$T$54,20,FALSE()),0))</f>
        <v>0</v>
      </c>
      <c r="I153" s="26"/>
      <c r="J153" s="14" t="n">
        <f aca="false">G153*I153</f>
        <v>0</v>
      </c>
      <c r="K153" s="14" t="n">
        <f aca="false">G153-H153-J153</f>
        <v>0</v>
      </c>
      <c r="L153" s="30" t="str">
        <f aca="false">IF(G153&gt;0,K153/G153,"")</f>
        <v/>
      </c>
      <c r="M153" s="6"/>
    </row>
    <row r="154" customFormat="false" ht="15" hidden="false" customHeight="false" outlineLevel="0" collapsed="false">
      <c r="A154" s="33"/>
      <c r="B154" s="6"/>
      <c r="C154" s="0" t="str">
        <f aca="false">IF(B154="","",IFERROR(VLOOKUP(B154,'Recetas y precios'!$A$5:$B$54,2,FALSE()),""))</f>
        <v/>
      </c>
      <c r="D154" s="20"/>
      <c r="E154" s="6"/>
      <c r="F154" s="29"/>
      <c r="G154" s="14" t="n">
        <f aca="false">E154*F154</f>
        <v>0</v>
      </c>
      <c r="H154" s="14" t="n">
        <f aca="false">IF(B154="",0,E154*IFERROR(VLOOKUP(B154,'Recetas y precios'!$A$5:$T$54,20,FALSE()),0))</f>
        <v>0</v>
      </c>
      <c r="I154" s="26"/>
      <c r="J154" s="14" t="n">
        <f aca="false">G154*I154</f>
        <v>0</v>
      </c>
      <c r="K154" s="14" t="n">
        <f aca="false">G154-H154-J154</f>
        <v>0</v>
      </c>
      <c r="L154" s="30" t="str">
        <f aca="false">IF(G154&gt;0,K154/G154,"")</f>
        <v/>
      </c>
      <c r="M154" s="6"/>
    </row>
    <row r="155" customFormat="false" ht="15" hidden="false" customHeight="false" outlineLevel="0" collapsed="false">
      <c r="A155" s="33"/>
      <c r="B155" s="6"/>
      <c r="C155" s="0" t="str">
        <f aca="false">IF(B155="","",IFERROR(VLOOKUP(B155,'Recetas y precios'!$A$5:$B$54,2,FALSE()),""))</f>
        <v/>
      </c>
      <c r="D155" s="20"/>
      <c r="E155" s="6"/>
      <c r="F155" s="29"/>
      <c r="G155" s="14" t="n">
        <f aca="false">E155*F155</f>
        <v>0</v>
      </c>
      <c r="H155" s="14" t="n">
        <f aca="false">IF(B155="",0,E155*IFERROR(VLOOKUP(B155,'Recetas y precios'!$A$5:$T$54,20,FALSE()),0))</f>
        <v>0</v>
      </c>
      <c r="I155" s="26"/>
      <c r="J155" s="14" t="n">
        <f aca="false">G155*I155</f>
        <v>0</v>
      </c>
      <c r="K155" s="14" t="n">
        <f aca="false">G155-H155-J155</f>
        <v>0</v>
      </c>
      <c r="L155" s="30" t="str">
        <f aca="false">IF(G155&gt;0,K155/G155,"")</f>
        <v/>
      </c>
      <c r="M155" s="6"/>
    </row>
    <row r="156" customFormat="false" ht="15" hidden="false" customHeight="false" outlineLevel="0" collapsed="false">
      <c r="A156" s="33"/>
      <c r="B156" s="6"/>
      <c r="C156" s="0" t="str">
        <f aca="false">IF(B156="","",IFERROR(VLOOKUP(B156,'Recetas y precios'!$A$5:$B$54,2,FALSE()),""))</f>
        <v/>
      </c>
      <c r="D156" s="20"/>
      <c r="E156" s="6"/>
      <c r="F156" s="29"/>
      <c r="G156" s="14" t="n">
        <f aca="false">E156*F156</f>
        <v>0</v>
      </c>
      <c r="H156" s="14" t="n">
        <f aca="false">IF(B156="",0,E156*IFERROR(VLOOKUP(B156,'Recetas y precios'!$A$5:$T$54,20,FALSE()),0))</f>
        <v>0</v>
      </c>
      <c r="I156" s="26"/>
      <c r="J156" s="14" t="n">
        <f aca="false">G156*I156</f>
        <v>0</v>
      </c>
      <c r="K156" s="14" t="n">
        <f aca="false">G156-H156-J156</f>
        <v>0</v>
      </c>
      <c r="L156" s="30" t="str">
        <f aca="false">IF(G156&gt;0,K156/G156,"")</f>
        <v/>
      </c>
      <c r="M156" s="6"/>
    </row>
    <row r="157" customFormat="false" ht="15" hidden="false" customHeight="false" outlineLevel="0" collapsed="false">
      <c r="A157" s="33"/>
      <c r="B157" s="6"/>
      <c r="C157" s="0" t="str">
        <f aca="false">IF(B157="","",IFERROR(VLOOKUP(B157,'Recetas y precios'!$A$5:$B$54,2,FALSE()),""))</f>
        <v/>
      </c>
      <c r="D157" s="20"/>
      <c r="E157" s="6"/>
      <c r="F157" s="29"/>
      <c r="G157" s="14" t="n">
        <f aca="false">E157*F157</f>
        <v>0</v>
      </c>
      <c r="H157" s="14" t="n">
        <f aca="false">IF(B157="",0,E157*IFERROR(VLOOKUP(B157,'Recetas y precios'!$A$5:$T$54,20,FALSE()),0))</f>
        <v>0</v>
      </c>
      <c r="I157" s="26"/>
      <c r="J157" s="14" t="n">
        <f aca="false">G157*I157</f>
        <v>0</v>
      </c>
      <c r="K157" s="14" t="n">
        <f aca="false">G157-H157-J157</f>
        <v>0</v>
      </c>
      <c r="L157" s="30" t="str">
        <f aca="false">IF(G157&gt;0,K157/G157,"")</f>
        <v/>
      </c>
      <c r="M157" s="6"/>
    </row>
    <row r="158" customFormat="false" ht="15" hidden="false" customHeight="false" outlineLevel="0" collapsed="false">
      <c r="A158" s="33"/>
      <c r="B158" s="6"/>
      <c r="C158" s="0" t="str">
        <f aca="false">IF(B158="","",IFERROR(VLOOKUP(B158,'Recetas y precios'!$A$5:$B$54,2,FALSE()),""))</f>
        <v/>
      </c>
      <c r="D158" s="20"/>
      <c r="E158" s="6"/>
      <c r="F158" s="29"/>
      <c r="G158" s="14" t="n">
        <f aca="false">E158*F158</f>
        <v>0</v>
      </c>
      <c r="H158" s="14" t="n">
        <f aca="false">IF(B158="",0,E158*IFERROR(VLOOKUP(B158,'Recetas y precios'!$A$5:$T$54,20,FALSE()),0))</f>
        <v>0</v>
      </c>
      <c r="I158" s="26"/>
      <c r="J158" s="14" t="n">
        <f aca="false">G158*I158</f>
        <v>0</v>
      </c>
      <c r="K158" s="14" t="n">
        <f aca="false">G158-H158-J158</f>
        <v>0</v>
      </c>
      <c r="L158" s="30" t="str">
        <f aca="false">IF(G158&gt;0,K158/G158,"")</f>
        <v/>
      </c>
      <c r="M158" s="6"/>
    </row>
    <row r="159" customFormat="false" ht="15" hidden="false" customHeight="false" outlineLevel="0" collapsed="false">
      <c r="A159" s="33"/>
      <c r="B159" s="6"/>
      <c r="C159" s="0" t="str">
        <f aca="false">IF(B159="","",IFERROR(VLOOKUP(B159,'Recetas y precios'!$A$5:$B$54,2,FALSE()),""))</f>
        <v/>
      </c>
      <c r="D159" s="20"/>
      <c r="E159" s="6"/>
      <c r="F159" s="29"/>
      <c r="G159" s="14" t="n">
        <f aca="false">E159*F159</f>
        <v>0</v>
      </c>
      <c r="H159" s="14" t="n">
        <f aca="false">IF(B159="",0,E159*IFERROR(VLOOKUP(B159,'Recetas y precios'!$A$5:$T$54,20,FALSE()),0))</f>
        <v>0</v>
      </c>
      <c r="I159" s="26"/>
      <c r="J159" s="14" t="n">
        <f aca="false">G159*I159</f>
        <v>0</v>
      </c>
      <c r="K159" s="14" t="n">
        <f aca="false">G159-H159-J159</f>
        <v>0</v>
      </c>
      <c r="L159" s="30" t="str">
        <f aca="false">IF(G159&gt;0,K159/G159,"")</f>
        <v/>
      </c>
      <c r="M159" s="6"/>
    </row>
    <row r="160" customFormat="false" ht="15" hidden="false" customHeight="false" outlineLevel="0" collapsed="false">
      <c r="A160" s="33"/>
      <c r="B160" s="6"/>
      <c r="C160" s="0" t="str">
        <f aca="false">IF(B160="","",IFERROR(VLOOKUP(B160,'Recetas y precios'!$A$5:$B$54,2,FALSE()),""))</f>
        <v/>
      </c>
      <c r="D160" s="20"/>
      <c r="E160" s="6"/>
      <c r="F160" s="29"/>
      <c r="G160" s="14" t="n">
        <f aca="false">E160*F160</f>
        <v>0</v>
      </c>
      <c r="H160" s="14" t="n">
        <f aca="false">IF(B160="",0,E160*IFERROR(VLOOKUP(B160,'Recetas y precios'!$A$5:$T$54,20,FALSE()),0))</f>
        <v>0</v>
      </c>
      <c r="I160" s="26"/>
      <c r="J160" s="14" t="n">
        <f aca="false">G160*I160</f>
        <v>0</v>
      </c>
      <c r="K160" s="14" t="n">
        <f aca="false">G160-H160-J160</f>
        <v>0</v>
      </c>
      <c r="L160" s="30" t="str">
        <f aca="false">IF(G160&gt;0,K160/G160,"")</f>
        <v/>
      </c>
      <c r="M160" s="6"/>
    </row>
    <row r="161" customFormat="false" ht="15" hidden="false" customHeight="false" outlineLevel="0" collapsed="false">
      <c r="A161" s="33"/>
      <c r="B161" s="6"/>
      <c r="C161" s="0" t="str">
        <f aca="false">IF(B161="","",IFERROR(VLOOKUP(B161,'Recetas y precios'!$A$5:$B$54,2,FALSE()),""))</f>
        <v/>
      </c>
      <c r="D161" s="20"/>
      <c r="E161" s="6"/>
      <c r="F161" s="29"/>
      <c r="G161" s="14" t="n">
        <f aca="false">E161*F161</f>
        <v>0</v>
      </c>
      <c r="H161" s="14" t="n">
        <f aca="false">IF(B161="",0,E161*IFERROR(VLOOKUP(B161,'Recetas y precios'!$A$5:$T$54,20,FALSE()),0))</f>
        <v>0</v>
      </c>
      <c r="I161" s="26"/>
      <c r="J161" s="14" t="n">
        <f aca="false">G161*I161</f>
        <v>0</v>
      </c>
      <c r="K161" s="14" t="n">
        <f aca="false">G161-H161-J161</f>
        <v>0</v>
      </c>
      <c r="L161" s="30" t="str">
        <f aca="false">IF(G161&gt;0,K161/G161,"")</f>
        <v/>
      </c>
      <c r="M161" s="6"/>
    </row>
    <row r="162" customFormat="false" ht="15" hidden="false" customHeight="false" outlineLevel="0" collapsed="false">
      <c r="A162" s="33"/>
      <c r="B162" s="6"/>
      <c r="C162" s="0" t="str">
        <f aca="false">IF(B162="","",IFERROR(VLOOKUP(B162,'Recetas y precios'!$A$5:$B$54,2,FALSE()),""))</f>
        <v/>
      </c>
      <c r="D162" s="20"/>
      <c r="E162" s="6"/>
      <c r="F162" s="29"/>
      <c r="G162" s="14" t="n">
        <f aca="false">E162*F162</f>
        <v>0</v>
      </c>
      <c r="H162" s="14" t="n">
        <f aca="false">IF(B162="",0,E162*IFERROR(VLOOKUP(B162,'Recetas y precios'!$A$5:$T$54,20,FALSE()),0))</f>
        <v>0</v>
      </c>
      <c r="I162" s="26"/>
      <c r="J162" s="14" t="n">
        <f aca="false">G162*I162</f>
        <v>0</v>
      </c>
      <c r="K162" s="14" t="n">
        <f aca="false">G162-H162-J162</f>
        <v>0</v>
      </c>
      <c r="L162" s="30" t="str">
        <f aca="false">IF(G162&gt;0,K162/G162,"")</f>
        <v/>
      </c>
      <c r="M162" s="6"/>
    </row>
    <row r="163" customFormat="false" ht="15" hidden="false" customHeight="false" outlineLevel="0" collapsed="false">
      <c r="A163" s="33"/>
      <c r="B163" s="6"/>
      <c r="C163" s="0" t="str">
        <f aca="false">IF(B163="","",IFERROR(VLOOKUP(B163,'Recetas y precios'!$A$5:$B$54,2,FALSE()),""))</f>
        <v/>
      </c>
      <c r="D163" s="20"/>
      <c r="E163" s="6"/>
      <c r="F163" s="29"/>
      <c r="G163" s="14" t="n">
        <f aca="false">E163*F163</f>
        <v>0</v>
      </c>
      <c r="H163" s="14" t="n">
        <f aca="false">IF(B163="",0,E163*IFERROR(VLOOKUP(B163,'Recetas y precios'!$A$5:$T$54,20,FALSE()),0))</f>
        <v>0</v>
      </c>
      <c r="I163" s="26"/>
      <c r="J163" s="14" t="n">
        <f aca="false">G163*I163</f>
        <v>0</v>
      </c>
      <c r="K163" s="14" t="n">
        <f aca="false">G163-H163-J163</f>
        <v>0</v>
      </c>
      <c r="L163" s="30" t="str">
        <f aca="false">IF(G163&gt;0,K163/G163,"")</f>
        <v/>
      </c>
      <c r="M163" s="6"/>
    </row>
    <row r="164" customFormat="false" ht="15" hidden="false" customHeight="false" outlineLevel="0" collapsed="false">
      <c r="A164" s="33"/>
      <c r="B164" s="6"/>
      <c r="C164" s="0" t="str">
        <f aca="false">IF(B164="","",IFERROR(VLOOKUP(B164,'Recetas y precios'!$A$5:$B$54,2,FALSE()),""))</f>
        <v/>
      </c>
      <c r="D164" s="20"/>
      <c r="E164" s="6"/>
      <c r="F164" s="29"/>
      <c r="G164" s="14" t="n">
        <f aca="false">E164*F164</f>
        <v>0</v>
      </c>
      <c r="H164" s="14" t="n">
        <f aca="false">IF(B164="",0,E164*IFERROR(VLOOKUP(B164,'Recetas y precios'!$A$5:$T$54,20,FALSE()),0))</f>
        <v>0</v>
      </c>
      <c r="I164" s="26"/>
      <c r="J164" s="14" t="n">
        <f aca="false">G164*I164</f>
        <v>0</v>
      </c>
      <c r="K164" s="14" t="n">
        <f aca="false">G164-H164-J164</f>
        <v>0</v>
      </c>
      <c r="L164" s="30" t="str">
        <f aca="false">IF(G164&gt;0,K164/G164,"")</f>
        <v/>
      </c>
      <c r="M164" s="6"/>
    </row>
    <row r="165" customFormat="false" ht="15" hidden="false" customHeight="false" outlineLevel="0" collapsed="false">
      <c r="A165" s="33"/>
      <c r="B165" s="6"/>
      <c r="C165" s="0" t="str">
        <f aca="false">IF(B165="","",IFERROR(VLOOKUP(B165,'Recetas y precios'!$A$5:$B$54,2,FALSE()),""))</f>
        <v/>
      </c>
      <c r="D165" s="20"/>
      <c r="E165" s="6"/>
      <c r="F165" s="29"/>
      <c r="G165" s="14" t="n">
        <f aca="false">E165*F165</f>
        <v>0</v>
      </c>
      <c r="H165" s="14" t="n">
        <f aca="false">IF(B165="",0,E165*IFERROR(VLOOKUP(B165,'Recetas y precios'!$A$5:$T$54,20,FALSE()),0))</f>
        <v>0</v>
      </c>
      <c r="I165" s="26"/>
      <c r="J165" s="14" t="n">
        <f aca="false">G165*I165</f>
        <v>0</v>
      </c>
      <c r="K165" s="14" t="n">
        <f aca="false">G165-H165-J165</f>
        <v>0</v>
      </c>
      <c r="L165" s="30" t="str">
        <f aca="false">IF(G165&gt;0,K165/G165,"")</f>
        <v/>
      </c>
      <c r="M165" s="6"/>
    </row>
    <row r="166" customFormat="false" ht="15" hidden="false" customHeight="false" outlineLevel="0" collapsed="false">
      <c r="A166" s="33"/>
      <c r="B166" s="6"/>
      <c r="C166" s="0" t="str">
        <f aca="false">IF(B166="","",IFERROR(VLOOKUP(B166,'Recetas y precios'!$A$5:$B$54,2,FALSE()),""))</f>
        <v/>
      </c>
      <c r="D166" s="20"/>
      <c r="E166" s="6"/>
      <c r="F166" s="29"/>
      <c r="G166" s="14" t="n">
        <f aca="false">E166*F166</f>
        <v>0</v>
      </c>
      <c r="H166" s="14" t="n">
        <f aca="false">IF(B166="",0,E166*IFERROR(VLOOKUP(B166,'Recetas y precios'!$A$5:$T$54,20,FALSE()),0))</f>
        <v>0</v>
      </c>
      <c r="I166" s="26"/>
      <c r="J166" s="14" t="n">
        <f aca="false">G166*I166</f>
        <v>0</v>
      </c>
      <c r="K166" s="14" t="n">
        <f aca="false">G166-H166-J166</f>
        <v>0</v>
      </c>
      <c r="L166" s="30" t="str">
        <f aca="false">IF(G166&gt;0,K166/G166,"")</f>
        <v/>
      </c>
      <c r="M166" s="6"/>
    </row>
    <row r="167" customFormat="false" ht="15" hidden="false" customHeight="false" outlineLevel="0" collapsed="false">
      <c r="A167" s="33"/>
      <c r="B167" s="6"/>
      <c r="C167" s="0" t="str">
        <f aca="false">IF(B167="","",IFERROR(VLOOKUP(B167,'Recetas y precios'!$A$5:$B$54,2,FALSE()),""))</f>
        <v/>
      </c>
      <c r="D167" s="20"/>
      <c r="E167" s="6"/>
      <c r="F167" s="29"/>
      <c r="G167" s="14" t="n">
        <f aca="false">E167*F167</f>
        <v>0</v>
      </c>
      <c r="H167" s="14" t="n">
        <f aca="false">IF(B167="",0,E167*IFERROR(VLOOKUP(B167,'Recetas y precios'!$A$5:$T$54,20,FALSE()),0))</f>
        <v>0</v>
      </c>
      <c r="I167" s="26"/>
      <c r="J167" s="14" t="n">
        <f aca="false">G167*I167</f>
        <v>0</v>
      </c>
      <c r="K167" s="14" t="n">
        <f aca="false">G167-H167-J167</f>
        <v>0</v>
      </c>
      <c r="L167" s="30" t="str">
        <f aca="false">IF(G167&gt;0,K167/G167,"")</f>
        <v/>
      </c>
      <c r="M167" s="6"/>
    </row>
    <row r="168" customFormat="false" ht="15" hidden="false" customHeight="false" outlineLevel="0" collapsed="false">
      <c r="A168" s="33"/>
      <c r="B168" s="6"/>
      <c r="C168" s="0" t="str">
        <f aca="false">IF(B168="","",IFERROR(VLOOKUP(B168,'Recetas y precios'!$A$5:$B$54,2,FALSE()),""))</f>
        <v/>
      </c>
      <c r="D168" s="20"/>
      <c r="E168" s="6"/>
      <c r="F168" s="29"/>
      <c r="G168" s="14" t="n">
        <f aca="false">E168*F168</f>
        <v>0</v>
      </c>
      <c r="H168" s="14" t="n">
        <f aca="false">IF(B168="",0,E168*IFERROR(VLOOKUP(B168,'Recetas y precios'!$A$5:$T$54,20,FALSE()),0))</f>
        <v>0</v>
      </c>
      <c r="I168" s="26"/>
      <c r="J168" s="14" t="n">
        <f aca="false">G168*I168</f>
        <v>0</v>
      </c>
      <c r="K168" s="14" t="n">
        <f aca="false">G168-H168-J168</f>
        <v>0</v>
      </c>
      <c r="L168" s="30" t="str">
        <f aca="false">IF(G168&gt;0,K168/G168,"")</f>
        <v/>
      </c>
      <c r="M168" s="6"/>
    </row>
    <row r="169" customFormat="false" ht="15" hidden="false" customHeight="false" outlineLevel="0" collapsed="false">
      <c r="A169" s="33"/>
      <c r="B169" s="6"/>
      <c r="C169" s="0" t="str">
        <f aca="false">IF(B169="","",IFERROR(VLOOKUP(B169,'Recetas y precios'!$A$5:$B$54,2,FALSE()),""))</f>
        <v/>
      </c>
      <c r="D169" s="20"/>
      <c r="E169" s="6"/>
      <c r="F169" s="29"/>
      <c r="G169" s="14" t="n">
        <f aca="false">E169*F169</f>
        <v>0</v>
      </c>
      <c r="H169" s="14" t="n">
        <f aca="false">IF(B169="",0,E169*IFERROR(VLOOKUP(B169,'Recetas y precios'!$A$5:$T$54,20,FALSE()),0))</f>
        <v>0</v>
      </c>
      <c r="I169" s="26"/>
      <c r="J169" s="14" t="n">
        <f aca="false">G169*I169</f>
        <v>0</v>
      </c>
      <c r="K169" s="14" t="n">
        <f aca="false">G169-H169-J169</f>
        <v>0</v>
      </c>
      <c r="L169" s="30" t="str">
        <f aca="false">IF(G169&gt;0,K169/G169,"")</f>
        <v/>
      </c>
      <c r="M169" s="6"/>
    </row>
    <row r="170" customFormat="false" ht="15" hidden="false" customHeight="false" outlineLevel="0" collapsed="false">
      <c r="A170" s="33"/>
      <c r="B170" s="6"/>
      <c r="C170" s="0" t="str">
        <f aca="false">IF(B170="","",IFERROR(VLOOKUP(B170,'Recetas y precios'!$A$5:$B$54,2,FALSE()),""))</f>
        <v/>
      </c>
      <c r="D170" s="20"/>
      <c r="E170" s="6"/>
      <c r="F170" s="29"/>
      <c r="G170" s="14" t="n">
        <f aca="false">E170*F170</f>
        <v>0</v>
      </c>
      <c r="H170" s="14" t="n">
        <f aca="false">IF(B170="",0,E170*IFERROR(VLOOKUP(B170,'Recetas y precios'!$A$5:$T$54,20,FALSE()),0))</f>
        <v>0</v>
      </c>
      <c r="I170" s="26"/>
      <c r="J170" s="14" t="n">
        <f aca="false">G170*I170</f>
        <v>0</v>
      </c>
      <c r="K170" s="14" t="n">
        <f aca="false">G170-H170-J170</f>
        <v>0</v>
      </c>
      <c r="L170" s="30" t="str">
        <f aca="false">IF(G170&gt;0,K170/G170,"")</f>
        <v/>
      </c>
      <c r="M170" s="6"/>
    </row>
    <row r="171" customFormat="false" ht="15" hidden="false" customHeight="false" outlineLevel="0" collapsed="false">
      <c r="A171" s="33"/>
      <c r="B171" s="6"/>
      <c r="C171" s="0" t="str">
        <f aca="false">IF(B171="","",IFERROR(VLOOKUP(B171,'Recetas y precios'!$A$5:$B$54,2,FALSE()),""))</f>
        <v/>
      </c>
      <c r="D171" s="20"/>
      <c r="E171" s="6"/>
      <c r="F171" s="29"/>
      <c r="G171" s="14" t="n">
        <f aca="false">E171*F171</f>
        <v>0</v>
      </c>
      <c r="H171" s="14" t="n">
        <f aca="false">IF(B171="",0,E171*IFERROR(VLOOKUP(B171,'Recetas y precios'!$A$5:$T$54,20,FALSE()),0))</f>
        <v>0</v>
      </c>
      <c r="I171" s="26"/>
      <c r="J171" s="14" t="n">
        <f aca="false">G171*I171</f>
        <v>0</v>
      </c>
      <c r="K171" s="14" t="n">
        <f aca="false">G171-H171-J171</f>
        <v>0</v>
      </c>
      <c r="L171" s="30" t="str">
        <f aca="false">IF(G171&gt;0,K171/G171,"")</f>
        <v/>
      </c>
      <c r="M171" s="6"/>
    </row>
    <row r="172" customFormat="false" ht="15" hidden="false" customHeight="false" outlineLevel="0" collapsed="false">
      <c r="A172" s="33"/>
      <c r="B172" s="6"/>
      <c r="C172" s="0" t="str">
        <f aca="false">IF(B172="","",IFERROR(VLOOKUP(B172,'Recetas y precios'!$A$5:$B$54,2,FALSE()),""))</f>
        <v/>
      </c>
      <c r="D172" s="20"/>
      <c r="E172" s="6"/>
      <c r="F172" s="29"/>
      <c r="G172" s="14" t="n">
        <f aca="false">E172*F172</f>
        <v>0</v>
      </c>
      <c r="H172" s="14" t="n">
        <f aca="false">IF(B172="",0,E172*IFERROR(VLOOKUP(B172,'Recetas y precios'!$A$5:$T$54,20,FALSE()),0))</f>
        <v>0</v>
      </c>
      <c r="I172" s="26"/>
      <c r="J172" s="14" t="n">
        <f aca="false">G172*I172</f>
        <v>0</v>
      </c>
      <c r="K172" s="14" t="n">
        <f aca="false">G172-H172-J172</f>
        <v>0</v>
      </c>
      <c r="L172" s="30" t="str">
        <f aca="false">IF(G172&gt;0,K172/G172,"")</f>
        <v/>
      </c>
      <c r="M172" s="6"/>
    </row>
    <row r="173" customFormat="false" ht="15" hidden="false" customHeight="false" outlineLevel="0" collapsed="false">
      <c r="A173" s="33"/>
      <c r="B173" s="6"/>
      <c r="C173" s="0" t="str">
        <f aca="false">IF(B173="","",IFERROR(VLOOKUP(B173,'Recetas y precios'!$A$5:$B$54,2,FALSE()),""))</f>
        <v/>
      </c>
      <c r="D173" s="20"/>
      <c r="E173" s="6"/>
      <c r="F173" s="29"/>
      <c r="G173" s="14" t="n">
        <f aca="false">E173*F173</f>
        <v>0</v>
      </c>
      <c r="H173" s="14" t="n">
        <f aca="false">IF(B173="",0,E173*IFERROR(VLOOKUP(B173,'Recetas y precios'!$A$5:$T$54,20,FALSE()),0))</f>
        <v>0</v>
      </c>
      <c r="I173" s="26"/>
      <c r="J173" s="14" t="n">
        <f aca="false">G173*I173</f>
        <v>0</v>
      </c>
      <c r="K173" s="14" t="n">
        <f aca="false">G173-H173-J173</f>
        <v>0</v>
      </c>
      <c r="L173" s="30" t="str">
        <f aca="false">IF(G173&gt;0,K173/G173,"")</f>
        <v/>
      </c>
      <c r="M173" s="6"/>
    </row>
    <row r="174" customFormat="false" ht="15" hidden="false" customHeight="false" outlineLevel="0" collapsed="false">
      <c r="A174" s="33"/>
      <c r="B174" s="6"/>
      <c r="C174" s="0" t="str">
        <f aca="false">IF(B174="","",IFERROR(VLOOKUP(B174,'Recetas y precios'!$A$5:$B$54,2,FALSE()),""))</f>
        <v/>
      </c>
      <c r="D174" s="20"/>
      <c r="E174" s="6"/>
      <c r="F174" s="29"/>
      <c r="G174" s="14" t="n">
        <f aca="false">E174*F174</f>
        <v>0</v>
      </c>
      <c r="H174" s="14" t="n">
        <f aca="false">IF(B174="",0,E174*IFERROR(VLOOKUP(B174,'Recetas y precios'!$A$5:$T$54,20,FALSE()),0))</f>
        <v>0</v>
      </c>
      <c r="I174" s="26"/>
      <c r="J174" s="14" t="n">
        <f aca="false">G174*I174</f>
        <v>0</v>
      </c>
      <c r="K174" s="14" t="n">
        <f aca="false">G174-H174-J174</f>
        <v>0</v>
      </c>
      <c r="L174" s="30" t="str">
        <f aca="false">IF(G174&gt;0,K174/G174,"")</f>
        <v/>
      </c>
      <c r="M174" s="6"/>
    </row>
    <row r="175" customFormat="false" ht="15" hidden="false" customHeight="false" outlineLevel="0" collapsed="false">
      <c r="A175" s="33"/>
      <c r="B175" s="6"/>
      <c r="C175" s="0" t="str">
        <f aca="false">IF(B175="","",IFERROR(VLOOKUP(B175,'Recetas y precios'!$A$5:$B$54,2,FALSE()),""))</f>
        <v/>
      </c>
      <c r="D175" s="20"/>
      <c r="E175" s="6"/>
      <c r="F175" s="29"/>
      <c r="G175" s="14" t="n">
        <f aca="false">E175*F175</f>
        <v>0</v>
      </c>
      <c r="H175" s="14" t="n">
        <f aca="false">IF(B175="",0,E175*IFERROR(VLOOKUP(B175,'Recetas y precios'!$A$5:$T$54,20,FALSE()),0))</f>
        <v>0</v>
      </c>
      <c r="I175" s="26"/>
      <c r="J175" s="14" t="n">
        <f aca="false">G175*I175</f>
        <v>0</v>
      </c>
      <c r="K175" s="14" t="n">
        <f aca="false">G175-H175-J175</f>
        <v>0</v>
      </c>
      <c r="L175" s="30" t="str">
        <f aca="false">IF(G175&gt;0,K175/G175,"")</f>
        <v/>
      </c>
      <c r="M175" s="6"/>
    </row>
    <row r="176" customFormat="false" ht="15" hidden="false" customHeight="false" outlineLevel="0" collapsed="false">
      <c r="A176" s="33"/>
      <c r="B176" s="6"/>
      <c r="C176" s="0" t="str">
        <f aca="false">IF(B176="","",IFERROR(VLOOKUP(B176,'Recetas y precios'!$A$5:$B$54,2,FALSE()),""))</f>
        <v/>
      </c>
      <c r="D176" s="20"/>
      <c r="E176" s="6"/>
      <c r="F176" s="29"/>
      <c r="G176" s="14" t="n">
        <f aca="false">E176*F176</f>
        <v>0</v>
      </c>
      <c r="H176" s="14" t="n">
        <f aca="false">IF(B176="",0,E176*IFERROR(VLOOKUP(B176,'Recetas y precios'!$A$5:$T$54,20,FALSE()),0))</f>
        <v>0</v>
      </c>
      <c r="I176" s="26"/>
      <c r="J176" s="14" t="n">
        <f aca="false">G176*I176</f>
        <v>0</v>
      </c>
      <c r="K176" s="14" t="n">
        <f aca="false">G176-H176-J176</f>
        <v>0</v>
      </c>
      <c r="L176" s="30" t="str">
        <f aca="false">IF(G176&gt;0,K176/G176,"")</f>
        <v/>
      </c>
      <c r="M176" s="6"/>
    </row>
    <row r="177" customFormat="false" ht="15" hidden="false" customHeight="false" outlineLevel="0" collapsed="false">
      <c r="A177" s="33"/>
      <c r="B177" s="6"/>
      <c r="C177" s="0" t="str">
        <f aca="false">IF(B177="","",IFERROR(VLOOKUP(B177,'Recetas y precios'!$A$5:$B$54,2,FALSE()),""))</f>
        <v/>
      </c>
      <c r="D177" s="20"/>
      <c r="E177" s="6"/>
      <c r="F177" s="29"/>
      <c r="G177" s="14" t="n">
        <f aca="false">E177*F177</f>
        <v>0</v>
      </c>
      <c r="H177" s="14" t="n">
        <f aca="false">IF(B177="",0,E177*IFERROR(VLOOKUP(B177,'Recetas y precios'!$A$5:$T$54,20,FALSE()),0))</f>
        <v>0</v>
      </c>
      <c r="I177" s="26"/>
      <c r="J177" s="14" t="n">
        <f aca="false">G177*I177</f>
        <v>0</v>
      </c>
      <c r="K177" s="14" t="n">
        <f aca="false">G177-H177-J177</f>
        <v>0</v>
      </c>
      <c r="L177" s="30" t="str">
        <f aca="false">IF(G177&gt;0,K177/G177,"")</f>
        <v/>
      </c>
      <c r="M177" s="6"/>
    </row>
    <row r="178" customFormat="false" ht="15" hidden="false" customHeight="false" outlineLevel="0" collapsed="false">
      <c r="A178" s="33"/>
      <c r="B178" s="6"/>
      <c r="C178" s="0" t="str">
        <f aca="false">IF(B178="","",IFERROR(VLOOKUP(B178,'Recetas y precios'!$A$5:$B$54,2,FALSE()),""))</f>
        <v/>
      </c>
      <c r="D178" s="20"/>
      <c r="E178" s="6"/>
      <c r="F178" s="29"/>
      <c r="G178" s="14" t="n">
        <f aca="false">E178*F178</f>
        <v>0</v>
      </c>
      <c r="H178" s="14" t="n">
        <f aca="false">IF(B178="",0,E178*IFERROR(VLOOKUP(B178,'Recetas y precios'!$A$5:$T$54,20,FALSE()),0))</f>
        <v>0</v>
      </c>
      <c r="I178" s="26"/>
      <c r="J178" s="14" t="n">
        <f aca="false">G178*I178</f>
        <v>0</v>
      </c>
      <c r="K178" s="14" t="n">
        <f aca="false">G178-H178-J178</f>
        <v>0</v>
      </c>
      <c r="L178" s="30" t="str">
        <f aca="false">IF(G178&gt;0,K178/G178,"")</f>
        <v/>
      </c>
      <c r="M178" s="6"/>
    </row>
    <row r="179" customFormat="false" ht="15" hidden="false" customHeight="false" outlineLevel="0" collapsed="false">
      <c r="A179" s="33"/>
      <c r="B179" s="6"/>
      <c r="C179" s="0" t="str">
        <f aca="false">IF(B179="","",IFERROR(VLOOKUP(B179,'Recetas y precios'!$A$5:$B$54,2,FALSE()),""))</f>
        <v/>
      </c>
      <c r="D179" s="20"/>
      <c r="E179" s="6"/>
      <c r="F179" s="29"/>
      <c r="G179" s="14" t="n">
        <f aca="false">E179*F179</f>
        <v>0</v>
      </c>
      <c r="H179" s="14" t="n">
        <f aca="false">IF(B179="",0,E179*IFERROR(VLOOKUP(B179,'Recetas y precios'!$A$5:$T$54,20,FALSE()),0))</f>
        <v>0</v>
      </c>
      <c r="I179" s="26"/>
      <c r="J179" s="14" t="n">
        <f aca="false">G179*I179</f>
        <v>0</v>
      </c>
      <c r="K179" s="14" t="n">
        <f aca="false">G179-H179-J179</f>
        <v>0</v>
      </c>
      <c r="L179" s="30" t="str">
        <f aca="false">IF(G179&gt;0,K179/G179,"")</f>
        <v/>
      </c>
      <c r="M179" s="6"/>
    </row>
    <row r="180" customFormat="false" ht="15" hidden="false" customHeight="false" outlineLevel="0" collapsed="false">
      <c r="A180" s="33"/>
      <c r="B180" s="6"/>
      <c r="C180" s="0" t="str">
        <f aca="false">IF(B180="","",IFERROR(VLOOKUP(B180,'Recetas y precios'!$A$5:$B$54,2,FALSE()),""))</f>
        <v/>
      </c>
      <c r="D180" s="20"/>
      <c r="E180" s="6"/>
      <c r="F180" s="29"/>
      <c r="G180" s="14" t="n">
        <f aca="false">E180*F180</f>
        <v>0</v>
      </c>
      <c r="H180" s="14" t="n">
        <f aca="false">IF(B180="",0,E180*IFERROR(VLOOKUP(B180,'Recetas y precios'!$A$5:$T$54,20,FALSE()),0))</f>
        <v>0</v>
      </c>
      <c r="I180" s="26"/>
      <c r="J180" s="14" t="n">
        <f aca="false">G180*I180</f>
        <v>0</v>
      </c>
      <c r="K180" s="14" t="n">
        <f aca="false">G180-H180-J180</f>
        <v>0</v>
      </c>
      <c r="L180" s="30" t="str">
        <f aca="false">IF(G180&gt;0,K180/G180,"")</f>
        <v/>
      </c>
      <c r="M180" s="6"/>
    </row>
    <row r="181" customFormat="false" ht="15" hidden="false" customHeight="false" outlineLevel="0" collapsed="false">
      <c r="A181" s="33"/>
      <c r="B181" s="6"/>
      <c r="C181" s="0" t="str">
        <f aca="false">IF(B181="","",IFERROR(VLOOKUP(B181,'Recetas y precios'!$A$5:$B$54,2,FALSE()),""))</f>
        <v/>
      </c>
      <c r="D181" s="20"/>
      <c r="E181" s="6"/>
      <c r="F181" s="29"/>
      <c r="G181" s="14" t="n">
        <f aca="false">E181*F181</f>
        <v>0</v>
      </c>
      <c r="H181" s="14" t="n">
        <f aca="false">IF(B181="",0,E181*IFERROR(VLOOKUP(B181,'Recetas y precios'!$A$5:$T$54,20,FALSE()),0))</f>
        <v>0</v>
      </c>
      <c r="I181" s="26"/>
      <c r="J181" s="14" t="n">
        <f aca="false">G181*I181</f>
        <v>0</v>
      </c>
      <c r="K181" s="14" t="n">
        <f aca="false">G181-H181-J181</f>
        <v>0</v>
      </c>
      <c r="L181" s="30" t="str">
        <f aca="false">IF(G181&gt;0,K181/G181,"")</f>
        <v/>
      </c>
      <c r="M181" s="6"/>
    </row>
    <row r="182" customFormat="false" ht="15" hidden="false" customHeight="false" outlineLevel="0" collapsed="false">
      <c r="A182" s="33"/>
      <c r="B182" s="6"/>
      <c r="C182" s="0" t="str">
        <f aca="false">IF(B182="","",IFERROR(VLOOKUP(B182,'Recetas y precios'!$A$5:$B$54,2,FALSE()),""))</f>
        <v/>
      </c>
      <c r="D182" s="20"/>
      <c r="E182" s="6"/>
      <c r="F182" s="29"/>
      <c r="G182" s="14" t="n">
        <f aca="false">E182*F182</f>
        <v>0</v>
      </c>
      <c r="H182" s="14" t="n">
        <f aca="false">IF(B182="",0,E182*IFERROR(VLOOKUP(B182,'Recetas y precios'!$A$5:$T$54,20,FALSE()),0))</f>
        <v>0</v>
      </c>
      <c r="I182" s="26"/>
      <c r="J182" s="14" t="n">
        <f aca="false">G182*I182</f>
        <v>0</v>
      </c>
      <c r="K182" s="14" t="n">
        <f aca="false">G182-H182-J182</f>
        <v>0</v>
      </c>
      <c r="L182" s="30" t="str">
        <f aca="false">IF(G182&gt;0,K182/G182,"")</f>
        <v/>
      </c>
      <c r="M182" s="6"/>
    </row>
    <row r="183" customFormat="false" ht="15" hidden="false" customHeight="false" outlineLevel="0" collapsed="false">
      <c r="A183" s="33"/>
      <c r="B183" s="6"/>
      <c r="C183" s="0" t="str">
        <f aca="false">IF(B183="","",IFERROR(VLOOKUP(B183,'Recetas y precios'!$A$5:$B$54,2,FALSE()),""))</f>
        <v/>
      </c>
      <c r="D183" s="20"/>
      <c r="E183" s="6"/>
      <c r="F183" s="29"/>
      <c r="G183" s="14" t="n">
        <f aca="false">E183*F183</f>
        <v>0</v>
      </c>
      <c r="H183" s="14" t="n">
        <f aca="false">IF(B183="",0,E183*IFERROR(VLOOKUP(B183,'Recetas y precios'!$A$5:$T$54,20,FALSE()),0))</f>
        <v>0</v>
      </c>
      <c r="I183" s="26"/>
      <c r="J183" s="14" t="n">
        <f aca="false">G183*I183</f>
        <v>0</v>
      </c>
      <c r="K183" s="14" t="n">
        <f aca="false">G183-H183-J183</f>
        <v>0</v>
      </c>
      <c r="L183" s="30" t="str">
        <f aca="false">IF(G183&gt;0,K183/G183,"")</f>
        <v/>
      </c>
      <c r="M183" s="6"/>
    </row>
    <row r="184" customFormat="false" ht="15" hidden="false" customHeight="false" outlineLevel="0" collapsed="false">
      <c r="A184" s="33"/>
      <c r="B184" s="6"/>
      <c r="C184" s="0" t="str">
        <f aca="false">IF(B184="","",IFERROR(VLOOKUP(B184,'Recetas y precios'!$A$5:$B$54,2,FALSE()),""))</f>
        <v/>
      </c>
      <c r="D184" s="20"/>
      <c r="E184" s="6"/>
      <c r="F184" s="29"/>
      <c r="G184" s="14" t="n">
        <f aca="false">E184*F184</f>
        <v>0</v>
      </c>
      <c r="H184" s="14" t="n">
        <f aca="false">IF(B184="",0,E184*IFERROR(VLOOKUP(B184,'Recetas y precios'!$A$5:$T$54,20,FALSE()),0))</f>
        <v>0</v>
      </c>
      <c r="I184" s="26"/>
      <c r="J184" s="14" t="n">
        <f aca="false">G184*I184</f>
        <v>0</v>
      </c>
      <c r="K184" s="14" t="n">
        <f aca="false">G184-H184-J184</f>
        <v>0</v>
      </c>
      <c r="L184" s="30" t="str">
        <f aca="false">IF(G184&gt;0,K184/G184,"")</f>
        <v/>
      </c>
      <c r="M184" s="6"/>
    </row>
    <row r="185" customFormat="false" ht="15" hidden="false" customHeight="false" outlineLevel="0" collapsed="false">
      <c r="A185" s="33"/>
      <c r="B185" s="6"/>
      <c r="C185" s="0" t="str">
        <f aca="false">IF(B185="","",IFERROR(VLOOKUP(B185,'Recetas y precios'!$A$5:$B$54,2,FALSE()),""))</f>
        <v/>
      </c>
      <c r="D185" s="20"/>
      <c r="E185" s="6"/>
      <c r="F185" s="29"/>
      <c r="G185" s="14" t="n">
        <f aca="false">E185*F185</f>
        <v>0</v>
      </c>
      <c r="H185" s="14" t="n">
        <f aca="false">IF(B185="",0,E185*IFERROR(VLOOKUP(B185,'Recetas y precios'!$A$5:$T$54,20,FALSE()),0))</f>
        <v>0</v>
      </c>
      <c r="I185" s="26"/>
      <c r="J185" s="14" t="n">
        <f aca="false">G185*I185</f>
        <v>0</v>
      </c>
      <c r="K185" s="14" t="n">
        <f aca="false">G185-H185-J185</f>
        <v>0</v>
      </c>
      <c r="L185" s="30" t="str">
        <f aca="false">IF(G185&gt;0,K185/G185,"")</f>
        <v/>
      </c>
      <c r="M185" s="6"/>
    </row>
    <row r="186" customFormat="false" ht="15" hidden="false" customHeight="false" outlineLevel="0" collapsed="false">
      <c r="A186" s="33"/>
      <c r="B186" s="6"/>
      <c r="C186" s="0" t="str">
        <f aca="false">IF(B186="","",IFERROR(VLOOKUP(B186,'Recetas y precios'!$A$5:$B$54,2,FALSE()),""))</f>
        <v/>
      </c>
      <c r="D186" s="20"/>
      <c r="E186" s="6"/>
      <c r="F186" s="29"/>
      <c r="G186" s="14" t="n">
        <f aca="false">E186*F186</f>
        <v>0</v>
      </c>
      <c r="H186" s="14" t="n">
        <f aca="false">IF(B186="",0,E186*IFERROR(VLOOKUP(B186,'Recetas y precios'!$A$5:$T$54,20,FALSE()),0))</f>
        <v>0</v>
      </c>
      <c r="I186" s="26"/>
      <c r="J186" s="14" t="n">
        <f aca="false">G186*I186</f>
        <v>0</v>
      </c>
      <c r="K186" s="14" t="n">
        <f aca="false">G186-H186-J186</f>
        <v>0</v>
      </c>
      <c r="L186" s="30" t="str">
        <f aca="false">IF(G186&gt;0,K186/G186,"")</f>
        <v/>
      </c>
      <c r="M186" s="6"/>
    </row>
    <row r="187" customFormat="false" ht="15" hidden="false" customHeight="false" outlineLevel="0" collapsed="false">
      <c r="A187" s="33"/>
      <c r="B187" s="6"/>
      <c r="C187" s="0" t="str">
        <f aca="false">IF(B187="","",IFERROR(VLOOKUP(B187,'Recetas y precios'!$A$5:$B$54,2,FALSE()),""))</f>
        <v/>
      </c>
      <c r="D187" s="20"/>
      <c r="E187" s="6"/>
      <c r="F187" s="29"/>
      <c r="G187" s="14" t="n">
        <f aca="false">E187*F187</f>
        <v>0</v>
      </c>
      <c r="H187" s="14" t="n">
        <f aca="false">IF(B187="",0,E187*IFERROR(VLOOKUP(B187,'Recetas y precios'!$A$5:$T$54,20,FALSE()),0))</f>
        <v>0</v>
      </c>
      <c r="I187" s="26"/>
      <c r="J187" s="14" t="n">
        <f aca="false">G187*I187</f>
        <v>0</v>
      </c>
      <c r="K187" s="14" t="n">
        <f aca="false">G187-H187-J187</f>
        <v>0</v>
      </c>
      <c r="L187" s="30" t="str">
        <f aca="false">IF(G187&gt;0,K187/G187,"")</f>
        <v/>
      </c>
      <c r="M187" s="6"/>
    </row>
    <row r="188" customFormat="false" ht="15" hidden="false" customHeight="false" outlineLevel="0" collapsed="false">
      <c r="A188" s="33"/>
      <c r="B188" s="6"/>
      <c r="C188" s="0" t="str">
        <f aca="false">IF(B188="","",IFERROR(VLOOKUP(B188,'Recetas y precios'!$A$5:$B$54,2,FALSE()),""))</f>
        <v/>
      </c>
      <c r="D188" s="20"/>
      <c r="E188" s="6"/>
      <c r="F188" s="29"/>
      <c r="G188" s="14" t="n">
        <f aca="false">E188*F188</f>
        <v>0</v>
      </c>
      <c r="H188" s="14" t="n">
        <f aca="false">IF(B188="",0,E188*IFERROR(VLOOKUP(B188,'Recetas y precios'!$A$5:$T$54,20,FALSE()),0))</f>
        <v>0</v>
      </c>
      <c r="I188" s="26"/>
      <c r="J188" s="14" t="n">
        <f aca="false">G188*I188</f>
        <v>0</v>
      </c>
      <c r="K188" s="14" t="n">
        <f aca="false">G188-H188-J188</f>
        <v>0</v>
      </c>
      <c r="L188" s="30" t="str">
        <f aca="false">IF(G188&gt;0,K188/G188,"")</f>
        <v/>
      </c>
      <c r="M188" s="6"/>
    </row>
    <row r="189" customFormat="false" ht="15" hidden="false" customHeight="false" outlineLevel="0" collapsed="false">
      <c r="A189" s="33"/>
      <c r="B189" s="6"/>
      <c r="C189" s="0" t="str">
        <f aca="false">IF(B189="","",IFERROR(VLOOKUP(B189,'Recetas y precios'!$A$5:$B$54,2,FALSE()),""))</f>
        <v/>
      </c>
      <c r="D189" s="20"/>
      <c r="E189" s="6"/>
      <c r="F189" s="29"/>
      <c r="G189" s="14" t="n">
        <f aca="false">E189*F189</f>
        <v>0</v>
      </c>
      <c r="H189" s="14" t="n">
        <f aca="false">IF(B189="",0,E189*IFERROR(VLOOKUP(B189,'Recetas y precios'!$A$5:$T$54,20,FALSE()),0))</f>
        <v>0</v>
      </c>
      <c r="I189" s="26"/>
      <c r="J189" s="14" t="n">
        <f aca="false">G189*I189</f>
        <v>0</v>
      </c>
      <c r="K189" s="14" t="n">
        <f aca="false">G189-H189-J189</f>
        <v>0</v>
      </c>
      <c r="L189" s="30" t="str">
        <f aca="false">IF(G189&gt;0,K189/G189,"")</f>
        <v/>
      </c>
      <c r="M189" s="6"/>
    </row>
    <row r="190" customFormat="false" ht="15" hidden="false" customHeight="false" outlineLevel="0" collapsed="false">
      <c r="A190" s="33"/>
      <c r="B190" s="6"/>
      <c r="C190" s="0" t="str">
        <f aca="false">IF(B190="","",IFERROR(VLOOKUP(B190,'Recetas y precios'!$A$5:$B$54,2,FALSE()),""))</f>
        <v/>
      </c>
      <c r="D190" s="20"/>
      <c r="E190" s="6"/>
      <c r="F190" s="29"/>
      <c r="G190" s="14" t="n">
        <f aca="false">E190*F190</f>
        <v>0</v>
      </c>
      <c r="H190" s="14" t="n">
        <f aca="false">IF(B190="",0,E190*IFERROR(VLOOKUP(B190,'Recetas y precios'!$A$5:$T$54,20,FALSE()),0))</f>
        <v>0</v>
      </c>
      <c r="I190" s="26"/>
      <c r="J190" s="14" t="n">
        <f aca="false">G190*I190</f>
        <v>0</v>
      </c>
      <c r="K190" s="14" t="n">
        <f aca="false">G190-H190-J190</f>
        <v>0</v>
      </c>
      <c r="L190" s="30" t="str">
        <f aca="false">IF(G190&gt;0,K190/G190,"")</f>
        <v/>
      </c>
      <c r="M190" s="6"/>
    </row>
    <row r="191" customFormat="false" ht="15" hidden="false" customHeight="false" outlineLevel="0" collapsed="false">
      <c r="A191" s="33"/>
      <c r="B191" s="6"/>
      <c r="C191" s="0" t="str">
        <f aca="false">IF(B191="","",IFERROR(VLOOKUP(B191,'Recetas y precios'!$A$5:$B$54,2,FALSE()),""))</f>
        <v/>
      </c>
      <c r="D191" s="20"/>
      <c r="E191" s="6"/>
      <c r="F191" s="29"/>
      <c r="G191" s="14" t="n">
        <f aca="false">E191*F191</f>
        <v>0</v>
      </c>
      <c r="H191" s="14" t="n">
        <f aca="false">IF(B191="",0,E191*IFERROR(VLOOKUP(B191,'Recetas y precios'!$A$5:$T$54,20,FALSE()),0))</f>
        <v>0</v>
      </c>
      <c r="I191" s="26"/>
      <c r="J191" s="14" t="n">
        <f aca="false">G191*I191</f>
        <v>0</v>
      </c>
      <c r="K191" s="14" t="n">
        <f aca="false">G191-H191-J191</f>
        <v>0</v>
      </c>
      <c r="L191" s="30" t="str">
        <f aca="false">IF(G191&gt;0,K191/G191,"")</f>
        <v/>
      </c>
      <c r="M191" s="6"/>
    </row>
    <row r="192" customFormat="false" ht="15" hidden="false" customHeight="false" outlineLevel="0" collapsed="false">
      <c r="A192" s="33"/>
      <c r="B192" s="6"/>
      <c r="C192" s="0" t="str">
        <f aca="false">IF(B192="","",IFERROR(VLOOKUP(B192,'Recetas y precios'!$A$5:$B$54,2,FALSE()),""))</f>
        <v/>
      </c>
      <c r="D192" s="20"/>
      <c r="E192" s="6"/>
      <c r="F192" s="29"/>
      <c r="G192" s="14" t="n">
        <f aca="false">E192*F192</f>
        <v>0</v>
      </c>
      <c r="H192" s="14" t="n">
        <f aca="false">IF(B192="",0,E192*IFERROR(VLOOKUP(B192,'Recetas y precios'!$A$5:$T$54,20,FALSE()),0))</f>
        <v>0</v>
      </c>
      <c r="I192" s="26"/>
      <c r="J192" s="14" t="n">
        <f aca="false">G192*I192</f>
        <v>0</v>
      </c>
      <c r="K192" s="14" t="n">
        <f aca="false">G192-H192-J192</f>
        <v>0</v>
      </c>
      <c r="L192" s="30" t="str">
        <f aca="false">IF(G192&gt;0,K192/G192,"")</f>
        <v/>
      </c>
      <c r="M192" s="6"/>
    </row>
    <row r="193" customFormat="false" ht="15" hidden="false" customHeight="false" outlineLevel="0" collapsed="false">
      <c r="A193" s="33"/>
      <c r="B193" s="6"/>
      <c r="C193" s="0" t="str">
        <f aca="false">IF(B193="","",IFERROR(VLOOKUP(B193,'Recetas y precios'!$A$5:$B$54,2,FALSE()),""))</f>
        <v/>
      </c>
      <c r="D193" s="20"/>
      <c r="E193" s="6"/>
      <c r="F193" s="29"/>
      <c r="G193" s="14" t="n">
        <f aca="false">E193*F193</f>
        <v>0</v>
      </c>
      <c r="H193" s="14" t="n">
        <f aca="false">IF(B193="",0,E193*IFERROR(VLOOKUP(B193,'Recetas y precios'!$A$5:$T$54,20,FALSE()),0))</f>
        <v>0</v>
      </c>
      <c r="I193" s="26"/>
      <c r="J193" s="14" t="n">
        <f aca="false">G193*I193</f>
        <v>0</v>
      </c>
      <c r="K193" s="14" t="n">
        <f aca="false">G193-H193-J193</f>
        <v>0</v>
      </c>
      <c r="L193" s="30" t="str">
        <f aca="false">IF(G193&gt;0,K193/G193,"")</f>
        <v/>
      </c>
      <c r="M193" s="6"/>
    </row>
    <row r="194" customFormat="false" ht="15" hidden="false" customHeight="false" outlineLevel="0" collapsed="false">
      <c r="A194" s="33"/>
      <c r="B194" s="6"/>
      <c r="C194" s="0" t="str">
        <f aca="false">IF(B194="","",IFERROR(VLOOKUP(B194,'Recetas y precios'!$A$5:$B$54,2,FALSE()),""))</f>
        <v/>
      </c>
      <c r="D194" s="20"/>
      <c r="E194" s="6"/>
      <c r="F194" s="29"/>
      <c r="G194" s="14" t="n">
        <f aca="false">E194*F194</f>
        <v>0</v>
      </c>
      <c r="H194" s="14" t="n">
        <f aca="false">IF(B194="",0,E194*IFERROR(VLOOKUP(B194,'Recetas y precios'!$A$5:$T$54,20,FALSE()),0))</f>
        <v>0</v>
      </c>
      <c r="I194" s="26"/>
      <c r="J194" s="14" t="n">
        <f aca="false">G194*I194</f>
        <v>0</v>
      </c>
      <c r="K194" s="14" t="n">
        <f aca="false">G194-H194-J194</f>
        <v>0</v>
      </c>
      <c r="L194" s="30" t="str">
        <f aca="false">IF(G194&gt;0,K194/G194,"")</f>
        <v/>
      </c>
      <c r="M194" s="6"/>
    </row>
    <row r="195" customFormat="false" ht="15" hidden="false" customHeight="false" outlineLevel="0" collapsed="false">
      <c r="A195" s="33"/>
      <c r="B195" s="6"/>
      <c r="C195" s="0" t="str">
        <f aca="false">IF(B195="","",IFERROR(VLOOKUP(B195,'Recetas y precios'!$A$5:$B$54,2,FALSE()),""))</f>
        <v/>
      </c>
      <c r="D195" s="20"/>
      <c r="E195" s="6"/>
      <c r="F195" s="29"/>
      <c r="G195" s="14" t="n">
        <f aca="false">E195*F195</f>
        <v>0</v>
      </c>
      <c r="H195" s="14" t="n">
        <f aca="false">IF(B195="",0,E195*IFERROR(VLOOKUP(B195,'Recetas y precios'!$A$5:$T$54,20,FALSE()),0))</f>
        <v>0</v>
      </c>
      <c r="I195" s="26"/>
      <c r="J195" s="14" t="n">
        <f aca="false">G195*I195</f>
        <v>0</v>
      </c>
      <c r="K195" s="14" t="n">
        <f aca="false">G195-H195-J195</f>
        <v>0</v>
      </c>
      <c r="L195" s="30" t="str">
        <f aca="false">IF(G195&gt;0,K195/G195,"")</f>
        <v/>
      </c>
      <c r="M195" s="6"/>
    </row>
    <row r="196" customFormat="false" ht="15" hidden="false" customHeight="false" outlineLevel="0" collapsed="false">
      <c r="A196" s="33"/>
      <c r="B196" s="6"/>
      <c r="C196" s="0" t="str">
        <f aca="false">IF(B196="","",IFERROR(VLOOKUP(B196,'Recetas y precios'!$A$5:$B$54,2,FALSE()),""))</f>
        <v/>
      </c>
      <c r="D196" s="20"/>
      <c r="E196" s="6"/>
      <c r="F196" s="29"/>
      <c r="G196" s="14" t="n">
        <f aca="false">E196*F196</f>
        <v>0</v>
      </c>
      <c r="H196" s="14" t="n">
        <f aca="false">IF(B196="",0,E196*IFERROR(VLOOKUP(B196,'Recetas y precios'!$A$5:$T$54,20,FALSE()),0))</f>
        <v>0</v>
      </c>
      <c r="I196" s="26"/>
      <c r="J196" s="14" t="n">
        <f aca="false">G196*I196</f>
        <v>0</v>
      </c>
      <c r="K196" s="14" t="n">
        <f aca="false">G196-H196-J196</f>
        <v>0</v>
      </c>
      <c r="L196" s="30" t="str">
        <f aca="false">IF(G196&gt;0,K196/G196,"")</f>
        <v/>
      </c>
      <c r="M196" s="6"/>
    </row>
    <row r="197" customFormat="false" ht="15" hidden="false" customHeight="false" outlineLevel="0" collapsed="false">
      <c r="A197" s="33"/>
      <c r="B197" s="6"/>
      <c r="C197" s="0" t="str">
        <f aca="false">IF(B197="","",IFERROR(VLOOKUP(B197,'Recetas y precios'!$A$5:$B$54,2,FALSE()),""))</f>
        <v/>
      </c>
      <c r="D197" s="20"/>
      <c r="E197" s="6"/>
      <c r="F197" s="29"/>
      <c r="G197" s="14" t="n">
        <f aca="false">E197*F197</f>
        <v>0</v>
      </c>
      <c r="H197" s="14" t="n">
        <f aca="false">IF(B197="",0,E197*IFERROR(VLOOKUP(B197,'Recetas y precios'!$A$5:$T$54,20,FALSE()),0))</f>
        <v>0</v>
      </c>
      <c r="I197" s="26"/>
      <c r="J197" s="14" t="n">
        <f aca="false">G197*I197</f>
        <v>0</v>
      </c>
      <c r="K197" s="14" t="n">
        <f aca="false">G197-H197-J197</f>
        <v>0</v>
      </c>
      <c r="L197" s="30" t="str">
        <f aca="false">IF(G197&gt;0,K197/G197,"")</f>
        <v/>
      </c>
      <c r="M197" s="6"/>
    </row>
    <row r="198" customFormat="false" ht="15" hidden="false" customHeight="false" outlineLevel="0" collapsed="false">
      <c r="A198" s="33"/>
      <c r="B198" s="6"/>
      <c r="C198" s="0" t="str">
        <f aca="false">IF(B198="","",IFERROR(VLOOKUP(B198,'Recetas y precios'!$A$5:$B$54,2,FALSE()),""))</f>
        <v/>
      </c>
      <c r="D198" s="20"/>
      <c r="E198" s="6"/>
      <c r="F198" s="29"/>
      <c r="G198" s="14" t="n">
        <f aca="false">E198*F198</f>
        <v>0</v>
      </c>
      <c r="H198" s="14" t="n">
        <f aca="false">IF(B198="",0,E198*IFERROR(VLOOKUP(B198,'Recetas y precios'!$A$5:$T$54,20,FALSE()),0))</f>
        <v>0</v>
      </c>
      <c r="I198" s="26"/>
      <c r="J198" s="14" t="n">
        <f aca="false">G198*I198</f>
        <v>0</v>
      </c>
      <c r="K198" s="14" t="n">
        <f aca="false">G198-H198-J198</f>
        <v>0</v>
      </c>
      <c r="L198" s="30" t="str">
        <f aca="false">IF(G198&gt;0,K198/G198,"")</f>
        <v/>
      </c>
      <c r="M198" s="6"/>
    </row>
    <row r="199" customFormat="false" ht="15" hidden="false" customHeight="false" outlineLevel="0" collapsed="false">
      <c r="A199" s="33"/>
      <c r="B199" s="6"/>
      <c r="C199" s="0" t="str">
        <f aca="false">IF(B199="","",IFERROR(VLOOKUP(B199,'Recetas y precios'!$A$5:$B$54,2,FALSE()),""))</f>
        <v/>
      </c>
      <c r="D199" s="20"/>
      <c r="E199" s="6"/>
      <c r="F199" s="29"/>
      <c r="G199" s="14" t="n">
        <f aca="false">E199*F199</f>
        <v>0</v>
      </c>
      <c r="H199" s="14" t="n">
        <f aca="false">IF(B199="",0,E199*IFERROR(VLOOKUP(B199,'Recetas y precios'!$A$5:$T$54,20,FALSE()),0))</f>
        <v>0</v>
      </c>
      <c r="I199" s="26"/>
      <c r="J199" s="14" t="n">
        <f aca="false">G199*I199</f>
        <v>0</v>
      </c>
      <c r="K199" s="14" t="n">
        <f aca="false">G199-H199-J199</f>
        <v>0</v>
      </c>
      <c r="L199" s="30" t="str">
        <f aca="false">IF(G199&gt;0,K199/G199,"")</f>
        <v/>
      </c>
      <c r="M199" s="6"/>
    </row>
    <row r="200" customFormat="false" ht="15" hidden="false" customHeight="false" outlineLevel="0" collapsed="false">
      <c r="A200" s="33"/>
      <c r="B200" s="6"/>
      <c r="C200" s="0" t="str">
        <f aca="false">IF(B200="","",IFERROR(VLOOKUP(B200,'Recetas y precios'!$A$5:$B$54,2,FALSE()),""))</f>
        <v/>
      </c>
      <c r="D200" s="20"/>
      <c r="E200" s="6"/>
      <c r="F200" s="29"/>
      <c r="G200" s="14" t="n">
        <f aca="false">E200*F200</f>
        <v>0</v>
      </c>
      <c r="H200" s="14" t="n">
        <f aca="false">IF(B200="",0,E200*IFERROR(VLOOKUP(B200,'Recetas y precios'!$A$5:$T$54,20,FALSE()),0))</f>
        <v>0</v>
      </c>
      <c r="I200" s="26"/>
      <c r="J200" s="14" t="n">
        <f aca="false">G200*I200</f>
        <v>0</v>
      </c>
      <c r="K200" s="14" t="n">
        <f aca="false">G200-H200-J200</f>
        <v>0</v>
      </c>
      <c r="L200" s="30" t="str">
        <f aca="false">IF(G200&gt;0,K200/G200,"")</f>
        <v/>
      </c>
      <c r="M200" s="6"/>
    </row>
    <row r="201" customFormat="false" ht="15" hidden="false" customHeight="false" outlineLevel="0" collapsed="false">
      <c r="A201" s="33"/>
      <c r="B201" s="6"/>
      <c r="C201" s="0" t="str">
        <f aca="false">IF(B201="","",IFERROR(VLOOKUP(B201,'Recetas y precios'!$A$5:$B$54,2,FALSE()),""))</f>
        <v/>
      </c>
      <c r="D201" s="20"/>
      <c r="E201" s="6"/>
      <c r="F201" s="29"/>
      <c r="G201" s="14" t="n">
        <f aca="false">E201*F201</f>
        <v>0</v>
      </c>
      <c r="H201" s="14" t="n">
        <f aca="false">IF(B201="",0,E201*IFERROR(VLOOKUP(B201,'Recetas y precios'!$A$5:$T$54,20,FALSE()),0))</f>
        <v>0</v>
      </c>
      <c r="I201" s="26"/>
      <c r="J201" s="14" t="n">
        <f aca="false">G201*I201</f>
        <v>0</v>
      </c>
      <c r="K201" s="14" t="n">
        <f aca="false">G201-H201-J201</f>
        <v>0</v>
      </c>
      <c r="L201" s="30" t="str">
        <f aca="false">IF(G201&gt;0,K201/G201,"")</f>
        <v/>
      </c>
      <c r="M201" s="6"/>
    </row>
    <row r="202" customFormat="false" ht="15" hidden="false" customHeight="false" outlineLevel="0" collapsed="false">
      <c r="A202" s="33"/>
      <c r="B202" s="6"/>
      <c r="C202" s="0" t="str">
        <f aca="false">IF(B202="","",IFERROR(VLOOKUP(B202,'Recetas y precios'!$A$5:$B$54,2,FALSE()),""))</f>
        <v/>
      </c>
      <c r="D202" s="20"/>
      <c r="E202" s="6"/>
      <c r="F202" s="29"/>
      <c r="G202" s="14" t="n">
        <f aca="false">E202*F202</f>
        <v>0</v>
      </c>
      <c r="H202" s="14" t="n">
        <f aca="false">IF(B202="",0,E202*IFERROR(VLOOKUP(B202,'Recetas y precios'!$A$5:$T$54,20,FALSE()),0))</f>
        <v>0</v>
      </c>
      <c r="I202" s="26"/>
      <c r="J202" s="14" t="n">
        <f aca="false">G202*I202</f>
        <v>0</v>
      </c>
      <c r="K202" s="14" t="n">
        <f aca="false">G202-H202-J202</f>
        <v>0</v>
      </c>
      <c r="L202" s="30" t="str">
        <f aca="false">IF(G202&gt;0,K202/G202,"")</f>
        <v/>
      </c>
      <c r="M202" s="6"/>
    </row>
    <row r="203" customFormat="false" ht="15" hidden="false" customHeight="false" outlineLevel="0" collapsed="false">
      <c r="A203" s="33"/>
      <c r="B203" s="6"/>
      <c r="C203" s="0" t="str">
        <f aca="false">IF(B203="","",IFERROR(VLOOKUP(B203,'Recetas y precios'!$A$5:$B$54,2,FALSE()),""))</f>
        <v/>
      </c>
      <c r="D203" s="20"/>
      <c r="E203" s="6"/>
      <c r="F203" s="29"/>
      <c r="G203" s="14" t="n">
        <f aca="false">E203*F203</f>
        <v>0</v>
      </c>
      <c r="H203" s="14" t="n">
        <f aca="false">IF(B203="",0,E203*IFERROR(VLOOKUP(B203,'Recetas y precios'!$A$5:$T$54,20,FALSE()),0))</f>
        <v>0</v>
      </c>
      <c r="I203" s="26"/>
      <c r="J203" s="14" t="n">
        <f aca="false">G203*I203</f>
        <v>0</v>
      </c>
      <c r="K203" s="14" t="n">
        <f aca="false">G203-H203-J203</f>
        <v>0</v>
      </c>
      <c r="L203" s="30" t="str">
        <f aca="false">IF(G203&gt;0,K203/G203,"")</f>
        <v/>
      </c>
      <c r="M203" s="6"/>
    </row>
    <row r="204" customFormat="false" ht="15" hidden="false" customHeight="false" outlineLevel="0" collapsed="false">
      <c r="A204" s="33"/>
      <c r="B204" s="6"/>
      <c r="C204" s="0" t="str">
        <f aca="false">IF(B204="","",IFERROR(VLOOKUP(B204,'Recetas y precios'!$A$5:$B$54,2,FALSE()),""))</f>
        <v/>
      </c>
      <c r="D204" s="20"/>
      <c r="E204" s="6"/>
      <c r="F204" s="29"/>
      <c r="G204" s="14" t="n">
        <f aca="false">E204*F204</f>
        <v>0</v>
      </c>
      <c r="H204" s="14" t="n">
        <f aca="false">IF(B204="",0,E204*IFERROR(VLOOKUP(B204,'Recetas y precios'!$A$5:$T$54,20,FALSE()),0))</f>
        <v>0</v>
      </c>
      <c r="I204" s="26"/>
      <c r="J204" s="14" t="n">
        <f aca="false">G204*I204</f>
        <v>0</v>
      </c>
      <c r="K204" s="14" t="n">
        <f aca="false">G204-H204-J204</f>
        <v>0</v>
      </c>
      <c r="L204" s="30" t="str">
        <f aca="false">IF(G204&gt;0,K204/G204,"")</f>
        <v/>
      </c>
      <c r="M204" s="6"/>
    </row>
    <row r="205" customFormat="false" ht="15" hidden="false" customHeight="false" outlineLevel="0" collapsed="false">
      <c r="A205" s="33"/>
      <c r="B205" s="6"/>
      <c r="C205" s="0" t="str">
        <f aca="false">IF(B205="","",IFERROR(VLOOKUP(B205,'Recetas y precios'!$A$5:$B$54,2,FALSE()),""))</f>
        <v/>
      </c>
      <c r="D205" s="20"/>
      <c r="E205" s="6"/>
      <c r="F205" s="29"/>
      <c r="G205" s="14" t="n">
        <f aca="false">E205*F205</f>
        <v>0</v>
      </c>
      <c r="H205" s="14" t="n">
        <f aca="false">IF(B205="",0,E205*IFERROR(VLOOKUP(B205,'Recetas y precios'!$A$5:$T$54,20,FALSE()),0))</f>
        <v>0</v>
      </c>
      <c r="I205" s="26"/>
      <c r="J205" s="14" t="n">
        <f aca="false">G205*I205</f>
        <v>0</v>
      </c>
      <c r="K205" s="14" t="n">
        <f aca="false">G205-H205-J205</f>
        <v>0</v>
      </c>
      <c r="L205" s="30" t="str">
        <f aca="false">IF(G205&gt;0,K205/G205,"")</f>
        <v/>
      </c>
      <c r="M205" s="6"/>
    </row>
    <row r="206" customFormat="false" ht="15" hidden="false" customHeight="false" outlineLevel="0" collapsed="false">
      <c r="A206" s="33"/>
      <c r="B206" s="6"/>
      <c r="C206" s="0" t="str">
        <f aca="false">IF(B206="","",IFERROR(VLOOKUP(B206,'Recetas y precios'!$A$5:$B$54,2,FALSE()),""))</f>
        <v/>
      </c>
      <c r="D206" s="20"/>
      <c r="E206" s="6"/>
      <c r="F206" s="29"/>
      <c r="G206" s="14" t="n">
        <f aca="false">E206*F206</f>
        <v>0</v>
      </c>
      <c r="H206" s="14" t="n">
        <f aca="false">IF(B206="",0,E206*IFERROR(VLOOKUP(B206,'Recetas y precios'!$A$5:$T$54,20,FALSE()),0))</f>
        <v>0</v>
      </c>
      <c r="I206" s="26"/>
      <c r="J206" s="14" t="n">
        <f aca="false">G206*I206</f>
        <v>0</v>
      </c>
      <c r="K206" s="14" t="n">
        <f aca="false">G206-H206-J206</f>
        <v>0</v>
      </c>
      <c r="L206" s="30" t="str">
        <f aca="false">IF(G206&gt;0,K206/G206,"")</f>
        <v/>
      </c>
      <c r="M206" s="6"/>
    </row>
    <row r="207" customFormat="false" ht="15" hidden="false" customHeight="false" outlineLevel="0" collapsed="false">
      <c r="A207" s="33"/>
      <c r="B207" s="6"/>
      <c r="C207" s="0" t="str">
        <f aca="false">IF(B207="","",IFERROR(VLOOKUP(B207,'Recetas y precios'!$A$5:$B$54,2,FALSE()),""))</f>
        <v/>
      </c>
      <c r="D207" s="20"/>
      <c r="E207" s="6"/>
      <c r="F207" s="29"/>
      <c r="G207" s="14" t="n">
        <f aca="false">E207*F207</f>
        <v>0</v>
      </c>
      <c r="H207" s="14" t="n">
        <f aca="false">IF(B207="",0,E207*IFERROR(VLOOKUP(B207,'Recetas y precios'!$A$5:$T$54,20,FALSE()),0))</f>
        <v>0</v>
      </c>
      <c r="I207" s="26"/>
      <c r="J207" s="14" t="n">
        <f aca="false">G207*I207</f>
        <v>0</v>
      </c>
      <c r="K207" s="14" t="n">
        <f aca="false">G207-H207-J207</f>
        <v>0</v>
      </c>
      <c r="L207" s="30" t="str">
        <f aca="false">IF(G207&gt;0,K207/G207,"")</f>
        <v/>
      </c>
      <c r="M207" s="6"/>
    </row>
    <row r="208" customFormat="false" ht="15" hidden="false" customHeight="false" outlineLevel="0" collapsed="false">
      <c r="A208" s="33"/>
      <c r="B208" s="6"/>
      <c r="C208" s="0" t="str">
        <f aca="false">IF(B208="","",IFERROR(VLOOKUP(B208,'Recetas y precios'!$A$5:$B$54,2,FALSE()),""))</f>
        <v/>
      </c>
      <c r="D208" s="20"/>
      <c r="E208" s="6"/>
      <c r="F208" s="29"/>
      <c r="G208" s="14" t="n">
        <f aca="false">E208*F208</f>
        <v>0</v>
      </c>
      <c r="H208" s="14" t="n">
        <f aca="false">IF(B208="",0,E208*IFERROR(VLOOKUP(B208,'Recetas y precios'!$A$5:$T$54,20,FALSE()),0))</f>
        <v>0</v>
      </c>
      <c r="I208" s="26"/>
      <c r="J208" s="14" t="n">
        <f aca="false">G208*I208</f>
        <v>0</v>
      </c>
      <c r="K208" s="14" t="n">
        <f aca="false">G208-H208-J208</f>
        <v>0</v>
      </c>
      <c r="L208" s="30" t="str">
        <f aca="false">IF(G208&gt;0,K208/G208,"")</f>
        <v/>
      </c>
      <c r="M208" s="6"/>
    </row>
    <row r="209" customFormat="false" ht="15" hidden="false" customHeight="false" outlineLevel="0" collapsed="false">
      <c r="A209" s="33"/>
      <c r="B209" s="6"/>
      <c r="C209" s="0" t="str">
        <f aca="false">IF(B209="","",IFERROR(VLOOKUP(B209,'Recetas y precios'!$A$5:$B$54,2,FALSE()),""))</f>
        <v/>
      </c>
      <c r="D209" s="20"/>
      <c r="E209" s="6"/>
      <c r="F209" s="29"/>
      <c r="G209" s="14" t="n">
        <f aca="false">E209*F209</f>
        <v>0</v>
      </c>
      <c r="H209" s="14" t="n">
        <f aca="false">IF(B209="",0,E209*IFERROR(VLOOKUP(B209,'Recetas y precios'!$A$5:$T$54,20,FALSE()),0))</f>
        <v>0</v>
      </c>
      <c r="I209" s="26"/>
      <c r="J209" s="14" t="n">
        <f aca="false">G209*I209</f>
        <v>0</v>
      </c>
      <c r="K209" s="14" t="n">
        <f aca="false">G209-H209-J209</f>
        <v>0</v>
      </c>
      <c r="L209" s="30" t="str">
        <f aca="false">IF(G209&gt;0,K209/G209,"")</f>
        <v/>
      </c>
      <c r="M209" s="6"/>
    </row>
    <row r="210" customFormat="false" ht="15" hidden="false" customHeight="false" outlineLevel="0" collapsed="false">
      <c r="A210" s="33"/>
      <c r="B210" s="6"/>
      <c r="C210" s="0" t="str">
        <f aca="false">IF(B210="","",IFERROR(VLOOKUP(B210,'Recetas y precios'!$A$5:$B$54,2,FALSE()),""))</f>
        <v/>
      </c>
      <c r="D210" s="20"/>
      <c r="E210" s="6"/>
      <c r="F210" s="29"/>
      <c r="G210" s="14" t="n">
        <f aca="false">E210*F210</f>
        <v>0</v>
      </c>
      <c r="H210" s="14" t="n">
        <f aca="false">IF(B210="",0,E210*IFERROR(VLOOKUP(B210,'Recetas y precios'!$A$5:$T$54,20,FALSE()),0))</f>
        <v>0</v>
      </c>
      <c r="I210" s="26"/>
      <c r="J210" s="14" t="n">
        <f aca="false">G210*I210</f>
        <v>0</v>
      </c>
      <c r="K210" s="14" t="n">
        <f aca="false">G210-H210-J210</f>
        <v>0</v>
      </c>
      <c r="L210" s="30" t="str">
        <f aca="false">IF(G210&gt;0,K210/G210,"")</f>
        <v/>
      </c>
      <c r="M210" s="6"/>
    </row>
    <row r="211" customFormat="false" ht="15" hidden="false" customHeight="false" outlineLevel="0" collapsed="false">
      <c r="A211" s="33"/>
      <c r="B211" s="6"/>
      <c r="C211" s="0" t="str">
        <f aca="false">IF(B211="","",IFERROR(VLOOKUP(B211,'Recetas y precios'!$A$5:$B$54,2,FALSE()),""))</f>
        <v/>
      </c>
      <c r="D211" s="20"/>
      <c r="E211" s="6"/>
      <c r="F211" s="29"/>
      <c r="G211" s="14" t="n">
        <f aca="false">E211*F211</f>
        <v>0</v>
      </c>
      <c r="H211" s="14" t="n">
        <f aca="false">IF(B211="",0,E211*IFERROR(VLOOKUP(B211,'Recetas y precios'!$A$5:$T$54,20,FALSE()),0))</f>
        <v>0</v>
      </c>
      <c r="I211" s="26"/>
      <c r="J211" s="14" t="n">
        <f aca="false">G211*I211</f>
        <v>0</v>
      </c>
      <c r="K211" s="14" t="n">
        <f aca="false">G211-H211-J211</f>
        <v>0</v>
      </c>
      <c r="L211" s="30" t="str">
        <f aca="false">IF(G211&gt;0,K211/G211,"")</f>
        <v/>
      </c>
      <c r="M211" s="6"/>
    </row>
    <row r="212" customFormat="false" ht="15" hidden="false" customHeight="false" outlineLevel="0" collapsed="false">
      <c r="A212" s="33"/>
      <c r="B212" s="6"/>
      <c r="C212" s="0" t="str">
        <f aca="false">IF(B212="","",IFERROR(VLOOKUP(B212,'Recetas y precios'!$A$5:$B$54,2,FALSE()),""))</f>
        <v/>
      </c>
      <c r="D212" s="20"/>
      <c r="E212" s="6"/>
      <c r="F212" s="29"/>
      <c r="G212" s="14" t="n">
        <f aca="false">E212*F212</f>
        <v>0</v>
      </c>
      <c r="H212" s="14" t="n">
        <f aca="false">IF(B212="",0,E212*IFERROR(VLOOKUP(B212,'Recetas y precios'!$A$5:$T$54,20,FALSE()),0))</f>
        <v>0</v>
      </c>
      <c r="I212" s="26"/>
      <c r="J212" s="14" t="n">
        <f aca="false">G212*I212</f>
        <v>0</v>
      </c>
      <c r="K212" s="14" t="n">
        <f aca="false">G212-H212-J212</f>
        <v>0</v>
      </c>
      <c r="L212" s="30" t="str">
        <f aca="false">IF(G212&gt;0,K212/G212,"")</f>
        <v/>
      </c>
      <c r="M212" s="6"/>
    </row>
    <row r="213" customFormat="false" ht="15" hidden="false" customHeight="false" outlineLevel="0" collapsed="false">
      <c r="A213" s="33"/>
      <c r="B213" s="6"/>
      <c r="C213" s="0" t="str">
        <f aca="false">IF(B213="","",IFERROR(VLOOKUP(B213,'Recetas y precios'!$A$5:$B$54,2,FALSE()),""))</f>
        <v/>
      </c>
      <c r="D213" s="20"/>
      <c r="E213" s="6"/>
      <c r="F213" s="29"/>
      <c r="G213" s="14" t="n">
        <f aca="false">E213*F213</f>
        <v>0</v>
      </c>
      <c r="H213" s="14" t="n">
        <f aca="false">IF(B213="",0,E213*IFERROR(VLOOKUP(B213,'Recetas y precios'!$A$5:$T$54,20,FALSE()),0))</f>
        <v>0</v>
      </c>
      <c r="I213" s="26"/>
      <c r="J213" s="14" t="n">
        <f aca="false">G213*I213</f>
        <v>0</v>
      </c>
      <c r="K213" s="14" t="n">
        <f aca="false">G213-H213-J213</f>
        <v>0</v>
      </c>
      <c r="L213" s="30" t="str">
        <f aca="false">IF(G213&gt;0,K213/G213,"")</f>
        <v/>
      </c>
      <c r="M213" s="6"/>
    </row>
    <row r="214" customFormat="false" ht="15" hidden="false" customHeight="false" outlineLevel="0" collapsed="false">
      <c r="A214" s="33"/>
      <c r="B214" s="6"/>
      <c r="C214" s="0" t="str">
        <f aca="false">IF(B214="","",IFERROR(VLOOKUP(B214,'Recetas y precios'!$A$5:$B$54,2,FALSE()),""))</f>
        <v/>
      </c>
      <c r="D214" s="20"/>
      <c r="E214" s="6"/>
      <c r="F214" s="29"/>
      <c r="G214" s="14" t="n">
        <f aca="false">E214*F214</f>
        <v>0</v>
      </c>
      <c r="H214" s="14" t="n">
        <f aca="false">IF(B214="",0,E214*IFERROR(VLOOKUP(B214,'Recetas y precios'!$A$5:$T$54,20,FALSE()),0))</f>
        <v>0</v>
      </c>
      <c r="I214" s="26"/>
      <c r="J214" s="14" t="n">
        <f aca="false">G214*I214</f>
        <v>0</v>
      </c>
      <c r="K214" s="14" t="n">
        <f aca="false">G214-H214-J214</f>
        <v>0</v>
      </c>
      <c r="L214" s="30" t="str">
        <f aca="false">IF(G214&gt;0,K214/G214,"")</f>
        <v/>
      </c>
      <c r="M214" s="6"/>
    </row>
    <row r="215" customFormat="false" ht="15" hidden="false" customHeight="false" outlineLevel="0" collapsed="false">
      <c r="A215" s="33"/>
      <c r="B215" s="6"/>
      <c r="C215" s="0" t="str">
        <f aca="false">IF(B215="","",IFERROR(VLOOKUP(B215,'Recetas y precios'!$A$5:$B$54,2,FALSE()),""))</f>
        <v/>
      </c>
      <c r="D215" s="20"/>
      <c r="E215" s="6"/>
      <c r="F215" s="29"/>
      <c r="G215" s="14" t="n">
        <f aca="false">E215*F215</f>
        <v>0</v>
      </c>
      <c r="H215" s="14" t="n">
        <f aca="false">IF(B215="",0,E215*IFERROR(VLOOKUP(B215,'Recetas y precios'!$A$5:$T$54,20,FALSE()),0))</f>
        <v>0</v>
      </c>
      <c r="I215" s="26"/>
      <c r="J215" s="14" t="n">
        <f aca="false">G215*I215</f>
        <v>0</v>
      </c>
      <c r="K215" s="14" t="n">
        <f aca="false">G215-H215-J215</f>
        <v>0</v>
      </c>
      <c r="L215" s="30" t="str">
        <f aca="false">IF(G215&gt;0,K215/G215,"")</f>
        <v/>
      </c>
      <c r="M215" s="6"/>
    </row>
    <row r="216" customFormat="false" ht="15" hidden="false" customHeight="false" outlineLevel="0" collapsed="false">
      <c r="A216" s="33"/>
      <c r="B216" s="6"/>
      <c r="C216" s="0" t="str">
        <f aca="false">IF(B216="","",IFERROR(VLOOKUP(B216,'Recetas y precios'!$A$5:$B$54,2,FALSE()),""))</f>
        <v/>
      </c>
      <c r="D216" s="20"/>
      <c r="E216" s="6"/>
      <c r="F216" s="29"/>
      <c r="G216" s="14" t="n">
        <f aca="false">E216*F216</f>
        <v>0</v>
      </c>
      <c r="H216" s="14" t="n">
        <f aca="false">IF(B216="",0,E216*IFERROR(VLOOKUP(B216,'Recetas y precios'!$A$5:$T$54,20,FALSE()),0))</f>
        <v>0</v>
      </c>
      <c r="I216" s="26"/>
      <c r="J216" s="14" t="n">
        <f aca="false">G216*I216</f>
        <v>0</v>
      </c>
      <c r="K216" s="14" t="n">
        <f aca="false">G216-H216-J216</f>
        <v>0</v>
      </c>
      <c r="L216" s="30" t="str">
        <f aca="false">IF(G216&gt;0,K216/G216,"")</f>
        <v/>
      </c>
      <c r="M216" s="6"/>
    </row>
    <row r="217" customFormat="false" ht="15" hidden="false" customHeight="false" outlineLevel="0" collapsed="false">
      <c r="A217" s="33"/>
      <c r="B217" s="6"/>
      <c r="C217" s="0" t="str">
        <f aca="false">IF(B217="","",IFERROR(VLOOKUP(B217,'Recetas y precios'!$A$5:$B$54,2,FALSE()),""))</f>
        <v/>
      </c>
      <c r="D217" s="20"/>
      <c r="E217" s="6"/>
      <c r="F217" s="29"/>
      <c r="G217" s="14" t="n">
        <f aca="false">E217*F217</f>
        <v>0</v>
      </c>
      <c r="H217" s="14" t="n">
        <f aca="false">IF(B217="",0,E217*IFERROR(VLOOKUP(B217,'Recetas y precios'!$A$5:$T$54,20,FALSE()),0))</f>
        <v>0</v>
      </c>
      <c r="I217" s="26"/>
      <c r="J217" s="14" t="n">
        <f aca="false">G217*I217</f>
        <v>0</v>
      </c>
      <c r="K217" s="14" t="n">
        <f aca="false">G217-H217-J217</f>
        <v>0</v>
      </c>
      <c r="L217" s="30" t="str">
        <f aca="false">IF(G217&gt;0,K217/G217,"")</f>
        <v/>
      </c>
      <c r="M217" s="6"/>
    </row>
    <row r="218" customFormat="false" ht="15" hidden="false" customHeight="false" outlineLevel="0" collapsed="false">
      <c r="A218" s="33"/>
      <c r="B218" s="6"/>
      <c r="C218" s="0" t="str">
        <f aca="false">IF(B218="","",IFERROR(VLOOKUP(B218,'Recetas y precios'!$A$5:$B$54,2,FALSE()),""))</f>
        <v/>
      </c>
      <c r="D218" s="20"/>
      <c r="E218" s="6"/>
      <c r="F218" s="29"/>
      <c r="G218" s="14" t="n">
        <f aca="false">E218*F218</f>
        <v>0</v>
      </c>
      <c r="H218" s="14" t="n">
        <f aca="false">IF(B218="",0,E218*IFERROR(VLOOKUP(B218,'Recetas y precios'!$A$5:$T$54,20,FALSE()),0))</f>
        <v>0</v>
      </c>
      <c r="I218" s="26"/>
      <c r="J218" s="14" t="n">
        <f aca="false">G218*I218</f>
        <v>0</v>
      </c>
      <c r="K218" s="14" t="n">
        <f aca="false">G218-H218-J218</f>
        <v>0</v>
      </c>
      <c r="L218" s="30" t="str">
        <f aca="false">IF(G218&gt;0,K218/G218,"")</f>
        <v/>
      </c>
      <c r="M218" s="6"/>
    </row>
    <row r="219" customFormat="false" ht="15" hidden="false" customHeight="false" outlineLevel="0" collapsed="false">
      <c r="A219" s="33"/>
      <c r="B219" s="6"/>
      <c r="C219" s="0" t="str">
        <f aca="false">IF(B219="","",IFERROR(VLOOKUP(B219,'Recetas y precios'!$A$5:$B$54,2,FALSE()),""))</f>
        <v/>
      </c>
      <c r="D219" s="20"/>
      <c r="E219" s="6"/>
      <c r="F219" s="29"/>
      <c r="G219" s="14" t="n">
        <f aca="false">E219*F219</f>
        <v>0</v>
      </c>
      <c r="H219" s="14" t="n">
        <f aca="false">IF(B219="",0,E219*IFERROR(VLOOKUP(B219,'Recetas y precios'!$A$5:$T$54,20,FALSE()),0))</f>
        <v>0</v>
      </c>
      <c r="I219" s="26"/>
      <c r="J219" s="14" t="n">
        <f aca="false">G219*I219</f>
        <v>0</v>
      </c>
      <c r="K219" s="14" t="n">
        <f aca="false">G219-H219-J219</f>
        <v>0</v>
      </c>
      <c r="L219" s="30" t="str">
        <f aca="false">IF(G219&gt;0,K219/G219,"")</f>
        <v/>
      </c>
      <c r="M219" s="6"/>
    </row>
    <row r="220" customFormat="false" ht="15" hidden="false" customHeight="false" outlineLevel="0" collapsed="false">
      <c r="A220" s="33"/>
      <c r="B220" s="6"/>
      <c r="C220" s="0" t="str">
        <f aca="false">IF(B220="","",IFERROR(VLOOKUP(B220,'Recetas y precios'!$A$5:$B$54,2,FALSE()),""))</f>
        <v/>
      </c>
      <c r="D220" s="20"/>
      <c r="E220" s="6"/>
      <c r="F220" s="29"/>
      <c r="G220" s="14" t="n">
        <f aca="false">E220*F220</f>
        <v>0</v>
      </c>
      <c r="H220" s="14" t="n">
        <f aca="false">IF(B220="",0,E220*IFERROR(VLOOKUP(B220,'Recetas y precios'!$A$5:$T$54,20,FALSE()),0))</f>
        <v>0</v>
      </c>
      <c r="I220" s="26"/>
      <c r="J220" s="14" t="n">
        <f aca="false">G220*I220</f>
        <v>0</v>
      </c>
      <c r="K220" s="14" t="n">
        <f aca="false">G220-H220-J220</f>
        <v>0</v>
      </c>
      <c r="L220" s="30" t="str">
        <f aca="false">IF(G220&gt;0,K220/G220,"")</f>
        <v/>
      </c>
      <c r="M220" s="6"/>
    </row>
    <row r="221" customFormat="false" ht="15" hidden="false" customHeight="false" outlineLevel="0" collapsed="false">
      <c r="A221" s="33"/>
      <c r="B221" s="6"/>
      <c r="C221" s="0" t="str">
        <f aca="false">IF(B221="","",IFERROR(VLOOKUP(B221,'Recetas y precios'!$A$5:$B$54,2,FALSE()),""))</f>
        <v/>
      </c>
      <c r="D221" s="20"/>
      <c r="E221" s="6"/>
      <c r="F221" s="29"/>
      <c r="G221" s="14" t="n">
        <f aca="false">E221*F221</f>
        <v>0</v>
      </c>
      <c r="H221" s="14" t="n">
        <f aca="false">IF(B221="",0,E221*IFERROR(VLOOKUP(B221,'Recetas y precios'!$A$5:$T$54,20,FALSE()),0))</f>
        <v>0</v>
      </c>
      <c r="I221" s="26"/>
      <c r="J221" s="14" t="n">
        <f aca="false">G221*I221</f>
        <v>0</v>
      </c>
      <c r="K221" s="14" t="n">
        <f aca="false">G221-H221-J221</f>
        <v>0</v>
      </c>
      <c r="L221" s="30" t="str">
        <f aca="false">IF(G221&gt;0,K221/G221,"")</f>
        <v/>
      </c>
      <c r="M221" s="6"/>
    </row>
    <row r="222" customFormat="false" ht="15" hidden="false" customHeight="false" outlineLevel="0" collapsed="false">
      <c r="A222" s="33"/>
      <c r="B222" s="6"/>
      <c r="C222" s="0" t="str">
        <f aca="false">IF(B222="","",IFERROR(VLOOKUP(B222,'Recetas y precios'!$A$5:$B$54,2,FALSE()),""))</f>
        <v/>
      </c>
      <c r="D222" s="20"/>
      <c r="E222" s="6"/>
      <c r="F222" s="29"/>
      <c r="G222" s="14" t="n">
        <f aca="false">E222*F222</f>
        <v>0</v>
      </c>
      <c r="H222" s="14" t="n">
        <f aca="false">IF(B222="",0,E222*IFERROR(VLOOKUP(B222,'Recetas y precios'!$A$5:$T$54,20,FALSE()),0))</f>
        <v>0</v>
      </c>
      <c r="I222" s="26"/>
      <c r="J222" s="14" t="n">
        <f aca="false">G222*I222</f>
        <v>0</v>
      </c>
      <c r="K222" s="14" t="n">
        <f aca="false">G222-H222-J222</f>
        <v>0</v>
      </c>
      <c r="L222" s="30" t="str">
        <f aca="false">IF(G222&gt;0,K222/G222,"")</f>
        <v/>
      </c>
      <c r="M222" s="6"/>
    </row>
    <row r="223" customFormat="false" ht="15" hidden="false" customHeight="false" outlineLevel="0" collapsed="false">
      <c r="A223" s="33"/>
      <c r="B223" s="6"/>
      <c r="C223" s="0" t="str">
        <f aca="false">IF(B223="","",IFERROR(VLOOKUP(B223,'Recetas y precios'!$A$5:$B$54,2,FALSE()),""))</f>
        <v/>
      </c>
      <c r="D223" s="20"/>
      <c r="E223" s="6"/>
      <c r="F223" s="29"/>
      <c r="G223" s="14" t="n">
        <f aca="false">E223*F223</f>
        <v>0</v>
      </c>
      <c r="H223" s="14" t="n">
        <f aca="false">IF(B223="",0,E223*IFERROR(VLOOKUP(B223,'Recetas y precios'!$A$5:$T$54,20,FALSE()),0))</f>
        <v>0</v>
      </c>
      <c r="I223" s="26"/>
      <c r="J223" s="14" t="n">
        <f aca="false">G223*I223</f>
        <v>0</v>
      </c>
      <c r="K223" s="14" t="n">
        <f aca="false">G223-H223-J223</f>
        <v>0</v>
      </c>
      <c r="L223" s="30" t="str">
        <f aca="false">IF(G223&gt;0,K223/G223,"")</f>
        <v/>
      </c>
      <c r="M223" s="6"/>
    </row>
    <row r="224" customFormat="false" ht="15" hidden="false" customHeight="false" outlineLevel="0" collapsed="false">
      <c r="A224" s="33"/>
      <c r="B224" s="6"/>
      <c r="C224" s="0" t="str">
        <f aca="false">IF(B224="","",IFERROR(VLOOKUP(B224,'Recetas y precios'!$A$5:$B$54,2,FALSE()),""))</f>
        <v/>
      </c>
      <c r="D224" s="20"/>
      <c r="E224" s="6"/>
      <c r="F224" s="29"/>
      <c r="G224" s="14" t="n">
        <f aca="false">E224*F224</f>
        <v>0</v>
      </c>
      <c r="H224" s="14" t="n">
        <f aca="false">IF(B224="",0,E224*IFERROR(VLOOKUP(B224,'Recetas y precios'!$A$5:$T$54,20,FALSE()),0))</f>
        <v>0</v>
      </c>
      <c r="I224" s="26"/>
      <c r="J224" s="14" t="n">
        <f aca="false">G224*I224</f>
        <v>0</v>
      </c>
      <c r="K224" s="14" t="n">
        <f aca="false">G224-H224-J224</f>
        <v>0</v>
      </c>
      <c r="L224" s="30" t="str">
        <f aca="false">IF(G224&gt;0,K224/G224,"")</f>
        <v/>
      </c>
      <c r="M224" s="6"/>
    </row>
    <row r="225" customFormat="false" ht="15" hidden="false" customHeight="false" outlineLevel="0" collapsed="false">
      <c r="A225" s="33"/>
      <c r="B225" s="6"/>
      <c r="C225" s="0" t="str">
        <f aca="false">IF(B225="","",IFERROR(VLOOKUP(B225,'Recetas y precios'!$A$5:$B$54,2,FALSE()),""))</f>
        <v/>
      </c>
      <c r="D225" s="20"/>
      <c r="E225" s="6"/>
      <c r="F225" s="29"/>
      <c r="G225" s="14" t="n">
        <f aca="false">E225*F225</f>
        <v>0</v>
      </c>
      <c r="H225" s="14" t="n">
        <f aca="false">IF(B225="",0,E225*IFERROR(VLOOKUP(B225,'Recetas y precios'!$A$5:$T$54,20,FALSE()),0))</f>
        <v>0</v>
      </c>
      <c r="I225" s="26"/>
      <c r="J225" s="14" t="n">
        <f aca="false">G225*I225</f>
        <v>0</v>
      </c>
      <c r="K225" s="14" t="n">
        <f aca="false">G225-H225-J225</f>
        <v>0</v>
      </c>
      <c r="L225" s="30" t="str">
        <f aca="false">IF(G225&gt;0,K225/G225,"")</f>
        <v/>
      </c>
      <c r="M225" s="6"/>
    </row>
    <row r="226" customFormat="false" ht="15" hidden="false" customHeight="false" outlineLevel="0" collapsed="false">
      <c r="A226" s="33"/>
      <c r="B226" s="6"/>
      <c r="C226" s="0" t="str">
        <f aca="false">IF(B226="","",IFERROR(VLOOKUP(B226,'Recetas y precios'!$A$5:$B$54,2,FALSE()),""))</f>
        <v/>
      </c>
      <c r="D226" s="20"/>
      <c r="E226" s="6"/>
      <c r="F226" s="29"/>
      <c r="G226" s="14" t="n">
        <f aca="false">E226*F226</f>
        <v>0</v>
      </c>
      <c r="H226" s="14" t="n">
        <f aca="false">IF(B226="",0,E226*IFERROR(VLOOKUP(B226,'Recetas y precios'!$A$5:$T$54,20,FALSE()),0))</f>
        <v>0</v>
      </c>
      <c r="I226" s="26"/>
      <c r="J226" s="14" t="n">
        <f aca="false">G226*I226</f>
        <v>0</v>
      </c>
      <c r="K226" s="14" t="n">
        <f aca="false">G226-H226-J226</f>
        <v>0</v>
      </c>
      <c r="L226" s="30" t="str">
        <f aca="false">IF(G226&gt;0,K226/G226,"")</f>
        <v/>
      </c>
      <c r="M226" s="6"/>
    </row>
    <row r="227" customFormat="false" ht="15" hidden="false" customHeight="false" outlineLevel="0" collapsed="false">
      <c r="A227" s="33"/>
      <c r="B227" s="6"/>
      <c r="C227" s="0" t="str">
        <f aca="false">IF(B227="","",IFERROR(VLOOKUP(B227,'Recetas y precios'!$A$5:$B$54,2,FALSE()),""))</f>
        <v/>
      </c>
      <c r="D227" s="20"/>
      <c r="E227" s="6"/>
      <c r="F227" s="29"/>
      <c r="G227" s="14" t="n">
        <f aca="false">E227*F227</f>
        <v>0</v>
      </c>
      <c r="H227" s="14" t="n">
        <f aca="false">IF(B227="",0,E227*IFERROR(VLOOKUP(B227,'Recetas y precios'!$A$5:$T$54,20,FALSE()),0))</f>
        <v>0</v>
      </c>
      <c r="I227" s="26"/>
      <c r="J227" s="14" t="n">
        <f aca="false">G227*I227</f>
        <v>0</v>
      </c>
      <c r="K227" s="14" t="n">
        <f aca="false">G227-H227-J227</f>
        <v>0</v>
      </c>
      <c r="L227" s="30" t="str">
        <f aca="false">IF(G227&gt;0,K227/G227,"")</f>
        <v/>
      </c>
      <c r="M227" s="6"/>
    </row>
    <row r="228" customFormat="false" ht="15" hidden="false" customHeight="false" outlineLevel="0" collapsed="false">
      <c r="A228" s="33"/>
      <c r="B228" s="6"/>
      <c r="C228" s="0" t="str">
        <f aca="false">IF(B228="","",IFERROR(VLOOKUP(B228,'Recetas y precios'!$A$5:$B$54,2,FALSE()),""))</f>
        <v/>
      </c>
      <c r="D228" s="20"/>
      <c r="E228" s="6"/>
      <c r="F228" s="29"/>
      <c r="G228" s="14" t="n">
        <f aca="false">E228*F228</f>
        <v>0</v>
      </c>
      <c r="H228" s="14" t="n">
        <f aca="false">IF(B228="",0,E228*IFERROR(VLOOKUP(B228,'Recetas y precios'!$A$5:$T$54,20,FALSE()),0))</f>
        <v>0</v>
      </c>
      <c r="I228" s="26"/>
      <c r="J228" s="14" t="n">
        <f aca="false">G228*I228</f>
        <v>0</v>
      </c>
      <c r="K228" s="14" t="n">
        <f aca="false">G228-H228-J228</f>
        <v>0</v>
      </c>
      <c r="L228" s="30" t="str">
        <f aca="false">IF(G228&gt;0,K228/G228,"")</f>
        <v/>
      </c>
      <c r="M228" s="6"/>
    </row>
    <row r="229" customFormat="false" ht="15" hidden="false" customHeight="false" outlineLevel="0" collapsed="false">
      <c r="A229" s="33"/>
      <c r="B229" s="6"/>
      <c r="C229" s="0" t="str">
        <f aca="false">IF(B229="","",IFERROR(VLOOKUP(B229,'Recetas y precios'!$A$5:$B$54,2,FALSE()),""))</f>
        <v/>
      </c>
      <c r="D229" s="20"/>
      <c r="E229" s="6"/>
      <c r="F229" s="29"/>
      <c r="G229" s="14" t="n">
        <f aca="false">E229*F229</f>
        <v>0</v>
      </c>
      <c r="H229" s="14" t="n">
        <f aca="false">IF(B229="",0,E229*IFERROR(VLOOKUP(B229,'Recetas y precios'!$A$5:$T$54,20,FALSE()),0))</f>
        <v>0</v>
      </c>
      <c r="I229" s="26"/>
      <c r="J229" s="14" t="n">
        <f aca="false">G229*I229</f>
        <v>0</v>
      </c>
      <c r="K229" s="14" t="n">
        <f aca="false">G229-H229-J229</f>
        <v>0</v>
      </c>
      <c r="L229" s="30" t="str">
        <f aca="false">IF(G229&gt;0,K229/G229,"")</f>
        <v/>
      </c>
      <c r="M229" s="6"/>
    </row>
    <row r="230" customFormat="false" ht="15" hidden="false" customHeight="false" outlineLevel="0" collapsed="false">
      <c r="A230" s="33"/>
      <c r="B230" s="6"/>
      <c r="C230" s="0" t="str">
        <f aca="false">IF(B230="","",IFERROR(VLOOKUP(B230,'Recetas y precios'!$A$5:$B$54,2,FALSE()),""))</f>
        <v/>
      </c>
      <c r="D230" s="20"/>
      <c r="E230" s="6"/>
      <c r="F230" s="29"/>
      <c r="G230" s="14" t="n">
        <f aca="false">E230*F230</f>
        <v>0</v>
      </c>
      <c r="H230" s="14" t="n">
        <f aca="false">IF(B230="",0,E230*IFERROR(VLOOKUP(B230,'Recetas y precios'!$A$5:$T$54,20,FALSE()),0))</f>
        <v>0</v>
      </c>
      <c r="I230" s="26"/>
      <c r="J230" s="14" t="n">
        <f aca="false">G230*I230</f>
        <v>0</v>
      </c>
      <c r="K230" s="14" t="n">
        <f aca="false">G230-H230-J230</f>
        <v>0</v>
      </c>
      <c r="L230" s="30" t="str">
        <f aca="false">IF(G230&gt;0,K230/G230,"")</f>
        <v/>
      </c>
      <c r="M230" s="6"/>
    </row>
    <row r="231" customFormat="false" ht="15" hidden="false" customHeight="false" outlineLevel="0" collapsed="false">
      <c r="A231" s="33"/>
      <c r="B231" s="6"/>
      <c r="C231" s="0" t="str">
        <f aca="false">IF(B231="","",IFERROR(VLOOKUP(B231,'Recetas y precios'!$A$5:$B$54,2,FALSE()),""))</f>
        <v/>
      </c>
      <c r="D231" s="20"/>
      <c r="E231" s="6"/>
      <c r="F231" s="29"/>
      <c r="G231" s="14" t="n">
        <f aca="false">E231*F231</f>
        <v>0</v>
      </c>
      <c r="H231" s="14" t="n">
        <f aca="false">IF(B231="",0,E231*IFERROR(VLOOKUP(B231,'Recetas y precios'!$A$5:$T$54,20,FALSE()),0))</f>
        <v>0</v>
      </c>
      <c r="I231" s="26"/>
      <c r="J231" s="14" t="n">
        <f aca="false">G231*I231</f>
        <v>0</v>
      </c>
      <c r="K231" s="14" t="n">
        <f aca="false">G231-H231-J231</f>
        <v>0</v>
      </c>
      <c r="L231" s="30" t="str">
        <f aca="false">IF(G231&gt;0,K231/G231,"")</f>
        <v/>
      </c>
      <c r="M231" s="6"/>
    </row>
    <row r="232" customFormat="false" ht="15" hidden="false" customHeight="false" outlineLevel="0" collapsed="false">
      <c r="A232" s="33"/>
      <c r="B232" s="6"/>
      <c r="C232" s="0" t="str">
        <f aca="false">IF(B232="","",IFERROR(VLOOKUP(B232,'Recetas y precios'!$A$5:$B$54,2,FALSE()),""))</f>
        <v/>
      </c>
      <c r="D232" s="20"/>
      <c r="E232" s="6"/>
      <c r="F232" s="29"/>
      <c r="G232" s="14" t="n">
        <f aca="false">E232*F232</f>
        <v>0</v>
      </c>
      <c r="H232" s="14" t="n">
        <f aca="false">IF(B232="",0,E232*IFERROR(VLOOKUP(B232,'Recetas y precios'!$A$5:$T$54,20,FALSE()),0))</f>
        <v>0</v>
      </c>
      <c r="I232" s="26"/>
      <c r="J232" s="14" t="n">
        <f aca="false">G232*I232</f>
        <v>0</v>
      </c>
      <c r="K232" s="14" t="n">
        <f aca="false">G232-H232-J232</f>
        <v>0</v>
      </c>
      <c r="L232" s="30" t="str">
        <f aca="false">IF(G232&gt;0,K232/G232,"")</f>
        <v/>
      </c>
      <c r="M232" s="6"/>
    </row>
    <row r="233" customFormat="false" ht="15" hidden="false" customHeight="false" outlineLevel="0" collapsed="false">
      <c r="A233" s="33"/>
      <c r="B233" s="6"/>
      <c r="C233" s="0" t="str">
        <f aca="false">IF(B233="","",IFERROR(VLOOKUP(B233,'Recetas y precios'!$A$5:$B$54,2,FALSE()),""))</f>
        <v/>
      </c>
      <c r="D233" s="20"/>
      <c r="E233" s="6"/>
      <c r="F233" s="29"/>
      <c r="G233" s="14" t="n">
        <f aca="false">E233*F233</f>
        <v>0</v>
      </c>
      <c r="H233" s="14" t="n">
        <f aca="false">IF(B233="",0,E233*IFERROR(VLOOKUP(B233,'Recetas y precios'!$A$5:$T$54,20,FALSE()),0))</f>
        <v>0</v>
      </c>
      <c r="I233" s="26"/>
      <c r="J233" s="14" t="n">
        <f aca="false">G233*I233</f>
        <v>0</v>
      </c>
      <c r="K233" s="14" t="n">
        <f aca="false">G233-H233-J233</f>
        <v>0</v>
      </c>
      <c r="L233" s="30" t="str">
        <f aca="false">IF(G233&gt;0,K233/G233,"")</f>
        <v/>
      </c>
      <c r="M233" s="6"/>
    </row>
    <row r="234" customFormat="false" ht="15" hidden="false" customHeight="false" outlineLevel="0" collapsed="false">
      <c r="A234" s="33"/>
      <c r="B234" s="6"/>
      <c r="C234" s="0" t="str">
        <f aca="false">IF(B234="","",IFERROR(VLOOKUP(B234,'Recetas y precios'!$A$5:$B$54,2,FALSE()),""))</f>
        <v/>
      </c>
      <c r="D234" s="20"/>
      <c r="E234" s="6"/>
      <c r="F234" s="29"/>
      <c r="G234" s="14" t="n">
        <f aca="false">E234*F234</f>
        <v>0</v>
      </c>
      <c r="H234" s="14" t="n">
        <f aca="false">IF(B234="",0,E234*IFERROR(VLOOKUP(B234,'Recetas y precios'!$A$5:$T$54,20,FALSE()),0))</f>
        <v>0</v>
      </c>
      <c r="I234" s="26"/>
      <c r="J234" s="14" t="n">
        <f aca="false">G234*I234</f>
        <v>0</v>
      </c>
      <c r="K234" s="14" t="n">
        <f aca="false">G234-H234-J234</f>
        <v>0</v>
      </c>
      <c r="L234" s="30" t="str">
        <f aca="false">IF(G234&gt;0,K234/G234,"")</f>
        <v/>
      </c>
      <c r="M234" s="6"/>
    </row>
    <row r="235" customFormat="false" ht="15" hidden="false" customHeight="false" outlineLevel="0" collapsed="false">
      <c r="A235" s="33"/>
      <c r="B235" s="6"/>
      <c r="C235" s="0" t="str">
        <f aca="false">IF(B235="","",IFERROR(VLOOKUP(B235,'Recetas y precios'!$A$5:$B$54,2,FALSE()),""))</f>
        <v/>
      </c>
      <c r="D235" s="20"/>
      <c r="E235" s="6"/>
      <c r="F235" s="29"/>
      <c r="G235" s="14" t="n">
        <f aca="false">E235*F235</f>
        <v>0</v>
      </c>
      <c r="H235" s="14" t="n">
        <f aca="false">IF(B235="",0,E235*IFERROR(VLOOKUP(B235,'Recetas y precios'!$A$5:$T$54,20,FALSE()),0))</f>
        <v>0</v>
      </c>
      <c r="I235" s="26"/>
      <c r="J235" s="14" t="n">
        <f aca="false">G235*I235</f>
        <v>0</v>
      </c>
      <c r="K235" s="14" t="n">
        <f aca="false">G235-H235-J235</f>
        <v>0</v>
      </c>
      <c r="L235" s="30" t="str">
        <f aca="false">IF(G235&gt;0,K235/G235,"")</f>
        <v/>
      </c>
      <c r="M235" s="6"/>
    </row>
    <row r="236" customFormat="false" ht="15" hidden="false" customHeight="false" outlineLevel="0" collapsed="false">
      <c r="A236" s="33"/>
      <c r="B236" s="6"/>
      <c r="C236" s="0" t="str">
        <f aca="false">IF(B236="","",IFERROR(VLOOKUP(B236,'Recetas y precios'!$A$5:$B$54,2,FALSE()),""))</f>
        <v/>
      </c>
      <c r="D236" s="20"/>
      <c r="E236" s="6"/>
      <c r="F236" s="29"/>
      <c r="G236" s="14" t="n">
        <f aca="false">E236*F236</f>
        <v>0</v>
      </c>
      <c r="H236" s="14" t="n">
        <f aca="false">IF(B236="",0,E236*IFERROR(VLOOKUP(B236,'Recetas y precios'!$A$5:$T$54,20,FALSE()),0))</f>
        <v>0</v>
      </c>
      <c r="I236" s="26"/>
      <c r="J236" s="14" t="n">
        <f aca="false">G236*I236</f>
        <v>0</v>
      </c>
      <c r="K236" s="14" t="n">
        <f aca="false">G236-H236-J236</f>
        <v>0</v>
      </c>
      <c r="L236" s="30" t="str">
        <f aca="false">IF(G236&gt;0,K236/G236,"")</f>
        <v/>
      </c>
      <c r="M236" s="6"/>
    </row>
    <row r="237" customFormat="false" ht="15" hidden="false" customHeight="false" outlineLevel="0" collapsed="false">
      <c r="A237" s="33"/>
      <c r="B237" s="6"/>
      <c r="C237" s="0" t="str">
        <f aca="false">IF(B237="","",IFERROR(VLOOKUP(B237,'Recetas y precios'!$A$5:$B$54,2,FALSE()),""))</f>
        <v/>
      </c>
      <c r="D237" s="20"/>
      <c r="E237" s="6"/>
      <c r="F237" s="29"/>
      <c r="G237" s="14" t="n">
        <f aca="false">E237*F237</f>
        <v>0</v>
      </c>
      <c r="H237" s="14" t="n">
        <f aca="false">IF(B237="",0,E237*IFERROR(VLOOKUP(B237,'Recetas y precios'!$A$5:$T$54,20,FALSE()),0))</f>
        <v>0</v>
      </c>
      <c r="I237" s="26"/>
      <c r="J237" s="14" t="n">
        <f aca="false">G237*I237</f>
        <v>0</v>
      </c>
      <c r="K237" s="14" t="n">
        <f aca="false">G237-H237-J237</f>
        <v>0</v>
      </c>
      <c r="L237" s="30" t="str">
        <f aca="false">IF(G237&gt;0,K237/G237,"")</f>
        <v/>
      </c>
      <c r="M237" s="6"/>
    </row>
    <row r="238" customFormat="false" ht="15" hidden="false" customHeight="false" outlineLevel="0" collapsed="false">
      <c r="A238" s="33"/>
      <c r="B238" s="6"/>
      <c r="C238" s="0" t="str">
        <f aca="false">IF(B238="","",IFERROR(VLOOKUP(B238,'Recetas y precios'!$A$5:$B$54,2,FALSE()),""))</f>
        <v/>
      </c>
      <c r="D238" s="20"/>
      <c r="E238" s="6"/>
      <c r="F238" s="29"/>
      <c r="G238" s="14" t="n">
        <f aca="false">E238*F238</f>
        <v>0</v>
      </c>
      <c r="H238" s="14" t="n">
        <f aca="false">IF(B238="",0,E238*IFERROR(VLOOKUP(B238,'Recetas y precios'!$A$5:$T$54,20,FALSE()),0))</f>
        <v>0</v>
      </c>
      <c r="I238" s="26"/>
      <c r="J238" s="14" t="n">
        <f aca="false">G238*I238</f>
        <v>0</v>
      </c>
      <c r="K238" s="14" t="n">
        <f aca="false">G238-H238-J238</f>
        <v>0</v>
      </c>
      <c r="L238" s="30" t="str">
        <f aca="false">IF(G238&gt;0,K238/G238,"")</f>
        <v/>
      </c>
      <c r="M238" s="6"/>
    </row>
    <row r="239" customFormat="false" ht="15" hidden="false" customHeight="false" outlineLevel="0" collapsed="false">
      <c r="A239" s="33"/>
      <c r="B239" s="6"/>
      <c r="C239" s="0" t="str">
        <f aca="false">IF(B239="","",IFERROR(VLOOKUP(B239,'Recetas y precios'!$A$5:$B$54,2,FALSE()),""))</f>
        <v/>
      </c>
      <c r="D239" s="20"/>
      <c r="E239" s="6"/>
      <c r="F239" s="29"/>
      <c r="G239" s="14" t="n">
        <f aca="false">E239*F239</f>
        <v>0</v>
      </c>
      <c r="H239" s="14" t="n">
        <f aca="false">IF(B239="",0,E239*IFERROR(VLOOKUP(B239,'Recetas y precios'!$A$5:$T$54,20,FALSE()),0))</f>
        <v>0</v>
      </c>
      <c r="I239" s="26"/>
      <c r="J239" s="14" t="n">
        <f aca="false">G239*I239</f>
        <v>0</v>
      </c>
      <c r="K239" s="14" t="n">
        <f aca="false">G239-H239-J239</f>
        <v>0</v>
      </c>
      <c r="L239" s="30" t="str">
        <f aca="false">IF(G239&gt;0,K239/G239,"")</f>
        <v/>
      </c>
      <c r="M239" s="6"/>
    </row>
    <row r="240" customFormat="false" ht="15" hidden="false" customHeight="false" outlineLevel="0" collapsed="false">
      <c r="A240" s="33"/>
      <c r="B240" s="6"/>
      <c r="C240" s="0" t="str">
        <f aca="false">IF(B240="","",IFERROR(VLOOKUP(B240,'Recetas y precios'!$A$5:$B$54,2,FALSE()),""))</f>
        <v/>
      </c>
      <c r="D240" s="20"/>
      <c r="E240" s="6"/>
      <c r="F240" s="29"/>
      <c r="G240" s="14" t="n">
        <f aca="false">E240*F240</f>
        <v>0</v>
      </c>
      <c r="H240" s="14" t="n">
        <f aca="false">IF(B240="",0,E240*IFERROR(VLOOKUP(B240,'Recetas y precios'!$A$5:$T$54,20,FALSE()),0))</f>
        <v>0</v>
      </c>
      <c r="I240" s="26"/>
      <c r="J240" s="14" t="n">
        <f aca="false">G240*I240</f>
        <v>0</v>
      </c>
      <c r="K240" s="14" t="n">
        <f aca="false">G240-H240-J240</f>
        <v>0</v>
      </c>
      <c r="L240" s="30" t="str">
        <f aca="false">IF(G240&gt;0,K240/G240,"")</f>
        <v/>
      </c>
      <c r="M240" s="6"/>
    </row>
    <row r="241" customFormat="false" ht="15" hidden="false" customHeight="false" outlineLevel="0" collapsed="false">
      <c r="A241" s="33"/>
      <c r="B241" s="6"/>
      <c r="C241" s="0" t="str">
        <f aca="false">IF(B241="","",IFERROR(VLOOKUP(B241,'Recetas y precios'!$A$5:$B$54,2,FALSE()),""))</f>
        <v/>
      </c>
      <c r="D241" s="20"/>
      <c r="E241" s="6"/>
      <c r="F241" s="29"/>
      <c r="G241" s="14" t="n">
        <f aca="false">E241*F241</f>
        <v>0</v>
      </c>
      <c r="H241" s="14" t="n">
        <f aca="false">IF(B241="",0,E241*IFERROR(VLOOKUP(B241,'Recetas y precios'!$A$5:$T$54,20,FALSE()),0))</f>
        <v>0</v>
      </c>
      <c r="I241" s="26"/>
      <c r="J241" s="14" t="n">
        <f aca="false">G241*I241</f>
        <v>0</v>
      </c>
      <c r="K241" s="14" t="n">
        <f aca="false">G241-H241-J241</f>
        <v>0</v>
      </c>
      <c r="L241" s="30" t="str">
        <f aca="false">IF(G241&gt;0,K241/G241,"")</f>
        <v/>
      </c>
      <c r="M241" s="6"/>
    </row>
    <row r="242" customFormat="false" ht="15" hidden="false" customHeight="false" outlineLevel="0" collapsed="false">
      <c r="A242" s="33"/>
      <c r="B242" s="6"/>
      <c r="C242" s="0" t="str">
        <f aca="false">IF(B242="","",IFERROR(VLOOKUP(B242,'Recetas y precios'!$A$5:$B$54,2,FALSE()),""))</f>
        <v/>
      </c>
      <c r="D242" s="20"/>
      <c r="E242" s="6"/>
      <c r="F242" s="29"/>
      <c r="G242" s="14" t="n">
        <f aca="false">E242*F242</f>
        <v>0</v>
      </c>
      <c r="H242" s="14" t="n">
        <f aca="false">IF(B242="",0,E242*IFERROR(VLOOKUP(B242,'Recetas y precios'!$A$5:$T$54,20,FALSE()),0))</f>
        <v>0</v>
      </c>
      <c r="I242" s="26"/>
      <c r="J242" s="14" t="n">
        <f aca="false">G242*I242</f>
        <v>0</v>
      </c>
      <c r="K242" s="14" t="n">
        <f aca="false">G242-H242-J242</f>
        <v>0</v>
      </c>
      <c r="L242" s="30" t="str">
        <f aca="false">IF(G242&gt;0,K242/G242,"")</f>
        <v/>
      </c>
      <c r="M242" s="6"/>
    </row>
    <row r="243" customFormat="false" ht="15" hidden="false" customHeight="false" outlineLevel="0" collapsed="false">
      <c r="A243" s="33"/>
      <c r="B243" s="6"/>
      <c r="C243" s="0" t="str">
        <f aca="false">IF(B243="","",IFERROR(VLOOKUP(B243,'Recetas y precios'!$A$5:$B$54,2,FALSE()),""))</f>
        <v/>
      </c>
      <c r="D243" s="20"/>
      <c r="E243" s="6"/>
      <c r="F243" s="29"/>
      <c r="G243" s="14" t="n">
        <f aca="false">E243*F243</f>
        <v>0</v>
      </c>
      <c r="H243" s="14" t="n">
        <f aca="false">IF(B243="",0,E243*IFERROR(VLOOKUP(B243,'Recetas y precios'!$A$5:$T$54,20,FALSE()),0))</f>
        <v>0</v>
      </c>
      <c r="I243" s="26"/>
      <c r="J243" s="14" t="n">
        <f aca="false">G243*I243</f>
        <v>0</v>
      </c>
      <c r="K243" s="14" t="n">
        <f aca="false">G243-H243-J243</f>
        <v>0</v>
      </c>
      <c r="L243" s="30" t="str">
        <f aca="false">IF(G243&gt;0,K243/G243,"")</f>
        <v/>
      </c>
      <c r="M243" s="6"/>
    </row>
    <row r="244" customFormat="false" ht="15" hidden="false" customHeight="false" outlineLevel="0" collapsed="false">
      <c r="A244" s="33"/>
      <c r="B244" s="6"/>
      <c r="C244" s="0" t="str">
        <f aca="false">IF(B244="","",IFERROR(VLOOKUP(B244,'Recetas y precios'!$A$5:$B$54,2,FALSE()),""))</f>
        <v/>
      </c>
      <c r="D244" s="20"/>
      <c r="E244" s="6"/>
      <c r="F244" s="29"/>
      <c r="G244" s="14" t="n">
        <f aca="false">E244*F244</f>
        <v>0</v>
      </c>
      <c r="H244" s="14" t="n">
        <f aca="false">IF(B244="",0,E244*IFERROR(VLOOKUP(B244,'Recetas y precios'!$A$5:$T$54,20,FALSE()),0))</f>
        <v>0</v>
      </c>
      <c r="I244" s="26"/>
      <c r="J244" s="14" t="n">
        <f aca="false">G244*I244</f>
        <v>0</v>
      </c>
      <c r="K244" s="14" t="n">
        <f aca="false">G244-H244-J244</f>
        <v>0</v>
      </c>
      <c r="L244" s="30" t="str">
        <f aca="false">IF(G244&gt;0,K244/G244,"")</f>
        <v/>
      </c>
      <c r="M244" s="6"/>
    </row>
    <row r="245" customFormat="false" ht="15" hidden="false" customHeight="false" outlineLevel="0" collapsed="false">
      <c r="A245" s="33"/>
      <c r="B245" s="6"/>
      <c r="C245" s="0" t="str">
        <f aca="false">IF(B245="","",IFERROR(VLOOKUP(B245,'Recetas y precios'!$A$5:$B$54,2,FALSE()),""))</f>
        <v/>
      </c>
      <c r="D245" s="20"/>
      <c r="E245" s="6"/>
      <c r="F245" s="29"/>
      <c r="G245" s="14" t="n">
        <f aca="false">E245*F245</f>
        <v>0</v>
      </c>
      <c r="H245" s="14" t="n">
        <f aca="false">IF(B245="",0,E245*IFERROR(VLOOKUP(B245,'Recetas y precios'!$A$5:$T$54,20,FALSE()),0))</f>
        <v>0</v>
      </c>
      <c r="I245" s="26"/>
      <c r="J245" s="14" t="n">
        <f aca="false">G245*I245</f>
        <v>0</v>
      </c>
      <c r="K245" s="14" t="n">
        <f aca="false">G245-H245-J245</f>
        <v>0</v>
      </c>
      <c r="L245" s="30" t="str">
        <f aca="false">IF(G245&gt;0,K245/G245,"")</f>
        <v/>
      </c>
      <c r="M245" s="6"/>
    </row>
    <row r="246" customFormat="false" ht="15" hidden="false" customHeight="false" outlineLevel="0" collapsed="false">
      <c r="A246" s="33"/>
      <c r="B246" s="6"/>
      <c r="C246" s="0" t="str">
        <f aca="false">IF(B246="","",IFERROR(VLOOKUP(B246,'Recetas y precios'!$A$5:$B$54,2,FALSE()),""))</f>
        <v/>
      </c>
      <c r="D246" s="20"/>
      <c r="E246" s="6"/>
      <c r="F246" s="29"/>
      <c r="G246" s="14" t="n">
        <f aca="false">E246*F246</f>
        <v>0</v>
      </c>
      <c r="H246" s="14" t="n">
        <f aca="false">IF(B246="",0,E246*IFERROR(VLOOKUP(B246,'Recetas y precios'!$A$5:$T$54,20,FALSE()),0))</f>
        <v>0</v>
      </c>
      <c r="I246" s="26"/>
      <c r="J246" s="14" t="n">
        <f aca="false">G246*I246</f>
        <v>0</v>
      </c>
      <c r="K246" s="14" t="n">
        <f aca="false">G246-H246-J246</f>
        <v>0</v>
      </c>
      <c r="L246" s="30" t="str">
        <f aca="false">IF(G246&gt;0,K246/G246,"")</f>
        <v/>
      </c>
      <c r="M246" s="6"/>
    </row>
    <row r="247" customFormat="false" ht="15" hidden="false" customHeight="false" outlineLevel="0" collapsed="false">
      <c r="A247" s="33"/>
      <c r="B247" s="6"/>
      <c r="C247" s="0" t="str">
        <f aca="false">IF(B247="","",IFERROR(VLOOKUP(B247,'Recetas y precios'!$A$5:$B$54,2,FALSE()),""))</f>
        <v/>
      </c>
      <c r="D247" s="20"/>
      <c r="E247" s="6"/>
      <c r="F247" s="29"/>
      <c r="G247" s="14" t="n">
        <f aca="false">E247*F247</f>
        <v>0</v>
      </c>
      <c r="H247" s="14" t="n">
        <f aca="false">IF(B247="",0,E247*IFERROR(VLOOKUP(B247,'Recetas y precios'!$A$5:$T$54,20,FALSE()),0))</f>
        <v>0</v>
      </c>
      <c r="I247" s="26"/>
      <c r="J247" s="14" t="n">
        <f aca="false">G247*I247</f>
        <v>0</v>
      </c>
      <c r="K247" s="14" t="n">
        <f aca="false">G247-H247-J247</f>
        <v>0</v>
      </c>
      <c r="L247" s="30" t="str">
        <f aca="false">IF(G247&gt;0,K247/G247,"")</f>
        <v/>
      </c>
      <c r="M247" s="6"/>
    </row>
    <row r="248" customFormat="false" ht="15" hidden="false" customHeight="false" outlineLevel="0" collapsed="false">
      <c r="A248" s="33"/>
      <c r="B248" s="6"/>
      <c r="C248" s="0" t="str">
        <f aca="false">IF(B248="","",IFERROR(VLOOKUP(B248,'Recetas y precios'!$A$5:$B$54,2,FALSE()),""))</f>
        <v/>
      </c>
      <c r="D248" s="20"/>
      <c r="E248" s="6"/>
      <c r="F248" s="29"/>
      <c r="G248" s="14" t="n">
        <f aca="false">E248*F248</f>
        <v>0</v>
      </c>
      <c r="H248" s="14" t="n">
        <f aca="false">IF(B248="",0,E248*IFERROR(VLOOKUP(B248,'Recetas y precios'!$A$5:$T$54,20,FALSE()),0))</f>
        <v>0</v>
      </c>
      <c r="I248" s="26"/>
      <c r="J248" s="14" t="n">
        <f aca="false">G248*I248</f>
        <v>0</v>
      </c>
      <c r="K248" s="14" t="n">
        <f aca="false">G248-H248-J248</f>
        <v>0</v>
      </c>
      <c r="L248" s="30" t="str">
        <f aca="false">IF(G248&gt;0,K248/G248,"")</f>
        <v/>
      </c>
      <c r="M248" s="6"/>
    </row>
    <row r="249" customFormat="false" ht="15" hidden="false" customHeight="false" outlineLevel="0" collapsed="false">
      <c r="A249" s="33"/>
      <c r="B249" s="6"/>
      <c r="C249" s="0" t="str">
        <f aca="false">IF(B249="","",IFERROR(VLOOKUP(B249,'Recetas y precios'!$A$5:$B$54,2,FALSE()),""))</f>
        <v/>
      </c>
      <c r="D249" s="20"/>
      <c r="E249" s="6"/>
      <c r="F249" s="29"/>
      <c r="G249" s="14" t="n">
        <f aca="false">E249*F249</f>
        <v>0</v>
      </c>
      <c r="H249" s="14" t="n">
        <f aca="false">IF(B249="",0,E249*IFERROR(VLOOKUP(B249,'Recetas y precios'!$A$5:$T$54,20,FALSE()),0))</f>
        <v>0</v>
      </c>
      <c r="I249" s="26"/>
      <c r="J249" s="14" t="n">
        <f aca="false">G249*I249</f>
        <v>0</v>
      </c>
      <c r="K249" s="14" t="n">
        <f aca="false">G249-H249-J249</f>
        <v>0</v>
      </c>
      <c r="L249" s="30" t="str">
        <f aca="false">IF(G249&gt;0,K249/G249,"")</f>
        <v/>
      </c>
      <c r="M249" s="6"/>
    </row>
    <row r="250" customFormat="false" ht="15" hidden="false" customHeight="false" outlineLevel="0" collapsed="false">
      <c r="A250" s="33"/>
      <c r="B250" s="6"/>
      <c r="C250" s="0" t="str">
        <f aca="false">IF(B250="","",IFERROR(VLOOKUP(B250,'Recetas y precios'!$A$5:$B$54,2,FALSE()),""))</f>
        <v/>
      </c>
      <c r="D250" s="20"/>
      <c r="E250" s="6"/>
      <c r="F250" s="29"/>
      <c r="G250" s="14" t="n">
        <f aca="false">E250*F250</f>
        <v>0</v>
      </c>
      <c r="H250" s="14" t="n">
        <f aca="false">IF(B250="",0,E250*IFERROR(VLOOKUP(B250,'Recetas y precios'!$A$5:$T$54,20,FALSE()),0))</f>
        <v>0</v>
      </c>
      <c r="I250" s="26"/>
      <c r="J250" s="14" t="n">
        <f aca="false">G250*I250</f>
        <v>0</v>
      </c>
      <c r="K250" s="14" t="n">
        <f aca="false">G250-H250-J250</f>
        <v>0</v>
      </c>
      <c r="L250" s="30" t="str">
        <f aca="false">IF(G250&gt;0,K250/G250,"")</f>
        <v/>
      </c>
      <c r="M250" s="6"/>
    </row>
    <row r="251" customFormat="false" ht="15" hidden="false" customHeight="false" outlineLevel="0" collapsed="false">
      <c r="A251" s="33"/>
      <c r="B251" s="6"/>
      <c r="C251" s="0" t="str">
        <f aca="false">IF(B251="","",IFERROR(VLOOKUP(B251,'Recetas y precios'!$A$5:$B$54,2,FALSE()),""))</f>
        <v/>
      </c>
      <c r="D251" s="20"/>
      <c r="E251" s="6"/>
      <c r="F251" s="29"/>
      <c r="G251" s="14" t="n">
        <f aca="false">E251*F251</f>
        <v>0</v>
      </c>
      <c r="H251" s="14" t="n">
        <f aca="false">IF(B251="",0,E251*IFERROR(VLOOKUP(B251,'Recetas y precios'!$A$5:$T$54,20,FALSE()),0))</f>
        <v>0</v>
      </c>
      <c r="I251" s="26"/>
      <c r="J251" s="14" t="n">
        <f aca="false">G251*I251</f>
        <v>0</v>
      </c>
      <c r="K251" s="14" t="n">
        <f aca="false">G251-H251-J251</f>
        <v>0</v>
      </c>
      <c r="L251" s="30" t="str">
        <f aca="false">IF(G251&gt;0,K251/G251,"")</f>
        <v/>
      </c>
      <c r="M251" s="6"/>
    </row>
    <row r="252" customFormat="false" ht="15" hidden="false" customHeight="false" outlineLevel="0" collapsed="false">
      <c r="A252" s="33"/>
      <c r="B252" s="6"/>
      <c r="C252" s="0" t="str">
        <f aca="false">IF(B252="","",IFERROR(VLOOKUP(B252,'Recetas y precios'!$A$5:$B$54,2,FALSE()),""))</f>
        <v/>
      </c>
      <c r="D252" s="20"/>
      <c r="E252" s="6"/>
      <c r="F252" s="29"/>
      <c r="G252" s="14" t="n">
        <f aca="false">E252*F252</f>
        <v>0</v>
      </c>
      <c r="H252" s="14" t="n">
        <f aca="false">IF(B252="",0,E252*IFERROR(VLOOKUP(B252,'Recetas y precios'!$A$5:$T$54,20,FALSE()),0))</f>
        <v>0</v>
      </c>
      <c r="I252" s="26"/>
      <c r="J252" s="14" t="n">
        <f aca="false">G252*I252</f>
        <v>0</v>
      </c>
      <c r="K252" s="14" t="n">
        <f aca="false">G252-H252-J252</f>
        <v>0</v>
      </c>
      <c r="L252" s="30" t="str">
        <f aca="false">IF(G252&gt;0,K252/G252,"")</f>
        <v/>
      </c>
      <c r="M252" s="6"/>
    </row>
    <row r="253" customFormat="false" ht="15" hidden="false" customHeight="false" outlineLevel="0" collapsed="false">
      <c r="A253" s="33"/>
      <c r="B253" s="6"/>
      <c r="C253" s="0" t="str">
        <f aca="false">IF(B253="","",IFERROR(VLOOKUP(B253,'Recetas y precios'!$A$5:$B$54,2,FALSE()),""))</f>
        <v/>
      </c>
      <c r="D253" s="20"/>
      <c r="E253" s="6"/>
      <c r="F253" s="29"/>
      <c r="G253" s="14" t="n">
        <f aca="false">E253*F253</f>
        <v>0</v>
      </c>
      <c r="H253" s="14" t="n">
        <f aca="false">IF(B253="",0,E253*IFERROR(VLOOKUP(B253,'Recetas y precios'!$A$5:$T$54,20,FALSE()),0))</f>
        <v>0</v>
      </c>
      <c r="I253" s="26"/>
      <c r="J253" s="14" t="n">
        <f aca="false">G253*I253</f>
        <v>0</v>
      </c>
      <c r="K253" s="14" t="n">
        <f aca="false">G253-H253-J253</f>
        <v>0</v>
      </c>
      <c r="L253" s="30" t="str">
        <f aca="false">IF(G253&gt;0,K253/G253,"")</f>
        <v/>
      </c>
      <c r="M253" s="6"/>
    </row>
    <row r="254" customFormat="false" ht="15" hidden="false" customHeight="false" outlineLevel="0" collapsed="false">
      <c r="A254" s="33"/>
      <c r="B254" s="6"/>
      <c r="C254" s="0" t="str">
        <f aca="false">IF(B254="","",IFERROR(VLOOKUP(B254,'Recetas y precios'!$A$5:$B$54,2,FALSE()),""))</f>
        <v/>
      </c>
      <c r="D254" s="20"/>
      <c r="E254" s="6"/>
      <c r="F254" s="29"/>
      <c r="G254" s="14" t="n">
        <f aca="false">E254*F254</f>
        <v>0</v>
      </c>
      <c r="H254" s="14" t="n">
        <f aca="false">IF(B254="",0,E254*IFERROR(VLOOKUP(B254,'Recetas y precios'!$A$5:$T$54,20,FALSE()),0))</f>
        <v>0</v>
      </c>
      <c r="I254" s="26"/>
      <c r="J254" s="14" t="n">
        <f aca="false">G254*I254</f>
        <v>0</v>
      </c>
      <c r="K254" s="14" t="n">
        <f aca="false">G254-H254-J254</f>
        <v>0</v>
      </c>
      <c r="L254" s="30" t="str">
        <f aca="false">IF(G254&gt;0,K254/G254,"")</f>
        <v/>
      </c>
      <c r="M254" s="6"/>
    </row>
    <row r="255" customFormat="false" ht="15" hidden="false" customHeight="false" outlineLevel="0" collapsed="false">
      <c r="A255" s="33"/>
      <c r="B255" s="6"/>
      <c r="C255" s="0" t="str">
        <f aca="false">IF(B255="","",IFERROR(VLOOKUP(B255,'Recetas y precios'!$A$5:$B$54,2,FALSE()),""))</f>
        <v/>
      </c>
      <c r="D255" s="20"/>
      <c r="E255" s="6"/>
      <c r="F255" s="29"/>
      <c r="G255" s="14" t="n">
        <f aca="false">E255*F255</f>
        <v>0</v>
      </c>
      <c r="H255" s="14" t="n">
        <f aca="false">IF(B255="",0,E255*IFERROR(VLOOKUP(B255,'Recetas y precios'!$A$5:$T$54,20,FALSE()),0))</f>
        <v>0</v>
      </c>
      <c r="I255" s="26"/>
      <c r="J255" s="14" t="n">
        <f aca="false">G255*I255</f>
        <v>0</v>
      </c>
      <c r="K255" s="14" t="n">
        <f aca="false">G255-H255-J255</f>
        <v>0</v>
      </c>
      <c r="L255" s="30" t="str">
        <f aca="false">IF(G255&gt;0,K255/G255,"")</f>
        <v/>
      </c>
      <c r="M255" s="6"/>
    </row>
    <row r="256" customFormat="false" ht="15" hidden="false" customHeight="false" outlineLevel="0" collapsed="false">
      <c r="A256" s="33"/>
      <c r="B256" s="6"/>
      <c r="C256" s="0" t="str">
        <f aca="false">IF(B256="","",IFERROR(VLOOKUP(B256,'Recetas y precios'!$A$5:$B$54,2,FALSE()),""))</f>
        <v/>
      </c>
      <c r="D256" s="20"/>
      <c r="E256" s="6"/>
      <c r="F256" s="29"/>
      <c r="G256" s="14" t="n">
        <f aca="false">E256*F256</f>
        <v>0</v>
      </c>
      <c r="H256" s="14" t="n">
        <f aca="false">IF(B256="",0,E256*IFERROR(VLOOKUP(B256,'Recetas y precios'!$A$5:$T$54,20,FALSE()),0))</f>
        <v>0</v>
      </c>
      <c r="I256" s="26"/>
      <c r="J256" s="14" t="n">
        <f aca="false">G256*I256</f>
        <v>0</v>
      </c>
      <c r="K256" s="14" t="n">
        <f aca="false">G256-H256-J256</f>
        <v>0</v>
      </c>
      <c r="L256" s="30" t="str">
        <f aca="false">IF(G256&gt;0,K256/G256,"")</f>
        <v/>
      </c>
      <c r="M256" s="6"/>
    </row>
    <row r="257" customFormat="false" ht="15" hidden="false" customHeight="false" outlineLevel="0" collapsed="false">
      <c r="A257" s="33"/>
      <c r="B257" s="6"/>
      <c r="C257" s="0" t="str">
        <f aca="false">IF(B257="","",IFERROR(VLOOKUP(B257,'Recetas y precios'!$A$5:$B$54,2,FALSE()),""))</f>
        <v/>
      </c>
      <c r="D257" s="20"/>
      <c r="E257" s="6"/>
      <c r="F257" s="29"/>
      <c r="G257" s="14" t="n">
        <f aca="false">E257*F257</f>
        <v>0</v>
      </c>
      <c r="H257" s="14" t="n">
        <f aca="false">IF(B257="",0,E257*IFERROR(VLOOKUP(B257,'Recetas y precios'!$A$5:$T$54,20,FALSE()),0))</f>
        <v>0</v>
      </c>
      <c r="I257" s="26"/>
      <c r="J257" s="14" t="n">
        <f aca="false">G257*I257</f>
        <v>0</v>
      </c>
      <c r="K257" s="14" t="n">
        <f aca="false">G257-H257-J257</f>
        <v>0</v>
      </c>
      <c r="L257" s="30" t="str">
        <f aca="false">IF(G257&gt;0,K257/G257,"")</f>
        <v/>
      </c>
      <c r="M257" s="6"/>
    </row>
    <row r="258" customFormat="false" ht="15" hidden="false" customHeight="false" outlineLevel="0" collapsed="false">
      <c r="A258" s="33"/>
      <c r="B258" s="6"/>
      <c r="C258" s="0" t="str">
        <f aca="false">IF(B258="","",IFERROR(VLOOKUP(B258,'Recetas y precios'!$A$5:$B$54,2,FALSE()),""))</f>
        <v/>
      </c>
      <c r="D258" s="20"/>
      <c r="E258" s="6"/>
      <c r="F258" s="29"/>
      <c r="G258" s="14" t="n">
        <f aca="false">E258*F258</f>
        <v>0</v>
      </c>
      <c r="H258" s="14" t="n">
        <f aca="false">IF(B258="",0,E258*IFERROR(VLOOKUP(B258,'Recetas y precios'!$A$5:$T$54,20,FALSE()),0))</f>
        <v>0</v>
      </c>
      <c r="I258" s="26"/>
      <c r="J258" s="14" t="n">
        <f aca="false">G258*I258</f>
        <v>0</v>
      </c>
      <c r="K258" s="14" t="n">
        <f aca="false">G258-H258-J258</f>
        <v>0</v>
      </c>
      <c r="L258" s="30" t="str">
        <f aca="false">IF(G258&gt;0,K258/G258,"")</f>
        <v/>
      </c>
      <c r="M258" s="6"/>
    </row>
    <row r="259" customFormat="false" ht="15" hidden="false" customHeight="false" outlineLevel="0" collapsed="false">
      <c r="A259" s="33"/>
      <c r="B259" s="6"/>
      <c r="C259" s="0" t="str">
        <f aca="false">IF(B259="","",IFERROR(VLOOKUP(B259,'Recetas y precios'!$A$5:$B$54,2,FALSE()),""))</f>
        <v/>
      </c>
      <c r="D259" s="20"/>
      <c r="E259" s="6"/>
      <c r="F259" s="29"/>
      <c r="G259" s="14" t="n">
        <f aca="false">E259*F259</f>
        <v>0</v>
      </c>
      <c r="H259" s="14" t="n">
        <f aca="false">IF(B259="",0,E259*IFERROR(VLOOKUP(B259,'Recetas y precios'!$A$5:$T$54,20,FALSE()),0))</f>
        <v>0</v>
      </c>
      <c r="I259" s="26"/>
      <c r="J259" s="14" t="n">
        <f aca="false">G259*I259</f>
        <v>0</v>
      </c>
      <c r="K259" s="14" t="n">
        <f aca="false">G259-H259-J259</f>
        <v>0</v>
      </c>
      <c r="L259" s="30" t="str">
        <f aca="false">IF(G259&gt;0,K259/G259,"")</f>
        <v/>
      </c>
      <c r="M259" s="6"/>
    </row>
    <row r="260" customFormat="false" ht="15" hidden="false" customHeight="false" outlineLevel="0" collapsed="false">
      <c r="A260" s="33"/>
      <c r="B260" s="6"/>
      <c r="C260" s="0" t="str">
        <f aca="false">IF(B260="","",IFERROR(VLOOKUP(B260,'Recetas y precios'!$A$5:$B$54,2,FALSE()),""))</f>
        <v/>
      </c>
      <c r="D260" s="20"/>
      <c r="E260" s="6"/>
      <c r="F260" s="29"/>
      <c r="G260" s="14" t="n">
        <f aca="false">E260*F260</f>
        <v>0</v>
      </c>
      <c r="H260" s="14" t="n">
        <f aca="false">IF(B260="",0,E260*IFERROR(VLOOKUP(B260,'Recetas y precios'!$A$5:$T$54,20,FALSE()),0))</f>
        <v>0</v>
      </c>
      <c r="I260" s="26"/>
      <c r="J260" s="14" t="n">
        <f aca="false">G260*I260</f>
        <v>0</v>
      </c>
      <c r="K260" s="14" t="n">
        <f aca="false">G260-H260-J260</f>
        <v>0</v>
      </c>
      <c r="L260" s="30" t="str">
        <f aca="false">IF(G260&gt;0,K260/G260,"")</f>
        <v/>
      </c>
      <c r="M260" s="6"/>
    </row>
    <row r="261" customFormat="false" ht="15" hidden="false" customHeight="false" outlineLevel="0" collapsed="false">
      <c r="A261" s="33"/>
      <c r="B261" s="6"/>
      <c r="C261" s="0" t="str">
        <f aca="false">IF(B261="","",IFERROR(VLOOKUP(B261,'Recetas y precios'!$A$5:$B$54,2,FALSE()),""))</f>
        <v/>
      </c>
      <c r="D261" s="20"/>
      <c r="E261" s="6"/>
      <c r="F261" s="29"/>
      <c r="G261" s="14" t="n">
        <f aca="false">E261*F261</f>
        <v>0</v>
      </c>
      <c r="H261" s="14" t="n">
        <f aca="false">IF(B261="",0,E261*IFERROR(VLOOKUP(B261,'Recetas y precios'!$A$5:$T$54,20,FALSE()),0))</f>
        <v>0</v>
      </c>
      <c r="I261" s="26"/>
      <c r="J261" s="14" t="n">
        <f aca="false">G261*I261</f>
        <v>0</v>
      </c>
      <c r="K261" s="14" t="n">
        <f aca="false">G261-H261-J261</f>
        <v>0</v>
      </c>
      <c r="L261" s="30" t="str">
        <f aca="false">IF(G261&gt;0,K261/G261,"")</f>
        <v/>
      </c>
      <c r="M261" s="6"/>
    </row>
    <row r="262" customFormat="false" ht="15" hidden="false" customHeight="false" outlineLevel="0" collapsed="false">
      <c r="A262" s="33"/>
      <c r="B262" s="6"/>
      <c r="C262" s="0" t="str">
        <f aca="false">IF(B262="","",IFERROR(VLOOKUP(B262,'Recetas y precios'!$A$5:$B$54,2,FALSE()),""))</f>
        <v/>
      </c>
      <c r="D262" s="20"/>
      <c r="E262" s="6"/>
      <c r="F262" s="29"/>
      <c r="G262" s="14" t="n">
        <f aca="false">E262*F262</f>
        <v>0</v>
      </c>
      <c r="H262" s="14" t="n">
        <f aca="false">IF(B262="",0,E262*IFERROR(VLOOKUP(B262,'Recetas y precios'!$A$5:$T$54,20,FALSE()),0))</f>
        <v>0</v>
      </c>
      <c r="I262" s="26"/>
      <c r="J262" s="14" t="n">
        <f aca="false">G262*I262</f>
        <v>0</v>
      </c>
      <c r="K262" s="14" t="n">
        <f aca="false">G262-H262-J262</f>
        <v>0</v>
      </c>
      <c r="L262" s="30" t="str">
        <f aca="false">IF(G262&gt;0,K262/G262,"")</f>
        <v/>
      </c>
      <c r="M262" s="6"/>
    </row>
    <row r="263" customFormat="false" ht="15" hidden="false" customHeight="false" outlineLevel="0" collapsed="false">
      <c r="A263" s="33"/>
      <c r="B263" s="6"/>
      <c r="C263" s="0" t="str">
        <f aca="false">IF(B263="","",IFERROR(VLOOKUP(B263,'Recetas y precios'!$A$5:$B$54,2,FALSE()),""))</f>
        <v/>
      </c>
      <c r="D263" s="20"/>
      <c r="E263" s="6"/>
      <c r="F263" s="29"/>
      <c r="G263" s="14" t="n">
        <f aca="false">E263*F263</f>
        <v>0</v>
      </c>
      <c r="H263" s="14" t="n">
        <f aca="false">IF(B263="",0,E263*IFERROR(VLOOKUP(B263,'Recetas y precios'!$A$5:$T$54,20,FALSE()),0))</f>
        <v>0</v>
      </c>
      <c r="I263" s="26"/>
      <c r="J263" s="14" t="n">
        <f aca="false">G263*I263</f>
        <v>0</v>
      </c>
      <c r="K263" s="14" t="n">
        <f aca="false">G263-H263-J263</f>
        <v>0</v>
      </c>
      <c r="L263" s="30" t="str">
        <f aca="false">IF(G263&gt;0,K263/G263,"")</f>
        <v/>
      </c>
      <c r="M263" s="6"/>
    </row>
    <row r="264" customFormat="false" ht="15" hidden="false" customHeight="false" outlineLevel="0" collapsed="false">
      <c r="A264" s="33"/>
      <c r="B264" s="6"/>
      <c r="C264" s="0" t="str">
        <f aca="false">IF(B264="","",IFERROR(VLOOKUP(B264,'Recetas y precios'!$A$5:$B$54,2,FALSE()),""))</f>
        <v/>
      </c>
      <c r="D264" s="20"/>
      <c r="E264" s="6"/>
      <c r="F264" s="29"/>
      <c r="G264" s="14" t="n">
        <f aca="false">E264*F264</f>
        <v>0</v>
      </c>
      <c r="H264" s="14" t="n">
        <f aca="false">IF(B264="",0,E264*IFERROR(VLOOKUP(B264,'Recetas y precios'!$A$5:$T$54,20,FALSE()),0))</f>
        <v>0</v>
      </c>
      <c r="I264" s="26"/>
      <c r="J264" s="14" t="n">
        <f aca="false">G264*I264</f>
        <v>0</v>
      </c>
      <c r="K264" s="14" t="n">
        <f aca="false">G264-H264-J264</f>
        <v>0</v>
      </c>
      <c r="L264" s="30" t="str">
        <f aca="false">IF(G264&gt;0,K264/G264,"")</f>
        <v/>
      </c>
      <c r="M264" s="6"/>
    </row>
    <row r="265" customFormat="false" ht="15" hidden="false" customHeight="false" outlineLevel="0" collapsed="false">
      <c r="A265" s="33"/>
      <c r="B265" s="6"/>
      <c r="C265" s="0" t="str">
        <f aca="false">IF(B265="","",IFERROR(VLOOKUP(B265,'Recetas y precios'!$A$5:$B$54,2,FALSE()),""))</f>
        <v/>
      </c>
      <c r="D265" s="20"/>
      <c r="E265" s="6"/>
      <c r="F265" s="29"/>
      <c r="G265" s="14" t="n">
        <f aca="false">E265*F265</f>
        <v>0</v>
      </c>
      <c r="H265" s="14" t="n">
        <f aca="false">IF(B265="",0,E265*IFERROR(VLOOKUP(B265,'Recetas y precios'!$A$5:$T$54,20,FALSE()),0))</f>
        <v>0</v>
      </c>
      <c r="I265" s="26"/>
      <c r="J265" s="14" t="n">
        <f aca="false">G265*I265</f>
        <v>0</v>
      </c>
      <c r="K265" s="14" t="n">
        <f aca="false">G265-H265-J265</f>
        <v>0</v>
      </c>
      <c r="L265" s="30" t="str">
        <f aca="false">IF(G265&gt;0,K265/G265,"")</f>
        <v/>
      </c>
      <c r="M265" s="6"/>
    </row>
    <row r="266" customFormat="false" ht="15" hidden="false" customHeight="false" outlineLevel="0" collapsed="false">
      <c r="A266" s="33"/>
      <c r="B266" s="6"/>
      <c r="C266" s="0" t="str">
        <f aca="false">IF(B266="","",IFERROR(VLOOKUP(B266,'Recetas y precios'!$A$5:$B$54,2,FALSE()),""))</f>
        <v/>
      </c>
      <c r="D266" s="20"/>
      <c r="E266" s="6"/>
      <c r="F266" s="29"/>
      <c r="G266" s="14" t="n">
        <f aca="false">E266*F266</f>
        <v>0</v>
      </c>
      <c r="H266" s="14" t="n">
        <f aca="false">IF(B266="",0,E266*IFERROR(VLOOKUP(B266,'Recetas y precios'!$A$5:$T$54,20,FALSE()),0))</f>
        <v>0</v>
      </c>
      <c r="I266" s="26"/>
      <c r="J266" s="14" t="n">
        <f aca="false">G266*I266</f>
        <v>0</v>
      </c>
      <c r="K266" s="14" t="n">
        <f aca="false">G266-H266-J266</f>
        <v>0</v>
      </c>
      <c r="L266" s="30" t="str">
        <f aca="false">IF(G266&gt;0,K266/G266,"")</f>
        <v/>
      </c>
      <c r="M266" s="6"/>
    </row>
    <row r="267" customFormat="false" ht="15" hidden="false" customHeight="false" outlineLevel="0" collapsed="false">
      <c r="A267" s="33"/>
      <c r="B267" s="6"/>
      <c r="C267" s="0" t="str">
        <f aca="false">IF(B267="","",IFERROR(VLOOKUP(B267,'Recetas y precios'!$A$5:$B$54,2,FALSE()),""))</f>
        <v/>
      </c>
      <c r="D267" s="20"/>
      <c r="E267" s="6"/>
      <c r="F267" s="29"/>
      <c r="G267" s="14" t="n">
        <f aca="false">E267*F267</f>
        <v>0</v>
      </c>
      <c r="H267" s="14" t="n">
        <f aca="false">IF(B267="",0,E267*IFERROR(VLOOKUP(B267,'Recetas y precios'!$A$5:$T$54,20,FALSE()),0))</f>
        <v>0</v>
      </c>
      <c r="I267" s="26"/>
      <c r="J267" s="14" t="n">
        <f aca="false">G267*I267</f>
        <v>0</v>
      </c>
      <c r="K267" s="14" t="n">
        <f aca="false">G267-H267-J267</f>
        <v>0</v>
      </c>
      <c r="L267" s="30" t="str">
        <f aca="false">IF(G267&gt;0,K267/G267,"")</f>
        <v/>
      </c>
      <c r="M267" s="6"/>
    </row>
    <row r="268" customFormat="false" ht="15" hidden="false" customHeight="false" outlineLevel="0" collapsed="false">
      <c r="A268" s="33"/>
      <c r="B268" s="6"/>
      <c r="C268" s="0" t="str">
        <f aca="false">IF(B268="","",IFERROR(VLOOKUP(B268,'Recetas y precios'!$A$5:$B$54,2,FALSE()),""))</f>
        <v/>
      </c>
      <c r="D268" s="20"/>
      <c r="E268" s="6"/>
      <c r="F268" s="29"/>
      <c r="G268" s="14" t="n">
        <f aca="false">E268*F268</f>
        <v>0</v>
      </c>
      <c r="H268" s="14" t="n">
        <f aca="false">IF(B268="",0,E268*IFERROR(VLOOKUP(B268,'Recetas y precios'!$A$5:$T$54,20,FALSE()),0))</f>
        <v>0</v>
      </c>
      <c r="I268" s="26"/>
      <c r="J268" s="14" t="n">
        <f aca="false">G268*I268</f>
        <v>0</v>
      </c>
      <c r="K268" s="14" t="n">
        <f aca="false">G268-H268-J268</f>
        <v>0</v>
      </c>
      <c r="L268" s="30" t="str">
        <f aca="false">IF(G268&gt;0,K268/G268,"")</f>
        <v/>
      </c>
      <c r="M268" s="6"/>
    </row>
    <row r="269" customFormat="false" ht="15" hidden="false" customHeight="false" outlineLevel="0" collapsed="false">
      <c r="A269" s="33"/>
      <c r="B269" s="6"/>
      <c r="C269" s="0" t="str">
        <f aca="false">IF(B269="","",IFERROR(VLOOKUP(B269,'Recetas y precios'!$A$5:$B$54,2,FALSE()),""))</f>
        <v/>
      </c>
      <c r="D269" s="20"/>
      <c r="E269" s="6"/>
      <c r="F269" s="29"/>
      <c r="G269" s="14" t="n">
        <f aca="false">E269*F269</f>
        <v>0</v>
      </c>
      <c r="H269" s="14" t="n">
        <f aca="false">IF(B269="",0,E269*IFERROR(VLOOKUP(B269,'Recetas y precios'!$A$5:$T$54,20,FALSE()),0))</f>
        <v>0</v>
      </c>
      <c r="I269" s="26"/>
      <c r="J269" s="14" t="n">
        <f aca="false">G269*I269</f>
        <v>0</v>
      </c>
      <c r="K269" s="14" t="n">
        <f aca="false">G269-H269-J269</f>
        <v>0</v>
      </c>
      <c r="L269" s="30" t="str">
        <f aca="false">IF(G269&gt;0,K269/G269,"")</f>
        <v/>
      </c>
      <c r="M269" s="6"/>
    </row>
    <row r="270" customFormat="false" ht="15" hidden="false" customHeight="false" outlineLevel="0" collapsed="false">
      <c r="A270" s="33"/>
      <c r="B270" s="6"/>
      <c r="C270" s="0" t="str">
        <f aca="false">IF(B270="","",IFERROR(VLOOKUP(B270,'Recetas y precios'!$A$5:$B$54,2,FALSE()),""))</f>
        <v/>
      </c>
      <c r="D270" s="20"/>
      <c r="E270" s="6"/>
      <c r="F270" s="29"/>
      <c r="G270" s="14" t="n">
        <f aca="false">E270*F270</f>
        <v>0</v>
      </c>
      <c r="H270" s="14" t="n">
        <f aca="false">IF(B270="",0,E270*IFERROR(VLOOKUP(B270,'Recetas y precios'!$A$5:$T$54,20,FALSE()),0))</f>
        <v>0</v>
      </c>
      <c r="I270" s="26"/>
      <c r="J270" s="14" t="n">
        <f aca="false">G270*I270</f>
        <v>0</v>
      </c>
      <c r="K270" s="14" t="n">
        <f aca="false">G270-H270-J270</f>
        <v>0</v>
      </c>
      <c r="L270" s="30" t="str">
        <f aca="false">IF(G270&gt;0,K270/G270,"")</f>
        <v/>
      </c>
      <c r="M270" s="6"/>
    </row>
    <row r="271" customFormat="false" ht="15" hidden="false" customHeight="false" outlineLevel="0" collapsed="false">
      <c r="A271" s="33"/>
      <c r="B271" s="6"/>
      <c r="C271" s="0" t="str">
        <f aca="false">IF(B271="","",IFERROR(VLOOKUP(B271,'Recetas y precios'!$A$5:$B$54,2,FALSE()),""))</f>
        <v/>
      </c>
      <c r="D271" s="20"/>
      <c r="E271" s="6"/>
      <c r="F271" s="29"/>
      <c r="G271" s="14" t="n">
        <f aca="false">E271*F271</f>
        <v>0</v>
      </c>
      <c r="H271" s="14" t="n">
        <f aca="false">IF(B271="",0,E271*IFERROR(VLOOKUP(B271,'Recetas y precios'!$A$5:$T$54,20,FALSE()),0))</f>
        <v>0</v>
      </c>
      <c r="I271" s="26"/>
      <c r="J271" s="14" t="n">
        <f aca="false">G271*I271</f>
        <v>0</v>
      </c>
      <c r="K271" s="14" t="n">
        <f aca="false">G271-H271-J271</f>
        <v>0</v>
      </c>
      <c r="L271" s="30" t="str">
        <f aca="false">IF(G271&gt;0,K271/G271,"")</f>
        <v/>
      </c>
      <c r="M271" s="6"/>
    </row>
    <row r="272" customFormat="false" ht="15" hidden="false" customHeight="false" outlineLevel="0" collapsed="false">
      <c r="A272" s="33"/>
      <c r="B272" s="6"/>
      <c r="C272" s="0" t="str">
        <f aca="false">IF(B272="","",IFERROR(VLOOKUP(B272,'Recetas y precios'!$A$5:$B$54,2,FALSE()),""))</f>
        <v/>
      </c>
      <c r="D272" s="20"/>
      <c r="E272" s="6"/>
      <c r="F272" s="29"/>
      <c r="G272" s="14" t="n">
        <f aca="false">E272*F272</f>
        <v>0</v>
      </c>
      <c r="H272" s="14" t="n">
        <f aca="false">IF(B272="",0,E272*IFERROR(VLOOKUP(B272,'Recetas y precios'!$A$5:$T$54,20,FALSE()),0))</f>
        <v>0</v>
      </c>
      <c r="I272" s="26"/>
      <c r="J272" s="14" t="n">
        <f aca="false">G272*I272</f>
        <v>0</v>
      </c>
      <c r="K272" s="14" t="n">
        <f aca="false">G272-H272-J272</f>
        <v>0</v>
      </c>
      <c r="L272" s="30" t="str">
        <f aca="false">IF(G272&gt;0,K272/G272,"")</f>
        <v/>
      </c>
      <c r="M272" s="6"/>
    </row>
    <row r="273" customFormat="false" ht="15" hidden="false" customHeight="false" outlineLevel="0" collapsed="false">
      <c r="A273" s="33"/>
      <c r="B273" s="6"/>
      <c r="C273" s="0" t="str">
        <f aca="false">IF(B273="","",IFERROR(VLOOKUP(B273,'Recetas y precios'!$A$5:$B$54,2,FALSE()),""))</f>
        <v/>
      </c>
      <c r="D273" s="20"/>
      <c r="E273" s="6"/>
      <c r="F273" s="29"/>
      <c r="G273" s="14" t="n">
        <f aca="false">E273*F273</f>
        <v>0</v>
      </c>
      <c r="H273" s="14" t="n">
        <f aca="false">IF(B273="",0,E273*IFERROR(VLOOKUP(B273,'Recetas y precios'!$A$5:$T$54,20,FALSE()),0))</f>
        <v>0</v>
      </c>
      <c r="I273" s="26"/>
      <c r="J273" s="14" t="n">
        <f aca="false">G273*I273</f>
        <v>0</v>
      </c>
      <c r="K273" s="14" t="n">
        <f aca="false">G273-H273-J273</f>
        <v>0</v>
      </c>
      <c r="L273" s="30" t="str">
        <f aca="false">IF(G273&gt;0,K273/G273,"")</f>
        <v/>
      </c>
      <c r="M273" s="6"/>
    </row>
    <row r="274" customFormat="false" ht="15" hidden="false" customHeight="false" outlineLevel="0" collapsed="false">
      <c r="A274" s="33"/>
      <c r="B274" s="6"/>
      <c r="C274" s="0" t="str">
        <f aca="false">IF(B274="","",IFERROR(VLOOKUP(B274,'Recetas y precios'!$A$5:$B$54,2,FALSE()),""))</f>
        <v/>
      </c>
      <c r="D274" s="20"/>
      <c r="E274" s="6"/>
      <c r="F274" s="29"/>
      <c r="G274" s="14" t="n">
        <f aca="false">E274*F274</f>
        <v>0</v>
      </c>
      <c r="H274" s="14" t="n">
        <f aca="false">IF(B274="",0,E274*IFERROR(VLOOKUP(B274,'Recetas y precios'!$A$5:$T$54,20,FALSE()),0))</f>
        <v>0</v>
      </c>
      <c r="I274" s="26"/>
      <c r="J274" s="14" t="n">
        <f aca="false">G274*I274</f>
        <v>0</v>
      </c>
      <c r="K274" s="14" t="n">
        <f aca="false">G274-H274-J274</f>
        <v>0</v>
      </c>
      <c r="L274" s="30" t="str">
        <f aca="false">IF(G274&gt;0,K274/G274,"")</f>
        <v/>
      </c>
      <c r="M274" s="6"/>
    </row>
    <row r="275" customFormat="false" ht="15" hidden="false" customHeight="false" outlineLevel="0" collapsed="false">
      <c r="A275" s="33"/>
      <c r="B275" s="6"/>
      <c r="C275" s="0" t="str">
        <f aca="false">IF(B275="","",IFERROR(VLOOKUP(B275,'Recetas y precios'!$A$5:$B$54,2,FALSE()),""))</f>
        <v/>
      </c>
      <c r="D275" s="20"/>
      <c r="E275" s="6"/>
      <c r="F275" s="29"/>
      <c r="G275" s="14" t="n">
        <f aca="false">E275*F275</f>
        <v>0</v>
      </c>
      <c r="H275" s="14" t="n">
        <f aca="false">IF(B275="",0,E275*IFERROR(VLOOKUP(B275,'Recetas y precios'!$A$5:$T$54,20,FALSE()),0))</f>
        <v>0</v>
      </c>
      <c r="I275" s="26"/>
      <c r="J275" s="14" t="n">
        <f aca="false">G275*I275</f>
        <v>0</v>
      </c>
      <c r="K275" s="14" t="n">
        <f aca="false">G275-H275-J275</f>
        <v>0</v>
      </c>
      <c r="L275" s="30" t="str">
        <f aca="false">IF(G275&gt;0,K275/G275,"")</f>
        <v/>
      </c>
      <c r="M275" s="6"/>
    </row>
    <row r="276" customFormat="false" ht="15" hidden="false" customHeight="false" outlineLevel="0" collapsed="false">
      <c r="A276" s="33"/>
      <c r="B276" s="6"/>
      <c r="C276" s="0" t="str">
        <f aca="false">IF(B276="","",IFERROR(VLOOKUP(B276,'Recetas y precios'!$A$5:$B$54,2,FALSE()),""))</f>
        <v/>
      </c>
      <c r="D276" s="20"/>
      <c r="E276" s="6"/>
      <c r="F276" s="29"/>
      <c r="G276" s="14" t="n">
        <f aca="false">E276*F276</f>
        <v>0</v>
      </c>
      <c r="H276" s="14" t="n">
        <f aca="false">IF(B276="",0,E276*IFERROR(VLOOKUP(B276,'Recetas y precios'!$A$5:$T$54,20,FALSE()),0))</f>
        <v>0</v>
      </c>
      <c r="I276" s="26"/>
      <c r="J276" s="14" t="n">
        <f aca="false">G276*I276</f>
        <v>0</v>
      </c>
      <c r="K276" s="14" t="n">
        <f aca="false">G276-H276-J276</f>
        <v>0</v>
      </c>
      <c r="L276" s="30" t="str">
        <f aca="false">IF(G276&gt;0,K276/G276,"")</f>
        <v/>
      </c>
      <c r="M276" s="6"/>
    </row>
    <row r="277" customFormat="false" ht="15" hidden="false" customHeight="false" outlineLevel="0" collapsed="false">
      <c r="A277" s="33"/>
      <c r="B277" s="6"/>
      <c r="C277" s="0" t="str">
        <f aca="false">IF(B277="","",IFERROR(VLOOKUP(B277,'Recetas y precios'!$A$5:$B$54,2,FALSE()),""))</f>
        <v/>
      </c>
      <c r="D277" s="20"/>
      <c r="E277" s="6"/>
      <c r="F277" s="29"/>
      <c r="G277" s="14" t="n">
        <f aca="false">E277*F277</f>
        <v>0</v>
      </c>
      <c r="H277" s="14" t="n">
        <f aca="false">IF(B277="",0,E277*IFERROR(VLOOKUP(B277,'Recetas y precios'!$A$5:$T$54,20,FALSE()),0))</f>
        <v>0</v>
      </c>
      <c r="I277" s="26"/>
      <c r="J277" s="14" t="n">
        <f aca="false">G277*I277</f>
        <v>0</v>
      </c>
      <c r="K277" s="14" t="n">
        <f aca="false">G277-H277-J277</f>
        <v>0</v>
      </c>
      <c r="L277" s="30" t="str">
        <f aca="false">IF(G277&gt;0,K277/G277,"")</f>
        <v/>
      </c>
      <c r="M277" s="6"/>
    </row>
    <row r="278" customFormat="false" ht="15" hidden="false" customHeight="false" outlineLevel="0" collapsed="false">
      <c r="A278" s="33"/>
      <c r="B278" s="6"/>
      <c r="C278" s="0" t="str">
        <f aca="false">IF(B278="","",IFERROR(VLOOKUP(B278,'Recetas y precios'!$A$5:$B$54,2,FALSE()),""))</f>
        <v/>
      </c>
      <c r="D278" s="20"/>
      <c r="E278" s="6"/>
      <c r="F278" s="29"/>
      <c r="G278" s="14" t="n">
        <f aca="false">E278*F278</f>
        <v>0</v>
      </c>
      <c r="H278" s="14" t="n">
        <f aca="false">IF(B278="",0,E278*IFERROR(VLOOKUP(B278,'Recetas y precios'!$A$5:$T$54,20,FALSE()),0))</f>
        <v>0</v>
      </c>
      <c r="I278" s="26"/>
      <c r="J278" s="14" t="n">
        <f aca="false">G278*I278</f>
        <v>0</v>
      </c>
      <c r="K278" s="14" t="n">
        <f aca="false">G278-H278-J278</f>
        <v>0</v>
      </c>
      <c r="L278" s="30" t="str">
        <f aca="false">IF(G278&gt;0,K278/G278,"")</f>
        <v/>
      </c>
      <c r="M278" s="6"/>
    </row>
    <row r="279" customFormat="false" ht="15" hidden="false" customHeight="false" outlineLevel="0" collapsed="false">
      <c r="A279" s="33"/>
      <c r="B279" s="6"/>
      <c r="C279" s="0" t="str">
        <f aca="false">IF(B279="","",IFERROR(VLOOKUP(B279,'Recetas y precios'!$A$5:$B$54,2,FALSE()),""))</f>
        <v/>
      </c>
      <c r="D279" s="20"/>
      <c r="E279" s="6"/>
      <c r="F279" s="29"/>
      <c r="G279" s="14" t="n">
        <f aca="false">E279*F279</f>
        <v>0</v>
      </c>
      <c r="H279" s="14" t="n">
        <f aca="false">IF(B279="",0,E279*IFERROR(VLOOKUP(B279,'Recetas y precios'!$A$5:$T$54,20,FALSE()),0))</f>
        <v>0</v>
      </c>
      <c r="I279" s="26"/>
      <c r="J279" s="14" t="n">
        <f aca="false">G279*I279</f>
        <v>0</v>
      </c>
      <c r="K279" s="14" t="n">
        <f aca="false">G279-H279-J279</f>
        <v>0</v>
      </c>
      <c r="L279" s="30" t="str">
        <f aca="false">IF(G279&gt;0,K279/G279,"")</f>
        <v/>
      </c>
      <c r="M279" s="6"/>
    </row>
    <row r="280" customFormat="false" ht="15" hidden="false" customHeight="false" outlineLevel="0" collapsed="false">
      <c r="A280" s="33"/>
      <c r="B280" s="6"/>
      <c r="C280" s="0" t="str">
        <f aca="false">IF(B280="","",IFERROR(VLOOKUP(B280,'Recetas y precios'!$A$5:$B$54,2,FALSE()),""))</f>
        <v/>
      </c>
      <c r="D280" s="20"/>
      <c r="E280" s="6"/>
      <c r="F280" s="29"/>
      <c r="G280" s="14" t="n">
        <f aca="false">E280*F280</f>
        <v>0</v>
      </c>
      <c r="H280" s="14" t="n">
        <f aca="false">IF(B280="",0,E280*IFERROR(VLOOKUP(B280,'Recetas y precios'!$A$5:$T$54,20,FALSE()),0))</f>
        <v>0</v>
      </c>
      <c r="I280" s="26"/>
      <c r="J280" s="14" t="n">
        <f aca="false">G280*I280</f>
        <v>0</v>
      </c>
      <c r="K280" s="14" t="n">
        <f aca="false">G280-H280-J280</f>
        <v>0</v>
      </c>
      <c r="L280" s="30" t="str">
        <f aca="false">IF(G280&gt;0,K280/G280,"")</f>
        <v/>
      </c>
      <c r="M280" s="6"/>
    </row>
    <row r="281" customFormat="false" ht="15" hidden="false" customHeight="false" outlineLevel="0" collapsed="false">
      <c r="A281" s="33"/>
      <c r="B281" s="6"/>
      <c r="C281" s="0" t="str">
        <f aca="false">IF(B281="","",IFERROR(VLOOKUP(B281,'Recetas y precios'!$A$5:$B$54,2,FALSE()),""))</f>
        <v/>
      </c>
      <c r="D281" s="20"/>
      <c r="E281" s="6"/>
      <c r="F281" s="29"/>
      <c r="G281" s="14" t="n">
        <f aca="false">E281*F281</f>
        <v>0</v>
      </c>
      <c r="H281" s="14" t="n">
        <f aca="false">IF(B281="",0,E281*IFERROR(VLOOKUP(B281,'Recetas y precios'!$A$5:$T$54,20,FALSE()),0))</f>
        <v>0</v>
      </c>
      <c r="I281" s="26"/>
      <c r="J281" s="14" t="n">
        <f aca="false">G281*I281</f>
        <v>0</v>
      </c>
      <c r="K281" s="14" t="n">
        <f aca="false">G281-H281-J281</f>
        <v>0</v>
      </c>
      <c r="L281" s="30" t="str">
        <f aca="false">IF(G281&gt;0,K281/G281,"")</f>
        <v/>
      </c>
      <c r="M281" s="6"/>
    </row>
    <row r="282" customFormat="false" ht="15" hidden="false" customHeight="false" outlineLevel="0" collapsed="false">
      <c r="A282" s="33"/>
      <c r="B282" s="6"/>
      <c r="C282" s="0" t="str">
        <f aca="false">IF(B282="","",IFERROR(VLOOKUP(B282,'Recetas y precios'!$A$5:$B$54,2,FALSE()),""))</f>
        <v/>
      </c>
      <c r="D282" s="20"/>
      <c r="E282" s="6"/>
      <c r="F282" s="29"/>
      <c r="G282" s="14" t="n">
        <f aca="false">E282*F282</f>
        <v>0</v>
      </c>
      <c r="H282" s="14" t="n">
        <f aca="false">IF(B282="",0,E282*IFERROR(VLOOKUP(B282,'Recetas y precios'!$A$5:$T$54,20,FALSE()),0))</f>
        <v>0</v>
      </c>
      <c r="I282" s="26"/>
      <c r="J282" s="14" t="n">
        <f aca="false">G282*I282</f>
        <v>0</v>
      </c>
      <c r="K282" s="14" t="n">
        <f aca="false">G282-H282-J282</f>
        <v>0</v>
      </c>
      <c r="L282" s="30" t="str">
        <f aca="false">IF(G282&gt;0,K282/G282,"")</f>
        <v/>
      </c>
      <c r="M282" s="6"/>
    </row>
    <row r="283" customFormat="false" ht="15" hidden="false" customHeight="false" outlineLevel="0" collapsed="false">
      <c r="A283" s="33"/>
      <c r="B283" s="6"/>
      <c r="C283" s="0" t="str">
        <f aca="false">IF(B283="","",IFERROR(VLOOKUP(B283,'Recetas y precios'!$A$5:$B$54,2,FALSE()),""))</f>
        <v/>
      </c>
      <c r="D283" s="20"/>
      <c r="E283" s="6"/>
      <c r="F283" s="29"/>
      <c r="G283" s="14" t="n">
        <f aca="false">E283*F283</f>
        <v>0</v>
      </c>
      <c r="H283" s="14" t="n">
        <f aca="false">IF(B283="",0,E283*IFERROR(VLOOKUP(B283,'Recetas y precios'!$A$5:$T$54,20,FALSE()),0))</f>
        <v>0</v>
      </c>
      <c r="I283" s="26"/>
      <c r="J283" s="14" t="n">
        <f aca="false">G283*I283</f>
        <v>0</v>
      </c>
      <c r="K283" s="14" t="n">
        <f aca="false">G283-H283-J283</f>
        <v>0</v>
      </c>
      <c r="L283" s="30" t="str">
        <f aca="false">IF(G283&gt;0,K283/G283,"")</f>
        <v/>
      </c>
      <c r="M283" s="6"/>
    </row>
    <row r="284" customFormat="false" ht="15" hidden="false" customHeight="false" outlineLevel="0" collapsed="false">
      <c r="A284" s="33"/>
      <c r="B284" s="6"/>
      <c r="C284" s="0" t="str">
        <f aca="false">IF(B284="","",IFERROR(VLOOKUP(B284,'Recetas y precios'!$A$5:$B$54,2,FALSE()),""))</f>
        <v/>
      </c>
      <c r="D284" s="20"/>
      <c r="E284" s="6"/>
      <c r="F284" s="29"/>
      <c r="G284" s="14" t="n">
        <f aca="false">E284*F284</f>
        <v>0</v>
      </c>
      <c r="H284" s="14" t="n">
        <f aca="false">IF(B284="",0,E284*IFERROR(VLOOKUP(B284,'Recetas y precios'!$A$5:$T$54,20,FALSE()),0))</f>
        <v>0</v>
      </c>
      <c r="I284" s="26"/>
      <c r="J284" s="14" t="n">
        <f aca="false">G284*I284</f>
        <v>0</v>
      </c>
      <c r="K284" s="14" t="n">
        <f aca="false">G284-H284-J284</f>
        <v>0</v>
      </c>
      <c r="L284" s="30" t="str">
        <f aca="false">IF(G284&gt;0,K284/G284,"")</f>
        <v/>
      </c>
      <c r="M284" s="6"/>
    </row>
    <row r="285" customFormat="false" ht="15" hidden="false" customHeight="false" outlineLevel="0" collapsed="false">
      <c r="A285" s="33"/>
      <c r="B285" s="6"/>
      <c r="C285" s="0" t="str">
        <f aca="false">IF(B285="","",IFERROR(VLOOKUP(B285,'Recetas y precios'!$A$5:$B$54,2,FALSE()),""))</f>
        <v/>
      </c>
      <c r="D285" s="20"/>
      <c r="E285" s="6"/>
      <c r="F285" s="29"/>
      <c r="G285" s="14" t="n">
        <f aca="false">E285*F285</f>
        <v>0</v>
      </c>
      <c r="H285" s="14" t="n">
        <f aca="false">IF(B285="",0,E285*IFERROR(VLOOKUP(B285,'Recetas y precios'!$A$5:$T$54,20,FALSE()),0))</f>
        <v>0</v>
      </c>
      <c r="I285" s="26"/>
      <c r="J285" s="14" t="n">
        <f aca="false">G285*I285</f>
        <v>0</v>
      </c>
      <c r="K285" s="14" t="n">
        <f aca="false">G285-H285-J285</f>
        <v>0</v>
      </c>
      <c r="L285" s="30" t="str">
        <f aca="false">IF(G285&gt;0,K285/G285,"")</f>
        <v/>
      </c>
      <c r="M285" s="6"/>
    </row>
    <row r="286" customFormat="false" ht="15" hidden="false" customHeight="false" outlineLevel="0" collapsed="false">
      <c r="A286" s="33"/>
      <c r="B286" s="6"/>
      <c r="C286" s="0" t="str">
        <f aca="false">IF(B286="","",IFERROR(VLOOKUP(B286,'Recetas y precios'!$A$5:$B$54,2,FALSE()),""))</f>
        <v/>
      </c>
      <c r="D286" s="20"/>
      <c r="E286" s="6"/>
      <c r="F286" s="29"/>
      <c r="G286" s="14" t="n">
        <f aca="false">E286*F286</f>
        <v>0</v>
      </c>
      <c r="H286" s="14" t="n">
        <f aca="false">IF(B286="",0,E286*IFERROR(VLOOKUP(B286,'Recetas y precios'!$A$5:$T$54,20,FALSE()),0))</f>
        <v>0</v>
      </c>
      <c r="I286" s="26"/>
      <c r="J286" s="14" t="n">
        <f aca="false">G286*I286</f>
        <v>0</v>
      </c>
      <c r="K286" s="14" t="n">
        <f aca="false">G286-H286-J286</f>
        <v>0</v>
      </c>
      <c r="L286" s="30" t="str">
        <f aca="false">IF(G286&gt;0,K286/G286,"")</f>
        <v/>
      </c>
      <c r="M286" s="6"/>
    </row>
    <row r="287" customFormat="false" ht="15" hidden="false" customHeight="false" outlineLevel="0" collapsed="false">
      <c r="A287" s="33"/>
      <c r="B287" s="6"/>
      <c r="C287" s="0" t="str">
        <f aca="false">IF(B287="","",IFERROR(VLOOKUP(B287,'Recetas y precios'!$A$5:$B$54,2,FALSE()),""))</f>
        <v/>
      </c>
      <c r="D287" s="20"/>
      <c r="E287" s="6"/>
      <c r="F287" s="29"/>
      <c r="G287" s="14" t="n">
        <f aca="false">E287*F287</f>
        <v>0</v>
      </c>
      <c r="H287" s="14" t="n">
        <f aca="false">IF(B287="",0,E287*IFERROR(VLOOKUP(B287,'Recetas y precios'!$A$5:$T$54,20,FALSE()),0))</f>
        <v>0</v>
      </c>
      <c r="I287" s="26"/>
      <c r="J287" s="14" t="n">
        <f aca="false">G287*I287</f>
        <v>0</v>
      </c>
      <c r="K287" s="14" t="n">
        <f aca="false">G287-H287-J287</f>
        <v>0</v>
      </c>
      <c r="L287" s="30" t="str">
        <f aca="false">IF(G287&gt;0,K287/G287,"")</f>
        <v/>
      </c>
      <c r="M287" s="6"/>
    </row>
    <row r="288" customFormat="false" ht="15" hidden="false" customHeight="false" outlineLevel="0" collapsed="false">
      <c r="A288" s="33"/>
      <c r="B288" s="6"/>
      <c r="C288" s="0" t="str">
        <f aca="false">IF(B288="","",IFERROR(VLOOKUP(B288,'Recetas y precios'!$A$5:$B$54,2,FALSE()),""))</f>
        <v/>
      </c>
      <c r="D288" s="20"/>
      <c r="E288" s="6"/>
      <c r="F288" s="29"/>
      <c r="G288" s="14" t="n">
        <f aca="false">E288*F288</f>
        <v>0</v>
      </c>
      <c r="H288" s="14" t="n">
        <f aca="false">IF(B288="",0,E288*IFERROR(VLOOKUP(B288,'Recetas y precios'!$A$5:$T$54,20,FALSE()),0))</f>
        <v>0</v>
      </c>
      <c r="I288" s="26"/>
      <c r="J288" s="14" t="n">
        <f aca="false">G288*I288</f>
        <v>0</v>
      </c>
      <c r="K288" s="14" t="n">
        <f aca="false">G288-H288-J288</f>
        <v>0</v>
      </c>
      <c r="L288" s="30" t="str">
        <f aca="false">IF(G288&gt;0,K288/G288,"")</f>
        <v/>
      </c>
      <c r="M288" s="6"/>
    </row>
    <row r="289" customFormat="false" ht="15" hidden="false" customHeight="false" outlineLevel="0" collapsed="false">
      <c r="A289" s="33"/>
      <c r="B289" s="6"/>
      <c r="C289" s="0" t="str">
        <f aca="false">IF(B289="","",IFERROR(VLOOKUP(B289,'Recetas y precios'!$A$5:$B$54,2,FALSE()),""))</f>
        <v/>
      </c>
      <c r="D289" s="20"/>
      <c r="E289" s="6"/>
      <c r="F289" s="29"/>
      <c r="G289" s="14" t="n">
        <f aca="false">E289*F289</f>
        <v>0</v>
      </c>
      <c r="H289" s="14" t="n">
        <f aca="false">IF(B289="",0,E289*IFERROR(VLOOKUP(B289,'Recetas y precios'!$A$5:$T$54,20,FALSE()),0))</f>
        <v>0</v>
      </c>
      <c r="I289" s="26"/>
      <c r="J289" s="14" t="n">
        <f aca="false">G289*I289</f>
        <v>0</v>
      </c>
      <c r="K289" s="14" t="n">
        <f aca="false">G289-H289-J289</f>
        <v>0</v>
      </c>
      <c r="L289" s="30" t="str">
        <f aca="false">IF(G289&gt;0,K289/G289,"")</f>
        <v/>
      </c>
      <c r="M289" s="6"/>
    </row>
    <row r="290" customFormat="false" ht="15" hidden="false" customHeight="false" outlineLevel="0" collapsed="false">
      <c r="A290" s="33"/>
      <c r="B290" s="6"/>
      <c r="C290" s="0" t="str">
        <f aca="false">IF(B290="","",IFERROR(VLOOKUP(B290,'Recetas y precios'!$A$5:$B$54,2,FALSE()),""))</f>
        <v/>
      </c>
      <c r="D290" s="20"/>
      <c r="E290" s="6"/>
      <c r="F290" s="29"/>
      <c r="G290" s="14" t="n">
        <f aca="false">E290*F290</f>
        <v>0</v>
      </c>
      <c r="H290" s="14" t="n">
        <f aca="false">IF(B290="",0,E290*IFERROR(VLOOKUP(B290,'Recetas y precios'!$A$5:$T$54,20,FALSE()),0))</f>
        <v>0</v>
      </c>
      <c r="I290" s="26"/>
      <c r="J290" s="14" t="n">
        <f aca="false">G290*I290</f>
        <v>0</v>
      </c>
      <c r="K290" s="14" t="n">
        <f aca="false">G290-H290-J290</f>
        <v>0</v>
      </c>
      <c r="L290" s="30" t="str">
        <f aca="false">IF(G290&gt;0,K290/G290,"")</f>
        <v/>
      </c>
      <c r="M290" s="6"/>
    </row>
    <row r="291" customFormat="false" ht="15" hidden="false" customHeight="false" outlineLevel="0" collapsed="false">
      <c r="A291" s="33"/>
      <c r="B291" s="6"/>
      <c r="C291" s="0" t="str">
        <f aca="false">IF(B291="","",IFERROR(VLOOKUP(B291,'Recetas y precios'!$A$5:$B$54,2,FALSE()),""))</f>
        <v/>
      </c>
      <c r="D291" s="20"/>
      <c r="E291" s="6"/>
      <c r="F291" s="29"/>
      <c r="G291" s="14" t="n">
        <f aca="false">E291*F291</f>
        <v>0</v>
      </c>
      <c r="H291" s="14" t="n">
        <f aca="false">IF(B291="",0,E291*IFERROR(VLOOKUP(B291,'Recetas y precios'!$A$5:$T$54,20,FALSE()),0))</f>
        <v>0</v>
      </c>
      <c r="I291" s="26"/>
      <c r="J291" s="14" t="n">
        <f aca="false">G291*I291</f>
        <v>0</v>
      </c>
      <c r="K291" s="14" t="n">
        <f aca="false">G291-H291-J291</f>
        <v>0</v>
      </c>
      <c r="L291" s="30" t="str">
        <f aca="false">IF(G291&gt;0,K291/G291,"")</f>
        <v/>
      </c>
      <c r="M291" s="6"/>
    </row>
    <row r="292" customFormat="false" ht="15" hidden="false" customHeight="false" outlineLevel="0" collapsed="false">
      <c r="A292" s="33"/>
      <c r="B292" s="6"/>
      <c r="C292" s="0" t="str">
        <f aca="false">IF(B292="","",IFERROR(VLOOKUP(B292,'Recetas y precios'!$A$5:$B$54,2,FALSE()),""))</f>
        <v/>
      </c>
      <c r="D292" s="20"/>
      <c r="E292" s="6"/>
      <c r="F292" s="29"/>
      <c r="G292" s="14" t="n">
        <f aca="false">E292*F292</f>
        <v>0</v>
      </c>
      <c r="H292" s="14" t="n">
        <f aca="false">IF(B292="",0,E292*IFERROR(VLOOKUP(B292,'Recetas y precios'!$A$5:$T$54,20,FALSE()),0))</f>
        <v>0</v>
      </c>
      <c r="I292" s="26"/>
      <c r="J292" s="14" t="n">
        <f aca="false">G292*I292</f>
        <v>0</v>
      </c>
      <c r="K292" s="14" t="n">
        <f aca="false">G292-H292-J292</f>
        <v>0</v>
      </c>
      <c r="L292" s="30" t="str">
        <f aca="false">IF(G292&gt;0,K292/G292,"")</f>
        <v/>
      </c>
      <c r="M292" s="6"/>
    </row>
    <row r="293" customFormat="false" ht="15" hidden="false" customHeight="false" outlineLevel="0" collapsed="false">
      <c r="A293" s="33"/>
      <c r="B293" s="6"/>
      <c r="C293" s="0" t="str">
        <f aca="false">IF(B293="","",IFERROR(VLOOKUP(B293,'Recetas y precios'!$A$5:$B$54,2,FALSE()),""))</f>
        <v/>
      </c>
      <c r="D293" s="20"/>
      <c r="E293" s="6"/>
      <c r="F293" s="29"/>
      <c r="G293" s="14" t="n">
        <f aca="false">E293*F293</f>
        <v>0</v>
      </c>
      <c r="H293" s="14" t="n">
        <f aca="false">IF(B293="",0,E293*IFERROR(VLOOKUP(B293,'Recetas y precios'!$A$5:$T$54,20,FALSE()),0))</f>
        <v>0</v>
      </c>
      <c r="I293" s="26"/>
      <c r="J293" s="14" t="n">
        <f aca="false">G293*I293</f>
        <v>0</v>
      </c>
      <c r="K293" s="14" t="n">
        <f aca="false">G293-H293-J293</f>
        <v>0</v>
      </c>
      <c r="L293" s="30" t="str">
        <f aca="false">IF(G293&gt;0,K293/G293,"")</f>
        <v/>
      </c>
      <c r="M293" s="6"/>
    </row>
    <row r="294" customFormat="false" ht="15" hidden="false" customHeight="false" outlineLevel="0" collapsed="false">
      <c r="A294" s="33"/>
      <c r="B294" s="6"/>
      <c r="C294" s="0" t="str">
        <f aca="false">IF(B294="","",IFERROR(VLOOKUP(B294,'Recetas y precios'!$A$5:$B$54,2,FALSE()),""))</f>
        <v/>
      </c>
      <c r="D294" s="20"/>
      <c r="E294" s="6"/>
      <c r="F294" s="29"/>
      <c r="G294" s="14" t="n">
        <f aca="false">E294*F294</f>
        <v>0</v>
      </c>
      <c r="H294" s="14" t="n">
        <f aca="false">IF(B294="",0,E294*IFERROR(VLOOKUP(B294,'Recetas y precios'!$A$5:$T$54,20,FALSE()),0))</f>
        <v>0</v>
      </c>
      <c r="I294" s="26"/>
      <c r="J294" s="14" t="n">
        <f aca="false">G294*I294</f>
        <v>0</v>
      </c>
      <c r="K294" s="14" t="n">
        <f aca="false">G294-H294-J294</f>
        <v>0</v>
      </c>
      <c r="L294" s="30" t="str">
        <f aca="false">IF(G294&gt;0,K294/G294,"")</f>
        <v/>
      </c>
      <c r="M294" s="6"/>
    </row>
    <row r="295" customFormat="false" ht="15" hidden="false" customHeight="false" outlineLevel="0" collapsed="false">
      <c r="A295" s="33"/>
      <c r="B295" s="6"/>
      <c r="C295" s="0" t="str">
        <f aca="false">IF(B295="","",IFERROR(VLOOKUP(B295,'Recetas y precios'!$A$5:$B$54,2,FALSE()),""))</f>
        <v/>
      </c>
      <c r="D295" s="20"/>
      <c r="E295" s="6"/>
      <c r="F295" s="29"/>
      <c r="G295" s="14" t="n">
        <f aca="false">E295*F295</f>
        <v>0</v>
      </c>
      <c r="H295" s="14" t="n">
        <f aca="false">IF(B295="",0,E295*IFERROR(VLOOKUP(B295,'Recetas y precios'!$A$5:$T$54,20,FALSE()),0))</f>
        <v>0</v>
      </c>
      <c r="I295" s="26"/>
      <c r="J295" s="14" t="n">
        <f aca="false">G295*I295</f>
        <v>0</v>
      </c>
      <c r="K295" s="14" t="n">
        <f aca="false">G295-H295-J295</f>
        <v>0</v>
      </c>
      <c r="L295" s="30" t="str">
        <f aca="false">IF(G295&gt;0,K295/G295,"")</f>
        <v/>
      </c>
      <c r="M295" s="6"/>
    </row>
    <row r="296" customFormat="false" ht="15" hidden="false" customHeight="false" outlineLevel="0" collapsed="false">
      <c r="A296" s="33"/>
      <c r="B296" s="6"/>
      <c r="C296" s="0" t="str">
        <f aca="false">IF(B296="","",IFERROR(VLOOKUP(B296,'Recetas y precios'!$A$5:$B$54,2,FALSE()),""))</f>
        <v/>
      </c>
      <c r="D296" s="20"/>
      <c r="E296" s="6"/>
      <c r="F296" s="29"/>
      <c r="G296" s="14" t="n">
        <f aca="false">E296*F296</f>
        <v>0</v>
      </c>
      <c r="H296" s="14" t="n">
        <f aca="false">IF(B296="",0,E296*IFERROR(VLOOKUP(B296,'Recetas y precios'!$A$5:$T$54,20,FALSE()),0))</f>
        <v>0</v>
      </c>
      <c r="I296" s="26"/>
      <c r="J296" s="14" t="n">
        <f aca="false">G296*I296</f>
        <v>0</v>
      </c>
      <c r="K296" s="14" t="n">
        <f aca="false">G296-H296-J296</f>
        <v>0</v>
      </c>
      <c r="L296" s="30" t="str">
        <f aca="false">IF(G296&gt;0,K296/G296,"")</f>
        <v/>
      </c>
      <c r="M296" s="6"/>
    </row>
    <row r="297" customFormat="false" ht="15" hidden="false" customHeight="false" outlineLevel="0" collapsed="false">
      <c r="A297" s="33"/>
      <c r="B297" s="6"/>
      <c r="C297" s="0" t="str">
        <f aca="false">IF(B297="","",IFERROR(VLOOKUP(B297,'Recetas y precios'!$A$5:$B$54,2,FALSE()),""))</f>
        <v/>
      </c>
      <c r="D297" s="20"/>
      <c r="E297" s="6"/>
      <c r="F297" s="29"/>
      <c r="G297" s="14" t="n">
        <f aca="false">E297*F297</f>
        <v>0</v>
      </c>
      <c r="H297" s="14" t="n">
        <f aca="false">IF(B297="",0,E297*IFERROR(VLOOKUP(B297,'Recetas y precios'!$A$5:$T$54,20,FALSE()),0))</f>
        <v>0</v>
      </c>
      <c r="I297" s="26"/>
      <c r="J297" s="14" t="n">
        <f aca="false">G297*I297</f>
        <v>0</v>
      </c>
      <c r="K297" s="14" t="n">
        <f aca="false">G297-H297-J297</f>
        <v>0</v>
      </c>
      <c r="L297" s="30" t="str">
        <f aca="false">IF(G297&gt;0,K297/G297,"")</f>
        <v/>
      </c>
      <c r="M297" s="6"/>
    </row>
    <row r="298" customFormat="false" ht="15" hidden="false" customHeight="false" outlineLevel="0" collapsed="false">
      <c r="A298" s="33"/>
      <c r="B298" s="6"/>
      <c r="C298" s="0" t="str">
        <f aca="false">IF(B298="","",IFERROR(VLOOKUP(B298,'Recetas y precios'!$A$5:$B$54,2,FALSE()),""))</f>
        <v/>
      </c>
      <c r="D298" s="20"/>
      <c r="E298" s="6"/>
      <c r="F298" s="29"/>
      <c r="G298" s="14" t="n">
        <f aca="false">E298*F298</f>
        <v>0</v>
      </c>
      <c r="H298" s="14" t="n">
        <f aca="false">IF(B298="",0,E298*IFERROR(VLOOKUP(B298,'Recetas y precios'!$A$5:$T$54,20,FALSE()),0))</f>
        <v>0</v>
      </c>
      <c r="I298" s="26"/>
      <c r="J298" s="14" t="n">
        <f aca="false">G298*I298</f>
        <v>0</v>
      </c>
      <c r="K298" s="14" t="n">
        <f aca="false">G298-H298-J298</f>
        <v>0</v>
      </c>
      <c r="L298" s="30" t="str">
        <f aca="false">IF(G298&gt;0,K298/G298,"")</f>
        <v/>
      </c>
      <c r="M298" s="6"/>
    </row>
    <row r="299" customFormat="false" ht="15" hidden="false" customHeight="false" outlineLevel="0" collapsed="false">
      <c r="A299" s="33"/>
      <c r="B299" s="6"/>
      <c r="C299" s="0" t="str">
        <f aca="false">IF(B299="","",IFERROR(VLOOKUP(B299,'Recetas y precios'!$A$5:$B$54,2,FALSE()),""))</f>
        <v/>
      </c>
      <c r="D299" s="20"/>
      <c r="E299" s="6"/>
      <c r="F299" s="29"/>
      <c r="G299" s="14" t="n">
        <f aca="false">E299*F299</f>
        <v>0</v>
      </c>
      <c r="H299" s="14" t="n">
        <f aca="false">IF(B299="",0,E299*IFERROR(VLOOKUP(B299,'Recetas y precios'!$A$5:$T$54,20,FALSE()),0))</f>
        <v>0</v>
      </c>
      <c r="I299" s="26"/>
      <c r="J299" s="14" t="n">
        <f aca="false">G299*I299</f>
        <v>0</v>
      </c>
      <c r="K299" s="14" t="n">
        <f aca="false">G299-H299-J299</f>
        <v>0</v>
      </c>
      <c r="L299" s="30" t="str">
        <f aca="false">IF(G299&gt;0,K299/G299,"")</f>
        <v/>
      </c>
      <c r="M299" s="6"/>
    </row>
    <row r="300" customFormat="false" ht="15" hidden="false" customHeight="false" outlineLevel="0" collapsed="false">
      <c r="A300" s="33"/>
      <c r="B300" s="6"/>
      <c r="C300" s="0" t="str">
        <f aca="false">IF(B300="","",IFERROR(VLOOKUP(B300,'Recetas y precios'!$A$5:$B$54,2,FALSE()),""))</f>
        <v/>
      </c>
      <c r="D300" s="20"/>
      <c r="E300" s="6"/>
      <c r="F300" s="29"/>
      <c r="G300" s="14" t="n">
        <f aca="false">E300*F300</f>
        <v>0</v>
      </c>
      <c r="H300" s="14" t="n">
        <f aca="false">IF(B300="",0,E300*IFERROR(VLOOKUP(B300,'Recetas y precios'!$A$5:$T$54,20,FALSE()),0))</f>
        <v>0</v>
      </c>
      <c r="I300" s="26"/>
      <c r="J300" s="14" t="n">
        <f aca="false">G300*I300</f>
        <v>0</v>
      </c>
      <c r="K300" s="14" t="n">
        <f aca="false">G300-H300-J300</f>
        <v>0</v>
      </c>
      <c r="L300" s="30" t="str">
        <f aca="false">IF(G300&gt;0,K300/G300,"")</f>
        <v/>
      </c>
      <c r="M300" s="6"/>
    </row>
    <row r="301" customFormat="false" ht="15" hidden="false" customHeight="false" outlineLevel="0" collapsed="false">
      <c r="A301" s="33"/>
      <c r="B301" s="6"/>
      <c r="C301" s="0" t="str">
        <f aca="false">IF(B301="","",IFERROR(VLOOKUP(B301,'Recetas y precios'!$A$5:$B$54,2,FALSE()),""))</f>
        <v/>
      </c>
      <c r="D301" s="20"/>
      <c r="E301" s="6"/>
      <c r="F301" s="29"/>
      <c r="G301" s="14" t="n">
        <f aca="false">E301*F301</f>
        <v>0</v>
      </c>
      <c r="H301" s="14" t="n">
        <f aca="false">IF(B301="",0,E301*IFERROR(VLOOKUP(B301,'Recetas y precios'!$A$5:$T$54,20,FALSE()),0))</f>
        <v>0</v>
      </c>
      <c r="I301" s="26"/>
      <c r="J301" s="14" t="n">
        <f aca="false">G301*I301</f>
        <v>0</v>
      </c>
      <c r="K301" s="14" t="n">
        <f aca="false">G301-H301-J301</f>
        <v>0</v>
      </c>
      <c r="L301" s="30" t="str">
        <f aca="false">IF(G301&gt;0,K301/G301,"")</f>
        <v/>
      </c>
      <c r="M301" s="6"/>
    </row>
    <row r="302" customFormat="false" ht="15" hidden="false" customHeight="false" outlineLevel="0" collapsed="false">
      <c r="A302" s="33"/>
      <c r="B302" s="6"/>
      <c r="C302" s="0" t="str">
        <f aca="false">IF(B302="","",IFERROR(VLOOKUP(B302,'Recetas y precios'!$A$5:$B$54,2,FALSE()),""))</f>
        <v/>
      </c>
      <c r="D302" s="20"/>
      <c r="E302" s="6"/>
      <c r="F302" s="29"/>
      <c r="G302" s="14" t="n">
        <f aca="false">E302*F302</f>
        <v>0</v>
      </c>
      <c r="H302" s="14" t="n">
        <f aca="false">IF(B302="",0,E302*IFERROR(VLOOKUP(B302,'Recetas y precios'!$A$5:$T$54,20,FALSE()),0))</f>
        <v>0</v>
      </c>
      <c r="I302" s="26"/>
      <c r="J302" s="14" t="n">
        <f aca="false">G302*I302</f>
        <v>0</v>
      </c>
      <c r="K302" s="14" t="n">
        <f aca="false">G302-H302-J302</f>
        <v>0</v>
      </c>
      <c r="L302" s="30" t="str">
        <f aca="false">IF(G302&gt;0,K302/G302,"")</f>
        <v/>
      </c>
      <c r="M302" s="6"/>
    </row>
    <row r="303" customFormat="false" ht="15" hidden="false" customHeight="false" outlineLevel="0" collapsed="false">
      <c r="A303" s="33"/>
      <c r="B303" s="6"/>
      <c r="C303" s="0" t="str">
        <f aca="false">IF(B303="","",IFERROR(VLOOKUP(B303,'Recetas y precios'!$A$5:$B$54,2,FALSE()),""))</f>
        <v/>
      </c>
      <c r="D303" s="20"/>
      <c r="E303" s="6"/>
      <c r="F303" s="29"/>
      <c r="G303" s="14" t="n">
        <f aca="false">E303*F303</f>
        <v>0</v>
      </c>
      <c r="H303" s="14" t="n">
        <f aca="false">IF(B303="",0,E303*IFERROR(VLOOKUP(B303,'Recetas y precios'!$A$5:$T$54,20,FALSE()),0))</f>
        <v>0</v>
      </c>
      <c r="I303" s="26"/>
      <c r="J303" s="14" t="n">
        <f aca="false">G303*I303</f>
        <v>0</v>
      </c>
      <c r="K303" s="14" t="n">
        <f aca="false">G303-H303-J303</f>
        <v>0</v>
      </c>
      <c r="L303" s="30" t="str">
        <f aca="false">IF(G303&gt;0,K303/G303,"")</f>
        <v/>
      </c>
      <c r="M303" s="6"/>
    </row>
    <row r="304" customFormat="false" ht="15" hidden="false" customHeight="false" outlineLevel="0" collapsed="false">
      <c r="A304" s="33"/>
      <c r="B304" s="6"/>
      <c r="C304" s="0" t="str">
        <f aca="false">IF(B304="","",IFERROR(VLOOKUP(B304,'Recetas y precios'!$A$5:$B$54,2,FALSE()),""))</f>
        <v/>
      </c>
      <c r="D304" s="20"/>
      <c r="E304" s="6"/>
      <c r="F304" s="29"/>
      <c r="G304" s="14" t="n">
        <f aca="false">E304*F304</f>
        <v>0</v>
      </c>
      <c r="H304" s="14" t="n">
        <f aca="false">IF(B304="",0,E304*IFERROR(VLOOKUP(B304,'Recetas y precios'!$A$5:$T$54,20,FALSE()),0))</f>
        <v>0</v>
      </c>
      <c r="I304" s="26"/>
      <c r="J304" s="14" t="n">
        <f aca="false">G304*I304</f>
        <v>0</v>
      </c>
      <c r="K304" s="14" t="n">
        <f aca="false">G304-H304-J304</f>
        <v>0</v>
      </c>
      <c r="L304" s="30" t="str">
        <f aca="false">IF(G304&gt;0,K304/G304,"")</f>
        <v/>
      </c>
      <c r="M304" s="6"/>
    </row>
    <row r="305" customFormat="false" ht="15" hidden="false" customHeight="false" outlineLevel="0" collapsed="false">
      <c r="A305" s="33"/>
      <c r="B305" s="6"/>
      <c r="C305" s="0" t="str">
        <f aca="false">IF(B305="","",IFERROR(VLOOKUP(B305,'Recetas y precios'!$A$5:$B$54,2,FALSE()),""))</f>
        <v/>
      </c>
      <c r="D305" s="20"/>
      <c r="E305" s="6"/>
      <c r="F305" s="29"/>
      <c r="G305" s="14" t="n">
        <f aca="false">E305*F305</f>
        <v>0</v>
      </c>
      <c r="H305" s="14" t="n">
        <f aca="false">IF(B305="",0,E305*IFERROR(VLOOKUP(B305,'Recetas y precios'!$A$5:$T$54,20,FALSE()),0))</f>
        <v>0</v>
      </c>
      <c r="I305" s="26"/>
      <c r="J305" s="14" t="n">
        <f aca="false">G305*I305</f>
        <v>0</v>
      </c>
      <c r="K305" s="14" t="n">
        <f aca="false">G305-H305-J305</f>
        <v>0</v>
      </c>
      <c r="L305" s="30" t="str">
        <f aca="false">IF(G305&gt;0,K305/G305,"")</f>
        <v/>
      </c>
      <c r="M305" s="6"/>
    </row>
    <row r="306" customFormat="false" ht="15" hidden="false" customHeight="false" outlineLevel="0" collapsed="false">
      <c r="A306" s="33"/>
      <c r="B306" s="6"/>
      <c r="C306" s="0" t="str">
        <f aca="false">IF(B306="","",IFERROR(VLOOKUP(B306,'Recetas y precios'!$A$5:$B$54,2,FALSE()),""))</f>
        <v/>
      </c>
      <c r="D306" s="20"/>
      <c r="E306" s="6"/>
      <c r="F306" s="29"/>
      <c r="G306" s="14" t="n">
        <f aca="false">E306*F306</f>
        <v>0</v>
      </c>
      <c r="H306" s="14" t="n">
        <f aca="false">IF(B306="",0,E306*IFERROR(VLOOKUP(B306,'Recetas y precios'!$A$5:$T$54,20,FALSE()),0))</f>
        <v>0</v>
      </c>
      <c r="I306" s="26"/>
      <c r="J306" s="14" t="n">
        <f aca="false">G306*I306</f>
        <v>0</v>
      </c>
      <c r="K306" s="14" t="n">
        <f aca="false">G306-H306-J306</f>
        <v>0</v>
      </c>
      <c r="L306" s="30" t="str">
        <f aca="false">IF(G306&gt;0,K306/G306,"")</f>
        <v/>
      </c>
      <c r="M306" s="6"/>
    </row>
    <row r="307" customFormat="false" ht="15" hidden="false" customHeight="false" outlineLevel="0" collapsed="false">
      <c r="A307" s="33"/>
      <c r="B307" s="6"/>
      <c r="C307" s="0" t="str">
        <f aca="false">IF(B307="","",IFERROR(VLOOKUP(B307,'Recetas y precios'!$A$5:$B$54,2,FALSE()),""))</f>
        <v/>
      </c>
      <c r="D307" s="20"/>
      <c r="E307" s="6"/>
      <c r="F307" s="29"/>
      <c r="G307" s="14" t="n">
        <f aca="false">E307*F307</f>
        <v>0</v>
      </c>
      <c r="H307" s="14" t="n">
        <f aca="false">IF(B307="",0,E307*IFERROR(VLOOKUP(B307,'Recetas y precios'!$A$5:$T$54,20,FALSE()),0))</f>
        <v>0</v>
      </c>
      <c r="I307" s="26"/>
      <c r="J307" s="14" t="n">
        <f aca="false">G307*I307</f>
        <v>0</v>
      </c>
      <c r="K307" s="14" t="n">
        <f aca="false">G307-H307-J307</f>
        <v>0</v>
      </c>
      <c r="L307" s="30" t="str">
        <f aca="false">IF(G307&gt;0,K307/G307,"")</f>
        <v/>
      </c>
      <c r="M307" s="6"/>
    </row>
    <row r="308" customFormat="false" ht="15" hidden="false" customHeight="false" outlineLevel="0" collapsed="false">
      <c r="A308" s="33"/>
      <c r="B308" s="6"/>
      <c r="C308" s="0" t="str">
        <f aca="false">IF(B308="","",IFERROR(VLOOKUP(B308,'Recetas y precios'!$A$5:$B$54,2,FALSE()),""))</f>
        <v/>
      </c>
      <c r="D308" s="20"/>
      <c r="E308" s="6"/>
      <c r="F308" s="29"/>
      <c r="G308" s="14" t="n">
        <f aca="false">E308*F308</f>
        <v>0</v>
      </c>
      <c r="H308" s="14" t="n">
        <f aca="false">IF(B308="",0,E308*IFERROR(VLOOKUP(B308,'Recetas y precios'!$A$5:$T$54,20,FALSE()),0))</f>
        <v>0</v>
      </c>
      <c r="I308" s="26"/>
      <c r="J308" s="14" t="n">
        <f aca="false">G308*I308</f>
        <v>0</v>
      </c>
      <c r="K308" s="14" t="n">
        <f aca="false">G308-H308-J308</f>
        <v>0</v>
      </c>
      <c r="L308" s="30" t="str">
        <f aca="false">IF(G308&gt;0,K308/G308,"")</f>
        <v/>
      </c>
      <c r="M308" s="6"/>
    </row>
    <row r="309" customFormat="false" ht="15" hidden="false" customHeight="false" outlineLevel="0" collapsed="false">
      <c r="A309" s="33"/>
      <c r="B309" s="6"/>
      <c r="C309" s="0" t="str">
        <f aca="false">IF(B309="","",IFERROR(VLOOKUP(B309,'Recetas y precios'!$A$5:$B$54,2,FALSE()),""))</f>
        <v/>
      </c>
      <c r="D309" s="20"/>
      <c r="E309" s="6"/>
      <c r="F309" s="29"/>
      <c r="G309" s="14" t="n">
        <f aca="false">E309*F309</f>
        <v>0</v>
      </c>
      <c r="H309" s="14" t="n">
        <f aca="false">IF(B309="",0,E309*IFERROR(VLOOKUP(B309,'Recetas y precios'!$A$5:$T$54,20,FALSE()),0))</f>
        <v>0</v>
      </c>
      <c r="I309" s="26"/>
      <c r="J309" s="14" t="n">
        <f aca="false">G309*I309</f>
        <v>0</v>
      </c>
      <c r="K309" s="14" t="n">
        <f aca="false">G309-H309-J309</f>
        <v>0</v>
      </c>
      <c r="L309" s="30" t="str">
        <f aca="false">IF(G309&gt;0,K309/G309,"")</f>
        <v/>
      </c>
      <c r="M309" s="6"/>
    </row>
    <row r="310" customFormat="false" ht="15" hidden="false" customHeight="false" outlineLevel="0" collapsed="false">
      <c r="A310" s="33"/>
      <c r="B310" s="6"/>
      <c r="C310" s="0" t="str">
        <f aca="false">IF(B310="","",IFERROR(VLOOKUP(B310,'Recetas y precios'!$A$5:$B$54,2,FALSE()),""))</f>
        <v/>
      </c>
      <c r="D310" s="20"/>
      <c r="E310" s="6"/>
      <c r="F310" s="29"/>
      <c r="G310" s="14" t="n">
        <f aca="false">E310*F310</f>
        <v>0</v>
      </c>
      <c r="H310" s="14" t="n">
        <f aca="false">IF(B310="",0,E310*IFERROR(VLOOKUP(B310,'Recetas y precios'!$A$5:$T$54,20,FALSE()),0))</f>
        <v>0</v>
      </c>
      <c r="I310" s="26"/>
      <c r="J310" s="14" t="n">
        <f aca="false">G310*I310</f>
        <v>0</v>
      </c>
      <c r="K310" s="14" t="n">
        <f aca="false">G310-H310-J310</f>
        <v>0</v>
      </c>
      <c r="L310" s="30" t="str">
        <f aca="false">IF(G310&gt;0,K310/G310,"")</f>
        <v/>
      </c>
      <c r="M310" s="6"/>
    </row>
    <row r="311" customFormat="false" ht="15" hidden="false" customHeight="false" outlineLevel="0" collapsed="false">
      <c r="A311" s="33"/>
      <c r="B311" s="6"/>
      <c r="C311" s="0" t="str">
        <f aca="false">IF(B311="","",IFERROR(VLOOKUP(B311,'Recetas y precios'!$A$5:$B$54,2,FALSE()),""))</f>
        <v/>
      </c>
      <c r="D311" s="20"/>
      <c r="E311" s="6"/>
      <c r="F311" s="29"/>
      <c r="G311" s="14" t="n">
        <f aca="false">E311*F311</f>
        <v>0</v>
      </c>
      <c r="H311" s="14" t="n">
        <f aca="false">IF(B311="",0,E311*IFERROR(VLOOKUP(B311,'Recetas y precios'!$A$5:$T$54,20,FALSE()),0))</f>
        <v>0</v>
      </c>
      <c r="I311" s="26"/>
      <c r="J311" s="14" t="n">
        <f aca="false">G311*I311</f>
        <v>0</v>
      </c>
      <c r="K311" s="14" t="n">
        <f aca="false">G311-H311-J311</f>
        <v>0</v>
      </c>
      <c r="L311" s="30" t="str">
        <f aca="false">IF(G311&gt;0,K311/G311,"")</f>
        <v/>
      </c>
      <c r="M311" s="6"/>
    </row>
    <row r="312" customFormat="false" ht="15" hidden="false" customHeight="false" outlineLevel="0" collapsed="false">
      <c r="A312" s="33"/>
      <c r="B312" s="6"/>
      <c r="C312" s="0" t="str">
        <f aca="false">IF(B312="","",IFERROR(VLOOKUP(B312,'Recetas y precios'!$A$5:$B$54,2,FALSE()),""))</f>
        <v/>
      </c>
      <c r="D312" s="20"/>
      <c r="E312" s="6"/>
      <c r="F312" s="29"/>
      <c r="G312" s="14" t="n">
        <f aca="false">E312*F312</f>
        <v>0</v>
      </c>
      <c r="H312" s="14" t="n">
        <f aca="false">IF(B312="",0,E312*IFERROR(VLOOKUP(B312,'Recetas y precios'!$A$5:$T$54,20,FALSE()),0))</f>
        <v>0</v>
      </c>
      <c r="I312" s="26"/>
      <c r="J312" s="14" t="n">
        <f aca="false">G312*I312</f>
        <v>0</v>
      </c>
      <c r="K312" s="14" t="n">
        <f aca="false">G312-H312-J312</f>
        <v>0</v>
      </c>
      <c r="L312" s="30" t="str">
        <f aca="false">IF(G312&gt;0,K312/G312,"")</f>
        <v/>
      </c>
      <c r="M312" s="6"/>
    </row>
    <row r="313" customFormat="false" ht="15" hidden="false" customHeight="false" outlineLevel="0" collapsed="false">
      <c r="A313" s="33"/>
      <c r="B313" s="6"/>
      <c r="C313" s="0" t="str">
        <f aca="false">IF(B313="","",IFERROR(VLOOKUP(B313,'Recetas y precios'!$A$5:$B$54,2,FALSE()),""))</f>
        <v/>
      </c>
      <c r="D313" s="20"/>
      <c r="E313" s="6"/>
      <c r="F313" s="29"/>
      <c r="G313" s="14" t="n">
        <f aca="false">E313*F313</f>
        <v>0</v>
      </c>
      <c r="H313" s="14" t="n">
        <f aca="false">IF(B313="",0,E313*IFERROR(VLOOKUP(B313,'Recetas y precios'!$A$5:$T$54,20,FALSE()),0))</f>
        <v>0</v>
      </c>
      <c r="I313" s="26"/>
      <c r="J313" s="14" t="n">
        <f aca="false">G313*I313</f>
        <v>0</v>
      </c>
      <c r="K313" s="14" t="n">
        <f aca="false">G313-H313-J313</f>
        <v>0</v>
      </c>
      <c r="L313" s="30" t="str">
        <f aca="false">IF(G313&gt;0,K313/G313,"")</f>
        <v/>
      </c>
      <c r="M313" s="6"/>
    </row>
    <row r="314" customFormat="false" ht="15" hidden="false" customHeight="false" outlineLevel="0" collapsed="false">
      <c r="A314" s="33"/>
      <c r="B314" s="6"/>
      <c r="C314" s="0" t="str">
        <f aca="false">IF(B314="","",IFERROR(VLOOKUP(B314,'Recetas y precios'!$A$5:$B$54,2,FALSE()),""))</f>
        <v/>
      </c>
      <c r="D314" s="20"/>
      <c r="E314" s="6"/>
      <c r="F314" s="29"/>
      <c r="G314" s="14" t="n">
        <f aca="false">E314*F314</f>
        <v>0</v>
      </c>
      <c r="H314" s="14" t="n">
        <f aca="false">IF(B314="",0,E314*IFERROR(VLOOKUP(B314,'Recetas y precios'!$A$5:$T$54,20,FALSE()),0))</f>
        <v>0</v>
      </c>
      <c r="I314" s="26"/>
      <c r="J314" s="14" t="n">
        <f aca="false">G314*I314</f>
        <v>0</v>
      </c>
      <c r="K314" s="14" t="n">
        <f aca="false">G314-H314-J314</f>
        <v>0</v>
      </c>
      <c r="L314" s="30" t="str">
        <f aca="false">IF(G314&gt;0,K314/G314,"")</f>
        <v/>
      </c>
      <c r="M314" s="6"/>
    </row>
    <row r="315" customFormat="false" ht="15" hidden="false" customHeight="false" outlineLevel="0" collapsed="false">
      <c r="A315" s="33"/>
      <c r="B315" s="6"/>
      <c r="C315" s="0" t="str">
        <f aca="false">IF(B315="","",IFERROR(VLOOKUP(B315,'Recetas y precios'!$A$5:$B$54,2,FALSE()),""))</f>
        <v/>
      </c>
      <c r="D315" s="20"/>
      <c r="E315" s="6"/>
      <c r="F315" s="29"/>
      <c r="G315" s="14" t="n">
        <f aca="false">E315*F315</f>
        <v>0</v>
      </c>
      <c r="H315" s="14" t="n">
        <f aca="false">IF(B315="",0,E315*IFERROR(VLOOKUP(B315,'Recetas y precios'!$A$5:$T$54,20,FALSE()),0))</f>
        <v>0</v>
      </c>
      <c r="I315" s="26"/>
      <c r="J315" s="14" t="n">
        <f aca="false">G315*I315</f>
        <v>0</v>
      </c>
      <c r="K315" s="14" t="n">
        <f aca="false">G315-H315-J315</f>
        <v>0</v>
      </c>
      <c r="L315" s="30" t="str">
        <f aca="false">IF(G315&gt;0,K315/G315,"")</f>
        <v/>
      </c>
      <c r="M315" s="6"/>
    </row>
    <row r="316" customFormat="false" ht="15" hidden="false" customHeight="false" outlineLevel="0" collapsed="false">
      <c r="A316" s="33"/>
      <c r="B316" s="6"/>
      <c r="C316" s="0" t="str">
        <f aca="false">IF(B316="","",IFERROR(VLOOKUP(B316,'Recetas y precios'!$A$5:$B$54,2,FALSE()),""))</f>
        <v/>
      </c>
      <c r="D316" s="20"/>
      <c r="E316" s="6"/>
      <c r="F316" s="29"/>
      <c r="G316" s="14" t="n">
        <f aca="false">E316*F316</f>
        <v>0</v>
      </c>
      <c r="H316" s="14" t="n">
        <f aca="false">IF(B316="",0,E316*IFERROR(VLOOKUP(B316,'Recetas y precios'!$A$5:$T$54,20,FALSE()),0))</f>
        <v>0</v>
      </c>
      <c r="I316" s="26"/>
      <c r="J316" s="14" t="n">
        <f aca="false">G316*I316</f>
        <v>0</v>
      </c>
      <c r="K316" s="14" t="n">
        <f aca="false">G316-H316-J316</f>
        <v>0</v>
      </c>
      <c r="L316" s="30" t="str">
        <f aca="false">IF(G316&gt;0,K316/G316,"")</f>
        <v/>
      </c>
      <c r="M316" s="6"/>
    </row>
    <row r="317" customFormat="false" ht="15" hidden="false" customHeight="false" outlineLevel="0" collapsed="false">
      <c r="A317" s="33"/>
      <c r="B317" s="6"/>
      <c r="C317" s="0" t="str">
        <f aca="false">IF(B317="","",IFERROR(VLOOKUP(B317,'Recetas y precios'!$A$5:$B$54,2,FALSE()),""))</f>
        <v/>
      </c>
      <c r="D317" s="20"/>
      <c r="E317" s="6"/>
      <c r="F317" s="29"/>
      <c r="G317" s="14" t="n">
        <f aca="false">E317*F317</f>
        <v>0</v>
      </c>
      <c r="H317" s="14" t="n">
        <f aca="false">IF(B317="",0,E317*IFERROR(VLOOKUP(B317,'Recetas y precios'!$A$5:$T$54,20,FALSE()),0))</f>
        <v>0</v>
      </c>
      <c r="I317" s="26"/>
      <c r="J317" s="14" t="n">
        <f aca="false">G317*I317</f>
        <v>0</v>
      </c>
      <c r="K317" s="14" t="n">
        <f aca="false">G317-H317-J317</f>
        <v>0</v>
      </c>
      <c r="L317" s="30" t="str">
        <f aca="false">IF(G317&gt;0,K317/G317,"")</f>
        <v/>
      </c>
      <c r="M317" s="6"/>
    </row>
    <row r="318" customFormat="false" ht="15" hidden="false" customHeight="false" outlineLevel="0" collapsed="false">
      <c r="A318" s="33"/>
      <c r="B318" s="6"/>
      <c r="C318" s="0" t="str">
        <f aca="false">IF(B318="","",IFERROR(VLOOKUP(B318,'Recetas y precios'!$A$5:$B$54,2,FALSE()),""))</f>
        <v/>
      </c>
      <c r="D318" s="20"/>
      <c r="E318" s="6"/>
      <c r="F318" s="29"/>
      <c r="G318" s="14" t="n">
        <f aca="false">E318*F318</f>
        <v>0</v>
      </c>
      <c r="H318" s="14" t="n">
        <f aca="false">IF(B318="",0,E318*IFERROR(VLOOKUP(B318,'Recetas y precios'!$A$5:$T$54,20,FALSE()),0))</f>
        <v>0</v>
      </c>
      <c r="I318" s="26"/>
      <c r="J318" s="14" t="n">
        <f aca="false">G318*I318</f>
        <v>0</v>
      </c>
      <c r="K318" s="14" t="n">
        <f aca="false">G318-H318-J318</f>
        <v>0</v>
      </c>
      <c r="L318" s="30" t="str">
        <f aca="false">IF(G318&gt;0,K318/G318,"")</f>
        <v/>
      </c>
      <c r="M318" s="6"/>
    </row>
    <row r="319" customFormat="false" ht="15" hidden="false" customHeight="false" outlineLevel="0" collapsed="false">
      <c r="A319" s="33"/>
      <c r="B319" s="6"/>
      <c r="C319" s="0" t="str">
        <f aca="false">IF(B319="","",IFERROR(VLOOKUP(B319,'Recetas y precios'!$A$5:$B$54,2,FALSE()),""))</f>
        <v/>
      </c>
      <c r="D319" s="20"/>
      <c r="E319" s="6"/>
      <c r="F319" s="29"/>
      <c r="G319" s="14" t="n">
        <f aca="false">E319*F319</f>
        <v>0</v>
      </c>
      <c r="H319" s="14" t="n">
        <f aca="false">IF(B319="",0,E319*IFERROR(VLOOKUP(B319,'Recetas y precios'!$A$5:$T$54,20,FALSE()),0))</f>
        <v>0</v>
      </c>
      <c r="I319" s="26"/>
      <c r="J319" s="14" t="n">
        <f aca="false">G319*I319</f>
        <v>0</v>
      </c>
      <c r="K319" s="14" t="n">
        <f aca="false">G319-H319-J319</f>
        <v>0</v>
      </c>
      <c r="L319" s="30" t="str">
        <f aca="false">IF(G319&gt;0,K319/G319,"")</f>
        <v/>
      </c>
      <c r="M319" s="6"/>
    </row>
    <row r="320" customFormat="false" ht="15" hidden="false" customHeight="false" outlineLevel="0" collapsed="false">
      <c r="A320" s="33"/>
      <c r="B320" s="6"/>
      <c r="C320" s="0" t="str">
        <f aca="false">IF(B320="","",IFERROR(VLOOKUP(B320,'Recetas y precios'!$A$5:$B$54,2,FALSE()),""))</f>
        <v/>
      </c>
      <c r="D320" s="20"/>
      <c r="E320" s="6"/>
      <c r="F320" s="29"/>
      <c r="G320" s="14" t="n">
        <f aca="false">E320*F320</f>
        <v>0</v>
      </c>
      <c r="H320" s="14" t="n">
        <f aca="false">IF(B320="",0,E320*IFERROR(VLOOKUP(B320,'Recetas y precios'!$A$5:$T$54,20,FALSE()),0))</f>
        <v>0</v>
      </c>
      <c r="I320" s="26"/>
      <c r="J320" s="14" t="n">
        <f aca="false">G320*I320</f>
        <v>0</v>
      </c>
      <c r="K320" s="14" t="n">
        <f aca="false">G320-H320-J320</f>
        <v>0</v>
      </c>
      <c r="L320" s="30" t="str">
        <f aca="false">IF(G320&gt;0,K320/G320,"")</f>
        <v/>
      </c>
      <c r="M320" s="6"/>
    </row>
    <row r="321" customFormat="false" ht="15" hidden="false" customHeight="false" outlineLevel="0" collapsed="false">
      <c r="A321" s="33"/>
      <c r="B321" s="6"/>
      <c r="C321" s="0" t="str">
        <f aca="false">IF(B321="","",IFERROR(VLOOKUP(B321,'Recetas y precios'!$A$5:$B$54,2,FALSE()),""))</f>
        <v/>
      </c>
      <c r="D321" s="20"/>
      <c r="E321" s="6"/>
      <c r="F321" s="29"/>
      <c r="G321" s="14" t="n">
        <f aca="false">E321*F321</f>
        <v>0</v>
      </c>
      <c r="H321" s="14" t="n">
        <f aca="false">IF(B321="",0,E321*IFERROR(VLOOKUP(B321,'Recetas y precios'!$A$5:$T$54,20,FALSE()),0))</f>
        <v>0</v>
      </c>
      <c r="I321" s="26"/>
      <c r="J321" s="14" t="n">
        <f aca="false">G321*I321</f>
        <v>0</v>
      </c>
      <c r="K321" s="14" t="n">
        <f aca="false">G321-H321-J321</f>
        <v>0</v>
      </c>
      <c r="L321" s="30" t="str">
        <f aca="false">IF(G321&gt;0,K321/G321,"")</f>
        <v/>
      </c>
      <c r="M321" s="6"/>
    </row>
    <row r="322" customFormat="false" ht="15" hidden="false" customHeight="false" outlineLevel="0" collapsed="false">
      <c r="A322" s="33"/>
      <c r="B322" s="6"/>
      <c r="C322" s="0" t="str">
        <f aca="false">IF(B322="","",IFERROR(VLOOKUP(B322,'Recetas y precios'!$A$5:$B$54,2,FALSE()),""))</f>
        <v/>
      </c>
      <c r="D322" s="20"/>
      <c r="E322" s="6"/>
      <c r="F322" s="29"/>
      <c r="G322" s="14" t="n">
        <f aca="false">E322*F322</f>
        <v>0</v>
      </c>
      <c r="H322" s="14" t="n">
        <f aca="false">IF(B322="",0,E322*IFERROR(VLOOKUP(B322,'Recetas y precios'!$A$5:$T$54,20,FALSE()),0))</f>
        <v>0</v>
      </c>
      <c r="I322" s="26"/>
      <c r="J322" s="14" t="n">
        <f aca="false">G322*I322</f>
        <v>0</v>
      </c>
      <c r="K322" s="14" t="n">
        <f aca="false">G322-H322-J322</f>
        <v>0</v>
      </c>
      <c r="L322" s="30" t="str">
        <f aca="false">IF(G322&gt;0,K322/G322,"")</f>
        <v/>
      </c>
      <c r="M322" s="6"/>
    </row>
    <row r="323" customFormat="false" ht="15" hidden="false" customHeight="false" outlineLevel="0" collapsed="false">
      <c r="A323" s="33"/>
      <c r="B323" s="6"/>
      <c r="C323" s="0" t="str">
        <f aca="false">IF(B323="","",IFERROR(VLOOKUP(B323,'Recetas y precios'!$A$5:$B$54,2,FALSE()),""))</f>
        <v/>
      </c>
      <c r="D323" s="20"/>
      <c r="E323" s="6"/>
      <c r="F323" s="29"/>
      <c r="G323" s="14" t="n">
        <f aca="false">E323*F323</f>
        <v>0</v>
      </c>
      <c r="H323" s="14" t="n">
        <f aca="false">IF(B323="",0,E323*IFERROR(VLOOKUP(B323,'Recetas y precios'!$A$5:$T$54,20,FALSE()),0))</f>
        <v>0</v>
      </c>
      <c r="I323" s="26"/>
      <c r="J323" s="14" t="n">
        <f aca="false">G323*I323</f>
        <v>0</v>
      </c>
      <c r="K323" s="14" t="n">
        <f aca="false">G323-H323-J323</f>
        <v>0</v>
      </c>
      <c r="L323" s="30" t="str">
        <f aca="false">IF(G323&gt;0,K323/G323,"")</f>
        <v/>
      </c>
      <c r="M323" s="6"/>
    </row>
    <row r="324" customFormat="false" ht="15" hidden="false" customHeight="false" outlineLevel="0" collapsed="false">
      <c r="A324" s="33"/>
      <c r="B324" s="6"/>
      <c r="C324" s="0" t="str">
        <f aca="false">IF(B324="","",IFERROR(VLOOKUP(B324,'Recetas y precios'!$A$5:$B$54,2,FALSE()),""))</f>
        <v/>
      </c>
      <c r="D324" s="20"/>
      <c r="E324" s="6"/>
      <c r="F324" s="29"/>
      <c r="G324" s="14" t="n">
        <f aca="false">E324*F324</f>
        <v>0</v>
      </c>
      <c r="H324" s="14" t="n">
        <f aca="false">IF(B324="",0,E324*IFERROR(VLOOKUP(B324,'Recetas y precios'!$A$5:$T$54,20,FALSE()),0))</f>
        <v>0</v>
      </c>
      <c r="I324" s="26"/>
      <c r="J324" s="14" t="n">
        <f aca="false">G324*I324</f>
        <v>0</v>
      </c>
      <c r="K324" s="14" t="n">
        <f aca="false">G324-H324-J324</f>
        <v>0</v>
      </c>
      <c r="L324" s="30" t="str">
        <f aca="false">IF(G324&gt;0,K324/G324,"")</f>
        <v/>
      </c>
      <c r="M324" s="6"/>
    </row>
    <row r="325" customFormat="false" ht="15" hidden="false" customHeight="false" outlineLevel="0" collapsed="false">
      <c r="A325" s="33"/>
      <c r="B325" s="6"/>
      <c r="C325" s="0" t="str">
        <f aca="false">IF(B325="","",IFERROR(VLOOKUP(B325,'Recetas y precios'!$A$5:$B$54,2,FALSE()),""))</f>
        <v/>
      </c>
      <c r="D325" s="20"/>
      <c r="E325" s="6"/>
      <c r="F325" s="29"/>
      <c r="G325" s="14" t="n">
        <f aca="false">E325*F325</f>
        <v>0</v>
      </c>
      <c r="H325" s="14" t="n">
        <f aca="false">IF(B325="",0,E325*IFERROR(VLOOKUP(B325,'Recetas y precios'!$A$5:$T$54,20,FALSE()),0))</f>
        <v>0</v>
      </c>
      <c r="I325" s="26"/>
      <c r="J325" s="14" t="n">
        <f aca="false">G325*I325</f>
        <v>0</v>
      </c>
      <c r="K325" s="14" t="n">
        <f aca="false">G325-H325-J325</f>
        <v>0</v>
      </c>
      <c r="L325" s="30" t="str">
        <f aca="false">IF(G325&gt;0,K325/G325,"")</f>
        <v/>
      </c>
      <c r="M325" s="6"/>
    </row>
    <row r="326" customFormat="false" ht="15" hidden="false" customHeight="false" outlineLevel="0" collapsed="false">
      <c r="A326" s="33"/>
      <c r="B326" s="6"/>
      <c r="C326" s="0" t="str">
        <f aca="false">IF(B326="","",IFERROR(VLOOKUP(B326,'Recetas y precios'!$A$5:$B$54,2,FALSE()),""))</f>
        <v/>
      </c>
      <c r="D326" s="20"/>
      <c r="E326" s="6"/>
      <c r="F326" s="29"/>
      <c r="G326" s="14" t="n">
        <f aca="false">E326*F326</f>
        <v>0</v>
      </c>
      <c r="H326" s="14" t="n">
        <f aca="false">IF(B326="",0,E326*IFERROR(VLOOKUP(B326,'Recetas y precios'!$A$5:$T$54,20,FALSE()),0))</f>
        <v>0</v>
      </c>
      <c r="I326" s="26"/>
      <c r="J326" s="14" t="n">
        <f aca="false">G326*I326</f>
        <v>0</v>
      </c>
      <c r="K326" s="14" t="n">
        <f aca="false">G326-H326-J326</f>
        <v>0</v>
      </c>
      <c r="L326" s="30" t="str">
        <f aca="false">IF(G326&gt;0,K326/G326,"")</f>
        <v/>
      </c>
      <c r="M326" s="6"/>
    </row>
    <row r="327" customFormat="false" ht="15" hidden="false" customHeight="false" outlineLevel="0" collapsed="false">
      <c r="A327" s="33"/>
      <c r="B327" s="6"/>
      <c r="C327" s="0" t="str">
        <f aca="false">IF(B327="","",IFERROR(VLOOKUP(B327,'Recetas y precios'!$A$5:$B$54,2,FALSE()),""))</f>
        <v/>
      </c>
      <c r="D327" s="20"/>
      <c r="E327" s="6"/>
      <c r="F327" s="29"/>
      <c r="G327" s="14" t="n">
        <f aca="false">E327*F327</f>
        <v>0</v>
      </c>
      <c r="H327" s="14" t="n">
        <f aca="false">IF(B327="",0,E327*IFERROR(VLOOKUP(B327,'Recetas y precios'!$A$5:$T$54,20,FALSE()),0))</f>
        <v>0</v>
      </c>
      <c r="I327" s="26"/>
      <c r="J327" s="14" t="n">
        <f aca="false">G327*I327</f>
        <v>0</v>
      </c>
      <c r="K327" s="14" t="n">
        <f aca="false">G327-H327-J327</f>
        <v>0</v>
      </c>
      <c r="L327" s="30" t="str">
        <f aca="false">IF(G327&gt;0,K327/G327,"")</f>
        <v/>
      </c>
      <c r="M327" s="6"/>
    </row>
    <row r="328" customFormat="false" ht="15" hidden="false" customHeight="false" outlineLevel="0" collapsed="false">
      <c r="A328" s="33"/>
      <c r="B328" s="6"/>
      <c r="C328" s="0" t="str">
        <f aca="false">IF(B328="","",IFERROR(VLOOKUP(B328,'Recetas y precios'!$A$5:$B$54,2,FALSE()),""))</f>
        <v/>
      </c>
      <c r="D328" s="20"/>
      <c r="E328" s="6"/>
      <c r="F328" s="29"/>
      <c r="G328" s="14" t="n">
        <f aca="false">E328*F328</f>
        <v>0</v>
      </c>
      <c r="H328" s="14" t="n">
        <f aca="false">IF(B328="",0,E328*IFERROR(VLOOKUP(B328,'Recetas y precios'!$A$5:$T$54,20,FALSE()),0))</f>
        <v>0</v>
      </c>
      <c r="I328" s="26"/>
      <c r="J328" s="14" t="n">
        <f aca="false">G328*I328</f>
        <v>0</v>
      </c>
      <c r="K328" s="14" t="n">
        <f aca="false">G328-H328-J328</f>
        <v>0</v>
      </c>
      <c r="L328" s="30" t="str">
        <f aca="false">IF(G328&gt;0,K328/G328,"")</f>
        <v/>
      </c>
      <c r="M328" s="6"/>
    </row>
    <row r="329" customFormat="false" ht="15" hidden="false" customHeight="false" outlineLevel="0" collapsed="false">
      <c r="A329" s="33"/>
      <c r="B329" s="6"/>
      <c r="C329" s="0" t="str">
        <f aca="false">IF(B329="","",IFERROR(VLOOKUP(B329,'Recetas y precios'!$A$5:$B$54,2,FALSE()),""))</f>
        <v/>
      </c>
      <c r="D329" s="20"/>
      <c r="E329" s="6"/>
      <c r="F329" s="29"/>
      <c r="G329" s="14" t="n">
        <f aca="false">E329*F329</f>
        <v>0</v>
      </c>
      <c r="H329" s="14" t="n">
        <f aca="false">IF(B329="",0,E329*IFERROR(VLOOKUP(B329,'Recetas y precios'!$A$5:$T$54,20,FALSE()),0))</f>
        <v>0</v>
      </c>
      <c r="I329" s="26"/>
      <c r="J329" s="14" t="n">
        <f aca="false">G329*I329</f>
        <v>0</v>
      </c>
      <c r="K329" s="14" t="n">
        <f aca="false">G329-H329-J329</f>
        <v>0</v>
      </c>
      <c r="L329" s="30" t="str">
        <f aca="false">IF(G329&gt;0,K329/G329,"")</f>
        <v/>
      </c>
      <c r="M329" s="6"/>
    </row>
    <row r="330" customFormat="false" ht="15" hidden="false" customHeight="false" outlineLevel="0" collapsed="false">
      <c r="A330" s="33"/>
      <c r="B330" s="6"/>
      <c r="C330" s="0" t="str">
        <f aca="false">IF(B330="","",IFERROR(VLOOKUP(B330,'Recetas y precios'!$A$5:$B$54,2,FALSE()),""))</f>
        <v/>
      </c>
      <c r="D330" s="20"/>
      <c r="E330" s="6"/>
      <c r="F330" s="29"/>
      <c r="G330" s="14" t="n">
        <f aca="false">E330*F330</f>
        <v>0</v>
      </c>
      <c r="H330" s="14" t="n">
        <f aca="false">IF(B330="",0,E330*IFERROR(VLOOKUP(B330,'Recetas y precios'!$A$5:$T$54,20,FALSE()),0))</f>
        <v>0</v>
      </c>
      <c r="I330" s="26"/>
      <c r="J330" s="14" t="n">
        <f aca="false">G330*I330</f>
        <v>0</v>
      </c>
      <c r="K330" s="14" t="n">
        <f aca="false">G330-H330-J330</f>
        <v>0</v>
      </c>
      <c r="L330" s="30" t="str">
        <f aca="false">IF(G330&gt;0,K330/G330,"")</f>
        <v/>
      </c>
      <c r="M330" s="6"/>
    </row>
    <row r="331" customFormat="false" ht="15" hidden="false" customHeight="false" outlineLevel="0" collapsed="false">
      <c r="A331" s="33"/>
      <c r="B331" s="6"/>
      <c r="C331" s="0" t="str">
        <f aca="false">IF(B331="","",IFERROR(VLOOKUP(B331,'Recetas y precios'!$A$5:$B$54,2,FALSE()),""))</f>
        <v/>
      </c>
      <c r="D331" s="20"/>
      <c r="E331" s="6"/>
      <c r="F331" s="29"/>
      <c r="G331" s="14" t="n">
        <f aca="false">E331*F331</f>
        <v>0</v>
      </c>
      <c r="H331" s="14" t="n">
        <f aca="false">IF(B331="",0,E331*IFERROR(VLOOKUP(B331,'Recetas y precios'!$A$5:$T$54,20,FALSE()),0))</f>
        <v>0</v>
      </c>
      <c r="I331" s="26"/>
      <c r="J331" s="14" t="n">
        <f aca="false">G331*I331</f>
        <v>0</v>
      </c>
      <c r="K331" s="14" t="n">
        <f aca="false">G331-H331-J331</f>
        <v>0</v>
      </c>
      <c r="L331" s="30" t="str">
        <f aca="false">IF(G331&gt;0,K331/G331,"")</f>
        <v/>
      </c>
      <c r="M331" s="6"/>
    </row>
    <row r="332" customFormat="false" ht="15" hidden="false" customHeight="false" outlineLevel="0" collapsed="false">
      <c r="A332" s="33"/>
      <c r="B332" s="6"/>
      <c r="C332" s="0" t="str">
        <f aca="false">IF(B332="","",IFERROR(VLOOKUP(B332,'Recetas y precios'!$A$5:$B$54,2,FALSE()),""))</f>
        <v/>
      </c>
      <c r="D332" s="20"/>
      <c r="E332" s="6"/>
      <c r="F332" s="29"/>
      <c r="G332" s="14" t="n">
        <f aca="false">E332*F332</f>
        <v>0</v>
      </c>
      <c r="H332" s="14" t="n">
        <f aca="false">IF(B332="",0,E332*IFERROR(VLOOKUP(B332,'Recetas y precios'!$A$5:$T$54,20,FALSE()),0))</f>
        <v>0</v>
      </c>
      <c r="I332" s="26"/>
      <c r="J332" s="14" t="n">
        <f aca="false">G332*I332</f>
        <v>0</v>
      </c>
      <c r="K332" s="14" t="n">
        <f aca="false">G332-H332-J332</f>
        <v>0</v>
      </c>
      <c r="L332" s="30" t="str">
        <f aca="false">IF(G332&gt;0,K332/G332,"")</f>
        <v/>
      </c>
      <c r="M332" s="6"/>
    </row>
    <row r="333" customFormat="false" ht="15" hidden="false" customHeight="false" outlineLevel="0" collapsed="false">
      <c r="A333" s="33"/>
      <c r="B333" s="6"/>
      <c r="C333" s="0" t="str">
        <f aca="false">IF(B333="","",IFERROR(VLOOKUP(B333,'Recetas y precios'!$A$5:$B$54,2,FALSE()),""))</f>
        <v/>
      </c>
      <c r="D333" s="20"/>
      <c r="E333" s="6"/>
      <c r="F333" s="29"/>
      <c r="G333" s="14" t="n">
        <f aca="false">E333*F333</f>
        <v>0</v>
      </c>
      <c r="H333" s="14" t="n">
        <f aca="false">IF(B333="",0,E333*IFERROR(VLOOKUP(B333,'Recetas y precios'!$A$5:$T$54,20,FALSE()),0))</f>
        <v>0</v>
      </c>
      <c r="I333" s="26"/>
      <c r="J333" s="14" t="n">
        <f aca="false">G333*I333</f>
        <v>0</v>
      </c>
      <c r="K333" s="14" t="n">
        <f aca="false">G333-H333-J333</f>
        <v>0</v>
      </c>
      <c r="L333" s="30" t="str">
        <f aca="false">IF(G333&gt;0,K333/G333,"")</f>
        <v/>
      </c>
      <c r="M333" s="6"/>
    </row>
    <row r="334" customFormat="false" ht="15" hidden="false" customHeight="false" outlineLevel="0" collapsed="false">
      <c r="A334" s="33"/>
      <c r="B334" s="6"/>
      <c r="C334" s="0" t="str">
        <f aca="false">IF(B334="","",IFERROR(VLOOKUP(B334,'Recetas y precios'!$A$5:$B$54,2,FALSE()),""))</f>
        <v/>
      </c>
      <c r="D334" s="20"/>
      <c r="E334" s="6"/>
      <c r="F334" s="29"/>
      <c r="G334" s="14" t="n">
        <f aca="false">E334*F334</f>
        <v>0</v>
      </c>
      <c r="H334" s="14" t="n">
        <f aca="false">IF(B334="",0,E334*IFERROR(VLOOKUP(B334,'Recetas y precios'!$A$5:$T$54,20,FALSE()),0))</f>
        <v>0</v>
      </c>
      <c r="I334" s="26"/>
      <c r="J334" s="14" t="n">
        <f aca="false">G334*I334</f>
        <v>0</v>
      </c>
      <c r="K334" s="14" t="n">
        <f aca="false">G334-H334-J334</f>
        <v>0</v>
      </c>
      <c r="L334" s="30" t="str">
        <f aca="false">IF(G334&gt;0,K334/G334,"")</f>
        <v/>
      </c>
      <c r="M334" s="6"/>
    </row>
    <row r="335" customFormat="false" ht="15" hidden="false" customHeight="false" outlineLevel="0" collapsed="false">
      <c r="A335" s="33"/>
      <c r="B335" s="6"/>
      <c r="C335" s="0" t="str">
        <f aca="false">IF(B335="","",IFERROR(VLOOKUP(B335,'Recetas y precios'!$A$5:$B$54,2,FALSE()),""))</f>
        <v/>
      </c>
      <c r="D335" s="20"/>
      <c r="E335" s="6"/>
      <c r="F335" s="29"/>
      <c r="G335" s="14" t="n">
        <f aca="false">E335*F335</f>
        <v>0</v>
      </c>
      <c r="H335" s="14" t="n">
        <f aca="false">IF(B335="",0,E335*IFERROR(VLOOKUP(B335,'Recetas y precios'!$A$5:$T$54,20,FALSE()),0))</f>
        <v>0</v>
      </c>
      <c r="I335" s="26"/>
      <c r="J335" s="14" t="n">
        <f aca="false">G335*I335</f>
        <v>0</v>
      </c>
      <c r="K335" s="14" t="n">
        <f aca="false">G335-H335-J335</f>
        <v>0</v>
      </c>
      <c r="L335" s="30" t="str">
        <f aca="false">IF(G335&gt;0,K335/G335,"")</f>
        <v/>
      </c>
      <c r="M335" s="6"/>
    </row>
    <row r="336" customFormat="false" ht="15" hidden="false" customHeight="false" outlineLevel="0" collapsed="false">
      <c r="A336" s="33"/>
      <c r="B336" s="6"/>
      <c r="C336" s="0" t="str">
        <f aca="false">IF(B336="","",IFERROR(VLOOKUP(B336,'Recetas y precios'!$A$5:$B$54,2,FALSE()),""))</f>
        <v/>
      </c>
      <c r="D336" s="20"/>
      <c r="E336" s="6"/>
      <c r="F336" s="29"/>
      <c r="G336" s="14" t="n">
        <f aca="false">E336*F336</f>
        <v>0</v>
      </c>
      <c r="H336" s="14" t="n">
        <f aca="false">IF(B336="",0,E336*IFERROR(VLOOKUP(B336,'Recetas y precios'!$A$5:$T$54,20,FALSE()),0))</f>
        <v>0</v>
      </c>
      <c r="I336" s="26"/>
      <c r="J336" s="14" t="n">
        <f aca="false">G336*I336</f>
        <v>0</v>
      </c>
      <c r="K336" s="14" t="n">
        <f aca="false">G336-H336-J336</f>
        <v>0</v>
      </c>
      <c r="L336" s="30" t="str">
        <f aca="false">IF(G336&gt;0,K336/G336,"")</f>
        <v/>
      </c>
      <c r="M336" s="6"/>
    </row>
    <row r="337" customFormat="false" ht="15" hidden="false" customHeight="false" outlineLevel="0" collapsed="false">
      <c r="A337" s="33"/>
      <c r="B337" s="6"/>
      <c r="C337" s="0" t="str">
        <f aca="false">IF(B337="","",IFERROR(VLOOKUP(B337,'Recetas y precios'!$A$5:$B$54,2,FALSE()),""))</f>
        <v/>
      </c>
      <c r="D337" s="20"/>
      <c r="E337" s="6"/>
      <c r="F337" s="29"/>
      <c r="G337" s="14" t="n">
        <f aca="false">E337*F337</f>
        <v>0</v>
      </c>
      <c r="H337" s="14" t="n">
        <f aca="false">IF(B337="",0,E337*IFERROR(VLOOKUP(B337,'Recetas y precios'!$A$5:$T$54,20,FALSE()),0))</f>
        <v>0</v>
      </c>
      <c r="I337" s="26"/>
      <c r="J337" s="14" t="n">
        <f aca="false">G337*I337</f>
        <v>0</v>
      </c>
      <c r="K337" s="14" t="n">
        <f aca="false">G337-H337-J337</f>
        <v>0</v>
      </c>
      <c r="L337" s="30" t="str">
        <f aca="false">IF(G337&gt;0,K337/G337,"")</f>
        <v/>
      </c>
      <c r="M337" s="6"/>
    </row>
    <row r="338" customFormat="false" ht="15" hidden="false" customHeight="false" outlineLevel="0" collapsed="false">
      <c r="A338" s="33"/>
      <c r="B338" s="6"/>
      <c r="C338" s="0" t="str">
        <f aca="false">IF(B338="","",IFERROR(VLOOKUP(B338,'Recetas y precios'!$A$5:$B$54,2,FALSE()),""))</f>
        <v/>
      </c>
      <c r="D338" s="20"/>
      <c r="E338" s="6"/>
      <c r="F338" s="29"/>
      <c r="G338" s="14" t="n">
        <f aca="false">E338*F338</f>
        <v>0</v>
      </c>
      <c r="H338" s="14" t="n">
        <f aca="false">IF(B338="",0,E338*IFERROR(VLOOKUP(B338,'Recetas y precios'!$A$5:$T$54,20,FALSE()),0))</f>
        <v>0</v>
      </c>
      <c r="I338" s="26"/>
      <c r="J338" s="14" t="n">
        <f aca="false">G338*I338</f>
        <v>0</v>
      </c>
      <c r="K338" s="14" t="n">
        <f aca="false">G338-H338-J338</f>
        <v>0</v>
      </c>
      <c r="L338" s="30" t="str">
        <f aca="false">IF(G338&gt;0,K338/G338,"")</f>
        <v/>
      </c>
      <c r="M338" s="6"/>
    </row>
    <row r="339" customFormat="false" ht="15" hidden="false" customHeight="false" outlineLevel="0" collapsed="false">
      <c r="A339" s="33"/>
      <c r="B339" s="6"/>
      <c r="C339" s="0" t="str">
        <f aca="false">IF(B339="","",IFERROR(VLOOKUP(B339,'Recetas y precios'!$A$5:$B$54,2,FALSE()),""))</f>
        <v/>
      </c>
      <c r="D339" s="20"/>
      <c r="E339" s="6"/>
      <c r="F339" s="29"/>
      <c r="G339" s="14" t="n">
        <f aca="false">E339*F339</f>
        <v>0</v>
      </c>
      <c r="H339" s="14" t="n">
        <f aca="false">IF(B339="",0,E339*IFERROR(VLOOKUP(B339,'Recetas y precios'!$A$5:$T$54,20,FALSE()),0))</f>
        <v>0</v>
      </c>
      <c r="I339" s="26"/>
      <c r="J339" s="14" t="n">
        <f aca="false">G339*I339</f>
        <v>0</v>
      </c>
      <c r="K339" s="14" t="n">
        <f aca="false">G339-H339-J339</f>
        <v>0</v>
      </c>
      <c r="L339" s="30" t="str">
        <f aca="false">IF(G339&gt;0,K339/G339,"")</f>
        <v/>
      </c>
      <c r="M339" s="6"/>
    </row>
    <row r="340" customFormat="false" ht="15" hidden="false" customHeight="false" outlineLevel="0" collapsed="false">
      <c r="A340" s="33"/>
      <c r="B340" s="6"/>
      <c r="C340" s="0" t="str">
        <f aca="false">IF(B340="","",IFERROR(VLOOKUP(B340,'Recetas y precios'!$A$5:$B$54,2,FALSE()),""))</f>
        <v/>
      </c>
      <c r="D340" s="20"/>
      <c r="E340" s="6"/>
      <c r="F340" s="29"/>
      <c r="G340" s="14" t="n">
        <f aca="false">E340*F340</f>
        <v>0</v>
      </c>
      <c r="H340" s="14" t="n">
        <f aca="false">IF(B340="",0,E340*IFERROR(VLOOKUP(B340,'Recetas y precios'!$A$5:$T$54,20,FALSE()),0))</f>
        <v>0</v>
      </c>
      <c r="I340" s="26"/>
      <c r="J340" s="14" t="n">
        <f aca="false">G340*I340</f>
        <v>0</v>
      </c>
      <c r="K340" s="14" t="n">
        <f aca="false">G340-H340-J340</f>
        <v>0</v>
      </c>
      <c r="L340" s="30" t="str">
        <f aca="false">IF(G340&gt;0,K340/G340,"")</f>
        <v/>
      </c>
      <c r="M340" s="6"/>
    </row>
    <row r="341" customFormat="false" ht="15" hidden="false" customHeight="false" outlineLevel="0" collapsed="false">
      <c r="A341" s="33"/>
      <c r="B341" s="6"/>
      <c r="C341" s="0" t="str">
        <f aca="false">IF(B341="","",IFERROR(VLOOKUP(B341,'Recetas y precios'!$A$5:$B$54,2,FALSE()),""))</f>
        <v/>
      </c>
      <c r="D341" s="20"/>
      <c r="E341" s="6"/>
      <c r="F341" s="29"/>
      <c r="G341" s="14" t="n">
        <f aca="false">E341*F341</f>
        <v>0</v>
      </c>
      <c r="H341" s="14" t="n">
        <f aca="false">IF(B341="",0,E341*IFERROR(VLOOKUP(B341,'Recetas y precios'!$A$5:$T$54,20,FALSE()),0))</f>
        <v>0</v>
      </c>
      <c r="I341" s="26"/>
      <c r="J341" s="14" t="n">
        <f aca="false">G341*I341</f>
        <v>0</v>
      </c>
      <c r="K341" s="14" t="n">
        <f aca="false">G341-H341-J341</f>
        <v>0</v>
      </c>
      <c r="L341" s="30" t="str">
        <f aca="false">IF(G341&gt;0,K341/G341,"")</f>
        <v/>
      </c>
      <c r="M341" s="6"/>
    </row>
    <row r="342" customFormat="false" ht="15" hidden="false" customHeight="false" outlineLevel="0" collapsed="false">
      <c r="A342" s="33"/>
      <c r="B342" s="6"/>
      <c r="C342" s="0" t="str">
        <f aca="false">IF(B342="","",IFERROR(VLOOKUP(B342,'Recetas y precios'!$A$5:$B$54,2,FALSE()),""))</f>
        <v/>
      </c>
      <c r="D342" s="20"/>
      <c r="E342" s="6"/>
      <c r="F342" s="29"/>
      <c r="G342" s="14" t="n">
        <f aca="false">E342*F342</f>
        <v>0</v>
      </c>
      <c r="H342" s="14" t="n">
        <f aca="false">IF(B342="",0,E342*IFERROR(VLOOKUP(B342,'Recetas y precios'!$A$5:$T$54,20,FALSE()),0))</f>
        <v>0</v>
      </c>
      <c r="I342" s="26"/>
      <c r="J342" s="14" t="n">
        <f aca="false">G342*I342</f>
        <v>0</v>
      </c>
      <c r="K342" s="14" t="n">
        <f aca="false">G342-H342-J342</f>
        <v>0</v>
      </c>
      <c r="L342" s="30" t="str">
        <f aca="false">IF(G342&gt;0,K342/G342,"")</f>
        <v/>
      </c>
      <c r="M342" s="6"/>
    </row>
    <row r="343" customFormat="false" ht="15" hidden="false" customHeight="false" outlineLevel="0" collapsed="false">
      <c r="A343" s="33"/>
      <c r="B343" s="6"/>
      <c r="C343" s="0" t="str">
        <f aca="false">IF(B343="","",IFERROR(VLOOKUP(B343,'Recetas y precios'!$A$5:$B$54,2,FALSE()),""))</f>
        <v/>
      </c>
      <c r="D343" s="20"/>
      <c r="E343" s="6"/>
      <c r="F343" s="29"/>
      <c r="G343" s="14" t="n">
        <f aca="false">E343*F343</f>
        <v>0</v>
      </c>
      <c r="H343" s="14" t="n">
        <f aca="false">IF(B343="",0,E343*IFERROR(VLOOKUP(B343,'Recetas y precios'!$A$5:$T$54,20,FALSE()),0))</f>
        <v>0</v>
      </c>
      <c r="I343" s="26"/>
      <c r="J343" s="14" t="n">
        <f aca="false">G343*I343</f>
        <v>0</v>
      </c>
      <c r="K343" s="14" t="n">
        <f aca="false">G343-H343-J343</f>
        <v>0</v>
      </c>
      <c r="L343" s="30" t="str">
        <f aca="false">IF(G343&gt;0,K343/G343,"")</f>
        <v/>
      </c>
      <c r="M343" s="6"/>
    </row>
    <row r="344" customFormat="false" ht="15" hidden="false" customHeight="false" outlineLevel="0" collapsed="false">
      <c r="A344" s="33"/>
      <c r="B344" s="6"/>
      <c r="C344" s="0" t="str">
        <f aca="false">IF(B344="","",IFERROR(VLOOKUP(B344,'Recetas y precios'!$A$5:$B$54,2,FALSE()),""))</f>
        <v/>
      </c>
      <c r="D344" s="20"/>
      <c r="E344" s="6"/>
      <c r="F344" s="29"/>
      <c r="G344" s="14" t="n">
        <f aca="false">E344*F344</f>
        <v>0</v>
      </c>
      <c r="H344" s="14" t="n">
        <f aca="false">IF(B344="",0,E344*IFERROR(VLOOKUP(B344,'Recetas y precios'!$A$5:$T$54,20,FALSE()),0))</f>
        <v>0</v>
      </c>
      <c r="I344" s="26"/>
      <c r="J344" s="14" t="n">
        <f aca="false">G344*I344</f>
        <v>0</v>
      </c>
      <c r="K344" s="14" t="n">
        <f aca="false">G344-H344-J344</f>
        <v>0</v>
      </c>
      <c r="L344" s="30" t="str">
        <f aca="false">IF(G344&gt;0,K344/G344,"")</f>
        <v/>
      </c>
      <c r="M344" s="6"/>
    </row>
    <row r="345" customFormat="false" ht="15" hidden="false" customHeight="false" outlineLevel="0" collapsed="false">
      <c r="A345" s="33"/>
      <c r="B345" s="6"/>
      <c r="C345" s="0" t="str">
        <f aca="false">IF(B345="","",IFERROR(VLOOKUP(B345,'Recetas y precios'!$A$5:$B$54,2,FALSE()),""))</f>
        <v/>
      </c>
      <c r="D345" s="20"/>
      <c r="E345" s="6"/>
      <c r="F345" s="29"/>
      <c r="G345" s="14" t="n">
        <f aca="false">E345*F345</f>
        <v>0</v>
      </c>
      <c r="H345" s="14" t="n">
        <f aca="false">IF(B345="",0,E345*IFERROR(VLOOKUP(B345,'Recetas y precios'!$A$5:$T$54,20,FALSE()),0))</f>
        <v>0</v>
      </c>
      <c r="I345" s="26"/>
      <c r="J345" s="14" t="n">
        <f aca="false">G345*I345</f>
        <v>0</v>
      </c>
      <c r="K345" s="14" t="n">
        <f aca="false">G345-H345-J345</f>
        <v>0</v>
      </c>
      <c r="L345" s="30" t="str">
        <f aca="false">IF(G345&gt;0,K345/G345,"")</f>
        <v/>
      </c>
      <c r="M345" s="6"/>
    </row>
    <row r="346" customFormat="false" ht="15" hidden="false" customHeight="false" outlineLevel="0" collapsed="false">
      <c r="A346" s="33"/>
      <c r="B346" s="6"/>
      <c r="C346" s="0" t="str">
        <f aca="false">IF(B346="","",IFERROR(VLOOKUP(B346,'Recetas y precios'!$A$5:$B$54,2,FALSE()),""))</f>
        <v/>
      </c>
      <c r="D346" s="20"/>
      <c r="E346" s="6"/>
      <c r="F346" s="29"/>
      <c r="G346" s="14" t="n">
        <f aca="false">E346*F346</f>
        <v>0</v>
      </c>
      <c r="H346" s="14" t="n">
        <f aca="false">IF(B346="",0,E346*IFERROR(VLOOKUP(B346,'Recetas y precios'!$A$5:$T$54,20,FALSE()),0))</f>
        <v>0</v>
      </c>
      <c r="I346" s="26"/>
      <c r="J346" s="14" t="n">
        <f aca="false">G346*I346</f>
        <v>0</v>
      </c>
      <c r="K346" s="14" t="n">
        <f aca="false">G346-H346-J346</f>
        <v>0</v>
      </c>
      <c r="L346" s="30" t="str">
        <f aca="false">IF(G346&gt;0,K346/G346,"")</f>
        <v/>
      </c>
      <c r="M346" s="6"/>
    </row>
    <row r="347" customFormat="false" ht="15" hidden="false" customHeight="false" outlineLevel="0" collapsed="false">
      <c r="A347" s="33"/>
      <c r="B347" s="6"/>
      <c r="C347" s="0" t="str">
        <f aca="false">IF(B347="","",IFERROR(VLOOKUP(B347,'Recetas y precios'!$A$5:$B$54,2,FALSE()),""))</f>
        <v/>
      </c>
      <c r="D347" s="20"/>
      <c r="E347" s="6"/>
      <c r="F347" s="29"/>
      <c r="G347" s="14" t="n">
        <f aca="false">E347*F347</f>
        <v>0</v>
      </c>
      <c r="H347" s="14" t="n">
        <f aca="false">IF(B347="",0,E347*IFERROR(VLOOKUP(B347,'Recetas y precios'!$A$5:$T$54,20,FALSE()),0))</f>
        <v>0</v>
      </c>
      <c r="I347" s="26"/>
      <c r="J347" s="14" t="n">
        <f aca="false">G347*I347</f>
        <v>0</v>
      </c>
      <c r="K347" s="14" t="n">
        <f aca="false">G347-H347-J347</f>
        <v>0</v>
      </c>
      <c r="L347" s="30" t="str">
        <f aca="false">IF(G347&gt;0,K347/G347,"")</f>
        <v/>
      </c>
      <c r="M347" s="6"/>
    </row>
    <row r="348" customFormat="false" ht="15" hidden="false" customHeight="false" outlineLevel="0" collapsed="false">
      <c r="A348" s="33"/>
      <c r="B348" s="6"/>
      <c r="C348" s="0" t="str">
        <f aca="false">IF(B348="","",IFERROR(VLOOKUP(B348,'Recetas y precios'!$A$5:$B$54,2,FALSE()),""))</f>
        <v/>
      </c>
      <c r="D348" s="20"/>
      <c r="E348" s="6"/>
      <c r="F348" s="29"/>
      <c r="G348" s="14" t="n">
        <f aca="false">E348*F348</f>
        <v>0</v>
      </c>
      <c r="H348" s="14" t="n">
        <f aca="false">IF(B348="",0,E348*IFERROR(VLOOKUP(B348,'Recetas y precios'!$A$5:$T$54,20,FALSE()),0))</f>
        <v>0</v>
      </c>
      <c r="I348" s="26"/>
      <c r="J348" s="14" t="n">
        <f aca="false">G348*I348</f>
        <v>0</v>
      </c>
      <c r="K348" s="14" t="n">
        <f aca="false">G348-H348-J348</f>
        <v>0</v>
      </c>
      <c r="L348" s="30" t="str">
        <f aca="false">IF(G348&gt;0,K348/G348,"")</f>
        <v/>
      </c>
      <c r="M348" s="6"/>
    </row>
    <row r="349" customFormat="false" ht="15" hidden="false" customHeight="false" outlineLevel="0" collapsed="false">
      <c r="A349" s="33"/>
      <c r="B349" s="6"/>
      <c r="C349" s="0" t="str">
        <f aca="false">IF(B349="","",IFERROR(VLOOKUP(B349,'Recetas y precios'!$A$5:$B$54,2,FALSE()),""))</f>
        <v/>
      </c>
      <c r="D349" s="20"/>
      <c r="E349" s="6"/>
      <c r="F349" s="29"/>
      <c r="G349" s="14" t="n">
        <f aca="false">E349*F349</f>
        <v>0</v>
      </c>
      <c r="H349" s="14" t="n">
        <f aca="false">IF(B349="",0,E349*IFERROR(VLOOKUP(B349,'Recetas y precios'!$A$5:$T$54,20,FALSE()),0))</f>
        <v>0</v>
      </c>
      <c r="I349" s="26"/>
      <c r="J349" s="14" t="n">
        <f aca="false">G349*I349</f>
        <v>0</v>
      </c>
      <c r="K349" s="14" t="n">
        <f aca="false">G349-H349-J349</f>
        <v>0</v>
      </c>
      <c r="L349" s="30" t="str">
        <f aca="false">IF(G349&gt;0,K349/G349,"")</f>
        <v/>
      </c>
      <c r="M349" s="6"/>
    </row>
    <row r="350" customFormat="false" ht="15" hidden="false" customHeight="false" outlineLevel="0" collapsed="false">
      <c r="A350" s="33"/>
      <c r="B350" s="6"/>
      <c r="C350" s="0" t="str">
        <f aca="false">IF(B350="","",IFERROR(VLOOKUP(B350,'Recetas y precios'!$A$5:$B$54,2,FALSE()),""))</f>
        <v/>
      </c>
      <c r="D350" s="20"/>
      <c r="E350" s="6"/>
      <c r="F350" s="29"/>
      <c r="G350" s="14" t="n">
        <f aca="false">E350*F350</f>
        <v>0</v>
      </c>
      <c r="H350" s="14" t="n">
        <f aca="false">IF(B350="",0,E350*IFERROR(VLOOKUP(B350,'Recetas y precios'!$A$5:$T$54,20,FALSE()),0))</f>
        <v>0</v>
      </c>
      <c r="I350" s="26"/>
      <c r="J350" s="14" t="n">
        <f aca="false">G350*I350</f>
        <v>0</v>
      </c>
      <c r="K350" s="14" t="n">
        <f aca="false">G350-H350-J350</f>
        <v>0</v>
      </c>
      <c r="L350" s="30" t="str">
        <f aca="false">IF(G350&gt;0,K350/G350,"")</f>
        <v/>
      </c>
      <c r="M350" s="6"/>
    </row>
    <row r="351" customFormat="false" ht="15" hidden="false" customHeight="false" outlineLevel="0" collapsed="false">
      <c r="A351" s="33"/>
      <c r="B351" s="6"/>
      <c r="C351" s="0" t="str">
        <f aca="false">IF(B351="","",IFERROR(VLOOKUP(B351,'Recetas y precios'!$A$5:$B$54,2,FALSE()),""))</f>
        <v/>
      </c>
      <c r="D351" s="20"/>
      <c r="E351" s="6"/>
      <c r="F351" s="29"/>
      <c r="G351" s="14" t="n">
        <f aca="false">E351*F351</f>
        <v>0</v>
      </c>
      <c r="H351" s="14" t="n">
        <f aca="false">IF(B351="",0,E351*IFERROR(VLOOKUP(B351,'Recetas y precios'!$A$5:$T$54,20,FALSE()),0))</f>
        <v>0</v>
      </c>
      <c r="I351" s="26"/>
      <c r="J351" s="14" t="n">
        <f aca="false">G351*I351</f>
        <v>0</v>
      </c>
      <c r="K351" s="14" t="n">
        <f aca="false">G351-H351-J351</f>
        <v>0</v>
      </c>
      <c r="L351" s="30" t="str">
        <f aca="false">IF(G351&gt;0,K351/G351,"")</f>
        <v/>
      </c>
      <c r="M351" s="6"/>
    </row>
    <row r="352" customFormat="false" ht="15" hidden="false" customHeight="false" outlineLevel="0" collapsed="false">
      <c r="A352" s="33"/>
      <c r="B352" s="6"/>
      <c r="C352" s="0" t="str">
        <f aca="false">IF(B352="","",IFERROR(VLOOKUP(B352,'Recetas y precios'!$A$5:$B$54,2,FALSE()),""))</f>
        <v/>
      </c>
      <c r="D352" s="20"/>
      <c r="E352" s="6"/>
      <c r="F352" s="29"/>
      <c r="G352" s="14" t="n">
        <f aca="false">E352*F352</f>
        <v>0</v>
      </c>
      <c r="H352" s="14" t="n">
        <f aca="false">IF(B352="",0,E352*IFERROR(VLOOKUP(B352,'Recetas y precios'!$A$5:$T$54,20,FALSE()),0))</f>
        <v>0</v>
      </c>
      <c r="I352" s="26"/>
      <c r="J352" s="14" t="n">
        <f aca="false">G352*I352</f>
        <v>0</v>
      </c>
      <c r="K352" s="14" t="n">
        <f aca="false">G352-H352-J352</f>
        <v>0</v>
      </c>
      <c r="L352" s="30" t="str">
        <f aca="false">IF(G352&gt;0,K352/G352,"")</f>
        <v/>
      </c>
      <c r="M352" s="6"/>
    </row>
    <row r="353" customFormat="false" ht="15" hidden="false" customHeight="false" outlineLevel="0" collapsed="false">
      <c r="A353" s="33"/>
      <c r="B353" s="6"/>
      <c r="C353" s="0" t="str">
        <f aca="false">IF(B353="","",IFERROR(VLOOKUP(B353,'Recetas y precios'!$A$5:$B$54,2,FALSE()),""))</f>
        <v/>
      </c>
      <c r="D353" s="20"/>
      <c r="E353" s="6"/>
      <c r="F353" s="29"/>
      <c r="G353" s="14" t="n">
        <f aca="false">E353*F353</f>
        <v>0</v>
      </c>
      <c r="H353" s="14" t="n">
        <f aca="false">IF(B353="",0,E353*IFERROR(VLOOKUP(B353,'Recetas y precios'!$A$5:$T$54,20,FALSE()),0))</f>
        <v>0</v>
      </c>
      <c r="I353" s="26"/>
      <c r="J353" s="14" t="n">
        <f aca="false">G353*I353</f>
        <v>0</v>
      </c>
      <c r="K353" s="14" t="n">
        <f aca="false">G353-H353-J353</f>
        <v>0</v>
      </c>
      <c r="L353" s="30" t="str">
        <f aca="false">IF(G353&gt;0,K353/G353,"")</f>
        <v/>
      </c>
      <c r="M353" s="6"/>
    </row>
    <row r="354" customFormat="false" ht="15" hidden="false" customHeight="false" outlineLevel="0" collapsed="false">
      <c r="A354" s="33"/>
      <c r="B354" s="6"/>
      <c r="C354" s="0" t="str">
        <f aca="false">IF(B354="","",IFERROR(VLOOKUP(B354,'Recetas y precios'!$A$5:$B$54,2,FALSE()),""))</f>
        <v/>
      </c>
      <c r="D354" s="20"/>
      <c r="E354" s="6"/>
      <c r="F354" s="29"/>
      <c r="G354" s="14" t="n">
        <f aca="false">E354*F354</f>
        <v>0</v>
      </c>
      <c r="H354" s="14" t="n">
        <f aca="false">IF(B354="",0,E354*IFERROR(VLOOKUP(B354,'Recetas y precios'!$A$5:$T$54,20,FALSE()),0))</f>
        <v>0</v>
      </c>
      <c r="I354" s="26"/>
      <c r="J354" s="14" t="n">
        <f aca="false">G354*I354</f>
        <v>0</v>
      </c>
      <c r="K354" s="14" t="n">
        <f aca="false">G354-H354-J354</f>
        <v>0</v>
      </c>
      <c r="L354" s="30" t="str">
        <f aca="false">IF(G354&gt;0,K354/G354,"")</f>
        <v/>
      </c>
      <c r="M354" s="6"/>
    </row>
    <row r="355" customFormat="false" ht="15" hidden="false" customHeight="false" outlineLevel="0" collapsed="false">
      <c r="A355" s="33"/>
      <c r="B355" s="6"/>
      <c r="C355" s="0" t="str">
        <f aca="false">IF(B355="","",IFERROR(VLOOKUP(B355,'Recetas y precios'!$A$5:$B$54,2,FALSE()),""))</f>
        <v/>
      </c>
      <c r="D355" s="20"/>
      <c r="E355" s="6"/>
      <c r="F355" s="29"/>
      <c r="G355" s="14" t="n">
        <f aca="false">E355*F355</f>
        <v>0</v>
      </c>
      <c r="H355" s="14" t="n">
        <f aca="false">IF(B355="",0,E355*IFERROR(VLOOKUP(B355,'Recetas y precios'!$A$5:$T$54,20,FALSE()),0))</f>
        <v>0</v>
      </c>
      <c r="I355" s="26"/>
      <c r="J355" s="14" t="n">
        <f aca="false">G355*I355</f>
        <v>0</v>
      </c>
      <c r="K355" s="14" t="n">
        <f aca="false">G355-H355-J355</f>
        <v>0</v>
      </c>
      <c r="L355" s="30" t="str">
        <f aca="false">IF(G355&gt;0,K355/G355,"")</f>
        <v/>
      </c>
      <c r="M355" s="6"/>
    </row>
    <row r="356" customFormat="false" ht="15" hidden="false" customHeight="false" outlineLevel="0" collapsed="false">
      <c r="A356" s="33"/>
      <c r="B356" s="6"/>
      <c r="C356" s="0" t="str">
        <f aca="false">IF(B356="","",IFERROR(VLOOKUP(B356,'Recetas y precios'!$A$5:$B$54,2,FALSE()),""))</f>
        <v/>
      </c>
      <c r="D356" s="20"/>
      <c r="E356" s="6"/>
      <c r="F356" s="29"/>
      <c r="G356" s="14" t="n">
        <f aca="false">E356*F356</f>
        <v>0</v>
      </c>
      <c r="H356" s="14" t="n">
        <f aca="false">IF(B356="",0,E356*IFERROR(VLOOKUP(B356,'Recetas y precios'!$A$5:$T$54,20,FALSE()),0))</f>
        <v>0</v>
      </c>
      <c r="I356" s="26"/>
      <c r="J356" s="14" t="n">
        <f aca="false">G356*I356</f>
        <v>0</v>
      </c>
      <c r="K356" s="14" t="n">
        <f aca="false">G356-H356-J356</f>
        <v>0</v>
      </c>
      <c r="L356" s="30" t="str">
        <f aca="false">IF(G356&gt;0,K356/G356,"")</f>
        <v/>
      </c>
      <c r="M356" s="6"/>
    </row>
    <row r="357" customFormat="false" ht="15" hidden="false" customHeight="false" outlineLevel="0" collapsed="false">
      <c r="A357" s="33"/>
      <c r="B357" s="6"/>
      <c r="C357" s="0" t="str">
        <f aca="false">IF(B357="","",IFERROR(VLOOKUP(B357,'Recetas y precios'!$A$5:$B$54,2,FALSE()),""))</f>
        <v/>
      </c>
      <c r="D357" s="20"/>
      <c r="E357" s="6"/>
      <c r="F357" s="29"/>
      <c r="G357" s="14" t="n">
        <f aca="false">E357*F357</f>
        <v>0</v>
      </c>
      <c r="H357" s="14" t="n">
        <f aca="false">IF(B357="",0,E357*IFERROR(VLOOKUP(B357,'Recetas y precios'!$A$5:$T$54,20,FALSE()),0))</f>
        <v>0</v>
      </c>
      <c r="I357" s="26"/>
      <c r="J357" s="14" t="n">
        <f aca="false">G357*I357</f>
        <v>0</v>
      </c>
      <c r="K357" s="14" t="n">
        <f aca="false">G357-H357-J357</f>
        <v>0</v>
      </c>
      <c r="L357" s="30" t="str">
        <f aca="false">IF(G357&gt;0,K357/G357,"")</f>
        <v/>
      </c>
      <c r="M357" s="6"/>
    </row>
    <row r="358" customFormat="false" ht="15" hidden="false" customHeight="false" outlineLevel="0" collapsed="false">
      <c r="A358" s="33"/>
      <c r="B358" s="6"/>
      <c r="C358" s="0" t="str">
        <f aca="false">IF(B358="","",IFERROR(VLOOKUP(B358,'Recetas y precios'!$A$5:$B$54,2,FALSE()),""))</f>
        <v/>
      </c>
      <c r="D358" s="20"/>
      <c r="E358" s="6"/>
      <c r="F358" s="29"/>
      <c r="G358" s="14" t="n">
        <f aca="false">E358*F358</f>
        <v>0</v>
      </c>
      <c r="H358" s="14" t="n">
        <f aca="false">IF(B358="",0,E358*IFERROR(VLOOKUP(B358,'Recetas y precios'!$A$5:$T$54,20,FALSE()),0))</f>
        <v>0</v>
      </c>
      <c r="I358" s="26"/>
      <c r="J358" s="14" t="n">
        <f aca="false">G358*I358</f>
        <v>0</v>
      </c>
      <c r="K358" s="14" t="n">
        <f aca="false">G358-H358-J358</f>
        <v>0</v>
      </c>
      <c r="L358" s="30" t="str">
        <f aca="false">IF(G358&gt;0,K358/G358,"")</f>
        <v/>
      </c>
      <c r="M358" s="6"/>
    </row>
    <row r="359" customFormat="false" ht="15" hidden="false" customHeight="false" outlineLevel="0" collapsed="false">
      <c r="A359" s="33"/>
      <c r="B359" s="6"/>
      <c r="C359" s="0" t="str">
        <f aca="false">IF(B359="","",IFERROR(VLOOKUP(B359,'Recetas y precios'!$A$5:$B$54,2,FALSE()),""))</f>
        <v/>
      </c>
      <c r="D359" s="20"/>
      <c r="E359" s="6"/>
      <c r="F359" s="29"/>
      <c r="G359" s="14" t="n">
        <f aca="false">E359*F359</f>
        <v>0</v>
      </c>
      <c r="H359" s="14" t="n">
        <f aca="false">IF(B359="",0,E359*IFERROR(VLOOKUP(B359,'Recetas y precios'!$A$5:$T$54,20,FALSE()),0))</f>
        <v>0</v>
      </c>
      <c r="I359" s="26"/>
      <c r="J359" s="14" t="n">
        <f aca="false">G359*I359</f>
        <v>0</v>
      </c>
      <c r="K359" s="14" t="n">
        <f aca="false">G359-H359-J359</f>
        <v>0</v>
      </c>
      <c r="L359" s="30" t="str">
        <f aca="false">IF(G359&gt;0,K359/G359,"")</f>
        <v/>
      </c>
      <c r="M359" s="6"/>
    </row>
    <row r="360" customFormat="false" ht="15" hidden="false" customHeight="false" outlineLevel="0" collapsed="false">
      <c r="A360" s="33"/>
      <c r="B360" s="6"/>
      <c r="C360" s="0" t="str">
        <f aca="false">IF(B360="","",IFERROR(VLOOKUP(B360,'Recetas y precios'!$A$5:$B$54,2,FALSE()),""))</f>
        <v/>
      </c>
      <c r="D360" s="20"/>
      <c r="E360" s="6"/>
      <c r="F360" s="29"/>
      <c r="G360" s="14" t="n">
        <f aca="false">E360*F360</f>
        <v>0</v>
      </c>
      <c r="H360" s="14" t="n">
        <f aca="false">IF(B360="",0,E360*IFERROR(VLOOKUP(B360,'Recetas y precios'!$A$5:$T$54,20,FALSE()),0))</f>
        <v>0</v>
      </c>
      <c r="I360" s="26"/>
      <c r="J360" s="14" t="n">
        <f aca="false">G360*I360</f>
        <v>0</v>
      </c>
      <c r="K360" s="14" t="n">
        <f aca="false">G360-H360-J360</f>
        <v>0</v>
      </c>
      <c r="L360" s="30" t="str">
        <f aca="false">IF(G360&gt;0,K360/G360,"")</f>
        <v/>
      </c>
      <c r="M360" s="6"/>
    </row>
    <row r="361" customFormat="false" ht="15" hidden="false" customHeight="false" outlineLevel="0" collapsed="false">
      <c r="A361" s="33"/>
      <c r="B361" s="6"/>
      <c r="C361" s="0" t="str">
        <f aca="false">IF(B361="","",IFERROR(VLOOKUP(B361,'Recetas y precios'!$A$5:$B$54,2,FALSE()),""))</f>
        <v/>
      </c>
      <c r="D361" s="20"/>
      <c r="E361" s="6"/>
      <c r="F361" s="29"/>
      <c r="G361" s="14" t="n">
        <f aca="false">E361*F361</f>
        <v>0</v>
      </c>
      <c r="H361" s="14" t="n">
        <f aca="false">IF(B361="",0,E361*IFERROR(VLOOKUP(B361,'Recetas y precios'!$A$5:$T$54,20,FALSE()),0))</f>
        <v>0</v>
      </c>
      <c r="I361" s="26"/>
      <c r="J361" s="14" t="n">
        <f aca="false">G361*I361</f>
        <v>0</v>
      </c>
      <c r="K361" s="14" t="n">
        <f aca="false">G361-H361-J361</f>
        <v>0</v>
      </c>
      <c r="L361" s="30" t="str">
        <f aca="false">IF(G361&gt;0,K361/G361,"")</f>
        <v/>
      </c>
      <c r="M361" s="6"/>
    </row>
    <row r="362" customFormat="false" ht="15" hidden="false" customHeight="false" outlineLevel="0" collapsed="false">
      <c r="A362" s="33"/>
      <c r="B362" s="6"/>
      <c r="C362" s="0" t="str">
        <f aca="false">IF(B362="","",IFERROR(VLOOKUP(B362,'Recetas y precios'!$A$5:$B$54,2,FALSE()),""))</f>
        <v/>
      </c>
      <c r="D362" s="20"/>
      <c r="E362" s="6"/>
      <c r="F362" s="29"/>
      <c r="G362" s="14" t="n">
        <f aca="false">E362*F362</f>
        <v>0</v>
      </c>
      <c r="H362" s="14" t="n">
        <f aca="false">IF(B362="",0,E362*IFERROR(VLOOKUP(B362,'Recetas y precios'!$A$5:$T$54,20,FALSE()),0))</f>
        <v>0</v>
      </c>
      <c r="I362" s="26"/>
      <c r="J362" s="14" t="n">
        <f aca="false">G362*I362</f>
        <v>0</v>
      </c>
      <c r="K362" s="14" t="n">
        <f aca="false">G362-H362-J362</f>
        <v>0</v>
      </c>
      <c r="L362" s="30" t="str">
        <f aca="false">IF(G362&gt;0,K362/G362,"")</f>
        <v/>
      </c>
      <c r="M362" s="6"/>
    </row>
    <row r="363" customFormat="false" ht="15" hidden="false" customHeight="false" outlineLevel="0" collapsed="false">
      <c r="A363" s="33"/>
      <c r="B363" s="6"/>
      <c r="C363" s="0" t="str">
        <f aca="false">IF(B363="","",IFERROR(VLOOKUP(B363,'Recetas y precios'!$A$5:$B$54,2,FALSE()),""))</f>
        <v/>
      </c>
      <c r="D363" s="20"/>
      <c r="E363" s="6"/>
      <c r="F363" s="29"/>
      <c r="G363" s="14" t="n">
        <f aca="false">E363*F363</f>
        <v>0</v>
      </c>
      <c r="H363" s="14" t="n">
        <f aca="false">IF(B363="",0,E363*IFERROR(VLOOKUP(B363,'Recetas y precios'!$A$5:$T$54,20,FALSE()),0))</f>
        <v>0</v>
      </c>
      <c r="I363" s="26"/>
      <c r="J363" s="14" t="n">
        <f aca="false">G363*I363</f>
        <v>0</v>
      </c>
      <c r="K363" s="14" t="n">
        <f aca="false">G363-H363-J363</f>
        <v>0</v>
      </c>
      <c r="L363" s="30" t="str">
        <f aca="false">IF(G363&gt;0,K363/G363,"")</f>
        <v/>
      </c>
      <c r="M363" s="6"/>
    </row>
    <row r="364" customFormat="false" ht="15" hidden="false" customHeight="false" outlineLevel="0" collapsed="false">
      <c r="A364" s="33"/>
      <c r="B364" s="6"/>
      <c r="C364" s="0" t="str">
        <f aca="false">IF(B364="","",IFERROR(VLOOKUP(B364,'Recetas y precios'!$A$5:$B$54,2,FALSE()),""))</f>
        <v/>
      </c>
      <c r="D364" s="20"/>
      <c r="E364" s="6"/>
      <c r="F364" s="29"/>
      <c r="G364" s="14" t="n">
        <f aca="false">E364*F364</f>
        <v>0</v>
      </c>
      <c r="H364" s="14" t="n">
        <f aca="false">IF(B364="",0,E364*IFERROR(VLOOKUP(B364,'Recetas y precios'!$A$5:$T$54,20,FALSE()),0))</f>
        <v>0</v>
      </c>
      <c r="I364" s="26"/>
      <c r="J364" s="14" t="n">
        <f aca="false">G364*I364</f>
        <v>0</v>
      </c>
      <c r="K364" s="14" t="n">
        <f aca="false">G364-H364-J364</f>
        <v>0</v>
      </c>
      <c r="L364" s="30" t="str">
        <f aca="false">IF(G364&gt;0,K364/G364,"")</f>
        <v/>
      </c>
      <c r="M364" s="6"/>
    </row>
    <row r="365" customFormat="false" ht="15" hidden="false" customHeight="false" outlineLevel="0" collapsed="false">
      <c r="A365" s="33"/>
      <c r="B365" s="6"/>
      <c r="C365" s="0" t="str">
        <f aca="false">IF(B365="","",IFERROR(VLOOKUP(B365,'Recetas y precios'!$A$5:$B$54,2,FALSE()),""))</f>
        <v/>
      </c>
      <c r="D365" s="20"/>
      <c r="E365" s="6"/>
      <c r="F365" s="29"/>
      <c r="G365" s="14" t="n">
        <f aca="false">E365*F365</f>
        <v>0</v>
      </c>
      <c r="H365" s="14" t="n">
        <f aca="false">IF(B365="",0,E365*IFERROR(VLOOKUP(B365,'Recetas y precios'!$A$5:$T$54,20,FALSE()),0))</f>
        <v>0</v>
      </c>
      <c r="I365" s="26"/>
      <c r="J365" s="14" t="n">
        <f aca="false">G365*I365</f>
        <v>0</v>
      </c>
      <c r="K365" s="14" t="n">
        <f aca="false">G365-H365-J365</f>
        <v>0</v>
      </c>
      <c r="L365" s="30" t="str">
        <f aca="false">IF(G365&gt;0,K365/G365,"")</f>
        <v/>
      </c>
      <c r="M365" s="6"/>
    </row>
    <row r="366" customFormat="false" ht="15" hidden="false" customHeight="false" outlineLevel="0" collapsed="false">
      <c r="A366" s="33"/>
      <c r="B366" s="6"/>
      <c r="C366" s="0" t="str">
        <f aca="false">IF(B366="","",IFERROR(VLOOKUP(B366,'Recetas y precios'!$A$5:$B$54,2,FALSE()),""))</f>
        <v/>
      </c>
      <c r="D366" s="20"/>
      <c r="E366" s="6"/>
      <c r="F366" s="29"/>
      <c r="G366" s="14" t="n">
        <f aca="false">E366*F366</f>
        <v>0</v>
      </c>
      <c r="H366" s="14" t="n">
        <f aca="false">IF(B366="",0,E366*IFERROR(VLOOKUP(B366,'Recetas y precios'!$A$5:$T$54,20,FALSE()),0))</f>
        <v>0</v>
      </c>
      <c r="I366" s="26"/>
      <c r="J366" s="14" t="n">
        <f aca="false">G366*I366</f>
        <v>0</v>
      </c>
      <c r="K366" s="14" t="n">
        <f aca="false">G366-H366-J366</f>
        <v>0</v>
      </c>
      <c r="L366" s="30" t="str">
        <f aca="false">IF(G366&gt;0,K366/G366,"")</f>
        <v/>
      </c>
      <c r="M366" s="6"/>
    </row>
    <row r="367" customFormat="false" ht="15" hidden="false" customHeight="false" outlineLevel="0" collapsed="false">
      <c r="A367" s="33"/>
      <c r="B367" s="6"/>
      <c r="C367" s="0" t="str">
        <f aca="false">IF(B367="","",IFERROR(VLOOKUP(B367,'Recetas y precios'!$A$5:$B$54,2,FALSE()),""))</f>
        <v/>
      </c>
      <c r="D367" s="20"/>
      <c r="E367" s="6"/>
      <c r="F367" s="29"/>
      <c r="G367" s="14" t="n">
        <f aca="false">E367*F367</f>
        <v>0</v>
      </c>
      <c r="H367" s="14" t="n">
        <f aca="false">IF(B367="",0,E367*IFERROR(VLOOKUP(B367,'Recetas y precios'!$A$5:$T$54,20,FALSE()),0))</f>
        <v>0</v>
      </c>
      <c r="I367" s="26"/>
      <c r="J367" s="14" t="n">
        <f aca="false">G367*I367</f>
        <v>0</v>
      </c>
      <c r="K367" s="14" t="n">
        <f aca="false">G367-H367-J367</f>
        <v>0</v>
      </c>
      <c r="L367" s="30" t="str">
        <f aca="false">IF(G367&gt;0,K367/G367,"")</f>
        <v/>
      </c>
      <c r="M367" s="6"/>
    </row>
    <row r="368" customFormat="false" ht="15" hidden="false" customHeight="false" outlineLevel="0" collapsed="false">
      <c r="A368" s="33"/>
      <c r="B368" s="6"/>
      <c r="C368" s="0" t="str">
        <f aca="false">IF(B368="","",IFERROR(VLOOKUP(B368,'Recetas y precios'!$A$5:$B$54,2,FALSE()),""))</f>
        <v/>
      </c>
      <c r="D368" s="20"/>
      <c r="E368" s="6"/>
      <c r="F368" s="29"/>
      <c r="G368" s="14" t="n">
        <f aca="false">E368*F368</f>
        <v>0</v>
      </c>
      <c r="H368" s="14" t="n">
        <f aca="false">IF(B368="",0,E368*IFERROR(VLOOKUP(B368,'Recetas y precios'!$A$5:$T$54,20,FALSE()),0))</f>
        <v>0</v>
      </c>
      <c r="I368" s="26"/>
      <c r="J368" s="14" t="n">
        <f aca="false">G368*I368</f>
        <v>0</v>
      </c>
      <c r="K368" s="14" t="n">
        <f aca="false">G368-H368-J368</f>
        <v>0</v>
      </c>
      <c r="L368" s="30" t="str">
        <f aca="false">IF(G368&gt;0,K368/G368,"")</f>
        <v/>
      </c>
      <c r="M368" s="6"/>
    </row>
    <row r="369" customFormat="false" ht="15" hidden="false" customHeight="false" outlineLevel="0" collapsed="false">
      <c r="A369" s="33"/>
      <c r="B369" s="6"/>
      <c r="C369" s="0" t="str">
        <f aca="false">IF(B369="","",IFERROR(VLOOKUP(B369,'Recetas y precios'!$A$5:$B$54,2,FALSE()),""))</f>
        <v/>
      </c>
      <c r="D369" s="20"/>
      <c r="E369" s="6"/>
      <c r="F369" s="29"/>
      <c r="G369" s="14" t="n">
        <f aca="false">E369*F369</f>
        <v>0</v>
      </c>
      <c r="H369" s="14" t="n">
        <f aca="false">IF(B369="",0,E369*IFERROR(VLOOKUP(B369,'Recetas y precios'!$A$5:$T$54,20,FALSE()),0))</f>
        <v>0</v>
      </c>
      <c r="I369" s="26"/>
      <c r="J369" s="14" t="n">
        <f aca="false">G369*I369</f>
        <v>0</v>
      </c>
      <c r="K369" s="14" t="n">
        <f aca="false">G369-H369-J369</f>
        <v>0</v>
      </c>
      <c r="L369" s="30" t="str">
        <f aca="false">IF(G369&gt;0,K369/G369,"")</f>
        <v/>
      </c>
      <c r="M369" s="6"/>
    </row>
    <row r="370" customFormat="false" ht="15" hidden="false" customHeight="false" outlineLevel="0" collapsed="false">
      <c r="A370" s="33"/>
      <c r="B370" s="6"/>
      <c r="C370" s="0" t="str">
        <f aca="false">IF(B370="","",IFERROR(VLOOKUP(B370,'Recetas y precios'!$A$5:$B$54,2,FALSE()),""))</f>
        <v/>
      </c>
      <c r="D370" s="20"/>
      <c r="E370" s="6"/>
      <c r="F370" s="29"/>
      <c r="G370" s="14" t="n">
        <f aca="false">E370*F370</f>
        <v>0</v>
      </c>
      <c r="H370" s="14" t="n">
        <f aca="false">IF(B370="",0,E370*IFERROR(VLOOKUP(B370,'Recetas y precios'!$A$5:$T$54,20,FALSE()),0))</f>
        <v>0</v>
      </c>
      <c r="I370" s="26"/>
      <c r="J370" s="14" t="n">
        <f aca="false">G370*I370</f>
        <v>0</v>
      </c>
      <c r="K370" s="14" t="n">
        <f aca="false">G370-H370-J370</f>
        <v>0</v>
      </c>
      <c r="L370" s="30" t="str">
        <f aca="false">IF(G370&gt;0,K370/G370,"")</f>
        <v/>
      </c>
      <c r="M370" s="6"/>
    </row>
    <row r="371" customFormat="false" ht="15" hidden="false" customHeight="false" outlineLevel="0" collapsed="false">
      <c r="A371" s="33"/>
      <c r="B371" s="6"/>
      <c r="C371" s="0" t="str">
        <f aca="false">IF(B371="","",IFERROR(VLOOKUP(B371,'Recetas y precios'!$A$5:$B$54,2,FALSE()),""))</f>
        <v/>
      </c>
      <c r="D371" s="20"/>
      <c r="E371" s="6"/>
      <c r="F371" s="29"/>
      <c r="G371" s="14" t="n">
        <f aca="false">E371*F371</f>
        <v>0</v>
      </c>
      <c r="H371" s="14" t="n">
        <f aca="false">IF(B371="",0,E371*IFERROR(VLOOKUP(B371,'Recetas y precios'!$A$5:$T$54,20,FALSE()),0))</f>
        <v>0</v>
      </c>
      <c r="I371" s="26"/>
      <c r="J371" s="14" t="n">
        <f aca="false">G371*I371</f>
        <v>0</v>
      </c>
      <c r="K371" s="14" t="n">
        <f aca="false">G371-H371-J371</f>
        <v>0</v>
      </c>
      <c r="L371" s="30" t="str">
        <f aca="false">IF(G371&gt;0,K371/G371,"")</f>
        <v/>
      </c>
      <c r="M371" s="6"/>
    </row>
    <row r="372" customFormat="false" ht="15" hidden="false" customHeight="false" outlineLevel="0" collapsed="false">
      <c r="A372" s="33"/>
      <c r="B372" s="6"/>
      <c r="C372" s="0" t="str">
        <f aca="false">IF(B372="","",IFERROR(VLOOKUP(B372,'Recetas y precios'!$A$5:$B$54,2,FALSE()),""))</f>
        <v/>
      </c>
      <c r="D372" s="20"/>
      <c r="E372" s="6"/>
      <c r="F372" s="29"/>
      <c r="G372" s="14" t="n">
        <f aca="false">E372*F372</f>
        <v>0</v>
      </c>
      <c r="H372" s="14" t="n">
        <f aca="false">IF(B372="",0,E372*IFERROR(VLOOKUP(B372,'Recetas y precios'!$A$5:$T$54,20,FALSE()),0))</f>
        <v>0</v>
      </c>
      <c r="I372" s="26"/>
      <c r="J372" s="14" t="n">
        <f aca="false">G372*I372</f>
        <v>0</v>
      </c>
      <c r="K372" s="14" t="n">
        <f aca="false">G372-H372-J372</f>
        <v>0</v>
      </c>
      <c r="L372" s="30" t="str">
        <f aca="false">IF(G372&gt;0,K372/G372,"")</f>
        <v/>
      </c>
      <c r="M372" s="6"/>
    </row>
    <row r="373" customFormat="false" ht="15" hidden="false" customHeight="false" outlineLevel="0" collapsed="false">
      <c r="A373" s="33"/>
      <c r="B373" s="6"/>
      <c r="C373" s="0" t="str">
        <f aca="false">IF(B373="","",IFERROR(VLOOKUP(B373,'Recetas y precios'!$A$5:$B$54,2,FALSE()),""))</f>
        <v/>
      </c>
      <c r="D373" s="20"/>
      <c r="E373" s="6"/>
      <c r="F373" s="29"/>
      <c r="G373" s="14" t="n">
        <f aca="false">E373*F373</f>
        <v>0</v>
      </c>
      <c r="H373" s="14" t="n">
        <f aca="false">IF(B373="",0,E373*IFERROR(VLOOKUP(B373,'Recetas y precios'!$A$5:$T$54,20,FALSE()),0))</f>
        <v>0</v>
      </c>
      <c r="I373" s="26"/>
      <c r="J373" s="14" t="n">
        <f aca="false">G373*I373</f>
        <v>0</v>
      </c>
      <c r="K373" s="14" t="n">
        <f aca="false">G373-H373-J373</f>
        <v>0</v>
      </c>
      <c r="L373" s="30" t="str">
        <f aca="false">IF(G373&gt;0,K373/G373,"")</f>
        <v/>
      </c>
      <c r="M373" s="6"/>
    </row>
    <row r="374" customFormat="false" ht="15" hidden="false" customHeight="false" outlineLevel="0" collapsed="false">
      <c r="A374" s="33"/>
      <c r="B374" s="6"/>
      <c r="C374" s="0" t="str">
        <f aca="false">IF(B374="","",IFERROR(VLOOKUP(B374,'Recetas y precios'!$A$5:$B$54,2,FALSE()),""))</f>
        <v/>
      </c>
      <c r="D374" s="20"/>
      <c r="E374" s="6"/>
      <c r="F374" s="29"/>
      <c r="G374" s="14" t="n">
        <f aca="false">E374*F374</f>
        <v>0</v>
      </c>
      <c r="H374" s="14" t="n">
        <f aca="false">IF(B374="",0,E374*IFERROR(VLOOKUP(B374,'Recetas y precios'!$A$5:$T$54,20,FALSE()),0))</f>
        <v>0</v>
      </c>
      <c r="I374" s="26"/>
      <c r="J374" s="14" t="n">
        <f aca="false">G374*I374</f>
        <v>0</v>
      </c>
      <c r="K374" s="14" t="n">
        <f aca="false">G374-H374-J374</f>
        <v>0</v>
      </c>
      <c r="L374" s="30" t="str">
        <f aca="false">IF(G374&gt;0,K374/G374,"")</f>
        <v/>
      </c>
      <c r="M374" s="6"/>
    </row>
    <row r="375" customFormat="false" ht="15" hidden="false" customHeight="false" outlineLevel="0" collapsed="false">
      <c r="A375" s="33"/>
      <c r="B375" s="6"/>
      <c r="C375" s="0" t="str">
        <f aca="false">IF(B375="","",IFERROR(VLOOKUP(B375,'Recetas y precios'!$A$5:$B$54,2,FALSE()),""))</f>
        <v/>
      </c>
      <c r="D375" s="20"/>
      <c r="E375" s="6"/>
      <c r="F375" s="29"/>
      <c r="G375" s="14" t="n">
        <f aca="false">E375*F375</f>
        <v>0</v>
      </c>
      <c r="H375" s="14" t="n">
        <f aca="false">IF(B375="",0,E375*IFERROR(VLOOKUP(B375,'Recetas y precios'!$A$5:$T$54,20,FALSE()),0))</f>
        <v>0</v>
      </c>
      <c r="I375" s="26"/>
      <c r="J375" s="14" t="n">
        <f aca="false">G375*I375</f>
        <v>0</v>
      </c>
      <c r="K375" s="14" t="n">
        <f aca="false">G375-H375-J375</f>
        <v>0</v>
      </c>
      <c r="L375" s="30" t="str">
        <f aca="false">IF(G375&gt;0,K375/G375,"")</f>
        <v/>
      </c>
      <c r="M375" s="6"/>
    </row>
    <row r="376" customFormat="false" ht="15" hidden="false" customHeight="false" outlineLevel="0" collapsed="false">
      <c r="A376" s="33"/>
      <c r="B376" s="6"/>
      <c r="C376" s="0" t="str">
        <f aca="false">IF(B376="","",IFERROR(VLOOKUP(B376,'Recetas y precios'!$A$5:$B$54,2,FALSE()),""))</f>
        <v/>
      </c>
      <c r="D376" s="20"/>
      <c r="E376" s="6"/>
      <c r="F376" s="29"/>
      <c r="G376" s="14" t="n">
        <f aca="false">E376*F376</f>
        <v>0</v>
      </c>
      <c r="H376" s="14" t="n">
        <f aca="false">IF(B376="",0,E376*IFERROR(VLOOKUP(B376,'Recetas y precios'!$A$5:$T$54,20,FALSE()),0))</f>
        <v>0</v>
      </c>
      <c r="I376" s="26"/>
      <c r="J376" s="14" t="n">
        <f aca="false">G376*I376</f>
        <v>0</v>
      </c>
      <c r="K376" s="14" t="n">
        <f aca="false">G376-H376-J376</f>
        <v>0</v>
      </c>
      <c r="L376" s="30" t="str">
        <f aca="false">IF(G376&gt;0,K376/G376,"")</f>
        <v/>
      </c>
      <c r="M376" s="6"/>
    </row>
    <row r="377" customFormat="false" ht="15" hidden="false" customHeight="false" outlineLevel="0" collapsed="false">
      <c r="A377" s="33"/>
      <c r="B377" s="6"/>
      <c r="C377" s="0" t="str">
        <f aca="false">IF(B377="","",IFERROR(VLOOKUP(B377,'Recetas y precios'!$A$5:$B$54,2,FALSE()),""))</f>
        <v/>
      </c>
      <c r="D377" s="20"/>
      <c r="E377" s="6"/>
      <c r="F377" s="29"/>
      <c r="G377" s="14" t="n">
        <f aca="false">E377*F377</f>
        <v>0</v>
      </c>
      <c r="H377" s="14" t="n">
        <f aca="false">IF(B377="",0,E377*IFERROR(VLOOKUP(B377,'Recetas y precios'!$A$5:$T$54,20,FALSE()),0))</f>
        <v>0</v>
      </c>
      <c r="I377" s="26"/>
      <c r="J377" s="14" t="n">
        <f aca="false">G377*I377</f>
        <v>0</v>
      </c>
      <c r="K377" s="14" t="n">
        <f aca="false">G377-H377-J377</f>
        <v>0</v>
      </c>
      <c r="L377" s="30" t="str">
        <f aca="false">IF(G377&gt;0,K377/G377,"")</f>
        <v/>
      </c>
      <c r="M377" s="6"/>
    </row>
    <row r="378" customFormat="false" ht="15" hidden="false" customHeight="false" outlineLevel="0" collapsed="false">
      <c r="A378" s="33"/>
      <c r="B378" s="6"/>
      <c r="C378" s="0" t="str">
        <f aca="false">IF(B378="","",IFERROR(VLOOKUP(B378,'Recetas y precios'!$A$5:$B$54,2,FALSE()),""))</f>
        <v/>
      </c>
      <c r="D378" s="20"/>
      <c r="E378" s="6"/>
      <c r="F378" s="29"/>
      <c r="G378" s="14" t="n">
        <f aca="false">E378*F378</f>
        <v>0</v>
      </c>
      <c r="H378" s="14" t="n">
        <f aca="false">IF(B378="",0,E378*IFERROR(VLOOKUP(B378,'Recetas y precios'!$A$5:$T$54,20,FALSE()),0))</f>
        <v>0</v>
      </c>
      <c r="I378" s="26"/>
      <c r="J378" s="14" t="n">
        <f aca="false">G378*I378</f>
        <v>0</v>
      </c>
      <c r="K378" s="14" t="n">
        <f aca="false">G378-H378-J378</f>
        <v>0</v>
      </c>
      <c r="L378" s="30" t="str">
        <f aca="false">IF(G378&gt;0,K378/G378,"")</f>
        <v/>
      </c>
      <c r="M378" s="6"/>
    </row>
    <row r="379" customFormat="false" ht="15" hidden="false" customHeight="false" outlineLevel="0" collapsed="false">
      <c r="A379" s="33"/>
      <c r="B379" s="6"/>
      <c r="C379" s="0" t="str">
        <f aca="false">IF(B379="","",IFERROR(VLOOKUP(B379,'Recetas y precios'!$A$5:$B$54,2,FALSE()),""))</f>
        <v/>
      </c>
      <c r="D379" s="20"/>
      <c r="E379" s="6"/>
      <c r="F379" s="29"/>
      <c r="G379" s="14" t="n">
        <f aca="false">E379*F379</f>
        <v>0</v>
      </c>
      <c r="H379" s="14" t="n">
        <f aca="false">IF(B379="",0,E379*IFERROR(VLOOKUP(B379,'Recetas y precios'!$A$5:$T$54,20,FALSE()),0))</f>
        <v>0</v>
      </c>
      <c r="I379" s="26"/>
      <c r="J379" s="14" t="n">
        <f aca="false">G379*I379</f>
        <v>0</v>
      </c>
      <c r="K379" s="14" t="n">
        <f aca="false">G379-H379-J379</f>
        <v>0</v>
      </c>
      <c r="L379" s="30" t="str">
        <f aca="false">IF(G379&gt;0,K379/G379,"")</f>
        <v/>
      </c>
      <c r="M379" s="6"/>
    </row>
    <row r="380" customFormat="false" ht="15" hidden="false" customHeight="false" outlineLevel="0" collapsed="false">
      <c r="A380" s="33"/>
      <c r="B380" s="6"/>
      <c r="C380" s="0" t="str">
        <f aca="false">IF(B380="","",IFERROR(VLOOKUP(B380,'Recetas y precios'!$A$5:$B$54,2,FALSE()),""))</f>
        <v/>
      </c>
      <c r="D380" s="20"/>
      <c r="E380" s="6"/>
      <c r="F380" s="29"/>
      <c r="G380" s="14" t="n">
        <f aca="false">E380*F380</f>
        <v>0</v>
      </c>
      <c r="H380" s="14" t="n">
        <f aca="false">IF(B380="",0,E380*IFERROR(VLOOKUP(B380,'Recetas y precios'!$A$5:$T$54,20,FALSE()),0))</f>
        <v>0</v>
      </c>
      <c r="I380" s="26"/>
      <c r="J380" s="14" t="n">
        <f aca="false">G380*I380</f>
        <v>0</v>
      </c>
      <c r="K380" s="14" t="n">
        <f aca="false">G380-H380-J380</f>
        <v>0</v>
      </c>
      <c r="L380" s="30" t="str">
        <f aca="false">IF(G380&gt;0,K380/G380,"")</f>
        <v/>
      </c>
      <c r="M380" s="6"/>
    </row>
    <row r="381" customFormat="false" ht="15" hidden="false" customHeight="false" outlineLevel="0" collapsed="false">
      <c r="A381" s="33"/>
      <c r="B381" s="6"/>
      <c r="C381" s="0" t="str">
        <f aca="false">IF(B381="","",IFERROR(VLOOKUP(B381,'Recetas y precios'!$A$5:$B$54,2,FALSE()),""))</f>
        <v/>
      </c>
      <c r="D381" s="20"/>
      <c r="E381" s="6"/>
      <c r="F381" s="29"/>
      <c r="G381" s="14" t="n">
        <f aca="false">E381*F381</f>
        <v>0</v>
      </c>
      <c r="H381" s="14" t="n">
        <f aca="false">IF(B381="",0,E381*IFERROR(VLOOKUP(B381,'Recetas y precios'!$A$5:$T$54,20,FALSE()),0))</f>
        <v>0</v>
      </c>
      <c r="I381" s="26"/>
      <c r="J381" s="14" t="n">
        <f aca="false">G381*I381</f>
        <v>0</v>
      </c>
      <c r="K381" s="14" t="n">
        <f aca="false">G381-H381-J381</f>
        <v>0</v>
      </c>
      <c r="L381" s="30" t="str">
        <f aca="false">IF(G381&gt;0,K381/G381,"")</f>
        <v/>
      </c>
      <c r="M381" s="6"/>
    </row>
    <row r="382" customFormat="false" ht="15" hidden="false" customHeight="false" outlineLevel="0" collapsed="false">
      <c r="A382" s="33"/>
      <c r="B382" s="6"/>
      <c r="C382" s="0" t="str">
        <f aca="false">IF(B382="","",IFERROR(VLOOKUP(B382,'Recetas y precios'!$A$5:$B$54,2,FALSE()),""))</f>
        <v/>
      </c>
      <c r="D382" s="20"/>
      <c r="E382" s="6"/>
      <c r="F382" s="29"/>
      <c r="G382" s="14" t="n">
        <f aca="false">E382*F382</f>
        <v>0</v>
      </c>
      <c r="H382" s="14" t="n">
        <f aca="false">IF(B382="",0,E382*IFERROR(VLOOKUP(B382,'Recetas y precios'!$A$5:$T$54,20,FALSE()),0))</f>
        <v>0</v>
      </c>
      <c r="I382" s="26"/>
      <c r="J382" s="14" t="n">
        <f aca="false">G382*I382</f>
        <v>0</v>
      </c>
      <c r="K382" s="14" t="n">
        <f aca="false">G382-H382-J382</f>
        <v>0</v>
      </c>
      <c r="L382" s="30" t="str">
        <f aca="false">IF(G382&gt;0,K382/G382,"")</f>
        <v/>
      </c>
      <c r="M382" s="6"/>
    </row>
    <row r="383" customFormat="false" ht="15" hidden="false" customHeight="false" outlineLevel="0" collapsed="false">
      <c r="A383" s="33"/>
      <c r="B383" s="6"/>
      <c r="C383" s="0" t="str">
        <f aca="false">IF(B383="","",IFERROR(VLOOKUP(B383,'Recetas y precios'!$A$5:$B$54,2,FALSE()),""))</f>
        <v/>
      </c>
      <c r="D383" s="20"/>
      <c r="E383" s="6"/>
      <c r="F383" s="29"/>
      <c r="G383" s="14" t="n">
        <f aca="false">E383*F383</f>
        <v>0</v>
      </c>
      <c r="H383" s="14" t="n">
        <f aca="false">IF(B383="",0,E383*IFERROR(VLOOKUP(B383,'Recetas y precios'!$A$5:$T$54,20,FALSE()),0))</f>
        <v>0</v>
      </c>
      <c r="I383" s="26"/>
      <c r="J383" s="14" t="n">
        <f aca="false">G383*I383</f>
        <v>0</v>
      </c>
      <c r="K383" s="14" t="n">
        <f aca="false">G383-H383-J383</f>
        <v>0</v>
      </c>
      <c r="L383" s="30" t="str">
        <f aca="false">IF(G383&gt;0,K383/G383,"")</f>
        <v/>
      </c>
      <c r="M383" s="6"/>
    </row>
    <row r="384" customFormat="false" ht="15" hidden="false" customHeight="false" outlineLevel="0" collapsed="false">
      <c r="A384" s="33"/>
      <c r="B384" s="6"/>
      <c r="C384" s="0" t="str">
        <f aca="false">IF(B384="","",IFERROR(VLOOKUP(B384,'Recetas y precios'!$A$5:$B$54,2,FALSE()),""))</f>
        <v/>
      </c>
      <c r="D384" s="20"/>
      <c r="E384" s="6"/>
      <c r="F384" s="29"/>
      <c r="G384" s="14" t="n">
        <f aca="false">E384*F384</f>
        <v>0</v>
      </c>
      <c r="H384" s="14" t="n">
        <f aca="false">IF(B384="",0,E384*IFERROR(VLOOKUP(B384,'Recetas y precios'!$A$5:$T$54,20,FALSE()),0))</f>
        <v>0</v>
      </c>
      <c r="I384" s="26"/>
      <c r="J384" s="14" t="n">
        <f aca="false">G384*I384</f>
        <v>0</v>
      </c>
      <c r="K384" s="14" t="n">
        <f aca="false">G384-H384-J384</f>
        <v>0</v>
      </c>
      <c r="L384" s="30" t="str">
        <f aca="false">IF(G384&gt;0,K384/G384,"")</f>
        <v/>
      </c>
      <c r="M384" s="6"/>
    </row>
    <row r="385" customFormat="false" ht="15" hidden="false" customHeight="false" outlineLevel="0" collapsed="false">
      <c r="A385" s="33"/>
      <c r="B385" s="6"/>
      <c r="C385" s="0" t="str">
        <f aca="false">IF(B385="","",IFERROR(VLOOKUP(B385,'Recetas y precios'!$A$5:$B$54,2,FALSE()),""))</f>
        <v/>
      </c>
      <c r="D385" s="20"/>
      <c r="E385" s="6"/>
      <c r="F385" s="29"/>
      <c r="G385" s="14" t="n">
        <f aca="false">E385*F385</f>
        <v>0</v>
      </c>
      <c r="H385" s="14" t="n">
        <f aca="false">IF(B385="",0,E385*IFERROR(VLOOKUP(B385,'Recetas y precios'!$A$5:$T$54,20,FALSE()),0))</f>
        <v>0</v>
      </c>
      <c r="I385" s="26"/>
      <c r="J385" s="14" t="n">
        <f aca="false">G385*I385</f>
        <v>0</v>
      </c>
      <c r="K385" s="14" t="n">
        <f aca="false">G385-H385-J385</f>
        <v>0</v>
      </c>
      <c r="L385" s="30" t="str">
        <f aca="false">IF(G385&gt;0,K385/G385,"")</f>
        <v/>
      </c>
      <c r="M385" s="6"/>
    </row>
    <row r="386" customFormat="false" ht="15" hidden="false" customHeight="false" outlineLevel="0" collapsed="false">
      <c r="A386" s="33"/>
      <c r="B386" s="6"/>
      <c r="C386" s="0" t="str">
        <f aca="false">IF(B386="","",IFERROR(VLOOKUP(B386,'Recetas y precios'!$A$5:$B$54,2,FALSE()),""))</f>
        <v/>
      </c>
      <c r="D386" s="20"/>
      <c r="E386" s="6"/>
      <c r="F386" s="29"/>
      <c r="G386" s="14" t="n">
        <f aca="false">E386*F386</f>
        <v>0</v>
      </c>
      <c r="H386" s="14" t="n">
        <f aca="false">IF(B386="",0,E386*IFERROR(VLOOKUP(B386,'Recetas y precios'!$A$5:$T$54,20,FALSE()),0))</f>
        <v>0</v>
      </c>
      <c r="I386" s="26"/>
      <c r="J386" s="14" t="n">
        <f aca="false">G386*I386</f>
        <v>0</v>
      </c>
      <c r="K386" s="14" t="n">
        <f aca="false">G386-H386-J386</f>
        <v>0</v>
      </c>
      <c r="L386" s="30" t="str">
        <f aca="false">IF(G386&gt;0,K386/G386,"")</f>
        <v/>
      </c>
      <c r="M386" s="6"/>
    </row>
    <row r="387" customFormat="false" ht="15" hidden="false" customHeight="false" outlineLevel="0" collapsed="false">
      <c r="A387" s="33"/>
      <c r="B387" s="6"/>
      <c r="C387" s="0" t="str">
        <f aca="false">IF(B387="","",IFERROR(VLOOKUP(B387,'Recetas y precios'!$A$5:$B$54,2,FALSE()),""))</f>
        <v/>
      </c>
      <c r="D387" s="20"/>
      <c r="E387" s="6"/>
      <c r="F387" s="29"/>
      <c r="G387" s="14" t="n">
        <f aca="false">E387*F387</f>
        <v>0</v>
      </c>
      <c r="H387" s="14" t="n">
        <f aca="false">IF(B387="",0,E387*IFERROR(VLOOKUP(B387,'Recetas y precios'!$A$5:$T$54,20,FALSE()),0))</f>
        <v>0</v>
      </c>
      <c r="I387" s="26"/>
      <c r="J387" s="14" t="n">
        <f aca="false">G387*I387</f>
        <v>0</v>
      </c>
      <c r="K387" s="14" t="n">
        <f aca="false">G387-H387-J387</f>
        <v>0</v>
      </c>
      <c r="L387" s="30" t="str">
        <f aca="false">IF(G387&gt;0,K387/G387,"")</f>
        <v/>
      </c>
      <c r="M387" s="6"/>
    </row>
    <row r="388" customFormat="false" ht="15" hidden="false" customHeight="false" outlineLevel="0" collapsed="false">
      <c r="A388" s="33"/>
      <c r="B388" s="6"/>
      <c r="C388" s="0" t="str">
        <f aca="false">IF(B388="","",IFERROR(VLOOKUP(B388,'Recetas y precios'!$A$5:$B$54,2,FALSE()),""))</f>
        <v/>
      </c>
      <c r="D388" s="20"/>
      <c r="E388" s="6"/>
      <c r="F388" s="29"/>
      <c r="G388" s="14" t="n">
        <f aca="false">E388*F388</f>
        <v>0</v>
      </c>
      <c r="H388" s="14" t="n">
        <f aca="false">IF(B388="",0,E388*IFERROR(VLOOKUP(B388,'Recetas y precios'!$A$5:$T$54,20,FALSE()),0))</f>
        <v>0</v>
      </c>
      <c r="I388" s="26"/>
      <c r="J388" s="14" t="n">
        <f aca="false">G388*I388</f>
        <v>0</v>
      </c>
      <c r="K388" s="14" t="n">
        <f aca="false">G388-H388-J388</f>
        <v>0</v>
      </c>
      <c r="L388" s="30" t="str">
        <f aca="false">IF(G388&gt;0,K388/G388,"")</f>
        <v/>
      </c>
      <c r="M388" s="6"/>
    </row>
    <row r="389" customFormat="false" ht="15" hidden="false" customHeight="false" outlineLevel="0" collapsed="false">
      <c r="A389" s="33"/>
      <c r="B389" s="6"/>
      <c r="C389" s="0" t="str">
        <f aca="false">IF(B389="","",IFERROR(VLOOKUP(B389,'Recetas y precios'!$A$5:$B$54,2,FALSE()),""))</f>
        <v/>
      </c>
      <c r="D389" s="20"/>
      <c r="E389" s="6"/>
      <c r="F389" s="29"/>
      <c r="G389" s="14" t="n">
        <f aca="false">E389*F389</f>
        <v>0</v>
      </c>
      <c r="H389" s="14" t="n">
        <f aca="false">IF(B389="",0,E389*IFERROR(VLOOKUP(B389,'Recetas y precios'!$A$5:$T$54,20,FALSE()),0))</f>
        <v>0</v>
      </c>
      <c r="I389" s="26"/>
      <c r="J389" s="14" t="n">
        <f aca="false">G389*I389</f>
        <v>0</v>
      </c>
      <c r="K389" s="14" t="n">
        <f aca="false">G389-H389-J389</f>
        <v>0</v>
      </c>
      <c r="L389" s="30" t="str">
        <f aca="false">IF(G389&gt;0,K389/G389,"")</f>
        <v/>
      </c>
      <c r="M389" s="6"/>
    </row>
    <row r="390" customFormat="false" ht="15" hidden="false" customHeight="false" outlineLevel="0" collapsed="false">
      <c r="A390" s="33"/>
      <c r="B390" s="6"/>
      <c r="C390" s="0" t="str">
        <f aca="false">IF(B390="","",IFERROR(VLOOKUP(B390,'Recetas y precios'!$A$5:$B$54,2,FALSE()),""))</f>
        <v/>
      </c>
      <c r="D390" s="20"/>
      <c r="E390" s="6"/>
      <c r="F390" s="29"/>
      <c r="G390" s="14" t="n">
        <f aca="false">E390*F390</f>
        <v>0</v>
      </c>
      <c r="H390" s="14" t="n">
        <f aca="false">IF(B390="",0,E390*IFERROR(VLOOKUP(B390,'Recetas y precios'!$A$5:$T$54,20,FALSE()),0))</f>
        <v>0</v>
      </c>
      <c r="I390" s="26"/>
      <c r="J390" s="14" t="n">
        <f aca="false">G390*I390</f>
        <v>0</v>
      </c>
      <c r="K390" s="14" t="n">
        <f aca="false">G390-H390-J390</f>
        <v>0</v>
      </c>
      <c r="L390" s="30" t="str">
        <f aca="false">IF(G390&gt;0,K390/G390,"")</f>
        <v/>
      </c>
      <c r="M390" s="6"/>
    </row>
    <row r="391" customFormat="false" ht="15" hidden="false" customHeight="false" outlineLevel="0" collapsed="false">
      <c r="A391" s="33"/>
      <c r="B391" s="6"/>
      <c r="C391" s="0" t="str">
        <f aca="false">IF(B391="","",IFERROR(VLOOKUP(B391,'Recetas y precios'!$A$5:$B$54,2,FALSE()),""))</f>
        <v/>
      </c>
      <c r="D391" s="20"/>
      <c r="E391" s="6"/>
      <c r="F391" s="29"/>
      <c r="G391" s="14" t="n">
        <f aca="false">E391*F391</f>
        <v>0</v>
      </c>
      <c r="H391" s="14" t="n">
        <f aca="false">IF(B391="",0,E391*IFERROR(VLOOKUP(B391,'Recetas y precios'!$A$5:$T$54,20,FALSE()),0))</f>
        <v>0</v>
      </c>
      <c r="I391" s="26"/>
      <c r="J391" s="14" t="n">
        <f aca="false">G391*I391</f>
        <v>0</v>
      </c>
      <c r="K391" s="14" t="n">
        <f aca="false">G391-H391-J391</f>
        <v>0</v>
      </c>
      <c r="L391" s="30" t="str">
        <f aca="false">IF(G391&gt;0,K391/G391,"")</f>
        <v/>
      </c>
      <c r="M391" s="6"/>
    </row>
    <row r="392" customFormat="false" ht="15" hidden="false" customHeight="false" outlineLevel="0" collapsed="false">
      <c r="A392" s="33"/>
      <c r="B392" s="6"/>
      <c r="C392" s="0" t="str">
        <f aca="false">IF(B392="","",IFERROR(VLOOKUP(B392,'Recetas y precios'!$A$5:$B$54,2,FALSE()),""))</f>
        <v/>
      </c>
      <c r="D392" s="20"/>
      <c r="E392" s="6"/>
      <c r="F392" s="29"/>
      <c r="G392" s="14" t="n">
        <f aca="false">E392*F392</f>
        <v>0</v>
      </c>
      <c r="H392" s="14" t="n">
        <f aca="false">IF(B392="",0,E392*IFERROR(VLOOKUP(B392,'Recetas y precios'!$A$5:$T$54,20,FALSE()),0))</f>
        <v>0</v>
      </c>
      <c r="I392" s="26"/>
      <c r="J392" s="14" t="n">
        <f aca="false">G392*I392</f>
        <v>0</v>
      </c>
      <c r="K392" s="14" t="n">
        <f aca="false">G392-H392-J392</f>
        <v>0</v>
      </c>
      <c r="L392" s="30" t="str">
        <f aca="false">IF(G392&gt;0,K392/G392,"")</f>
        <v/>
      </c>
      <c r="M392" s="6"/>
    </row>
    <row r="393" customFormat="false" ht="15" hidden="false" customHeight="false" outlineLevel="0" collapsed="false">
      <c r="A393" s="33"/>
      <c r="B393" s="6"/>
      <c r="C393" s="0" t="str">
        <f aca="false">IF(B393="","",IFERROR(VLOOKUP(B393,'Recetas y precios'!$A$5:$B$54,2,FALSE()),""))</f>
        <v/>
      </c>
      <c r="D393" s="20"/>
      <c r="E393" s="6"/>
      <c r="F393" s="29"/>
      <c r="G393" s="14" t="n">
        <f aca="false">E393*F393</f>
        <v>0</v>
      </c>
      <c r="H393" s="14" t="n">
        <f aca="false">IF(B393="",0,E393*IFERROR(VLOOKUP(B393,'Recetas y precios'!$A$5:$T$54,20,FALSE()),0))</f>
        <v>0</v>
      </c>
      <c r="I393" s="26"/>
      <c r="J393" s="14" t="n">
        <f aca="false">G393*I393</f>
        <v>0</v>
      </c>
      <c r="K393" s="14" t="n">
        <f aca="false">G393-H393-J393</f>
        <v>0</v>
      </c>
      <c r="L393" s="30" t="str">
        <f aca="false">IF(G393&gt;0,K393/G393,"")</f>
        <v/>
      </c>
      <c r="M393" s="6"/>
    </row>
    <row r="394" customFormat="false" ht="15" hidden="false" customHeight="false" outlineLevel="0" collapsed="false">
      <c r="A394" s="33"/>
      <c r="B394" s="6"/>
      <c r="C394" s="0" t="str">
        <f aca="false">IF(B394="","",IFERROR(VLOOKUP(B394,'Recetas y precios'!$A$5:$B$54,2,FALSE()),""))</f>
        <v/>
      </c>
      <c r="D394" s="20"/>
      <c r="E394" s="6"/>
      <c r="F394" s="29"/>
      <c r="G394" s="14" t="n">
        <f aca="false">E394*F394</f>
        <v>0</v>
      </c>
      <c r="H394" s="14" t="n">
        <f aca="false">IF(B394="",0,E394*IFERROR(VLOOKUP(B394,'Recetas y precios'!$A$5:$T$54,20,FALSE()),0))</f>
        <v>0</v>
      </c>
      <c r="I394" s="26"/>
      <c r="J394" s="14" t="n">
        <f aca="false">G394*I394</f>
        <v>0</v>
      </c>
      <c r="K394" s="14" t="n">
        <f aca="false">G394-H394-J394</f>
        <v>0</v>
      </c>
      <c r="L394" s="30" t="str">
        <f aca="false">IF(G394&gt;0,K394/G394,"")</f>
        <v/>
      </c>
      <c r="M394" s="6"/>
    </row>
    <row r="395" customFormat="false" ht="15" hidden="false" customHeight="false" outlineLevel="0" collapsed="false">
      <c r="A395" s="33"/>
      <c r="B395" s="6"/>
      <c r="C395" s="0" t="str">
        <f aca="false">IF(B395="","",IFERROR(VLOOKUP(B395,'Recetas y precios'!$A$5:$B$54,2,FALSE()),""))</f>
        <v/>
      </c>
      <c r="D395" s="20"/>
      <c r="E395" s="6"/>
      <c r="F395" s="29"/>
      <c r="G395" s="14" t="n">
        <f aca="false">E395*F395</f>
        <v>0</v>
      </c>
      <c r="H395" s="14" t="n">
        <f aca="false">IF(B395="",0,E395*IFERROR(VLOOKUP(B395,'Recetas y precios'!$A$5:$T$54,20,FALSE()),0))</f>
        <v>0</v>
      </c>
      <c r="I395" s="26"/>
      <c r="J395" s="14" t="n">
        <f aca="false">G395*I395</f>
        <v>0</v>
      </c>
      <c r="K395" s="14" t="n">
        <f aca="false">G395-H395-J395</f>
        <v>0</v>
      </c>
      <c r="L395" s="30" t="str">
        <f aca="false">IF(G395&gt;0,K395/G395,"")</f>
        <v/>
      </c>
      <c r="M395" s="6"/>
    </row>
    <row r="396" customFormat="false" ht="15" hidden="false" customHeight="false" outlineLevel="0" collapsed="false">
      <c r="A396" s="33"/>
      <c r="B396" s="6"/>
      <c r="C396" s="0" t="str">
        <f aca="false">IF(B396="","",IFERROR(VLOOKUP(B396,'Recetas y precios'!$A$5:$B$54,2,FALSE()),""))</f>
        <v/>
      </c>
      <c r="D396" s="20"/>
      <c r="E396" s="6"/>
      <c r="F396" s="29"/>
      <c r="G396" s="14" t="n">
        <f aca="false">E396*F396</f>
        <v>0</v>
      </c>
      <c r="H396" s="14" t="n">
        <f aca="false">IF(B396="",0,E396*IFERROR(VLOOKUP(B396,'Recetas y precios'!$A$5:$T$54,20,FALSE()),0))</f>
        <v>0</v>
      </c>
      <c r="I396" s="26"/>
      <c r="J396" s="14" t="n">
        <f aca="false">G396*I396</f>
        <v>0</v>
      </c>
      <c r="K396" s="14" t="n">
        <f aca="false">G396-H396-J396</f>
        <v>0</v>
      </c>
      <c r="L396" s="30" t="str">
        <f aca="false">IF(G396&gt;0,K396/G396,"")</f>
        <v/>
      </c>
      <c r="M396" s="6"/>
    </row>
    <row r="397" customFormat="false" ht="15" hidden="false" customHeight="false" outlineLevel="0" collapsed="false">
      <c r="A397" s="33"/>
      <c r="B397" s="6"/>
      <c r="C397" s="0" t="str">
        <f aca="false">IF(B397="","",IFERROR(VLOOKUP(B397,'Recetas y precios'!$A$5:$B$54,2,FALSE()),""))</f>
        <v/>
      </c>
      <c r="D397" s="20"/>
      <c r="E397" s="6"/>
      <c r="F397" s="29"/>
      <c r="G397" s="14" t="n">
        <f aca="false">E397*F397</f>
        <v>0</v>
      </c>
      <c r="H397" s="14" t="n">
        <f aca="false">IF(B397="",0,E397*IFERROR(VLOOKUP(B397,'Recetas y precios'!$A$5:$T$54,20,FALSE()),0))</f>
        <v>0</v>
      </c>
      <c r="I397" s="26"/>
      <c r="J397" s="14" t="n">
        <f aca="false">G397*I397</f>
        <v>0</v>
      </c>
      <c r="K397" s="14" t="n">
        <f aca="false">G397-H397-J397</f>
        <v>0</v>
      </c>
      <c r="L397" s="30" t="str">
        <f aca="false">IF(G397&gt;0,K397/G397,"")</f>
        <v/>
      </c>
      <c r="M397" s="6"/>
    </row>
    <row r="398" customFormat="false" ht="15" hidden="false" customHeight="false" outlineLevel="0" collapsed="false">
      <c r="A398" s="33"/>
      <c r="B398" s="6"/>
      <c r="C398" s="0" t="str">
        <f aca="false">IF(B398="","",IFERROR(VLOOKUP(B398,'Recetas y precios'!$A$5:$B$54,2,FALSE()),""))</f>
        <v/>
      </c>
      <c r="D398" s="20"/>
      <c r="E398" s="6"/>
      <c r="F398" s="29"/>
      <c r="G398" s="14" t="n">
        <f aca="false">E398*F398</f>
        <v>0</v>
      </c>
      <c r="H398" s="14" t="n">
        <f aca="false">IF(B398="",0,E398*IFERROR(VLOOKUP(B398,'Recetas y precios'!$A$5:$T$54,20,FALSE()),0))</f>
        <v>0</v>
      </c>
      <c r="I398" s="26"/>
      <c r="J398" s="14" t="n">
        <f aca="false">G398*I398</f>
        <v>0</v>
      </c>
      <c r="K398" s="14" t="n">
        <f aca="false">G398-H398-J398</f>
        <v>0</v>
      </c>
      <c r="L398" s="30" t="str">
        <f aca="false">IF(G398&gt;0,K398/G398,"")</f>
        <v/>
      </c>
      <c r="M398" s="6"/>
    </row>
    <row r="399" customFormat="false" ht="15" hidden="false" customHeight="false" outlineLevel="0" collapsed="false">
      <c r="A399" s="33"/>
      <c r="B399" s="6"/>
      <c r="C399" s="0" t="str">
        <f aca="false">IF(B399="","",IFERROR(VLOOKUP(B399,'Recetas y precios'!$A$5:$B$54,2,FALSE()),""))</f>
        <v/>
      </c>
      <c r="D399" s="20"/>
      <c r="E399" s="6"/>
      <c r="F399" s="29"/>
      <c r="G399" s="14" t="n">
        <f aca="false">E399*F399</f>
        <v>0</v>
      </c>
      <c r="H399" s="14" t="n">
        <f aca="false">IF(B399="",0,E399*IFERROR(VLOOKUP(B399,'Recetas y precios'!$A$5:$T$54,20,FALSE()),0))</f>
        <v>0</v>
      </c>
      <c r="I399" s="26"/>
      <c r="J399" s="14" t="n">
        <f aca="false">G399*I399</f>
        <v>0</v>
      </c>
      <c r="K399" s="14" t="n">
        <f aca="false">G399-H399-J399</f>
        <v>0</v>
      </c>
      <c r="L399" s="30" t="str">
        <f aca="false">IF(G399&gt;0,K399/G399,"")</f>
        <v/>
      </c>
      <c r="M399" s="6"/>
    </row>
    <row r="400" customFormat="false" ht="15" hidden="false" customHeight="false" outlineLevel="0" collapsed="false">
      <c r="A400" s="33"/>
      <c r="B400" s="6"/>
      <c r="C400" s="0" t="str">
        <f aca="false">IF(B400="","",IFERROR(VLOOKUP(B400,'Recetas y precios'!$A$5:$B$54,2,FALSE()),""))</f>
        <v/>
      </c>
      <c r="D400" s="20"/>
      <c r="E400" s="6"/>
      <c r="F400" s="29"/>
      <c r="G400" s="14" t="n">
        <f aca="false">E400*F400</f>
        <v>0</v>
      </c>
      <c r="H400" s="14" t="n">
        <f aca="false">IF(B400="",0,E400*IFERROR(VLOOKUP(B400,'Recetas y precios'!$A$5:$T$54,20,FALSE()),0))</f>
        <v>0</v>
      </c>
      <c r="I400" s="26"/>
      <c r="J400" s="14" t="n">
        <f aca="false">G400*I400</f>
        <v>0</v>
      </c>
      <c r="K400" s="14" t="n">
        <f aca="false">G400-H400-J400</f>
        <v>0</v>
      </c>
      <c r="L400" s="30" t="str">
        <f aca="false">IF(G400&gt;0,K400/G400,"")</f>
        <v/>
      </c>
      <c r="M400" s="6"/>
    </row>
    <row r="401" customFormat="false" ht="15" hidden="false" customHeight="false" outlineLevel="0" collapsed="false">
      <c r="A401" s="33"/>
      <c r="B401" s="6"/>
      <c r="C401" s="0" t="str">
        <f aca="false">IF(B401="","",IFERROR(VLOOKUP(B401,'Recetas y precios'!$A$5:$B$54,2,FALSE()),""))</f>
        <v/>
      </c>
      <c r="D401" s="20"/>
      <c r="E401" s="6"/>
      <c r="F401" s="29"/>
      <c r="G401" s="14" t="n">
        <f aca="false">E401*F401</f>
        <v>0</v>
      </c>
      <c r="H401" s="14" t="n">
        <f aca="false">IF(B401="",0,E401*IFERROR(VLOOKUP(B401,'Recetas y precios'!$A$5:$T$54,20,FALSE()),0))</f>
        <v>0</v>
      </c>
      <c r="I401" s="26"/>
      <c r="J401" s="14" t="n">
        <f aca="false">G401*I401</f>
        <v>0</v>
      </c>
      <c r="K401" s="14" t="n">
        <f aca="false">G401-H401-J401</f>
        <v>0</v>
      </c>
      <c r="L401" s="30" t="str">
        <f aca="false">IF(G401&gt;0,K401/G401,"")</f>
        <v/>
      </c>
      <c r="M401" s="6"/>
    </row>
    <row r="402" customFormat="false" ht="15" hidden="false" customHeight="false" outlineLevel="0" collapsed="false">
      <c r="A402" s="33"/>
      <c r="B402" s="6"/>
      <c r="C402" s="0" t="str">
        <f aca="false">IF(B402="","",IFERROR(VLOOKUP(B402,'Recetas y precios'!$A$5:$B$54,2,FALSE()),""))</f>
        <v/>
      </c>
      <c r="D402" s="20"/>
      <c r="E402" s="6"/>
      <c r="F402" s="29"/>
      <c r="G402" s="14" t="n">
        <f aca="false">E402*F402</f>
        <v>0</v>
      </c>
      <c r="H402" s="14" t="n">
        <f aca="false">IF(B402="",0,E402*IFERROR(VLOOKUP(B402,'Recetas y precios'!$A$5:$T$54,20,FALSE()),0))</f>
        <v>0</v>
      </c>
      <c r="I402" s="26"/>
      <c r="J402" s="14" t="n">
        <f aca="false">G402*I402</f>
        <v>0</v>
      </c>
      <c r="K402" s="14" t="n">
        <f aca="false">G402-H402-J402</f>
        <v>0</v>
      </c>
      <c r="L402" s="30" t="str">
        <f aca="false">IF(G402&gt;0,K402/G402,"")</f>
        <v/>
      </c>
      <c r="M402" s="6"/>
    </row>
    <row r="403" customFormat="false" ht="15" hidden="false" customHeight="false" outlineLevel="0" collapsed="false">
      <c r="A403" s="33"/>
      <c r="B403" s="6"/>
      <c r="C403" s="0" t="str">
        <f aca="false">IF(B403="","",IFERROR(VLOOKUP(B403,'Recetas y precios'!$A$5:$B$54,2,FALSE()),""))</f>
        <v/>
      </c>
      <c r="D403" s="20"/>
      <c r="E403" s="6"/>
      <c r="F403" s="29"/>
      <c r="G403" s="14" t="n">
        <f aca="false">E403*F403</f>
        <v>0</v>
      </c>
      <c r="H403" s="14" t="n">
        <f aca="false">IF(B403="",0,E403*IFERROR(VLOOKUP(B403,'Recetas y precios'!$A$5:$T$54,20,FALSE()),0))</f>
        <v>0</v>
      </c>
      <c r="I403" s="26"/>
      <c r="J403" s="14" t="n">
        <f aca="false">G403*I403</f>
        <v>0</v>
      </c>
      <c r="K403" s="14" t="n">
        <f aca="false">G403-H403-J403</f>
        <v>0</v>
      </c>
      <c r="L403" s="30" t="str">
        <f aca="false">IF(G403&gt;0,K403/G403,"")</f>
        <v/>
      </c>
      <c r="M403" s="6"/>
    </row>
    <row r="404" customFormat="false" ht="15" hidden="false" customHeight="false" outlineLevel="0" collapsed="false">
      <c r="A404" s="33"/>
      <c r="B404" s="6"/>
      <c r="C404" s="0" t="str">
        <f aca="false">IF(B404="","",IFERROR(VLOOKUP(B404,'Recetas y precios'!$A$5:$B$54,2,FALSE()),""))</f>
        <v/>
      </c>
      <c r="D404" s="20"/>
      <c r="E404" s="6"/>
      <c r="F404" s="29"/>
      <c r="G404" s="14" t="n">
        <f aca="false">E404*F404</f>
        <v>0</v>
      </c>
      <c r="H404" s="14" t="n">
        <f aca="false">IF(B404="",0,E404*IFERROR(VLOOKUP(B404,'Recetas y precios'!$A$5:$T$54,20,FALSE()),0))</f>
        <v>0</v>
      </c>
      <c r="I404" s="26"/>
      <c r="J404" s="14" t="n">
        <f aca="false">G404*I404</f>
        <v>0</v>
      </c>
      <c r="K404" s="14" t="n">
        <f aca="false">G404-H404-J404</f>
        <v>0</v>
      </c>
      <c r="L404" s="30" t="str">
        <f aca="false">IF(G404&gt;0,K404/G404,"")</f>
        <v/>
      </c>
      <c r="M404" s="6"/>
    </row>
    <row r="405" customFormat="false" ht="15" hidden="false" customHeight="false" outlineLevel="0" collapsed="false">
      <c r="A405" s="33"/>
      <c r="B405" s="6"/>
      <c r="C405" s="0" t="str">
        <f aca="false">IF(B405="","",IFERROR(VLOOKUP(B405,'Recetas y precios'!$A$5:$B$54,2,FALSE()),""))</f>
        <v/>
      </c>
      <c r="D405" s="20"/>
      <c r="E405" s="6"/>
      <c r="F405" s="29"/>
      <c r="G405" s="14" t="n">
        <f aca="false">E405*F405</f>
        <v>0</v>
      </c>
      <c r="H405" s="14" t="n">
        <f aca="false">IF(B405="",0,E405*IFERROR(VLOOKUP(B405,'Recetas y precios'!$A$5:$T$54,20,FALSE()),0))</f>
        <v>0</v>
      </c>
      <c r="I405" s="26"/>
      <c r="J405" s="14" t="n">
        <f aca="false">G405*I405</f>
        <v>0</v>
      </c>
      <c r="K405" s="14" t="n">
        <f aca="false">G405-H405-J405</f>
        <v>0</v>
      </c>
      <c r="L405" s="30" t="str">
        <f aca="false">IF(G405&gt;0,K405/G405,"")</f>
        <v/>
      </c>
      <c r="M405" s="6"/>
    </row>
    <row r="406" customFormat="false" ht="15" hidden="false" customHeight="false" outlineLevel="0" collapsed="false">
      <c r="A406" s="33"/>
      <c r="B406" s="6"/>
      <c r="C406" s="0" t="str">
        <f aca="false">IF(B406="","",IFERROR(VLOOKUP(B406,'Recetas y precios'!$A$5:$B$54,2,FALSE()),""))</f>
        <v/>
      </c>
      <c r="D406" s="20"/>
      <c r="E406" s="6"/>
      <c r="F406" s="29"/>
      <c r="G406" s="14" t="n">
        <f aca="false">E406*F406</f>
        <v>0</v>
      </c>
      <c r="H406" s="14" t="n">
        <f aca="false">IF(B406="",0,E406*IFERROR(VLOOKUP(B406,'Recetas y precios'!$A$5:$T$54,20,FALSE()),0))</f>
        <v>0</v>
      </c>
      <c r="I406" s="26"/>
      <c r="J406" s="14" t="n">
        <f aca="false">G406*I406</f>
        <v>0</v>
      </c>
      <c r="K406" s="14" t="n">
        <f aca="false">G406-H406-J406</f>
        <v>0</v>
      </c>
      <c r="L406" s="30" t="str">
        <f aca="false">IF(G406&gt;0,K406/G406,"")</f>
        <v/>
      </c>
      <c r="M406" s="6"/>
    </row>
    <row r="407" customFormat="false" ht="15" hidden="false" customHeight="false" outlineLevel="0" collapsed="false">
      <c r="A407" s="33"/>
      <c r="B407" s="6"/>
      <c r="C407" s="0" t="str">
        <f aca="false">IF(B407="","",IFERROR(VLOOKUP(B407,'Recetas y precios'!$A$5:$B$54,2,FALSE()),""))</f>
        <v/>
      </c>
      <c r="D407" s="20"/>
      <c r="E407" s="6"/>
      <c r="F407" s="29"/>
      <c r="G407" s="14" t="n">
        <f aca="false">E407*F407</f>
        <v>0</v>
      </c>
      <c r="H407" s="14" t="n">
        <f aca="false">IF(B407="",0,E407*IFERROR(VLOOKUP(B407,'Recetas y precios'!$A$5:$T$54,20,FALSE()),0))</f>
        <v>0</v>
      </c>
      <c r="I407" s="26"/>
      <c r="J407" s="14" t="n">
        <f aca="false">G407*I407</f>
        <v>0</v>
      </c>
      <c r="K407" s="14" t="n">
        <f aca="false">G407-H407-J407</f>
        <v>0</v>
      </c>
      <c r="L407" s="30" t="str">
        <f aca="false">IF(G407&gt;0,K407/G407,"")</f>
        <v/>
      </c>
      <c r="M407" s="6"/>
    </row>
    <row r="408" customFormat="false" ht="15" hidden="false" customHeight="false" outlineLevel="0" collapsed="false">
      <c r="A408" s="33"/>
      <c r="B408" s="6"/>
      <c r="C408" s="0" t="str">
        <f aca="false">IF(B408="","",IFERROR(VLOOKUP(B408,'Recetas y precios'!$A$5:$B$54,2,FALSE()),""))</f>
        <v/>
      </c>
      <c r="D408" s="20"/>
      <c r="E408" s="6"/>
      <c r="F408" s="29"/>
      <c r="G408" s="14" t="n">
        <f aca="false">E408*F408</f>
        <v>0</v>
      </c>
      <c r="H408" s="14" t="n">
        <f aca="false">IF(B408="",0,E408*IFERROR(VLOOKUP(B408,'Recetas y precios'!$A$5:$T$54,20,FALSE()),0))</f>
        <v>0</v>
      </c>
      <c r="I408" s="26"/>
      <c r="J408" s="14" t="n">
        <f aca="false">G408*I408</f>
        <v>0</v>
      </c>
      <c r="K408" s="14" t="n">
        <f aca="false">G408-H408-J408</f>
        <v>0</v>
      </c>
      <c r="L408" s="30" t="str">
        <f aca="false">IF(G408&gt;0,K408/G408,"")</f>
        <v/>
      </c>
      <c r="M408" s="6"/>
    </row>
    <row r="409" customFormat="false" ht="15" hidden="false" customHeight="false" outlineLevel="0" collapsed="false">
      <c r="A409" s="33"/>
      <c r="B409" s="6"/>
      <c r="C409" s="0" t="str">
        <f aca="false">IF(B409="","",IFERROR(VLOOKUP(B409,'Recetas y precios'!$A$5:$B$54,2,FALSE()),""))</f>
        <v/>
      </c>
      <c r="D409" s="20"/>
      <c r="E409" s="6"/>
      <c r="F409" s="29"/>
      <c r="G409" s="14" t="n">
        <f aca="false">E409*F409</f>
        <v>0</v>
      </c>
      <c r="H409" s="14" t="n">
        <f aca="false">IF(B409="",0,E409*IFERROR(VLOOKUP(B409,'Recetas y precios'!$A$5:$T$54,20,FALSE()),0))</f>
        <v>0</v>
      </c>
      <c r="I409" s="26"/>
      <c r="J409" s="14" t="n">
        <f aca="false">G409*I409</f>
        <v>0</v>
      </c>
      <c r="K409" s="14" t="n">
        <f aca="false">G409-H409-J409</f>
        <v>0</v>
      </c>
      <c r="L409" s="30" t="str">
        <f aca="false">IF(G409&gt;0,K409/G409,"")</f>
        <v/>
      </c>
      <c r="M409" s="6"/>
    </row>
    <row r="410" customFormat="false" ht="15" hidden="false" customHeight="false" outlineLevel="0" collapsed="false">
      <c r="A410" s="33"/>
      <c r="B410" s="6"/>
      <c r="C410" s="0" t="str">
        <f aca="false">IF(B410="","",IFERROR(VLOOKUP(B410,'Recetas y precios'!$A$5:$B$54,2,FALSE()),""))</f>
        <v/>
      </c>
      <c r="D410" s="20"/>
      <c r="E410" s="6"/>
      <c r="F410" s="29"/>
      <c r="G410" s="14" t="n">
        <f aca="false">E410*F410</f>
        <v>0</v>
      </c>
      <c r="H410" s="14" t="n">
        <f aca="false">IF(B410="",0,E410*IFERROR(VLOOKUP(B410,'Recetas y precios'!$A$5:$T$54,20,FALSE()),0))</f>
        <v>0</v>
      </c>
      <c r="I410" s="26"/>
      <c r="J410" s="14" t="n">
        <f aca="false">G410*I410</f>
        <v>0</v>
      </c>
      <c r="K410" s="14" t="n">
        <f aca="false">G410-H410-J410</f>
        <v>0</v>
      </c>
      <c r="L410" s="30" t="str">
        <f aca="false">IF(G410&gt;0,K410/G410,"")</f>
        <v/>
      </c>
      <c r="M410" s="6"/>
    </row>
    <row r="411" customFormat="false" ht="15" hidden="false" customHeight="false" outlineLevel="0" collapsed="false">
      <c r="A411" s="33"/>
      <c r="B411" s="6"/>
      <c r="C411" s="0" t="str">
        <f aca="false">IF(B411="","",IFERROR(VLOOKUP(B411,'Recetas y precios'!$A$5:$B$54,2,FALSE()),""))</f>
        <v/>
      </c>
      <c r="D411" s="20"/>
      <c r="E411" s="6"/>
      <c r="F411" s="29"/>
      <c r="G411" s="14" t="n">
        <f aca="false">E411*F411</f>
        <v>0</v>
      </c>
      <c r="H411" s="14" t="n">
        <f aca="false">IF(B411="",0,E411*IFERROR(VLOOKUP(B411,'Recetas y precios'!$A$5:$T$54,20,FALSE()),0))</f>
        <v>0</v>
      </c>
      <c r="I411" s="26"/>
      <c r="J411" s="14" t="n">
        <f aca="false">G411*I411</f>
        <v>0</v>
      </c>
      <c r="K411" s="14" t="n">
        <f aca="false">G411-H411-J411</f>
        <v>0</v>
      </c>
      <c r="L411" s="30" t="str">
        <f aca="false">IF(G411&gt;0,K411/G411,"")</f>
        <v/>
      </c>
      <c r="M411" s="6"/>
    </row>
    <row r="412" customFormat="false" ht="15" hidden="false" customHeight="false" outlineLevel="0" collapsed="false">
      <c r="A412" s="33"/>
      <c r="B412" s="6"/>
      <c r="C412" s="0" t="str">
        <f aca="false">IF(B412="","",IFERROR(VLOOKUP(B412,'Recetas y precios'!$A$5:$B$54,2,FALSE()),""))</f>
        <v/>
      </c>
      <c r="D412" s="20"/>
      <c r="E412" s="6"/>
      <c r="F412" s="29"/>
      <c r="G412" s="14" t="n">
        <f aca="false">E412*F412</f>
        <v>0</v>
      </c>
      <c r="H412" s="14" t="n">
        <f aca="false">IF(B412="",0,E412*IFERROR(VLOOKUP(B412,'Recetas y precios'!$A$5:$T$54,20,FALSE()),0))</f>
        <v>0</v>
      </c>
      <c r="I412" s="26"/>
      <c r="J412" s="14" t="n">
        <f aca="false">G412*I412</f>
        <v>0</v>
      </c>
      <c r="K412" s="14" t="n">
        <f aca="false">G412-H412-J412</f>
        <v>0</v>
      </c>
      <c r="L412" s="30" t="str">
        <f aca="false">IF(G412&gt;0,K412/G412,"")</f>
        <v/>
      </c>
      <c r="M412" s="6"/>
    </row>
    <row r="413" customFormat="false" ht="15" hidden="false" customHeight="false" outlineLevel="0" collapsed="false">
      <c r="A413" s="33"/>
      <c r="B413" s="6"/>
      <c r="C413" s="0" t="str">
        <f aca="false">IF(B413="","",IFERROR(VLOOKUP(B413,'Recetas y precios'!$A$5:$B$54,2,FALSE()),""))</f>
        <v/>
      </c>
      <c r="D413" s="20"/>
      <c r="E413" s="6"/>
      <c r="F413" s="29"/>
      <c r="G413" s="14" t="n">
        <f aca="false">E413*F413</f>
        <v>0</v>
      </c>
      <c r="H413" s="14" t="n">
        <f aca="false">IF(B413="",0,E413*IFERROR(VLOOKUP(B413,'Recetas y precios'!$A$5:$T$54,20,FALSE()),0))</f>
        <v>0</v>
      </c>
      <c r="I413" s="26"/>
      <c r="J413" s="14" t="n">
        <f aca="false">G413*I413</f>
        <v>0</v>
      </c>
      <c r="K413" s="14" t="n">
        <f aca="false">G413-H413-J413</f>
        <v>0</v>
      </c>
      <c r="L413" s="30" t="str">
        <f aca="false">IF(G413&gt;0,K413/G413,"")</f>
        <v/>
      </c>
      <c r="M413" s="6"/>
    </row>
    <row r="414" customFormat="false" ht="15" hidden="false" customHeight="false" outlineLevel="0" collapsed="false">
      <c r="A414" s="33"/>
      <c r="B414" s="6"/>
      <c r="C414" s="0" t="str">
        <f aca="false">IF(B414="","",IFERROR(VLOOKUP(B414,'Recetas y precios'!$A$5:$B$54,2,FALSE()),""))</f>
        <v/>
      </c>
      <c r="D414" s="20"/>
      <c r="E414" s="6"/>
      <c r="F414" s="29"/>
      <c r="G414" s="14" t="n">
        <f aca="false">E414*F414</f>
        <v>0</v>
      </c>
      <c r="H414" s="14" t="n">
        <f aca="false">IF(B414="",0,E414*IFERROR(VLOOKUP(B414,'Recetas y precios'!$A$5:$T$54,20,FALSE()),0))</f>
        <v>0</v>
      </c>
      <c r="I414" s="26"/>
      <c r="J414" s="14" t="n">
        <f aca="false">G414*I414</f>
        <v>0</v>
      </c>
      <c r="K414" s="14" t="n">
        <f aca="false">G414-H414-J414</f>
        <v>0</v>
      </c>
      <c r="L414" s="30" t="str">
        <f aca="false">IF(G414&gt;0,K414/G414,"")</f>
        <v/>
      </c>
      <c r="M414" s="6"/>
    </row>
    <row r="415" customFormat="false" ht="15" hidden="false" customHeight="false" outlineLevel="0" collapsed="false">
      <c r="A415" s="33"/>
      <c r="B415" s="6"/>
      <c r="C415" s="0" t="str">
        <f aca="false">IF(B415="","",IFERROR(VLOOKUP(B415,'Recetas y precios'!$A$5:$B$54,2,FALSE()),""))</f>
        <v/>
      </c>
      <c r="D415" s="20"/>
      <c r="E415" s="6"/>
      <c r="F415" s="29"/>
      <c r="G415" s="14" t="n">
        <f aca="false">E415*F415</f>
        <v>0</v>
      </c>
      <c r="H415" s="14" t="n">
        <f aca="false">IF(B415="",0,E415*IFERROR(VLOOKUP(B415,'Recetas y precios'!$A$5:$T$54,20,FALSE()),0))</f>
        <v>0</v>
      </c>
      <c r="I415" s="26"/>
      <c r="J415" s="14" t="n">
        <f aca="false">G415*I415</f>
        <v>0</v>
      </c>
      <c r="K415" s="14" t="n">
        <f aca="false">G415-H415-J415</f>
        <v>0</v>
      </c>
      <c r="L415" s="30" t="str">
        <f aca="false">IF(G415&gt;0,K415/G415,"")</f>
        <v/>
      </c>
      <c r="M415" s="6"/>
    </row>
    <row r="416" customFormat="false" ht="15" hidden="false" customHeight="false" outlineLevel="0" collapsed="false">
      <c r="A416" s="33"/>
      <c r="B416" s="6"/>
      <c r="C416" s="0" t="str">
        <f aca="false">IF(B416="","",IFERROR(VLOOKUP(B416,'Recetas y precios'!$A$5:$B$54,2,FALSE()),""))</f>
        <v/>
      </c>
      <c r="D416" s="20"/>
      <c r="E416" s="6"/>
      <c r="F416" s="29"/>
      <c r="G416" s="14" t="n">
        <f aca="false">E416*F416</f>
        <v>0</v>
      </c>
      <c r="H416" s="14" t="n">
        <f aca="false">IF(B416="",0,E416*IFERROR(VLOOKUP(B416,'Recetas y precios'!$A$5:$T$54,20,FALSE()),0))</f>
        <v>0</v>
      </c>
      <c r="I416" s="26"/>
      <c r="J416" s="14" t="n">
        <f aca="false">G416*I416</f>
        <v>0</v>
      </c>
      <c r="K416" s="14" t="n">
        <f aca="false">G416-H416-J416</f>
        <v>0</v>
      </c>
      <c r="L416" s="30" t="str">
        <f aca="false">IF(G416&gt;0,K416/G416,"")</f>
        <v/>
      </c>
      <c r="M416" s="6"/>
    </row>
    <row r="417" customFormat="false" ht="15" hidden="false" customHeight="false" outlineLevel="0" collapsed="false">
      <c r="A417" s="33"/>
      <c r="B417" s="6"/>
      <c r="C417" s="0" t="str">
        <f aca="false">IF(B417="","",IFERROR(VLOOKUP(B417,'Recetas y precios'!$A$5:$B$54,2,FALSE()),""))</f>
        <v/>
      </c>
      <c r="D417" s="20"/>
      <c r="E417" s="6"/>
      <c r="F417" s="29"/>
      <c r="G417" s="14" t="n">
        <f aca="false">E417*F417</f>
        <v>0</v>
      </c>
      <c r="H417" s="14" t="n">
        <f aca="false">IF(B417="",0,E417*IFERROR(VLOOKUP(B417,'Recetas y precios'!$A$5:$T$54,20,FALSE()),0))</f>
        <v>0</v>
      </c>
      <c r="I417" s="26"/>
      <c r="J417" s="14" t="n">
        <f aca="false">G417*I417</f>
        <v>0</v>
      </c>
      <c r="K417" s="14" t="n">
        <f aca="false">G417-H417-J417</f>
        <v>0</v>
      </c>
      <c r="L417" s="30" t="str">
        <f aca="false">IF(G417&gt;0,K417/G417,"")</f>
        <v/>
      </c>
      <c r="M417" s="6"/>
    </row>
    <row r="418" customFormat="false" ht="15" hidden="false" customHeight="false" outlineLevel="0" collapsed="false">
      <c r="A418" s="33"/>
      <c r="B418" s="6"/>
      <c r="C418" s="0" t="str">
        <f aca="false">IF(B418="","",IFERROR(VLOOKUP(B418,'Recetas y precios'!$A$5:$B$54,2,FALSE()),""))</f>
        <v/>
      </c>
      <c r="D418" s="20"/>
      <c r="E418" s="6"/>
      <c r="F418" s="29"/>
      <c r="G418" s="14" t="n">
        <f aca="false">E418*F418</f>
        <v>0</v>
      </c>
      <c r="H418" s="14" t="n">
        <f aca="false">IF(B418="",0,E418*IFERROR(VLOOKUP(B418,'Recetas y precios'!$A$5:$T$54,20,FALSE()),0))</f>
        <v>0</v>
      </c>
      <c r="I418" s="26"/>
      <c r="J418" s="14" t="n">
        <f aca="false">G418*I418</f>
        <v>0</v>
      </c>
      <c r="K418" s="14" t="n">
        <f aca="false">G418-H418-J418</f>
        <v>0</v>
      </c>
      <c r="L418" s="30" t="str">
        <f aca="false">IF(G418&gt;0,K418/G418,"")</f>
        <v/>
      </c>
      <c r="M418" s="6"/>
    </row>
    <row r="419" customFormat="false" ht="15" hidden="false" customHeight="false" outlineLevel="0" collapsed="false">
      <c r="A419" s="33"/>
      <c r="B419" s="6"/>
      <c r="C419" s="0" t="str">
        <f aca="false">IF(B419="","",IFERROR(VLOOKUP(B419,'Recetas y precios'!$A$5:$B$54,2,FALSE()),""))</f>
        <v/>
      </c>
      <c r="D419" s="20"/>
      <c r="E419" s="6"/>
      <c r="F419" s="29"/>
      <c r="G419" s="14" t="n">
        <f aca="false">E419*F419</f>
        <v>0</v>
      </c>
      <c r="H419" s="14" t="n">
        <f aca="false">IF(B419="",0,E419*IFERROR(VLOOKUP(B419,'Recetas y precios'!$A$5:$T$54,20,FALSE()),0))</f>
        <v>0</v>
      </c>
      <c r="I419" s="26"/>
      <c r="J419" s="14" t="n">
        <f aca="false">G419*I419</f>
        <v>0</v>
      </c>
      <c r="K419" s="14" t="n">
        <f aca="false">G419-H419-J419</f>
        <v>0</v>
      </c>
      <c r="L419" s="30" t="str">
        <f aca="false">IF(G419&gt;0,K419/G419,"")</f>
        <v/>
      </c>
      <c r="M419" s="6"/>
    </row>
    <row r="420" customFormat="false" ht="15" hidden="false" customHeight="false" outlineLevel="0" collapsed="false">
      <c r="A420" s="33"/>
      <c r="B420" s="6"/>
      <c r="C420" s="0" t="str">
        <f aca="false">IF(B420="","",IFERROR(VLOOKUP(B420,'Recetas y precios'!$A$5:$B$54,2,FALSE()),""))</f>
        <v/>
      </c>
      <c r="D420" s="20"/>
      <c r="E420" s="6"/>
      <c r="F420" s="29"/>
      <c r="G420" s="14" t="n">
        <f aca="false">E420*F420</f>
        <v>0</v>
      </c>
      <c r="H420" s="14" t="n">
        <f aca="false">IF(B420="",0,E420*IFERROR(VLOOKUP(B420,'Recetas y precios'!$A$5:$T$54,20,FALSE()),0))</f>
        <v>0</v>
      </c>
      <c r="I420" s="26"/>
      <c r="J420" s="14" t="n">
        <f aca="false">G420*I420</f>
        <v>0</v>
      </c>
      <c r="K420" s="14" t="n">
        <f aca="false">G420-H420-J420</f>
        <v>0</v>
      </c>
      <c r="L420" s="30" t="str">
        <f aca="false">IF(G420&gt;0,K420/G420,"")</f>
        <v/>
      </c>
      <c r="M420" s="6"/>
    </row>
    <row r="421" customFormat="false" ht="15" hidden="false" customHeight="false" outlineLevel="0" collapsed="false">
      <c r="A421" s="33"/>
      <c r="B421" s="6"/>
      <c r="C421" s="0" t="str">
        <f aca="false">IF(B421="","",IFERROR(VLOOKUP(B421,'Recetas y precios'!$A$5:$B$54,2,FALSE()),""))</f>
        <v/>
      </c>
      <c r="D421" s="20"/>
      <c r="E421" s="6"/>
      <c r="F421" s="29"/>
      <c r="G421" s="14" t="n">
        <f aca="false">E421*F421</f>
        <v>0</v>
      </c>
      <c r="H421" s="14" t="n">
        <f aca="false">IF(B421="",0,E421*IFERROR(VLOOKUP(B421,'Recetas y precios'!$A$5:$T$54,20,FALSE()),0))</f>
        <v>0</v>
      </c>
      <c r="I421" s="26"/>
      <c r="J421" s="14" t="n">
        <f aca="false">G421*I421</f>
        <v>0</v>
      </c>
      <c r="K421" s="14" t="n">
        <f aca="false">G421-H421-J421</f>
        <v>0</v>
      </c>
      <c r="L421" s="30" t="str">
        <f aca="false">IF(G421&gt;0,K421/G421,"")</f>
        <v/>
      </c>
      <c r="M421" s="6"/>
    </row>
    <row r="422" customFormat="false" ht="15" hidden="false" customHeight="false" outlineLevel="0" collapsed="false">
      <c r="A422" s="33"/>
      <c r="B422" s="6"/>
      <c r="C422" s="0" t="str">
        <f aca="false">IF(B422="","",IFERROR(VLOOKUP(B422,'Recetas y precios'!$A$5:$B$54,2,FALSE()),""))</f>
        <v/>
      </c>
      <c r="D422" s="20"/>
      <c r="E422" s="6"/>
      <c r="F422" s="29"/>
      <c r="G422" s="14" t="n">
        <f aca="false">E422*F422</f>
        <v>0</v>
      </c>
      <c r="H422" s="14" t="n">
        <f aca="false">IF(B422="",0,E422*IFERROR(VLOOKUP(B422,'Recetas y precios'!$A$5:$T$54,20,FALSE()),0))</f>
        <v>0</v>
      </c>
      <c r="I422" s="26"/>
      <c r="J422" s="14" t="n">
        <f aca="false">G422*I422</f>
        <v>0</v>
      </c>
      <c r="K422" s="14" t="n">
        <f aca="false">G422-H422-J422</f>
        <v>0</v>
      </c>
      <c r="L422" s="30" t="str">
        <f aca="false">IF(G422&gt;0,K422/G422,"")</f>
        <v/>
      </c>
      <c r="M422" s="6"/>
    </row>
    <row r="423" customFormat="false" ht="15" hidden="false" customHeight="false" outlineLevel="0" collapsed="false">
      <c r="A423" s="33"/>
      <c r="B423" s="6"/>
      <c r="C423" s="0" t="str">
        <f aca="false">IF(B423="","",IFERROR(VLOOKUP(B423,'Recetas y precios'!$A$5:$B$54,2,FALSE()),""))</f>
        <v/>
      </c>
      <c r="D423" s="20"/>
      <c r="E423" s="6"/>
      <c r="F423" s="29"/>
      <c r="G423" s="14" t="n">
        <f aca="false">E423*F423</f>
        <v>0</v>
      </c>
      <c r="H423" s="14" t="n">
        <f aca="false">IF(B423="",0,E423*IFERROR(VLOOKUP(B423,'Recetas y precios'!$A$5:$T$54,20,FALSE()),0))</f>
        <v>0</v>
      </c>
      <c r="I423" s="26"/>
      <c r="J423" s="14" t="n">
        <f aca="false">G423*I423</f>
        <v>0</v>
      </c>
      <c r="K423" s="14" t="n">
        <f aca="false">G423-H423-J423</f>
        <v>0</v>
      </c>
      <c r="L423" s="30" t="str">
        <f aca="false">IF(G423&gt;0,K423/G423,"")</f>
        <v/>
      </c>
      <c r="M423" s="6"/>
    </row>
    <row r="424" customFormat="false" ht="15" hidden="false" customHeight="false" outlineLevel="0" collapsed="false">
      <c r="A424" s="33"/>
      <c r="B424" s="6"/>
      <c r="C424" s="0" t="str">
        <f aca="false">IF(B424="","",IFERROR(VLOOKUP(B424,'Recetas y precios'!$A$5:$B$54,2,FALSE()),""))</f>
        <v/>
      </c>
      <c r="D424" s="20"/>
      <c r="E424" s="6"/>
      <c r="F424" s="29"/>
      <c r="G424" s="14" t="n">
        <f aca="false">E424*F424</f>
        <v>0</v>
      </c>
      <c r="H424" s="14" t="n">
        <f aca="false">IF(B424="",0,E424*IFERROR(VLOOKUP(B424,'Recetas y precios'!$A$5:$T$54,20,FALSE()),0))</f>
        <v>0</v>
      </c>
      <c r="I424" s="26"/>
      <c r="J424" s="14" t="n">
        <f aca="false">G424*I424</f>
        <v>0</v>
      </c>
      <c r="K424" s="14" t="n">
        <f aca="false">G424-H424-J424</f>
        <v>0</v>
      </c>
      <c r="L424" s="30" t="str">
        <f aca="false">IF(G424&gt;0,K424/G424,"")</f>
        <v/>
      </c>
      <c r="M424" s="6"/>
    </row>
    <row r="425" customFormat="false" ht="15" hidden="false" customHeight="false" outlineLevel="0" collapsed="false">
      <c r="A425" s="33"/>
      <c r="B425" s="6"/>
      <c r="C425" s="0" t="str">
        <f aca="false">IF(B425="","",IFERROR(VLOOKUP(B425,'Recetas y precios'!$A$5:$B$54,2,FALSE()),""))</f>
        <v/>
      </c>
      <c r="D425" s="20"/>
      <c r="E425" s="6"/>
      <c r="F425" s="29"/>
      <c r="G425" s="14" t="n">
        <f aca="false">E425*F425</f>
        <v>0</v>
      </c>
      <c r="H425" s="14" t="n">
        <f aca="false">IF(B425="",0,E425*IFERROR(VLOOKUP(B425,'Recetas y precios'!$A$5:$T$54,20,FALSE()),0))</f>
        <v>0</v>
      </c>
      <c r="I425" s="26"/>
      <c r="J425" s="14" t="n">
        <f aca="false">G425*I425</f>
        <v>0</v>
      </c>
      <c r="K425" s="14" t="n">
        <f aca="false">G425-H425-J425</f>
        <v>0</v>
      </c>
      <c r="L425" s="30" t="str">
        <f aca="false">IF(G425&gt;0,K425/G425,"")</f>
        <v/>
      </c>
      <c r="M425" s="6"/>
    </row>
    <row r="426" customFormat="false" ht="15" hidden="false" customHeight="false" outlineLevel="0" collapsed="false">
      <c r="A426" s="33"/>
      <c r="B426" s="6"/>
      <c r="C426" s="0" t="str">
        <f aca="false">IF(B426="","",IFERROR(VLOOKUP(B426,'Recetas y precios'!$A$5:$B$54,2,FALSE()),""))</f>
        <v/>
      </c>
      <c r="D426" s="20"/>
      <c r="E426" s="6"/>
      <c r="F426" s="29"/>
      <c r="G426" s="14" t="n">
        <f aca="false">E426*F426</f>
        <v>0</v>
      </c>
      <c r="H426" s="14" t="n">
        <f aca="false">IF(B426="",0,E426*IFERROR(VLOOKUP(B426,'Recetas y precios'!$A$5:$T$54,20,FALSE()),0))</f>
        <v>0</v>
      </c>
      <c r="I426" s="26"/>
      <c r="J426" s="14" t="n">
        <f aca="false">G426*I426</f>
        <v>0</v>
      </c>
      <c r="K426" s="14" t="n">
        <f aca="false">G426-H426-J426</f>
        <v>0</v>
      </c>
      <c r="L426" s="30" t="str">
        <f aca="false">IF(G426&gt;0,K426/G426,"")</f>
        <v/>
      </c>
      <c r="M426" s="6"/>
    </row>
    <row r="427" customFormat="false" ht="15" hidden="false" customHeight="false" outlineLevel="0" collapsed="false">
      <c r="A427" s="33"/>
      <c r="B427" s="6"/>
      <c r="C427" s="0" t="str">
        <f aca="false">IF(B427="","",IFERROR(VLOOKUP(B427,'Recetas y precios'!$A$5:$B$54,2,FALSE()),""))</f>
        <v/>
      </c>
      <c r="D427" s="20"/>
      <c r="E427" s="6"/>
      <c r="F427" s="29"/>
      <c r="G427" s="14" t="n">
        <f aca="false">E427*F427</f>
        <v>0</v>
      </c>
      <c r="H427" s="14" t="n">
        <f aca="false">IF(B427="",0,E427*IFERROR(VLOOKUP(B427,'Recetas y precios'!$A$5:$T$54,20,FALSE()),0))</f>
        <v>0</v>
      </c>
      <c r="I427" s="26"/>
      <c r="J427" s="14" t="n">
        <f aca="false">G427*I427</f>
        <v>0</v>
      </c>
      <c r="K427" s="14" t="n">
        <f aca="false">G427-H427-J427</f>
        <v>0</v>
      </c>
      <c r="L427" s="30" t="str">
        <f aca="false">IF(G427&gt;0,K427/G427,"")</f>
        <v/>
      </c>
      <c r="M427" s="6"/>
    </row>
    <row r="428" customFormat="false" ht="15" hidden="false" customHeight="false" outlineLevel="0" collapsed="false">
      <c r="A428" s="33"/>
      <c r="B428" s="6"/>
      <c r="C428" s="0" t="str">
        <f aca="false">IF(B428="","",IFERROR(VLOOKUP(B428,'Recetas y precios'!$A$5:$B$54,2,FALSE()),""))</f>
        <v/>
      </c>
      <c r="D428" s="20"/>
      <c r="E428" s="6"/>
      <c r="F428" s="29"/>
      <c r="G428" s="14" t="n">
        <f aca="false">E428*F428</f>
        <v>0</v>
      </c>
      <c r="H428" s="14" t="n">
        <f aca="false">IF(B428="",0,E428*IFERROR(VLOOKUP(B428,'Recetas y precios'!$A$5:$T$54,20,FALSE()),0))</f>
        <v>0</v>
      </c>
      <c r="I428" s="26"/>
      <c r="J428" s="14" t="n">
        <f aca="false">G428*I428</f>
        <v>0</v>
      </c>
      <c r="K428" s="14" t="n">
        <f aca="false">G428-H428-J428</f>
        <v>0</v>
      </c>
      <c r="L428" s="30" t="str">
        <f aca="false">IF(G428&gt;0,K428/G428,"")</f>
        <v/>
      </c>
      <c r="M428" s="6"/>
    </row>
    <row r="429" customFormat="false" ht="15" hidden="false" customHeight="false" outlineLevel="0" collapsed="false">
      <c r="A429" s="33"/>
      <c r="B429" s="6"/>
      <c r="C429" s="0" t="str">
        <f aca="false">IF(B429="","",IFERROR(VLOOKUP(B429,'Recetas y precios'!$A$5:$B$54,2,FALSE()),""))</f>
        <v/>
      </c>
      <c r="D429" s="20"/>
      <c r="E429" s="6"/>
      <c r="F429" s="29"/>
      <c r="G429" s="14" t="n">
        <f aca="false">E429*F429</f>
        <v>0</v>
      </c>
      <c r="H429" s="14" t="n">
        <f aca="false">IF(B429="",0,E429*IFERROR(VLOOKUP(B429,'Recetas y precios'!$A$5:$T$54,20,FALSE()),0))</f>
        <v>0</v>
      </c>
      <c r="I429" s="26"/>
      <c r="J429" s="14" t="n">
        <f aca="false">G429*I429</f>
        <v>0</v>
      </c>
      <c r="K429" s="14" t="n">
        <f aca="false">G429-H429-J429</f>
        <v>0</v>
      </c>
      <c r="L429" s="30" t="str">
        <f aca="false">IF(G429&gt;0,K429/G429,"")</f>
        <v/>
      </c>
      <c r="M429" s="6"/>
    </row>
    <row r="430" customFormat="false" ht="15" hidden="false" customHeight="false" outlineLevel="0" collapsed="false">
      <c r="A430" s="33"/>
      <c r="B430" s="6"/>
      <c r="C430" s="0" t="str">
        <f aca="false">IF(B430="","",IFERROR(VLOOKUP(B430,'Recetas y precios'!$A$5:$B$54,2,FALSE()),""))</f>
        <v/>
      </c>
      <c r="D430" s="20"/>
      <c r="E430" s="6"/>
      <c r="F430" s="29"/>
      <c r="G430" s="14" t="n">
        <f aca="false">E430*F430</f>
        <v>0</v>
      </c>
      <c r="H430" s="14" t="n">
        <f aca="false">IF(B430="",0,E430*IFERROR(VLOOKUP(B430,'Recetas y precios'!$A$5:$T$54,20,FALSE()),0))</f>
        <v>0</v>
      </c>
      <c r="I430" s="26"/>
      <c r="J430" s="14" t="n">
        <f aca="false">G430*I430</f>
        <v>0</v>
      </c>
      <c r="K430" s="14" t="n">
        <f aca="false">G430-H430-J430</f>
        <v>0</v>
      </c>
      <c r="L430" s="30" t="str">
        <f aca="false">IF(G430&gt;0,K430/G430,"")</f>
        <v/>
      </c>
      <c r="M430" s="6"/>
    </row>
    <row r="431" customFormat="false" ht="15" hidden="false" customHeight="false" outlineLevel="0" collapsed="false">
      <c r="A431" s="33"/>
      <c r="B431" s="6"/>
      <c r="C431" s="0" t="str">
        <f aca="false">IF(B431="","",IFERROR(VLOOKUP(B431,'Recetas y precios'!$A$5:$B$54,2,FALSE()),""))</f>
        <v/>
      </c>
      <c r="D431" s="20"/>
      <c r="E431" s="6"/>
      <c r="F431" s="29"/>
      <c r="G431" s="14" t="n">
        <f aca="false">E431*F431</f>
        <v>0</v>
      </c>
      <c r="H431" s="14" t="n">
        <f aca="false">IF(B431="",0,E431*IFERROR(VLOOKUP(B431,'Recetas y precios'!$A$5:$T$54,20,FALSE()),0))</f>
        <v>0</v>
      </c>
      <c r="I431" s="26"/>
      <c r="J431" s="14" t="n">
        <f aca="false">G431*I431</f>
        <v>0</v>
      </c>
      <c r="K431" s="14" t="n">
        <f aca="false">G431-H431-J431</f>
        <v>0</v>
      </c>
      <c r="L431" s="30" t="str">
        <f aca="false">IF(G431&gt;0,K431/G431,"")</f>
        <v/>
      </c>
      <c r="M431" s="6"/>
    </row>
    <row r="432" customFormat="false" ht="15" hidden="false" customHeight="false" outlineLevel="0" collapsed="false">
      <c r="A432" s="33"/>
      <c r="B432" s="6"/>
      <c r="C432" s="0" t="str">
        <f aca="false">IF(B432="","",IFERROR(VLOOKUP(B432,'Recetas y precios'!$A$5:$B$54,2,FALSE()),""))</f>
        <v/>
      </c>
      <c r="D432" s="20"/>
      <c r="E432" s="6"/>
      <c r="F432" s="29"/>
      <c r="G432" s="14" t="n">
        <f aca="false">E432*F432</f>
        <v>0</v>
      </c>
      <c r="H432" s="14" t="n">
        <f aca="false">IF(B432="",0,E432*IFERROR(VLOOKUP(B432,'Recetas y precios'!$A$5:$T$54,20,FALSE()),0))</f>
        <v>0</v>
      </c>
      <c r="I432" s="26"/>
      <c r="J432" s="14" t="n">
        <f aca="false">G432*I432</f>
        <v>0</v>
      </c>
      <c r="K432" s="14" t="n">
        <f aca="false">G432-H432-J432</f>
        <v>0</v>
      </c>
      <c r="L432" s="30" t="str">
        <f aca="false">IF(G432&gt;0,K432/G432,"")</f>
        <v/>
      </c>
      <c r="M432" s="6"/>
    </row>
    <row r="433" customFormat="false" ht="15" hidden="false" customHeight="false" outlineLevel="0" collapsed="false">
      <c r="A433" s="33"/>
      <c r="B433" s="6"/>
      <c r="C433" s="0" t="str">
        <f aca="false">IF(B433="","",IFERROR(VLOOKUP(B433,'Recetas y precios'!$A$5:$B$54,2,FALSE()),""))</f>
        <v/>
      </c>
      <c r="D433" s="20"/>
      <c r="E433" s="6"/>
      <c r="F433" s="29"/>
      <c r="G433" s="14" t="n">
        <f aca="false">E433*F433</f>
        <v>0</v>
      </c>
      <c r="H433" s="14" t="n">
        <f aca="false">IF(B433="",0,E433*IFERROR(VLOOKUP(B433,'Recetas y precios'!$A$5:$T$54,20,FALSE()),0))</f>
        <v>0</v>
      </c>
      <c r="I433" s="26"/>
      <c r="J433" s="14" t="n">
        <f aca="false">G433*I433</f>
        <v>0</v>
      </c>
      <c r="K433" s="14" t="n">
        <f aca="false">G433-H433-J433</f>
        <v>0</v>
      </c>
      <c r="L433" s="30" t="str">
        <f aca="false">IF(G433&gt;0,K433/G433,"")</f>
        <v/>
      </c>
      <c r="M433" s="6"/>
    </row>
    <row r="434" customFormat="false" ht="15" hidden="false" customHeight="false" outlineLevel="0" collapsed="false">
      <c r="A434" s="33"/>
      <c r="B434" s="6"/>
      <c r="C434" s="0" t="str">
        <f aca="false">IF(B434="","",IFERROR(VLOOKUP(B434,'Recetas y precios'!$A$5:$B$54,2,FALSE()),""))</f>
        <v/>
      </c>
      <c r="D434" s="20"/>
      <c r="E434" s="6"/>
      <c r="F434" s="29"/>
      <c r="G434" s="14" t="n">
        <f aca="false">E434*F434</f>
        <v>0</v>
      </c>
      <c r="H434" s="14" t="n">
        <f aca="false">IF(B434="",0,E434*IFERROR(VLOOKUP(B434,'Recetas y precios'!$A$5:$T$54,20,FALSE()),0))</f>
        <v>0</v>
      </c>
      <c r="I434" s="26"/>
      <c r="J434" s="14" t="n">
        <f aca="false">G434*I434</f>
        <v>0</v>
      </c>
      <c r="K434" s="14" t="n">
        <f aca="false">G434-H434-J434</f>
        <v>0</v>
      </c>
      <c r="L434" s="30" t="str">
        <f aca="false">IF(G434&gt;0,K434/G434,"")</f>
        <v/>
      </c>
      <c r="M434" s="6"/>
    </row>
    <row r="435" customFormat="false" ht="15" hidden="false" customHeight="false" outlineLevel="0" collapsed="false">
      <c r="A435" s="33"/>
      <c r="B435" s="6"/>
      <c r="C435" s="0" t="str">
        <f aca="false">IF(B435="","",IFERROR(VLOOKUP(B435,'Recetas y precios'!$A$5:$B$54,2,FALSE()),""))</f>
        <v/>
      </c>
      <c r="D435" s="20"/>
      <c r="E435" s="6"/>
      <c r="F435" s="29"/>
      <c r="G435" s="14" t="n">
        <f aca="false">E435*F435</f>
        <v>0</v>
      </c>
      <c r="H435" s="14" t="n">
        <f aca="false">IF(B435="",0,E435*IFERROR(VLOOKUP(B435,'Recetas y precios'!$A$5:$T$54,20,FALSE()),0))</f>
        <v>0</v>
      </c>
      <c r="I435" s="26"/>
      <c r="J435" s="14" t="n">
        <f aca="false">G435*I435</f>
        <v>0</v>
      </c>
      <c r="K435" s="14" t="n">
        <f aca="false">G435-H435-J435</f>
        <v>0</v>
      </c>
      <c r="L435" s="30" t="str">
        <f aca="false">IF(G435&gt;0,K435/G435,"")</f>
        <v/>
      </c>
      <c r="M435" s="6"/>
    </row>
    <row r="436" customFormat="false" ht="15" hidden="false" customHeight="false" outlineLevel="0" collapsed="false">
      <c r="A436" s="33"/>
      <c r="B436" s="6"/>
      <c r="C436" s="0" t="str">
        <f aca="false">IF(B436="","",IFERROR(VLOOKUP(B436,'Recetas y precios'!$A$5:$B$54,2,FALSE()),""))</f>
        <v/>
      </c>
      <c r="D436" s="20"/>
      <c r="E436" s="6"/>
      <c r="F436" s="29"/>
      <c r="G436" s="14" t="n">
        <f aca="false">E436*F436</f>
        <v>0</v>
      </c>
      <c r="H436" s="14" t="n">
        <f aca="false">IF(B436="",0,E436*IFERROR(VLOOKUP(B436,'Recetas y precios'!$A$5:$T$54,20,FALSE()),0))</f>
        <v>0</v>
      </c>
      <c r="I436" s="26"/>
      <c r="J436" s="14" t="n">
        <f aca="false">G436*I436</f>
        <v>0</v>
      </c>
      <c r="K436" s="14" t="n">
        <f aca="false">G436-H436-J436</f>
        <v>0</v>
      </c>
      <c r="L436" s="30" t="str">
        <f aca="false">IF(G436&gt;0,K436/G436,"")</f>
        <v/>
      </c>
      <c r="M436" s="6"/>
    </row>
    <row r="437" customFormat="false" ht="15" hidden="false" customHeight="false" outlineLevel="0" collapsed="false">
      <c r="A437" s="33"/>
      <c r="B437" s="6"/>
      <c r="C437" s="0" t="str">
        <f aca="false">IF(B437="","",IFERROR(VLOOKUP(B437,'Recetas y precios'!$A$5:$B$54,2,FALSE()),""))</f>
        <v/>
      </c>
      <c r="D437" s="20"/>
      <c r="E437" s="6"/>
      <c r="F437" s="29"/>
      <c r="G437" s="14" t="n">
        <f aca="false">E437*F437</f>
        <v>0</v>
      </c>
      <c r="H437" s="14" t="n">
        <f aca="false">IF(B437="",0,E437*IFERROR(VLOOKUP(B437,'Recetas y precios'!$A$5:$T$54,20,FALSE()),0))</f>
        <v>0</v>
      </c>
      <c r="I437" s="26"/>
      <c r="J437" s="14" t="n">
        <f aca="false">G437*I437</f>
        <v>0</v>
      </c>
      <c r="K437" s="14" t="n">
        <f aca="false">G437-H437-J437</f>
        <v>0</v>
      </c>
      <c r="L437" s="30" t="str">
        <f aca="false">IF(G437&gt;0,K437/G437,"")</f>
        <v/>
      </c>
      <c r="M437" s="6"/>
    </row>
    <row r="438" customFormat="false" ht="15" hidden="false" customHeight="false" outlineLevel="0" collapsed="false">
      <c r="A438" s="33"/>
      <c r="B438" s="6"/>
      <c r="C438" s="0" t="str">
        <f aca="false">IF(B438="","",IFERROR(VLOOKUP(B438,'Recetas y precios'!$A$5:$B$54,2,FALSE()),""))</f>
        <v/>
      </c>
      <c r="D438" s="20"/>
      <c r="E438" s="6"/>
      <c r="F438" s="29"/>
      <c r="G438" s="14" t="n">
        <f aca="false">E438*F438</f>
        <v>0</v>
      </c>
      <c r="H438" s="14" t="n">
        <f aca="false">IF(B438="",0,E438*IFERROR(VLOOKUP(B438,'Recetas y precios'!$A$5:$T$54,20,FALSE()),0))</f>
        <v>0</v>
      </c>
      <c r="I438" s="26"/>
      <c r="J438" s="14" t="n">
        <f aca="false">G438*I438</f>
        <v>0</v>
      </c>
      <c r="K438" s="14" t="n">
        <f aca="false">G438-H438-J438</f>
        <v>0</v>
      </c>
      <c r="L438" s="30" t="str">
        <f aca="false">IF(G438&gt;0,K438/G438,"")</f>
        <v/>
      </c>
      <c r="M438" s="6"/>
    </row>
    <row r="439" customFormat="false" ht="15" hidden="false" customHeight="false" outlineLevel="0" collapsed="false">
      <c r="A439" s="33"/>
      <c r="B439" s="6"/>
      <c r="C439" s="0" t="str">
        <f aca="false">IF(B439="","",IFERROR(VLOOKUP(B439,'Recetas y precios'!$A$5:$B$54,2,FALSE()),""))</f>
        <v/>
      </c>
      <c r="D439" s="20"/>
      <c r="E439" s="6"/>
      <c r="F439" s="29"/>
      <c r="G439" s="14" t="n">
        <f aca="false">E439*F439</f>
        <v>0</v>
      </c>
      <c r="H439" s="14" t="n">
        <f aca="false">IF(B439="",0,E439*IFERROR(VLOOKUP(B439,'Recetas y precios'!$A$5:$T$54,20,FALSE()),0))</f>
        <v>0</v>
      </c>
      <c r="I439" s="26"/>
      <c r="J439" s="14" t="n">
        <f aca="false">G439*I439</f>
        <v>0</v>
      </c>
      <c r="K439" s="14" t="n">
        <f aca="false">G439-H439-J439</f>
        <v>0</v>
      </c>
      <c r="L439" s="30" t="str">
        <f aca="false">IF(G439&gt;0,K439/G439,"")</f>
        <v/>
      </c>
      <c r="M439" s="6"/>
    </row>
    <row r="440" customFormat="false" ht="15" hidden="false" customHeight="false" outlineLevel="0" collapsed="false">
      <c r="A440" s="33"/>
      <c r="B440" s="6"/>
      <c r="C440" s="0" t="str">
        <f aca="false">IF(B440="","",IFERROR(VLOOKUP(B440,'Recetas y precios'!$A$5:$B$54,2,FALSE()),""))</f>
        <v/>
      </c>
      <c r="D440" s="20"/>
      <c r="E440" s="6"/>
      <c r="F440" s="29"/>
      <c r="G440" s="14" t="n">
        <f aca="false">E440*F440</f>
        <v>0</v>
      </c>
      <c r="H440" s="14" t="n">
        <f aca="false">IF(B440="",0,E440*IFERROR(VLOOKUP(B440,'Recetas y precios'!$A$5:$T$54,20,FALSE()),0))</f>
        <v>0</v>
      </c>
      <c r="I440" s="26"/>
      <c r="J440" s="14" t="n">
        <f aca="false">G440*I440</f>
        <v>0</v>
      </c>
      <c r="K440" s="14" t="n">
        <f aca="false">G440-H440-J440</f>
        <v>0</v>
      </c>
      <c r="L440" s="30" t="str">
        <f aca="false">IF(G440&gt;0,K440/G440,"")</f>
        <v/>
      </c>
      <c r="M440" s="6"/>
    </row>
    <row r="441" customFormat="false" ht="15" hidden="false" customHeight="false" outlineLevel="0" collapsed="false">
      <c r="A441" s="33"/>
      <c r="B441" s="6"/>
      <c r="C441" s="0" t="str">
        <f aca="false">IF(B441="","",IFERROR(VLOOKUP(B441,'Recetas y precios'!$A$5:$B$54,2,FALSE()),""))</f>
        <v/>
      </c>
      <c r="D441" s="20"/>
      <c r="E441" s="6"/>
      <c r="F441" s="29"/>
      <c r="G441" s="14" t="n">
        <f aca="false">E441*F441</f>
        <v>0</v>
      </c>
      <c r="H441" s="14" t="n">
        <f aca="false">IF(B441="",0,E441*IFERROR(VLOOKUP(B441,'Recetas y precios'!$A$5:$T$54,20,FALSE()),0))</f>
        <v>0</v>
      </c>
      <c r="I441" s="26"/>
      <c r="J441" s="14" t="n">
        <f aca="false">G441*I441</f>
        <v>0</v>
      </c>
      <c r="K441" s="14" t="n">
        <f aca="false">G441-H441-J441</f>
        <v>0</v>
      </c>
      <c r="L441" s="30" t="str">
        <f aca="false">IF(G441&gt;0,K441/G441,"")</f>
        <v/>
      </c>
      <c r="M441" s="6"/>
    </row>
    <row r="442" customFormat="false" ht="15" hidden="false" customHeight="false" outlineLevel="0" collapsed="false">
      <c r="A442" s="33"/>
      <c r="B442" s="6"/>
      <c r="C442" s="0" t="str">
        <f aca="false">IF(B442="","",IFERROR(VLOOKUP(B442,'Recetas y precios'!$A$5:$B$54,2,FALSE()),""))</f>
        <v/>
      </c>
      <c r="D442" s="20"/>
      <c r="E442" s="6"/>
      <c r="F442" s="29"/>
      <c r="G442" s="14" t="n">
        <f aca="false">E442*F442</f>
        <v>0</v>
      </c>
      <c r="H442" s="14" t="n">
        <f aca="false">IF(B442="",0,E442*IFERROR(VLOOKUP(B442,'Recetas y precios'!$A$5:$T$54,20,FALSE()),0))</f>
        <v>0</v>
      </c>
      <c r="I442" s="26"/>
      <c r="J442" s="14" t="n">
        <f aca="false">G442*I442</f>
        <v>0</v>
      </c>
      <c r="K442" s="14" t="n">
        <f aca="false">G442-H442-J442</f>
        <v>0</v>
      </c>
      <c r="L442" s="30" t="str">
        <f aca="false">IF(G442&gt;0,K442/G442,"")</f>
        <v/>
      </c>
      <c r="M442" s="6"/>
    </row>
    <row r="443" customFormat="false" ht="15" hidden="false" customHeight="false" outlineLevel="0" collapsed="false">
      <c r="A443" s="33"/>
      <c r="B443" s="6"/>
      <c r="C443" s="0" t="str">
        <f aca="false">IF(B443="","",IFERROR(VLOOKUP(B443,'Recetas y precios'!$A$5:$B$54,2,FALSE()),""))</f>
        <v/>
      </c>
      <c r="D443" s="20"/>
      <c r="E443" s="6"/>
      <c r="F443" s="29"/>
      <c r="G443" s="14" t="n">
        <f aca="false">E443*F443</f>
        <v>0</v>
      </c>
      <c r="H443" s="14" t="n">
        <f aca="false">IF(B443="",0,E443*IFERROR(VLOOKUP(B443,'Recetas y precios'!$A$5:$T$54,20,FALSE()),0))</f>
        <v>0</v>
      </c>
      <c r="I443" s="26"/>
      <c r="J443" s="14" t="n">
        <f aca="false">G443*I443</f>
        <v>0</v>
      </c>
      <c r="K443" s="14" t="n">
        <f aca="false">G443-H443-J443</f>
        <v>0</v>
      </c>
      <c r="L443" s="30" t="str">
        <f aca="false">IF(G443&gt;0,K443/G443,"")</f>
        <v/>
      </c>
      <c r="M443" s="6"/>
    </row>
    <row r="444" customFormat="false" ht="15" hidden="false" customHeight="false" outlineLevel="0" collapsed="false">
      <c r="A444" s="33"/>
      <c r="B444" s="6"/>
      <c r="C444" s="0" t="str">
        <f aca="false">IF(B444="","",IFERROR(VLOOKUP(B444,'Recetas y precios'!$A$5:$B$54,2,FALSE()),""))</f>
        <v/>
      </c>
      <c r="D444" s="20"/>
      <c r="E444" s="6"/>
      <c r="F444" s="29"/>
      <c r="G444" s="14" t="n">
        <f aca="false">E444*F444</f>
        <v>0</v>
      </c>
      <c r="H444" s="14" t="n">
        <f aca="false">IF(B444="",0,E444*IFERROR(VLOOKUP(B444,'Recetas y precios'!$A$5:$T$54,20,FALSE()),0))</f>
        <v>0</v>
      </c>
      <c r="I444" s="26"/>
      <c r="J444" s="14" t="n">
        <f aca="false">G444*I444</f>
        <v>0</v>
      </c>
      <c r="K444" s="14" t="n">
        <f aca="false">G444-H444-J444</f>
        <v>0</v>
      </c>
      <c r="L444" s="30" t="str">
        <f aca="false">IF(G444&gt;0,K444/G444,"")</f>
        <v/>
      </c>
      <c r="M444" s="6"/>
    </row>
    <row r="445" customFormat="false" ht="15" hidden="false" customHeight="false" outlineLevel="0" collapsed="false">
      <c r="A445" s="33"/>
      <c r="B445" s="6"/>
      <c r="C445" s="0" t="str">
        <f aca="false">IF(B445="","",IFERROR(VLOOKUP(B445,'Recetas y precios'!$A$5:$B$54,2,FALSE()),""))</f>
        <v/>
      </c>
      <c r="D445" s="20"/>
      <c r="E445" s="6"/>
      <c r="F445" s="29"/>
      <c r="G445" s="14" t="n">
        <f aca="false">E445*F445</f>
        <v>0</v>
      </c>
      <c r="H445" s="14" t="n">
        <f aca="false">IF(B445="",0,E445*IFERROR(VLOOKUP(B445,'Recetas y precios'!$A$5:$T$54,20,FALSE()),0))</f>
        <v>0</v>
      </c>
      <c r="I445" s="26"/>
      <c r="J445" s="14" t="n">
        <f aca="false">G445*I445</f>
        <v>0</v>
      </c>
      <c r="K445" s="14" t="n">
        <f aca="false">G445-H445-J445</f>
        <v>0</v>
      </c>
      <c r="L445" s="30" t="str">
        <f aca="false">IF(G445&gt;0,K445/G445,"")</f>
        <v/>
      </c>
      <c r="M445" s="6"/>
    </row>
    <row r="446" customFormat="false" ht="15" hidden="false" customHeight="false" outlineLevel="0" collapsed="false">
      <c r="A446" s="33"/>
      <c r="B446" s="6"/>
      <c r="C446" s="0" t="str">
        <f aca="false">IF(B446="","",IFERROR(VLOOKUP(B446,'Recetas y precios'!$A$5:$B$54,2,FALSE()),""))</f>
        <v/>
      </c>
      <c r="D446" s="20"/>
      <c r="E446" s="6"/>
      <c r="F446" s="29"/>
      <c r="G446" s="14" t="n">
        <f aca="false">E446*F446</f>
        <v>0</v>
      </c>
      <c r="H446" s="14" t="n">
        <f aca="false">IF(B446="",0,E446*IFERROR(VLOOKUP(B446,'Recetas y precios'!$A$5:$T$54,20,FALSE()),0))</f>
        <v>0</v>
      </c>
      <c r="I446" s="26"/>
      <c r="J446" s="14" t="n">
        <f aca="false">G446*I446</f>
        <v>0</v>
      </c>
      <c r="K446" s="14" t="n">
        <f aca="false">G446-H446-J446</f>
        <v>0</v>
      </c>
      <c r="L446" s="30" t="str">
        <f aca="false">IF(G446&gt;0,K446/G446,"")</f>
        <v/>
      </c>
      <c r="M446" s="6"/>
    </row>
    <row r="447" customFormat="false" ht="15" hidden="false" customHeight="false" outlineLevel="0" collapsed="false">
      <c r="A447" s="33"/>
      <c r="B447" s="6"/>
      <c r="C447" s="0" t="str">
        <f aca="false">IF(B447="","",IFERROR(VLOOKUP(B447,'Recetas y precios'!$A$5:$B$54,2,FALSE()),""))</f>
        <v/>
      </c>
      <c r="D447" s="20"/>
      <c r="E447" s="6"/>
      <c r="F447" s="29"/>
      <c r="G447" s="14" t="n">
        <f aca="false">E447*F447</f>
        <v>0</v>
      </c>
      <c r="H447" s="14" t="n">
        <f aca="false">IF(B447="",0,E447*IFERROR(VLOOKUP(B447,'Recetas y precios'!$A$5:$T$54,20,FALSE()),0))</f>
        <v>0</v>
      </c>
      <c r="I447" s="26"/>
      <c r="J447" s="14" t="n">
        <f aca="false">G447*I447</f>
        <v>0</v>
      </c>
      <c r="K447" s="14" t="n">
        <f aca="false">G447-H447-J447</f>
        <v>0</v>
      </c>
      <c r="L447" s="30" t="str">
        <f aca="false">IF(G447&gt;0,K447/G447,"")</f>
        <v/>
      </c>
      <c r="M447" s="6"/>
    </row>
    <row r="448" customFormat="false" ht="15" hidden="false" customHeight="false" outlineLevel="0" collapsed="false">
      <c r="A448" s="33"/>
      <c r="B448" s="6"/>
      <c r="C448" s="0" t="str">
        <f aca="false">IF(B448="","",IFERROR(VLOOKUP(B448,'Recetas y precios'!$A$5:$B$54,2,FALSE()),""))</f>
        <v/>
      </c>
      <c r="D448" s="20"/>
      <c r="E448" s="6"/>
      <c r="F448" s="29"/>
      <c r="G448" s="14" t="n">
        <f aca="false">E448*F448</f>
        <v>0</v>
      </c>
      <c r="H448" s="14" t="n">
        <f aca="false">IF(B448="",0,E448*IFERROR(VLOOKUP(B448,'Recetas y precios'!$A$5:$T$54,20,FALSE()),0))</f>
        <v>0</v>
      </c>
      <c r="I448" s="26"/>
      <c r="J448" s="14" t="n">
        <f aca="false">G448*I448</f>
        <v>0</v>
      </c>
      <c r="K448" s="14" t="n">
        <f aca="false">G448-H448-J448</f>
        <v>0</v>
      </c>
      <c r="L448" s="30" t="str">
        <f aca="false">IF(G448&gt;0,K448/G448,"")</f>
        <v/>
      </c>
      <c r="M448" s="6"/>
    </row>
    <row r="449" customFormat="false" ht="15" hidden="false" customHeight="false" outlineLevel="0" collapsed="false">
      <c r="A449" s="33"/>
      <c r="B449" s="6"/>
      <c r="C449" s="0" t="str">
        <f aca="false">IF(B449="","",IFERROR(VLOOKUP(B449,'Recetas y precios'!$A$5:$B$54,2,FALSE()),""))</f>
        <v/>
      </c>
      <c r="D449" s="20"/>
      <c r="E449" s="6"/>
      <c r="F449" s="29"/>
      <c r="G449" s="14" t="n">
        <f aca="false">E449*F449</f>
        <v>0</v>
      </c>
      <c r="H449" s="14" t="n">
        <f aca="false">IF(B449="",0,E449*IFERROR(VLOOKUP(B449,'Recetas y precios'!$A$5:$T$54,20,FALSE()),0))</f>
        <v>0</v>
      </c>
      <c r="I449" s="26"/>
      <c r="J449" s="14" t="n">
        <f aca="false">G449*I449</f>
        <v>0</v>
      </c>
      <c r="K449" s="14" t="n">
        <f aca="false">G449-H449-J449</f>
        <v>0</v>
      </c>
      <c r="L449" s="30" t="str">
        <f aca="false">IF(G449&gt;0,K449/G449,"")</f>
        <v/>
      </c>
      <c r="M449" s="6"/>
    </row>
    <row r="450" customFormat="false" ht="15" hidden="false" customHeight="false" outlineLevel="0" collapsed="false">
      <c r="A450" s="33"/>
      <c r="B450" s="6"/>
      <c r="C450" s="0" t="str">
        <f aca="false">IF(B450="","",IFERROR(VLOOKUP(B450,'Recetas y precios'!$A$5:$B$54,2,FALSE()),""))</f>
        <v/>
      </c>
      <c r="D450" s="20"/>
      <c r="E450" s="6"/>
      <c r="F450" s="29"/>
      <c r="G450" s="14" t="n">
        <f aca="false">E450*F450</f>
        <v>0</v>
      </c>
      <c r="H450" s="14" t="n">
        <f aca="false">IF(B450="",0,E450*IFERROR(VLOOKUP(B450,'Recetas y precios'!$A$5:$T$54,20,FALSE()),0))</f>
        <v>0</v>
      </c>
      <c r="I450" s="26"/>
      <c r="J450" s="14" t="n">
        <f aca="false">G450*I450</f>
        <v>0</v>
      </c>
      <c r="K450" s="14" t="n">
        <f aca="false">G450-H450-J450</f>
        <v>0</v>
      </c>
      <c r="L450" s="30" t="str">
        <f aca="false">IF(G450&gt;0,K450/G450,"")</f>
        <v/>
      </c>
      <c r="M450" s="6"/>
    </row>
    <row r="451" customFormat="false" ht="15" hidden="false" customHeight="false" outlineLevel="0" collapsed="false">
      <c r="A451" s="33"/>
      <c r="B451" s="6"/>
      <c r="C451" s="0" t="str">
        <f aca="false">IF(B451="","",IFERROR(VLOOKUP(B451,'Recetas y precios'!$A$5:$B$54,2,FALSE()),""))</f>
        <v/>
      </c>
      <c r="D451" s="20"/>
      <c r="E451" s="6"/>
      <c r="F451" s="29"/>
      <c r="G451" s="14" t="n">
        <f aca="false">E451*F451</f>
        <v>0</v>
      </c>
      <c r="H451" s="14" t="n">
        <f aca="false">IF(B451="",0,E451*IFERROR(VLOOKUP(B451,'Recetas y precios'!$A$5:$T$54,20,FALSE()),0))</f>
        <v>0</v>
      </c>
      <c r="I451" s="26"/>
      <c r="J451" s="14" t="n">
        <f aca="false">G451*I451</f>
        <v>0</v>
      </c>
      <c r="K451" s="14" t="n">
        <f aca="false">G451-H451-J451</f>
        <v>0</v>
      </c>
      <c r="L451" s="30" t="str">
        <f aca="false">IF(G451&gt;0,K451/G451,"")</f>
        <v/>
      </c>
      <c r="M451" s="6"/>
    </row>
    <row r="452" customFormat="false" ht="15" hidden="false" customHeight="false" outlineLevel="0" collapsed="false">
      <c r="A452" s="33"/>
      <c r="B452" s="6"/>
      <c r="C452" s="0" t="str">
        <f aca="false">IF(B452="","",IFERROR(VLOOKUP(B452,'Recetas y precios'!$A$5:$B$54,2,FALSE()),""))</f>
        <v/>
      </c>
      <c r="D452" s="20"/>
      <c r="E452" s="6"/>
      <c r="F452" s="29"/>
      <c r="G452" s="14" t="n">
        <f aca="false">E452*F452</f>
        <v>0</v>
      </c>
      <c r="H452" s="14" t="n">
        <f aca="false">IF(B452="",0,E452*IFERROR(VLOOKUP(B452,'Recetas y precios'!$A$5:$T$54,20,FALSE()),0))</f>
        <v>0</v>
      </c>
      <c r="I452" s="26"/>
      <c r="J452" s="14" t="n">
        <f aca="false">G452*I452</f>
        <v>0</v>
      </c>
      <c r="K452" s="14" t="n">
        <f aca="false">G452-H452-J452</f>
        <v>0</v>
      </c>
      <c r="L452" s="30" t="str">
        <f aca="false">IF(G452&gt;0,K452/G452,"")</f>
        <v/>
      </c>
      <c r="M452" s="6"/>
    </row>
    <row r="453" customFormat="false" ht="15" hidden="false" customHeight="false" outlineLevel="0" collapsed="false">
      <c r="A453" s="33"/>
      <c r="B453" s="6"/>
      <c r="C453" s="0" t="str">
        <f aca="false">IF(B453="","",IFERROR(VLOOKUP(B453,'Recetas y precios'!$A$5:$B$54,2,FALSE()),""))</f>
        <v/>
      </c>
      <c r="D453" s="20"/>
      <c r="E453" s="6"/>
      <c r="F453" s="29"/>
      <c r="G453" s="14" t="n">
        <f aca="false">E453*F453</f>
        <v>0</v>
      </c>
      <c r="H453" s="14" t="n">
        <f aca="false">IF(B453="",0,E453*IFERROR(VLOOKUP(B453,'Recetas y precios'!$A$5:$T$54,20,FALSE()),0))</f>
        <v>0</v>
      </c>
      <c r="I453" s="26"/>
      <c r="J453" s="14" t="n">
        <f aca="false">G453*I453</f>
        <v>0</v>
      </c>
      <c r="K453" s="14" t="n">
        <f aca="false">G453-H453-J453</f>
        <v>0</v>
      </c>
      <c r="L453" s="30" t="str">
        <f aca="false">IF(G453&gt;0,K453/G453,"")</f>
        <v/>
      </c>
      <c r="M453" s="6"/>
    </row>
    <row r="454" customFormat="false" ht="15" hidden="false" customHeight="false" outlineLevel="0" collapsed="false">
      <c r="A454" s="33"/>
      <c r="B454" s="6"/>
      <c r="C454" s="0" t="str">
        <f aca="false">IF(B454="","",IFERROR(VLOOKUP(B454,'Recetas y precios'!$A$5:$B$54,2,FALSE()),""))</f>
        <v/>
      </c>
      <c r="D454" s="20"/>
      <c r="E454" s="6"/>
      <c r="F454" s="29"/>
      <c r="G454" s="14" t="n">
        <f aca="false">E454*F454</f>
        <v>0</v>
      </c>
      <c r="H454" s="14" t="n">
        <f aca="false">IF(B454="",0,E454*IFERROR(VLOOKUP(B454,'Recetas y precios'!$A$5:$T$54,20,FALSE()),0))</f>
        <v>0</v>
      </c>
      <c r="I454" s="26"/>
      <c r="J454" s="14" t="n">
        <f aca="false">G454*I454</f>
        <v>0</v>
      </c>
      <c r="K454" s="14" t="n">
        <f aca="false">G454-H454-J454</f>
        <v>0</v>
      </c>
      <c r="L454" s="30" t="str">
        <f aca="false">IF(G454&gt;0,K454/G454,"")</f>
        <v/>
      </c>
      <c r="M454" s="6"/>
    </row>
    <row r="455" customFormat="false" ht="15" hidden="false" customHeight="false" outlineLevel="0" collapsed="false">
      <c r="A455" s="33"/>
      <c r="B455" s="6"/>
      <c r="C455" s="0" t="str">
        <f aca="false">IF(B455="","",IFERROR(VLOOKUP(B455,'Recetas y precios'!$A$5:$B$54,2,FALSE()),""))</f>
        <v/>
      </c>
      <c r="D455" s="20"/>
      <c r="E455" s="6"/>
      <c r="F455" s="29"/>
      <c r="G455" s="14" t="n">
        <f aca="false">E455*F455</f>
        <v>0</v>
      </c>
      <c r="H455" s="14" t="n">
        <f aca="false">IF(B455="",0,E455*IFERROR(VLOOKUP(B455,'Recetas y precios'!$A$5:$T$54,20,FALSE()),0))</f>
        <v>0</v>
      </c>
      <c r="I455" s="26"/>
      <c r="J455" s="14" t="n">
        <f aca="false">G455*I455</f>
        <v>0</v>
      </c>
      <c r="K455" s="14" t="n">
        <f aca="false">G455-H455-J455</f>
        <v>0</v>
      </c>
      <c r="L455" s="30" t="str">
        <f aca="false">IF(G455&gt;0,K455/G455,"")</f>
        <v/>
      </c>
      <c r="M455" s="6"/>
    </row>
    <row r="456" customFormat="false" ht="15" hidden="false" customHeight="false" outlineLevel="0" collapsed="false">
      <c r="A456" s="33"/>
      <c r="B456" s="6"/>
      <c r="C456" s="0" t="str">
        <f aca="false">IF(B456="","",IFERROR(VLOOKUP(B456,'Recetas y precios'!$A$5:$B$54,2,FALSE()),""))</f>
        <v/>
      </c>
      <c r="D456" s="20"/>
      <c r="E456" s="6"/>
      <c r="F456" s="29"/>
      <c r="G456" s="14" t="n">
        <f aca="false">E456*F456</f>
        <v>0</v>
      </c>
      <c r="H456" s="14" t="n">
        <f aca="false">IF(B456="",0,E456*IFERROR(VLOOKUP(B456,'Recetas y precios'!$A$5:$T$54,20,FALSE()),0))</f>
        <v>0</v>
      </c>
      <c r="I456" s="26"/>
      <c r="J456" s="14" t="n">
        <f aca="false">G456*I456</f>
        <v>0</v>
      </c>
      <c r="K456" s="14" t="n">
        <f aca="false">G456-H456-J456</f>
        <v>0</v>
      </c>
      <c r="L456" s="30" t="str">
        <f aca="false">IF(G456&gt;0,K456/G456,"")</f>
        <v/>
      </c>
      <c r="M456" s="6"/>
    </row>
    <row r="457" customFormat="false" ht="15" hidden="false" customHeight="false" outlineLevel="0" collapsed="false">
      <c r="A457" s="33"/>
      <c r="B457" s="6"/>
      <c r="C457" s="0" t="str">
        <f aca="false">IF(B457="","",IFERROR(VLOOKUP(B457,'Recetas y precios'!$A$5:$B$54,2,FALSE()),""))</f>
        <v/>
      </c>
      <c r="D457" s="20"/>
      <c r="E457" s="6"/>
      <c r="F457" s="29"/>
      <c r="G457" s="14" t="n">
        <f aca="false">E457*F457</f>
        <v>0</v>
      </c>
      <c r="H457" s="14" t="n">
        <f aca="false">IF(B457="",0,E457*IFERROR(VLOOKUP(B457,'Recetas y precios'!$A$5:$T$54,20,FALSE()),0))</f>
        <v>0</v>
      </c>
      <c r="I457" s="26"/>
      <c r="J457" s="14" t="n">
        <f aca="false">G457*I457</f>
        <v>0</v>
      </c>
      <c r="K457" s="14" t="n">
        <f aca="false">G457-H457-J457</f>
        <v>0</v>
      </c>
      <c r="L457" s="30" t="str">
        <f aca="false">IF(G457&gt;0,K457/G457,"")</f>
        <v/>
      </c>
      <c r="M457" s="6"/>
    </row>
    <row r="458" customFormat="false" ht="15" hidden="false" customHeight="false" outlineLevel="0" collapsed="false">
      <c r="A458" s="33"/>
      <c r="B458" s="6"/>
      <c r="C458" s="0" t="str">
        <f aca="false">IF(B458="","",IFERROR(VLOOKUP(B458,'Recetas y precios'!$A$5:$B$54,2,FALSE()),""))</f>
        <v/>
      </c>
      <c r="D458" s="20"/>
      <c r="E458" s="6"/>
      <c r="F458" s="29"/>
      <c r="G458" s="14" t="n">
        <f aca="false">E458*F458</f>
        <v>0</v>
      </c>
      <c r="H458" s="14" t="n">
        <f aca="false">IF(B458="",0,E458*IFERROR(VLOOKUP(B458,'Recetas y precios'!$A$5:$T$54,20,FALSE()),0))</f>
        <v>0</v>
      </c>
      <c r="I458" s="26"/>
      <c r="J458" s="14" t="n">
        <f aca="false">G458*I458</f>
        <v>0</v>
      </c>
      <c r="K458" s="14" t="n">
        <f aca="false">G458-H458-J458</f>
        <v>0</v>
      </c>
      <c r="L458" s="30" t="str">
        <f aca="false">IF(G458&gt;0,K458/G458,"")</f>
        <v/>
      </c>
      <c r="M458" s="6"/>
    </row>
    <row r="459" customFormat="false" ht="15" hidden="false" customHeight="false" outlineLevel="0" collapsed="false">
      <c r="A459" s="33"/>
      <c r="B459" s="6"/>
      <c r="C459" s="0" t="str">
        <f aca="false">IF(B459="","",IFERROR(VLOOKUP(B459,'Recetas y precios'!$A$5:$B$54,2,FALSE()),""))</f>
        <v/>
      </c>
      <c r="D459" s="20"/>
      <c r="E459" s="6"/>
      <c r="F459" s="29"/>
      <c r="G459" s="14" t="n">
        <f aca="false">E459*F459</f>
        <v>0</v>
      </c>
      <c r="H459" s="14" t="n">
        <f aca="false">IF(B459="",0,E459*IFERROR(VLOOKUP(B459,'Recetas y precios'!$A$5:$T$54,20,FALSE()),0))</f>
        <v>0</v>
      </c>
      <c r="I459" s="26"/>
      <c r="J459" s="14" t="n">
        <f aca="false">G459*I459</f>
        <v>0</v>
      </c>
      <c r="K459" s="14" t="n">
        <f aca="false">G459-H459-J459</f>
        <v>0</v>
      </c>
      <c r="L459" s="30" t="str">
        <f aca="false">IF(G459&gt;0,K459/G459,"")</f>
        <v/>
      </c>
      <c r="M459" s="6"/>
    </row>
    <row r="460" customFormat="false" ht="15" hidden="false" customHeight="false" outlineLevel="0" collapsed="false">
      <c r="A460" s="33"/>
      <c r="B460" s="6"/>
      <c r="C460" s="0" t="str">
        <f aca="false">IF(B460="","",IFERROR(VLOOKUP(B460,'Recetas y precios'!$A$5:$B$54,2,FALSE()),""))</f>
        <v/>
      </c>
      <c r="D460" s="20"/>
      <c r="E460" s="6"/>
      <c r="F460" s="29"/>
      <c r="G460" s="14" t="n">
        <f aca="false">E460*F460</f>
        <v>0</v>
      </c>
      <c r="H460" s="14" t="n">
        <f aca="false">IF(B460="",0,E460*IFERROR(VLOOKUP(B460,'Recetas y precios'!$A$5:$T$54,20,FALSE()),0))</f>
        <v>0</v>
      </c>
      <c r="I460" s="26"/>
      <c r="J460" s="14" t="n">
        <f aca="false">G460*I460</f>
        <v>0</v>
      </c>
      <c r="K460" s="14" t="n">
        <f aca="false">G460-H460-J460</f>
        <v>0</v>
      </c>
      <c r="L460" s="30" t="str">
        <f aca="false">IF(G460&gt;0,K460/G460,"")</f>
        <v/>
      </c>
      <c r="M460" s="6"/>
    </row>
    <row r="461" customFormat="false" ht="15" hidden="false" customHeight="false" outlineLevel="0" collapsed="false">
      <c r="A461" s="33"/>
      <c r="B461" s="6"/>
      <c r="C461" s="0" t="str">
        <f aca="false">IF(B461="","",IFERROR(VLOOKUP(B461,'Recetas y precios'!$A$5:$B$54,2,FALSE()),""))</f>
        <v/>
      </c>
      <c r="D461" s="20"/>
      <c r="E461" s="6"/>
      <c r="F461" s="29"/>
      <c r="G461" s="14" t="n">
        <f aca="false">E461*F461</f>
        <v>0</v>
      </c>
      <c r="H461" s="14" t="n">
        <f aca="false">IF(B461="",0,E461*IFERROR(VLOOKUP(B461,'Recetas y precios'!$A$5:$T$54,20,FALSE()),0))</f>
        <v>0</v>
      </c>
      <c r="I461" s="26"/>
      <c r="J461" s="14" t="n">
        <f aca="false">G461*I461</f>
        <v>0</v>
      </c>
      <c r="K461" s="14" t="n">
        <f aca="false">G461-H461-J461</f>
        <v>0</v>
      </c>
      <c r="L461" s="30" t="str">
        <f aca="false">IF(G461&gt;0,K461/G461,"")</f>
        <v/>
      </c>
      <c r="M461" s="6"/>
    </row>
    <row r="462" customFormat="false" ht="15" hidden="false" customHeight="false" outlineLevel="0" collapsed="false">
      <c r="A462" s="33"/>
      <c r="B462" s="6"/>
      <c r="C462" s="0" t="str">
        <f aca="false">IF(B462="","",IFERROR(VLOOKUP(B462,'Recetas y precios'!$A$5:$B$54,2,FALSE()),""))</f>
        <v/>
      </c>
      <c r="D462" s="20"/>
      <c r="E462" s="6"/>
      <c r="F462" s="29"/>
      <c r="G462" s="14" t="n">
        <f aca="false">E462*F462</f>
        <v>0</v>
      </c>
      <c r="H462" s="14" t="n">
        <f aca="false">IF(B462="",0,E462*IFERROR(VLOOKUP(B462,'Recetas y precios'!$A$5:$T$54,20,FALSE()),0))</f>
        <v>0</v>
      </c>
      <c r="I462" s="26"/>
      <c r="J462" s="14" t="n">
        <f aca="false">G462*I462</f>
        <v>0</v>
      </c>
      <c r="K462" s="14" t="n">
        <f aca="false">G462-H462-J462</f>
        <v>0</v>
      </c>
      <c r="L462" s="30" t="str">
        <f aca="false">IF(G462&gt;0,K462/G462,"")</f>
        <v/>
      </c>
      <c r="M462" s="6"/>
    </row>
    <row r="463" customFormat="false" ht="15" hidden="false" customHeight="false" outlineLevel="0" collapsed="false">
      <c r="A463" s="33"/>
      <c r="B463" s="6"/>
      <c r="C463" s="0" t="str">
        <f aca="false">IF(B463="","",IFERROR(VLOOKUP(B463,'Recetas y precios'!$A$5:$B$54,2,FALSE()),""))</f>
        <v/>
      </c>
      <c r="D463" s="20"/>
      <c r="E463" s="6"/>
      <c r="F463" s="29"/>
      <c r="G463" s="14" t="n">
        <f aca="false">E463*F463</f>
        <v>0</v>
      </c>
      <c r="H463" s="14" t="n">
        <f aca="false">IF(B463="",0,E463*IFERROR(VLOOKUP(B463,'Recetas y precios'!$A$5:$T$54,20,FALSE()),0))</f>
        <v>0</v>
      </c>
      <c r="I463" s="26"/>
      <c r="J463" s="14" t="n">
        <f aca="false">G463*I463</f>
        <v>0</v>
      </c>
      <c r="K463" s="14" t="n">
        <f aca="false">G463-H463-J463</f>
        <v>0</v>
      </c>
      <c r="L463" s="30" t="str">
        <f aca="false">IF(G463&gt;0,K463/G463,"")</f>
        <v/>
      </c>
      <c r="M463" s="6"/>
    </row>
    <row r="464" customFormat="false" ht="15" hidden="false" customHeight="false" outlineLevel="0" collapsed="false">
      <c r="A464" s="33"/>
      <c r="B464" s="6"/>
      <c r="C464" s="0" t="str">
        <f aca="false">IF(B464="","",IFERROR(VLOOKUP(B464,'Recetas y precios'!$A$5:$B$54,2,FALSE()),""))</f>
        <v/>
      </c>
      <c r="D464" s="20"/>
      <c r="E464" s="6"/>
      <c r="F464" s="29"/>
      <c r="G464" s="14" t="n">
        <f aca="false">E464*F464</f>
        <v>0</v>
      </c>
      <c r="H464" s="14" t="n">
        <f aca="false">IF(B464="",0,E464*IFERROR(VLOOKUP(B464,'Recetas y precios'!$A$5:$T$54,20,FALSE()),0))</f>
        <v>0</v>
      </c>
      <c r="I464" s="26"/>
      <c r="J464" s="14" t="n">
        <f aca="false">G464*I464</f>
        <v>0</v>
      </c>
      <c r="K464" s="14" t="n">
        <f aca="false">G464-H464-J464</f>
        <v>0</v>
      </c>
      <c r="L464" s="30" t="str">
        <f aca="false">IF(G464&gt;0,K464/G464,"")</f>
        <v/>
      </c>
      <c r="M464" s="6"/>
    </row>
    <row r="465" customFormat="false" ht="15" hidden="false" customHeight="false" outlineLevel="0" collapsed="false">
      <c r="A465" s="33"/>
      <c r="B465" s="6"/>
      <c r="C465" s="0" t="str">
        <f aca="false">IF(B465="","",IFERROR(VLOOKUP(B465,'Recetas y precios'!$A$5:$B$54,2,FALSE()),""))</f>
        <v/>
      </c>
      <c r="D465" s="20"/>
      <c r="E465" s="6"/>
      <c r="F465" s="29"/>
      <c r="G465" s="14" t="n">
        <f aca="false">E465*F465</f>
        <v>0</v>
      </c>
      <c r="H465" s="14" t="n">
        <f aca="false">IF(B465="",0,E465*IFERROR(VLOOKUP(B465,'Recetas y precios'!$A$5:$T$54,20,FALSE()),0))</f>
        <v>0</v>
      </c>
      <c r="I465" s="26"/>
      <c r="J465" s="14" t="n">
        <f aca="false">G465*I465</f>
        <v>0</v>
      </c>
      <c r="K465" s="14" t="n">
        <f aca="false">G465-H465-J465</f>
        <v>0</v>
      </c>
      <c r="L465" s="30" t="str">
        <f aca="false">IF(G465&gt;0,K465/G465,"")</f>
        <v/>
      </c>
      <c r="M465" s="6"/>
    </row>
    <row r="466" customFormat="false" ht="15" hidden="false" customHeight="false" outlineLevel="0" collapsed="false">
      <c r="A466" s="33"/>
      <c r="B466" s="6"/>
      <c r="C466" s="0" t="str">
        <f aca="false">IF(B466="","",IFERROR(VLOOKUP(B466,'Recetas y precios'!$A$5:$B$54,2,FALSE()),""))</f>
        <v/>
      </c>
      <c r="D466" s="20"/>
      <c r="E466" s="6"/>
      <c r="F466" s="29"/>
      <c r="G466" s="14" t="n">
        <f aca="false">E466*F466</f>
        <v>0</v>
      </c>
      <c r="H466" s="14" t="n">
        <f aca="false">IF(B466="",0,E466*IFERROR(VLOOKUP(B466,'Recetas y precios'!$A$5:$T$54,20,FALSE()),0))</f>
        <v>0</v>
      </c>
      <c r="I466" s="26"/>
      <c r="J466" s="14" t="n">
        <f aca="false">G466*I466</f>
        <v>0</v>
      </c>
      <c r="K466" s="14" t="n">
        <f aca="false">G466-H466-J466</f>
        <v>0</v>
      </c>
      <c r="L466" s="30" t="str">
        <f aca="false">IF(G466&gt;0,K466/G466,"")</f>
        <v/>
      </c>
      <c r="M466" s="6"/>
    </row>
    <row r="467" customFormat="false" ht="15" hidden="false" customHeight="false" outlineLevel="0" collapsed="false">
      <c r="A467" s="33"/>
      <c r="B467" s="6"/>
      <c r="C467" s="0" t="str">
        <f aca="false">IF(B467="","",IFERROR(VLOOKUP(B467,'Recetas y precios'!$A$5:$B$54,2,FALSE()),""))</f>
        <v/>
      </c>
      <c r="D467" s="20"/>
      <c r="E467" s="6"/>
      <c r="F467" s="29"/>
      <c r="G467" s="14" t="n">
        <f aca="false">E467*F467</f>
        <v>0</v>
      </c>
      <c r="H467" s="14" t="n">
        <f aca="false">IF(B467="",0,E467*IFERROR(VLOOKUP(B467,'Recetas y precios'!$A$5:$T$54,20,FALSE()),0))</f>
        <v>0</v>
      </c>
      <c r="I467" s="26"/>
      <c r="J467" s="14" t="n">
        <f aca="false">G467*I467</f>
        <v>0</v>
      </c>
      <c r="K467" s="14" t="n">
        <f aca="false">G467-H467-J467</f>
        <v>0</v>
      </c>
      <c r="L467" s="30" t="str">
        <f aca="false">IF(G467&gt;0,K467/G467,"")</f>
        <v/>
      </c>
      <c r="M467" s="6"/>
    </row>
    <row r="468" customFormat="false" ht="15" hidden="false" customHeight="false" outlineLevel="0" collapsed="false">
      <c r="A468" s="33"/>
      <c r="B468" s="6"/>
      <c r="C468" s="0" t="str">
        <f aca="false">IF(B468="","",IFERROR(VLOOKUP(B468,'Recetas y precios'!$A$5:$B$54,2,FALSE()),""))</f>
        <v/>
      </c>
      <c r="D468" s="20"/>
      <c r="E468" s="6"/>
      <c r="F468" s="29"/>
      <c r="G468" s="14" t="n">
        <f aca="false">E468*F468</f>
        <v>0</v>
      </c>
      <c r="H468" s="14" t="n">
        <f aca="false">IF(B468="",0,E468*IFERROR(VLOOKUP(B468,'Recetas y precios'!$A$5:$T$54,20,FALSE()),0))</f>
        <v>0</v>
      </c>
      <c r="I468" s="26"/>
      <c r="J468" s="14" t="n">
        <f aca="false">G468*I468</f>
        <v>0</v>
      </c>
      <c r="K468" s="14" t="n">
        <f aca="false">G468-H468-J468</f>
        <v>0</v>
      </c>
      <c r="L468" s="30" t="str">
        <f aca="false">IF(G468&gt;0,K468/G468,"")</f>
        <v/>
      </c>
      <c r="M468" s="6"/>
    </row>
    <row r="469" customFormat="false" ht="15" hidden="false" customHeight="false" outlineLevel="0" collapsed="false">
      <c r="A469" s="33"/>
      <c r="B469" s="6"/>
      <c r="C469" s="0" t="str">
        <f aca="false">IF(B469="","",IFERROR(VLOOKUP(B469,'Recetas y precios'!$A$5:$B$54,2,FALSE()),""))</f>
        <v/>
      </c>
      <c r="D469" s="20"/>
      <c r="E469" s="6"/>
      <c r="F469" s="29"/>
      <c r="G469" s="14" t="n">
        <f aca="false">E469*F469</f>
        <v>0</v>
      </c>
      <c r="H469" s="14" t="n">
        <f aca="false">IF(B469="",0,E469*IFERROR(VLOOKUP(B469,'Recetas y precios'!$A$5:$T$54,20,FALSE()),0))</f>
        <v>0</v>
      </c>
      <c r="I469" s="26"/>
      <c r="J469" s="14" t="n">
        <f aca="false">G469*I469</f>
        <v>0</v>
      </c>
      <c r="K469" s="14" t="n">
        <f aca="false">G469-H469-J469</f>
        <v>0</v>
      </c>
      <c r="L469" s="30" t="str">
        <f aca="false">IF(G469&gt;0,K469/G469,"")</f>
        <v/>
      </c>
      <c r="M469" s="6"/>
    </row>
    <row r="470" customFormat="false" ht="15" hidden="false" customHeight="false" outlineLevel="0" collapsed="false">
      <c r="A470" s="33"/>
      <c r="B470" s="6"/>
      <c r="C470" s="0" t="str">
        <f aca="false">IF(B470="","",IFERROR(VLOOKUP(B470,'Recetas y precios'!$A$5:$B$54,2,FALSE()),""))</f>
        <v/>
      </c>
      <c r="D470" s="20"/>
      <c r="E470" s="6"/>
      <c r="F470" s="29"/>
      <c r="G470" s="14" t="n">
        <f aca="false">E470*F470</f>
        <v>0</v>
      </c>
      <c r="H470" s="14" t="n">
        <f aca="false">IF(B470="",0,E470*IFERROR(VLOOKUP(B470,'Recetas y precios'!$A$5:$T$54,20,FALSE()),0))</f>
        <v>0</v>
      </c>
      <c r="I470" s="26"/>
      <c r="J470" s="14" t="n">
        <f aca="false">G470*I470</f>
        <v>0</v>
      </c>
      <c r="K470" s="14" t="n">
        <f aca="false">G470-H470-J470</f>
        <v>0</v>
      </c>
      <c r="L470" s="30" t="str">
        <f aca="false">IF(G470&gt;0,K470/G470,"")</f>
        <v/>
      </c>
      <c r="M470" s="6"/>
    </row>
    <row r="471" customFormat="false" ht="15" hidden="false" customHeight="false" outlineLevel="0" collapsed="false">
      <c r="A471" s="33"/>
      <c r="B471" s="6"/>
      <c r="C471" s="0" t="str">
        <f aca="false">IF(B471="","",IFERROR(VLOOKUP(B471,'Recetas y precios'!$A$5:$B$54,2,FALSE()),""))</f>
        <v/>
      </c>
      <c r="D471" s="20"/>
      <c r="E471" s="6"/>
      <c r="F471" s="29"/>
      <c r="G471" s="14" t="n">
        <f aca="false">E471*F471</f>
        <v>0</v>
      </c>
      <c r="H471" s="14" t="n">
        <f aca="false">IF(B471="",0,E471*IFERROR(VLOOKUP(B471,'Recetas y precios'!$A$5:$T$54,20,FALSE()),0))</f>
        <v>0</v>
      </c>
      <c r="I471" s="26"/>
      <c r="J471" s="14" t="n">
        <f aca="false">G471*I471</f>
        <v>0</v>
      </c>
      <c r="K471" s="14" t="n">
        <f aca="false">G471-H471-J471</f>
        <v>0</v>
      </c>
      <c r="L471" s="30" t="str">
        <f aca="false">IF(G471&gt;0,K471/G471,"")</f>
        <v/>
      </c>
      <c r="M471" s="6"/>
    </row>
    <row r="472" customFormat="false" ht="15" hidden="false" customHeight="false" outlineLevel="0" collapsed="false">
      <c r="A472" s="33"/>
      <c r="B472" s="6"/>
      <c r="C472" s="0" t="str">
        <f aca="false">IF(B472="","",IFERROR(VLOOKUP(B472,'Recetas y precios'!$A$5:$B$54,2,FALSE()),""))</f>
        <v/>
      </c>
      <c r="D472" s="20"/>
      <c r="E472" s="6"/>
      <c r="F472" s="29"/>
      <c r="G472" s="14" t="n">
        <f aca="false">E472*F472</f>
        <v>0</v>
      </c>
      <c r="H472" s="14" t="n">
        <f aca="false">IF(B472="",0,E472*IFERROR(VLOOKUP(B472,'Recetas y precios'!$A$5:$T$54,20,FALSE()),0))</f>
        <v>0</v>
      </c>
      <c r="I472" s="26"/>
      <c r="J472" s="14" t="n">
        <f aca="false">G472*I472</f>
        <v>0</v>
      </c>
      <c r="K472" s="14" t="n">
        <f aca="false">G472-H472-J472</f>
        <v>0</v>
      </c>
      <c r="L472" s="30" t="str">
        <f aca="false">IF(G472&gt;0,K472/G472,"")</f>
        <v/>
      </c>
      <c r="M472" s="6"/>
    </row>
    <row r="473" customFormat="false" ht="15" hidden="false" customHeight="false" outlineLevel="0" collapsed="false">
      <c r="A473" s="33"/>
      <c r="B473" s="6"/>
      <c r="C473" s="0" t="str">
        <f aca="false">IF(B473="","",IFERROR(VLOOKUP(B473,'Recetas y precios'!$A$5:$B$54,2,FALSE()),""))</f>
        <v/>
      </c>
      <c r="D473" s="20"/>
      <c r="E473" s="6"/>
      <c r="F473" s="29"/>
      <c r="G473" s="14" t="n">
        <f aca="false">E473*F473</f>
        <v>0</v>
      </c>
      <c r="H473" s="14" t="n">
        <f aca="false">IF(B473="",0,E473*IFERROR(VLOOKUP(B473,'Recetas y precios'!$A$5:$T$54,20,FALSE()),0))</f>
        <v>0</v>
      </c>
      <c r="I473" s="26"/>
      <c r="J473" s="14" t="n">
        <f aca="false">G473*I473</f>
        <v>0</v>
      </c>
      <c r="K473" s="14" t="n">
        <f aca="false">G473-H473-J473</f>
        <v>0</v>
      </c>
      <c r="L473" s="30" t="str">
        <f aca="false">IF(G473&gt;0,K473/G473,"")</f>
        <v/>
      </c>
      <c r="M473" s="6"/>
    </row>
    <row r="474" customFormat="false" ht="15" hidden="false" customHeight="false" outlineLevel="0" collapsed="false">
      <c r="A474" s="33"/>
      <c r="B474" s="6"/>
      <c r="C474" s="0" t="str">
        <f aca="false">IF(B474="","",IFERROR(VLOOKUP(B474,'Recetas y precios'!$A$5:$B$54,2,FALSE()),""))</f>
        <v/>
      </c>
      <c r="D474" s="20"/>
      <c r="E474" s="6"/>
      <c r="F474" s="29"/>
      <c r="G474" s="14" t="n">
        <f aca="false">E474*F474</f>
        <v>0</v>
      </c>
      <c r="H474" s="14" t="n">
        <f aca="false">IF(B474="",0,E474*IFERROR(VLOOKUP(B474,'Recetas y precios'!$A$5:$T$54,20,FALSE()),0))</f>
        <v>0</v>
      </c>
      <c r="I474" s="26"/>
      <c r="J474" s="14" t="n">
        <f aca="false">G474*I474</f>
        <v>0</v>
      </c>
      <c r="K474" s="14" t="n">
        <f aca="false">G474-H474-J474</f>
        <v>0</v>
      </c>
      <c r="L474" s="30" t="str">
        <f aca="false">IF(G474&gt;0,K474/G474,"")</f>
        <v/>
      </c>
      <c r="M474" s="6"/>
    </row>
    <row r="475" customFormat="false" ht="15" hidden="false" customHeight="false" outlineLevel="0" collapsed="false">
      <c r="A475" s="33"/>
      <c r="B475" s="6"/>
      <c r="C475" s="0" t="str">
        <f aca="false">IF(B475="","",IFERROR(VLOOKUP(B475,'Recetas y precios'!$A$5:$B$54,2,FALSE()),""))</f>
        <v/>
      </c>
      <c r="D475" s="20"/>
      <c r="E475" s="6"/>
      <c r="F475" s="29"/>
      <c r="G475" s="14" t="n">
        <f aca="false">E475*F475</f>
        <v>0</v>
      </c>
      <c r="H475" s="14" t="n">
        <f aca="false">IF(B475="",0,E475*IFERROR(VLOOKUP(B475,'Recetas y precios'!$A$5:$T$54,20,FALSE()),0))</f>
        <v>0</v>
      </c>
      <c r="I475" s="26"/>
      <c r="J475" s="14" t="n">
        <f aca="false">G475*I475</f>
        <v>0</v>
      </c>
      <c r="K475" s="14" t="n">
        <f aca="false">G475-H475-J475</f>
        <v>0</v>
      </c>
      <c r="L475" s="30" t="str">
        <f aca="false">IF(G475&gt;0,K475/G475,"")</f>
        <v/>
      </c>
      <c r="M475" s="6"/>
    </row>
    <row r="476" customFormat="false" ht="15" hidden="false" customHeight="false" outlineLevel="0" collapsed="false">
      <c r="A476" s="33"/>
      <c r="B476" s="6"/>
      <c r="C476" s="0" t="str">
        <f aca="false">IF(B476="","",IFERROR(VLOOKUP(B476,'Recetas y precios'!$A$5:$B$54,2,FALSE()),""))</f>
        <v/>
      </c>
      <c r="D476" s="20"/>
      <c r="E476" s="6"/>
      <c r="F476" s="29"/>
      <c r="G476" s="14" t="n">
        <f aca="false">E476*F476</f>
        <v>0</v>
      </c>
      <c r="H476" s="14" t="n">
        <f aca="false">IF(B476="",0,E476*IFERROR(VLOOKUP(B476,'Recetas y precios'!$A$5:$T$54,20,FALSE()),0))</f>
        <v>0</v>
      </c>
      <c r="I476" s="26"/>
      <c r="J476" s="14" t="n">
        <f aca="false">G476*I476</f>
        <v>0</v>
      </c>
      <c r="K476" s="14" t="n">
        <f aca="false">G476-H476-J476</f>
        <v>0</v>
      </c>
      <c r="L476" s="30" t="str">
        <f aca="false">IF(G476&gt;0,K476/G476,"")</f>
        <v/>
      </c>
      <c r="M476" s="6"/>
    </row>
    <row r="477" customFormat="false" ht="15" hidden="false" customHeight="false" outlineLevel="0" collapsed="false">
      <c r="A477" s="33"/>
      <c r="B477" s="6"/>
      <c r="C477" s="0" t="str">
        <f aca="false">IF(B477="","",IFERROR(VLOOKUP(B477,'Recetas y precios'!$A$5:$B$54,2,FALSE()),""))</f>
        <v/>
      </c>
      <c r="D477" s="20"/>
      <c r="E477" s="6"/>
      <c r="F477" s="29"/>
      <c r="G477" s="14" t="n">
        <f aca="false">E477*F477</f>
        <v>0</v>
      </c>
      <c r="H477" s="14" t="n">
        <f aca="false">IF(B477="",0,E477*IFERROR(VLOOKUP(B477,'Recetas y precios'!$A$5:$T$54,20,FALSE()),0))</f>
        <v>0</v>
      </c>
      <c r="I477" s="26"/>
      <c r="J477" s="14" t="n">
        <f aca="false">G477*I477</f>
        <v>0</v>
      </c>
      <c r="K477" s="14" t="n">
        <f aca="false">G477-H477-J477</f>
        <v>0</v>
      </c>
      <c r="L477" s="30" t="str">
        <f aca="false">IF(G477&gt;0,K477/G477,"")</f>
        <v/>
      </c>
      <c r="M477" s="6"/>
    </row>
    <row r="478" customFormat="false" ht="15" hidden="false" customHeight="false" outlineLevel="0" collapsed="false">
      <c r="A478" s="33"/>
      <c r="B478" s="6"/>
      <c r="C478" s="0" t="str">
        <f aca="false">IF(B478="","",IFERROR(VLOOKUP(B478,'Recetas y precios'!$A$5:$B$54,2,FALSE()),""))</f>
        <v/>
      </c>
      <c r="D478" s="20"/>
      <c r="E478" s="6"/>
      <c r="F478" s="29"/>
      <c r="G478" s="14" t="n">
        <f aca="false">E478*F478</f>
        <v>0</v>
      </c>
      <c r="H478" s="14" t="n">
        <f aca="false">IF(B478="",0,E478*IFERROR(VLOOKUP(B478,'Recetas y precios'!$A$5:$T$54,20,FALSE()),0))</f>
        <v>0</v>
      </c>
      <c r="I478" s="26"/>
      <c r="J478" s="14" t="n">
        <f aca="false">G478*I478</f>
        <v>0</v>
      </c>
      <c r="K478" s="14" t="n">
        <f aca="false">G478-H478-J478</f>
        <v>0</v>
      </c>
      <c r="L478" s="30" t="str">
        <f aca="false">IF(G478&gt;0,K478/G478,"")</f>
        <v/>
      </c>
      <c r="M478" s="6"/>
    </row>
    <row r="479" customFormat="false" ht="15" hidden="false" customHeight="false" outlineLevel="0" collapsed="false">
      <c r="A479" s="33"/>
      <c r="B479" s="6"/>
      <c r="C479" s="0" t="str">
        <f aca="false">IF(B479="","",IFERROR(VLOOKUP(B479,'Recetas y precios'!$A$5:$B$54,2,FALSE()),""))</f>
        <v/>
      </c>
      <c r="D479" s="20"/>
      <c r="E479" s="6"/>
      <c r="F479" s="29"/>
      <c r="G479" s="14" t="n">
        <f aca="false">E479*F479</f>
        <v>0</v>
      </c>
      <c r="H479" s="14" t="n">
        <f aca="false">IF(B479="",0,E479*IFERROR(VLOOKUP(B479,'Recetas y precios'!$A$5:$T$54,20,FALSE()),0))</f>
        <v>0</v>
      </c>
      <c r="I479" s="26"/>
      <c r="J479" s="14" t="n">
        <f aca="false">G479*I479</f>
        <v>0</v>
      </c>
      <c r="K479" s="14" t="n">
        <f aca="false">G479-H479-J479</f>
        <v>0</v>
      </c>
      <c r="L479" s="30" t="str">
        <f aca="false">IF(G479&gt;0,K479/G479,"")</f>
        <v/>
      </c>
      <c r="M479" s="6"/>
    </row>
    <row r="480" customFormat="false" ht="15" hidden="false" customHeight="false" outlineLevel="0" collapsed="false">
      <c r="A480" s="33"/>
      <c r="B480" s="6"/>
      <c r="C480" s="0" t="str">
        <f aca="false">IF(B480="","",IFERROR(VLOOKUP(B480,'Recetas y precios'!$A$5:$B$54,2,FALSE()),""))</f>
        <v/>
      </c>
      <c r="D480" s="20"/>
      <c r="E480" s="6"/>
      <c r="F480" s="29"/>
      <c r="G480" s="14" t="n">
        <f aca="false">E480*F480</f>
        <v>0</v>
      </c>
      <c r="H480" s="14" t="n">
        <f aca="false">IF(B480="",0,E480*IFERROR(VLOOKUP(B480,'Recetas y precios'!$A$5:$T$54,20,FALSE()),0))</f>
        <v>0</v>
      </c>
      <c r="I480" s="26"/>
      <c r="J480" s="14" t="n">
        <f aca="false">G480*I480</f>
        <v>0</v>
      </c>
      <c r="K480" s="14" t="n">
        <f aca="false">G480-H480-J480</f>
        <v>0</v>
      </c>
      <c r="L480" s="30" t="str">
        <f aca="false">IF(G480&gt;0,K480/G480,"")</f>
        <v/>
      </c>
      <c r="M480" s="6"/>
    </row>
    <row r="481" customFormat="false" ht="15" hidden="false" customHeight="false" outlineLevel="0" collapsed="false">
      <c r="A481" s="33"/>
      <c r="B481" s="6"/>
      <c r="C481" s="0" t="str">
        <f aca="false">IF(B481="","",IFERROR(VLOOKUP(B481,'Recetas y precios'!$A$5:$B$54,2,FALSE()),""))</f>
        <v/>
      </c>
      <c r="D481" s="20"/>
      <c r="E481" s="6"/>
      <c r="F481" s="29"/>
      <c r="G481" s="14" t="n">
        <f aca="false">E481*F481</f>
        <v>0</v>
      </c>
      <c r="H481" s="14" t="n">
        <f aca="false">IF(B481="",0,E481*IFERROR(VLOOKUP(B481,'Recetas y precios'!$A$5:$T$54,20,FALSE()),0))</f>
        <v>0</v>
      </c>
      <c r="I481" s="26"/>
      <c r="J481" s="14" t="n">
        <f aca="false">G481*I481</f>
        <v>0</v>
      </c>
      <c r="K481" s="14" t="n">
        <f aca="false">G481-H481-J481</f>
        <v>0</v>
      </c>
      <c r="L481" s="30" t="str">
        <f aca="false">IF(G481&gt;0,K481/G481,"")</f>
        <v/>
      </c>
      <c r="M481" s="6"/>
    </row>
    <row r="482" customFormat="false" ht="15" hidden="false" customHeight="false" outlineLevel="0" collapsed="false">
      <c r="A482" s="33"/>
      <c r="B482" s="6"/>
      <c r="C482" s="0" t="str">
        <f aca="false">IF(B482="","",IFERROR(VLOOKUP(B482,'Recetas y precios'!$A$5:$B$54,2,FALSE()),""))</f>
        <v/>
      </c>
      <c r="D482" s="20"/>
      <c r="E482" s="6"/>
      <c r="F482" s="29"/>
      <c r="G482" s="14" t="n">
        <f aca="false">E482*F482</f>
        <v>0</v>
      </c>
      <c r="H482" s="14" t="n">
        <f aca="false">IF(B482="",0,E482*IFERROR(VLOOKUP(B482,'Recetas y precios'!$A$5:$T$54,20,FALSE()),0))</f>
        <v>0</v>
      </c>
      <c r="I482" s="26"/>
      <c r="J482" s="14" t="n">
        <f aca="false">G482*I482</f>
        <v>0</v>
      </c>
      <c r="K482" s="14" t="n">
        <f aca="false">G482-H482-J482</f>
        <v>0</v>
      </c>
      <c r="L482" s="30" t="str">
        <f aca="false">IF(G482&gt;0,K482/G482,"")</f>
        <v/>
      </c>
      <c r="M482" s="6"/>
    </row>
    <row r="483" customFormat="false" ht="15" hidden="false" customHeight="false" outlineLevel="0" collapsed="false">
      <c r="A483" s="33"/>
      <c r="B483" s="6"/>
      <c r="C483" s="0" t="str">
        <f aca="false">IF(B483="","",IFERROR(VLOOKUP(B483,'Recetas y precios'!$A$5:$B$54,2,FALSE()),""))</f>
        <v/>
      </c>
      <c r="D483" s="20"/>
      <c r="E483" s="6"/>
      <c r="F483" s="29"/>
      <c r="G483" s="14" t="n">
        <f aca="false">E483*F483</f>
        <v>0</v>
      </c>
      <c r="H483" s="14" t="n">
        <f aca="false">IF(B483="",0,E483*IFERROR(VLOOKUP(B483,'Recetas y precios'!$A$5:$T$54,20,FALSE()),0))</f>
        <v>0</v>
      </c>
      <c r="I483" s="26"/>
      <c r="J483" s="14" t="n">
        <f aca="false">G483*I483</f>
        <v>0</v>
      </c>
      <c r="K483" s="14" t="n">
        <f aca="false">G483-H483-J483</f>
        <v>0</v>
      </c>
      <c r="L483" s="30" t="str">
        <f aca="false">IF(G483&gt;0,K483/G483,"")</f>
        <v/>
      </c>
      <c r="M483" s="6"/>
    </row>
    <row r="484" customFormat="false" ht="15" hidden="false" customHeight="false" outlineLevel="0" collapsed="false">
      <c r="A484" s="33"/>
      <c r="B484" s="6"/>
      <c r="C484" s="0" t="str">
        <f aca="false">IF(B484="","",IFERROR(VLOOKUP(B484,'Recetas y precios'!$A$5:$B$54,2,FALSE()),""))</f>
        <v/>
      </c>
      <c r="D484" s="20"/>
      <c r="E484" s="6"/>
      <c r="F484" s="29"/>
      <c r="G484" s="14" t="n">
        <f aca="false">E484*F484</f>
        <v>0</v>
      </c>
      <c r="H484" s="14" t="n">
        <f aca="false">IF(B484="",0,E484*IFERROR(VLOOKUP(B484,'Recetas y precios'!$A$5:$T$54,20,FALSE()),0))</f>
        <v>0</v>
      </c>
      <c r="I484" s="26"/>
      <c r="J484" s="14" t="n">
        <f aca="false">G484*I484</f>
        <v>0</v>
      </c>
      <c r="K484" s="14" t="n">
        <f aca="false">G484-H484-J484</f>
        <v>0</v>
      </c>
      <c r="L484" s="30" t="str">
        <f aca="false">IF(G484&gt;0,K484/G484,"")</f>
        <v/>
      </c>
      <c r="M484" s="6"/>
    </row>
    <row r="485" customFormat="false" ht="15" hidden="false" customHeight="false" outlineLevel="0" collapsed="false">
      <c r="A485" s="33"/>
      <c r="B485" s="6"/>
      <c r="C485" s="0" t="str">
        <f aca="false">IF(B485="","",IFERROR(VLOOKUP(B485,'Recetas y precios'!$A$5:$B$54,2,FALSE()),""))</f>
        <v/>
      </c>
      <c r="D485" s="20"/>
      <c r="E485" s="6"/>
      <c r="F485" s="29"/>
      <c r="G485" s="14" t="n">
        <f aca="false">E485*F485</f>
        <v>0</v>
      </c>
      <c r="H485" s="14" t="n">
        <f aca="false">IF(B485="",0,E485*IFERROR(VLOOKUP(B485,'Recetas y precios'!$A$5:$T$54,20,FALSE()),0))</f>
        <v>0</v>
      </c>
      <c r="I485" s="26"/>
      <c r="J485" s="14" t="n">
        <f aca="false">G485*I485</f>
        <v>0</v>
      </c>
      <c r="K485" s="14" t="n">
        <f aca="false">G485-H485-J485</f>
        <v>0</v>
      </c>
      <c r="L485" s="30" t="str">
        <f aca="false">IF(G485&gt;0,K485/G485,"")</f>
        <v/>
      </c>
      <c r="M485" s="6"/>
    </row>
    <row r="486" customFormat="false" ht="15" hidden="false" customHeight="false" outlineLevel="0" collapsed="false">
      <c r="A486" s="33"/>
      <c r="B486" s="6"/>
      <c r="C486" s="0" t="str">
        <f aca="false">IF(B486="","",IFERROR(VLOOKUP(B486,'Recetas y precios'!$A$5:$B$54,2,FALSE()),""))</f>
        <v/>
      </c>
      <c r="D486" s="20"/>
      <c r="E486" s="6"/>
      <c r="F486" s="29"/>
      <c r="G486" s="14" t="n">
        <f aca="false">E486*F486</f>
        <v>0</v>
      </c>
      <c r="H486" s="14" t="n">
        <f aca="false">IF(B486="",0,E486*IFERROR(VLOOKUP(B486,'Recetas y precios'!$A$5:$T$54,20,FALSE()),0))</f>
        <v>0</v>
      </c>
      <c r="I486" s="26"/>
      <c r="J486" s="14" t="n">
        <f aca="false">G486*I486</f>
        <v>0</v>
      </c>
      <c r="K486" s="14" t="n">
        <f aca="false">G486-H486-J486</f>
        <v>0</v>
      </c>
      <c r="L486" s="30" t="str">
        <f aca="false">IF(G486&gt;0,K486/G486,"")</f>
        <v/>
      </c>
      <c r="M486" s="6"/>
    </row>
    <row r="487" customFormat="false" ht="15" hidden="false" customHeight="false" outlineLevel="0" collapsed="false">
      <c r="A487" s="33"/>
      <c r="B487" s="6"/>
      <c r="C487" s="0" t="str">
        <f aca="false">IF(B487="","",IFERROR(VLOOKUP(B487,'Recetas y precios'!$A$5:$B$54,2,FALSE()),""))</f>
        <v/>
      </c>
      <c r="D487" s="20"/>
      <c r="E487" s="6"/>
      <c r="F487" s="29"/>
      <c r="G487" s="14" t="n">
        <f aca="false">E487*F487</f>
        <v>0</v>
      </c>
      <c r="H487" s="14" t="n">
        <f aca="false">IF(B487="",0,E487*IFERROR(VLOOKUP(B487,'Recetas y precios'!$A$5:$T$54,20,FALSE()),0))</f>
        <v>0</v>
      </c>
      <c r="I487" s="26"/>
      <c r="J487" s="14" t="n">
        <f aca="false">G487*I487</f>
        <v>0</v>
      </c>
      <c r="K487" s="14" t="n">
        <f aca="false">G487-H487-J487</f>
        <v>0</v>
      </c>
      <c r="L487" s="30" t="str">
        <f aca="false">IF(G487&gt;0,K487/G487,"")</f>
        <v/>
      </c>
      <c r="M487" s="6"/>
    </row>
    <row r="488" customFormat="false" ht="15" hidden="false" customHeight="false" outlineLevel="0" collapsed="false">
      <c r="A488" s="33"/>
      <c r="B488" s="6"/>
      <c r="C488" s="0" t="str">
        <f aca="false">IF(B488="","",IFERROR(VLOOKUP(B488,'Recetas y precios'!$A$5:$B$54,2,FALSE()),""))</f>
        <v/>
      </c>
      <c r="D488" s="20"/>
      <c r="E488" s="6"/>
      <c r="F488" s="29"/>
      <c r="G488" s="14" t="n">
        <f aca="false">E488*F488</f>
        <v>0</v>
      </c>
      <c r="H488" s="14" t="n">
        <f aca="false">IF(B488="",0,E488*IFERROR(VLOOKUP(B488,'Recetas y precios'!$A$5:$T$54,20,FALSE()),0))</f>
        <v>0</v>
      </c>
      <c r="I488" s="26"/>
      <c r="J488" s="14" t="n">
        <f aca="false">G488*I488</f>
        <v>0</v>
      </c>
      <c r="K488" s="14" t="n">
        <f aca="false">G488-H488-J488</f>
        <v>0</v>
      </c>
      <c r="L488" s="30" t="str">
        <f aca="false">IF(G488&gt;0,K488/G488,"")</f>
        <v/>
      </c>
      <c r="M488" s="6"/>
    </row>
    <row r="489" customFormat="false" ht="15" hidden="false" customHeight="false" outlineLevel="0" collapsed="false">
      <c r="A489" s="33"/>
      <c r="B489" s="6"/>
      <c r="C489" s="0" t="str">
        <f aca="false">IF(B489="","",IFERROR(VLOOKUP(B489,'Recetas y precios'!$A$5:$B$54,2,FALSE()),""))</f>
        <v/>
      </c>
      <c r="D489" s="20"/>
      <c r="E489" s="6"/>
      <c r="F489" s="29"/>
      <c r="G489" s="14" t="n">
        <f aca="false">E489*F489</f>
        <v>0</v>
      </c>
      <c r="H489" s="14" t="n">
        <f aca="false">IF(B489="",0,E489*IFERROR(VLOOKUP(B489,'Recetas y precios'!$A$5:$T$54,20,FALSE()),0))</f>
        <v>0</v>
      </c>
      <c r="I489" s="26"/>
      <c r="J489" s="14" t="n">
        <f aca="false">G489*I489</f>
        <v>0</v>
      </c>
      <c r="K489" s="14" t="n">
        <f aca="false">G489-H489-J489</f>
        <v>0</v>
      </c>
      <c r="L489" s="30" t="str">
        <f aca="false">IF(G489&gt;0,K489/G489,"")</f>
        <v/>
      </c>
      <c r="M489" s="6"/>
    </row>
    <row r="490" customFormat="false" ht="15" hidden="false" customHeight="false" outlineLevel="0" collapsed="false">
      <c r="A490" s="33"/>
      <c r="B490" s="6"/>
      <c r="C490" s="0" t="str">
        <f aca="false">IF(B490="","",IFERROR(VLOOKUP(B490,'Recetas y precios'!$A$5:$B$54,2,FALSE()),""))</f>
        <v/>
      </c>
      <c r="D490" s="20"/>
      <c r="E490" s="6"/>
      <c r="F490" s="29"/>
      <c r="G490" s="14" t="n">
        <f aca="false">E490*F490</f>
        <v>0</v>
      </c>
      <c r="H490" s="14" t="n">
        <f aca="false">IF(B490="",0,E490*IFERROR(VLOOKUP(B490,'Recetas y precios'!$A$5:$T$54,20,FALSE()),0))</f>
        <v>0</v>
      </c>
      <c r="I490" s="26"/>
      <c r="J490" s="14" t="n">
        <f aca="false">G490*I490</f>
        <v>0</v>
      </c>
      <c r="K490" s="14" t="n">
        <f aca="false">G490-H490-J490</f>
        <v>0</v>
      </c>
      <c r="L490" s="30" t="str">
        <f aca="false">IF(G490&gt;0,K490/G490,"")</f>
        <v/>
      </c>
      <c r="M490" s="6"/>
    </row>
    <row r="491" customFormat="false" ht="15" hidden="false" customHeight="false" outlineLevel="0" collapsed="false">
      <c r="A491" s="33"/>
      <c r="B491" s="6"/>
      <c r="C491" s="0" t="str">
        <f aca="false">IF(B491="","",IFERROR(VLOOKUP(B491,'Recetas y precios'!$A$5:$B$54,2,FALSE()),""))</f>
        <v/>
      </c>
      <c r="D491" s="20"/>
      <c r="E491" s="6"/>
      <c r="F491" s="29"/>
      <c r="G491" s="14" t="n">
        <f aca="false">E491*F491</f>
        <v>0</v>
      </c>
      <c r="H491" s="14" t="n">
        <f aca="false">IF(B491="",0,E491*IFERROR(VLOOKUP(B491,'Recetas y precios'!$A$5:$T$54,20,FALSE()),0))</f>
        <v>0</v>
      </c>
      <c r="I491" s="26"/>
      <c r="J491" s="14" t="n">
        <f aca="false">G491*I491</f>
        <v>0</v>
      </c>
      <c r="K491" s="14" t="n">
        <f aca="false">G491-H491-J491</f>
        <v>0</v>
      </c>
      <c r="L491" s="30" t="str">
        <f aca="false">IF(G491&gt;0,K491/G491,"")</f>
        <v/>
      </c>
      <c r="M491" s="6"/>
    </row>
    <row r="492" customFormat="false" ht="15" hidden="false" customHeight="false" outlineLevel="0" collapsed="false">
      <c r="A492" s="33"/>
      <c r="B492" s="6"/>
      <c r="C492" s="0" t="str">
        <f aca="false">IF(B492="","",IFERROR(VLOOKUP(B492,'Recetas y precios'!$A$5:$B$54,2,FALSE()),""))</f>
        <v/>
      </c>
      <c r="D492" s="20"/>
      <c r="E492" s="6"/>
      <c r="F492" s="29"/>
      <c r="G492" s="14" t="n">
        <f aca="false">E492*F492</f>
        <v>0</v>
      </c>
      <c r="H492" s="14" t="n">
        <f aca="false">IF(B492="",0,E492*IFERROR(VLOOKUP(B492,'Recetas y precios'!$A$5:$T$54,20,FALSE()),0))</f>
        <v>0</v>
      </c>
      <c r="I492" s="26"/>
      <c r="J492" s="14" t="n">
        <f aca="false">G492*I492</f>
        <v>0</v>
      </c>
      <c r="K492" s="14" t="n">
        <f aca="false">G492-H492-J492</f>
        <v>0</v>
      </c>
      <c r="L492" s="30" t="str">
        <f aca="false">IF(G492&gt;0,K492/G492,"")</f>
        <v/>
      </c>
      <c r="M492" s="6"/>
    </row>
    <row r="493" customFormat="false" ht="15" hidden="false" customHeight="false" outlineLevel="0" collapsed="false">
      <c r="A493" s="33"/>
      <c r="B493" s="6"/>
      <c r="C493" s="0" t="str">
        <f aca="false">IF(B493="","",IFERROR(VLOOKUP(B493,'Recetas y precios'!$A$5:$B$54,2,FALSE()),""))</f>
        <v/>
      </c>
      <c r="D493" s="20"/>
      <c r="E493" s="6"/>
      <c r="F493" s="29"/>
      <c r="G493" s="14" t="n">
        <f aca="false">E493*F493</f>
        <v>0</v>
      </c>
      <c r="H493" s="14" t="n">
        <f aca="false">IF(B493="",0,E493*IFERROR(VLOOKUP(B493,'Recetas y precios'!$A$5:$T$54,20,FALSE()),0))</f>
        <v>0</v>
      </c>
      <c r="I493" s="26"/>
      <c r="J493" s="14" t="n">
        <f aca="false">G493*I493</f>
        <v>0</v>
      </c>
      <c r="K493" s="14" t="n">
        <f aca="false">G493-H493-J493</f>
        <v>0</v>
      </c>
      <c r="L493" s="30" t="str">
        <f aca="false">IF(G493&gt;0,K493/G493,"")</f>
        <v/>
      </c>
      <c r="M493" s="6"/>
    </row>
    <row r="494" customFormat="false" ht="15" hidden="false" customHeight="false" outlineLevel="0" collapsed="false">
      <c r="A494" s="33"/>
      <c r="B494" s="6"/>
      <c r="C494" s="0" t="str">
        <f aca="false">IF(B494="","",IFERROR(VLOOKUP(B494,'Recetas y precios'!$A$5:$B$54,2,FALSE()),""))</f>
        <v/>
      </c>
      <c r="D494" s="20"/>
      <c r="E494" s="6"/>
      <c r="F494" s="29"/>
      <c r="G494" s="14" t="n">
        <f aca="false">E494*F494</f>
        <v>0</v>
      </c>
      <c r="H494" s="14" t="n">
        <f aca="false">IF(B494="",0,E494*IFERROR(VLOOKUP(B494,'Recetas y precios'!$A$5:$T$54,20,FALSE()),0))</f>
        <v>0</v>
      </c>
      <c r="I494" s="26"/>
      <c r="J494" s="14" t="n">
        <f aca="false">G494*I494</f>
        <v>0</v>
      </c>
      <c r="K494" s="14" t="n">
        <f aca="false">G494-H494-J494</f>
        <v>0</v>
      </c>
      <c r="L494" s="30" t="str">
        <f aca="false">IF(G494&gt;0,K494/G494,"")</f>
        <v/>
      </c>
      <c r="M494" s="6"/>
    </row>
    <row r="495" customFormat="false" ht="15" hidden="false" customHeight="false" outlineLevel="0" collapsed="false">
      <c r="A495" s="33"/>
      <c r="B495" s="6"/>
      <c r="C495" s="0" t="str">
        <f aca="false">IF(B495="","",IFERROR(VLOOKUP(B495,'Recetas y precios'!$A$5:$B$54,2,FALSE()),""))</f>
        <v/>
      </c>
      <c r="D495" s="20"/>
      <c r="E495" s="6"/>
      <c r="F495" s="29"/>
      <c r="G495" s="14" t="n">
        <f aca="false">E495*F495</f>
        <v>0</v>
      </c>
      <c r="H495" s="14" t="n">
        <f aca="false">IF(B495="",0,E495*IFERROR(VLOOKUP(B495,'Recetas y precios'!$A$5:$T$54,20,FALSE()),0))</f>
        <v>0</v>
      </c>
      <c r="I495" s="26"/>
      <c r="J495" s="14" t="n">
        <f aca="false">G495*I495</f>
        <v>0</v>
      </c>
      <c r="K495" s="14" t="n">
        <f aca="false">G495-H495-J495</f>
        <v>0</v>
      </c>
      <c r="L495" s="30" t="str">
        <f aca="false">IF(G495&gt;0,K495/G495,"")</f>
        <v/>
      </c>
      <c r="M495" s="6"/>
    </row>
    <row r="496" customFormat="false" ht="15" hidden="false" customHeight="false" outlineLevel="0" collapsed="false">
      <c r="A496" s="33"/>
      <c r="B496" s="6"/>
      <c r="C496" s="0" t="str">
        <f aca="false">IF(B496="","",IFERROR(VLOOKUP(B496,'Recetas y precios'!$A$5:$B$54,2,FALSE()),""))</f>
        <v/>
      </c>
      <c r="D496" s="20"/>
      <c r="E496" s="6"/>
      <c r="F496" s="29"/>
      <c r="G496" s="14" t="n">
        <f aca="false">E496*F496</f>
        <v>0</v>
      </c>
      <c r="H496" s="14" t="n">
        <f aca="false">IF(B496="",0,E496*IFERROR(VLOOKUP(B496,'Recetas y precios'!$A$5:$T$54,20,FALSE()),0))</f>
        <v>0</v>
      </c>
      <c r="I496" s="26"/>
      <c r="J496" s="14" t="n">
        <f aca="false">G496*I496</f>
        <v>0</v>
      </c>
      <c r="K496" s="14" t="n">
        <f aca="false">G496-H496-J496</f>
        <v>0</v>
      </c>
      <c r="L496" s="30" t="str">
        <f aca="false">IF(G496&gt;0,K496/G496,"")</f>
        <v/>
      </c>
      <c r="M496" s="6"/>
    </row>
    <row r="497" customFormat="false" ht="15" hidden="false" customHeight="false" outlineLevel="0" collapsed="false">
      <c r="A497" s="33"/>
      <c r="B497" s="6"/>
      <c r="C497" s="0" t="str">
        <f aca="false">IF(B497="","",IFERROR(VLOOKUP(B497,'Recetas y precios'!$A$5:$B$54,2,FALSE()),""))</f>
        <v/>
      </c>
      <c r="D497" s="20"/>
      <c r="E497" s="6"/>
      <c r="F497" s="29"/>
      <c r="G497" s="14" t="n">
        <f aca="false">E497*F497</f>
        <v>0</v>
      </c>
      <c r="H497" s="14" t="n">
        <f aca="false">IF(B497="",0,E497*IFERROR(VLOOKUP(B497,'Recetas y precios'!$A$5:$T$54,20,FALSE()),0))</f>
        <v>0</v>
      </c>
      <c r="I497" s="26"/>
      <c r="J497" s="14" t="n">
        <f aca="false">G497*I497</f>
        <v>0</v>
      </c>
      <c r="K497" s="14" t="n">
        <f aca="false">G497-H497-J497</f>
        <v>0</v>
      </c>
      <c r="L497" s="30" t="str">
        <f aca="false">IF(G497&gt;0,K497/G497,"")</f>
        <v/>
      </c>
      <c r="M497" s="6"/>
    </row>
    <row r="498" customFormat="false" ht="15" hidden="false" customHeight="false" outlineLevel="0" collapsed="false">
      <c r="A498" s="33"/>
      <c r="B498" s="6"/>
      <c r="C498" s="0" t="str">
        <f aca="false">IF(B498="","",IFERROR(VLOOKUP(B498,'Recetas y precios'!$A$5:$B$54,2,FALSE()),""))</f>
        <v/>
      </c>
      <c r="D498" s="20"/>
      <c r="E498" s="6"/>
      <c r="F498" s="29"/>
      <c r="G498" s="14" t="n">
        <f aca="false">E498*F498</f>
        <v>0</v>
      </c>
      <c r="H498" s="14" t="n">
        <f aca="false">IF(B498="",0,E498*IFERROR(VLOOKUP(B498,'Recetas y precios'!$A$5:$T$54,20,FALSE()),0))</f>
        <v>0</v>
      </c>
      <c r="I498" s="26"/>
      <c r="J498" s="14" t="n">
        <f aca="false">G498*I498</f>
        <v>0</v>
      </c>
      <c r="K498" s="14" t="n">
        <f aca="false">G498-H498-J498</f>
        <v>0</v>
      </c>
      <c r="L498" s="30" t="str">
        <f aca="false">IF(G498&gt;0,K498/G498,"")</f>
        <v/>
      </c>
      <c r="M498" s="6"/>
    </row>
    <row r="499" customFormat="false" ht="15" hidden="false" customHeight="false" outlineLevel="0" collapsed="false">
      <c r="A499" s="33"/>
      <c r="B499" s="6"/>
      <c r="C499" s="0" t="str">
        <f aca="false">IF(B499="","",IFERROR(VLOOKUP(B499,'Recetas y precios'!$A$5:$B$54,2,FALSE()),""))</f>
        <v/>
      </c>
      <c r="D499" s="20"/>
      <c r="E499" s="6"/>
      <c r="F499" s="29"/>
      <c r="G499" s="14" t="n">
        <f aca="false">E499*F499</f>
        <v>0</v>
      </c>
      <c r="H499" s="14" t="n">
        <f aca="false">IF(B499="",0,E499*IFERROR(VLOOKUP(B499,'Recetas y precios'!$A$5:$T$54,20,FALSE()),0))</f>
        <v>0</v>
      </c>
      <c r="I499" s="26"/>
      <c r="J499" s="14" t="n">
        <f aca="false">G499*I499</f>
        <v>0</v>
      </c>
      <c r="K499" s="14" t="n">
        <f aca="false">G499-H499-J499</f>
        <v>0</v>
      </c>
      <c r="L499" s="30" t="str">
        <f aca="false">IF(G499&gt;0,K499/G499,"")</f>
        <v/>
      </c>
      <c r="M499" s="6"/>
    </row>
    <row r="500" customFormat="false" ht="15" hidden="false" customHeight="false" outlineLevel="0" collapsed="false">
      <c r="A500" s="33"/>
      <c r="B500" s="6"/>
      <c r="C500" s="0" t="str">
        <f aca="false">IF(B500="","",IFERROR(VLOOKUP(B500,'Recetas y precios'!$A$5:$B$54,2,FALSE()),""))</f>
        <v/>
      </c>
      <c r="D500" s="20"/>
      <c r="E500" s="6"/>
      <c r="F500" s="29"/>
      <c r="G500" s="14" t="n">
        <f aca="false">E500*F500</f>
        <v>0</v>
      </c>
      <c r="H500" s="14" t="n">
        <f aca="false">IF(B500="",0,E500*IFERROR(VLOOKUP(B500,'Recetas y precios'!$A$5:$T$54,20,FALSE()),0))</f>
        <v>0</v>
      </c>
      <c r="I500" s="26"/>
      <c r="J500" s="14" t="n">
        <f aca="false">G500*I500</f>
        <v>0</v>
      </c>
      <c r="K500" s="14" t="n">
        <f aca="false">G500-H500-J500</f>
        <v>0</v>
      </c>
      <c r="L500" s="30" t="str">
        <f aca="false">IF(G500&gt;0,K500/G500,"")</f>
        <v/>
      </c>
      <c r="M500" s="6"/>
    </row>
    <row r="501" customFormat="false" ht="15" hidden="false" customHeight="false" outlineLevel="0" collapsed="false">
      <c r="A501" s="33"/>
      <c r="B501" s="6"/>
      <c r="C501" s="0" t="str">
        <f aca="false">IF(B501="","",IFERROR(VLOOKUP(B501,'Recetas y precios'!$A$5:$B$54,2,FALSE()),""))</f>
        <v/>
      </c>
      <c r="D501" s="20"/>
      <c r="E501" s="6"/>
      <c r="F501" s="29"/>
      <c r="G501" s="14" t="n">
        <f aca="false">E501*F501</f>
        <v>0</v>
      </c>
      <c r="H501" s="14" t="n">
        <f aca="false">IF(B501="",0,E501*IFERROR(VLOOKUP(B501,'Recetas y precios'!$A$5:$T$54,20,FALSE()),0))</f>
        <v>0</v>
      </c>
      <c r="I501" s="26"/>
      <c r="J501" s="14" t="n">
        <f aca="false">G501*I501</f>
        <v>0</v>
      </c>
      <c r="K501" s="14" t="n">
        <f aca="false">G501-H501-J501</f>
        <v>0</v>
      </c>
      <c r="L501" s="30" t="str">
        <f aca="false">IF(G501&gt;0,K501/G501,"")</f>
        <v/>
      </c>
      <c r="M501" s="6"/>
    </row>
    <row r="502" customFormat="false" ht="15" hidden="false" customHeight="false" outlineLevel="0" collapsed="false">
      <c r="A502" s="33"/>
      <c r="B502" s="6"/>
      <c r="C502" s="0" t="str">
        <f aca="false">IF(B502="","",IFERROR(VLOOKUP(B502,'Recetas y precios'!$A$5:$B$54,2,FALSE()),""))</f>
        <v/>
      </c>
      <c r="D502" s="20"/>
      <c r="E502" s="6"/>
      <c r="F502" s="29"/>
      <c r="G502" s="14" t="n">
        <f aca="false">E502*F502</f>
        <v>0</v>
      </c>
      <c r="H502" s="14" t="n">
        <f aca="false">IF(B502="",0,E502*IFERROR(VLOOKUP(B502,'Recetas y precios'!$A$5:$T$54,20,FALSE()),0))</f>
        <v>0</v>
      </c>
      <c r="I502" s="26"/>
      <c r="J502" s="14" t="n">
        <f aca="false">G502*I502</f>
        <v>0</v>
      </c>
      <c r="K502" s="14" t="n">
        <f aca="false">G502-H502-J502</f>
        <v>0</v>
      </c>
      <c r="L502" s="30" t="str">
        <f aca="false">IF(G502&gt;0,K502/G502,"")</f>
        <v/>
      </c>
      <c r="M502" s="6"/>
    </row>
    <row r="503" customFormat="false" ht="15" hidden="false" customHeight="false" outlineLevel="0" collapsed="false">
      <c r="A503" s="33"/>
      <c r="B503" s="6"/>
      <c r="C503" s="0" t="str">
        <f aca="false">IF(B503="","",IFERROR(VLOOKUP(B503,'Recetas y precios'!$A$5:$B$54,2,FALSE()),""))</f>
        <v/>
      </c>
      <c r="D503" s="20"/>
      <c r="E503" s="6"/>
      <c r="F503" s="29"/>
      <c r="G503" s="14" t="n">
        <f aca="false">E503*F503</f>
        <v>0</v>
      </c>
      <c r="H503" s="14" t="n">
        <f aca="false">IF(B503="",0,E503*IFERROR(VLOOKUP(B503,'Recetas y precios'!$A$5:$T$54,20,FALSE()),0))</f>
        <v>0</v>
      </c>
      <c r="I503" s="26"/>
      <c r="J503" s="14" t="n">
        <f aca="false">G503*I503</f>
        <v>0</v>
      </c>
      <c r="K503" s="14" t="n">
        <f aca="false">G503-H503-J503</f>
        <v>0</v>
      </c>
      <c r="L503" s="30" t="str">
        <f aca="false">IF(G503&gt;0,K503/G503,"")</f>
        <v/>
      </c>
      <c r="M503" s="6"/>
    </row>
    <row r="504" customFormat="false" ht="15" hidden="false" customHeight="false" outlineLevel="0" collapsed="false">
      <c r="A504" s="33"/>
      <c r="B504" s="6"/>
      <c r="C504" s="0" t="str">
        <f aca="false">IF(B504="","",IFERROR(VLOOKUP(B504,'Recetas y precios'!$A$5:$B$54,2,FALSE()),""))</f>
        <v/>
      </c>
      <c r="D504" s="20"/>
      <c r="E504" s="6"/>
      <c r="F504" s="29"/>
      <c r="G504" s="14" t="n">
        <f aca="false">E504*F504</f>
        <v>0</v>
      </c>
      <c r="H504" s="14" t="n">
        <f aca="false">IF(B504="",0,E504*IFERROR(VLOOKUP(B504,'Recetas y precios'!$A$5:$T$54,20,FALSE()),0))</f>
        <v>0</v>
      </c>
      <c r="I504" s="26"/>
      <c r="J504" s="14" t="n">
        <f aca="false">G504*I504</f>
        <v>0</v>
      </c>
      <c r="K504" s="14" t="n">
        <f aca="false">G504-H504-J504</f>
        <v>0</v>
      </c>
      <c r="L504" s="30" t="str">
        <f aca="false">IF(G504&gt;0,K504/G504,"")</f>
        <v/>
      </c>
      <c r="M504" s="6"/>
    </row>
  </sheetData>
  <conditionalFormatting sqref="K5:K504">
    <cfRule type="cellIs" priority="2" operator="lessThan" aboveAverage="0" equalAverage="0" bottom="0" percent="0" rank="0" text="" dxfId="41">
      <formula>0</formula>
    </cfRule>
  </conditionalFormatting>
  <dataValidations count="2">
    <dataValidation allowBlank="true" errorStyle="stop" operator="between" showDropDown="false" showErrorMessage="false" showInputMessage="false" sqref="B5:B504" type="whole">
      <formula1>1</formula1>
      <formula2>50</formula2>
    </dataValidation>
    <dataValidation allowBlank="true" errorStyle="stop" operator="between" showDropDown="false" showErrorMessage="false" showInputMessage="false" sqref="D5:D504" type="list">
      <formula1>"Canasta en calle,Pedido de oficina / docena,Taquiza y eventos,Mayoreo a canasteros,Venta directa"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1454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861</v>
      </c>
    </row>
    <row r="2" customFormat="false" ht="15" hidden="false" customHeight="false" outlineLevel="0" collapsed="false">
      <c r="A2" s="7" t="s">
        <v>862</v>
      </c>
    </row>
    <row r="3" customFormat="false" ht="15" hidden="false" customHeight="false" outlineLevel="0" collapsed="false">
      <c r="B3" s="16" t="s">
        <v>848</v>
      </c>
      <c r="E3" s="34" t="s">
        <v>850</v>
      </c>
      <c r="F3" s="34" t="s">
        <v>853</v>
      </c>
      <c r="G3" s="34" t="s">
        <v>851</v>
      </c>
    </row>
    <row r="4" customFormat="false" ht="15" hidden="false" customHeight="false" outlineLevel="0" collapsed="false">
      <c r="B4" s="9" t="s">
        <v>863</v>
      </c>
      <c r="C4" s="35" t="n">
        <f aca="false">SUM(Ventas!G5:G504)</f>
        <v>520</v>
      </c>
      <c r="E4" s="13" t="s">
        <v>860</v>
      </c>
      <c r="F4" s="32" t="n">
        <f aca="false">SUMIF(Ventas!$D$5:$D$504,E4,Ventas!$G$5:$G$504)</f>
        <v>520</v>
      </c>
      <c r="G4" s="36" t="n">
        <f aca="false">SUMIF(Ventas!$D$5:$D$504,E4,Ventas!$E$5:$E$504)</f>
        <v>40</v>
      </c>
    </row>
    <row r="5" customFormat="false" ht="15" hidden="false" customHeight="false" outlineLevel="0" collapsed="false">
      <c r="B5" s="9" t="s">
        <v>864</v>
      </c>
      <c r="C5" s="37" t="n">
        <f aca="false">SUM(Ventas!E5:E504)</f>
        <v>40</v>
      </c>
      <c r="E5" s="13" t="s">
        <v>865</v>
      </c>
      <c r="F5" s="32" t="n">
        <f aca="false">SUMIF(Ventas!$D$5:$D$504,E5,Ventas!$G$5:$G$504)</f>
        <v>0</v>
      </c>
      <c r="G5" s="36" t="n">
        <f aca="false">SUMIF(Ventas!$D$5:$D$504,E5,Ventas!$E$5:$E$504)</f>
        <v>0</v>
      </c>
    </row>
    <row r="6" customFormat="false" ht="15" hidden="false" customHeight="false" outlineLevel="0" collapsed="false">
      <c r="B6" s="9" t="s">
        <v>866</v>
      </c>
      <c r="C6" s="35" t="n">
        <f aca="false">SUM(Ventas!H5:H504)</f>
        <v>255.83829787234</v>
      </c>
      <c r="E6" s="13" t="s">
        <v>867</v>
      </c>
      <c r="F6" s="32" t="n">
        <f aca="false">SUMIF(Ventas!$D$5:$D$504,E6,Ventas!$G$5:$G$504)</f>
        <v>0</v>
      </c>
      <c r="G6" s="36" t="n">
        <f aca="false">SUMIF(Ventas!$D$5:$D$504,E6,Ventas!$E$5:$E$504)</f>
        <v>0</v>
      </c>
    </row>
    <row r="7" customFormat="false" ht="15" hidden="false" customHeight="false" outlineLevel="0" collapsed="false">
      <c r="B7" s="9" t="s">
        <v>868</v>
      </c>
      <c r="C7" s="35" t="n">
        <f aca="false">SUM(Ventas!J5:J504)</f>
        <v>0</v>
      </c>
      <c r="E7" s="13" t="s">
        <v>869</v>
      </c>
      <c r="F7" s="32" t="n">
        <f aca="false">SUMIF(Ventas!$D$5:$D$504,E7,Ventas!$G$5:$G$504)</f>
        <v>0</v>
      </c>
      <c r="G7" s="36" t="n">
        <f aca="false">SUMIF(Ventas!$D$5:$D$504,E7,Ventas!$E$5:$E$504)</f>
        <v>0</v>
      </c>
    </row>
    <row r="8" customFormat="false" ht="15" hidden="false" customHeight="false" outlineLevel="0" collapsed="false">
      <c r="B8" s="9" t="s">
        <v>870</v>
      </c>
      <c r="C8" s="35" t="n">
        <f aca="false">SUM(Ventas!K5:K504)</f>
        <v>264.16170212766</v>
      </c>
      <c r="E8" s="13" t="s">
        <v>871</v>
      </c>
      <c r="F8" s="32" t="n">
        <f aca="false">SUMIF(Ventas!$D$5:$D$504,E8,Ventas!$G$5:$G$504)</f>
        <v>0</v>
      </c>
      <c r="G8" s="36" t="n">
        <f aca="false">SUMIF(Ventas!$D$5:$D$504,E8,Ventas!$E$5:$E$504)</f>
        <v>0</v>
      </c>
    </row>
    <row r="9" customFormat="false" ht="15" hidden="false" customHeight="false" outlineLevel="0" collapsed="false">
      <c r="B9" s="9" t="s">
        <v>872</v>
      </c>
      <c r="C9" s="38" t="n">
        <f aca="false">IFERROR(C8/C4,0)</f>
        <v>0.508003273322422</v>
      </c>
    </row>
    <row r="10" customFormat="false" ht="15" hidden="false" customHeight="false" outlineLevel="0" collapsed="false">
      <c r="B10" s="9" t="s">
        <v>873</v>
      </c>
      <c r="C10" s="35" t="n">
        <f aca="false">C8-'Mi negocio'!C17</f>
        <v>-8735.83829787234</v>
      </c>
    </row>
    <row r="11" customFormat="false" ht="15" hidden="false" customHeight="false" outlineLevel="0" collapsed="false">
      <c r="B11" s="16" t="s">
        <v>832</v>
      </c>
      <c r="E11" s="34" t="s">
        <v>874</v>
      </c>
      <c r="F11" s="34" t="s">
        <v>261</v>
      </c>
      <c r="G11" s="34" t="s">
        <v>875</v>
      </c>
    </row>
    <row r="12" customFormat="false" ht="15" hidden="false" customHeight="false" outlineLevel="0" collapsed="false">
      <c r="B12" s="9" t="s">
        <v>876</v>
      </c>
      <c r="C12" s="37" t="n">
        <f aca="false">SUM(Producción!F5:F304)</f>
        <v>48</v>
      </c>
      <c r="E12" s="13" t="s">
        <v>877</v>
      </c>
      <c r="F12" s="13" t="n">
        <f aca="false">'Bases madre'!D17</f>
        <v>8</v>
      </c>
      <c r="G12" s="14" t="n">
        <f aca="false">'Bases madre'!F17</f>
        <v>2.464525</v>
      </c>
    </row>
    <row r="13" customFormat="false" ht="15" hidden="false" customHeight="false" outlineLevel="0" collapsed="false">
      <c r="B13" s="9" t="s">
        <v>878</v>
      </c>
      <c r="C13" s="37" t="n">
        <f aca="false">SUM(Producción!G5:G304)</f>
        <v>2</v>
      </c>
      <c r="E13" s="13" t="s">
        <v>879</v>
      </c>
      <c r="F13" s="13" t="n">
        <f aca="false">'Bases madre'!D18</f>
        <v>12</v>
      </c>
      <c r="G13" s="14" t="n">
        <f aca="false">'Bases madre'!F18</f>
        <v>5.669425</v>
      </c>
    </row>
    <row r="14" customFormat="false" ht="15" hidden="false" customHeight="false" outlineLevel="0" collapsed="false">
      <c r="B14" s="9" t="s">
        <v>880</v>
      </c>
      <c r="C14" s="38" t="n">
        <f aca="false">IFERROR(C13/(C12+C13),0)</f>
        <v>0.04</v>
      </c>
      <c r="E14" s="13" t="s">
        <v>881</v>
      </c>
      <c r="F14" s="13" t="n">
        <f aca="false">'Bases madre'!D19</f>
        <v>4</v>
      </c>
      <c r="G14" s="14" t="n">
        <f aca="false">'Bases madre'!F19</f>
        <v>4.6398</v>
      </c>
    </row>
    <row r="15" customFormat="false" ht="15" hidden="false" customHeight="false" outlineLevel="0" collapsed="false">
      <c r="B15" s="9" t="s">
        <v>882</v>
      </c>
      <c r="C15" s="38" t="n">
        <f aca="false">'Mi negocio'!$C$24</f>
        <v>0.06</v>
      </c>
      <c r="E15" s="13" t="s">
        <v>883</v>
      </c>
      <c r="F15" s="13" t="n">
        <f aca="false">'Bases madre'!D20</f>
        <v>9</v>
      </c>
      <c r="G15" s="14" t="n">
        <f aca="false">'Bases madre'!F20</f>
        <v>5.27360956072351</v>
      </c>
    </row>
    <row r="16" customFormat="false" ht="15" hidden="false" customHeight="false" outlineLevel="0" collapsed="false">
      <c r="B16" s="9" t="s">
        <v>884</v>
      </c>
      <c r="C16" s="35" t="n">
        <f aca="false">SUM(Producción!J5:J304)</f>
        <v>12.791914893617</v>
      </c>
      <c r="E16" s="13" t="s">
        <v>885</v>
      </c>
      <c r="F16" s="13" t="n">
        <f aca="false">'Bases madre'!D21</f>
        <v>6</v>
      </c>
      <c r="G16" s="14" t="n">
        <f aca="false">'Bases madre'!F21</f>
        <v>4.1529</v>
      </c>
    </row>
    <row r="17" customFormat="false" ht="15" hidden="false" customHeight="false" outlineLevel="0" collapsed="false">
      <c r="B17" s="16" t="s">
        <v>886</v>
      </c>
      <c r="E17" s="13" t="s">
        <v>887</v>
      </c>
      <c r="F17" s="13" t="n">
        <f aca="false">'Bases madre'!D22</f>
        <v>6</v>
      </c>
      <c r="G17" s="14" t="n">
        <f aca="false">'Bases madre'!F22</f>
        <v>6.63990391775943</v>
      </c>
    </row>
    <row r="18" customFormat="false" ht="15" hidden="false" customHeight="false" outlineLevel="0" collapsed="false">
      <c r="B18" s="9" t="s">
        <v>888</v>
      </c>
      <c r="C18" s="39" t="n">
        <f aca="false">AVERAGEIF('Recetas y precios'!$F$5:$F$54,"taco",'Recetas y precios'!$U$5:$U$54)</f>
        <v>19.7111111111111</v>
      </c>
      <c r="E18" s="13" t="s">
        <v>889</v>
      </c>
      <c r="F18" s="13" t="n">
        <f aca="false">'Bases madre'!D23</f>
        <v>5</v>
      </c>
      <c r="G18" s="14" t="n">
        <f aca="false">'Bases madre'!F23</f>
        <v>15.683513053467</v>
      </c>
    </row>
    <row r="19" customFormat="false" ht="15" hidden="false" customHeight="false" outlineLevel="0" collapsed="false">
      <c r="B19" s="9" t="s">
        <v>890</v>
      </c>
      <c r="C19" s="39" t="n">
        <f aca="false">AVERAGEIF('Recetas y precios'!$F$5:$F$54,"taco",'Recetas y precios'!$T$5:$T$54)</f>
        <v>9.6224068452262</v>
      </c>
    </row>
    <row r="20" customFormat="false" ht="15" hidden="false" customHeight="false" outlineLevel="0" collapsed="false">
      <c r="B20" s="9" t="s">
        <v>891</v>
      </c>
      <c r="C20" s="39" t="n">
        <f aca="false">C18-C19</f>
        <v>10.0887042658849</v>
      </c>
    </row>
    <row r="21" customFormat="false" ht="15" hidden="false" customHeight="false" outlineLevel="0" collapsed="false">
      <c r="B21" s="9" t="s">
        <v>892</v>
      </c>
      <c r="C21" s="35" t="n">
        <f aca="false">'Mi negocio'!C17</f>
        <v>9000</v>
      </c>
    </row>
    <row r="22" customFormat="false" ht="16.15" hidden="false" customHeight="false" outlineLevel="0" collapsed="false">
      <c r="B22" s="9" t="s">
        <v>893</v>
      </c>
      <c r="C22" s="40" t="n">
        <f aca="false">IFERROR(ROUNDUP(C21/C20,0),0)</f>
        <v>893</v>
      </c>
    </row>
    <row r="23" customFormat="false" ht="15" hidden="false" customHeight="false" outlineLevel="0" collapsed="false">
      <c r="B23" s="9" t="s">
        <v>894</v>
      </c>
      <c r="C23" s="38" t="n">
        <f aca="false">IFERROR(C5/C22,0)</f>
        <v>0.0447928331466965</v>
      </c>
    </row>
    <row r="26" customFormat="false" ht="15" hidden="false" customHeight="false" outlineLevel="0" collapsed="false">
      <c r="B26" s="41" t="s">
        <v>895</v>
      </c>
    </row>
  </sheetData>
  <conditionalFormatting sqref="C14">
    <cfRule type="expression" priority="2" aboveAverage="0" equalAverage="0" bottom="0" percent="0" rank="0" text="" dxfId="42">
      <formula>C14&gt;C15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2026-09-10T20:56:29Z</dcterms:created>
  <dc:creator>openpyxl</dc:creator>
  <dc:description/>
  <dc:language>en-US</dc:language>
  <cp:lastModifiedBy/>
  <dcterms:modified xsi:type="dcterms:W3CDTF">2026-09-10T20:56:29Z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