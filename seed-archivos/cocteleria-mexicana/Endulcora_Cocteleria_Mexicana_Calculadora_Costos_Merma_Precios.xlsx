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Métodos de barra" sheetId="3" state="visible" r:id="rId5"/>
    <sheet name="Ingredientes" sheetId="4" state="visible" r:id="rId6"/>
    <sheet name="Mi negocio" sheetId="5" state="visible" r:id="rId7"/>
    <sheet name="Fich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5" name="_xlnm._FilterDatabase" vbProcedure="false">'Fichas y precios'!$A$5:$U$56</definedName>
    <definedName function="false" hidden="true" localSheetId="3" name="_xlnm._FilterDatabase" vbProcedure="false">Ingredientes!$A$5:$I$328</definedName>
    <definedName function="false" hidden="true" localSheetId="1" name="_xlnm._FilterDatabase" vbProcedure="false">Insumos!$A$5:$I$126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<sst xmlns="http://schemas.openxmlformats.org/spreadsheetml/2006/main" count="2314" uniqueCount="860">
  <si>
    <t xml:space="preserve">ANEXO 1 · CALCULADORA DE COSTOS, MERMA Y PRECIOS DE BARRA</t>
  </si>
  <si>
    <t xml:space="preserve">Coctelería Mexicana Clásica y Contemporánea · 51 fichas · Oficios de Barra vol. 1</t>
  </si>
  <si>
    <t xml:space="preserve">Endulcora · Estudio Gastronómico · en colaboración con Levent</t>
  </si>
  <si>
    <t xml:space="preserve">QUÉ ES ESTO</t>
  </si>
  <si>
    <t xml:space="preserve">Un modelo de costeo vivo para las 51 fichas del libro. Todas las hojas están enlazadas con fórmulas reales: si cambias el precio de una botella, las 51 fichas, sus cuatro canales de venta, el costo de vertido y el punto de equilibrio se recalculan solos.</t>
  </si>
  <si>
    <t xml:space="preserve">CÓMO SE USA</t>
  </si>
  <si>
    <t xml:space="preserve">1</t>
  </si>
  <si>
    <t xml:space="preserve">Ve a la hoja «Mi negocio» y pon tus datos reales: renta, sueldo, tragos al mes, hielo, cristalería y merma. Son diez celdas.</t>
  </si>
  <si>
    <t xml:space="preserve">2</t>
  </si>
  <si>
    <t xml:space="preserve">Ve a la hoja «Insumos» y sustituye los precios de referencia por los que tú pagas. Solo la columna «Precio de compra» (celdas en amarillo).</t>
  </si>
  <si>
    <t xml:space="preserve">3</t>
  </si>
  <si>
    <t xml:space="preserve">Abre «Fichas y precios». Ahí están los 51 tragos costeados con tus números, su costo de vertido y sus precios sugeridos en los cuatro canales.</t>
  </si>
  <si>
    <t xml:space="preserve">4</t>
  </si>
  <si>
    <t xml:space="preserve">Usa «Producción» para planear el mes y «Ventas» para registrar lo que vendes. El «Tablero» resume todo.</t>
  </si>
  <si>
    <t xml:space="preserve">LA REGLA DE ORO</t>
  </si>
  <si>
    <t xml:space="preserve">SOLO SE EDITAN LAS CELDAS AMARILLAS. Todo lo demás son fórmulas: si escribes encima, rompes el modelo.</t>
  </si>
  <si>
    <t xml:space="preserve">EL MODELO DE COSTEO</t>
  </si>
  <si>
    <t xml:space="preserve">Costo por unidad     = Precio de compra ÷ Cantidad comprada</t>
  </si>
  <si>
    <t xml:space="preserve">Costo insumos lote   = Σ (cantidad × costo por unidad)</t>
  </si>
  <si>
    <t xml:space="preserve">Costo base           = Insumos + Empaque + Energía + Mano de obra + Overhead</t>
  </si>
  <si>
    <t xml:space="preserve">Costo total unitario = Costo base ÷ (1 − % merma)      ← se DIVIDE, no se suma</t>
  </si>
  <si>
    <t xml:space="preserve">PVP                  = Costo total ÷ (1 − margen)</t>
  </si>
  <si>
    <t xml:space="preserve">Costo por rebanada   = Costo total ÷ rebanadas del molde</t>
  </si>
  <si>
    <t xml:space="preserve">Punto de equilibrio  = Gastos fijos ÷ (PVP − costo variable unitario)</t>
  </si>
  <si>
    <t xml:space="preserve">LAS NUEVE HOJAS</t>
  </si>
  <si>
    <t xml:space="preserve">LÉEME</t>
  </si>
  <si>
    <t xml:space="preserve">Esta página.</t>
  </si>
  <si>
    <t xml:space="preserve">Insumos</t>
  </si>
  <si>
    <t xml:space="preserve">121 insumos de barra con presentación, precio de compra (editable) y costo por mililitro o gramo.</t>
  </si>
  <si>
    <t xml:space="preserve">Métodos de barra</t>
  </si>
  <si>
    <t xml:space="preserve">Los 6 métodos T-1 a T-6 y las 6 preparaciones de casa, con cuántas fichas usa cada uno y su costo promedio.</t>
  </si>
  <si>
    <t xml:space="preserve">Ingredientes</t>
  </si>
  <si>
    <t xml:space="preserve">Las 323 líneas del manual normalizadas contra el catálogo, con el texto original del chef al lado para poder auditarlas.</t>
  </si>
  <si>
    <t xml:space="preserve">Mi negocio</t>
  </si>
  <si>
    <t xml:space="preserve">Tus parámetros. Es la hoja que hay que llenar primero.</t>
  </si>
  <si>
    <t xml:space="preserve">Fichas y precios</t>
  </si>
  <si>
    <t xml:space="preserve">La hoja principal: los 51 tragos con su costo, su vertido y sus 4 precios.</t>
  </si>
  <si>
    <t xml:space="preserve">Producción</t>
  </si>
  <si>
    <t xml:space="preserve">Plan mensual o cotización de evento: cuántos tragos de cada ficha y qué cuestan.</t>
  </si>
  <si>
    <t xml:space="preserve">Ventas</t>
  </si>
  <si>
    <t xml:space="preserve">Registro de ventas con cálculo automático de utilidad.</t>
  </si>
  <si>
    <t xml:space="preserve">Tablero</t>
  </si>
  <si>
    <t xml:space="preserve">Resumen, punto de equilibrio y ranking de rentabilidad.</t>
  </si>
  <si>
    <t xml:space="preserve">ADVERTENCIAS</t>
  </si>
  <si>
    <t xml:space="preserve">Los precios precargados son REFERENCIAS de mercado CDMX 2026, no cotizaciones. Sustitúyelos.</t>
  </si>
  <si>
    <t xml:space="preserve">Endulcora no garantiza ingresos ni resultados de negocio. Este archivo es una herramienta de cálculo, no una promesa. Prohibida la venta de bebidas alcohólicas a menores de 18 años. Evite el exceso.</t>
  </si>
  <si>
    <t xml:space="preserve">Las líneas marcadas en «Ingredientes» con nota en la columna «Equivalencia asumida» llevan un supuesto editorial (piezas a gramos, gajos, twists, golpes de amargo). Están declaradas una por una para que puedas revisarlas.</t>
  </si>
  <si>
    <t xml:space="preserve">INSUMOS DE BARRA</t>
  </si>
  <si>
    <t xml:space="preserve">Sustituye la columna «Precio de compra» (amarillo) por tus precios reales.</t>
  </si>
  <si>
    <t xml:space="preserve">Clave</t>
  </si>
  <si>
    <t xml:space="preserve">Insumo</t>
  </si>
  <si>
    <t xml:space="preserve">Categoría</t>
  </si>
  <si>
    <t xml:space="preserve">Contenido del envase</t>
  </si>
  <si>
    <t xml:space="preserve">Unidad</t>
  </si>
  <si>
    <t xml:space="preserve">Precio de compra</t>
  </si>
  <si>
    <t xml:space="preserve">Costo por unidad</t>
  </si>
  <si>
    <t xml:space="preserve">Fichas que lo usan</t>
  </si>
  <si>
    <t xml:space="preserve">Consumo total (ml/g)</t>
  </si>
  <si>
    <t xml:space="preserve">B-001</t>
  </si>
  <si>
    <t xml:space="preserve">Tequila blanco 100% agave</t>
  </si>
  <si>
    <t xml:space="preserve">Destilados de agave</t>
  </si>
  <si>
    <t xml:space="preserve">ml</t>
  </si>
  <si>
    <t xml:space="preserve">B-002</t>
  </si>
  <si>
    <t xml:space="preserve">Tequila reposado 100% agave</t>
  </si>
  <si>
    <t xml:space="preserve">B-003</t>
  </si>
  <si>
    <t xml:space="preserve">Tequila añejo 100% agave</t>
  </si>
  <si>
    <t xml:space="preserve">B-004</t>
  </si>
  <si>
    <t xml:space="preserve">Mezcal artesanal espadín joven</t>
  </si>
  <si>
    <t xml:space="preserve">B-005</t>
  </si>
  <si>
    <t xml:space="preserve">Mezcal artesanal de agave silvestre (tobalá)</t>
  </si>
  <si>
    <t xml:space="preserve">B-010</t>
  </si>
  <si>
    <t xml:space="preserve">Charanda blanca de Uruapan</t>
  </si>
  <si>
    <t xml:space="preserve">Destilados regionales</t>
  </si>
  <si>
    <t xml:space="preserve">B-011</t>
  </si>
  <si>
    <t xml:space="preserve">Charanda añeja</t>
  </si>
  <si>
    <t xml:space="preserve">B-012</t>
  </si>
  <si>
    <t xml:space="preserve">Raicilla artesanal</t>
  </si>
  <si>
    <t xml:space="preserve">B-013</t>
  </si>
  <si>
    <t xml:space="preserve">Sotol artesanal de Chihuahua</t>
  </si>
  <si>
    <t xml:space="preserve">B-014</t>
  </si>
  <si>
    <t xml:space="preserve">Bacanora blanco de Sonora</t>
  </si>
  <si>
    <t xml:space="preserve">B-015</t>
  </si>
  <si>
    <t xml:space="preserve">Pox artesanal de Chiapas</t>
  </si>
  <si>
    <t xml:space="preserve">B-020</t>
  </si>
  <si>
    <t xml:space="preserve">Licor de naranja triple sec</t>
  </si>
  <si>
    <t xml:space="preserve">Licores y aperitivos</t>
  </si>
  <si>
    <t xml:space="preserve">B-021</t>
  </si>
  <si>
    <t xml:space="preserve">Aperol</t>
  </si>
  <si>
    <t xml:space="preserve">B-022</t>
  </si>
  <si>
    <t xml:space="preserve">Campari</t>
  </si>
  <si>
    <t xml:space="preserve">B-023</t>
  </si>
  <si>
    <t xml:space="preserve">Chartreuse amarillo</t>
  </si>
  <si>
    <t xml:space="preserve">B-024</t>
  </si>
  <si>
    <t xml:space="preserve">Vermut rosso</t>
  </si>
  <si>
    <t xml:space="preserve">B-025</t>
  </si>
  <si>
    <t xml:space="preserve">Licor de damiana</t>
  </si>
  <si>
    <t xml:space="preserve">B-026</t>
  </si>
  <si>
    <t xml:space="preserve">Licor de miel y anís tipo xtabentún</t>
  </si>
  <si>
    <t xml:space="preserve">B-027</t>
  </si>
  <si>
    <t xml:space="preserve">Licor / tintura de cacao amargo</t>
  </si>
  <si>
    <t xml:space="preserve">B-028</t>
  </si>
  <si>
    <t xml:space="preserve">Licor de chile verde</t>
  </si>
  <si>
    <t xml:space="preserve">B-029</t>
  </si>
  <si>
    <t xml:space="preserve">Vino espumoso brut</t>
  </si>
  <si>
    <t xml:space="preserve">B-035</t>
  </si>
  <si>
    <t xml:space="preserve">Amargo aromático de Angostura</t>
  </si>
  <si>
    <t xml:space="preserve">Amargos y tinturas</t>
  </si>
  <si>
    <t xml:space="preserve">B-036</t>
  </si>
  <si>
    <t xml:space="preserve">Amargo de cacao o chocolate</t>
  </si>
  <si>
    <t xml:space="preserve">B-037</t>
  </si>
  <si>
    <t xml:space="preserve">Amargo de naranja o tintura cítrica</t>
  </si>
  <si>
    <t xml:space="preserve">B-038</t>
  </si>
  <si>
    <t xml:space="preserve">Amargo de mole o chile ancho</t>
  </si>
  <si>
    <t xml:space="preserve">B-039</t>
  </si>
  <si>
    <t xml:space="preserve">Tintura de hoja santa (casera)</t>
  </si>
  <si>
    <t xml:space="preserve">B-045</t>
  </si>
  <si>
    <t xml:space="preserve">Cerveza clara mexicana (lager/pilsner)</t>
  </si>
  <si>
    <t xml:space="preserve">Cervezas y fermentos</t>
  </si>
  <si>
    <t xml:space="preserve">B-046</t>
  </si>
  <si>
    <t xml:space="preserve">Cerveza oscura o ámbar mexicana</t>
  </si>
  <si>
    <t xml:space="preserve">B-047</t>
  </si>
  <si>
    <t xml:space="preserve">Cerveza de jengibre (ginger beer)</t>
  </si>
  <si>
    <t xml:space="preserve">B-048</t>
  </si>
  <si>
    <t xml:space="preserve">Pulque blanco natural</t>
  </si>
  <si>
    <t xml:space="preserve">B-049</t>
  </si>
  <si>
    <t xml:space="preserve">Tepache artesanal de piña</t>
  </si>
  <si>
    <t xml:space="preserve">B-050</t>
  </si>
  <si>
    <t xml:space="preserve">Tejuino artesanal de maíz</t>
  </si>
  <si>
    <t xml:space="preserve">B-055</t>
  </si>
  <si>
    <t xml:space="preserve">Refresco de cola con azúcar de caña</t>
  </si>
  <si>
    <t xml:space="preserve">Refrescos y mixers</t>
  </si>
  <si>
    <t xml:space="preserve">B-056</t>
  </si>
  <si>
    <t xml:space="preserve">Refresco / soda de toronja artesanal</t>
  </si>
  <si>
    <t xml:space="preserve">B-057</t>
  </si>
  <si>
    <t xml:space="preserve">Agua mineral con gas</t>
  </si>
  <si>
    <t xml:space="preserve">B-058</t>
  </si>
  <si>
    <t xml:space="preserve">Agua tónica artesanal</t>
  </si>
  <si>
    <t xml:space="preserve">B-059</t>
  </si>
  <si>
    <t xml:space="preserve">Jugo de tomate con almeja (clamato)</t>
  </si>
  <si>
    <t xml:space="preserve">B-060</t>
  </si>
  <si>
    <t xml:space="preserve">Jugo de tomate natural</t>
  </si>
  <si>
    <t xml:space="preserve">B-061</t>
  </si>
  <si>
    <t xml:space="preserve">Agua purificada</t>
  </si>
  <si>
    <t xml:space="preserve">B-062</t>
  </si>
  <si>
    <t xml:space="preserve">Sangrita artesanal preparada</t>
  </si>
  <si>
    <t xml:space="preserve">B-070</t>
  </si>
  <si>
    <t xml:space="preserve">Limón criollo (jugo neto)</t>
  </si>
  <si>
    <t xml:space="preserve">Cítricos, jugos y pulpas</t>
  </si>
  <si>
    <t xml:space="preserve">B-071</t>
  </si>
  <si>
    <t xml:space="preserve">Lima verde (jugo neto)</t>
  </si>
  <si>
    <t xml:space="preserve">B-072</t>
  </si>
  <si>
    <t xml:space="preserve">Limón amarillo (jugo neto)</t>
  </si>
  <si>
    <t xml:space="preserve">B-073</t>
  </si>
  <si>
    <t xml:space="preserve">Naranja dulce (jugo neto)</t>
  </si>
  <si>
    <t xml:space="preserve">B-074</t>
  </si>
  <si>
    <t xml:space="preserve">Naranja agria (jugo neto)</t>
  </si>
  <si>
    <t xml:space="preserve">B-075</t>
  </si>
  <si>
    <t xml:space="preserve">Toronja rosa (jugo neto)</t>
  </si>
  <si>
    <t xml:space="preserve">B-076</t>
  </si>
  <si>
    <t xml:space="preserve">Toronja blanca (jugo neto)</t>
  </si>
  <si>
    <t xml:space="preserve">B-077</t>
  </si>
  <si>
    <t xml:space="preserve">Piña fresca (jugo o pulpa)</t>
  </si>
  <si>
    <t xml:space="preserve">B-078</t>
  </si>
  <si>
    <t xml:space="preserve">Manzana verde (jugo neto)</t>
  </si>
  <si>
    <t xml:space="preserve">B-079</t>
  </si>
  <si>
    <t xml:space="preserve">Apio verde (jugo neto)</t>
  </si>
  <si>
    <t xml:space="preserve">B-080</t>
  </si>
  <si>
    <t xml:space="preserve">Betabel asado (jugo concentrado)</t>
  </si>
  <si>
    <t xml:space="preserve">B-081</t>
  </si>
  <si>
    <t xml:space="preserve">Pulpa de mango Ataulfo</t>
  </si>
  <si>
    <t xml:space="preserve">g</t>
  </si>
  <si>
    <t xml:space="preserve">B-082</t>
  </si>
  <si>
    <t xml:space="preserve">Pulpa de sandía</t>
  </si>
  <si>
    <t xml:space="preserve">B-083</t>
  </si>
  <si>
    <t xml:space="preserve">Pulpa de aguacate Hass</t>
  </si>
  <si>
    <t xml:space="preserve">B-084</t>
  </si>
  <si>
    <t xml:space="preserve">Concentrado de tamarindo natural</t>
  </si>
  <si>
    <t xml:space="preserve">B-085</t>
  </si>
  <si>
    <t xml:space="preserve">Concentrado de flor de jamaica</t>
  </si>
  <si>
    <t xml:space="preserve">B-086</t>
  </si>
  <si>
    <t xml:space="preserve">Pepino verde</t>
  </si>
  <si>
    <t xml:space="preserve">B-087</t>
  </si>
  <si>
    <t xml:space="preserve">Chamoy casero (pulpa densa)</t>
  </si>
  <si>
    <t xml:space="preserve">B-088</t>
  </si>
  <si>
    <t xml:space="preserve">Guayaba rosa</t>
  </si>
  <si>
    <t xml:space="preserve">B-095</t>
  </si>
  <si>
    <t xml:space="preserve">Jarabe simple de caña (casero 1:1)</t>
  </si>
  <si>
    <t xml:space="preserve">Jarabes y endulzantes</t>
  </si>
  <si>
    <t xml:space="preserve">B-096</t>
  </si>
  <si>
    <t xml:space="preserve">Jarabe de agave orgánico</t>
  </si>
  <si>
    <t xml:space="preserve">B-097</t>
  </si>
  <si>
    <t xml:space="preserve">Miel de agave pura</t>
  </si>
  <si>
    <t xml:space="preserve">B-098</t>
  </si>
  <si>
    <t xml:space="preserve">Jarabe de piloncillo (casero)</t>
  </si>
  <si>
    <t xml:space="preserve">B-099</t>
  </si>
  <si>
    <t xml:space="preserve">Miel de mezquite</t>
  </si>
  <si>
    <t xml:space="preserve">B-100</t>
  </si>
  <si>
    <t xml:space="preserve">Granadina casera</t>
  </si>
  <si>
    <t xml:space="preserve">B-101</t>
  </si>
  <si>
    <t xml:space="preserve">Jarabe artesanal de romero</t>
  </si>
  <si>
    <t xml:space="preserve">B-102</t>
  </si>
  <si>
    <t xml:space="preserve">Jarabe de especias cálidas</t>
  </si>
  <si>
    <t xml:space="preserve">B-103</t>
  </si>
  <si>
    <t xml:space="preserve">Jarabe denso de guayaba rosa</t>
  </si>
  <si>
    <t xml:space="preserve">B-104</t>
  </si>
  <si>
    <t xml:space="preserve">Jarabe denso de pitahaya</t>
  </si>
  <si>
    <t xml:space="preserve">B-105</t>
  </si>
  <si>
    <t xml:space="preserve">Jarabe de tamarindo agridulce</t>
  </si>
  <si>
    <t xml:space="preserve">B-106</t>
  </si>
  <si>
    <t xml:space="preserve">Leche condensada</t>
  </si>
  <si>
    <t xml:space="preserve">B-107</t>
  </si>
  <si>
    <t xml:space="preserve">Leche evaporada</t>
  </si>
  <si>
    <t xml:space="preserve">B-115</t>
  </si>
  <si>
    <t xml:space="preserve">Flor de sal de Colima</t>
  </si>
  <si>
    <t xml:space="preserve">Sales, chiles y especias</t>
  </si>
  <si>
    <t xml:space="preserve">B-116</t>
  </si>
  <si>
    <t xml:space="preserve">Sal marina fina o de grano</t>
  </si>
  <si>
    <t xml:space="preserve">B-117</t>
  </si>
  <si>
    <t xml:space="preserve">Sal de gusano de maguey</t>
  </si>
  <si>
    <t xml:space="preserve">B-118</t>
  </si>
  <si>
    <t xml:space="preserve">Sal de hormiga chicatana</t>
  </si>
  <si>
    <t xml:space="preserve">B-119</t>
  </si>
  <si>
    <t xml:space="preserve">Chile piquín en polvo con sal y ácido cítrico</t>
  </si>
  <si>
    <t xml:space="preserve">B-120</t>
  </si>
  <si>
    <t xml:space="preserve">Chile morita seco</t>
  </si>
  <si>
    <t xml:space="preserve">B-121</t>
  </si>
  <si>
    <t xml:space="preserve">Chile pasilla seco</t>
  </si>
  <si>
    <t xml:space="preserve">B-122</t>
  </si>
  <si>
    <t xml:space="preserve">Chile habanero fresco</t>
  </si>
  <si>
    <t xml:space="preserve">B-123</t>
  </si>
  <si>
    <t xml:space="preserve">Chile serrano fresco</t>
  </si>
  <si>
    <t xml:space="preserve">B-124</t>
  </si>
  <si>
    <t xml:space="preserve">Chile chiltepín seco</t>
  </si>
  <si>
    <t xml:space="preserve">B-125</t>
  </si>
  <si>
    <t xml:space="preserve">Canela de Ceilán</t>
  </si>
  <si>
    <t xml:space="preserve">B-126</t>
  </si>
  <si>
    <t xml:space="preserve">Pimienta negra</t>
  </si>
  <si>
    <t xml:space="preserve">B-127</t>
  </si>
  <si>
    <t xml:space="preserve">Sal de apio</t>
  </si>
  <si>
    <t xml:space="preserve">B-128</t>
  </si>
  <si>
    <t xml:space="preserve">Cacao puro en polvo</t>
  </si>
  <si>
    <t xml:space="preserve">B-129</t>
  </si>
  <si>
    <t xml:space="preserve">Chocolate de metate 70%</t>
  </si>
  <si>
    <t xml:space="preserve">B-130</t>
  </si>
  <si>
    <t xml:space="preserve">Café molido de altura</t>
  </si>
  <si>
    <t xml:space="preserve">B-131</t>
  </si>
  <si>
    <t xml:space="preserve">Concentrado frío de café de olla</t>
  </si>
  <si>
    <t xml:space="preserve">B-132</t>
  </si>
  <si>
    <t xml:space="preserve">Avena en hojuelas</t>
  </si>
  <si>
    <t xml:space="preserve">B-133</t>
  </si>
  <si>
    <t xml:space="preserve">Copal blanco ceremonial y ocote</t>
  </si>
  <si>
    <t xml:space="preserve">B-140</t>
  </si>
  <si>
    <t xml:space="preserve">Salsa inglesa</t>
  </si>
  <si>
    <t xml:space="preserve">Salsas y sazonadores</t>
  </si>
  <si>
    <t xml:space="preserve">B-141</t>
  </si>
  <si>
    <t xml:space="preserve">Salsa de soya oscura</t>
  </si>
  <si>
    <t xml:space="preserve">B-142</t>
  </si>
  <si>
    <t xml:space="preserve">Jugo sazonador</t>
  </si>
  <si>
    <t xml:space="preserve">B-143</t>
  </si>
  <si>
    <t xml:space="preserve">Salsa botanera / habanera picante</t>
  </si>
  <si>
    <t xml:space="preserve">B-144</t>
  </si>
  <si>
    <t xml:space="preserve">Salsa negra estilo sinaloense</t>
  </si>
  <si>
    <t xml:space="preserve">B-150</t>
  </si>
  <si>
    <t xml:space="preserve">Hierbabuena o menta fresca</t>
  </si>
  <si>
    <t xml:space="preserve">Garnituras y complementos</t>
  </si>
  <si>
    <t xml:space="preserve">B-151</t>
  </si>
  <si>
    <t xml:space="preserve">Romero fresco</t>
  </si>
  <si>
    <t xml:space="preserve">B-152</t>
  </si>
  <si>
    <t xml:space="preserve">Tomillo o salvia fresca</t>
  </si>
  <si>
    <t xml:space="preserve">B-153</t>
  </si>
  <si>
    <t xml:space="preserve">Hoja santa (acuyo) fresca</t>
  </si>
  <si>
    <t xml:space="preserve">B-154</t>
  </si>
  <si>
    <t xml:space="preserve">Cilantro fresco</t>
  </si>
  <si>
    <t xml:space="preserve">B-155</t>
  </si>
  <si>
    <t xml:space="preserve">Cítrico deshidratado en rodajas</t>
  </si>
  <si>
    <t xml:space="preserve">B-156</t>
  </si>
  <si>
    <t xml:space="preserve">Fruta deshidratada para decoración</t>
  </si>
  <si>
    <t xml:space="preserve">B-157</t>
  </si>
  <si>
    <t xml:space="preserve">Cereza al marasquino artesanal</t>
  </si>
  <si>
    <t xml:space="preserve">B-158</t>
  </si>
  <si>
    <t xml:space="preserve">Caña de azúcar pelada</t>
  </si>
  <si>
    <t xml:space="preserve">B-159</t>
  </si>
  <si>
    <t xml:space="preserve">Apio en rama</t>
  </si>
  <si>
    <t xml:space="preserve">B-160</t>
  </si>
  <si>
    <t xml:space="preserve">Rábano y vegetal fresco de decoración</t>
  </si>
  <si>
    <t xml:space="preserve">B-161</t>
  </si>
  <si>
    <t xml:space="preserve">Camarón seco limpio</t>
  </si>
  <si>
    <t xml:space="preserve">B-162</t>
  </si>
  <si>
    <t xml:space="preserve">Cecina o carne seca en tiras</t>
  </si>
  <si>
    <t xml:space="preserve">B-163</t>
  </si>
  <si>
    <t xml:space="preserve">Gomitas de grenetina</t>
  </si>
  <si>
    <t xml:space="preserve">B-164</t>
  </si>
  <si>
    <t xml:space="preserve">Tamarindo confitado en banderilla</t>
  </si>
  <si>
    <t xml:space="preserve">B-165</t>
  </si>
  <si>
    <t xml:space="preserve">Nieve artesanal (limón o mango)</t>
  </si>
  <si>
    <t xml:space="preserve">B-166</t>
  </si>
  <si>
    <t xml:space="preserve">Clara de huevo pasteurizada</t>
  </si>
  <si>
    <t xml:space="preserve">B-167</t>
  </si>
  <si>
    <t xml:space="preserve">Huevo entero pasteurizado</t>
  </si>
  <si>
    <t xml:space="preserve">B-168</t>
  </si>
  <si>
    <t xml:space="preserve">Pica de bambú, popote y accesorio de servicio</t>
  </si>
  <si>
    <t xml:space="preserve">pz</t>
  </si>
  <si>
    <t xml:space="preserve">B-169</t>
  </si>
  <si>
    <t xml:space="preserve">Naranja fresca (pieza para twist y rodaja)</t>
  </si>
  <si>
    <t xml:space="preserve">B-170</t>
  </si>
  <si>
    <t xml:space="preserve">Toronja fresca (pieza para media luna)</t>
  </si>
  <si>
    <t xml:space="preserve">B-171</t>
  </si>
  <si>
    <t xml:space="preserve">Limón / lima fresco (pieza para rodaja)</t>
  </si>
  <si>
    <t xml:space="preserve">B-172</t>
  </si>
  <si>
    <t xml:space="preserve">Piña fresca (pieza para garnitura)</t>
  </si>
  <si>
    <t xml:space="preserve">B-173</t>
  </si>
  <si>
    <t xml:space="preserve">Flor de jamaica deshidratada confitada</t>
  </si>
  <si>
    <t xml:space="preserve">B-174</t>
  </si>
  <si>
    <t xml:space="preserve">Vaina de tamarindo seco</t>
  </si>
  <si>
    <t xml:space="preserve">Precios de referencia CDMX 2026. Ilustrativos, no cotizaciones.</t>
  </si>
  <si>
    <t xml:space="preserve">MÉTODOS DE BARRA</t>
  </si>
  <si>
    <t xml:space="preserve">Los seis métodos T-1 a T-6 y las seis preparaciones de casa.</t>
  </si>
  <si>
    <t xml:space="preserve">Método base</t>
  </si>
  <si>
    <t xml:space="preserve">Qué es</t>
  </si>
  <si>
    <t xml:space="preserve">Fichas</t>
  </si>
  <si>
    <t xml:space="preserve">Costo promedio de insumos</t>
  </si>
  <si>
    <t xml:space="preserve">Costo mínimo</t>
  </si>
  <si>
    <t xml:space="preserve">Costo máximo</t>
  </si>
  <si>
    <t xml:space="preserve">T-1</t>
  </si>
  <si>
    <t xml:space="preserve">Construido directo en vaso (build)</t>
  </si>
  <si>
    <t xml:space="preserve">Todo se integra en el propio vaso sobre hielo. La dilución es lenta y progresiva: el hielo macizo es parte de la receta, no un relleno.</t>
  </si>
  <si>
    <t xml:space="preserve">T-2</t>
  </si>
  <si>
    <t xml:space="preserve">Agitado (shake)</t>
  </si>
  <si>
    <t xml:space="preserve">De 10 a 12 segundos con hielo macizo. Airea, enfría y diluye entre 25 y 30 %. Obligatorio cuando hay cítrico, jarabe denso, pulpa o lácteo.</t>
  </si>
  <si>
    <t xml:space="preserve">T-3</t>
  </si>
  <si>
    <t xml:space="preserve">Refrescado en vaso mezclador (stir)</t>
  </si>
  <si>
    <t xml:space="preserve">De 20 a 30 segundos con cuchara de bar. Enfría sin airear y da textura sedosa: es para tragos de solo destilados y licores.</t>
  </si>
  <si>
    <t xml:space="preserve">T-4</t>
  </si>
  <si>
    <t xml:space="preserve">Macerado (muddle) y agitado</t>
  </si>
  <si>
    <t xml:space="preserve">Se rompe la fruta o la hierba con el mazo, sin triturarla, para liberar aceites esenciales antes de agitar. Machacar de más amarga.</t>
  </si>
  <si>
    <t xml:space="preserve">T-5</t>
  </si>
  <si>
    <t xml:space="preserve">Emulsión y dry shake</t>
  </si>
  <si>
    <t xml:space="preserve">Primer agitado sin hielo para desnaturalizar la proteína de la clara o el huevo, segundo con hielo para enfriar. Da la corona espumosa estable.</t>
  </si>
  <si>
    <t xml:space="preserve">T-6</t>
  </si>
  <si>
    <t xml:space="preserve">Montaje por capas, ahumado e infusión</t>
  </si>
  <si>
    <t xml:space="preserve">Gradientes de densidad, campanas de humo, flameados, infusiones térmicas y esferas de nieve. Es el grupo de mayor tiempo de barra y mayor impacto visual.</t>
  </si>
  <si>
    <t xml:space="preserve">PREPARACIONES DE CASA</t>
  </si>
  <si>
    <t xml:space="preserve">Preparación de casa</t>
  </si>
  <si>
    <t xml:space="preserve">P-1</t>
  </si>
  <si>
    <t xml:space="preserve">Jarabes de casa</t>
  </si>
  <si>
    <t xml:space="preserve">Simple de caña 1:1, agave 2:1, piloncillo, especias, fruta. Se hacen en lote, cuestan centavos por trago y son el ajuste fino del balance dulce-ácido.</t>
  </si>
  <si>
    <t xml:space="preserve">P-2</t>
  </si>
  <si>
    <t xml:space="preserve">Escarchados y sales de autor</t>
  </si>
  <si>
    <t xml:space="preserve">Flor de sal de Colima, sal de gusano, chicatana, chile piquín, cenizas de hierba. Media escarcha, tercio de borde o borde completo: se decide por diseño, no por costumbre.</t>
  </si>
  <si>
    <t xml:space="preserve">P-3</t>
  </si>
  <si>
    <t xml:space="preserve">Jugos frescos y clarificados</t>
  </si>
  <si>
    <t xml:space="preserve">Exprimidos del día y colados. Un jugo de más de seis horas ya perdió aroma y ganó amargor. Es el insumo más perecedero de la barra y el que más merma genera.</t>
  </si>
  <si>
    <t xml:space="preserve">P-4</t>
  </si>
  <si>
    <t xml:space="preserve">Infusiones, tinturas y ahumados</t>
  </si>
  <si>
    <t xml:space="preserve">Chiles, botánicos, café de olla, hoja santa. Tinturas al destilado neutro y ahumado por campana o flameado directo. Bajo costo, alto valor percibido.</t>
  </si>
  <si>
    <t xml:space="preserve">P-5</t>
  </si>
  <si>
    <t xml:space="preserve">Fermentos de casa</t>
  </si>
  <si>
    <t xml:space="preserve">Tepache de cáscara de piña, curados de pulque, tejuino de maíz nixtamalizado. Requieren control sanitario y rotación estricta: son producto vivo.</t>
  </si>
  <si>
    <t xml:space="preserve">P-6</t>
  </si>
  <si>
    <t xml:space="preserve">Garnituras funcionales y deshidratados</t>
  </si>
  <si>
    <t xml:space="preserve">Rodajas deshidratadas, chips, twists, banderillas. Funcional quiere decir que aporta aroma al acercar el vaso, no solo que se ve bien.</t>
  </si>
  <si>
    <t xml:space="preserve">INGREDIENTES</t>
  </si>
  <si>
    <t xml:space="preserve">Cada línea del manual normalizada contra el catálogo de barra. La columna «Texto original del chef» permite auditar la equivalencia.</t>
  </si>
  <si>
    <t xml:space="preserve">#</t>
  </si>
  <si>
    <t xml:space="preserve">Ficha</t>
  </si>
  <si>
    <t xml:space="preserve">Texto original del chef</t>
  </si>
  <si>
    <t xml:space="preserve">Clave insumo</t>
  </si>
  <si>
    <t xml:space="preserve">Cantidad</t>
  </si>
  <si>
    <t xml:space="preserve">Costo de la línea</t>
  </si>
  <si>
    <t xml:space="preserve">Equivalencia asumida</t>
  </si>
  <si>
    <t xml:space="preserve">Margarita Clásica 1942</t>
  </si>
  <si>
    <t xml:space="preserve">60 ml (2.0 oz) Tequila Blanco 100% puro de agave (40% ABV)</t>
  </si>
  <si>
    <t xml:space="preserve">30 ml (1.0 oz) Licor de naranja francés tipo triple sec (Cointreau)</t>
  </si>
  <si>
    <t xml:space="preserve">22 ml (0.75 oz) Jugo fresco de lima verde recién exprimido y colado</t>
  </si>
  <si>
    <t xml:space="preserve">8 ml (0.25 oz) Jarabe de agave ligero (dilución 2:1 agave/agua para balancear la acidez cítrica)</t>
  </si>
  <si>
    <t xml:space="preserve">1 g Flor de sal de Colima o sal marina de grano fino (media escarcha en el borde)</t>
  </si>
  <si>
    <t xml:space="preserve">1 Rodaja deshidratada de lima verde para decorar</t>
  </si>
  <si>
    <t xml:space="preserve">1 rodaja deshidratada ≈ 4 g</t>
  </si>
  <si>
    <t xml:space="preserve">Paloma Tradicional con Refresco de Toronja Artesanal y Sal de Colima</t>
  </si>
  <si>
    <t xml:space="preserve">60 ml (2.0 oz) Tequila Blanco o Tequila Reposado 100% de agave</t>
  </si>
  <si>
    <t xml:space="preserve">20 ml (0.7 oz) Jugo fresco de toronja rosa colado</t>
  </si>
  <si>
    <t xml:space="preserve">15 ml (0.5 oz) Jugo fresco de limón criollo colado</t>
  </si>
  <si>
    <t xml:space="preserve">120 ml (4.0 oz) Refresco artesanal de toronja (o soda de toronja con azúcar de caña)</t>
  </si>
  <si>
    <t xml:space="preserve">1 g Sal marina fina disuelta directamente en el fondo</t>
  </si>
  <si>
    <t xml:space="preserve">1 Media luna de toronja fresca y sal de Colima escarchada en el borde exterior</t>
  </si>
  <si>
    <t xml:space="preserve">media luna / twist de toronja ≈ 45 g</t>
  </si>
  <si>
    <t xml:space="preserve">Tequila Sunrise Estilo Cantina Clásica</t>
  </si>
  <si>
    <t xml:space="preserve">60 ml (2.0 oz) Tequila Blanco 100% agave</t>
  </si>
  <si>
    <t xml:space="preserve">120 ml (4.0 oz) Jugo natural de naranja recién exprimido y colado dos veces (sin pulpa flotante)</t>
  </si>
  <si>
    <t xml:space="preserve">20 ml (0.7 oz) Granadina casera de jugo de granada roja y azúcar (proporción 1:1 con 2 gotas de agua de azahar)</t>
  </si>
  <si>
    <t xml:space="preserve">1 Media luna de naranja fresca y 1 cereza al marasquino artesanal</t>
  </si>
  <si>
    <t xml:space="preserve">media luna / twist de naranja ≈ 28 g</t>
  </si>
  <si>
    <t xml:space="preserve">Tommy’s Margarita</t>
  </si>
  <si>
    <t xml:space="preserve">60 ml (2.0 oz) Tequila Reposado 100% agave (notas amaderadas suaves y vainilla)</t>
  </si>
  <si>
    <t xml:space="preserve">30 ml (1.0 oz) Jugo fresco de lima verde recién exprimido</t>
  </si>
  <si>
    <t xml:space="preserve">15 ml (0.5 oz) Miel de agave pura disuelta con agua purificada en proporción 1:1 (jarabe de agave 50° Brix)</t>
  </si>
  <si>
    <t xml:space="preserve">1 Gajo de lima verde exprimido y depositado sobre el hielo</t>
  </si>
  <si>
    <t xml:space="preserve">rodaja o gajo de cítrico ≈ 12 g</t>
  </si>
  <si>
    <t xml:space="preserve">Batanga de Tequila Reposado, Refresco de Cola y Sal en Navaja</t>
  </si>
  <si>
    <t xml:space="preserve">60 ml (2.0 oz) Tequila Reposado (o Tequila Blanco de perfil rústico)</t>
  </si>
  <si>
    <t xml:space="preserve">15 ml (0.5 oz) Jugo fresco de limón criollo recién exprimido</t>
  </si>
  <si>
    <t xml:space="preserve">140 ml Refresco de cola tradicional endulzado con azúcar de caña mexicana</t>
  </si>
  <si>
    <t xml:space="preserve">1.5 g Flor de sal de Colima (para escarchado total del borde)</t>
  </si>
  <si>
    <t xml:space="preserve">1 Cuchillo de cocina de acero al carbono grande (para mezclar)</t>
  </si>
  <si>
    <t xml:space="preserve">utensilio de barra: no se consume, costo cero por trago</t>
  </si>
  <si>
    <t xml:space="preserve">1 Rodaja gruesa de limón criollo dentro del trago</t>
  </si>
  <si>
    <t xml:space="preserve">Charro Negro Clásico al Limón Criollo</t>
  </si>
  <si>
    <t xml:space="preserve">60 ml (2.0 oz) Tequila Reposado 100% de agave (mínimo 6 meses en barrica)</t>
  </si>
  <si>
    <t xml:space="preserve">15 ml (0.5 oz) Jugo fresco de limón criollo recién exprimido y colado</t>
  </si>
  <si>
    <t xml:space="preserve">130 ml Refresco de cola tradicional con azúcar de caña</t>
  </si>
  <si>
    <t xml:space="preserve">1 g Sal fina marina (para media escarcha delgada)</t>
  </si>
  <si>
    <t xml:space="preserve">1 Media luna de limón criollo dentro del vaso</t>
  </si>
  <si>
    <t xml:space="preserve">Vampiro de Tlaquepaque con Sangrita Casera de Tomate y Naranja</t>
  </si>
  <si>
    <t xml:space="preserve">60 ml Jugo de tomate natural colado</t>
  </si>
  <si>
    <t xml:space="preserve">30 ml Jugo fresco de naranja dulce recién exprimido</t>
  </si>
  <si>
    <t xml:space="preserve">15 ml Jugo fresco de limón criollo</t>
  </si>
  <si>
    <t xml:space="preserve">5 ml Salsa inglesa (Worcestershire)</t>
  </si>
  <si>
    <t xml:space="preserve">5 ml Salsa botanera picante de chile de árbol o salsa Maggi</t>
  </si>
  <si>
    <t xml:space="preserve">1 g Sal marina fina y 1 pizca de pimienta negra molida Para el Cóctel:</t>
  </si>
  <si>
    <t xml:space="preserve">60 ml (2.0 oz) Tequila Blanco o Reposado 100% de agave</t>
  </si>
  <si>
    <t xml:space="preserve">90 ml Sangrita artesanal preparada</t>
  </si>
  <si>
    <t xml:space="preserve">60 ml Refresco de toronja frío</t>
  </si>
  <si>
    <t xml:space="preserve">2 g Sal de chile piquín con sal marina (para escarcha completa)</t>
  </si>
  <si>
    <t xml:space="preserve">1 Rodaja de limón criollo</t>
  </si>
  <si>
    <t xml:space="preserve">Matador Clásico</t>
  </si>
  <si>
    <t xml:space="preserve">60 ml (2.0 oz) Tequila Blanco 100% de agave (perfil herbal y pimienta blanca)</t>
  </si>
  <si>
    <t xml:space="preserve">45 ml (1.5 oz) Jugo fresco de piña miel (clarificado o colado fino)</t>
  </si>
  <si>
    <t xml:space="preserve">15 ml (0.5 oz) Jugo fresco de lima verde recién exprimido</t>
  </si>
  <si>
    <t xml:space="preserve">10 ml (0.3 oz) Jarabe simple de azúcar de caña (1:1)</t>
  </si>
  <si>
    <t xml:space="preserve">1 Hoja tierna de corona de piña lavada y seca para decorar</t>
  </si>
  <si>
    <t xml:space="preserve">garnitura de fruta fresca ≈ 25 g</t>
  </si>
  <si>
    <t xml:space="preserve">Tequila Sour con Clara Pasteurizada y Tintura de Angostura</t>
  </si>
  <si>
    <t xml:space="preserve">60 ml (2.0 oz) Tequila Reposado 100% de agave</t>
  </si>
  <si>
    <t xml:space="preserve">30 ml (1.0 oz) Jugo fresco de limón amarillo o lima colado</t>
  </si>
  <si>
    <t xml:space="preserve">20 ml (0.7 oz) Jarabe simple de caña (1:1)</t>
  </si>
  <si>
    <t xml:space="preserve">15 ml (0.5 oz) Clara de huevo pasteurizada (o albúmina rehidratada)</t>
  </si>
  <si>
    <t xml:space="preserve">3 Gotas de amargo de Angostura (para aromatizar la espuma)</t>
  </si>
  <si>
    <t xml:space="preserve">1 gota ≈ 0.05 ml</t>
  </si>
  <si>
    <t xml:space="preserve">Mezcalita de Cítricos Ahumados con Escarchado de Sal de Gusano</t>
  </si>
  <si>
    <t xml:space="preserve">60 ml (2.0 oz) Mezcal artesanal Espadín joven (45% ABV, notas minerales y ahumadas de horno cónico)</t>
  </si>
  <si>
    <t xml:space="preserve">25 ml (0.8 oz) Licor de naranja triple sec o licor de naranja artesanal mexicano</t>
  </si>
  <si>
    <t xml:space="preserve">20 ml (0.7 oz) Jugo fresco de naranja dulce colado</t>
  </si>
  <si>
    <t xml:space="preserve">10 ml (0.3 oz) Jarabe de agave orgánico (2:1)</t>
  </si>
  <si>
    <t xml:space="preserve">2 g Sal de gusano de maguey artesanal (mezcla de sal marina, chile seco y larva de chinicuil tostada)</t>
  </si>
  <si>
    <t xml:space="preserve">1 Media luna de naranja deshidratada o fresca</t>
  </si>
  <si>
    <t xml:space="preserve">Oaxaca Old Fashioned</t>
  </si>
  <si>
    <t xml:space="preserve">45 ml (1.5 oz) Tequila Reposado 100% de agave</t>
  </si>
  <si>
    <t xml:space="preserve">15 ml (0.5 oz) Mezcal artesanal Espadín joven (45% ABV)</t>
  </si>
  <si>
    <t xml:space="preserve">10 ml (0.3 oz) Miel de agave pura diluida 2:1 con agua purificada</t>
  </si>
  <si>
    <t xml:space="preserve">2 Golpes (dashes / aprox. 1.5 ml) Amargo de Angostura</t>
  </si>
  <si>
    <t xml:space="preserve">golpe (dash) = 0.75 ml, según el manual</t>
  </si>
  <si>
    <t xml:space="preserve">1 Golpe (dash / aprox. 0.8 ml) Amargo de chocolate amargo mexicano (o mole bitter)</t>
  </si>
  <si>
    <t xml:space="preserve">1 Piel ancha de naranja fresca (twist para aromatizar y flamear)</t>
  </si>
  <si>
    <t xml:space="preserve">Naked and Famous</t>
  </si>
  <si>
    <t xml:space="preserve">22.5 ml (0.75 oz) Mezcal artesanal Espadín joven</t>
  </si>
  <si>
    <t xml:space="preserve">22.5 ml (0.75 oz) Aperol (amargo botánico italiano de naranja)</t>
  </si>
  <si>
    <t xml:space="preserve">22.5 ml (0.75 oz) Chartreuse Amarillo (licor de hierbas francés de perfil meloso y azafranado)</t>
  </si>
  <si>
    <t xml:space="preserve">22.5 ml (0.75 oz) Jugo fresco de lima verde recién exprimido y colado fino</t>
  </si>
  <si>
    <t xml:space="preserve">1 Rodaja delgada de lima deshidratada para el servicio</t>
  </si>
  <si>
    <t xml:space="preserve">Smoky Paloma con Mezcal de Horno y Toronja Rosa</t>
  </si>
  <si>
    <t xml:space="preserve">60 ml (2.0 oz) Mezcal artesanal Espadín (con marcado carácter de horno cónico de tierra)</t>
  </si>
  <si>
    <t xml:space="preserve">25 ml (0.8 oz) Jugo fresco de toronja rosa recién exprimido y clarificado/colado</t>
  </si>
  <si>
    <t xml:space="preserve">15 ml (0.5 oz) Jugo fresco de limón criollo</t>
  </si>
  <si>
    <t xml:space="preserve">10 ml (0.3 oz) Jarabe de agave ligero (2:1)</t>
  </si>
  <si>
    <t xml:space="preserve">110 ml Soda o refresco artesanal de toronja rosa frío</t>
  </si>
  <si>
    <t xml:space="preserve">1.5 g Sal de gusano con flor de sal marina (media escarcha exterior)</t>
  </si>
  <si>
    <t xml:space="preserve">1 Media luna de toronja rosa fresca</t>
  </si>
  <si>
    <t xml:space="preserve">Mezcalita de Piña Tatemada al Comal y Chile Serrano</t>
  </si>
  <si>
    <t xml:space="preserve">60 ml (2.0 oz) Mezcal artesanal Espadín joven</t>
  </si>
  <si>
    <t xml:space="preserve">45 ml (1.5 oz) Jugo fresco de piña tatemada (rodajas asadas al comal hasta dorar y licuadas/coladas)</t>
  </si>
  <si>
    <t xml:space="preserve">20 ml (0.7 oz) Jugo fresco de lima verde recién exprimido</t>
  </si>
  <si>
    <t xml:space="preserve">15 ml (0.5 oz) Jarabe de agave orgánico (2:1)</t>
  </si>
  <si>
    <t xml:space="preserve">2 Rodajas muy delgadas de chile serrano verde fresco (sin semillas)</t>
  </si>
  <si>
    <t xml:space="preserve">2 rodajas de serrano ≈ 4 g</t>
  </si>
  <si>
    <t xml:space="preserve">2 g Sal de chile piquín y sal marina (media escarcha)</t>
  </si>
  <si>
    <t xml:space="preserve">1 Triángulo de piña tatemada para decorar</t>
  </si>
  <si>
    <t xml:space="preserve">Mezcalita de Tamarindo Concentrado con Sal de Hormiga Chicatana</t>
  </si>
  <si>
    <t xml:space="preserve">60 ml (2.0 oz) Mezcal artesanal Espadín o Tobalá joven</t>
  </si>
  <si>
    <t xml:space="preserve">40 ml (1.3 oz) Concentrado o pulpa fluida de tamarindo natural (hervido y colado sin sal ni azúcar añadida)</t>
  </si>
  <si>
    <t xml:space="preserve">20 ml (0.7 oz) Jarabe simple de piloncillo (1:1 piloncillo disuelto en agua tibia)</t>
  </si>
  <si>
    <t xml:space="preserve">2 g Sal de hormiga chicatana tostada artesanal (mezcla de chicatana oaxaqueña molida, chile costeño y sal marina)</t>
  </si>
  <si>
    <t xml:space="preserve">1 Vaina limpia de tamarindo seco como removedor</t>
  </si>
  <si>
    <t xml:space="preserve">1 vaina de tamarindo ≈ 6 g</t>
  </si>
  <si>
    <t xml:space="preserve">Mezcal Mule con Cerveza de Jengibre y Menta Fresca</t>
  </si>
  <si>
    <t xml:space="preserve">60 ml (2.0 oz) Mezcal artesanal Espadín joven (45% ABV)</t>
  </si>
  <si>
    <t xml:space="preserve">20 ml (0.7 oz) Jugo fresco de lima verde recién exprimido y colado</t>
  </si>
  <si>
    <t xml:space="preserve">100 ml Cerveza de jengibre (Ginger Beer artesanal picante, bien fría)</t>
  </si>
  <si>
    <t xml:space="preserve">1 Ramillete de menta fresca o hierbabuena de huerto</t>
  </si>
  <si>
    <t xml:space="preserve">ramillete de hierba fresca ≈ 4 g</t>
  </si>
  <si>
    <t xml:space="preserve">1 Rodaja de lima deshidratada</t>
  </si>
  <si>
    <t xml:space="preserve">Sangre Oaxaqueña (Mezcal, Betabel Asado y Naranja)</t>
  </si>
  <si>
    <t xml:space="preserve">50 ml (1.7 oz) Mezcal artesanal Espadín joven</t>
  </si>
  <si>
    <t xml:space="preserve">35 ml (1.2 oz) Jugo concentrado de betabel asado (betabel horneado en papel aluminio, licuado y filtrado fino)</t>
  </si>
  <si>
    <t xml:space="preserve">25 ml (0.8 oz) Jugo fresco de naranja dulce recién exprimido</t>
  </si>
  <si>
    <t xml:space="preserve">15 ml (0.5 oz) Jarabe simple de caña (1:1)</t>
  </si>
  <si>
    <t xml:space="preserve">1.5 g Sal de ceniza o sal de gusano (media escarcha exterior)</t>
  </si>
  <si>
    <t xml:space="preserve">1 Chip crocante de betabel deshidratado</t>
  </si>
  <si>
    <t xml:space="preserve">1 lámina deshidratada ≈ 5 g</t>
  </si>
  <si>
    <t xml:space="preserve">El Chamuco (Mezcal, Limón, Agave y Chile Pasilla Flameado)</t>
  </si>
  <si>
    <t xml:space="preserve">60 ml (2.0 oz) Mezcal artesanal Tobalá o Espadín de graduación alta (47% ABV)</t>
  </si>
  <si>
    <t xml:space="preserve">25 ml (0.8 oz) Jugo fresco de lima verde recién exprimido y colado</t>
  </si>
  <si>
    <t xml:space="preserve">20 ml (0.7 oz) Jarabe de agave orgánico (2:1)</t>
  </si>
  <si>
    <t xml:space="preserve">1 Chile pasilla seco limpio (sin semillas)</t>
  </si>
  <si>
    <t xml:space="preserve">1 chile pasilla ≈ 5 g</t>
  </si>
  <si>
    <t xml:space="preserve">2 Golpes (dashes) Amargo de cacao amargo mexicano</t>
  </si>
  <si>
    <t xml:space="preserve">1 Pinza de bar metálica y soplete para el flameado</t>
  </si>
  <si>
    <t xml:space="preserve">Mojito Michoacano con Charanda Blanco y Hierbabuena de Huerto</t>
  </si>
  <si>
    <t xml:space="preserve">60 ml (2.0 oz) Charanda Blanco con Denominación de Origen Uruapan (destilado de jugo de caña, 40-45% ABV)</t>
  </si>
  <si>
    <t xml:space="preserve">25 ml (0.8 oz) Jugo fresco de limón criollo recién exprimido</t>
  </si>
  <si>
    <t xml:space="preserve">20 ml (0.7 oz) Jarabe simple de azúcar de caña pura (1:1)</t>
  </si>
  <si>
    <t xml:space="preserve">8 a 10 Hojas grandes de hierbabuena fresca limpia</t>
  </si>
  <si>
    <t xml:space="preserve">60 ml Agua mineral con gas carbónico fino (bien fría)</t>
  </si>
  <si>
    <t xml:space="preserve">1 Ramillete frondoso de hierbabuena y 1 rodaja de limón criollo</t>
  </si>
  <si>
    <t xml:space="preserve">Daiquiri Uruapan con Miel de Piloncillo y Limón Criollo</t>
  </si>
  <si>
    <t xml:space="preserve">60 ml (2.0 oz) Charanda Blanco o reposado en barrica de roble (D.O. Michoacán)</t>
  </si>
  <si>
    <t xml:space="preserve">30 ml (1.0 oz) Jugo fresco de limón criollo recién exprimido y colado dos veces</t>
  </si>
  <si>
    <t xml:space="preserve">20 ml (0.7 oz) Jarabe denso de piloncillo artesanal (proporción 2:1 piloncillo fundido en agua caliente con 1 pizca de sal)</t>
  </si>
  <si>
    <t xml:space="preserve">1 Rizo o moneda delgada de cáscara de limón criollo (para aromatizar)</t>
  </si>
  <si>
    <t xml:space="preserve">Raicilla Sour con Hoja Santa Fresca y Salvia</t>
  </si>
  <si>
    <t xml:space="preserve">60 ml (2.0 oz) Raicilla de la Costa o de la Sierra (agaves Maximiliana o Rhodacantha, 42-45% ABV)</t>
  </si>
  <si>
    <t xml:space="preserve">1/2 Hoja santa fresca mediana (acuyo) sin el tallo fibroso</t>
  </si>
  <si>
    <t xml:space="preserve">1/2 hoja santa ≈ 6 g</t>
  </si>
  <si>
    <t xml:space="preserve">25 ml (0.8 oz) Jugo fresco de lima verde colado</t>
  </si>
  <si>
    <t xml:space="preserve">15 ml (0.5 oz) Clara de huevo pasteurizada (o aquafaba)</t>
  </si>
  <si>
    <t xml:space="preserve">1 Hoja pequeña de salvia fresca y 1 gota de tintura de hoja santa para decorar</t>
  </si>
  <si>
    <t xml:space="preserve">Sotolita del Desierto Chihuahuense con Damiana y Romero</t>
  </si>
  <si>
    <t xml:space="preserve">50 ml (1.7 oz) Sotol artesanal de Chihuahua blanco o reposado (Dasylirion wheeleri, 45% ABV)</t>
  </si>
  <si>
    <t xml:space="preserve">15 ml (0.5 oz) Licor de Damiana tradicional de Baja California Sur</t>
  </si>
  <si>
    <t xml:space="preserve">25 ml (0.8 oz) Jugo fresco de toronja blanca colado</t>
  </si>
  <si>
    <t xml:space="preserve">10 ml (0.3 oz) Miel de mezquite diluida 2:1 con agua purificada</t>
  </si>
  <si>
    <t xml:space="preserve">1 Rama fresca de romero del desierto</t>
  </si>
  <si>
    <t xml:space="preserve">1 rama de romero ≈ 3 g</t>
  </si>
  <si>
    <t xml:space="preserve">1.5 g Sal de ceniza de romero y flor de sal de Colima (media escarcha)</t>
  </si>
  <si>
    <t xml:space="preserve">Pox Maya con Infusión de Café de Olla y Naranja Dulce</t>
  </si>
  <si>
    <t xml:space="preserve">50 ml (1.7 oz) Pox artesanal de San Juan Chamula, Chiapas (destilado de maíz criollo, caña y trigo, 40-42% ABV)</t>
  </si>
  <si>
    <t xml:space="preserve">35 ml (1.2 oz) Concentrado frío de café de olla (espresso o cold brew infusionado con canela y piloncillo)</t>
  </si>
  <si>
    <t xml:space="preserve">15 ml (0.5 oz) Licor de naranja artesanal mexicano o Cointreau</t>
  </si>
  <si>
    <t xml:space="preserve">10 ml (0.3 oz) Jarabe simple de piloncillo (1:1)</t>
  </si>
  <si>
    <t xml:space="preserve">2 Golpes (dashes) Amargo aromático de cacao</t>
  </si>
  <si>
    <t xml:space="preserve">1 Twist de piel de naranja dulce fresca y 1 varita pequeña de canela</t>
  </si>
  <si>
    <t xml:space="preserve">Bacanora Sunrise con Granadina de Pitahaya Silvestre</t>
  </si>
  <si>
    <t xml:space="preserve">60 ml (2.0 oz) Bacanora Blanco de Sonora (Agave angustifolia Haw, D.O. Sonora, 42-45% ABV)</t>
  </si>
  <si>
    <t xml:space="preserve">90 ml (3.0 oz) Jugo fresco de naranja agria o naranja valencia recién exprimido y colado fino</t>
  </si>
  <si>
    <t xml:space="preserve">25 ml (0.8 oz) Jarabe artesanal denso de pitahaya silvestre (pulpa de pitahaya roja cocida con azúcar y limón a 60° Brix)</t>
  </si>
  <si>
    <t xml:space="preserve">1 Rodaja delgada de pitahaya o naranja deshidratada para decorar</t>
  </si>
  <si>
    <t xml:space="preserve">Raicilla Collins con Tónica Artesanal y Toronja</t>
  </si>
  <si>
    <t xml:space="preserve">50 ml (1.7 oz) Raicilla de la Costa (Agave angustifolia o Rhodacantha de perfil herbal y frutal)</t>
  </si>
  <si>
    <t xml:space="preserve">25 ml (0.8 oz) Jugo fresco de toronja rosa colado</t>
  </si>
  <si>
    <t xml:space="preserve">80 ml Agua tónica artesanal de quinina natural (bien fría)</t>
  </si>
  <si>
    <t xml:space="preserve">1 Tira larga de piel de toronja (twist ancho) y 1 ramita de tomillo fresco</t>
  </si>
  <si>
    <t xml:space="preserve">Sotol Negroni con Vermut Rosso y Bitter Rojo</t>
  </si>
  <si>
    <t xml:space="preserve">30 ml (1.0 oz) Sotol artesanal de Chihuahua blanco (Dasylirion wheeleri, 45% ABV)</t>
  </si>
  <si>
    <t xml:space="preserve">30 ml (1.0 oz) Campari (o bitter rojo botánico de alta graduación)</t>
  </si>
  <si>
    <t xml:space="preserve">30 ml (1.0 oz) Vermut dulce rojo de alta gama (Vermouth Rosso)</t>
  </si>
  <si>
    <t xml:space="preserve">1 Twist ancho de piel de naranja fresca</t>
  </si>
  <si>
    <t xml:space="preserve">1 Rama corta de romero fresco ligeramente quemada</t>
  </si>
  <si>
    <t xml:space="preserve">Ponche de Charanda Añejo con Guayaba y Especias de Olla</t>
  </si>
  <si>
    <t xml:space="preserve">60 ml (2.0 oz) Charanda Añejo de Uruapan (envejecida mínimo 2 años en barricas de roble)</t>
  </si>
  <si>
    <t xml:space="preserve">120 ml Base caliente de ponche artesanal colado (infusión reducida de guayaba, tejocote, manzana, caña y piloncillo)</t>
  </si>
  <si>
    <t xml:space="preserve">15 ml (0.5 oz) Jugo fresco de naranja dulce</t>
  </si>
  <si>
    <t xml:space="preserve">1 Rebanada circular de guayaba rosa cocida en el ponche</t>
  </si>
  <si>
    <t xml:space="preserve">1 Bastón de caña de azúcar pelada (10 cm)</t>
  </si>
  <si>
    <t xml:space="preserve">1 bastón de caña ≈ 35 g</t>
  </si>
  <si>
    <t xml:space="preserve">1 Raja de canela entera de Ceilán</t>
  </si>
  <si>
    <t xml:space="preserve">1 raja de canela ≈ 3 g</t>
  </si>
  <si>
    <t xml:space="preserve">Tepache Spritz con Vino Espumoso y Tequila Blanco</t>
  </si>
  <si>
    <t xml:space="preserve">45 ml (1.5 oz) Tequila Blanco 100% de agave (perfil cítrico y herbal)</t>
  </si>
  <si>
    <t xml:space="preserve">50 ml (1.7 oz) Tepache casero artesanal de cáscara de piña y piloncillo (bien filtrado, 2 a 3 días de fermentación)</t>
  </si>
  <si>
    <t xml:space="preserve">15 ml (0.5 oz) Jugo fresco de lima verde colado</t>
  </si>
  <si>
    <t xml:space="preserve">10 ml (0.3 oz) Jarabe simple de caña (1:1)</t>
  </si>
  <si>
    <t xml:space="preserve">80 ml Vino espumoso seco tipo Brut (o Prosecco seco bien frío)</t>
  </si>
  <si>
    <t xml:space="preserve">1 Rebanada delgada de piña deshidratada</t>
  </si>
  <si>
    <t xml:space="preserve">1 Rama fresca de menta</t>
  </si>
  <si>
    <t xml:space="preserve">Curado Tradicional de Pulque con Avena y Canela en Shaker</t>
  </si>
  <si>
    <t xml:space="preserve">120 ml Pulque blanco natural fresco de maguey (sin curar, viscosidad media y acidez equilibrada)</t>
  </si>
  <si>
    <t xml:space="preserve">30 ml (1.0 oz) Leche evaporada (o leche de avena densa sin azúcar)</t>
  </si>
  <si>
    <t xml:space="preserve">30 g Avena en hojuelas cruda (remojada 15 min en agua tibia y procesada fino)</t>
  </si>
  <si>
    <t xml:space="preserve">20 ml (0.7 oz) Miel de agave o leche condensada artesanal</t>
  </si>
  <si>
    <t xml:space="preserve">2 g Canela Ceilán molida fina</t>
  </si>
  <si>
    <t xml:space="preserve">1 Rodaja de canela en raja para aromatizar</t>
  </si>
  <si>
    <t xml:space="preserve">Tejuino con Cerveza Clara, Limón y Nieve de Limón (Pacheco Tradicional)</t>
  </si>
  <si>
    <t xml:space="preserve">120 ml Tejuino artesanal tradicional de maíz nixtamalizado y piloncillo (fermentado ligero, colado)</t>
  </si>
  <si>
    <t xml:space="preserve">150 ml Cerveza clara tipo Pilsner o Lager mexicana (bien fría)</t>
  </si>
  <si>
    <t xml:space="preserve">25 ml Jugo fresco de limón criollo recién exprimido</t>
  </si>
  <si>
    <t xml:space="preserve">2 g Sal marina de grano medio disuelta en el jugo</t>
  </si>
  <si>
    <t xml:space="preserve">60 g Nieve artesanal de limón de agua (estilo garrafa tradicional, bien compactada)</t>
  </si>
  <si>
    <t xml:space="preserve">2 g Chile piquín con sal y ácido cítrico en polvo (para escarcha y espolvorear)</t>
  </si>
  <si>
    <t xml:space="preserve">Pulque Sour con Jarabe de Guayaba Rosa y Bitter Cítrico</t>
  </si>
  <si>
    <t xml:space="preserve">75 ml (2.5 oz) Pulque blanco natural fresco de maguey (viscosidad media, no sobrefermentado)</t>
  </si>
  <si>
    <t xml:space="preserve">45 ml (1.5 oz) Tequila Blanco 100% de agave (40% ABV, perfil cítrico y mineral)</t>
  </si>
  <si>
    <t xml:space="preserve">25 ml (0.8 oz) Jarabe denso de guayaba rosa artesanal (pulpa de guayaba colada sin semillas cocida 1:1 con azúcar)</t>
  </si>
  <si>
    <t xml:space="preserve">20 ml (0.7 oz) Jugo fresco de limón criollo colado</t>
  </si>
  <si>
    <t xml:space="preserve">10 ml (0.3 oz) Clara de huevo pasteurizada (o albúmina rehidratada)</t>
  </si>
  <si>
    <t xml:space="preserve">2 Gotas de amargo de naranja o tintura cítrica amarga</t>
  </si>
  <si>
    <t xml:space="preserve">1 Rodaja de guayaba deshidratada para el servicio</t>
  </si>
  <si>
    <t xml:space="preserve">Tepache Ahumado con Mezcal Espadín y Escarcha de Sal de Tamarindo</t>
  </si>
  <si>
    <t xml:space="preserve">50 ml (1.7 oz) Mezcal artesanal Espadín joven (45% ABV)</t>
  </si>
  <si>
    <t xml:space="preserve">100 ml (3.3 oz) Tepache artesanal de piña y piloncillo (bien filtrado, 48 hrs de fermentación con canela y clavo)</t>
  </si>
  <si>
    <t xml:space="preserve">10 ml (0.3 oz) Jarabe de piloncillo ligero (1:1)</t>
  </si>
  <si>
    <t xml:space="preserve">2 g Sal marina de grano medio mezclada con pulpa de tamarindo deshidratada y chile piquín (escarcha completa)</t>
  </si>
  <si>
    <t xml:space="preserve">1 Triángulo de piña asada al comal ensartado en pica de bambú</t>
  </si>
  <si>
    <t xml:space="preserve">Tejuino Rústico con Nieve de Mango y Piquín Artesanal</t>
  </si>
  <si>
    <t xml:space="preserve">45 ml (1.5 oz) Tequila Reposado 100% de agave (aporta notas de vainilla y roble)</t>
  </si>
  <si>
    <t xml:space="preserve">90 ml (3.0 oz) Tejuino tradicional de maíz nixtamalizado y piloncillo (líquido colado fino)</t>
  </si>
  <si>
    <t xml:space="preserve">1 g Sal de Colima disuelta en el cítrico</t>
  </si>
  <si>
    <t xml:space="preserve">50 g Nieve artesanal de mango de garrafa (base de agua, textura firme)</t>
  </si>
  <si>
    <t xml:space="preserve">2 g Chile piquín seco molido con sal marina y ácido cítrico</t>
  </si>
  <si>
    <t xml:space="preserve">1 Popote de caña de azúcar o agitador corto</t>
  </si>
  <si>
    <t xml:space="preserve">Curado Tropical de Pulque con Apio y Piña Fresca</t>
  </si>
  <si>
    <t xml:space="preserve">100 ml Pulque blanco natural fresco de tinacal</t>
  </si>
  <si>
    <t xml:space="preserve">35 ml (1.2 oz) Mezcal joven o Tequila Blanco</t>
  </si>
  <si>
    <t xml:space="preserve">30 ml (1.0 oz) Jugo clarificado de piña fresca</t>
  </si>
  <si>
    <t xml:space="preserve">20 ml (0.7 oz) Jugo fresco de apio verde recién prensado y colado fino</t>
  </si>
  <si>
    <t xml:space="preserve">1 g Flor de sal</t>
  </si>
  <si>
    <t xml:space="preserve">1 Penca tierna de apio con hojas para aromatizar y mezclar</t>
  </si>
  <si>
    <t xml:space="preserve">1 tallo de apio ≈ 30 g</t>
  </si>
  <si>
    <t xml:space="preserve">Collins de Tepache de Piña Asada y Pox Artesanal</t>
  </si>
  <si>
    <t xml:space="preserve">50 ml (1.7 oz) Pox artesanal de San Juan Chamula, Chiapas (40-42% ABV)</t>
  </si>
  <si>
    <t xml:space="preserve">20 ml (0.7 oz) Jugo fresco de lima verde colado</t>
  </si>
  <si>
    <t xml:space="preserve">15 ml (0.5 oz) Miel de piloncillo líquida (1:1)</t>
  </si>
  <si>
    <t xml:space="preserve">80 ml Tepache artesanal de piña asada (cáscaras de piña horneadas antes de fermentar con piloncillo y pimienta gorda)</t>
  </si>
  <si>
    <t xml:space="preserve">2 Golpes (dashes) Amargo aromático de Angostura</t>
  </si>
  <si>
    <t xml:space="preserve">1 Barra de caña de azúcar pelada (12 cm) y 1 ramita de hierbabuena fresca</t>
  </si>
  <si>
    <t xml:space="preserve">Michelada Clásica con Limón y Sal Marina</t>
  </si>
  <si>
    <t xml:space="preserve">355 ml Cerveza clara mexicana tipo Pilsner o Munich Helles (bien fría, 2°C a 4°C)</t>
  </si>
  <si>
    <t xml:space="preserve">30 ml (1.0 oz) Jugo fresco de limón criollo recién exprimido y colado fino</t>
  </si>
  <si>
    <t xml:space="preserve">2 g Sal de grano de Colima o sal marina molida (1 g para disolver + 1 g para escarchar)</t>
  </si>
  <si>
    <t xml:space="preserve">1 Rodaja gruesa de limón criollo para el servicio</t>
  </si>
  <si>
    <t xml:space="preserve">Ojo Rojo Tradicional (Cerveza Clara, Clamato y Salsas de Cantina)</t>
  </si>
  <si>
    <t xml:space="preserve">250 ml Cerveza clara mexicana tipo Lager (3°C)</t>
  </si>
  <si>
    <t xml:space="preserve">120 ml Jugo de tomate con almeja clarificado (Clamato original bien frío)</t>
  </si>
  <si>
    <t xml:space="preserve">30 ml (1.0 oz) Jugo fresco de limón criollo</t>
  </si>
  <si>
    <t xml:space="preserve">8 ml Salsa inglesa (Worcestershire) de buena calidad</t>
  </si>
  <si>
    <t xml:space="preserve">5 ml Jugo sazonador (tipo Maggi)</t>
  </si>
  <si>
    <t xml:space="preserve">4 ml Salsa botanera picante de chile de árbol o salsa habanera</t>
  </si>
  <si>
    <t xml:space="preserve">1 g Pimienta negra recién molida y 1 g sal de apio</t>
  </si>
  <si>
    <t xml:space="preserve">2 g Mezcla de sal de mar con chile piquín (para escarchar)</t>
  </si>
  <si>
    <t xml:space="preserve">1 Tallo tierno de apio y 1 media luna de limón</t>
  </si>
  <si>
    <t xml:space="preserve">Gomichela Artesanal de Chamoy Casero y Tamarindo</t>
  </si>
  <si>
    <t xml:space="preserve">300 ml Cerveza clara o ámbar mexicana</t>
  </si>
  <si>
    <t xml:space="preserve">60 ml Pulpa densa de chamoy casero (a base de flor de jamaica, ciruela pasa y chile piquín sin conservadores químicos)</t>
  </si>
  <si>
    <t xml:space="preserve">25 ml Jugo fresco de limón criollo</t>
  </si>
  <si>
    <t xml:space="preserve">15 ml Jarabe simple de tamarindo agridulce</t>
  </si>
  <si>
    <t xml:space="preserve">2 g Chile con limón en polvo (tipo Miguelito tradicional)</t>
  </si>
  <si>
    <t xml:space="preserve">35 g Gomitas variadas de grenetina (frutales o enchiladas)</t>
  </si>
  <si>
    <t xml:space="preserve">1 Banderilla de tamarindo confitado en popote o pica de madera</t>
  </si>
  <si>
    <t xml:space="preserve">1 banderilla de tamarindo ≈ 12 g</t>
  </si>
  <si>
    <t xml:space="preserve">Rusa Cítrica con Refresco de Toronja, Fruta Fresca y Chile en Polvo</t>
  </si>
  <si>
    <t xml:space="preserve">200 ml Refresco de toronja carbonatado artesanal o tradicional bien frío</t>
  </si>
  <si>
    <t xml:space="preserve">30 ml (1.0 oz) Jugo fresco de limón criollo colado</t>
  </si>
  <si>
    <t xml:space="preserve">10 ml Jugo fresco de naranja dulce</t>
  </si>
  <si>
    <t xml:space="preserve">40 g Piña fresca cortada en cubitos pequeños (5 mm)</t>
  </si>
  <si>
    <t xml:space="preserve">30 g Pepino sin semillas cortado en cubitos</t>
  </si>
  <si>
    <t xml:space="preserve">30 g Naranja fresca en medias lunas delgadas</t>
  </si>
  <si>
    <t xml:space="preserve">2 g Sal marina de grano medio disuelta</t>
  </si>
  <si>
    <t xml:space="preserve">2 g Chile piquín seco molido con sal marina (para escarcha y superficie)</t>
  </si>
  <si>
    <t xml:space="preserve">Clamato Preparado estilo Sinaloa con Camarón Seco y Pepino</t>
  </si>
  <si>
    <t xml:space="preserve">200 ml Cerveza clara fría (estilo Pacífico o Corona)</t>
  </si>
  <si>
    <t xml:space="preserve">180 ml Jugo de tomate con almeja (Clamato)</t>
  </si>
  <si>
    <t xml:space="preserve">35 ml (1.2 oz) Jugo fresco de limón criollo</t>
  </si>
  <si>
    <t xml:space="preserve">10 ml Salsa negra sinaloense (reducción de soya, inglesa, chile chiltepín y ajo)</t>
  </si>
  <si>
    <t xml:space="preserve">4 ml Salsa picante de chile habanero o salsa Huichol</t>
  </si>
  <si>
    <t xml:space="preserve">2 g Sal de grano y 1 g pimienta negra recién martajada</t>
  </si>
  <si>
    <t xml:space="preserve">30 g Pepino verde con piel en medias lunas gruesas</t>
  </si>
  <si>
    <t xml:space="preserve">20 g Camarón seco de marisma limpio (listo para botanear)</t>
  </si>
  <si>
    <t xml:space="preserve">10 g Cecina de res o carne seca en tiras (opcional tradicional)</t>
  </si>
  <si>
    <t xml:space="preserve">2 g Sal de chile chiltepín seco con sal de mar (para escarchar)</t>
  </si>
  <si>
    <t xml:space="preserve">Submarino de Cantina (Tequila Invertido en Tarro Cervecero)</t>
  </si>
  <si>
    <t xml:space="preserve">60 ml (2.0 oz) Tequila Blanco 100% de agave (40% ABV, perfil cítrico y pimienta blanca)</t>
  </si>
  <si>
    <t xml:space="preserve">355 ml Cerveza clara mexicana tipo Pilsner o Vienna (muy fría, 2°C)</t>
  </si>
  <si>
    <t xml:space="preserve">1 Gajo de limón criollo para el borde</t>
  </si>
  <si>
    <t xml:space="preserve">1 g Sal marina fina (opcional en el borde exterior del tarro)</t>
  </si>
  <si>
    <t xml:space="preserve">Michelada Negra con Salsa Inglesa, Jugo de Soya y Clamato</t>
  </si>
  <si>
    <t xml:space="preserve">250 ml Cerveza oscura o ámbar mexicana (tipo Munich Dunkel o Vienna, fría)</t>
  </si>
  <si>
    <t xml:space="preserve">90 ml Jugo de tomate con almeja clarificado (Clamato)</t>
  </si>
  <si>
    <t xml:space="preserve">30 ml (1.0 oz) Jugo fresco de limón criollo recién exprimido</t>
  </si>
  <si>
    <t xml:space="preserve">10 ml Salsa inglesa (Worcestershire) artesanal</t>
  </si>
  <si>
    <t xml:space="preserve">8 ml Jugo sazonador concentrado (tipo Maggi)</t>
  </si>
  <si>
    <t xml:space="preserve">5 ml Salsa de soya fermentada oscura</t>
  </si>
  <si>
    <t xml:space="preserve">3 ml Salsa picante de chile habanero negro tatemado</t>
  </si>
  <si>
    <t xml:space="preserve">1 g Pimienta negra molida gruesa</t>
  </si>
  <si>
    <t xml:space="preserve">2 g Sal de grano martajada con chile piquín (para escarchar)</t>
  </si>
  <si>
    <t xml:space="preserve">Chabela de Cerveza Oscura con Limón y Escarcha de Chile Habanero</t>
  </si>
  <si>
    <t xml:space="preserve">355 ml Cerveza oscura mexicana (tipo Negra Modelo o Stout ligera, 3°C)</t>
  </si>
  <si>
    <t xml:space="preserve">2 g Sal de grano de mar disuelta</t>
  </si>
  <si>
    <t xml:space="preserve">2 g Sal de chile habanero naranja deshidratado y tatemado con flor de sal (para escarchar)</t>
  </si>
  <si>
    <t xml:space="preserve">1/2 Chile habanero fresco tatemado al comal ensartado en pica de madera</t>
  </si>
  <si>
    <t xml:space="preserve">medio chile habanero ≈ 6 g</t>
  </si>
  <si>
    <t xml:space="preserve">Habanero Mango Smash con Tequila Reposado y Menta</t>
  </si>
  <si>
    <t xml:space="preserve">60 ml (2.0 oz) Tequila Reposado 100% de agave (madurado en roble blanco)</t>
  </si>
  <si>
    <t xml:space="preserve">45 g Pulpa de mango ataulfo fresco maduro cortado en cubos</t>
  </si>
  <si>
    <t xml:space="preserve">1 Rodaja muy fina (1 mm) de chile habanero naranja fresco (sin venas ni semillas)</t>
  </si>
  <si>
    <t xml:space="preserve">6 a 8 Hojas de menta fresca de huerto</t>
  </si>
  <si>
    <t xml:space="preserve">1 Ramillete frondoso de menta y 1 lámina de mango deshidratado</t>
  </si>
  <si>
    <t xml:space="preserve">Acuyo Cóctel (Mezcal, Hoja Santa Licuada y Manzana Verde)</t>
  </si>
  <si>
    <t xml:space="preserve">35 ml (1.2 oz) Jugo fresco de manzana verde ácida (Granny Smith recién prensada y colada)</t>
  </si>
  <si>
    <t xml:space="preserve">20 ml (0.7 oz) Jugo fresco de lima verde</t>
  </si>
  <si>
    <t xml:space="preserve">1/2 Hoja santa fresca (acuyo) picada en trozos grandes</t>
  </si>
  <si>
    <t xml:space="preserve">1 Gotero con aceite infusionado de clorofila de hoja santa</t>
  </si>
  <si>
    <t xml:space="preserve">1 Tira delgada de manzana verde deshidratada para decorar</t>
  </si>
  <si>
    <t xml:space="preserve">Verde Ancestral con Cilantro, Aguacate y Mezcal Blanc</t>
  </si>
  <si>
    <t xml:space="preserve">15 ml (0.5 oz) Licor de chile verde (tipo Ancho Reyes Verde)</t>
  </si>
  <si>
    <t xml:space="preserve">25 g Pulpa de aguacate Hass maduro pero firme</t>
  </si>
  <si>
    <t xml:space="preserve">6 Ramitas de cilantro fresco (hojas y tallos tiernos limpios)</t>
  </si>
  <si>
    <t xml:space="preserve">6 ramitas de cilantro ≈ 8 g</t>
  </si>
  <si>
    <t xml:space="preserve">1.5 g Sal de cilantro seco y flor de sal de Colima (media escarcha exterior)</t>
  </si>
  <si>
    <t xml:space="preserve">1 Hoja fresca de cilantro y 1 lámina delgada de rábano sandía para decorar</t>
  </si>
  <si>
    <t xml:space="preserve">Xocolatl Flip con Tequila Añejo, Huevo Entero y Cacao Puro</t>
  </si>
  <si>
    <t xml:space="preserve">50 ml (1.7 oz) Tequila Añejo 100% de agave (madurado mínimo 14 meses en roble americano)</t>
  </si>
  <si>
    <t xml:space="preserve">1 Huevo entero fresco (50 g, pasteurizado)</t>
  </si>
  <si>
    <t xml:space="preserve">1 huevo ≈ 50 g (declarado en la receta)</t>
  </si>
  <si>
    <t xml:space="preserve">20 ml (0.7 oz) Jarabe denso de piloncillo artesanal y canela (2:1)</t>
  </si>
  <si>
    <t xml:space="preserve">15 ml (0.5 oz) Licor artesanal de cacao amargo o tintura madre de cacao</t>
  </si>
  <si>
    <t xml:space="preserve">5 g Cacao puro mexicano en polvo (sin azúcar, tostado artesanal de metate)</t>
  </si>
  <si>
    <t xml:space="preserve">2 Gotas de amargo aromático de mole o chile ancho</t>
  </si>
  <si>
    <t xml:space="preserve">Ralladura fresca de chocolate de metate al 70% para espolvorear</t>
  </si>
  <si>
    <t xml:space="preserve">ralladura para espolvorear ≈ 3 g</t>
  </si>
  <si>
    <t xml:space="preserve">Sandía Picante con Tequila Blanco y Chile Morita Tatemado</t>
  </si>
  <si>
    <t xml:space="preserve">60 ml (2.0 oz) Tequila Blanco 100% de agave (perfil mineral y pimienta)</t>
  </si>
  <si>
    <t xml:space="preserve">50 g Pulpa fresca de sandía madura sin semillas (en cubos)</t>
  </si>
  <si>
    <t xml:space="preserve">1/4 de Chile morita seco tatemado al comal (sin semillas)</t>
  </si>
  <si>
    <t xml:space="preserve">1/4 de chile morita ≈ 2 g</t>
  </si>
  <si>
    <t xml:space="preserve">2 g Sal de chile morita molido con flor de sal marina (media escarcha)</t>
  </si>
  <si>
    <t xml:space="preserve">1 Triángulo pequeño de sandía con cáscara para decorar</t>
  </si>
  <si>
    <t xml:space="preserve">Flor de Jamaica Punch con Charanda y Especias Cálidas</t>
  </si>
  <si>
    <t xml:space="preserve">60 ml (2.0 oz) Charanda Blanco o Reposado de Michoacán (40-45% ABV)</t>
  </si>
  <si>
    <t xml:space="preserve">45 ml (1.5 oz) Concentrado puro de flor de jamaica criolla (infusión al 15% de flores secas en agua caliente, sin azúcar)</t>
  </si>
  <si>
    <t xml:space="preserve">20 ml (0.7 oz) Jugo fresco de naranja agria o naranja dulce recién exprimido</t>
  </si>
  <si>
    <t xml:space="preserve">10 ml (0.3 oz) Jugo fresco de limón criollo</t>
  </si>
  <si>
    <t xml:space="preserve">25 ml (0.8 oz) Jarabe de especias cálidas (piloncillo infusionado con canela, clavo de olor y pimienta gorda de Tabasco)</t>
  </si>
  <si>
    <t xml:space="preserve">1 Flor de jamaica deshidratada confitada y 1 ramita de hierbabuena fresca</t>
  </si>
  <si>
    <t xml:space="preserve">1 flor confitada ≈ 3 g</t>
  </si>
  <si>
    <t xml:space="preserve">Carajillo Mexicano de Altura con Licor Maya de Anís y Miel (Xtavento)</t>
  </si>
  <si>
    <t xml:space="preserve">45 ml (1.5 oz) Café espresso doble recién extraído de grano chiapaneco o veracruzano de altura (caliente, 60 ml netos de extracción corta)</t>
  </si>
  <si>
    <t xml:space="preserve">35 ml (1.2 oz) Licor tradicional de miel y anís maya tipo Xtabentún</t>
  </si>
  <si>
    <t xml:space="preserve">30 ml (1.0 oz) Tequila Reposado o Mezcal Espadín ligero (aporta columna alcohólica seca)</t>
  </si>
  <si>
    <t xml:space="preserve">5 ml (0.15 oz) Jarabe simple de caña (ajuste opcional según la densidad del licor)</t>
  </si>
  <si>
    <t xml:space="preserve">3 Granos enteros de café tostado para el servicio</t>
  </si>
  <si>
    <t xml:space="preserve">3 granos de café ≈ 0.5 g</t>
  </si>
  <si>
    <t xml:space="preserve">Niebla Sagrada (Mezcal, Pepino, Jarabe de Romero y Copal)</t>
  </si>
  <si>
    <t xml:space="preserve">60 ml (2.0 oz) Mezcal artesanal de agaves silvestres (Tobalá o Cuishe, 46-48% ABV)</t>
  </si>
  <si>
    <t xml:space="preserve">40 g Pepino verde fresco sin semillas picado en cubos</t>
  </si>
  <si>
    <t xml:space="preserve">20 ml (0.7 oz) Jugo fresco de lima verde recién exprimido y colado fino</t>
  </si>
  <si>
    <t xml:space="preserve">20 ml (0.7 oz) Jarabe artesanal de romero (hojas frescas de romero cocidas en jarabe de azúcar 1:1)</t>
  </si>
  <si>
    <t xml:space="preserve">1 Resina pequeña de copal blanco limpio (grado ceremonial) + 1 astilla de madera de ocote para ignición</t>
  </si>
  <si>
    <t xml:space="preserve">1 resina de copal + ocote ≈ 3 g</t>
  </si>
  <si>
    <t xml:space="preserve">1 Piel delgada de pepino en espiral y 1 ramita corta de romero fresco para decorar</t>
  </si>
  <si>
    <t xml:space="preserve">323 líneas · 74 con equivalencia asumida y declarada.</t>
  </si>
  <si>
    <t xml:space="preserve">MI NEGOCIO</t>
  </si>
  <si>
    <t xml:space="preserve">Empieza aquí. Solo las celdas amarillas. Todo el archivo depende de estas.</t>
  </si>
  <si>
    <t xml:space="preserve">Parámetro</t>
  </si>
  <si>
    <t xml:space="preserve">Valor</t>
  </si>
  <si>
    <t xml:space="preserve">Gastos fijos mensuales</t>
  </si>
  <si>
    <t xml:space="preserve">Renta, luz, agua, permisos, contador</t>
  </si>
  <si>
    <t xml:space="preserve">Tragos servidos al mes</t>
  </si>
  <si>
    <t xml:space="preserve">Cuántos tragos estimas servir al mes</t>
  </si>
  <si>
    <t xml:space="preserve">Sueldo mensual del bartender</t>
  </si>
  <si>
    <t xml:space="preserve">De quien está detrás de la barra</t>
  </si>
  <si>
    <t xml:space="preserve">Horas trabajadas al mes</t>
  </si>
  <si>
    <t xml:space="preserve">200 h ≈ jornada completa</t>
  </si>
  <si>
    <t xml:space="preserve">Hielo por trago</t>
  </si>
  <si>
    <t xml:space="preserve">Hielo macizo de agua purificada</t>
  </si>
  <si>
    <t xml:space="preserve">Cristalería por trago</t>
  </si>
  <si>
    <t xml:space="preserve">Rotura, lavado y reposición</t>
  </si>
  <si>
    <t xml:space="preserve">Merma comercial</t>
  </si>
  <si>
    <t xml:space="preserve">Derrame, devolución, jugo perdido, sobre-servido. 15 a 20 % en barra libre</t>
  </si>
  <si>
    <t xml:space="preserve">Tragos por batch</t>
  </si>
  <si>
    <t xml:space="preserve">Rendimiento de una botella preparada</t>
  </si>
  <si>
    <t xml:space="preserve">Envase de batch</t>
  </si>
  <si>
    <t xml:space="preserve">Botella, tapa y etiqueta</t>
  </si>
  <si>
    <t xml:space="preserve">Copa estándar (ml de etanol)</t>
  </si>
  <si>
    <t xml:space="preserve">13 g de etanol puro. No lo cambies sin razón</t>
  </si>
  <si>
    <t xml:space="preserve">CALCULADO AUTOMÁTICAMENTE</t>
  </si>
  <si>
    <t xml:space="preserve">Overhead por trago</t>
  </si>
  <si>
    <t xml:space="preserve">Gastos fijos ÷ tragos al mes</t>
  </si>
  <si>
    <t xml:space="preserve">Costo de mano de obra por hora</t>
  </si>
  <si>
    <t xml:space="preserve">Sueldo ÷ horas</t>
  </si>
  <si>
    <t xml:space="preserve">MÁRGENES POR CANAL</t>
  </si>
  <si>
    <t xml:space="preserve">Canal</t>
  </si>
  <si>
    <t xml:space="preserve">Margen</t>
  </si>
  <si>
    <t xml:space="preserve">Unidad de venta</t>
  </si>
  <si>
    <t xml:space="preserve">Barra propia</t>
  </si>
  <si>
    <t xml:space="preserve">Un trago</t>
  </si>
  <si>
    <t xml:space="preserve">Carta de restaurante</t>
  </si>
  <si>
    <t xml:space="preserve">Evento y banquete</t>
  </si>
  <si>
    <t xml:space="preserve">Batch embotellado</t>
  </si>
  <si>
    <t xml:space="preserve">Botella de varios tragos</t>
  </si>
  <si>
    <t xml:space="preserve">Un ejemplo: si pagas $720 por la botella de mezcal en vez de $620, cámbialo en «Insumos» y las 51 fichas se recalculan al instante.</t>
  </si>
  <si>
    <t xml:space="preserve">FICHAS Y PRECIOS</t>
  </si>
  <si>
    <t xml:space="preserve">La hoja principal. Todo se recalcula desde «Insumos» y «Mi negocio». Aquí no se edita nada.</t>
  </si>
  <si>
    <t xml:space="preserve">Método</t>
  </si>
  <si>
    <t xml:space="preserve">Cap.</t>
  </si>
  <si>
    <t xml:space="preserve">Costo insumos</t>
  </si>
  <si>
    <t xml:space="preserve">Hielo</t>
  </si>
  <si>
    <t xml:space="preserve">Cristalería</t>
  </si>
  <si>
    <t xml:space="preserve">Min. barra</t>
  </si>
  <si>
    <t xml:space="preserve">Mano de obra</t>
  </si>
  <si>
    <t xml:space="preserve">Overhead</t>
  </si>
  <si>
    <t xml:space="preserve">Costo base</t>
  </si>
  <si>
    <t xml:space="preserve">Merma</t>
  </si>
  <si>
    <t xml:space="preserve">COSTO TOTAL</t>
  </si>
  <si>
    <t xml:space="preserve">Etanol servido (ml)</t>
  </si>
  <si>
    <t xml:space="preserve">Copas estándar</t>
  </si>
  <si>
    <t xml:space="preserve">Carta restaurante</t>
  </si>
  <si>
    <t xml:space="preserve">Utilidad en barra</t>
  </si>
  <si>
    <t xml:space="preserve">Costo de vertido</t>
  </si>
  <si>
    <t xml:space="preserve">PROMEDIO</t>
  </si>
  <si>
    <t xml:space="preserve">Costo de vertido sano: 18 a 25 %. En rojo, arriba de 30 %. En rojo también los tragos de más de 2.5 copas estándar. Cifras ilustrativas.</t>
  </si>
  <si>
    <t xml:space="preserve">PRODUCCIÓN Y COTIZACIÓN</t>
  </si>
  <si>
    <t xml:space="preserve">Plan del mes o cotización de un evento. Escribe cuántos tragos de cada ficha (columna amarilla) y el resto se calcula.</t>
  </si>
  <si>
    <t xml:space="preserve">Tragos a servir</t>
  </si>
  <si>
    <t xml:space="preserve">Costo total</t>
  </si>
  <si>
    <t xml:space="preserve">Minutos de barra</t>
  </si>
  <si>
    <t xml:space="preserve">Horas</t>
  </si>
  <si>
    <t xml:space="preserve">Ingreso en barra</t>
  </si>
  <si>
    <t xml:space="preserve">Ingreso en evento</t>
  </si>
  <si>
    <t xml:space="preserve">Copas servidas</t>
  </si>
  <si>
    <t xml:space="preserve">TOTAL</t>
  </si>
  <si>
    <t xml:space="preserve">Para cotizar un evento: sube la merma de «Mi negocio» a 15-20 % antes de calcular. En barra libre se sirve y se derrama mucho más que en barra propia.</t>
  </si>
  <si>
    <t xml:space="preserve">La columna «Copas servidas» es el total de copas estándar del plan. Úsala para dimensionar el servicio responsable del Capítulo 15.</t>
  </si>
  <si>
    <t xml:space="preserve">VENTAS</t>
  </si>
  <si>
    <t xml:space="preserve">Registra cada venta. Elige la ficha por número y el canal de la lista; el precio y la utilidad salen solos.</t>
  </si>
  <si>
    <t xml:space="preserve">TOTALES</t>
  </si>
  <si>
    <t xml:space="preserve">Fecha</t>
  </si>
  <si>
    <t xml:space="preserve"># ficha</t>
  </si>
  <si>
    <t xml:space="preserve">Unidades</t>
  </si>
  <si>
    <t xml:space="preserve">Precio unitario</t>
  </si>
  <si>
    <t xml:space="preserve">Ingreso</t>
  </si>
  <si>
    <t xml:space="preserve">Costo unitario</t>
  </si>
  <si>
    <t xml:space="preserve">Utilidad</t>
  </si>
  <si>
    <t xml:space="preserve">Nota</t>
  </si>
  <si>
    <t xml:space="preserve">TABLERO</t>
  </si>
  <si>
    <t xml:space="preserve">Resumen del modelo con tus números.</t>
  </si>
  <si>
    <t xml:space="preserve">LAS 51 FICHAS ORDENADAS POR COSTO DE INSUMOS</t>
  </si>
  <si>
    <t xml:space="preserve">Fichas costeadas</t>
  </si>
  <si>
    <t xml:space="preserve">Insumos en catálogo</t>
  </si>
  <si>
    <t xml:space="preserve">Barra</t>
  </si>
  <si>
    <t xml:space="preserve">Líneas del manual normalizadas</t>
  </si>
  <si>
    <t xml:space="preserve">Costo de insumos promedio por trago</t>
  </si>
  <si>
    <t xml:space="preserve">Costo total promedio por trago</t>
  </si>
  <si>
    <t xml:space="preserve">Precio promedio · barra propia</t>
  </si>
  <si>
    <t xml:space="preserve">Precio promedio · carta de restaurante</t>
  </si>
  <si>
    <t xml:space="preserve">Utilidad promedio por trago en barra</t>
  </si>
  <si>
    <t xml:space="preserve">COSTO DE VERTIDO PROMEDIO</t>
  </si>
  <si>
    <t xml:space="preserve">Alcohol servido promedio (ml de etanol)</t>
  </si>
  <si>
    <t xml:space="preserve">Copas estándar promedio por trago</t>
  </si>
  <si>
    <t xml:space="preserve">Trago más cargado del libro (copas)</t>
  </si>
  <si>
    <t xml:space="preserve">Fichas de más de 2 copas estándar</t>
  </si>
  <si>
    <t xml:space="preserve">Costo variable promedio por trago</t>
  </si>
  <si>
    <t xml:space="preserve">Contribución marginal por trago</t>
  </si>
  <si>
    <t xml:space="preserve">PUNTO DE EQUILIBRIO (tragos al mes)</t>
  </si>
  <si>
    <t xml:space="preserve">Punto de equilibrio (tragos al día, 26 días)</t>
  </si>
  <si>
    <t xml:space="preserve">Tragos planeados en «Producción»</t>
  </si>
  <si>
    <t xml:space="preserve">Costo total de ese plan</t>
  </si>
  <si>
    <t xml:space="preserve">Ingreso estimado en barra</t>
  </si>
  <si>
    <t xml:space="preserve">Utilidad estimada</t>
  </si>
  <si>
    <t xml:space="preserve">Copas estándar del plan</t>
  </si>
  <si>
    <t xml:space="preserve">Ventas registradas · ingreso</t>
  </si>
  <si>
    <t xml:space="preserve">Ventas registradas · utilidad</t>
  </si>
  <si>
    <t xml:space="preserve">Cifras ilustrativas. Endulcora no garantiza ingresos ni resultados. Prohibida la venta a menores de 18 años. Evite el exceso.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</si>
</sst>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\$#,##0.0000"/>
    <numFmt numFmtId="167" formatCode="0"/>
    <numFmt numFmtId="168" formatCode="0.0%"/>
    <numFmt numFmtId="169" formatCode="0.0"/>
    <numFmt numFmtId="170" formatCode="\$#,##0"/>
    <numFmt numFmtId="171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8"/>
      <color rgb="FF6B5470"/>
      <name val="Arial"/>
      <family val="0"/>
      <charset val="1"/>
    </font>
    <font>
      <b val="true"/>
      <sz val="8"/>
      <color rgb="FFD85A3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9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E1454"/>
        <bgColor rgb="FF333333"/>
      </patternFill>
    </fill>
    <fill>
      <patternFill patternType="solid">
        <fgColor rgb="FFFFF4CC"/>
        <bgColor rgb="FFFBF4E9"/>
      </patternFill>
    </fill>
    <fill>
      <patternFill patternType="solid">
        <fgColor rgb="FFFDF1EC"/>
        <bgColor rgb="FFFBF4E9"/>
      </patternFill>
    </fill>
    <fill>
      <patternFill patternType="solid">
        <fgColor rgb="FFF0E6F2"/>
        <bgColor rgb="FFFDF1EC"/>
      </patternFill>
    </fill>
    <fill>
      <patternFill patternType="solid">
        <fgColor rgb="FFFBF4E9"/>
        <bgColor rgb="FFFD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ADE"/>
      </left>
      <right style="thin">
        <color rgb="FFD9CADE"/>
      </right>
      <top style="thin">
        <color rgb="FFD9CADE"/>
      </top>
      <bottom style="thin">
        <color rgb="FFD9CA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5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EEF2DF"/>
          <bgColor rgb="FF000000"/>
        </patternFill>
      </fill>
    </dxf>
    <dxf>
      <fill>
        <patternFill patternType="solid">
          <fgColor rgb="FFEEF2E1"/>
          <bgColor rgb="FF000000"/>
        </patternFill>
      </fill>
    </dxf>
    <dxf>
      <fill>
        <patternFill patternType="solid">
          <fgColor rgb="FFEEF3E1"/>
          <bgColor rgb="FF000000"/>
        </patternFill>
      </fill>
    </dxf>
    <dxf>
      <fill>
        <patternFill patternType="solid">
          <fgColor rgb="FFEEF3E2"/>
          <bgColor rgb="FF000000"/>
        </patternFill>
      </fill>
    </dxf>
    <dxf>
      <fill>
        <patternFill patternType="solid">
          <fgColor rgb="FFEEF3E3"/>
          <bgColor rgb="FF000000"/>
        </patternFill>
      </fill>
    </dxf>
    <dxf>
      <fill>
        <patternFill patternType="solid">
          <fgColor rgb="FFEEF3E4"/>
          <bgColor rgb="FF000000"/>
        </patternFill>
      </fill>
    </dxf>
    <dxf>
      <fill>
        <patternFill patternType="solid">
          <fgColor rgb="FFEEF3E5"/>
          <bgColor rgb="FF000000"/>
        </patternFill>
      </fill>
    </dxf>
    <dxf>
      <fill>
        <patternFill patternType="solid">
          <fgColor rgb="FFEEF4E5"/>
          <bgColor rgb="FF000000"/>
        </patternFill>
      </fill>
    </dxf>
    <dxf>
      <fill>
        <patternFill patternType="solid">
          <fgColor rgb="FFEEF4E6"/>
          <bgColor rgb="FF000000"/>
        </patternFill>
      </fill>
    </dxf>
    <dxf>
      <fill>
        <patternFill patternType="solid">
          <fgColor rgb="FFEEF4E7"/>
          <bgColor rgb="FF000000"/>
        </patternFill>
      </fill>
    </dxf>
    <dxf>
      <fill>
        <patternFill patternType="solid">
          <fgColor rgb="FFEEF4E8"/>
          <bgColor rgb="FF000000"/>
        </patternFill>
      </fill>
    </dxf>
    <dxf>
      <fill>
        <patternFill patternType="solid">
          <fgColor rgb="FFEEF5E9"/>
          <bgColor rgb="FF000000"/>
        </patternFill>
      </fill>
    </dxf>
    <dxf>
      <fill>
        <patternFill patternType="solid">
          <fgColor rgb="FFEEF5EA"/>
          <bgColor rgb="FF000000"/>
        </patternFill>
      </fill>
    </dxf>
    <dxf>
      <fill>
        <patternFill patternType="solid">
          <fgColor rgb="FFEEF5EB"/>
          <bgColor rgb="FF000000"/>
        </patternFill>
      </fill>
    </dxf>
    <dxf>
      <fill>
        <patternFill patternType="solid">
          <fgColor rgb="FFEEF6EC"/>
          <bgColor rgb="FF000000"/>
        </patternFill>
      </fill>
    </dxf>
    <dxf>
      <fill>
        <patternFill patternType="solid">
          <fgColor rgb="FFEEF6ED"/>
          <bgColor rgb="FF000000"/>
        </patternFill>
      </fill>
    </dxf>
    <dxf>
      <fill>
        <patternFill patternType="solid">
          <fgColor rgb="FFEEF6EE"/>
          <bgColor rgb="FF000000"/>
        </patternFill>
      </fill>
    </dxf>
    <dxf>
      <fill>
        <patternFill patternType="solid">
          <fgColor rgb="FFEEF6EF"/>
          <bgColor rgb="FF000000"/>
        </patternFill>
      </fill>
    </dxf>
    <dxf>
      <fill>
        <patternFill patternType="solid">
          <fgColor rgb="FFEEF7EF"/>
          <bgColor rgb="FF000000"/>
        </patternFill>
      </fill>
    </dxf>
    <dxf>
      <fill>
        <patternFill patternType="solid">
          <fgColor rgb="FFEEF7F0"/>
          <bgColor rgb="FF000000"/>
        </patternFill>
      </fill>
    </dxf>
    <dxf>
      <fill>
        <patternFill patternType="solid">
          <fgColor rgb="FFEEF7F1"/>
          <bgColor rgb="FF000000"/>
        </patternFill>
      </fill>
    </dxf>
    <dxf>
      <fill>
        <patternFill patternType="solid">
          <fgColor rgb="FFEEF7F2"/>
          <bgColor rgb="FF000000"/>
        </patternFill>
      </fill>
    </dxf>
    <dxf>
      <fill>
        <patternFill patternType="solid">
          <fgColor rgb="FFEFECCA"/>
          <bgColor rgb="FF000000"/>
        </patternFill>
      </fill>
    </dxf>
    <dxf>
      <fill>
        <patternFill patternType="solid">
          <fgColor rgb="FFEFEDCF"/>
          <bgColor rgb="FF000000"/>
        </patternFill>
      </fill>
    </dxf>
    <dxf>
      <fill>
        <patternFill patternType="solid">
          <fgColor rgb="FFEFEED1"/>
          <bgColor rgb="FF000000"/>
        </patternFill>
      </fill>
    </dxf>
    <dxf>
      <fill>
        <patternFill patternType="solid">
          <fgColor rgb="FFEFEED2"/>
          <bgColor rgb="FF000000"/>
        </patternFill>
      </fill>
    </dxf>
    <dxf>
      <fill>
        <patternFill patternType="solid">
          <fgColor rgb="FFEFEED3"/>
          <bgColor rgb="FF000000"/>
        </patternFill>
      </fill>
    </dxf>
    <dxf>
      <fill>
        <patternFill patternType="solid">
          <fgColor rgb="FFEFEFD5"/>
          <bgColor rgb="FF000000"/>
        </patternFill>
      </fill>
    </dxf>
    <dxf>
      <fill>
        <patternFill patternType="solid">
          <fgColor rgb="FFEFEFD6"/>
          <bgColor rgb="FF000000"/>
        </patternFill>
      </fill>
    </dxf>
    <dxf>
      <fill>
        <patternFill patternType="solid">
          <fgColor rgb="FFEFF0D8"/>
          <bgColor rgb="FF000000"/>
        </patternFill>
      </fill>
    </dxf>
    <dxf>
      <fill>
        <patternFill patternType="solid">
          <fgColor rgb="FFEFF0D9"/>
          <bgColor rgb="FF000000"/>
        </patternFill>
      </fill>
    </dxf>
    <dxf>
      <fill>
        <patternFill patternType="solid">
          <fgColor rgb="FFEFF1DB"/>
          <bgColor rgb="FF000000"/>
        </patternFill>
      </fill>
    </dxf>
    <dxf>
      <fill>
        <patternFill patternType="solid">
          <fgColor rgb="FFEFF1DC"/>
          <bgColor rgb="FF000000"/>
        </patternFill>
      </fill>
    </dxf>
    <dxf>
      <fill>
        <patternFill patternType="solid">
          <fgColor rgb="FFF0E5B4"/>
          <bgColor rgb="FF000000"/>
        </patternFill>
      </fill>
    </dxf>
    <dxf>
      <fill>
        <patternFill patternType="solid">
          <fgColor rgb="FFF0E6B5"/>
          <bgColor rgb="FF000000"/>
        </patternFill>
      </fill>
    </dxf>
    <dxf>
      <fill>
        <patternFill patternType="solid">
          <fgColor rgb="FFF0E6B6"/>
          <bgColor rgb="FF000000"/>
        </patternFill>
      </fill>
    </dxf>
    <dxf>
      <fill>
        <patternFill patternType="solid">
          <fgColor rgb="FFF0E8BC"/>
          <bgColor rgb="FF000000"/>
        </patternFill>
      </fill>
    </dxf>
    <dxf>
      <fill>
        <patternFill patternType="solid">
          <fgColor rgb="FFF0E9C1"/>
          <bgColor rgb="FF000000"/>
        </patternFill>
      </fill>
    </dxf>
    <dxf>
      <fill>
        <patternFill patternType="solid">
          <fgColor rgb="FFF1DF9C"/>
          <bgColor rgb="FF000000"/>
        </patternFill>
      </fill>
    </dxf>
    <dxf>
      <fill>
        <patternFill patternType="solid">
          <fgColor rgb="FFF1E0A1"/>
          <bgColor rgb="FF000000"/>
        </patternFill>
      </fill>
    </dxf>
    <dxf>
      <fill>
        <patternFill patternType="solid">
          <fgColor rgb="FFF1E2A8"/>
          <bgColor rgb="FF000000"/>
        </patternFill>
      </fill>
    </dxf>
    <dxf>
      <fill>
        <patternFill patternType="solid">
          <fgColor rgb="FFF1E4B1"/>
          <bgColor rgb="FF000000"/>
        </patternFill>
      </fill>
    </dxf>
    <dxf>
      <fill>
        <patternFill patternType="solid">
          <fgColor rgb="FFF2DC93"/>
          <bgColor rgb="FF000000"/>
        </patternFill>
      </fill>
    </dxf>
    <dxf>
      <fill>
        <patternFill patternType="solid">
          <fgColor rgb="FFF8B818"/>
          <bgColor rgb="FF000000"/>
        </patternFill>
      </fill>
    </dxf>
    <dxf>
      <fill>
        <patternFill patternType="solid">
          <fgColor rgb="FFFDF1EC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 patternType="solid">
          <fgColor rgb="FFEFF5EF"/>
          <bgColor rgb="FF000000"/>
        </patternFill>
      </fill>
    </dxf>
    <dxf>
      <fill>
        <patternFill patternType="solid">
          <fgColor rgb="FFEFF5F0"/>
          <bgColor rgb="FF000000"/>
        </patternFill>
      </fill>
    </dxf>
    <dxf>
      <fill>
        <patternFill patternType="solid">
          <fgColor rgb="FFEFF6F1"/>
          <bgColor rgb="FF000000"/>
        </patternFill>
      </fill>
    </dxf>
    <dxf>
      <fill>
        <patternFill patternType="solid">
          <fgColor rgb="FFF0F3ED"/>
          <bgColor rgb="FF000000"/>
        </patternFill>
      </fill>
    </dxf>
    <dxf>
      <fill>
        <patternFill patternType="solid">
          <fgColor rgb="FFF0F4EE"/>
          <bgColor rgb="FF000000"/>
        </patternFill>
      </fill>
    </dxf>
    <dxf>
      <fill>
        <patternFill patternType="solid">
          <fgColor rgb="FFF0F4EF"/>
          <bgColor rgb="FF000000"/>
        </patternFill>
      </fill>
    </dxf>
    <dxf>
      <fill>
        <patternFill patternType="solid">
          <fgColor rgb="FFF1F2EC"/>
          <bgColor rgb="FF000000"/>
        </patternFill>
      </fill>
    </dxf>
    <dxf>
      <fill>
        <patternFill patternType="solid">
          <fgColor rgb="FFF1F3EC"/>
          <bgColor rgb="FF000000"/>
        </patternFill>
      </fill>
    </dxf>
    <dxf>
      <fill>
        <patternFill patternType="solid">
          <fgColor rgb="FFF2F1EA"/>
          <bgColor rgb="FF000000"/>
        </patternFill>
      </fill>
    </dxf>
    <dxf>
      <fill>
        <patternFill patternType="solid">
          <fgColor rgb="FFF2F1EB"/>
          <bgColor rgb="FF000000"/>
        </patternFill>
      </fill>
    </dxf>
    <dxf>
      <fill>
        <patternFill patternType="solid">
          <fgColor rgb="FFF2F2EB"/>
          <bgColor rgb="FF000000"/>
        </patternFill>
      </fill>
    </dxf>
    <dxf>
      <fill>
        <patternFill patternType="solid">
          <fgColor rgb="FFF3EFE8"/>
          <bgColor rgb="FF000000"/>
        </patternFill>
      </fill>
    </dxf>
    <dxf>
      <fill>
        <patternFill patternType="solid">
          <fgColor rgb="FFF3F0E8"/>
          <bgColor rgb="FF000000"/>
        </patternFill>
      </fill>
    </dxf>
    <dxf>
      <fill>
        <patternFill patternType="solid">
          <fgColor rgb="FFF3F0E9"/>
          <bgColor rgb="FF000000"/>
        </patternFill>
      </fill>
    </dxf>
    <dxf>
      <fill>
        <patternFill patternType="solid">
          <fgColor rgb="FFF4EEE6"/>
          <bgColor rgb="FF000000"/>
        </patternFill>
      </fill>
    </dxf>
    <dxf>
      <fill>
        <patternFill patternType="solid">
          <fgColor rgb="FFF4EEE7"/>
          <bgColor rgb="FF000000"/>
        </patternFill>
      </fill>
    </dxf>
    <dxf>
      <fill>
        <patternFill patternType="solid">
          <fgColor rgb="FFF4EFE7"/>
          <bgColor rgb="FF000000"/>
        </patternFill>
      </fill>
    </dxf>
    <dxf>
      <fill>
        <patternFill patternType="solid">
          <fgColor rgb="FFF5EDE5"/>
          <bgColor rgb="FF000000"/>
        </patternFill>
      </fill>
    </dxf>
    <dxf>
      <fill>
        <patternFill patternType="solid">
          <fgColor rgb="FFF5EEE6"/>
          <bgColor rgb="FF000000"/>
        </patternFill>
      </fill>
    </dxf>
    <dxf>
      <fill>
        <patternFill patternType="solid">
          <fgColor rgb="FFF6ECE4"/>
          <bgColor rgb="FF000000"/>
        </patternFill>
      </fill>
    </dxf>
    <dxf>
      <fill>
        <patternFill patternType="solid">
          <fgColor rgb="FFF7EAE2"/>
          <bgColor rgb="FF000000"/>
        </patternFill>
      </fill>
    </dxf>
    <dxf>
      <fill>
        <patternFill patternType="solid">
          <fgColor rgb="FFF7EBE2"/>
          <bgColor rgb="FF000000"/>
        </patternFill>
      </fill>
    </dxf>
    <dxf>
      <fill>
        <patternFill patternType="solid">
          <fgColor rgb="FFFCE3D8"/>
          <bgColor rgb="FF000000"/>
        </patternFill>
      </fill>
    </dxf>
    <dxf>
      <fill>
        <patternFill patternType="solid">
          <fgColor rgb="FFFDE2D7"/>
          <bgColor rgb="FF000000"/>
        </patternFill>
      </fill>
    </dxf>
    <dxf>
      <fill>
        <patternFill>
          <bgColor rgb="FFFDE2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4CC"/>
      <rgbColor rgb="FFF0E6F2"/>
      <rgbColor rgb="FF4E1454"/>
      <rgbColor rgb="FFFF8080"/>
      <rgbColor rgb="FF0066CC"/>
      <rgbColor rgb="FFD9CA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1EC"/>
      <rgbColor rgb="FFCCFFCC"/>
      <rgbColor rgb="FFFBF4E9"/>
      <rgbColor rgb="FF99CCFF"/>
      <rgbColor rgb="FFFF99CC"/>
      <rgbColor rgb="FFCC99FF"/>
      <rgbColor rgb="FFFDE2D7"/>
      <rgbColor rgb="FF3366FF"/>
      <rgbColor rgb="FF33CCCC"/>
      <rgbColor rgb="FF99CC00"/>
      <rgbColor rgb="FFFFCC00"/>
      <rgbColor rgb="FFFF9900"/>
      <rgbColor rgb="FFD85A30"/>
      <rgbColor rgb="FF6B5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3.5" hidden="false" customHeight="true" outlineLevel="0" collapsed="false">
      <c r="A5" s="4"/>
      <c r="B5" s="5"/>
    </row>
    <row r="6" customFormat="false" ht="15" hidden="false" customHeight="false" outlineLevel="0" collapsed="false">
      <c r="A6" s="6" t="s">
        <v>3</v>
      </c>
    </row>
    <row r="7" customFormat="false" ht="30" hidden="false" customHeight="true" outlineLevel="0" collapsed="false">
      <c r="A7" s="4"/>
      <c r="B7" s="5" t="s">
        <v>4</v>
      </c>
    </row>
    <row r="8" customFormat="false" ht="13.5" hidden="false" customHeight="true" outlineLevel="0" collapsed="false">
      <c r="A8" s="4"/>
      <c r="B8" s="5"/>
    </row>
    <row r="9" customFormat="false" ht="15" hidden="false" customHeight="false" outlineLevel="0" collapsed="false">
      <c r="A9" s="6" t="s">
        <v>5</v>
      </c>
    </row>
    <row r="10" customFormat="false" ht="30" hidden="false" customHeight="true" outlineLevel="0" collapsed="false">
      <c r="A10" s="4" t="s">
        <v>6</v>
      </c>
      <c r="B10" s="5" t="s">
        <v>7</v>
      </c>
    </row>
    <row r="11" customFormat="false" ht="30" hidden="false" customHeight="true" outlineLevel="0" collapsed="false">
      <c r="A11" s="4" t="s">
        <v>8</v>
      </c>
      <c r="B11" s="5" t="s">
        <v>9</v>
      </c>
    </row>
    <row r="12" customFormat="false" ht="30" hidden="false" customHeight="true" outlineLevel="0" collapsed="false">
      <c r="A12" s="4" t="s">
        <v>10</v>
      </c>
      <c r="B12" s="5" t="s">
        <v>11</v>
      </c>
    </row>
    <row r="13" customFormat="false" ht="30" hidden="false" customHeight="true" outlineLevel="0" collapsed="false">
      <c r="A13" s="4" t="s">
        <v>12</v>
      </c>
      <c r="B13" s="5" t="s">
        <v>13</v>
      </c>
    </row>
    <row r="14" customFormat="false" ht="13.5" hidden="false" customHeight="true" outlineLevel="0" collapsed="false">
      <c r="A14" s="4"/>
      <c r="B14" s="5"/>
    </row>
    <row r="15" customFormat="false" ht="15" hidden="false" customHeight="false" outlineLevel="0" collapsed="false">
      <c r="A15" s="6" t="s">
        <v>14</v>
      </c>
    </row>
    <row r="16" customFormat="false" ht="30" hidden="false" customHeight="true" outlineLevel="0" collapsed="false">
      <c r="A16" s="4"/>
      <c r="B16" s="5" t="s">
        <v>15</v>
      </c>
    </row>
    <row r="17" customFormat="false" ht="13.5" hidden="false" customHeight="true" outlineLevel="0" collapsed="false">
      <c r="A17" s="4"/>
      <c r="B17" s="5"/>
    </row>
    <row r="18" customFormat="false" ht="15" hidden="false" customHeight="false" outlineLevel="0" collapsed="false">
      <c r="A18" s="6" t="s">
        <v>16</v>
      </c>
    </row>
    <row r="19" customFormat="false" ht="13.5" hidden="false" customHeight="true" outlineLevel="0" collapsed="false">
      <c r="A19" s="4"/>
      <c r="B19" s="7" t="s">
        <v>17</v>
      </c>
    </row>
    <row r="20" customFormat="false" ht="13.5" hidden="false" customHeight="true" outlineLevel="0" collapsed="false">
      <c r="A20" s="4"/>
      <c r="B20" s="7" t="s">
        <v>18</v>
      </c>
    </row>
    <row r="21" customFormat="false" ht="13.5" hidden="false" customHeight="true" outlineLevel="0" collapsed="false">
      <c r="A21" s="4"/>
      <c r="B21" s="7" t="s">
        <v>19</v>
      </c>
    </row>
    <row r="22" customFormat="false" ht="13.5" hidden="false" customHeight="true" outlineLevel="0" collapsed="false">
      <c r="A22" s="4"/>
      <c r="B22" s="7" t="s">
        <v>20</v>
      </c>
    </row>
    <row r="23" customFormat="false" ht="13.5" hidden="false" customHeight="true" outlineLevel="0" collapsed="false">
      <c r="A23" s="4"/>
      <c r="B23" s="7" t="s">
        <v>21</v>
      </c>
    </row>
    <row r="24" customFormat="false" ht="13.5" hidden="false" customHeight="true" outlineLevel="0" collapsed="false">
      <c r="A24" s="4"/>
      <c r="B24" s="7" t="s">
        <v>22</v>
      </c>
    </row>
    <row r="25" customFormat="false" ht="13.5" hidden="false" customHeight="true" outlineLevel="0" collapsed="false">
      <c r="A25" s="4"/>
      <c r="B25" s="7" t="s">
        <v>23</v>
      </c>
    </row>
    <row r="26" customFormat="false" ht="13.5" hidden="false" customHeight="true" outlineLevel="0" collapsed="false">
      <c r="A26" s="4"/>
      <c r="B26" s="5"/>
    </row>
    <row r="27" customFormat="false" ht="15" hidden="false" customHeight="false" outlineLevel="0" collapsed="false">
      <c r="A27" s="6" t="s">
        <v>24</v>
      </c>
    </row>
    <row r="28" customFormat="false" ht="13.5" hidden="false" customHeight="true" outlineLevel="0" collapsed="false">
      <c r="A28" s="4" t="s">
        <v>25</v>
      </c>
      <c r="B28" s="5" t="s">
        <v>26</v>
      </c>
    </row>
    <row r="29" customFormat="false" ht="30" hidden="false" customHeight="true" outlineLevel="0" collapsed="false">
      <c r="A29" s="4" t="s">
        <v>27</v>
      </c>
      <c r="B29" s="5" t="s">
        <v>28</v>
      </c>
    </row>
    <row r="30" customFormat="false" ht="30" hidden="false" customHeight="true" outlineLevel="0" collapsed="false">
      <c r="A30" s="4" t="s">
        <v>29</v>
      </c>
      <c r="B30" s="5" t="s">
        <v>30</v>
      </c>
    </row>
    <row r="31" customFormat="false" ht="30" hidden="false" customHeight="true" outlineLevel="0" collapsed="false">
      <c r="A31" s="4" t="s">
        <v>31</v>
      </c>
      <c r="B31" s="5" t="s">
        <v>32</v>
      </c>
    </row>
    <row r="32" customFormat="false" ht="13.5" hidden="false" customHeight="true" outlineLevel="0" collapsed="false">
      <c r="A32" s="4" t="s">
        <v>33</v>
      </c>
      <c r="B32" s="5" t="s">
        <v>34</v>
      </c>
    </row>
    <row r="33" customFormat="false" ht="13.5" hidden="false" customHeight="true" outlineLevel="0" collapsed="false">
      <c r="A33" s="4" t="s">
        <v>35</v>
      </c>
      <c r="B33" s="5" t="s">
        <v>36</v>
      </c>
    </row>
    <row r="34" customFormat="false" ht="13.5" hidden="false" customHeight="true" outlineLevel="0" collapsed="false">
      <c r="A34" s="4" t="s">
        <v>37</v>
      </c>
      <c r="B34" s="5" t="s">
        <v>38</v>
      </c>
    </row>
    <row r="35" customFormat="false" ht="13.5" hidden="false" customHeight="true" outlineLevel="0" collapsed="false">
      <c r="A35" s="4" t="s">
        <v>39</v>
      </c>
      <c r="B35" s="5" t="s">
        <v>40</v>
      </c>
    </row>
    <row r="36" customFormat="false" ht="13.5" hidden="false" customHeight="true" outlineLevel="0" collapsed="false">
      <c r="A36" s="4" t="s">
        <v>41</v>
      </c>
      <c r="B36" s="5" t="s">
        <v>42</v>
      </c>
    </row>
    <row r="37" customFormat="false" ht="13.5" hidden="false" customHeight="true" outlineLevel="0" collapsed="false">
      <c r="A37" s="4"/>
      <c r="B37" s="5"/>
    </row>
    <row r="38" customFormat="false" ht="15" hidden="false" customHeight="false" outlineLevel="0" collapsed="false">
      <c r="A38" s="6" t="s">
        <v>43</v>
      </c>
    </row>
    <row r="39" customFormat="false" ht="30" hidden="false" customHeight="true" outlineLevel="0" collapsed="false">
      <c r="A39" s="4"/>
      <c r="B39" s="5" t="s">
        <v>44</v>
      </c>
    </row>
    <row r="40" customFormat="false" ht="30" hidden="false" customHeight="true" outlineLevel="0" collapsed="false">
      <c r="A40" s="4"/>
      <c r="B40" s="5" t="s">
        <v>45</v>
      </c>
    </row>
    <row r="41" customFormat="false" ht="30" hidden="false" customHeight="true" outlineLevel="0" collapsed="false">
      <c r="A41" s="4"/>
      <c r="B41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 t="s">
        <v>57</v>
      </c>
    </row>
    <row r="6" customFormat="false" ht="15" hidden="false" customHeight="false" outlineLevel="0" collapsed="false">
      <c r="A6" s="9" t="s">
        <v>58</v>
      </c>
      <c r="B6" s="9" t="s">
        <v>59</v>
      </c>
      <c r="C6" s="9" t="s">
        <v>60</v>
      </c>
      <c r="D6" s="9" t="n">
        <v>750</v>
      </c>
      <c r="E6" s="9" t="s">
        <v>61</v>
      </c>
      <c r="F6" s="10" t="n">
        <v>420</v>
      </c>
      <c r="G6" s="11" t="n">
        <f aca="false">IFERROR(F6/D6,0)</f>
        <v>0.56</v>
      </c>
      <c r="H6" s="9" t="n">
        <f aca="false">COUNTIF(Ingredientes!$E:$E,A6)</f>
        <v>9</v>
      </c>
      <c r="I6" s="9" t="n">
        <f aca="false">SUMIF(Ingredientes!$E:$E,A6,Ingredientes!$F:$F)</f>
        <v>510</v>
      </c>
    </row>
    <row r="7" customFormat="false" ht="15" hidden="false" customHeight="false" outlineLevel="0" collapsed="false">
      <c r="A7" s="9" t="s">
        <v>62</v>
      </c>
      <c r="B7" s="9" t="s">
        <v>63</v>
      </c>
      <c r="C7" s="9" t="s">
        <v>60</v>
      </c>
      <c r="D7" s="9" t="n">
        <v>750</v>
      </c>
      <c r="E7" s="9" t="s">
        <v>61</v>
      </c>
      <c r="F7" s="10" t="n">
        <v>520</v>
      </c>
      <c r="G7" s="11" t="n">
        <f aca="false">IFERROR(F7/D7,0)</f>
        <v>0.693333333333333</v>
      </c>
      <c r="H7" s="9" t="n">
        <f aca="false">COUNTIF(Ingredientes!$E:$E,A7)</f>
        <v>8</v>
      </c>
      <c r="I7" s="9" t="n">
        <f aca="false">SUMIF(Ingredientes!$E:$E,A7,Ingredientes!$F:$F)</f>
        <v>420</v>
      </c>
    </row>
    <row r="8" customFormat="false" ht="15" hidden="false" customHeight="false" outlineLevel="0" collapsed="false">
      <c r="A8" s="9" t="s">
        <v>64</v>
      </c>
      <c r="B8" s="9" t="s">
        <v>65</v>
      </c>
      <c r="C8" s="9" t="s">
        <v>60</v>
      </c>
      <c r="D8" s="9" t="n">
        <v>750</v>
      </c>
      <c r="E8" s="9" t="s">
        <v>61</v>
      </c>
      <c r="F8" s="10" t="n">
        <v>780</v>
      </c>
      <c r="G8" s="11" t="n">
        <f aca="false">IFERROR(F8/D8,0)</f>
        <v>1.04</v>
      </c>
      <c r="H8" s="9" t="n">
        <f aca="false">COUNTIF(Ingredientes!$E:$E,A8)</f>
        <v>1</v>
      </c>
      <c r="I8" s="9" t="n">
        <f aca="false">SUMIF(Ingredientes!$E:$E,A8,Ingredientes!$F:$F)</f>
        <v>50</v>
      </c>
    </row>
    <row r="9" customFormat="false" ht="15" hidden="false" customHeight="false" outlineLevel="0" collapsed="false">
      <c r="A9" s="9" t="s">
        <v>66</v>
      </c>
      <c r="B9" s="9" t="s">
        <v>67</v>
      </c>
      <c r="C9" s="9" t="s">
        <v>60</v>
      </c>
      <c r="D9" s="9" t="n">
        <v>750</v>
      </c>
      <c r="E9" s="9" t="s">
        <v>61</v>
      </c>
      <c r="F9" s="10" t="n">
        <v>620</v>
      </c>
      <c r="G9" s="11" t="n">
        <f aca="false">IFERROR(F9/D9,0)</f>
        <v>0.826666666666667</v>
      </c>
      <c r="H9" s="9" t="n">
        <f aca="false">COUNTIF(Ingredientes!$E:$E,A9)</f>
        <v>12</v>
      </c>
      <c r="I9" s="9" t="n">
        <f aca="false">SUMIF(Ingredientes!$E:$E,A9,Ingredientes!$F:$F)</f>
        <v>572.5</v>
      </c>
    </row>
    <row r="10" customFormat="false" ht="15" hidden="false" customHeight="false" outlineLevel="0" collapsed="false">
      <c r="A10" s="9" t="s">
        <v>68</v>
      </c>
      <c r="B10" s="9" t="s">
        <v>69</v>
      </c>
      <c r="C10" s="9" t="s">
        <v>60</v>
      </c>
      <c r="D10" s="9" t="n">
        <v>750</v>
      </c>
      <c r="E10" s="9" t="s">
        <v>61</v>
      </c>
      <c r="F10" s="10" t="n">
        <v>1450</v>
      </c>
      <c r="G10" s="11" t="n">
        <f aca="false">IFERROR(F10/D10,0)</f>
        <v>1.93333333333333</v>
      </c>
      <c r="H10" s="9" t="n">
        <f aca="false">COUNTIF(Ingredientes!$E:$E,A10)</f>
        <v>2</v>
      </c>
      <c r="I10" s="9" t="n">
        <f aca="false">SUMIF(Ingredientes!$E:$E,A10,Ingredientes!$F:$F)</f>
        <v>120</v>
      </c>
    </row>
    <row r="11" customFormat="false" ht="15" hidden="false" customHeight="false" outlineLevel="0" collapsed="false">
      <c r="A11" s="9" t="s">
        <v>70</v>
      </c>
      <c r="B11" s="9" t="s">
        <v>71</v>
      </c>
      <c r="C11" s="9" t="s">
        <v>72</v>
      </c>
      <c r="D11" s="9" t="n">
        <v>750</v>
      </c>
      <c r="E11" s="9" t="s">
        <v>61</v>
      </c>
      <c r="F11" s="10" t="n">
        <v>385</v>
      </c>
      <c r="G11" s="11" t="n">
        <f aca="false">IFERROR(F11/D11,0)</f>
        <v>0.513333333333333</v>
      </c>
      <c r="H11" s="9" t="n">
        <f aca="false">COUNTIF(Ingredientes!$E:$E,A11)</f>
        <v>3</v>
      </c>
      <c r="I11" s="9" t="n">
        <f aca="false">SUMIF(Ingredientes!$E:$E,A11,Ingredientes!$F:$F)</f>
        <v>180</v>
      </c>
    </row>
    <row r="12" customFormat="false" ht="15" hidden="false" customHeight="false" outlineLevel="0" collapsed="false">
      <c r="A12" s="9" t="s">
        <v>73</v>
      </c>
      <c r="B12" s="9" t="s">
        <v>74</v>
      </c>
      <c r="C12" s="9" t="s">
        <v>72</v>
      </c>
      <c r="D12" s="9" t="n">
        <v>750</v>
      </c>
      <c r="E12" s="9" t="s">
        <v>61</v>
      </c>
      <c r="F12" s="10" t="n">
        <v>495</v>
      </c>
      <c r="G12" s="11" t="n">
        <f aca="false">IFERROR(F12/D12,0)</f>
        <v>0.66</v>
      </c>
      <c r="H12" s="9" t="n">
        <f aca="false">COUNTIF(Ingredientes!$E:$E,A12)</f>
        <v>1</v>
      </c>
      <c r="I12" s="9" t="n">
        <f aca="false">SUMIF(Ingredientes!$E:$E,A12,Ingredientes!$F:$F)</f>
        <v>60</v>
      </c>
    </row>
    <row r="13" customFormat="false" ht="15" hidden="false" customHeight="false" outlineLevel="0" collapsed="false">
      <c r="A13" s="9" t="s">
        <v>75</v>
      </c>
      <c r="B13" s="9" t="s">
        <v>76</v>
      </c>
      <c r="C13" s="9" t="s">
        <v>72</v>
      </c>
      <c r="D13" s="9" t="n">
        <v>750</v>
      </c>
      <c r="E13" s="9" t="s">
        <v>61</v>
      </c>
      <c r="F13" s="10" t="n">
        <v>690</v>
      </c>
      <c r="G13" s="11" t="n">
        <f aca="false">IFERROR(F13/D13,0)</f>
        <v>0.92</v>
      </c>
      <c r="H13" s="9" t="n">
        <f aca="false">COUNTIF(Ingredientes!$E:$E,A13)</f>
        <v>2</v>
      </c>
      <c r="I13" s="9" t="n">
        <f aca="false">SUMIF(Ingredientes!$E:$E,A13,Ingredientes!$F:$F)</f>
        <v>110</v>
      </c>
    </row>
    <row r="14" customFormat="false" ht="15" hidden="false" customHeight="false" outlineLevel="0" collapsed="false">
      <c r="A14" s="9" t="s">
        <v>77</v>
      </c>
      <c r="B14" s="9" t="s">
        <v>78</v>
      </c>
      <c r="C14" s="9" t="s">
        <v>72</v>
      </c>
      <c r="D14" s="9" t="n">
        <v>750</v>
      </c>
      <c r="E14" s="9" t="s">
        <v>61</v>
      </c>
      <c r="F14" s="10" t="n">
        <v>650</v>
      </c>
      <c r="G14" s="11" t="n">
        <f aca="false">IFERROR(F14/D14,0)</f>
        <v>0.866666666666667</v>
      </c>
      <c r="H14" s="9" t="n">
        <f aca="false">COUNTIF(Ingredientes!$E:$E,A14)</f>
        <v>2</v>
      </c>
      <c r="I14" s="9" t="n">
        <f aca="false">SUMIF(Ingredientes!$E:$E,A14,Ingredientes!$F:$F)</f>
        <v>80</v>
      </c>
    </row>
    <row r="15" customFormat="false" ht="15" hidden="false" customHeight="false" outlineLevel="0" collapsed="false">
      <c r="A15" s="9" t="s">
        <v>79</v>
      </c>
      <c r="B15" s="9" t="s">
        <v>80</v>
      </c>
      <c r="C15" s="9" t="s">
        <v>72</v>
      </c>
      <c r="D15" s="9" t="n">
        <v>750</v>
      </c>
      <c r="E15" s="9" t="s">
        <v>61</v>
      </c>
      <c r="F15" s="10" t="n">
        <v>720</v>
      </c>
      <c r="G15" s="11" t="n">
        <f aca="false">IFERROR(F15/D15,0)</f>
        <v>0.96</v>
      </c>
      <c r="H15" s="9" t="n">
        <f aca="false">COUNTIF(Ingredientes!$E:$E,A15)</f>
        <v>1</v>
      </c>
      <c r="I15" s="9" t="n">
        <f aca="false">SUMIF(Ingredientes!$E:$E,A15,Ingredientes!$F:$F)</f>
        <v>60</v>
      </c>
    </row>
    <row r="16" customFormat="false" ht="15" hidden="false" customHeight="false" outlineLevel="0" collapsed="false">
      <c r="A16" s="9" t="s">
        <v>81</v>
      </c>
      <c r="B16" s="9" t="s">
        <v>82</v>
      </c>
      <c r="C16" s="9" t="s">
        <v>72</v>
      </c>
      <c r="D16" s="9" t="n">
        <v>750</v>
      </c>
      <c r="E16" s="9" t="s">
        <v>61</v>
      </c>
      <c r="F16" s="10" t="n">
        <v>380</v>
      </c>
      <c r="G16" s="11" t="n">
        <f aca="false">IFERROR(F16/D16,0)</f>
        <v>0.506666666666667</v>
      </c>
      <c r="H16" s="9" t="n">
        <f aca="false">COUNTIF(Ingredientes!$E:$E,A16)</f>
        <v>2</v>
      </c>
      <c r="I16" s="9" t="n">
        <f aca="false">SUMIF(Ingredientes!$E:$E,A16,Ingredientes!$F:$F)</f>
        <v>100</v>
      </c>
    </row>
    <row r="17" customFormat="false" ht="15" hidden="false" customHeight="false" outlineLevel="0" collapsed="false">
      <c r="A17" s="9" t="s">
        <v>83</v>
      </c>
      <c r="B17" s="9" t="s">
        <v>84</v>
      </c>
      <c r="C17" s="9" t="s">
        <v>85</v>
      </c>
      <c r="D17" s="9" t="n">
        <v>700</v>
      </c>
      <c r="E17" s="9" t="s">
        <v>61</v>
      </c>
      <c r="F17" s="10" t="n">
        <v>680</v>
      </c>
      <c r="G17" s="11" t="n">
        <f aca="false">IFERROR(F17/D17,0)</f>
        <v>0.971428571428571</v>
      </c>
      <c r="H17" s="9" t="n">
        <f aca="false">COUNTIF(Ingredientes!$E:$E,A17)</f>
        <v>3</v>
      </c>
      <c r="I17" s="9" t="n">
        <f aca="false">SUMIF(Ingredientes!$E:$E,A17,Ingredientes!$F:$F)</f>
        <v>70</v>
      </c>
    </row>
    <row r="18" customFormat="false" ht="15" hidden="false" customHeight="false" outlineLevel="0" collapsed="false">
      <c r="A18" s="9" t="s">
        <v>86</v>
      </c>
      <c r="B18" s="9" t="s">
        <v>87</v>
      </c>
      <c r="C18" s="9" t="s">
        <v>85</v>
      </c>
      <c r="D18" s="9" t="n">
        <v>750</v>
      </c>
      <c r="E18" s="9" t="s">
        <v>61</v>
      </c>
      <c r="F18" s="10" t="n">
        <v>385</v>
      </c>
      <c r="G18" s="11" t="n">
        <f aca="false">IFERROR(F18/D18,0)</f>
        <v>0.513333333333333</v>
      </c>
      <c r="H18" s="9" t="n">
        <f aca="false">COUNTIF(Ingredientes!$E:$E,A18)</f>
        <v>1</v>
      </c>
      <c r="I18" s="9" t="n">
        <f aca="false">SUMIF(Ingredientes!$E:$E,A18,Ingredientes!$F:$F)</f>
        <v>22.5</v>
      </c>
    </row>
    <row r="19" customFormat="false" ht="15" hidden="false" customHeight="false" outlineLevel="0" collapsed="false">
      <c r="A19" s="9" t="s">
        <v>88</v>
      </c>
      <c r="B19" s="9" t="s">
        <v>89</v>
      </c>
      <c r="C19" s="9" t="s">
        <v>85</v>
      </c>
      <c r="D19" s="9" t="n">
        <v>750</v>
      </c>
      <c r="E19" s="9" t="s">
        <v>61</v>
      </c>
      <c r="F19" s="10" t="n">
        <v>430</v>
      </c>
      <c r="G19" s="11" t="n">
        <f aca="false">IFERROR(F19/D19,0)</f>
        <v>0.573333333333333</v>
      </c>
      <c r="H19" s="9" t="n">
        <f aca="false">COUNTIF(Ingredientes!$E:$E,A19)</f>
        <v>1</v>
      </c>
      <c r="I19" s="9" t="n">
        <f aca="false">SUMIF(Ingredientes!$E:$E,A19,Ingredientes!$F:$F)</f>
        <v>30</v>
      </c>
    </row>
    <row r="20" customFormat="false" ht="15" hidden="false" customHeight="false" outlineLevel="0" collapsed="false">
      <c r="A20" s="9" t="s">
        <v>90</v>
      </c>
      <c r="B20" s="9" t="s">
        <v>91</v>
      </c>
      <c r="C20" s="9" t="s">
        <v>85</v>
      </c>
      <c r="D20" s="9" t="n">
        <v>700</v>
      </c>
      <c r="E20" s="9" t="s">
        <v>61</v>
      </c>
      <c r="F20" s="10" t="n">
        <v>1250</v>
      </c>
      <c r="G20" s="11" t="n">
        <f aca="false">IFERROR(F20/D20,0)</f>
        <v>1.78571428571429</v>
      </c>
      <c r="H20" s="9" t="n">
        <f aca="false">COUNTIF(Ingredientes!$E:$E,A20)</f>
        <v>1</v>
      </c>
      <c r="I20" s="9" t="n">
        <f aca="false">SUMIF(Ingredientes!$E:$E,A20,Ingredientes!$F:$F)</f>
        <v>22.5</v>
      </c>
    </row>
    <row r="21" customFormat="false" ht="15" hidden="false" customHeight="false" outlineLevel="0" collapsed="false">
      <c r="A21" s="9" t="s">
        <v>92</v>
      </c>
      <c r="B21" s="9" t="s">
        <v>93</v>
      </c>
      <c r="C21" s="9" t="s">
        <v>85</v>
      </c>
      <c r="D21" s="9" t="n">
        <v>1000</v>
      </c>
      <c r="E21" s="9" t="s">
        <v>61</v>
      </c>
      <c r="F21" s="10" t="n">
        <v>340</v>
      </c>
      <c r="G21" s="11" t="n">
        <f aca="false">IFERROR(F21/D21,0)</f>
        <v>0.34</v>
      </c>
      <c r="H21" s="9" t="n">
        <f aca="false">COUNTIF(Ingredientes!$E:$E,A21)</f>
        <v>1</v>
      </c>
      <c r="I21" s="9" t="n">
        <f aca="false">SUMIF(Ingredientes!$E:$E,A21,Ingredientes!$F:$F)</f>
        <v>30</v>
      </c>
    </row>
    <row r="22" customFormat="false" ht="15" hidden="false" customHeight="false" outlineLevel="0" collapsed="false">
      <c r="A22" s="9" t="s">
        <v>94</v>
      </c>
      <c r="B22" s="9" t="s">
        <v>95</v>
      </c>
      <c r="C22" s="9" t="s">
        <v>85</v>
      </c>
      <c r="D22" s="9" t="n">
        <v>750</v>
      </c>
      <c r="E22" s="9" t="s">
        <v>61</v>
      </c>
      <c r="F22" s="10" t="n">
        <v>320</v>
      </c>
      <c r="G22" s="11" t="n">
        <f aca="false">IFERROR(F22/D22,0)</f>
        <v>0.426666666666667</v>
      </c>
      <c r="H22" s="9" t="n">
        <f aca="false">COUNTIF(Ingredientes!$E:$E,A22)</f>
        <v>1</v>
      </c>
      <c r="I22" s="9" t="n">
        <f aca="false">SUMIF(Ingredientes!$E:$E,A22,Ingredientes!$F:$F)</f>
        <v>15</v>
      </c>
    </row>
    <row r="23" customFormat="false" ht="15" hidden="false" customHeight="false" outlineLevel="0" collapsed="false">
      <c r="A23" s="9" t="s">
        <v>96</v>
      </c>
      <c r="B23" s="9" t="s">
        <v>97</v>
      </c>
      <c r="C23" s="9" t="s">
        <v>85</v>
      </c>
      <c r="D23" s="9" t="n">
        <v>750</v>
      </c>
      <c r="E23" s="9" t="s">
        <v>61</v>
      </c>
      <c r="F23" s="10" t="n">
        <v>420</v>
      </c>
      <c r="G23" s="11" t="n">
        <f aca="false">IFERROR(F23/D23,0)</f>
        <v>0.56</v>
      </c>
      <c r="H23" s="9" t="n">
        <f aca="false">COUNTIF(Ingredientes!$E:$E,A23)</f>
        <v>1</v>
      </c>
      <c r="I23" s="9" t="n">
        <f aca="false">SUMIF(Ingredientes!$E:$E,A23,Ingredientes!$F:$F)</f>
        <v>35</v>
      </c>
    </row>
    <row r="24" customFormat="false" ht="15" hidden="false" customHeight="false" outlineLevel="0" collapsed="false">
      <c r="A24" s="9" t="s">
        <v>98</v>
      </c>
      <c r="B24" s="9" t="s">
        <v>99</v>
      </c>
      <c r="C24" s="9" t="s">
        <v>85</v>
      </c>
      <c r="D24" s="9" t="n">
        <v>700</v>
      </c>
      <c r="E24" s="9" t="s">
        <v>61</v>
      </c>
      <c r="F24" s="10" t="n">
        <v>460</v>
      </c>
      <c r="G24" s="11" t="n">
        <f aca="false">IFERROR(F24/D24,0)</f>
        <v>0.657142857142857</v>
      </c>
      <c r="H24" s="9" t="n">
        <f aca="false">COUNTIF(Ingredientes!$E:$E,A24)</f>
        <v>1</v>
      </c>
      <c r="I24" s="9" t="n">
        <f aca="false">SUMIF(Ingredientes!$E:$E,A24,Ingredientes!$F:$F)</f>
        <v>15</v>
      </c>
    </row>
    <row r="25" customFormat="false" ht="15" hidden="false" customHeight="false" outlineLevel="0" collapsed="false">
      <c r="A25" s="9" t="s">
        <v>100</v>
      </c>
      <c r="B25" s="9" t="s">
        <v>101</v>
      </c>
      <c r="C25" s="9" t="s">
        <v>85</v>
      </c>
      <c r="D25" s="9" t="n">
        <v>700</v>
      </c>
      <c r="E25" s="9" t="s">
        <v>61</v>
      </c>
      <c r="F25" s="10" t="n">
        <v>395</v>
      </c>
      <c r="G25" s="11" t="n">
        <f aca="false">IFERROR(F25/D25,0)</f>
        <v>0.564285714285714</v>
      </c>
      <c r="H25" s="9" t="n">
        <f aca="false">COUNTIF(Ingredientes!$E:$E,A25)</f>
        <v>1</v>
      </c>
      <c r="I25" s="9" t="n">
        <f aca="false">SUMIF(Ingredientes!$E:$E,A25,Ingredientes!$F:$F)</f>
        <v>15</v>
      </c>
    </row>
    <row r="26" customFormat="false" ht="15" hidden="false" customHeight="false" outlineLevel="0" collapsed="false">
      <c r="A26" s="9" t="s">
        <v>102</v>
      </c>
      <c r="B26" s="9" t="s">
        <v>103</v>
      </c>
      <c r="C26" s="9" t="s">
        <v>85</v>
      </c>
      <c r="D26" s="9" t="n">
        <v>750</v>
      </c>
      <c r="E26" s="9" t="s">
        <v>61</v>
      </c>
      <c r="F26" s="10" t="n">
        <v>295</v>
      </c>
      <c r="G26" s="11" t="n">
        <f aca="false">IFERROR(F26/D26,0)</f>
        <v>0.393333333333333</v>
      </c>
      <c r="H26" s="9" t="n">
        <f aca="false">COUNTIF(Ingredientes!$E:$E,A26)</f>
        <v>1</v>
      </c>
      <c r="I26" s="9" t="n">
        <f aca="false">SUMIF(Ingredientes!$E:$E,A26,Ingredientes!$F:$F)</f>
        <v>80</v>
      </c>
    </row>
    <row r="27" customFormat="false" ht="15" hidden="false" customHeight="false" outlineLevel="0" collapsed="false">
      <c r="A27" s="9" t="s">
        <v>104</v>
      </c>
      <c r="B27" s="9" t="s">
        <v>105</v>
      </c>
      <c r="C27" s="9" t="s">
        <v>106</v>
      </c>
      <c r="D27" s="9" t="n">
        <v>200</v>
      </c>
      <c r="E27" s="9" t="s">
        <v>61</v>
      </c>
      <c r="F27" s="10" t="n">
        <v>320</v>
      </c>
      <c r="G27" s="11" t="n">
        <f aca="false">IFERROR(F27/D27,0)</f>
        <v>1.6</v>
      </c>
      <c r="H27" s="9" t="n">
        <f aca="false">COUNTIF(Ingredientes!$E:$E,A27)</f>
        <v>4</v>
      </c>
      <c r="I27" s="9" t="n">
        <f aca="false">SUMIF(Ingredientes!$E:$E,A27,Ingredientes!$F:$F)</f>
        <v>4.65</v>
      </c>
    </row>
    <row r="28" customFormat="false" ht="15" hidden="false" customHeight="false" outlineLevel="0" collapsed="false">
      <c r="A28" s="9" t="s">
        <v>107</v>
      </c>
      <c r="B28" s="9" t="s">
        <v>108</v>
      </c>
      <c r="C28" s="9" t="s">
        <v>106</v>
      </c>
      <c r="D28" s="9" t="n">
        <v>150</v>
      </c>
      <c r="E28" s="9" t="s">
        <v>61</v>
      </c>
      <c r="F28" s="10" t="n">
        <v>380</v>
      </c>
      <c r="G28" s="11" t="n">
        <f aca="false">IFERROR(F28/D28,0)</f>
        <v>2.53333333333333</v>
      </c>
      <c r="H28" s="9" t="n">
        <f aca="false">COUNTIF(Ingredientes!$E:$E,A28)</f>
        <v>3</v>
      </c>
      <c r="I28" s="9" t="n">
        <f aca="false">SUMIF(Ingredientes!$E:$E,A28,Ingredientes!$F:$F)</f>
        <v>3.75</v>
      </c>
    </row>
    <row r="29" customFormat="false" ht="15" hidden="false" customHeight="false" outlineLevel="0" collapsed="false">
      <c r="A29" s="9" t="s">
        <v>109</v>
      </c>
      <c r="B29" s="9" t="s">
        <v>110</v>
      </c>
      <c r="C29" s="9" t="s">
        <v>106</v>
      </c>
      <c r="D29" s="9" t="n">
        <v>150</v>
      </c>
      <c r="E29" s="9" t="s">
        <v>61</v>
      </c>
      <c r="F29" s="10" t="n">
        <v>360</v>
      </c>
      <c r="G29" s="11" t="n">
        <f aca="false">IFERROR(F29/D29,0)</f>
        <v>2.4</v>
      </c>
      <c r="H29" s="9" t="n">
        <f aca="false">COUNTIF(Ingredientes!$E:$E,A29)</f>
        <v>1</v>
      </c>
      <c r="I29" s="9" t="n">
        <f aca="false">SUMIF(Ingredientes!$E:$E,A29,Ingredientes!$F:$F)</f>
        <v>0.1</v>
      </c>
    </row>
    <row r="30" customFormat="false" ht="15" hidden="false" customHeight="false" outlineLevel="0" collapsed="false">
      <c r="A30" s="9" t="s">
        <v>111</v>
      </c>
      <c r="B30" s="9" t="s">
        <v>112</v>
      </c>
      <c r="C30" s="9" t="s">
        <v>106</v>
      </c>
      <c r="D30" s="9" t="n">
        <v>150</v>
      </c>
      <c r="E30" s="9" t="s">
        <v>61</v>
      </c>
      <c r="F30" s="10" t="n">
        <v>420</v>
      </c>
      <c r="G30" s="11" t="n">
        <f aca="false">IFERROR(F30/D30,0)</f>
        <v>2.8</v>
      </c>
      <c r="H30" s="9" t="n">
        <f aca="false">COUNTIF(Ingredientes!$E:$E,A30)</f>
        <v>1</v>
      </c>
      <c r="I30" s="9" t="n">
        <f aca="false">SUMIF(Ingredientes!$E:$E,A30,Ingredientes!$F:$F)</f>
        <v>0.1</v>
      </c>
    </row>
    <row r="31" customFormat="false" ht="15" hidden="false" customHeight="false" outlineLevel="0" collapsed="false">
      <c r="A31" s="9" t="s">
        <v>113</v>
      </c>
      <c r="B31" s="9" t="s">
        <v>114</v>
      </c>
      <c r="C31" s="9" t="s">
        <v>106</v>
      </c>
      <c r="D31" s="9" t="n">
        <v>100</v>
      </c>
      <c r="E31" s="9" t="s">
        <v>61</v>
      </c>
      <c r="F31" s="10" t="n">
        <v>180</v>
      </c>
      <c r="G31" s="11" t="n">
        <f aca="false">IFERROR(F31/D31,0)</f>
        <v>1.8</v>
      </c>
      <c r="H31" s="9" t="n">
        <f aca="false">COUNTIF(Ingredientes!$E:$E,A31)</f>
        <v>2</v>
      </c>
      <c r="I31" s="9" t="n">
        <f aca="false">SUMIF(Ingredientes!$E:$E,A31,Ingredientes!$F:$F)</f>
        <v>6.05</v>
      </c>
    </row>
    <row r="32" customFormat="false" ht="15" hidden="false" customHeight="false" outlineLevel="0" collapsed="false">
      <c r="A32" s="9" t="s">
        <v>115</v>
      </c>
      <c r="B32" s="9" t="s">
        <v>116</v>
      </c>
      <c r="C32" s="9" t="s">
        <v>117</v>
      </c>
      <c r="D32" s="9" t="n">
        <v>355</v>
      </c>
      <c r="E32" s="9" t="s">
        <v>61</v>
      </c>
      <c r="F32" s="10" t="n">
        <v>26</v>
      </c>
      <c r="G32" s="11" t="n">
        <f aca="false">IFERROR(F32/D32,0)</f>
        <v>0.0732394366197183</v>
      </c>
      <c r="H32" s="9" t="n">
        <f aca="false">COUNTIF(Ingredientes!$E:$E,A32)</f>
        <v>6</v>
      </c>
      <c r="I32" s="9" t="n">
        <f aca="false">SUMIF(Ingredientes!$E:$E,A32,Ingredientes!$F:$F)</f>
        <v>1610</v>
      </c>
    </row>
    <row r="33" customFormat="false" ht="15" hidden="false" customHeight="false" outlineLevel="0" collapsed="false">
      <c r="A33" s="9" t="s">
        <v>118</v>
      </c>
      <c r="B33" s="9" t="s">
        <v>119</v>
      </c>
      <c r="C33" s="9" t="s">
        <v>117</v>
      </c>
      <c r="D33" s="9" t="n">
        <v>355</v>
      </c>
      <c r="E33" s="9" t="s">
        <v>61</v>
      </c>
      <c r="F33" s="10" t="n">
        <v>30</v>
      </c>
      <c r="G33" s="11" t="n">
        <f aca="false">IFERROR(F33/D33,0)</f>
        <v>0.0845070422535211</v>
      </c>
      <c r="H33" s="9" t="n">
        <f aca="false">COUNTIF(Ingredientes!$E:$E,A33)</f>
        <v>2</v>
      </c>
      <c r="I33" s="9" t="n">
        <f aca="false">SUMIF(Ingredientes!$E:$E,A33,Ingredientes!$F:$F)</f>
        <v>605</v>
      </c>
    </row>
    <row r="34" customFormat="false" ht="15" hidden="false" customHeight="false" outlineLevel="0" collapsed="false">
      <c r="A34" s="9" t="s">
        <v>120</v>
      </c>
      <c r="B34" s="9" t="s">
        <v>121</v>
      </c>
      <c r="C34" s="9" t="s">
        <v>117</v>
      </c>
      <c r="D34" s="9" t="n">
        <v>355</v>
      </c>
      <c r="E34" s="9" t="s">
        <v>61</v>
      </c>
      <c r="F34" s="10" t="n">
        <v>42</v>
      </c>
      <c r="G34" s="11" t="n">
        <f aca="false">IFERROR(F34/D34,0)</f>
        <v>0.11830985915493</v>
      </c>
      <c r="H34" s="9" t="n">
        <f aca="false">COUNTIF(Ingredientes!$E:$E,A34)</f>
        <v>1</v>
      </c>
      <c r="I34" s="9" t="n">
        <f aca="false">SUMIF(Ingredientes!$E:$E,A34,Ingredientes!$F:$F)</f>
        <v>100</v>
      </c>
    </row>
    <row r="35" customFormat="false" ht="15" hidden="false" customHeight="false" outlineLevel="0" collapsed="false">
      <c r="A35" s="9" t="s">
        <v>122</v>
      </c>
      <c r="B35" s="9" t="s">
        <v>123</v>
      </c>
      <c r="C35" s="9" t="s">
        <v>117</v>
      </c>
      <c r="D35" s="9" t="n">
        <v>1000</v>
      </c>
      <c r="E35" s="9" t="s">
        <v>61</v>
      </c>
      <c r="F35" s="10" t="n">
        <v>75</v>
      </c>
      <c r="G35" s="11" t="n">
        <f aca="false">IFERROR(F35/D35,0)</f>
        <v>0.075</v>
      </c>
      <c r="H35" s="9" t="n">
        <f aca="false">COUNTIF(Ingredientes!$E:$E,A35)</f>
        <v>3</v>
      </c>
      <c r="I35" s="9" t="n">
        <f aca="false">SUMIF(Ingredientes!$E:$E,A35,Ingredientes!$F:$F)</f>
        <v>295</v>
      </c>
    </row>
    <row r="36" customFormat="false" ht="15" hidden="false" customHeight="false" outlineLevel="0" collapsed="false">
      <c r="A36" s="9" t="s">
        <v>124</v>
      </c>
      <c r="B36" s="9" t="s">
        <v>125</v>
      </c>
      <c r="C36" s="9" t="s">
        <v>117</v>
      </c>
      <c r="D36" s="9" t="n">
        <v>1000</v>
      </c>
      <c r="E36" s="9" t="s">
        <v>61</v>
      </c>
      <c r="F36" s="10" t="n">
        <v>60</v>
      </c>
      <c r="G36" s="11" t="n">
        <f aca="false">IFERROR(F36/D36,0)</f>
        <v>0.06</v>
      </c>
      <c r="H36" s="9" t="n">
        <f aca="false">COUNTIF(Ingredientes!$E:$E,A36)</f>
        <v>3</v>
      </c>
      <c r="I36" s="9" t="n">
        <f aca="false">SUMIF(Ingredientes!$E:$E,A36,Ingredientes!$F:$F)</f>
        <v>230</v>
      </c>
    </row>
    <row r="37" customFormat="false" ht="15" hidden="false" customHeight="false" outlineLevel="0" collapsed="false">
      <c r="A37" s="9" t="s">
        <v>126</v>
      </c>
      <c r="B37" s="9" t="s">
        <v>127</v>
      </c>
      <c r="C37" s="9" t="s">
        <v>117</v>
      </c>
      <c r="D37" s="9" t="n">
        <v>1000</v>
      </c>
      <c r="E37" s="9" t="s">
        <v>61</v>
      </c>
      <c r="F37" s="10" t="n">
        <v>55</v>
      </c>
      <c r="G37" s="11" t="n">
        <f aca="false">IFERROR(F37/D37,0)</f>
        <v>0.055</v>
      </c>
      <c r="H37" s="9" t="n">
        <f aca="false">COUNTIF(Ingredientes!$E:$E,A37)</f>
        <v>2</v>
      </c>
      <c r="I37" s="9" t="n">
        <f aca="false">SUMIF(Ingredientes!$E:$E,A37,Ingredientes!$F:$F)</f>
        <v>210</v>
      </c>
    </row>
    <row r="38" customFormat="false" ht="15" hidden="false" customHeight="false" outlineLevel="0" collapsed="false">
      <c r="A38" s="9" t="s">
        <v>128</v>
      </c>
      <c r="B38" s="9" t="s">
        <v>129</v>
      </c>
      <c r="C38" s="9" t="s">
        <v>130</v>
      </c>
      <c r="D38" s="9" t="n">
        <v>355</v>
      </c>
      <c r="E38" s="9" t="s">
        <v>61</v>
      </c>
      <c r="F38" s="10" t="n">
        <v>22</v>
      </c>
      <c r="G38" s="11" t="n">
        <f aca="false">IFERROR(F38/D38,0)</f>
        <v>0.0619718309859155</v>
      </c>
      <c r="H38" s="9" t="n">
        <f aca="false">COUNTIF(Ingredientes!$E:$E,A38)</f>
        <v>2</v>
      </c>
      <c r="I38" s="9" t="n">
        <f aca="false">SUMIF(Ingredientes!$E:$E,A38,Ingredientes!$F:$F)</f>
        <v>270</v>
      </c>
    </row>
    <row r="39" customFormat="false" ht="15" hidden="false" customHeight="false" outlineLevel="0" collapsed="false">
      <c r="A39" s="9" t="s">
        <v>131</v>
      </c>
      <c r="B39" s="9" t="s">
        <v>132</v>
      </c>
      <c r="C39" s="9" t="s">
        <v>130</v>
      </c>
      <c r="D39" s="9" t="n">
        <v>355</v>
      </c>
      <c r="E39" s="9" t="s">
        <v>61</v>
      </c>
      <c r="F39" s="10" t="n">
        <v>32</v>
      </c>
      <c r="G39" s="11" t="n">
        <f aca="false">IFERROR(F39/D39,0)</f>
        <v>0.0901408450704225</v>
      </c>
      <c r="H39" s="9" t="n">
        <f aca="false">COUNTIF(Ingredientes!$E:$E,A39)</f>
        <v>4</v>
      </c>
      <c r="I39" s="9" t="n">
        <f aca="false">SUMIF(Ingredientes!$E:$E,A39,Ingredientes!$F:$F)</f>
        <v>490</v>
      </c>
    </row>
    <row r="40" customFormat="false" ht="15" hidden="false" customHeight="false" outlineLevel="0" collapsed="false">
      <c r="A40" s="9" t="s">
        <v>133</v>
      </c>
      <c r="B40" s="9" t="s">
        <v>134</v>
      </c>
      <c r="C40" s="9" t="s">
        <v>130</v>
      </c>
      <c r="D40" s="9" t="n">
        <v>355</v>
      </c>
      <c r="E40" s="9" t="s">
        <v>61</v>
      </c>
      <c r="F40" s="10" t="n">
        <v>18</v>
      </c>
      <c r="G40" s="11" t="n">
        <f aca="false">IFERROR(F40/D40,0)</f>
        <v>0.0507042253521127</v>
      </c>
      <c r="H40" s="9" t="n">
        <f aca="false">COUNTIF(Ingredientes!$E:$E,A40)</f>
        <v>1</v>
      </c>
      <c r="I40" s="9" t="n">
        <f aca="false">SUMIF(Ingredientes!$E:$E,A40,Ingredientes!$F:$F)</f>
        <v>60</v>
      </c>
    </row>
    <row r="41" customFormat="false" ht="15" hidden="false" customHeight="false" outlineLevel="0" collapsed="false">
      <c r="A41" s="9" t="s">
        <v>135</v>
      </c>
      <c r="B41" s="9" t="s">
        <v>136</v>
      </c>
      <c r="C41" s="9" t="s">
        <v>130</v>
      </c>
      <c r="D41" s="9" t="n">
        <v>200</v>
      </c>
      <c r="E41" s="9" t="s">
        <v>61</v>
      </c>
      <c r="F41" s="10" t="n">
        <v>38</v>
      </c>
      <c r="G41" s="11" t="n">
        <f aca="false">IFERROR(F41/D41,0)</f>
        <v>0.19</v>
      </c>
      <c r="H41" s="9" t="n">
        <f aca="false">COUNTIF(Ingredientes!$E:$E,A41)</f>
        <v>1</v>
      </c>
      <c r="I41" s="9" t="n">
        <f aca="false">SUMIF(Ingredientes!$E:$E,A41,Ingredientes!$F:$F)</f>
        <v>80</v>
      </c>
    </row>
    <row r="42" customFormat="false" ht="15" hidden="false" customHeight="false" outlineLevel="0" collapsed="false">
      <c r="A42" s="9" t="s">
        <v>137</v>
      </c>
      <c r="B42" s="9" t="s">
        <v>138</v>
      </c>
      <c r="C42" s="9" t="s">
        <v>130</v>
      </c>
      <c r="D42" s="9" t="n">
        <v>1000</v>
      </c>
      <c r="E42" s="9" t="s">
        <v>61</v>
      </c>
      <c r="F42" s="10" t="n">
        <v>68</v>
      </c>
      <c r="G42" s="11" t="n">
        <f aca="false">IFERROR(F42/D42,0)</f>
        <v>0.068</v>
      </c>
      <c r="H42" s="9" t="n">
        <f aca="false">COUNTIF(Ingredientes!$E:$E,A42)</f>
        <v>3</v>
      </c>
      <c r="I42" s="9" t="n">
        <f aca="false">SUMIF(Ingredientes!$E:$E,A42,Ingredientes!$F:$F)</f>
        <v>390</v>
      </c>
    </row>
    <row r="43" customFormat="false" ht="15" hidden="false" customHeight="false" outlineLevel="0" collapsed="false">
      <c r="A43" s="9" t="s">
        <v>139</v>
      </c>
      <c r="B43" s="9" t="s">
        <v>140</v>
      </c>
      <c r="C43" s="9" t="s">
        <v>130</v>
      </c>
      <c r="D43" s="9" t="n">
        <v>1000</v>
      </c>
      <c r="E43" s="9" t="s">
        <v>61</v>
      </c>
      <c r="F43" s="10" t="n">
        <v>52</v>
      </c>
      <c r="G43" s="11" t="n">
        <f aca="false">IFERROR(F43/D43,0)</f>
        <v>0.052</v>
      </c>
      <c r="H43" s="9" t="n">
        <f aca="false">COUNTIF(Ingredientes!$E:$E,A43)</f>
        <v>1</v>
      </c>
      <c r="I43" s="9" t="n">
        <f aca="false">SUMIF(Ingredientes!$E:$E,A43,Ingredientes!$F:$F)</f>
        <v>60</v>
      </c>
    </row>
    <row r="44" customFormat="false" ht="15" hidden="false" customHeight="false" outlineLevel="0" collapsed="false">
      <c r="A44" s="9" t="s">
        <v>141</v>
      </c>
      <c r="B44" s="9" t="s">
        <v>142</v>
      </c>
      <c r="C44" s="9" t="s">
        <v>130</v>
      </c>
      <c r="D44" s="9" t="n">
        <v>20000</v>
      </c>
      <c r="E44" s="9" t="s">
        <v>61</v>
      </c>
      <c r="F44" s="10" t="n">
        <v>45</v>
      </c>
      <c r="G44" s="11" t="n">
        <f aca="false">IFERROR(F44/D44,0)</f>
        <v>0.00225</v>
      </c>
      <c r="H44" s="9" t="n">
        <f aca="false">COUNTIF(Ingredientes!$E:$E,A44)</f>
        <v>3</v>
      </c>
      <c r="I44" s="9" t="n">
        <f aca="false">SUMIF(Ingredientes!$E:$E,A44,Ingredientes!$F:$F)</f>
        <v>35</v>
      </c>
    </row>
    <row r="45" customFormat="false" ht="15" hidden="false" customHeight="false" outlineLevel="0" collapsed="false">
      <c r="A45" s="9" t="s">
        <v>143</v>
      </c>
      <c r="B45" s="9" t="s">
        <v>144</v>
      </c>
      <c r="C45" s="9" t="s">
        <v>130</v>
      </c>
      <c r="D45" s="9" t="n">
        <v>1000</v>
      </c>
      <c r="E45" s="9" t="s">
        <v>61</v>
      </c>
      <c r="F45" s="10" t="n">
        <v>95</v>
      </c>
      <c r="G45" s="11" t="n">
        <f aca="false">IFERROR(F45/D45,0)</f>
        <v>0.095</v>
      </c>
      <c r="H45" s="9" t="n">
        <f aca="false">COUNTIF(Ingredientes!$E:$E,A45)</f>
        <v>1</v>
      </c>
      <c r="I45" s="9" t="n">
        <f aca="false">SUMIF(Ingredientes!$E:$E,A45,Ingredientes!$F:$F)</f>
        <v>90</v>
      </c>
    </row>
    <row r="46" customFormat="false" ht="15" hidden="false" customHeight="false" outlineLevel="0" collapsed="false">
      <c r="A46" s="9" t="s">
        <v>145</v>
      </c>
      <c r="B46" s="9" t="s">
        <v>146</v>
      </c>
      <c r="C46" s="9" t="s">
        <v>147</v>
      </c>
      <c r="D46" s="9" t="n">
        <v>1000</v>
      </c>
      <c r="E46" s="9" t="s">
        <v>61</v>
      </c>
      <c r="F46" s="10" t="n">
        <v>95</v>
      </c>
      <c r="G46" s="11" t="n">
        <f aca="false">IFERROR(F46/D46,0)</f>
        <v>0.095</v>
      </c>
      <c r="H46" s="9" t="n">
        <f aca="false">COUNTIF(Ingredientes!$E:$E,A46)</f>
        <v>23</v>
      </c>
      <c r="I46" s="9" t="n">
        <f aca="false">SUMIF(Ingredientes!$E:$E,A46,Ingredientes!$F:$F)</f>
        <v>485</v>
      </c>
    </row>
    <row r="47" customFormat="false" ht="15" hidden="false" customHeight="false" outlineLevel="0" collapsed="false">
      <c r="A47" s="9" t="s">
        <v>148</v>
      </c>
      <c r="B47" s="9" t="s">
        <v>149</v>
      </c>
      <c r="C47" s="9" t="s">
        <v>147</v>
      </c>
      <c r="D47" s="9" t="n">
        <v>1000</v>
      </c>
      <c r="E47" s="9" t="s">
        <v>61</v>
      </c>
      <c r="F47" s="10" t="n">
        <v>110</v>
      </c>
      <c r="G47" s="11" t="n">
        <f aca="false">IFERROR(F47/D47,0)</f>
        <v>0.11</v>
      </c>
      <c r="H47" s="9" t="n">
        <f aca="false">COUNTIF(Ingredientes!$E:$E,A47)</f>
        <v>17</v>
      </c>
      <c r="I47" s="9" t="n">
        <f aca="false">SUMIF(Ingredientes!$E:$E,A47,Ingredientes!$F:$F)</f>
        <v>359.5</v>
      </c>
    </row>
    <row r="48" customFormat="false" ht="15" hidden="false" customHeight="false" outlineLevel="0" collapsed="false">
      <c r="A48" s="9" t="s">
        <v>150</v>
      </c>
      <c r="B48" s="9" t="s">
        <v>151</v>
      </c>
      <c r="C48" s="9" t="s">
        <v>147</v>
      </c>
      <c r="D48" s="9" t="n">
        <v>1000</v>
      </c>
      <c r="E48" s="9" t="s">
        <v>61</v>
      </c>
      <c r="F48" s="10" t="n">
        <v>145</v>
      </c>
      <c r="G48" s="11" t="n">
        <f aca="false">IFERROR(F48/D48,0)</f>
        <v>0.145</v>
      </c>
      <c r="H48" s="9" t="n">
        <f aca="false">COUNTIF(Ingredientes!$E:$E,A48)</f>
        <v>1</v>
      </c>
      <c r="I48" s="9" t="n">
        <f aca="false">SUMIF(Ingredientes!$E:$E,A48,Ingredientes!$F:$F)</f>
        <v>30</v>
      </c>
    </row>
    <row r="49" customFormat="false" ht="15" hidden="false" customHeight="false" outlineLevel="0" collapsed="false">
      <c r="A49" s="9" t="s">
        <v>152</v>
      </c>
      <c r="B49" s="9" t="s">
        <v>153</v>
      </c>
      <c r="C49" s="9" t="s">
        <v>147</v>
      </c>
      <c r="D49" s="9" t="n">
        <v>1000</v>
      </c>
      <c r="E49" s="9" t="s">
        <v>61</v>
      </c>
      <c r="F49" s="10" t="n">
        <v>58</v>
      </c>
      <c r="G49" s="11" t="n">
        <f aca="false">IFERROR(F49/D49,0)</f>
        <v>0.058</v>
      </c>
      <c r="H49" s="9" t="n">
        <f aca="false">COUNTIF(Ingredientes!$E:$E,A49)</f>
        <v>6</v>
      </c>
      <c r="I49" s="9" t="n">
        <f aca="false">SUMIF(Ingredientes!$E:$E,A49,Ingredientes!$F:$F)</f>
        <v>220</v>
      </c>
    </row>
    <row r="50" customFormat="false" ht="15" hidden="false" customHeight="false" outlineLevel="0" collapsed="false">
      <c r="A50" s="9" t="s">
        <v>154</v>
      </c>
      <c r="B50" s="9" t="s">
        <v>155</v>
      </c>
      <c r="C50" s="9" t="s">
        <v>147</v>
      </c>
      <c r="D50" s="9" t="n">
        <v>1000</v>
      </c>
      <c r="E50" s="9" t="s">
        <v>61</v>
      </c>
      <c r="F50" s="10" t="n">
        <v>78</v>
      </c>
      <c r="G50" s="11" t="n">
        <f aca="false">IFERROR(F50/D50,0)</f>
        <v>0.078</v>
      </c>
      <c r="H50" s="9" t="n">
        <f aca="false">COUNTIF(Ingredientes!$E:$E,A50)</f>
        <v>2</v>
      </c>
      <c r="I50" s="9" t="n">
        <f aca="false">SUMIF(Ingredientes!$E:$E,A50,Ingredientes!$F:$F)</f>
        <v>110</v>
      </c>
    </row>
    <row r="51" customFormat="false" ht="15" hidden="false" customHeight="false" outlineLevel="0" collapsed="false">
      <c r="A51" s="9" t="s">
        <v>156</v>
      </c>
      <c r="B51" s="9" t="s">
        <v>157</v>
      </c>
      <c r="C51" s="9" t="s">
        <v>147</v>
      </c>
      <c r="D51" s="9" t="n">
        <v>1000</v>
      </c>
      <c r="E51" s="9" t="s">
        <v>61</v>
      </c>
      <c r="F51" s="10" t="n">
        <v>82</v>
      </c>
      <c r="G51" s="11" t="n">
        <f aca="false">IFERROR(F51/D51,0)</f>
        <v>0.082</v>
      </c>
      <c r="H51" s="9" t="n">
        <f aca="false">COUNTIF(Ingredientes!$E:$E,A51)</f>
        <v>3</v>
      </c>
      <c r="I51" s="9" t="n">
        <f aca="false">SUMIF(Ingredientes!$E:$E,A51,Ingredientes!$F:$F)</f>
        <v>70</v>
      </c>
    </row>
    <row r="52" customFormat="false" ht="15" hidden="false" customHeight="false" outlineLevel="0" collapsed="false">
      <c r="A52" s="9" t="s">
        <v>158</v>
      </c>
      <c r="B52" s="9" t="s">
        <v>159</v>
      </c>
      <c r="C52" s="9" t="s">
        <v>147</v>
      </c>
      <c r="D52" s="9" t="n">
        <v>1000</v>
      </c>
      <c r="E52" s="9" t="s">
        <v>61</v>
      </c>
      <c r="F52" s="10" t="n">
        <v>78</v>
      </c>
      <c r="G52" s="11" t="n">
        <f aca="false">IFERROR(F52/D52,0)</f>
        <v>0.078</v>
      </c>
      <c r="H52" s="9" t="n">
        <f aca="false">COUNTIF(Ingredientes!$E:$E,A52)</f>
        <v>1</v>
      </c>
      <c r="I52" s="9" t="n">
        <f aca="false">SUMIF(Ingredientes!$E:$E,A52,Ingredientes!$F:$F)</f>
        <v>25</v>
      </c>
    </row>
    <row r="53" customFormat="false" ht="15" hidden="false" customHeight="false" outlineLevel="0" collapsed="false">
      <c r="A53" s="9" t="s">
        <v>160</v>
      </c>
      <c r="B53" s="9" t="s">
        <v>161</v>
      </c>
      <c r="C53" s="9" t="s">
        <v>147</v>
      </c>
      <c r="D53" s="9" t="n">
        <v>1000</v>
      </c>
      <c r="E53" s="9" t="s">
        <v>61</v>
      </c>
      <c r="F53" s="10" t="n">
        <v>48</v>
      </c>
      <c r="G53" s="11" t="n">
        <f aca="false">IFERROR(F53/D53,0)</f>
        <v>0.048</v>
      </c>
      <c r="H53" s="9" t="n">
        <f aca="false">COUNTIF(Ingredientes!$E:$E,A53)</f>
        <v>4</v>
      </c>
      <c r="I53" s="9" t="n">
        <f aca="false">SUMIF(Ingredientes!$E:$E,A53,Ingredientes!$F:$F)</f>
        <v>160</v>
      </c>
    </row>
    <row r="54" customFormat="false" ht="15" hidden="false" customHeight="false" outlineLevel="0" collapsed="false">
      <c r="A54" s="9" t="s">
        <v>162</v>
      </c>
      <c r="B54" s="9" t="s">
        <v>163</v>
      </c>
      <c r="C54" s="9" t="s">
        <v>147</v>
      </c>
      <c r="D54" s="9" t="n">
        <v>1000</v>
      </c>
      <c r="E54" s="9" t="s">
        <v>61</v>
      </c>
      <c r="F54" s="10" t="n">
        <v>78</v>
      </c>
      <c r="G54" s="11" t="n">
        <f aca="false">IFERROR(F54/D54,0)</f>
        <v>0.078</v>
      </c>
      <c r="H54" s="9" t="n">
        <f aca="false">COUNTIF(Ingredientes!$E:$E,A54)</f>
        <v>1</v>
      </c>
      <c r="I54" s="9" t="n">
        <f aca="false">SUMIF(Ingredientes!$E:$E,A54,Ingredientes!$F:$F)</f>
        <v>35</v>
      </c>
    </row>
    <row r="55" customFormat="false" ht="15" hidden="false" customHeight="false" outlineLevel="0" collapsed="false">
      <c r="A55" s="9" t="s">
        <v>164</v>
      </c>
      <c r="B55" s="9" t="s">
        <v>165</v>
      </c>
      <c r="C55" s="9" t="s">
        <v>147</v>
      </c>
      <c r="D55" s="9" t="n">
        <v>1000</v>
      </c>
      <c r="E55" s="9" t="s">
        <v>61</v>
      </c>
      <c r="F55" s="10" t="n">
        <v>68</v>
      </c>
      <c r="G55" s="11" t="n">
        <f aca="false">IFERROR(F55/D55,0)</f>
        <v>0.068</v>
      </c>
      <c r="H55" s="9" t="n">
        <f aca="false">COUNTIF(Ingredientes!$E:$E,A55)</f>
        <v>1</v>
      </c>
      <c r="I55" s="9" t="n">
        <f aca="false">SUMIF(Ingredientes!$E:$E,A55,Ingredientes!$F:$F)</f>
        <v>20</v>
      </c>
    </row>
    <row r="56" customFormat="false" ht="15" hidden="false" customHeight="false" outlineLevel="0" collapsed="false">
      <c r="A56" s="9" t="s">
        <v>166</v>
      </c>
      <c r="B56" s="9" t="s">
        <v>167</v>
      </c>
      <c r="C56" s="9" t="s">
        <v>147</v>
      </c>
      <c r="D56" s="9" t="n">
        <v>1000</v>
      </c>
      <c r="E56" s="9" t="s">
        <v>61</v>
      </c>
      <c r="F56" s="10" t="n">
        <v>72</v>
      </c>
      <c r="G56" s="11" t="n">
        <f aca="false">IFERROR(F56/D56,0)</f>
        <v>0.072</v>
      </c>
      <c r="H56" s="9" t="n">
        <f aca="false">COUNTIF(Ingredientes!$E:$E,A56)</f>
        <v>2</v>
      </c>
      <c r="I56" s="9" t="n">
        <f aca="false">SUMIF(Ingredientes!$E:$E,A56,Ingredientes!$F:$F)</f>
        <v>40</v>
      </c>
    </row>
    <row r="57" customFormat="false" ht="15" hidden="false" customHeight="false" outlineLevel="0" collapsed="false">
      <c r="A57" s="9" t="s">
        <v>168</v>
      </c>
      <c r="B57" s="9" t="s">
        <v>169</v>
      </c>
      <c r="C57" s="9" t="s">
        <v>147</v>
      </c>
      <c r="D57" s="9" t="n">
        <v>1000</v>
      </c>
      <c r="E57" s="9" t="s">
        <v>170</v>
      </c>
      <c r="F57" s="10" t="n">
        <v>68</v>
      </c>
      <c r="G57" s="11" t="n">
        <f aca="false">IFERROR(F57/D57,0)</f>
        <v>0.068</v>
      </c>
      <c r="H57" s="9" t="n">
        <f aca="false">COUNTIF(Ingredientes!$E:$E,A57)</f>
        <v>1</v>
      </c>
      <c r="I57" s="9" t="n">
        <f aca="false">SUMIF(Ingredientes!$E:$E,A57,Ingredientes!$F:$F)</f>
        <v>45</v>
      </c>
    </row>
    <row r="58" customFormat="false" ht="15" hidden="false" customHeight="false" outlineLevel="0" collapsed="false">
      <c r="A58" s="9" t="s">
        <v>171</v>
      </c>
      <c r="B58" s="9" t="s">
        <v>172</v>
      </c>
      <c r="C58" s="9" t="s">
        <v>147</v>
      </c>
      <c r="D58" s="9" t="n">
        <v>1000</v>
      </c>
      <c r="E58" s="9" t="s">
        <v>170</v>
      </c>
      <c r="F58" s="10" t="n">
        <v>42</v>
      </c>
      <c r="G58" s="11" t="n">
        <f aca="false">IFERROR(F58/D58,0)</f>
        <v>0.042</v>
      </c>
      <c r="H58" s="9" t="n">
        <f aca="false">COUNTIF(Ingredientes!$E:$E,A58)</f>
        <v>3</v>
      </c>
      <c r="I58" s="9" t="n">
        <f aca="false">SUMIF(Ingredientes!$E:$E,A58,Ingredientes!$F:$F)</f>
        <v>79</v>
      </c>
    </row>
    <row r="59" customFormat="false" ht="15" hidden="false" customHeight="false" outlineLevel="0" collapsed="false">
      <c r="A59" s="9" t="s">
        <v>173</v>
      </c>
      <c r="B59" s="9" t="s">
        <v>174</v>
      </c>
      <c r="C59" s="9" t="s">
        <v>147</v>
      </c>
      <c r="D59" s="9" t="n">
        <v>1000</v>
      </c>
      <c r="E59" s="9" t="s">
        <v>170</v>
      </c>
      <c r="F59" s="10" t="n">
        <v>145</v>
      </c>
      <c r="G59" s="11" t="n">
        <f aca="false">IFERROR(F59/D59,0)</f>
        <v>0.145</v>
      </c>
      <c r="H59" s="9" t="n">
        <f aca="false">COUNTIF(Ingredientes!$E:$E,A59)</f>
        <v>1</v>
      </c>
      <c r="I59" s="9" t="n">
        <f aca="false">SUMIF(Ingredientes!$E:$E,A59,Ingredientes!$F:$F)</f>
        <v>25</v>
      </c>
    </row>
    <row r="60" customFormat="false" ht="15" hidden="false" customHeight="false" outlineLevel="0" collapsed="false">
      <c r="A60" s="9" t="s">
        <v>175</v>
      </c>
      <c r="B60" s="9" t="s">
        <v>176</v>
      </c>
      <c r="C60" s="9" t="s">
        <v>147</v>
      </c>
      <c r="D60" s="9" t="n">
        <v>1000</v>
      </c>
      <c r="E60" s="9" t="s">
        <v>61</v>
      </c>
      <c r="F60" s="10" t="n">
        <v>135</v>
      </c>
      <c r="G60" s="11" t="n">
        <f aca="false">IFERROR(F60/D60,0)</f>
        <v>0.135</v>
      </c>
      <c r="H60" s="9" t="n">
        <f aca="false">COUNTIF(Ingredientes!$E:$E,A60)</f>
        <v>1</v>
      </c>
      <c r="I60" s="9" t="n">
        <f aca="false">SUMIF(Ingredientes!$E:$E,A60,Ingredientes!$F:$F)</f>
        <v>40</v>
      </c>
    </row>
    <row r="61" customFormat="false" ht="15" hidden="false" customHeight="false" outlineLevel="0" collapsed="false">
      <c r="A61" s="9" t="s">
        <v>177</v>
      </c>
      <c r="B61" s="9" t="s">
        <v>178</v>
      </c>
      <c r="C61" s="9" t="s">
        <v>147</v>
      </c>
      <c r="D61" s="9" t="n">
        <v>1000</v>
      </c>
      <c r="E61" s="9" t="s">
        <v>61</v>
      </c>
      <c r="F61" s="10" t="n">
        <v>88</v>
      </c>
      <c r="G61" s="11" t="n">
        <f aca="false">IFERROR(F61/D61,0)</f>
        <v>0.088</v>
      </c>
      <c r="H61" s="9" t="n">
        <f aca="false">COUNTIF(Ingredientes!$E:$E,A61)</f>
        <v>1</v>
      </c>
      <c r="I61" s="9" t="n">
        <f aca="false">SUMIF(Ingredientes!$E:$E,A61,Ingredientes!$F:$F)</f>
        <v>45</v>
      </c>
    </row>
    <row r="62" customFormat="false" ht="15" hidden="false" customHeight="false" outlineLevel="0" collapsed="false">
      <c r="A62" s="9" t="s">
        <v>179</v>
      </c>
      <c r="B62" s="9" t="s">
        <v>180</v>
      </c>
      <c r="C62" s="9" t="s">
        <v>147</v>
      </c>
      <c r="D62" s="9" t="n">
        <v>1000</v>
      </c>
      <c r="E62" s="9" t="s">
        <v>170</v>
      </c>
      <c r="F62" s="10" t="n">
        <v>26</v>
      </c>
      <c r="G62" s="11" t="n">
        <f aca="false">IFERROR(F62/D62,0)</f>
        <v>0.026</v>
      </c>
      <c r="H62" s="9" t="n">
        <f aca="false">COUNTIF(Ingredientes!$E:$E,A62)</f>
        <v>4</v>
      </c>
      <c r="I62" s="9" t="n">
        <f aca="false">SUMIF(Ingredientes!$E:$E,A62,Ingredientes!$F:$F)</f>
        <v>103</v>
      </c>
    </row>
    <row r="63" customFormat="false" ht="15" hidden="false" customHeight="false" outlineLevel="0" collapsed="false">
      <c r="A63" s="9" t="s">
        <v>181</v>
      </c>
      <c r="B63" s="9" t="s">
        <v>182</v>
      </c>
      <c r="C63" s="9" t="s">
        <v>147</v>
      </c>
      <c r="D63" s="9" t="n">
        <v>1000</v>
      </c>
      <c r="E63" s="9" t="s">
        <v>170</v>
      </c>
      <c r="F63" s="10" t="n">
        <v>120</v>
      </c>
      <c r="G63" s="11" t="n">
        <f aca="false">IFERROR(F63/D63,0)</f>
        <v>0.12</v>
      </c>
      <c r="H63" s="9" t="n">
        <f aca="false">COUNTIF(Ingredientes!$E:$E,A63)</f>
        <v>1</v>
      </c>
      <c r="I63" s="9" t="n">
        <f aca="false">SUMIF(Ingredientes!$E:$E,A63,Ingredientes!$F:$F)</f>
        <v>60</v>
      </c>
    </row>
    <row r="64" customFormat="false" ht="15" hidden="false" customHeight="false" outlineLevel="0" collapsed="false">
      <c r="A64" s="9" t="s">
        <v>183</v>
      </c>
      <c r="B64" s="9" t="s">
        <v>184</v>
      </c>
      <c r="C64" s="9" t="s">
        <v>147</v>
      </c>
      <c r="D64" s="9" t="n">
        <v>1000</v>
      </c>
      <c r="E64" s="9" t="s">
        <v>170</v>
      </c>
      <c r="F64" s="10" t="n">
        <v>55</v>
      </c>
      <c r="G64" s="11" t="n">
        <f aca="false">IFERROR(F64/D64,0)</f>
        <v>0.055</v>
      </c>
      <c r="H64" s="9" t="n">
        <f aca="false">COUNTIF(Ingredientes!$E:$E,A64)</f>
        <v>2</v>
      </c>
      <c r="I64" s="9" t="n">
        <f aca="false">SUMIF(Ingredientes!$E:$E,A64,Ingredientes!$F:$F)</f>
        <v>30</v>
      </c>
    </row>
    <row r="65" customFormat="false" ht="15" hidden="false" customHeight="false" outlineLevel="0" collapsed="false">
      <c r="A65" s="9" t="s">
        <v>185</v>
      </c>
      <c r="B65" s="9" t="s">
        <v>186</v>
      </c>
      <c r="C65" s="9" t="s">
        <v>187</v>
      </c>
      <c r="D65" s="9" t="n">
        <v>1000</v>
      </c>
      <c r="E65" s="9" t="s">
        <v>61</v>
      </c>
      <c r="F65" s="10" t="n">
        <v>42</v>
      </c>
      <c r="G65" s="11" t="n">
        <f aca="false">IFERROR(F65/D65,0)</f>
        <v>0.042</v>
      </c>
      <c r="H65" s="9" t="n">
        <f aca="false">COUNTIF(Ingredientes!$E:$E,A65)</f>
        <v>12</v>
      </c>
      <c r="I65" s="9" t="n">
        <f aca="false">SUMIF(Ingredientes!$E:$E,A65,Ingredientes!$F:$F)</f>
        <v>280</v>
      </c>
    </row>
    <row r="66" customFormat="false" ht="15" hidden="false" customHeight="false" outlineLevel="0" collapsed="false">
      <c r="A66" s="9" t="s">
        <v>188</v>
      </c>
      <c r="B66" s="9" t="s">
        <v>189</v>
      </c>
      <c r="C66" s="9" t="s">
        <v>187</v>
      </c>
      <c r="D66" s="9" t="n">
        <v>1000</v>
      </c>
      <c r="E66" s="9" t="s">
        <v>61</v>
      </c>
      <c r="F66" s="10" t="n">
        <v>185</v>
      </c>
      <c r="G66" s="11" t="n">
        <f aca="false">IFERROR(F66/D66,0)</f>
        <v>0.185</v>
      </c>
      <c r="H66" s="9" t="n">
        <f aca="false">COUNTIF(Ingredientes!$E:$E,A66)</f>
        <v>8</v>
      </c>
      <c r="I66" s="9" t="n">
        <f aca="false">SUMIF(Ingredientes!$E:$E,A66,Ingredientes!$F:$F)</f>
        <v>103</v>
      </c>
    </row>
    <row r="67" customFormat="false" ht="15" hidden="false" customHeight="false" outlineLevel="0" collapsed="false">
      <c r="A67" s="9" t="s">
        <v>190</v>
      </c>
      <c r="B67" s="9" t="s">
        <v>191</v>
      </c>
      <c r="C67" s="9" t="s">
        <v>187</v>
      </c>
      <c r="D67" s="9" t="n">
        <v>1000</v>
      </c>
      <c r="E67" s="9" t="s">
        <v>61</v>
      </c>
      <c r="F67" s="10" t="n">
        <v>165</v>
      </c>
      <c r="G67" s="11" t="n">
        <f aca="false">IFERROR(F67/D67,0)</f>
        <v>0.165</v>
      </c>
      <c r="H67" s="9" t="n">
        <f aca="false">COUNTIF(Ingredientes!$E:$E,A67)</f>
        <v>1</v>
      </c>
      <c r="I67" s="9" t="n">
        <f aca="false">SUMIF(Ingredientes!$E:$E,A67,Ingredientes!$F:$F)</f>
        <v>20</v>
      </c>
    </row>
    <row r="68" customFormat="false" ht="15" hidden="false" customHeight="false" outlineLevel="0" collapsed="false">
      <c r="A68" s="9" t="s">
        <v>192</v>
      </c>
      <c r="B68" s="9" t="s">
        <v>193</v>
      </c>
      <c r="C68" s="9" t="s">
        <v>187</v>
      </c>
      <c r="D68" s="9" t="n">
        <v>1000</v>
      </c>
      <c r="E68" s="9" t="s">
        <v>61</v>
      </c>
      <c r="F68" s="10" t="n">
        <v>62</v>
      </c>
      <c r="G68" s="11" t="n">
        <f aca="false">IFERROR(F68/D68,0)</f>
        <v>0.062</v>
      </c>
      <c r="H68" s="9" t="n">
        <f aca="false">COUNTIF(Ingredientes!$E:$E,A68)</f>
        <v>6</v>
      </c>
      <c r="I68" s="9" t="n">
        <f aca="false">SUMIF(Ingredientes!$E:$E,A68,Ingredientes!$F:$F)</f>
        <v>95</v>
      </c>
    </row>
    <row r="69" customFormat="false" ht="15" hidden="false" customHeight="false" outlineLevel="0" collapsed="false">
      <c r="A69" s="9" t="s">
        <v>194</v>
      </c>
      <c r="B69" s="9" t="s">
        <v>195</v>
      </c>
      <c r="C69" s="9" t="s">
        <v>187</v>
      </c>
      <c r="D69" s="9" t="n">
        <v>500</v>
      </c>
      <c r="E69" s="9" t="s">
        <v>61</v>
      </c>
      <c r="F69" s="10" t="n">
        <v>245</v>
      </c>
      <c r="G69" s="11" t="n">
        <f aca="false">IFERROR(F69/D69,0)</f>
        <v>0.49</v>
      </c>
      <c r="H69" s="9" t="n">
        <f aca="false">COUNTIF(Ingredientes!$E:$E,A69)</f>
        <v>0</v>
      </c>
      <c r="I69" s="9" t="n">
        <f aca="false">SUMIF(Ingredientes!$E:$E,A69,Ingredientes!$F:$F)</f>
        <v>0</v>
      </c>
    </row>
    <row r="70" customFormat="false" ht="15" hidden="false" customHeight="false" outlineLevel="0" collapsed="false">
      <c r="A70" s="9" t="s">
        <v>196</v>
      </c>
      <c r="B70" s="9" t="s">
        <v>197</v>
      </c>
      <c r="C70" s="9" t="s">
        <v>187</v>
      </c>
      <c r="D70" s="9" t="n">
        <v>1000</v>
      </c>
      <c r="E70" s="9" t="s">
        <v>61</v>
      </c>
      <c r="F70" s="10" t="n">
        <v>130</v>
      </c>
      <c r="G70" s="11" t="n">
        <f aca="false">IFERROR(F70/D70,0)</f>
        <v>0.13</v>
      </c>
      <c r="H70" s="9" t="n">
        <f aca="false">COUNTIF(Ingredientes!$E:$E,A70)</f>
        <v>1</v>
      </c>
      <c r="I70" s="9" t="n">
        <f aca="false">SUMIF(Ingredientes!$E:$E,A70,Ingredientes!$F:$F)</f>
        <v>20</v>
      </c>
    </row>
    <row r="71" customFormat="false" ht="15" hidden="false" customHeight="false" outlineLevel="0" collapsed="false">
      <c r="A71" s="9" t="s">
        <v>198</v>
      </c>
      <c r="B71" s="9" t="s">
        <v>199</v>
      </c>
      <c r="C71" s="9" t="s">
        <v>187</v>
      </c>
      <c r="D71" s="9" t="n">
        <v>500</v>
      </c>
      <c r="E71" s="9" t="s">
        <v>61</v>
      </c>
      <c r="F71" s="10" t="n">
        <v>85</v>
      </c>
      <c r="G71" s="11" t="n">
        <f aca="false">IFERROR(F71/D71,0)</f>
        <v>0.17</v>
      </c>
      <c r="H71" s="9" t="n">
        <f aca="false">COUNTIF(Ingredientes!$E:$E,A71)</f>
        <v>1</v>
      </c>
      <c r="I71" s="9" t="n">
        <f aca="false">SUMIF(Ingredientes!$E:$E,A71,Ingredientes!$F:$F)</f>
        <v>20</v>
      </c>
    </row>
    <row r="72" customFormat="false" ht="15" hidden="false" customHeight="false" outlineLevel="0" collapsed="false">
      <c r="A72" s="9" t="s">
        <v>200</v>
      </c>
      <c r="B72" s="9" t="s">
        <v>201</v>
      </c>
      <c r="C72" s="9" t="s">
        <v>187</v>
      </c>
      <c r="D72" s="9" t="n">
        <v>500</v>
      </c>
      <c r="E72" s="9" t="s">
        <v>61</v>
      </c>
      <c r="F72" s="10" t="n">
        <v>95</v>
      </c>
      <c r="G72" s="11" t="n">
        <f aca="false">IFERROR(F72/D72,0)</f>
        <v>0.19</v>
      </c>
      <c r="H72" s="9" t="n">
        <f aca="false">COUNTIF(Ingredientes!$E:$E,A72)</f>
        <v>1</v>
      </c>
      <c r="I72" s="9" t="n">
        <f aca="false">SUMIF(Ingredientes!$E:$E,A72,Ingredientes!$F:$F)</f>
        <v>25</v>
      </c>
    </row>
    <row r="73" customFormat="false" ht="15" hidden="false" customHeight="false" outlineLevel="0" collapsed="false">
      <c r="A73" s="9" t="s">
        <v>202</v>
      </c>
      <c r="B73" s="9" t="s">
        <v>203</v>
      </c>
      <c r="C73" s="9" t="s">
        <v>187</v>
      </c>
      <c r="D73" s="9" t="n">
        <v>500</v>
      </c>
      <c r="E73" s="9" t="s">
        <v>61</v>
      </c>
      <c r="F73" s="10" t="n">
        <v>90</v>
      </c>
      <c r="G73" s="11" t="n">
        <f aca="false">IFERROR(F73/D73,0)</f>
        <v>0.18</v>
      </c>
      <c r="H73" s="9" t="n">
        <f aca="false">COUNTIF(Ingredientes!$E:$E,A73)</f>
        <v>1</v>
      </c>
      <c r="I73" s="9" t="n">
        <f aca="false">SUMIF(Ingredientes!$E:$E,A73,Ingredientes!$F:$F)</f>
        <v>25</v>
      </c>
    </row>
    <row r="74" customFormat="false" ht="15" hidden="false" customHeight="false" outlineLevel="0" collapsed="false">
      <c r="A74" s="9" t="s">
        <v>204</v>
      </c>
      <c r="B74" s="9" t="s">
        <v>205</v>
      </c>
      <c r="C74" s="9" t="s">
        <v>187</v>
      </c>
      <c r="D74" s="9" t="n">
        <v>500</v>
      </c>
      <c r="E74" s="9" t="s">
        <v>61</v>
      </c>
      <c r="F74" s="10" t="n">
        <v>145</v>
      </c>
      <c r="G74" s="11" t="n">
        <f aca="false">IFERROR(F74/D74,0)</f>
        <v>0.29</v>
      </c>
      <c r="H74" s="9" t="n">
        <f aca="false">COUNTIF(Ingredientes!$E:$E,A74)</f>
        <v>1</v>
      </c>
      <c r="I74" s="9" t="n">
        <f aca="false">SUMIF(Ingredientes!$E:$E,A74,Ingredientes!$F:$F)</f>
        <v>25</v>
      </c>
    </row>
    <row r="75" customFormat="false" ht="15" hidden="false" customHeight="false" outlineLevel="0" collapsed="false">
      <c r="A75" s="9" t="s">
        <v>206</v>
      </c>
      <c r="B75" s="9" t="s">
        <v>207</v>
      </c>
      <c r="C75" s="9" t="s">
        <v>187</v>
      </c>
      <c r="D75" s="9" t="n">
        <v>500</v>
      </c>
      <c r="E75" s="9" t="s">
        <v>61</v>
      </c>
      <c r="F75" s="10" t="n">
        <v>78</v>
      </c>
      <c r="G75" s="11" t="n">
        <f aca="false">IFERROR(F75/D75,0)</f>
        <v>0.156</v>
      </c>
      <c r="H75" s="9" t="n">
        <f aca="false">COUNTIF(Ingredientes!$E:$E,A75)</f>
        <v>1</v>
      </c>
      <c r="I75" s="9" t="n">
        <f aca="false">SUMIF(Ingredientes!$E:$E,A75,Ingredientes!$F:$F)</f>
        <v>15</v>
      </c>
    </row>
    <row r="76" customFormat="false" ht="15" hidden="false" customHeight="false" outlineLevel="0" collapsed="false">
      <c r="A76" s="9" t="s">
        <v>208</v>
      </c>
      <c r="B76" s="9" t="s">
        <v>209</v>
      </c>
      <c r="C76" s="9" t="s">
        <v>187</v>
      </c>
      <c r="D76" s="9" t="n">
        <v>387</v>
      </c>
      <c r="E76" s="9" t="s">
        <v>170</v>
      </c>
      <c r="F76" s="10" t="n">
        <v>34</v>
      </c>
      <c r="G76" s="11" t="n">
        <f aca="false">IFERROR(F76/D76,0)</f>
        <v>0.0878552971576227</v>
      </c>
      <c r="H76" s="9" t="n">
        <f aca="false">COUNTIF(Ingredientes!$E:$E,A76)</f>
        <v>0</v>
      </c>
      <c r="I76" s="9" t="n">
        <f aca="false">SUMIF(Ingredientes!$E:$E,A76,Ingredientes!$F:$F)</f>
        <v>0</v>
      </c>
    </row>
    <row r="77" customFormat="false" ht="15" hidden="false" customHeight="false" outlineLevel="0" collapsed="false">
      <c r="A77" s="9" t="s">
        <v>210</v>
      </c>
      <c r="B77" s="9" t="s">
        <v>211</v>
      </c>
      <c r="C77" s="9" t="s">
        <v>187</v>
      </c>
      <c r="D77" s="9" t="n">
        <v>360</v>
      </c>
      <c r="E77" s="9" t="s">
        <v>61</v>
      </c>
      <c r="F77" s="10" t="n">
        <v>24</v>
      </c>
      <c r="G77" s="11" t="n">
        <f aca="false">IFERROR(F77/D77,0)</f>
        <v>0.0666666666666667</v>
      </c>
      <c r="H77" s="9" t="n">
        <f aca="false">COUNTIF(Ingredientes!$E:$E,A77)</f>
        <v>1</v>
      </c>
      <c r="I77" s="9" t="n">
        <f aca="false">SUMIF(Ingredientes!$E:$E,A77,Ingredientes!$F:$F)</f>
        <v>30</v>
      </c>
    </row>
    <row r="78" customFormat="false" ht="15" hidden="false" customHeight="false" outlineLevel="0" collapsed="false">
      <c r="A78" s="9" t="s">
        <v>212</v>
      </c>
      <c r="B78" s="9" t="s">
        <v>213</v>
      </c>
      <c r="C78" s="9" t="s">
        <v>214</v>
      </c>
      <c r="D78" s="9" t="n">
        <v>250</v>
      </c>
      <c r="E78" s="9" t="s">
        <v>170</v>
      </c>
      <c r="F78" s="10" t="n">
        <v>195</v>
      </c>
      <c r="G78" s="11" t="n">
        <f aca="false">IFERROR(F78/D78,0)</f>
        <v>0.78</v>
      </c>
      <c r="H78" s="9" t="n">
        <f aca="false">COUNTIF(Ingredientes!$E:$E,A78)</f>
        <v>7</v>
      </c>
      <c r="I78" s="9" t="n">
        <f aca="false">SUMIF(Ingredientes!$E:$E,A78,Ingredientes!$F:$F)</f>
        <v>10.5</v>
      </c>
    </row>
    <row r="79" customFormat="false" ht="15" hidden="false" customHeight="false" outlineLevel="0" collapsed="false">
      <c r="A79" s="9" t="s">
        <v>215</v>
      </c>
      <c r="B79" s="9" t="s">
        <v>216</v>
      </c>
      <c r="C79" s="9" t="s">
        <v>214</v>
      </c>
      <c r="D79" s="9" t="n">
        <v>1000</v>
      </c>
      <c r="E79" s="9" t="s">
        <v>170</v>
      </c>
      <c r="F79" s="10" t="n">
        <v>32</v>
      </c>
      <c r="G79" s="11" t="n">
        <f aca="false">IFERROR(F79/D79,0)</f>
        <v>0.032</v>
      </c>
      <c r="H79" s="9" t="n">
        <f aca="false">COUNTIF(Ingredientes!$E:$E,A79)</f>
        <v>12</v>
      </c>
      <c r="I79" s="9" t="n">
        <f aca="false">SUMIF(Ingredientes!$E:$E,A79,Ingredientes!$F:$F)</f>
        <v>61.5</v>
      </c>
    </row>
    <row r="80" customFormat="false" ht="15" hidden="false" customHeight="false" outlineLevel="0" collapsed="false">
      <c r="A80" s="9" t="s">
        <v>217</v>
      </c>
      <c r="B80" s="9" t="s">
        <v>218</v>
      </c>
      <c r="C80" s="9" t="s">
        <v>214</v>
      </c>
      <c r="D80" s="9" t="n">
        <v>100</v>
      </c>
      <c r="E80" s="9" t="s">
        <v>170</v>
      </c>
      <c r="F80" s="10" t="n">
        <v>145</v>
      </c>
      <c r="G80" s="11" t="n">
        <f aca="false">IFERROR(F80/D80,0)</f>
        <v>1.45</v>
      </c>
      <c r="H80" s="9" t="n">
        <f aca="false">COUNTIF(Ingredientes!$E:$E,A80)</f>
        <v>2</v>
      </c>
      <c r="I80" s="9" t="n">
        <f aca="false">SUMIF(Ingredientes!$E:$E,A80,Ingredientes!$F:$F)</f>
        <v>3.5</v>
      </c>
    </row>
    <row r="81" customFormat="false" ht="15" hidden="false" customHeight="false" outlineLevel="0" collapsed="false">
      <c r="A81" s="9" t="s">
        <v>219</v>
      </c>
      <c r="B81" s="9" t="s">
        <v>220</v>
      </c>
      <c r="C81" s="9" t="s">
        <v>214</v>
      </c>
      <c r="D81" s="9" t="n">
        <v>50</v>
      </c>
      <c r="E81" s="9" t="s">
        <v>170</v>
      </c>
      <c r="F81" s="10" t="n">
        <v>320</v>
      </c>
      <c r="G81" s="11" t="n">
        <f aca="false">IFERROR(F81/D81,0)</f>
        <v>6.4</v>
      </c>
      <c r="H81" s="9" t="n">
        <f aca="false">COUNTIF(Ingredientes!$E:$E,A81)</f>
        <v>1</v>
      </c>
      <c r="I81" s="9" t="n">
        <f aca="false">SUMIF(Ingredientes!$E:$E,A81,Ingredientes!$F:$F)</f>
        <v>2</v>
      </c>
    </row>
    <row r="82" customFormat="false" ht="15" hidden="false" customHeight="false" outlineLevel="0" collapsed="false">
      <c r="A82" s="9" t="s">
        <v>221</v>
      </c>
      <c r="B82" s="9" t="s">
        <v>222</v>
      </c>
      <c r="C82" s="9" t="s">
        <v>214</v>
      </c>
      <c r="D82" s="9" t="n">
        <v>250</v>
      </c>
      <c r="E82" s="9" t="s">
        <v>170</v>
      </c>
      <c r="F82" s="10" t="n">
        <v>78</v>
      </c>
      <c r="G82" s="11" t="n">
        <f aca="false">IFERROR(F82/D82,0)</f>
        <v>0.312</v>
      </c>
      <c r="H82" s="9" t="n">
        <f aca="false">COUNTIF(Ingredientes!$E:$E,A82)</f>
        <v>9</v>
      </c>
      <c r="I82" s="9" t="n">
        <f aca="false">SUMIF(Ingredientes!$E:$E,A82,Ingredientes!$F:$F)</f>
        <v>18</v>
      </c>
    </row>
    <row r="83" customFormat="false" ht="15" hidden="false" customHeight="false" outlineLevel="0" collapsed="false">
      <c r="A83" s="9" t="s">
        <v>223</v>
      </c>
      <c r="B83" s="9" t="s">
        <v>224</v>
      </c>
      <c r="C83" s="9" t="s">
        <v>214</v>
      </c>
      <c r="D83" s="9" t="n">
        <v>250</v>
      </c>
      <c r="E83" s="9" t="s">
        <v>170</v>
      </c>
      <c r="F83" s="10" t="n">
        <v>130</v>
      </c>
      <c r="G83" s="11" t="n">
        <f aca="false">IFERROR(F83/D83,0)</f>
        <v>0.52</v>
      </c>
      <c r="H83" s="9" t="n">
        <f aca="false">COUNTIF(Ingredientes!$E:$E,A83)</f>
        <v>1</v>
      </c>
      <c r="I83" s="9" t="n">
        <f aca="false">SUMIF(Ingredientes!$E:$E,A83,Ingredientes!$F:$F)</f>
        <v>2</v>
      </c>
    </row>
    <row r="84" customFormat="false" ht="15" hidden="false" customHeight="false" outlineLevel="0" collapsed="false">
      <c r="A84" s="9" t="s">
        <v>225</v>
      </c>
      <c r="B84" s="9" t="s">
        <v>226</v>
      </c>
      <c r="C84" s="9" t="s">
        <v>214</v>
      </c>
      <c r="D84" s="9" t="n">
        <v>250</v>
      </c>
      <c r="E84" s="9" t="s">
        <v>170</v>
      </c>
      <c r="F84" s="10" t="n">
        <v>115</v>
      </c>
      <c r="G84" s="11" t="n">
        <f aca="false">IFERROR(F84/D84,0)</f>
        <v>0.46</v>
      </c>
      <c r="H84" s="9" t="n">
        <f aca="false">COUNTIF(Ingredientes!$E:$E,A84)</f>
        <v>1</v>
      </c>
      <c r="I84" s="9" t="n">
        <f aca="false">SUMIF(Ingredientes!$E:$E,A84,Ingredientes!$F:$F)</f>
        <v>5</v>
      </c>
    </row>
    <row r="85" customFormat="false" ht="15" hidden="false" customHeight="false" outlineLevel="0" collapsed="false">
      <c r="A85" s="9" t="s">
        <v>227</v>
      </c>
      <c r="B85" s="9" t="s">
        <v>228</v>
      </c>
      <c r="C85" s="9" t="s">
        <v>214</v>
      </c>
      <c r="D85" s="9" t="n">
        <v>250</v>
      </c>
      <c r="E85" s="9" t="s">
        <v>170</v>
      </c>
      <c r="F85" s="10" t="n">
        <v>65</v>
      </c>
      <c r="G85" s="11" t="n">
        <f aca="false">IFERROR(F85/D85,0)</f>
        <v>0.26</v>
      </c>
      <c r="H85" s="9" t="n">
        <f aca="false">COUNTIF(Ingredientes!$E:$E,A85)</f>
        <v>4</v>
      </c>
      <c r="I85" s="9" t="n">
        <f aca="false">SUMIF(Ingredientes!$E:$E,A85,Ingredientes!$F:$F)</f>
        <v>19</v>
      </c>
    </row>
    <row r="86" customFormat="false" ht="15" hidden="false" customHeight="false" outlineLevel="0" collapsed="false">
      <c r="A86" s="9" t="s">
        <v>229</v>
      </c>
      <c r="B86" s="9" t="s">
        <v>230</v>
      </c>
      <c r="C86" s="9" t="s">
        <v>214</v>
      </c>
      <c r="D86" s="9" t="n">
        <v>250</v>
      </c>
      <c r="E86" s="9" t="s">
        <v>170</v>
      </c>
      <c r="F86" s="10" t="n">
        <v>22</v>
      </c>
      <c r="G86" s="11" t="n">
        <f aca="false">IFERROR(F86/D86,0)</f>
        <v>0.088</v>
      </c>
      <c r="H86" s="9" t="n">
        <f aca="false">COUNTIF(Ingredientes!$E:$E,A86)</f>
        <v>1</v>
      </c>
      <c r="I86" s="9" t="n">
        <f aca="false">SUMIF(Ingredientes!$E:$E,A86,Ingredientes!$F:$F)</f>
        <v>4</v>
      </c>
    </row>
    <row r="87" customFormat="false" ht="15" hidden="false" customHeight="false" outlineLevel="0" collapsed="false">
      <c r="A87" s="9" t="s">
        <v>231</v>
      </c>
      <c r="B87" s="9" t="s">
        <v>232</v>
      </c>
      <c r="C87" s="9" t="s">
        <v>214</v>
      </c>
      <c r="D87" s="9" t="n">
        <v>100</v>
      </c>
      <c r="E87" s="9" t="s">
        <v>170</v>
      </c>
      <c r="F87" s="10" t="n">
        <v>185</v>
      </c>
      <c r="G87" s="11" t="n">
        <f aca="false">IFERROR(F87/D87,0)</f>
        <v>1.85</v>
      </c>
      <c r="H87" s="9" t="n">
        <f aca="false">COUNTIF(Ingredientes!$E:$E,A87)</f>
        <v>1</v>
      </c>
      <c r="I87" s="9" t="n">
        <f aca="false">SUMIF(Ingredientes!$E:$E,A87,Ingredientes!$F:$F)</f>
        <v>2</v>
      </c>
    </row>
    <row r="88" customFormat="false" ht="15" hidden="false" customHeight="false" outlineLevel="0" collapsed="false">
      <c r="A88" s="9" t="s">
        <v>233</v>
      </c>
      <c r="B88" s="9" t="s">
        <v>234</v>
      </c>
      <c r="C88" s="9" t="s">
        <v>214</v>
      </c>
      <c r="D88" s="9" t="n">
        <v>250</v>
      </c>
      <c r="E88" s="9" t="s">
        <v>170</v>
      </c>
      <c r="F88" s="10" t="n">
        <v>185</v>
      </c>
      <c r="G88" s="11" t="n">
        <f aca="false">IFERROR(F88/D88,0)</f>
        <v>0.74</v>
      </c>
      <c r="H88" s="9" t="n">
        <f aca="false">COUNTIF(Ingredientes!$E:$E,A88)</f>
        <v>4</v>
      </c>
      <c r="I88" s="9" t="n">
        <f aca="false">SUMIF(Ingredientes!$E:$E,A88,Ingredientes!$F:$F)</f>
        <v>36</v>
      </c>
    </row>
    <row r="89" customFormat="false" ht="15" hidden="false" customHeight="false" outlineLevel="0" collapsed="false">
      <c r="A89" s="9" t="s">
        <v>235</v>
      </c>
      <c r="B89" s="9" t="s">
        <v>236</v>
      </c>
      <c r="C89" s="9" t="s">
        <v>214</v>
      </c>
      <c r="D89" s="9" t="n">
        <v>250</v>
      </c>
      <c r="E89" s="9" t="s">
        <v>170</v>
      </c>
      <c r="F89" s="10" t="n">
        <v>95</v>
      </c>
      <c r="G89" s="11" t="n">
        <f aca="false">IFERROR(F89/D89,0)</f>
        <v>0.38</v>
      </c>
      <c r="H89" s="9" t="n">
        <f aca="false">COUNTIF(Ingredientes!$E:$E,A89)</f>
        <v>1</v>
      </c>
      <c r="I89" s="9" t="n">
        <f aca="false">SUMIF(Ingredientes!$E:$E,A89,Ingredientes!$F:$F)</f>
        <v>1</v>
      </c>
    </row>
    <row r="90" customFormat="false" ht="15" hidden="false" customHeight="false" outlineLevel="0" collapsed="false">
      <c r="A90" s="9" t="s">
        <v>237</v>
      </c>
      <c r="B90" s="9" t="s">
        <v>238</v>
      </c>
      <c r="C90" s="9" t="s">
        <v>214</v>
      </c>
      <c r="D90" s="9" t="n">
        <v>100</v>
      </c>
      <c r="E90" s="9" t="s">
        <v>170</v>
      </c>
      <c r="F90" s="10" t="n">
        <v>48</v>
      </c>
      <c r="G90" s="11" t="n">
        <f aca="false">IFERROR(F90/D90,0)</f>
        <v>0.48</v>
      </c>
      <c r="H90" s="9" t="n">
        <f aca="false">COUNTIF(Ingredientes!$E:$E,A90)</f>
        <v>1</v>
      </c>
      <c r="I90" s="9" t="n">
        <f aca="false">SUMIF(Ingredientes!$E:$E,A90,Ingredientes!$F:$F)</f>
        <v>1</v>
      </c>
    </row>
    <row r="91" customFormat="false" ht="15" hidden="false" customHeight="false" outlineLevel="0" collapsed="false">
      <c r="A91" s="9" t="s">
        <v>239</v>
      </c>
      <c r="B91" s="9" t="s">
        <v>240</v>
      </c>
      <c r="C91" s="9" t="s">
        <v>214</v>
      </c>
      <c r="D91" s="9" t="n">
        <v>500</v>
      </c>
      <c r="E91" s="9" t="s">
        <v>170</v>
      </c>
      <c r="F91" s="10" t="n">
        <v>165</v>
      </c>
      <c r="G91" s="11" t="n">
        <f aca="false">IFERROR(F91/D91,0)</f>
        <v>0.33</v>
      </c>
      <c r="H91" s="9" t="n">
        <f aca="false">COUNTIF(Ingredientes!$E:$E,A91)</f>
        <v>1</v>
      </c>
      <c r="I91" s="9" t="n">
        <f aca="false">SUMIF(Ingredientes!$E:$E,A91,Ingredientes!$F:$F)</f>
        <v>5</v>
      </c>
    </row>
    <row r="92" customFormat="false" ht="15" hidden="false" customHeight="false" outlineLevel="0" collapsed="false">
      <c r="A92" s="9" t="s">
        <v>241</v>
      </c>
      <c r="B92" s="9" t="s">
        <v>242</v>
      </c>
      <c r="C92" s="9" t="s">
        <v>214</v>
      </c>
      <c r="D92" s="9" t="n">
        <v>500</v>
      </c>
      <c r="E92" s="9" t="s">
        <v>170</v>
      </c>
      <c r="F92" s="10" t="n">
        <v>145</v>
      </c>
      <c r="G92" s="11" t="n">
        <f aca="false">IFERROR(F92/D92,0)</f>
        <v>0.29</v>
      </c>
      <c r="H92" s="9" t="n">
        <f aca="false">COUNTIF(Ingredientes!$E:$E,A92)</f>
        <v>1</v>
      </c>
      <c r="I92" s="9" t="n">
        <f aca="false">SUMIF(Ingredientes!$E:$E,A92,Ingredientes!$F:$F)</f>
        <v>3</v>
      </c>
    </row>
    <row r="93" customFormat="false" ht="15" hidden="false" customHeight="false" outlineLevel="0" collapsed="false">
      <c r="A93" s="9" t="s">
        <v>243</v>
      </c>
      <c r="B93" s="9" t="s">
        <v>244</v>
      </c>
      <c r="C93" s="9" t="s">
        <v>214</v>
      </c>
      <c r="D93" s="9" t="n">
        <v>1000</v>
      </c>
      <c r="E93" s="9" t="s">
        <v>170</v>
      </c>
      <c r="F93" s="10" t="n">
        <v>385</v>
      </c>
      <c r="G93" s="11" t="n">
        <f aca="false">IFERROR(F93/D93,0)</f>
        <v>0.385</v>
      </c>
      <c r="H93" s="9" t="n">
        <f aca="false">COUNTIF(Ingredientes!$E:$E,A93)</f>
        <v>2</v>
      </c>
      <c r="I93" s="9" t="n">
        <f aca="false">SUMIF(Ingredientes!$E:$E,A93,Ingredientes!$F:$F)</f>
        <v>45.5</v>
      </c>
    </row>
    <row r="94" customFormat="false" ht="15" hidden="false" customHeight="false" outlineLevel="0" collapsed="false">
      <c r="A94" s="9" t="s">
        <v>245</v>
      </c>
      <c r="B94" s="9" t="s">
        <v>246</v>
      </c>
      <c r="C94" s="9" t="s">
        <v>214</v>
      </c>
      <c r="D94" s="9" t="n">
        <v>1000</v>
      </c>
      <c r="E94" s="9" t="s">
        <v>61</v>
      </c>
      <c r="F94" s="10" t="n">
        <v>95</v>
      </c>
      <c r="G94" s="11" t="n">
        <f aca="false">IFERROR(F94/D94,0)</f>
        <v>0.095</v>
      </c>
      <c r="H94" s="9" t="n">
        <f aca="false">COUNTIF(Ingredientes!$E:$E,A94)</f>
        <v>1</v>
      </c>
      <c r="I94" s="9" t="n">
        <f aca="false">SUMIF(Ingredientes!$E:$E,A94,Ingredientes!$F:$F)</f>
        <v>35</v>
      </c>
    </row>
    <row r="95" customFormat="false" ht="15" hidden="false" customHeight="false" outlineLevel="0" collapsed="false">
      <c r="A95" s="9" t="s">
        <v>247</v>
      </c>
      <c r="B95" s="9" t="s">
        <v>248</v>
      </c>
      <c r="C95" s="9" t="s">
        <v>214</v>
      </c>
      <c r="D95" s="9" t="n">
        <v>1000</v>
      </c>
      <c r="E95" s="9" t="s">
        <v>170</v>
      </c>
      <c r="F95" s="10" t="n">
        <v>42</v>
      </c>
      <c r="G95" s="11" t="n">
        <f aca="false">IFERROR(F95/D95,0)</f>
        <v>0.042</v>
      </c>
      <c r="H95" s="9" t="n">
        <f aca="false">COUNTIF(Ingredientes!$E:$E,A95)</f>
        <v>1</v>
      </c>
      <c r="I95" s="9" t="n">
        <f aca="false">SUMIF(Ingredientes!$E:$E,A95,Ingredientes!$F:$F)</f>
        <v>30</v>
      </c>
    </row>
    <row r="96" customFormat="false" ht="15" hidden="false" customHeight="false" outlineLevel="0" collapsed="false">
      <c r="A96" s="9" t="s">
        <v>249</v>
      </c>
      <c r="B96" s="9" t="s">
        <v>250</v>
      </c>
      <c r="C96" s="9" t="s">
        <v>214</v>
      </c>
      <c r="D96" s="9" t="n">
        <v>100</v>
      </c>
      <c r="E96" s="9" t="s">
        <v>170</v>
      </c>
      <c r="F96" s="10" t="n">
        <v>120</v>
      </c>
      <c r="G96" s="11" t="n">
        <f aca="false">IFERROR(F96/D96,0)</f>
        <v>1.2</v>
      </c>
      <c r="H96" s="9" t="n">
        <f aca="false">COUNTIF(Ingredientes!$E:$E,A96)</f>
        <v>1</v>
      </c>
      <c r="I96" s="9" t="n">
        <f aca="false">SUMIF(Ingredientes!$E:$E,A96,Ingredientes!$F:$F)</f>
        <v>3</v>
      </c>
    </row>
    <row r="97" customFormat="false" ht="15" hidden="false" customHeight="false" outlineLevel="0" collapsed="false">
      <c r="A97" s="9" t="s">
        <v>251</v>
      </c>
      <c r="B97" s="9" t="s">
        <v>252</v>
      </c>
      <c r="C97" s="9" t="s">
        <v>253</v>
      </c>
      <c r="D97" s="9" t="n">
        <v>290</v>
      </c>
      <c r="E97" s="9" t="s">
        <v>61</v>
      </c>
      <c r="F97" s="10" t="n">
        <v>62</v>
      </c>
      <c r="G97" s="11" t="n">
        <f aca="false">IFERROR(F97/D97,0)</f>
        <v>0.213793103448276</v>
      </c>
      <c r="H97" s="9" t="n">
        <f aca="false">COUNTIF(Ingredientes!$E:$E,A97)</f>
        <v>3</v>
      </c>
      <c r="I97" s="9" t="n">
        <f aca="false">SUMIF(Ingredientes!$E:$E,A97,Ingredientes!$F:$F)</f>
        <v>23</v>
      </c>
    </row>
    <row r="98" customFormat="false" ht="15" hidden="false" customHeight="false" outlineLevel="0" collapsed="false">
      <c r="A98" s="9" t="s">
        <v>254</v>
      </c>
      <c r="B98" s="9" t="s">
        <v>255</v>
      </c>
      <c r="C98" s="9" t="s">
        <v>253</v>
      </c>
      <c r="D98" s="9" t="n">
        <v>500</v>
      </c>
      <c r="E98" s="9" t="s">
        <v>61</v>
      </c>
      <c r="F98" s="10" t="n">
        <v>48</v>
      </c>
      <c r="G98" s="11" t="n">
        <f aca="false">IFERROR(F98/D98,0)</f>
        <v>0.096</v>
      </c>
      <c r="H98" s="9" t="n">
        <f aca="false">COUNTIF(Ingredientes!$E:$E,A98)</f>
        <v>1</v>
      </c>
      <c r="I98" s="9" t="n">
        <f aca="false">SUMIF(Ingredientes!$E:$E,A98,Ingredientes!$F:$F)</f>
        <v>5</v>
      </c>
    </row>
    <row r="99" customFormat="false" ht="15" hidden="false" customHeight="false" outlineLevel="0" collapsed="false">
      <c r="A99" s="9" t="s">
        <v>256</v>
      </c>
      <c r="B99" s="9" t="s">
        <v>257</v>
      </c>
      <c r="C99" s="9" t="s">
        <v>253</v>
      </c>
      <c r="D99" s="9" t="n">
        <v>250</v>
      </c>
      <c r="E99" s="9" t="s">
        <v>61</v>
      </c>
      <c r="F99" s="10" t="n">
        <v>45</v>
      </c>
      <c r="G99" s="11" t="n">
        <f aca="false">IFERROR(F99/D99,0)</f>
        <v>0.18</v>
      </c>
      <c r="H99" s="9" t="n">
        <f aca="false">COUNTIF(Ingredientes!$E:$E,A99)</f>
        <v>2</v>
      </c>
      <c r="I99" s="9" t="n">
        <f aca="false">SUMIF(Ingredientes!$E:$E,A99,Ingredientes!$F:$F)</f>
        <v>13</v>
      </c>
    </row>
    <row r="100" customFormat="false" ht="15" hidden="false" customHeight="false" outlineLevel="0" collapsed="false">
      <c r="A100" s="9" t="s">
        <v>258</v>
      </c>
      <c r="B100" s="9" t="s">
        <v>259</v>
      </c>
      <c r="C100" s="9" t="s">
        <v>253</v>
      </c>
      <c r="D100" s="9" t="n">
        <v>350</v>
      </c>
      <c r="E100" s="9" t="s">
        <v>61</v>
      </c>
      <c r="F100" s="10" t="n">
        <v>42</v>
      </c>
      <c r="G100" s="11" t="n">
        <f aca="false">IFERROR(F100/D100,0)</f>
        <v>0.12</v>
      </c>
      <c r="H100" s="9" t="n">
        <f aca="false">COUNTIF(Ingredientes!$E:$E,A100)</f>
        <v>2</v>
      </c>
      <c r="I100" s="9" t="n">
        <f aca="false">SUMIF(Ingredientes!$E:$E,A100,Ingredientes!$F:$F)</f>
        <v>9</v>
      </c>
    </row>
    <row r="101" customFormat="false" ht="15" hidden="false" customHeight="false" outlineLevel="0" collapsed="false">
      <c r="A101" s="9" t="s">
        <v>260</v>
      </c>
      <c r="B101" s="9" t="s">
        <v>261</v>
      </c>
      <c r="C101" s="9" t="s">
        <v>253</v>
      </c>
      <c r="D101" s="9" t="n">
        <v>350</v>
      </c>
      <c r="E101" s="9" t="s">
        <v>61</v>
      </c>
      <c r="F101" s="10" t="n">
        <v>55</v>
      </c>
      <c r="G101" s="11" t="n">
        <f aca="false">IFERROR(F101/D101,0)</f>
        <v>0.157142857142857</v>
      </c>
      <c r="H101" s="9" t="n">
        <f aca="false">COUNTIF(Ingredientes!$E:$E,A101)</f>
        <v>1</v>
      </c>
      <c r="I101" s="9" t="n">
        <f aca="false">SUMIF(Ingredientes!$E:$E,A101,Ingredientes!$F:$F)</f>
        <v>10</v>
      </c>
    </row>
    <row r="102" customFormat="false" ht="15" hidden="false" customHeight="false" outlineLevel="0" collapsed="false">
      <c r="A102" s="9" t="s">
        <v>262</v>
      </c>
      <c r="B102" s="9" t="s">
        <v>263</v>
      </c>
      <c r="C102" s="9" t="s">
        <v>264</v>
      </c>
      <c r="D102" s="9" t="n">
        <v>100</v>
      </c>
      <c r="E102" s="9" t="s">
        <v>170</v>
      </c>
      <c r="F102" s="10" t="n">
        <v>22</v>
      </c>
      <c r="G102" s="11" t="n">
        <f aca="false">IFERROR(F102/D102,0)</f>
        <v>0.22</v>
      </c>
      <c r="H102" s="9" t="n">
        <f aca="false">COUNTIF(Ingredientes!$E:$E,A102)</f>
        <v>8</v>
      </c>
      <c r="I102" s="9" t="n">
        <f aca="false">SUMIF(Ingredientes!$E:$E,A102,Ingredientes!$F:$F)</f>
        <v>40</v>
      </c>
    </row>
    <row r="103" customFormat="false" ht="15" hidden="false" customHeight="false" outlineLevel="0" collapsed="false">
      <c r="A103" s="9" t="s">
        <v>265</v>
      </c>
      <c r="B103" s="9" t="s">
        <v>266</v>
      </c>
      <c r="C103" s="9" t="s">
        <v>264</v>
      </c>
      <c r="D103" s="9" t="n">
        <v>100</v>
      </c>
      <c r="E103" s="9" t="s">
        <v>170</v>
      </c>
      <c r="F103" s="10" t="n">
        <v>32</v>
      </c>
      <c r="G103" s="11" t="n">
        <f aca="false">IFERROR(F103/D103,0)</f>
        <v>0.32</v>
      </c>
      <c r="H103" s="9" t="n">
        <f aca="false">COUNTIF(Ingredientes!$E:$E,A103)</f>
        <v>2</v>
      </c>
      <c r="I103" s="9" t="n">
        <f aca="false">SUMIF(Ingredientes!$E:$E,A103,Ingredientes!$F:$F)</f>
        <v>6</v>
      </c>
    </row>
    <row r="104" customFormat="false" ht="15" hidden="false" customHeight="false" outlineLevel="0" collapsed="false">
      <c r="A104" s="9" t="s">
        <v>267</v>
      </c>
      <c r="B104" s="9" t="s">
        <v>268</v>
      </c>
      <c r="C104" s="9" t="s">
        <v>264</v>
      </c>
      <c r="D104" s="9" t="n">
        <v>100</v>
      </c>
      <c r="E104" s="9" t="s">
        <v>170</v>
      </c>
      <c r="F104" s="10" t="n">
        <v>35</v>
      </c>
      <c r="G104" s="11" t="n">
        <f aca="false">IFERROR(F104/D104,0)</f>
        <v>0.35</v>
      </c>
      <c r="H104" s="9" t="n">
        <f aca="false">COUNTIF(Ingredientes!$E:$E,A104)</f>
        <v>1</v>
      </c>
      <c r="I104" s="9" t="n">
        <f aca="false">SUMIF(Ingredientes!$E:$E,A104,Ingredientes!$F:$F)</f>
        <v>45</v>
      </c>
    </row>
    <row r="105" customFormat="false" ht="15" hidden="false" customHeight="false" outlineLevel="0" collapsed="false">
      <c r="A105" s="9" t="s">
        <v>269</v>
      </c>
      <c r="B105" s="9" t="s">
        <v>270</v>
      </c>
      <c r="C105" s="9" t="s">
        <v>264</v>
      </c>
      <c r="D105" s="9" t="n">
        <v>100</v>
      </c>
      <c r="E105" s="9" t="s">
        <v>170</v>
      </c>
      <c r="F105" s="10" t="n">
        <v>40</v>
      </c>
      <c r="G105" s="11" t="n">
        <f aca="false">IFERROR(F105/D105,0)</f>
        <v>0.4</v>
      </c>
      <c r="H105" s="9" t="n">
        <f aca="false">COUNTIF(Ingredientes!$E:$E,A105)</f>
        <v>2</v>
      </c>
      <c r="I105" s="9" t="n">
        <f aca="false">SUMIF(Ingredientes!$E:$E,A105,Ingredientes!$F:$F)</f>
        <v>12</v>
      </c>
    </row>
    <row r="106" customFormat="false" ht="15" hidden="false" customHeight="false" outlineLevel="0" collapsed="false">
      <c r="A106" s="9" t="s">
        <v>271</v>
      </c>
      <c r="B106" s="9" t="s">
        <v>272</v>
      </c>
      <c r="C106" s="9" t="s">
        <v>264</v>
      </c>
      <c r="D106" s="9" t="n">
        <v>100</v>
      </c>
      <c r="E106" s="9" t="s">
        <v>170</v>
      </c>
      <c r="F106" s="10" t="n">
        <v>15</v>
      </c>
      <c r="G106" s="11" t="n">
        <f aca="false">IFERROR(F106/D106,0)</f>
        <v>0.15</v>
      </c>
      <c r="H106" s="9" t="n">
        <f aca="false">COUNTIF(Ingredientes!$E:$E,A106)</f>
        <v>1</v>
      </c>
      <c r="I106" s="9" t="n">
        <f aca="false">SUMIF(Ingredientes!$E:$E,A106,Ingredientes!$F:$F)</f>
        <v>8</v>
      </c>
    </row>
    <row r="107" customFormat="false" ht="15" hidden="false" customHeight="false" outlineLevel="0" collapsed="false">
      <c r="A107" s="9" t="s">
        <v>273</v>
      </c>
      <c r="B107" s="9" t="s">
        <v>274</v>
      </c>
      <c r="C107" s="9" t="s">
        <v>264</v>
      </c>
      <c r="D107" s="9" t="n">
        <v>100</v>
      </c>
      <c r="E107" s="9" t="s">
        <v>170</v>
      </c>
      <c r="F107" s="10" t="n">
        <v>220</v>
      </c>
      <c r="G107" s="11" t="n">
        <f aca="false">IFERROR(F107/D107,0)</f>
        <v>2.2</v>
      </c>
      <c r="H107" s="9" t="n">
        <f aca="false">COUNTIF(Ingredientes!$E:$E,A107)</f>
        <v>5</v>
      </c>
      <c r="I107" s="9" t="n">
        <f aca="false">SUMIF(Ingredientes!$E:$E,A107,Ingredientes!$F:$F)</f>
        <v>21</v>
      </c>
    </row>
    <row r="108" customFormat="false" ht="15" hidden="false" customHeight="false" outlineLevel="0" collapsed="false">
      <c r="A108" s="9" t="s">
        <v>275</v>
      </c>
      <c r="B108" s="9" t="s">
        <v>276</v>
      </c>
      <c r="C108" s="9" t="s">
        <v>264</v>
      </c>
      <c r="D108" s="9" t="n">
        <v>100</v>
      </c>
      <c r="E108" s="9" t="s">
        <v>170</v>
      </c>
      <c r="F108" s="10" t="n">
        <v>240</v>
      </c>
      <c r="G108" s="11" t="n">
        <f aca="false">IFERROR(F108/D108,0)</f>
        <v>2.4</v>
      </c>
      <c r="H108" s="9" t="n">
        <f aca="false">COUNTIF(Ingredientes!$E:$E,A108)</f>
        <v>2</v>
      </c>
      <c r="I108" s="9" t="n">
        <f aca="false">SUMIF(Ingredientes!$E:$E,A108,Ingredientes!$F:$F)</f>
        <v>10</v>
      </c>
    </row>
    <row r="109" customFormat="false" ht="15" hidden="false" customHeight="false" outlineLevel="0" collapsed="false">
      <c r="A109" s="9" t="s">
        <v>277</v>
      </c>
      <c r="B109" s="9" t="s">
        <v>278</v>
      </c>
      <c r="C109" s="9" t="s">
        <v>264</v>
      </c>
      <c r="D109" s="9" t="n">
        <v>400</v>
      </c>
      <c r="E109" s="9" t="s">
        <v>170</v>
      </c>
      <c r="F109" s="10" t="n">
        <v>165</v>
      </c>
      <c r="G109" s="11" t="n">
        <f aca="false">IFERROR(F109/D109,0)</f>
        <v>0.4125</v>
      </c>
      <c r="H109" s="9" t="n">
        <f aca="false">COUNTIF(Ingredientes!$E:$E,A109)</f>
        <v>1</v>
      </c>
      <c r="I109" s="9" t="n">
        <f aca="false">SUMIF(Ingredientes!$E:$E,A109,Ingredientes!$F:$F)</f>
        <v>28</v>
      </c>
    </row>
    <row r="110" customFormat="false" ht="15" hidden="false" customHeight="false" outlineLevel="0" collapsed="false">
      <c r="A110" s="9" t="s">
        <v>279</v>
      </c>
      <c r="B110" s="9" t="s">
        <v>280</v>
      </c>
      <c r="C110" s="9" t="s">
        <v>264</v>
      </c>
      <c r="D110" s="9" t="n">
        <v>1000</v>
      </c>
      <c r="E110" s="9" t="s">
        <v>170</v>
      </c>
      <c r="F110" s="10" t="n">
        <v>38</v>
      </c>
      <c r="G110" s="11" t="n">
        <f aca="false">IFERROR(F110/D110,0)</f>
        <v>0.038</v>
      </c>
      <c r="H110" s="9" t="n">
        <f aca="false">COUNTIF(Ingredientes!$E:$E,A110)</f>
        <v>2</v>
      </c>
      <c r="I110" s="9" t="n">
        <f aca="false">SUMIF(Ingredientes!$E:$E,A110,Ingredientes!$F:$F)</f>
        <v>70</v>
      </c>
    </row>
    <row r="111" customFormat="false" ht="15" hidden="false" customHeight="false" outlineLevel="0" collapsed="false">
      <c r="A111" s="9" t="s">
        <v>281</v>
      </c>
      <c r="B111" s="9" t="s">
        <v>282</v>
      </c>
      <c r="C111" s="9" t="s">
        <v>264</v>
      </c>
      <c r="D111" s="9" t="n">
        <v>1000</v>
      </c>
      <c r="E111" s="9" t="s">
        <v>170</v>
      </c>
      <c r="F111" s="10" t="n">
        <v>28</v>
      </c>
      <c r="G111" s="11" t="n">
        <f aca="false">IFERROR(F111/D111,0)</f>
        <v>0.028</v>
      </c>
      <c r="H111" s="9" t="n">
        <f aca="false">COUNTIF(Ingredientes!$E:$E,A111)</f>
        <v>2</v>
      </c>
      <c r="I111" s="9" t="n">
        <f aca="false">SUMIF(Ingredientes!$E:$E,A111,Ingredientes!$F:$F)</f>
        <v>42</v>
      </c>
    </row>
    <row r="112" customFormat="false" ht="15" hidden="false" customHeight="false" outlineLevel="0" collapsed="false">
      <c r="A112" s="9" t="s">
        <v>283</v>
      </c>
      <c r="B112" s="9" t="s">
        <v>284</v>
      </c>
      <c r="C112" s="9" t="s">
        <v>264</v>
      </c>
      <c r="D112" s="9" t="n">
        <v>1000</v>
      </c>
      <c r="E112" s="9" t="s">
        <v>170</v>
      </c>
      <c r="F112" s="10" t="n">
        <v>45</v>
      </c>
      <c r="G112" s="11" t="n">
        <f aca="false">IFERROR(F112/D112,0)</f>
        <v>0.045</v>
      </c>
      <c r="H112" s="9" t="n">
        <f aca="false">COUNTIF(Ingredientes!$E:$E,A112)</f>
        <v>0</v>
      </c>
      <c r="I112" s="9" t="n">
        <f aca="false">SUMIF(Ingredientes!$E:$E,A112,Ingredientes!$F:$F)</f>
        <v>0</v>
      </c>
    </row>
    <row r="113" customFormat="false" ht="15" hidden="false" customHeight="false" outlineLevel="0" collapsed="false">
      <c r="A113" s="9" t="s">
        <v>285</v>
      </c>
      <c r="B113" s="9" t="s">
        <v>286</v>
      </c>
      <c r="C113" s="9" t="s">
        <v>264</v>
      </c>
      <c r="D113" s="9" t="n">
        <v>250</v>
      </c>
      <c r="E113" s="9" t="s">
        <v>170</v>
      </c>
      <c r="F113" s="10" t="n">
        <v>195</v>
      </c>
      <c r="G113" s="11" t="n">
        <f aca="false">IFERROR(F113/D113,0)</f>
        <v>0.78</v>
      </c>
      <c r="H113" s="9" t="n">
        <f aca="false">COUNTIF(Ingredientes!$E:$E,A113)</f>
        <v>1</v>
      </c>
      <c r="I113" s="9" t="n">
        <f aca="false">SUMIF(Ingredientes!$E:$E,A113,Ingredientes!$F:$F)</f>
        <v>20</v>
      </c>
    </row>
    <row r="114" customFormat="false" ht="15" hidden="false" customHeight="false" outlineLevel="0" collapsed="false">
      <c r="A114" s="9" t="s">
        <v>287</v>
      </c>
      <c r="B114" s="9" t="s">
        <v>288</v>
      </c>
      <c r="C114" s="9" t="s">
        <v>264</v>
      </c>
      <c r="D114" s="9" t="n">
        <v>250</v>
      </c>
      <c r="E114" s="9" t="s">
        <v>170</v>
      </c>
      <c r="F114" s="10" t="n">
        <v>175</v>
      </c>
      <c r="G114" s="11" t="n">
        <f aca="false">IFERROR(F114/D114,0)</f>
        <v>0.7</v>
      </c>
      <c r="H114" s="9" t="n">
        <f aca="false">COUNTIF(Ingredientes!$E:$E,A114)</f>
        <v>1</v>
      </c>
      <c r="I114" s="9" t="n">
        <f aca="false">SUMIF(Ingredientes!$E:$E,A114,Ingredientes!$F:$F)</f>
        <v>10</v>
      </c>
    </row>
    <row r="115" customFormat="false" ht="15" hidden="false" customHeight="false" outlineLevel="0" collapsed="false">
      <c r="A115" s="9" t="s">
        <v>289</v>
      </c>
      <c r="B115" s="9" t="s">
        <v>290</v>
      </c>
      <c r="C115" s="9" t="s">
        <v>264</v>
      </c>
      <c r="D115" s="9" t="n">
        <v>500</v>
      </c>
      <c r="E115" s="9" t="s">
        <v>170</v>
      </c>
      <c r="F115" s="10" t="n">
        <v>78</v>
      </c>
      <c r="G115" s="11" t="n">
        <f aca="false">IFERROR(F115/D115,0)</f>
        <v>0.156</v>
      </c>
      <c r="H115" s="9" t="n">
        <f aca="false">COUNTIF(Ingredientes!$E:$E,A115)</f>
        <v>1</v>
      </c>
      <c r="I115" s="9" t="n">
        <f aca="false">SUMIF(Ingredientes!$E:$E,A115,Ingredientes!$F:$F)</f>
        <v>35</v>
      </c>
    </row>
    <row r="116" customFormat="false" ht="15" hidden="false" customHeight="false" outlineLevel="0" collapsed="false">
      <c r="A116" s="9" t="s">
        <v>291</v>
      </c>
      <c r="B116" s="9" t="s">
        <v>292</v>
      </c>
      <c r="C116" s="9" t="s">
        <v>264</v>
      </c>
      <c r="D116" s="9" t="n">
        <v>250</v>
      </c>
      <c r="E116" s="9" t="s">
        <v>170</v>
      </c>
      <c r="F116" s="10" t="n">
        <v>88</v>
      </c>
      <c r="G116" s="11" t="n">
        <f aca="false">IFERROR(F116/D116,0)</f>
        <v>0.352</v>
      </c>
      <c r="H116" s="9" t="n">
        <f aca="false">COUNTIF(Ingredientes!$E:$E,A116)</f>
        <v>1</v>
      </c>
      <c r="I116" s="9" t="n">
        <f aca="false">SUMIF(Ingredientes!$E:$E,A116,Ingredientes!$F:$F)</f>
        <v>12</v>
      </c>
    </row>
    <row r="117" customFormat="false" ht="15" hidden="false" customHeight="false" outlineLevel="0" collapsed="false">
      <c r="A117" s="9" t="s">
        <v>293</v>
      </c>
      <c r="B117" s="9" t="s">
        <v>294</v>
      </c>
      <c r="C117" s="9" t="s">
        <v>264</v>
      </c>
      <c r="D117" s="9" t="n">
        <v>1000</v>
      </c>
      <c r="E117" s="9" t="s">
        <v>170</v>
      </c>
      <c r="F117" s="10" t="n">
        <v>145</v>
      </c>
      <c r="G117" s="11" t="n">
        <f aca="false">IFERROR(F117/D117,0)</f>
        <v>0.145</v>
      </c>
      <c r="H117" s="9" t="n">
        <f aca="false">COUNTIF(Ingredientes!$E:$E,A117)</f>
        <v>2</v>
      </c>
      <c r="I117" s="9" t="n">
        <f aca="false">SUMIF(Ingredientes!$E:$E,A117,Ingredientes!$F:$F)</f>
        <v>110</v>
      </c>
    </row>
    <row r="118" customFormat="false" ht="15" hidden="false" customHeight="false" outlineLevel="0" collapsed="false">
      <c r="A118" s="9" t="s">
        <v>295</v>
      </c>
      <c r="B118" s="9" t="s">
        <v>296</v>
      </c>
      <c r="C118" s="9" t="s">
        <v>264</v>
      </c>
      <c r="D118" s="9" t="n">
        <v>1000</v>
      </c>
      <c r="E118" s="9" t="s">
        <v>61</v>
      </c>
      <c r="F118" s="10" t="n">
        <v>62</v>
      </c>
      <c r="G118" s="11" t="n">
        <f aca="false">IFERROR(F118/D118,0)</f>
        <v>0.062</v>
      </c>
      <c r="H118" s="9" t="n">
        <f aca="false">COUNTIF(Ingredientes!$E:$E,A118)</f>
        <v>3</v>
      </c>
      <c r="I118" s="9" t="n">
        <f aca="false">SUMIF(Ingredientes!$E:$E,A118,Ingredientes!$F:$F)</f>
        <v>40</v>
      </c>
    </row>
    <row r="119" customFormat="false" ht="15" hidden="false" customHeight="false" outlineLevel="0" collapsed="false">
      <c r="A119" s="9" t="s">
        <v>297</v>
      </c>
      <c r="B119" s="9" t="s">
        <v>298</v>
      </c>
      <c r="C119" s="9" t="s">
        <v>264</v>
      </c>
      <c r="D119" s="9" t="n">
        <v>1000</v>
      </c>
      <c r="E119" s="9" t="s">
        <v>170</v>
      </c>
      <c r="F119" s="10" t="n">
        <v>68</v>
      </c>
      <c r="G119" s="11" t="n">
        <f aca="false">IFERROR(F119/D119,0)</f>
        <v>0.068</v>
      </c>
      <c r="H119" s="9" t="n">
        <f aca="false">COUNTIF(Ingredientes!$E:$E,A119)</f>
        <v>1</v>
      </c>
      <c r="I119" s="9" t="n">
        <f aca="false">SUMIF(Ingredientes!$E:$E,A119,Ingredientes!$F:$F)</f>
        <v>50</v>
      </c>
    </row>
    <row r="120" customFormat="false" ht="15" hidden="false" customHeight="false" outlineLevel="0" collapsed="false">
      <c r="A120" s="9" t="s">
        <v>299</v>
      </c>
      <c r="B120" s="9" t="s">
        <v>300</v>
      </c>
      <c r="C120" s="9" t="s">
        <v>264</v>
      </c>
      <c r="D120" s="9" t="n">
        <v>100</v>
      </c>
      <c r="E120" s="9" t="s">
        <v>301</v>
      </c>
      <c r="F120" s="10" t="n">
        <v>85</v>
      </c>
      <c r="G120" s="11" t="n">
        <f aca="false">IFERROR(F120/D120,0)</f>
        <v>0.85</v>
      </c>
      <c r="H120" s="9" t="n">
        <f aca="false">COUNTIF(Ingredientes!$E:$E,A120)</f>
        <v>3</v>
      </c>
      <c r="I120" s="9" t="n">
        <f aca="false">SUMIF(Ingredientes!$E:$E,A120,Ingredientes!$F:$F)</f>
        <v>25</v>
      </c>
    </row>
    <row r="121" customFormat="false" ht="15" hidden="false" customHeight="false" outlineLevel="0" collapsed="false">
      <c r="A121" s="9" t="s">
        <v>302</v>
      </c>
      <c r="B121" s="9" t="s">
        <v>303</v>
      </c>
      <c r="C121" s="9" t="s">
        <v>264</v>
      </c>
      <c r="D121" s="9" t="n">
        <v>1000</v>
      </c>
      <c r="E121" s="9" t="s">
        <v>170</v>
      </c>
      <c r="F121" s="10" t="n">
        <v>26</v>
      </c>
      <c r="G121" s="11" t="n">
        <f aca="false">IFERROR(F121/D121,0)</f>
        <v>0.026</v>
      </c>
      <c r="H121" s="9" t="n">
        <f aca="false">COUNTIF(Ingredientes!$E:$E,A121)</f>
        <v>3</v>
      </c>
      <c r="I121" s="9" t="n">
        <f aca="false">SUMIF(Ingredientes!$E:$E,A121,Ingredientes!$F:$F)</f>
        <v>86</v>
      </c>
    </row>
    <row r="122" customFormat="false" ht="15" hidden="false" customHeight="false" outlineLevel="0" collapsed="false">
      <c r="A122" s="9" t="s">
        <v>304</v>
      </c>
      <c r="B122" s="9" t="s">
        <v>305</v>
      </c>
      <c r="C122" s="9" t="s">
        <v>264</v>
      </c>
      <c r="D122" s="9" t="n">
        <v>1000</v>
      </c>
      <c r="E122" s="9" t="s">
        <v>170</v>
      </c>
      <c r="F122" s="10" t="n">
        <v>38</v>
      </c>
      <c r="G122" s="11" t="n">
        <f aca="false">IFERROR(F122/D122,0)</f>
        <v>0.038</v>
      </c>
      <c r="H122" s="9" t="n">
        <f aca="false">COUNTIF(Ingredientes!$E:$E,A122)</f>
        <v>1</v>
      </c>
      <c r="I122" s="9" t="n">
        <f aca="false">SUMIF(Ingredientes!$E:$E,A122,Ingredientes!$F:$F)</f>
        <v>45</v>
      </c>
    </row>
    <row r="123" customFormat="false" ht="15" hidden="false" customHeight="false" outlineLevel="0" collapsed="false">
      <c r="A123" s="9" t="s">
        <v>306</v>
      </c>
      <c r="B123" s="9" t="s">
        <v>307</v>
      </c>
      <c r="C123" s="9" t="s">
        <v>264</v>
      </c>
      <c r="D123" s="9" t="n">
        <v>1000</v>
      </c>
      <c r="E123" s="9" t="s">
        <v>170</v>
      </c>
      <c r="F123" s="10" t="n">
        <v>42</v>
      </c>
      <c r="G123" s="11" t="n">
        <f aca="false">IFERROR(F123/D123,0)</f>
        <v>0.042</v>
      </c>
      <c r="H123" s="9" t="n">
        <f aca="false">COUNTIF(Ingredientes!$E:$E,A123)</f>
        <v>8</v>
      </c>
      <c r="I123" s="9" t="n">
        <f aca="false">SUMIF(Ingredientes!$E:$E,A123,Ingredientes!$F:$F)</f>
        <v>96</v>
      </c>
    </row>
    <row r="124" customFormat="false" ht="15" hidden="false" customHeight="false" outlineLevel="0" collapsed="false">
      <c r="A124" s="9" t="s">
        <v>308</v>
      </c>
      <c r="B124" s="9" t="s">
        <v>309</v>
      </c>
      <c r="C124" s="9" t="s">
        <v>264</v>
      </c>
      <c r="D124" s="9" t="n">
        <v>1000</v>
      </c>
      <c r="E124" s="9" t="s">
        <v>170</v>
      </c>
      <c r="F124" s="10" t="n">
        <v>28</v>
      </c>
      <c r="G124" s="11" t="n">
        <f aca="false">IFERROR(F124/D124,0)</f>
        <v>0.028</v>
      </c>
      <c r="H124" s="9" t="n">
        <f aca="false">COUNTIF(Ingredientes!$E:$E,A124)</f>
        <v>2</v>
      </c>
      <c r="I124" s="9" t="n">
        <f aca="false">SUMIF(Ingredientes!$E:$E,A124,Ingredientes!$F:$F)</f>
        <v>50</v>
      </c>
    </row>
    <row r="125" customFormat="false" ht="15" hidden="false" customHeight="false" outlineLevel="0" collapsed="false">
      <c r="A125" s="9" t="s">
        <v>310</v>
      </c>
      <c r="B125" s="9" t="s">
        <v>311</v>
      </c>
      <c r="C125" s="9" t="s">
        <v>264</v>
      </c>
      <c r="D125" s="9" t="n">
        <v>100</v>
      </c>
      <c r="E125" s="9" t="s">
        <v>170</v>
      </c>
      <c r="F125" s="10" t="n">
        <v>95</v>
      </c>
      <c r="G125" s="11" t="n">
        <f aca="false">IFERROR(F125/D125,0)</f>
        <v>0.95</v>
      </c>
      <c r="H125" s="9" t="n">
        <f aca="false">COUNTIF(Ingredientes!$E:$E,A125)</f>
        <v>0</v>
      </c>
      <c r="I125" s="9" t="n">
        <f aca="false">SUMIF(Ingredientes!$E:$E,A125,Ingredientes!$F:$F)</f>
        <v>0</v>
      </c>
    </row>
    <row r="126" customFormat="false" ht="15" hidden="false" customHeight="false" outlineLevel="0" collapsed="false">
      <c r="A126" s="9" t="s">
        <v>312</v>
      </c>
      <c r="B126" s="9" t="s">
        <v>313</v>
      </c>
      <c r="C126" s="9" t="s">
        <v>264</v>
      </c>
      <c r="D126" s="9" t="n">
        <v>250</v>
      </c>
      <c r="E126" s="9" t="s">
        <v>170</v>
      </c>
      <c r="F126" s="10" t="n">
        <v>45</v>
      </c>
      <c r="G126" s="11" t="n">
        <f aca="false">IFERROR(F126/D126,0)</f>
        <v>0.18</v>
      </c>
      <c r="H126" s="9" t="n">
        <f aca="false">COUNTIF(Ingredientes!$E:$E,A126)</f>
        <v>1</v>
      </c>
      <c r="I126" s="9" t="n">
        <f aca="false">SUMIF(Ingredientes!$E:$E,A126,Ingredientes!$F:$F)</f>
        <v>6</v>
      </c>
    </row>
    <row r="128" customFormat="false" ht="15" hidden="false" customHeight="false" outlineLevel="0" collapsed="false">
      <c r="A128" s="2" t="s">
        <v>314</v>
      </c>
    </row>
  </sheetData>
  <autoFilter ref="A5:I126"/>
  <conditionalFormatting sqref="G6:G126">
    <cfRule type="colorScale" priority="2">
      <colorScale>
        <cfvo type="min" val="0"/>
        <cfvo type="max" val="0"/>
        <color rgb="FFEEF7F2"/>
        <color rgb="FFF8B81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78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3"/>
  </cols>
  <sheetData>
    <row r="1" customFormat="false" ht="19.7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49</v>
      </c>
      <c r="B5" s="8" t="s">
        <v>317</v>
      </c>
      <c r="C5" s="8" t="s">
        <v>318</v>
      </c>
      <c r="D5" s="8" t="s">
        <v>319</v>
      </c>
      <c r="E5" s="8" t="s">
        <v>320</v>
      </c>
      <c r="F5" s="8" t="s">
        <v>321</v>
      </c>
      <c r="G5" s="8" t="s">
        <v>322</v>
      </c>
    </row>
    <row r="6" customFormat="false" ht="33.75" hidden="false" customHeight="true" outlineLevel="0" collapsed="false">
      <c r="A6" s="12" t="s">
        <v>323</v>
      </c>
      <c r="B6" s="9" t="s">
        <v>324</v>
      </c>
      <c r="C6" s="13" t="s">
        <v>325</v>
      </c>
      <c r="D6" s="12" t="n">
        <f aca="false">COUNTIF('Fichas y precios'!$C:$C,A6)</f>
        <v>11</v>
      </c>
      <c r="E6" s="14" t="n">
        <f aca="false">IFERROR(AVERAGEIF('Fichas y precios'!$C:$C,A6,'Fichas y precios'!$E:$E),0)</f>
        <v>49.3472460152766</v>
      </c>
      <c r="F6" s="14" t="n">
        <f aca="false">IFERROR(minifs('Fichas y precios'!$E$6:$E$56,'Fichas y precios'!$C$6:$C$56,A6),0)</f>
        <v>0</v>
      </c>
      <c r="G6" s="14" t="n">
        <f aca="false">IFERROR(maxifs('Fichas y precios'!$E$6:$E$56,'Fichas y precios'!$C$6:$C$56,A6),0)</f>
        <v>0</v>
      </c>
    </row>
    <row r="7" customFormat="false" ht="33.75" hidden="false" customHeight="true" outlineLevel="0" collapsed="false">
      <c r="A7" s="12" t="s">
        <v>326</v>
      </c>
      <c r="B7" s="9" t="s">
        <v>327</v>
      </c>
      <c r="C7" s="13" t="s">
        <v>328</v>
      </c>
      <c r="D7" s="12" t="n">
        <f aca="false">COUNTIF('Fichas y precios'!$C:$C,A7)</f>
        <v>14</v>
      </c>
      <c r="E7" s="14" t="n">
        <f aca="false">IFERROR(AVERAGEIF('Fichas y precios'!$C:$C,A7,'Fichas y precios'!$E:$E),0)</f>
        <v>59.1644844663217</v>
      </c>
      <c r="F7" s="14" t="n">
        <f aca="false">IFERROR(minifs('Fichas y precios'!$E$6:$E$56,'Fichas y precios'!$C$6:$C$56,A7),0)</f>
        <v>0</v>
      </c>
      <c r="G7" s="14" t="n">
        <f aca="false">IFERROR(maxifs('Fichas y precios'!$E$6:$E$56,'Fichas y precios'!$C$6:$C$56,A7),0)</f>
        <v>0</v>
      </c>
    </row>
    <row r="8" customFormat="false" ht="33.75" hidden="false" customHeight="true" outlineLevel="0" collapsed="false">
      <c r="A8" s="12" t="s">
        <v>329</v>
      </c>
      <c r="B8" s="9" t="s">
        <v>330</v>
      </c>
      <c r="C8" s="13" t="s">
        <v>331</v>
      </c>
      <c r="D8" s="12" t="n">
        <f aca="false">COUNTIF('Fichas y precios'!$C:$C,A8)</f>
        <v>3</v>
      </c>
      <c r="E8" s="14" t="n">
        <f aca="false">IFERROR(AVERAGEIF('Fichas y precios'!$C:$C,A8,'Fichas y precios'!$E:$E),0)</f>
        <v>57.3694206349206</v>
      </c>
      <c r="F8" s="14" t="n">
        <f aca="false">IFERROR(minifs('Fichas y precios'!$E$6:$E$56,'Fichas y precios'!$C$6:$C$56,A8),0)</f>
        <v>0</v>
      </c>
      <c r="G8" s="14" t="n">
        <f aca="false">IFERROR(maxifs('Fichas y precios'!$E$6:$E$56,'Fichas y precios'!$C$6:$C$56,A8),0)</f>
        <v>0</v>
      </c>
    </row>
    <row r="9" customFormat="false" ht="33.75" hidden="false" customHeight="true" outlineLevel="0" collapsed="false">
      <c r="A9" s="12" t="s">
        <v>332</v>
      </c>
      <c r="B9" s="9" t="s">
        <v>333</v>
      </c>
      <c r="C9" s="13" t="s">
        <v>334</v>
      </c>
      <c r="D9" s="12" t="n">
        <f aca="false">COUNTIF('Fichas y precios'!$C:$C,A9)</f>
        <v>3</v>
      </c>
      <c r="E9" s="14" t="n">
        <f aca="false">IFERROR(AVERAGEIF('Fichas y precios'!$C:$C,A9,'Fichas y precios'!$E:$E),0)</f>
        <v>50.7210845070423</v>
      </c>
      <c r="F9" s="14" t="n">
        <f aca="false">IFERROR(minifs('Fichas y precios'!$E$6:$E$56,'Fichas y precios'!$C$6:$C$56,A9),0)</f>
        <v>0</v>
      </c>
      <c r="G9" s="14" t="n">
        <f aca="false">IFERROR(maxifs('Fichas y precios'!$E$6:$E$56,'Fichas y precios'!$C$6:$C$56,A9),0)</f>
        <v>0</v>
      </c>
    </row>
    <row r="10" customFormat="false" ht="33.75" hidden="false" customHeight="true" outlineLevel="0" collapsed="false">
      <c r="A10" s="12" t="s">
        <v>335</v>
      </c>
      <c r="B10" s="9" t="s">
        <v>336</v>
      </c>
      <c r="C10" s="13" t="s">
        <v>337</v>
      </c>
      <c r="D10" s="12" t="n">
        <f aca="false">COUNTIF('Fichas y precios'!$C:$C,A10)</f>
        <v>10</v>
      </c>
      <c r="E10" s="14" t="n">
        <f aca="false">IFERROR(AVERAGEIF('Fichas y precios'!$C:$C,A10,'Fichas y precios'!$E:$E),0)</f>
        <v>51.3720088195842</v>
      </c>
      <c r="F10" s="14" t="n">
        <f aca="false">IFERROR(minifs('Fichas y precios'!$E$6:$E$56,'Fichas y precios'!$C$6:$C$56,A10),0)</f>
        <v>0</v>
      </c>
      <c r="G10" s="14" t="n">
        <f aca="false">IFERROR(maxifs('Fichas y precios'!$E$6:$E$56,'Fichas y precios'!$C$6:$C$56,A10),0)</f>
        <v>0</v>
      </c>
    </row>
    <row r="11" customFormat="false" ht="33.75" hidden="false" customHeight="true" outlineLevel="0" collapsed="false">
      <c r="A11" s="12" t="s">
        <v>338</v>
      </c>
      <c r="B11" s="9" t="s">
        <v>339</v>
      </c>
      <c r="C11" s="13" t="s">
        <v>340</v>
      </c>
      <c r="D11" s="12" t="n">
        <f aca="false">COUNTIF('Fichas y precios'!$C:$C,A11)</f>
        <v>10</v>
      </c>
      <c r="E11" s="14" t="n">
        <f aca="false">IFERROR(AVERAGEIF('Fichas y precios'!$C:$C,A11,'Fichas y precios'!$E:$E),0)</f>
        <v>68.0136062374246</v>
      </c>
      <c r="F11" s="14" t="n">
        <f aca="false">IFERROR(minifs('Fichas y precios'!$E$6:$E$56,'Fichas y precios'!$C$6:$C$56,A11),0)</f>
        <v>0</v>
      </c>
      <c r="G11" s="14" t="n">
        <f aca="false">IFERROR(maxifs('Fichas y precios'!$E$6:$E$56,'Fichas y precios'!$C$6:$C$56,A11),0)</f>
        <v>0</v>
      </c>
    </row>
    <row r="14" customFormat="false" ht="15" hidden="false" customHeight="false" outlineLevel="0" collapsed="false">
      <c r="A14" s="6" t="s">
        <v>341</v>
      </c>
    </row>
    <row r="15" customFormat="false" ht="25.5" hidden="false" customHeight="true" outlineLevel="0" collapsed="false">
      <c r="A15" s="8" t="s">
        <v>49</v>
      </c>
      <c r="B15" s="8" t="s">
        <v>342</v>
      </c>
      <c r="C15" s="8" t="s">
        <v>318</v>
      </c>
      <c r="D15" s="8"/>
      <c r="E15" s="8"/>
      <c r="F15" s="8"/>
      <c r="G15" s="8"/>
    </row>
    <row r="16" customFormat="false" ht="33.75" hidden="false" customHeight="true" outlineLevel="0" collapsed="false">
      <c r="A16" s="12" t="s">
        <v>343</v>
      </c>
      <c r="B16" s="9" t="s">
        <v>344</v>
      </c>
      <c r="C16" s="13" t="s">
        <v>345</v>
      </c>
    </row>
    <row r="17" customFormat="false" ht="33.75" hidden="false" customHeight="true" outlineLevel="0" collapsed="false">
      <c r="A17" s="12" t="s">
        <v>346</v>
      </c>
      <c r="B17" s="9" t="s">
        <v>347</v>
      </c>
      <c r="C17" s="13" t="s">
        <v>348</v>
      </c>
    </row>
    <row r="18" customFormat="false" ht="33.75" hidden="false" customHeight="true" outlineLevel="0" collapsed="false">
      <c r="A18" s="12" t="s">
        <v>349</v>
      </c>
      <c r="B18" s="9" t="s">
        <v>350</v>
      </c>
      <c r="C18" s="13" t="s">
        <v>351</v>
      </c>
    </row>
    <row r="19" customFormat="false" ht="33.75" hidden="false" customHeight="true" outlineLevel="0" collapsed="false">
      <c r="A19" s="12" t="s">
        <v>352</v>
      </c>
      <c r="B19" s="9" t="s">
        <v>353</v>
      </c>
      <c r="C19" s="13" t="s">
        <v>354</v>
      </c>
    </row>
    <row r="20" customFormat="false" ht="33.75" hidden="false" customHeight="true" outlineLevel="0" collapsed="false">
      <c r="A20" s="12" t="s">
        <v>355</v>
      </c>
      <c r="B20" s="9" t="s">
        <v>356</v>
      </c>
      <c r="C20" s="13" t="s">
        <v>357</v>
      </c>
    </row>
    <row r="21" customFormat="false" ht="33.75" hidden="false" customHeight="true" outlineLevel="0" collapsed="false">
      <c r="A21" s="12" t="s">
        <v>358</v>
      </c>
      <c r="B21" s="9" t="s">
        <v>359</v>
      </c>
      <c r="C21" s="13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42"/>
  </cols>
  <sheetData>
    <row r="1" customFormat="false" ht="19.7" hidden="false" customHeight="false" outlineLevel="0" collapsed="false">
      <c r="A1" s="1" t="s">
        <v>361</v>
      </c>
    </row>
    <row r="2" customFormat="false" ht="15" hidden="false" customHeight="false" outlineLevel="0" collapsed="false">
      <c r="A2" s="2" t="s">
        <v>362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363</v>
      </c>
      <c r="B5" s="8" t="s">
        <v>364</v>
      </c>
      <c r="C5" s="8" t="s">
        <v>365</v>
      </c>
      <c r="D5" s="8"/>
      <c r="E5" s="8" t="s">
        <v>366</v>
      </c>
      <c r="F5" s="8" t="s">
        <v>367</v>
      </c>
      <c r="G5" s="8" t="s">
        <v>53</v>
      </c>
      <c r="H5" s="8" t="s">
        <v>368</v>
      </c>
      <c r="I5" s="8" t="s">
        <v>369</v>
      </c>
    </row>
    <row r="6" customFormat="false" ht="15" hidden="false" customHeight="false" outlineLevel="0" collapsed="false">
      <c r="A6" s="9" t="n">
        <v>1</v>
      </c>
      <c r="B6" s="9" t="s">
        <v>370</v>
      </c>
      <c r="C6" s="9" t="s">
        <v>371</v>
      </c>
      <c r="D6" s="15"/>
      <c r="E6" s="9" t="s">
        <v>58</v>
      </c>
      <c r="F6" s="9" t="n">
        <v>60</v>
      </c>
      <c r="G6" s="9" t="s">
        <v>61</v>
      </c>
      <c r="H6" s="14" t="n">
        <f aca="false">IFERROR(F6*VLOOKUP(E6,Insumos!$A:$G,7,FALSE()),0)</f>
        <v>33.6</v>
      </c>
      <c r="I6" s="16"/>
    </row>
    <row r="7" customFormat="false" ht="15" hidden="false" customHeight="false" outlineLevel="0" collapsed="false">
      <c r="A7" s="9" t="n">
        <v>1</v>
      </c>
      <c r="B7" s="9" t="s">
        <v>370</v>
      </c>
      <c r="C7" s="9" t="s">
        <v>372</v>
      </c>
      <c r="D7" s="15"/>
      <c r="E7" s="9" t="s">
        <v>83</v>
      </c>
      <c r="F7" s="9" t="n">
        <v>30</v>
      </c>
      <c r="G7" s="9" t="s">
        <v>61</v>
      </c>
      <c r="H7" s="14" t="n">
        <f aca="false">IFERROR(F7*VLOOKUP(E7,Insumos!$A:$G,7,FALSE()),0)</f>
        <v>29.1428571428571</v>
      </c>
      <c r="I7" s="16"/>
    </row>
    <row r="8" customFormat="false" ht="15" hidden="false" customHeight="false" outlineLevel="0" collapsed="false">
      <c r="A8" s="9" t="n">
        <v>1</v>
      </c>
      <c r="B8" s="9" t="s">
        <v>370</v>
      </c>
      <c r="C8" s="9" t="s">
        <v>373</v>
      </c>
      <c r="D8" s="15"/>
      <c r="E8" s="9" t="s">
        <v>148</v>
      </c>
      <c r="F8" s="9" t="n">
        <v>22</v>
      </c>
      <c r="G8" s="9" t="s">
        <v>61</v>
      </c>
      <c r="H8" s="14" t="n">
        <f aca="false">IFERROR(F8*VLOOKUP(E8,Insumos!$A:$G,7,FALSE()),0)</f>
        <v>2.42</v>
      </c>
      <c r="I8" s="16"/>
    </row>
    <row r="9" customFormat="false" ht="15" hidden="false" customHeight="false" outlineLevel="0" collapsed="false">
      <c r="A9" s="9" t="n">
        <v>1</v>
      </c>
      <c r="B9" s="9" t="s">
        <v>370</v>
      </c>
      <c r="C9" s="9" t="s">
        <v>374</v>
      </c>
      <c r="D9" s="15"/>
      <c r="E9" s="9" t="s">
        <v>188</v>
      </c>
      <c r="F9" s="9" t="n">
        <v>8</v>
      </c>
      <c r="G9" s="9" t="s">
        <v>61</v>
      </c>
      <c r="H9" s="14" t="n">
        <f aca="false">IFERROR(F9*VLOOKUP(E9,Insumos!$A:$G,7,FALSE()),0)</f>
        <v>1.48</v>
      </c>
      <c r="I9" s="16"/>
    </row>
    <row r="10" customFormat="false" ht="15" hidden="false" customHeight="false" outlineLevel="0" collapsed="false">
      <c r="A10" s="9" t="n">
        <v>1</v>
      </c>
      <c r="B10" s="9" t="s">
        <v>370</v>
      </c>
      <c r="C10" s="9" t="s">
        <v>375</v>
      </c>
      <c r="D10" s="15"/>
      <c r="E10" s="9" t="s">
        <v>212</v>
      </c>
      <c r="F10" s="9" t="n">
        <v>1</v>
      </c>
      <c r="G10" s="9" t="s">
        <v>170</v>
      </c>
      <c r="H10" s="14" t="n">
        <f aca="false">IFERROR(F10*VLOOKUP(E10,Insumos!$A:$G,7,FALSE()),0)</f>
        <v>0.78</v>
      </c>
      <c r="I10" s="16"/>
    </row>
    <row r="11" customFormat="false" ht="15" hidden="false" customHeight="false" outlineLevel="0" collapsed="false">
      <c r="A11" s="9" t="n">
        <v>1</v>
      </c>
      <c r="B11" s="9" t="s">
        <v>370</v>
      </c>
      <c r="C11" s="9" t="s">
        <v>376</v>
      </c>
      <c r="D11" s="15"/>
      <c r="E11" s="9" t="s">
        <v>273</v>
      </c>
      <c r="F11" s="9" t="n">
        <v>4</v>
      </c>
      <c r="G11" s="9" t="s">
        <v>170</v>
      </c>
      <c r="H11" s="14" t="n">
        <f aca="false">IFERROR(F11*VLOOKUP(E11,Insumos!$A:$G,7,FALSE()),0)</f>
        <v>8.8</v>
      </c>
      <c r="I11" s="17" t="s">
        <v>377</v>
      </c>
    </row>
    <row r="12" customFormat="false" ht="15" hidden="false" customHeight="false" outlineLevel="0" collapsed="false">
      <c r="A12" s="9" t="n">
        <v>2</v>
      </c>
      <c r="B12" s="9" t="s">
        <v>378</v>
      </c>
      <c r="C12" s="9" t="s">
        <v>379</v>
      </c>
      <c r="D12" s="15"/>
      <c r="E12" s="9" t="s">
        <v>58</v>
      </c>
      <c r="F12" s="9" t="n">
        <v>60</v>
      </c>
      <c r="G12" s="9" t="s">
        <v>61</v>
      </c>
      <c r="H12" s="14" t="n">
        <f aca="false">IFERROR(F12*VLOOKUP(E12,Insumos!$A:$G,7,FALSE()),0)</f>
        <v>33.6</v>
      </c>
      <c r="I12" s="16"/>
    </row>
    <row r="13" customFormat="false" ht="15" hidden="false" customHeight="false" outlineLevel="0" collapsed="false">
      <c r="A13" s="9" t="n">
        <v>2</v>
      </c>
      <c r="B13" s="9" t="s">
        <v>378</v>
      </c>
      <c r="C13" s="9" t="s">
        <v>380</v>
      </c>
      <c r="D13" s="15"/>
      <c r="E13" s="9" t="s">
        <v>156</v>
      </c>
      <c r="F13" s="9" t="n">
        <v>20</v>
      </c>
      <c r="G13" s="9" t="s">
        <v>61</v>
      </c>
      <c r="H13" s="14" t="n">
        <f aca="false">IFERROR(F13*VLOOKUP(E13,Insumos!$A:$G,7,FALSE()),0)</f>
        <v>1.64</v>
      </c>
      <c r="I13" s="16"/>
    </row>
    <row r="14" customFormat="false" ht="15" hidden="false" customHeight="false" outlineLevel="0" collapsed="false">
      <c r="A14" s="9" t="n">
        <v>2</v>
      </c>
      <c r="B14" s="9" t="s">
        <v>378</v>
      </c>
      <c r="C14" s="9" t="s">
        <v>381</v>
      </c>
      <c r="D14" s="15"/>
      <c r="E14" s="9" t="s">
        <v>145</v>
      </c>
      <c r="F14" s="9" t="n">
        <v>15</v>
      </c>
      <c r="G14" s="9" t="s">
        <v>61</v>
      </c>
      <c r="H14" s="14" t="n">
        <f aca="false">IFERROR(F14*VLOOKUP(E14,Insumos!$A:$G,7,FALSE()),0)</f>
        <v>1.425</v>
      </c>
      <c r="I14" s="16"/>
    </row>
    <row r="15" customFormat="false" ht="15" hidden="false" customHeight="false" outlineLevel="0" collapsed="false">
      <c r="A15" s="9" t="n">
        <v>2</v>
      </c>
      <c r="B15" s="9" t="s">
        <v>378</v>
      </c>
      <c r="C15" s="9" t="s">
        <v>382</v>
      </c>
      <c r="D15" s="15"/>
      <c r="E15" s="9" t="s">
        <v>131</v>
      </c>
      <c r="F15" s="9" t="n">
        <v>120</v>
      </c>
      <c r="G15" s="9" t="s">
        <v>61</v>
      </c>
      <c r="H15" s="14" t="n">
        <f aca="false">IFERROR(F15*VLOOKUP(E15,Insumos!$A:$G,7,FALSE()),0)</f>
        <v>10.8169014084507</v>
      </c>
      <c r="I15" s="16"/>
    </row>
    <row r="16" customFormat="false" ht="15" hidden="false" customHeight="false" outlineLevel="0" collapsed="false">
      <c r="A16" s="9" t="n">
        <v>2</v>
      </c>
      <c r="B16" s="9" t="s">
        <v>378</v>
      </c>
      <c r="C16" s="9" t="s">
        <v>383</v>
      </c>
      <c r="D16" s="15"/>
      <c r="E16" s="9" t="s">
        <v>215</v>
      </c>
      <c r="F16" s="9" t="n">
        <v>1</v>
      </c>
      <c r="G16" s="9" t="s">
        <v>170</v>
      </c>
      <c r="H16" s="14" t="n">
        <f aca="false">IFERROR(F16*VLOOKUP(E16,Insumos!$A:$G,7,FALSE()),0)</f>
        <v>0.032</v>
      </c>
      <c r="I16" s="16"/>
    </row>
    <row r="17" customFormat="false" ht="15" hidden="false" customHeight="false" outlineLevel="0" collapsed="false">
      <c r="A17" s="9" t="n">
        <v>2</v>
      </c>
      <c r="B17" s="9" t="s">
        <v>378</v>
      </c>
      <c r="C17" s="9" t="s">
        <v>384</v>
      </c>
      <c r="D17" s="15"/>
      <c r="E17" s="9" t="s">
        <v>215</v>
      </c>
      <c r="F17" s="9" t="n">
        <v>45</v>
      </c>
      <c r="G17" s="9" t="s">
        <v>170</v>
      </c>
      <c r="H17" s="14" t="n">
        <f aca="false">IFERROR(F17*VLOOKUP(E17,Insumos!$A:$G,7,FALSE()),0)</f>
        <v>1.44</v>
      </c>
      <c r="I17" s="17" t="s">
        <v>385</v>
      </c>
    </row>
    <row r="18" customFormat="false" ht="15" hidden="false" customHeight="false" outlineLevel="0" collapsed="false">
      <c r="A18" s="9" t="n">
        <v>3</v>
      </c>
      <c r="B18" s="9" t="s">
        <v>386</v>
      </c>
      <c r="C18" s="9" t="s">
        <v>387</v>
      </c>
      <c r="D18" s="15"/>
      <c r="E18" s="9" t="s">
        <v>58</v>
      </c>
      <c r="F18" s="9" t="n">
        <v>60</v>
      </c>
      <c r="G18" s="9" t="s">
        <v>61</v>
      </c>
      <c r="H18" s="14" t="n">
        <f aca="false">IFERROR(F18*VLOOKUP(E18,Insumos!$A:$G,7,FALSE()),0)</f>
        <v>33.6</v>
      </c>
      <c r="I18" s="16"/>
    </row>
    <row r="19" customFormat="false" ht="15" hidden="false" customHeight="false" outlineLevel="0" collapsed="false">
      <c r="A19" s="9" t="n">
        <v>3</v>
      </c>
      <c r="B19" s="9" t="s">
        <v>386</v>
      </c>
      <c r="C19" s="9" t="s">
        <v>388</v>
      </c>
      <c r="D19" s="15"/>
      <c r="E19" s="9" t="s">
        <v>152</v>
      </c>
      <c r="F19" s="9" t="n">
        <v>120</v>
      </c>
      <c r="G19" s="9" t="s">
        <v>61</v>
      </c>
      <c r="H19" s="14" t="n">
        <f aca="false">IFERROR(F19*VLOOKUP(E19,Insumos!$A:$G,7,FALSE()),0)</f>
        <v>6.96</v>
      </c>
      <c r="I19" s="16"/>
    </row>
    <row r="20" customFormat="false" ht="15" hidden="false" customHeight="false" outlineLevel="0" collapsed="false">
      <c r="A20" s="9" t="n">
        <v>3</v>
      </c>
      <c r="B20" s="9" t="s">
        <v>386</v>
      </c>
      <c r="C20" s="9" t="s">
        <v>389</v>
      </c>
      <c r="D20" s="15"/>
      <c r="E20" s="9" t="s">
        <v>196</v>
      </c>
      <c r="F20" s="9" t="n">
        <v>20</v>
      </c>
      <c r="G20" s="9" t="s">
        <v>61</v>
      </c>
      <c r="H20" s="14" t="n">
        <f aca="false">IFERROR(F20*VLOOKUP(E20,Insumos!$A:$G,7,FALSE()),0)</f>
        <v>2.6</v>
      </c>
      <c r="I20" s="16"/>
    </row>
    <row r="21" customFormat="false" ht="15" hidden="false" customHeight="false" outlineLevel="0" collapsed="false">
      <c r="A21" s="9" t="n">
        <v>3</v>
      </c>
      <c r="B21" s="9" t="s">
        <v>386</v>
      </c>
      <c r="C21" s="9" t="s">
        <v>390</v>
      </c>
      <c r="D21" s="15"/>
      <c r="E21" s="9" t="s">
        <v>277</v>
      </c>
      <c r="F21" s="9" t="n">
        <v>28</v>
      </c>
      <c r="G21" s="9" t="s">
        <v>170</v>
      </c>
      <c r="H21" s="14" t="n">
        <f aca="false">IFERROR(F21*VLOOKUP(E21,Insumos!$A:$G,7,FALSE()),0)</f>
        <v>11.55</v>
      </c>
      <c r="I21" s="17" t="s">
        <v>391</v>
      </c>
    </row>
    <row r="22" customFormat="false" ht="15" hidden="false" customHeight="false" outlineLevel="0" collapsed="false">
      <c r="A22" s="9" t="n">
        <v>4</v>
      </c>
      <c r="B22" s="9" t="s">
        <v>392</v>
      </c>
      <c r="C22" s="9" t="s">
        <v>393</v>
      </c>
      <c r="D22" s="15"/>
      <c r="E22" s="9" t="s">
        <v>62</v>
      </c>
      <c r="F22" s="9" t="n">
        <v>60</v>
      </c>
      <c r="G22" s="9" t="s">
        <v>61</v>
      </c>
      <c r="H22" s="14" t="n">
        <f aca="false">IFERROR(F22*VLOOKUP(E22,Insumos!$A:$G,7,FALSE()),0)</f>
        <v>41.6</v>
      </c>
      <c r="I22" s="16"/>
    </row>
    <row r="23" customFormat="false" ht="15" hidden="false" customHeight="false" outlineLevel="0" collapsed="false">
      <c r="A23" s="9" t="n">
        <v>4</v>
      </c>
      <c r="B23" s="9" t="s">
        <v>392</v>
      </c>
      <c r="C23" s="9" t="s">
        <v>394</v>
      </c>
      <c r="D23" s="15"/>
      <c r="E23" s="9" t="s">
        <v>148</v>
      </c>
      <c r="F23" s="9" t="n">
        <v>30</v>
      </c>
      <c r="G23" s="9" t="s">
        <v>61</v>
      </c>
      <c r="H23" s="14" t="n">
        <f aca="false">IFERROR(F23*VLOOKUP(E23,Insumos!$A:$G,7,FALSE()),0)</f>
        <v>3.3</v>
      </c>
      <c r="I23" s="16"/>
    </row>
    <row r="24" customFormat="false" ht="15" hidden="false" customHeight="false" outlineLevel="0" collapsed="false">
      <c r="A24" s="9" t="n">
        <v>4</v>
      </c>
      <c r="B24" s="9" t="s">
        <v>392</v>
      </c>
      <c r="C24" s="9" t="s">
        <v>395</v>
      </c>
      <c r="D24" s="15"/>
      <c r="E24" s="9" t="s">
        <v>141</v>
      </c>
      <c r="F24" s="9" t="n">
        <v>15</v>
      </c>
      <c r="G24" s="9" t="s">
        <v>61</v>
      </c>
      <c r="H24" s="14" t="n">
        <f aca="false">IFERROR(F24*VLOOKUP(E24,Insumos!$A:$G,7,FALSE()),0)</f>
        <v>0.03375</v>
      </c>
      <c r="I24" s="16"/>
    </row>
    <row r="25" customFormat="false" ht="15" hidden="false" customHeight="false" outlineLevel="0" collapsed="false">
      <c r="A25" s="9" t="n">
        <v>4</v>
      </c>
      <c r="B25" s="9" t="s">
        <v>392</v>
      </c>
      <c r="C25" s="9" t="s">
        <v>396</v>
      </c>
      <c r="D25" s="15"/>
      <c r="E25" s="9" t="s">
        <v>306</v>
      </c>
      <c r="F25" s="9" t="n">
        <v>12</v>
      </c>
      <c r="G25" s="9" t="s">
        <v>170</v>
      </c>
      <c r="H25" s="14" t="n">
        <f aca="false">IFERROR(F25*VLOOKUP(E25,Insumos!$A:$G,7,FALSE()),0)</f>
        <v>0.504</v>
      </c>
      <c r="I25" s="17" t="s">
        <v>397</v>
      </c>
    </row>
    <row r="26" customFormat="false" ht="15" hidden="false" customHeight="false" outlineLevel="0" collapsed="false">
      <c r="A26" s="9" t="n">
        <v>5</v>
      </c>
      <c r="B26" s="9" t="s">
        <v>398</v>
      </c>
      <c r="C26" s="9" t="s">
        <v>399</v>
      </c>
      <c r="D26" s="15"/>
      <c r="E26" s="9" t="s">
        <v>62</v>
      </c>
      <c r="F26" s="9" t="n">
        <v>60</v>
      </c>
      <c r="G26" s="9" t="s">
        <v>61</v>
      </c>
      <c r="H26" s="14" t="n">
        <f aca="false">IFERROR(F26*VLOOKUP(E26,Insumos!$A:$G,7,FALSE()),0)</f>
        <v>41.6</v>
      </c>
      <c r="I26" s="16"/>
    </row>
    <row r="27" customFormat="false" ht="15" hidden="false" customHeight="false" outlineLevel="0" collapsed="false">
      <c r="A27" s="9" t="n">
        <v>5</v>
      </c>
      <c r="B27" s="9" t="s">
        <v>398</v>
      </c>
      <c r="C27" s="9" t="s">
        <v>400</v>
      </c>
      <c r="D27" s="15"/>
      <c r="E27" s="9" t="s">
        <v>145</v>
      </c>
      <c r="F27" s="9" t="n">
        <v>15</v>
      </c>
      <c r="G27" s="9" t="s">
        <v>61</v>
      </c>
      <c r="H27" s="14" t="n">
        <f aca="false">IFERROR(F27*VLOOKUP(E27,Insumos!$A:$G,7,FALSE()),0)</f>
        <v>1.425</v>
      </c>
      <c r="I27" s="16"/>
    </row>
    <row r="28" customFormat="false" ht="15" hidden="false" customHeight="false" outlineLevel="0" collapsed="false">
      <c r="A28" s="9" t="n">
        <v>5</v>
      </c>
      <c r="B28" s="9" t="s">
        <v>398</v>
      </c>
      <c r="C28" s="9" t="s">
        <v>401</v>
      </c>
      <c r="D28" s="15"/>
      <c r="E28" s="9" t="s">
        <v>128</v>
      </c>
      <c r="F28" s="9" t="n">
        <v>140</v>
      </c>
      <c r="G28" s="9" t="s">
        <v>61</v>
      </c>
      <c r="H28" s="14" t="n">
        <f aca="false">IFERROR(F28*VLOOKUP(E28,Insumos!$A:$G,7,FALSE()),0)</f>
        <v>8.67605633802817</v>
      </c>
      <c r="I28" s="16"/>
    </row>
    <row r="29" customFormat="false" ht="15" hidden="false" customHeight="false" outlineLevel="0" collapsed="false">
      <c r="A29" s="9" t="n">
        <v>5</v>
      </c>
      <c r="B29" s="9" t="s">
        <v>398</v>
      </c>
      <c r="C29" s="9" t="s">
        <v>402</v>
      </c>
      <c r="D29" s="15"/>
      <c r="E29" s="9" t="s">
        <v>212</v>
      </c>
      <c r="F29" s="9" t="n">
        <v>1.5</v>
      </c>
      <c r="G29" s="9" t="s">
        <v>170</v>
      </c>
      <c r="H29" s="14" t="n">
        <f aca="false">IFERROR(F29*VLOOKUP(E29,Insumos!$A:$G,7,FALSE()),0)</f>
        <v>1.17</v>
      </c>
      <c r="I29" s="16"/>
    </row>
    <row r="30" customFormat="false" ht="15" hidden="false" customHeight="false" outlineLevel="0" collapsed="false">
      <c r="A30" s="9" t="n">
        <v>5</v>
      </c>
      <c r="B30" s="9" t="s">
        <v>398</v>
      </c>
      <c r="C30" s="9" t="s">
        <v>403</v>
      </c>
      <c r="D30" s="15"/>
      <c r="E30" s="9" t="s">
        <v>299</v>
      </c>
      <c r="F30" s="9" t="n">
        <v>0</v>
      </c>
      <c r="G30" s="9" t="s">
        <v>301</v>
      </c>
      <c r="H30" s="14" t="n">
        <f aca="false">IFERROR(F30*VLOOKUP(E30,Insumos!$A:$G,7,FALSE()),0)</f>
        <v>0</v>
      </c>
      <c r="I30" s="17" t="s">
        <v>404</v>
      </c>
    </row>
    <row r="31" customFormat="false" ht="15" hidden="false" customHeight="false" outlineLevel="0" collapsed="false">
      <c r="A31" s="9" t="n">
        <v>5</v>
      </c>
      <c r="B31" s="9" t="s">
        <v>398</v>
      </c>
      <c r="C31" s="9" t="s">
        <v>405</v>
      </c>
      <c r="D31" s="15"/>
      <c r="E31" s="9" t="s">
        <v>306</v>
      </c>
      <c r="F31" s="9" t="n">
        <v>12</v>
      </c>
      <c r="G31" s="9" t="s">
        <v>170</v>
      </c>
      <c r="H31" s="14" t="n">
        <f aca="false">IFERROR(F31*VLOOKUP(E31,Insumos!$A:$G,7,FALSE()),0)</f>
        <v>0.504</v>
      </c>
      <c r="I31" s="17" t="s">
        <v>397</v>
      </c>
    </row>
    <row r="32" customFormat="false" ht="15" hidden="false" customHeight="false" outlineLevel="0" collapsed="false">
      <c r="A32" s="9" t="n">
        <v>6</v>
      </c>
      <c r="B32" s="9" t="s">
        <v>406</v>
      </c>
      <c r="C32" s="9" t="s">
        <v>407</v>
      </c>
      <c r="D32" s="15"/>
      <c r="E32" s="9" t="s">
        <v>62</v>
      </c>
      <c r="F32" s="9" t="n">
        <v>60</v>
      </c>
      <c r="G32" s="9" t="s">
        <v>61</v>
      </c>
      <c r="H32" s="14" t="n">
        <f aca="false">IFERROR(F32*VLOOKUP(E32,Insumos!$A:$G,7,FALSE()),0)</f>
        <v>41.6</v>
      </c>
      <c r="I32" s="16"/>
    </row>
    <row r="33" customFormat="false" ht="15" hidden="false" customHeight="false" outlineLevel="0" collapsed="false">
      <c r="A33" s="9" t="n">
        <v>6</v>
      </c>
      <c r="B33" s="9" t="s">
        <v>406</v>
      </c>
      <c r="C33" s="9" t="s">
        <v>408</v>
      </c>
      <c r="D33" s="15"/>
      <c r="E33" s="9" t="s">
        <v>145</v>
      </c>
      <c r="F33" s="9" t="n">
        <v>15</v>
      </c>
      <c r="G33" s="9" t="s">
        <v>61</v>
      </c>
      <c r="H33" s="14" t="n">
        <f aca="false">IFERROR(F33*VLOOKUP(E33,Insumos!$A:$G,7,FALSE()),0)</f>
        <v>1.425</v>
      </c>
      <c r="I33" s="16"/>
    </row>
    <row r="34" customFormat="false" ht="15" hidden="false" customHeight="false" outlineLevel="0" collapsed="false">
      <c r="A34" s="9" t="n">
        <v>6</v>
      </c>
      <c r="B34" s="9" t="s">
        <v>406</v>
      </c>
      <c r="C34" s="9" t="s">
        <v>409</v>
      </c>
      <c r="D34" s="15"/>
      <c r="E34" s="9" t="s">
        <v>128</v>
      </c>
      <c r="F34" s="9" t="n">
        <v>130</v>
      </c>
      <c r="G34" s="9" t="s">
        <v>61</v>
      </c>
      <c r="H34" s="14" t="n">
        <f aca="false">IFERROR(F34*VLOOKUP(E34,Insumos!$A:$G,7,FALSE()),0)</f>
        <v>8.05633802816901</v>
      </c>
      <c r="I34" s="16"/>
    </row>
    <row r="35" customFormat="false" ht="15" hidden="false" customHeight="false" outlineLevel="0" collapsed="false">
      <c r="A35" s="9" t="n">
        <v>6</v>
      </c>
      <c r="B35" s="9" t="s">
        <v>406</v>
      </c>
      <c r="C35" s="9" t="s">
        <v>410</v>
      </c>
      <c r="D35" s="15"/>
      <c r="E35" s="9" t="s">
        <v>215</v>
      </c>
      <c r="F35" s="9" t="n">
        <v>1</v>
      </c>
      <c r="G35" s="9" t="s">
        <v>170</v>
      </c>
      <c r="H35" s="14" t="n">
        <f aca="false">IFERROR(F35*VLOOKUP(E35,Insumos!$A:$G,7,FALSE()),0)</f>
        <v>0.032</v>
      </c>
      <c r="I35" s="16"/>
    </row>
    <row r="36" customFormat="false" ht="15" hidden="false" customHeight="false" outlineLevel="0" collapsed="false">
      <c r="A36" s="9" t="n">
        <v>6</v>
      </c>
      <c r="B36" s="9" t="s">
        <v>406</v>
      </c>
      <c r="C36" s="9" t="s">
        <v>411</v>
      </c>
      <c r="D36" s="15"/>
      <c r="E36" s="9" t="s">
        <v>306</v>
      </c>
      <c r="F36" s="9" t="n">
        <v>12</v>
      </c>
      <c r="G36" s="9" t="s">
        <v>170</v>
      </c>
      <c r="H36" s="14" t="n">
        <f aca="false">IFERROR(F36*VLOOKUP(E36,Insumos!$A:$G,7,FALSE()),0)</f>
        <v>0.504</v>
      </c>
      <c r="I36" s="17" t="s">
        <v>397</v>
      </c>
    </row>
    <row r="37" customFormat="false" ht="15" hidden="false" customHeight="false" outlineLevel="0" collapsed="false">
      <c r="A37" s="9" t="n">
        <v>7</v>
      </c>
      <c r="B37" s="9" t="s">
        <v>412</v>
      </c>
      <c r="C37" s="9" t="s">
        <v>413</v>
      </c>
      <c r="D37" s="15"/>
      <c r="E37" s="9" t="s">
        <v>139</v>
      </c>
      <c r="F37" s="9" t="n">
        <v>60</v>
      </c>
      <c r="G37" s="9" t="s">
        <v>61</v>
      </c>
      <c r="H37" s="14" t="n">
        <f aca="false">IFERROR(F37*VLOOKUP(E37,Insumos!$A:$G,7,FALSE()),0)</f>
        <v>3.12</v>
      </c>
      <c r="I37" s="16"/>
    </row>
    <row r="38" customFormat="false" ht="15" hidden="false" customHeight="false" outlineLevel="0" collapsed="false">
      <c r="A38" s="9" t="n">
        <v>7</v>
      </c>
      <c r="B38" s="9" t="s">
        <v>412</v>
      </c>
      <c r="C38" s="9" t="s">
        <v>414</v>
      </c>
      <c r="D38" s="15"/>
      <c r="E38" s="9" t="s">
        <v>152</v>
      </c>
      <c r="F38" s="9" t="n">
        <v>30</v>
      </c>
      <c r="G38" s="9" t="s">
        <v>61</v>
      </c>
      <c r="H38" s="14" t="n">
        <f aca="false">IFERROR(F38*VLOOKUP(E38,Insumos!$A:$G,7,FALSE()),0)</f>
        <v>1.74</v>
      </c>
      <c r="I38" s="16"/>
    </row>
    <row r="39" customFormat="false" ht="15" hidden="false" customHeight="false" outlineLevel="0" collapsed="false">
      <c r="A39" s="9" t="n">
        <v>7</v>
      </c>
      <c r="B39" s="9" t="s">
        <v>412</v>
      </c>
      <c r="C39" s="9" t="s">
        <v>415</v>
      </c>
      <c r="D39" s="15"/>
      <c r="E39" s="9" t="s">
        <v>145</v>
      </c>
      <c r="F39" s="9" t="n">
        <v>15</v>
      </c>
      <c r="G39" s="9" t="s">
        <v>61</v>
      </c>
      <c r="H39" s="14" t="n">
        <f aca="false">IFERROR(F39*VLOOKUP(E39,Insumos!$A:$G,7,FALSE()),0)</f>
        <v>1.425</v>
      </c>
      <c r="I39" s="16"/>
    </row>
    <row r="40" customFormat="false" ht="15" hidden="false" customHeight="false" outlineLevel="0" collapsed="false">
      <c r="A40" s="9" t="n">
        <v>7</v>
      </c>
      <c r="B40" s="9" t="s">
        <v>412</v>
      </c>
      <c r="C40" s="9" t="s">
        <v>416</v>
      </c>
      <c r="D40" s="15"/>
      <c r="E40" s="9" t="s">
        <v>251</v>
      </c>
      <c r="F40" s="9" t="n">
        <v>5</v>
      </c>
      <c r="G40" s="9" t="s">
        <v>61</v>
      </c>
      <c r="H40" s="14" t="n">
        <f aca="false">IFERROR(F40*VLOOKUP(E40,Insumos!$A:$G,7,FALSE()),0)</f>
        <v>1.06896551724138</v>
      </c>
      <c r="I40" s="16"/>
    </row>
    <row r="41" customFormat="false" ht="15" hidden="false" customHeight="false" outlineLevel="0" collapsed="false">
      <c r="A41" s="9" t="n">
        <v>7</v>
      </c>
      <c r="B41" s="9" t="s">
        <v>412</v>
      </c>
      <c r="C41" s="9" t="s">
        <v>417</v>
      </c>
      <c r="D41" s="15"/>
      <c r="E41" s="9" t="s">
        <v>258</v>
      </c>
      <c r="F41" s="9" t="n">
        <v>5</v>
      </c>
      <c r="G41" s="9" t="s">
        <v>61</v>
      </c>
      <c r="H41" s="14" t="n">
        <f aca="false">IFERROR(F41*VLOOKUP(E41,Insumos!$A:$G,7,FALSE()),0)</f>
        <v>0.6</v>
      </c>
      <c r="I41" s="16"/>
    </row>
    <row r="42" customFormat="false" ht="15" hidden="false" customHeight="false" outlineLevel="0" collapsed="false">
      <c r="A42" s="9" t="n">
        <v>7</v>
      </c>
      <c r="B42" s="9" t="s">
        <v>412</v>
      </c>
      <c r="C42" s="9" t="s">
        <v>418</v>
      </c>
      <c r="D42" s="15"/>
      <c r="E42" s="9" t="s">
        <v>215</v>
      </c>
      <c r="F42" s="9" t="n">
        <v>1</v>
      </c>
      <c r="G42" s="9" t="s">
        <v>170</v>
      </c>
      <c r="H42" s="14" t="n">
        <f aca="false">IFERROR(F42*VLOOKUP(E42,Insumos!$A:$G,7,FALSE()),0)</f>
        <v>0.032</v>
      </c>
      <c r="I42" s="16"/>
    </row>
    <row r="43" customFormat="false" ht="15" hidden="false" customHeight="false" outlineLevel="0" collapsed="false">
      <c r="A43" s="9" t="n">
        <v>7</v>
      </c>
      <c r="B43" s="9" t="s">
        <v>412</v>
      </c>
      <c r="C43" s="9" t="s">
        <v>419</v>
      </c>
      <c r="D43" s="15"/>
      <c r="E43" s="9" t="s">
        <v>58</v>
      </c>
      <c r="F43" s="9" t="n">
        <v>60</v>
      </c>
      <c r="G43" s="9" t="s">
        <v>61</v>
      </c>
      <c r="H43" s="14" t="n">
        <f aca="false">IFERROR(F43*VLOOKUP(E43,Insumos!$A:$G,7,FALSE()),0)</f>
        <v>33.6</v>
      </c>
      <c r="I43" s="16"/>
    </row>
    <row r="44" customFormat="false" ht="15" hidden="false" customHeight="false" outlineLevel="0" collapsed="false">
      <c r="A44" s="9" t="n">
        <v>7</v>
      </c>
      <c r="B44" s="9" t="s">
        <v>412</v>
      </c>
      <c r="C44" s="9" t="s">
        <v>420</v>
      </c>
      <c r="D44" s="15"/>
      <c r="E44" s="9" t="s">
        <v>143</v>
      </c>
      <c r="F44" s="9" t="n">
        <v>90</v>
      </c>
      <c r="G44" s="9" t="s">
        <v>61</v>
      </c>
      <c r="H44" s="14" t="n">
        <f aca="false">IFERROR(F44*VLOOKUP(E44,Insumos!$A:$G,7,FALSE()),0)</f>
        <v>8.55</v>
      </c>
      <c r="I44" s="16"/>
    </row>
    <row r="45" customFormat="false" ht="15" hidden="false" customHeight="false" outlineLevel="0" collapsed="false">
      <c r="A45" s="9" t="n">
        <v>7</v>
      </c>
      <c r="B45" s="9" t="s">
        <v>412</v>
      </c>
      <c r="C45" s="9" t="s">
        <v>421</v>
      </c>
      <c r="D45" s="15"/>
      <c r="E45" s="9" t="s">
        <v>131</v>
      </c>
      <c r="F45" s="9" t="n">
        <v>60</v>
      </c>
      <c r="G45" s="9" t="s">
        <v>61</v>
      </c>
      <c r="H45" s="14" t="n">
        <f aca="false">IFERROR(F45*VLOOKUP(E45,Insumos!$A:$G,7,FALSE()),0)</f>
        <v>5.40845070422535</v>
      </c>
      <c r="I45" s="16"/>
    </row>
    <row r="46" customFormat="false" ht="15" hidden="false" customHeight="false" outlineLevel="0" collapsed="false">
      <c r="A46" s="9" t="n">
        <v>7</v>
      </c>
      <c r="B46" s="9" t="s">
        <v>412</v>
      </c>
      <c r="C46" s="9" t="s">
        <v>422</v>
      </c>
      <c r="D46" s="15"/>
      <c r="E46" s="9" t="s">
        <v>221</v>
      </c>
      <c r="F46" s="9" t="n">
        <v>2</v>
      </c>
      <c r="G46" s="9" t="s">
        <v>170</v>
      </c>
      <c r="H46" s="14" t="n">
        <f aca="false">IFERROR(F46*VLOOKUP(E46,Insumos!$A:$G,7,FALSE()),0)</f>
        <v>0.624</v>
      </c>
      <c r="I46" s="16"/>
    </row>
    <row r="47" customFormat="false" ht="15" hidden="false" customHeight="false" outlineLevel="0" collapsed="false">
      <c r="A47" s="9" t="n">
        <v>7</v>
      </c>
      <c r="B47" s="9" t="s">
        <v>412</v>
      </c>
      <c r="C47" s="9" t="s">
        <v>423</v>
      </c>
      <c r="D47" s="15"/>
      <c r="E47" s="9" t="s">
        <v>306</v>
      </c>
      <c r="F47" s="9" t="n">
        <v>12</v>
      </c>
      <c r="G47" s="9" t="s">
        <v>170</v>
      </c>
      <c r="H47" s="14" t="n">
        <f aca="false">IFERROR(F47*VLOOKUP(E47,Insumos!$A:$G,7,FALSE()),0)</f>
        <v>0.504</v>
      </c>
      <c r="I47" s="17" t="s">
        <v>397</v>
      </c>
    </row>
    <row r="48" customFormat="false" ht="15" hidden="false" customHeight="false" outlineLevel="0" collapsed="false">
      <c r="A48" s="9" t="n">
        <v>8</v>
      </c>
      <c r="B48" s="9" t="s">
        <v>424</v>
      </c>
      <c r="C48" s="9" t="s">
        <v>425</v>
      </c>
      <c r="D48" s="15"/>
      <c r="E48" s="9" t="s">
        <v>58</v>
      </c>
      <c r="F48" s="9" t="n">
        <v>60</v>
      </c>
      <c r="G48" s="9" t="s">
        <v>61</v>
      </c>
      <c r="H48" s="14" t="n">
        <f aca="false">IFERROR(F48*VLOOKUP(E48,Insumos!$A:$G,7,FALSE()),0)</f>
        <v>33.6</v>
      </c>
      <c r="I48" s="16"/>
    </row>
    <row r="49" customFormat="false" ht="15" hidden="false" customHeight="false" outlineLevel="0" collapsed="false">
      <c r="A49" s="9" t="n">
        <v>8</v>
      </c>
      <c r="B49" s="9" t="s">
        <v>424</v>
      </c>
      <c r="C49" s="9" t="s">
        <v>426</v>
      </c>
      <c r="D49" s="15"/>
      <c r="E49" s="9" t="s">
        <v>160</v>
      </c>
      <c r="F49" s="9" t="n">
        <v>45</v>
      </c>
      <c r="G49" s="9" t="s">
        <v>61</v>
      </c>
      <c r="H49" s="14" t="n">
        <f aca="false">IFERROR(F49*VLOOKUP(E49,Insumos!$A:$G,7,FALSE()),0)</f>
        <v>2.16</v>
      </c>
      <c r="I49" s="16"/>
    </row>
    <row r="50" customFormat="false" ht="15" hidden="false" customHeight="false" outlineLevel="0" collapsed="false">
      <c r="A50" s="9" t="n">
        <v>8</v>
      </c>
      <c r="B50" s="9" t="s">
        <v>424</v>
      </c>
      <c r="C50" s="9" t="s">
        <v>427</v>
      </c>
      <c r="D50" s="15"/>
      <c r="E50" s="9" t="s">
        <v>148</v>
      </c>
      <c r="F50" s="9" t="n">
        <v>15</v>
      </c>
      <c r="G50" s="9" t="s">
        <v>61</v>
      </c>
      <c r="H50" s="14" t="n">
        <f aca="false">IFERROR(F50*VLOOKUP(E50,Insumos!$A:$G,7,FALSE()),0)</f>
        <v>1.65</v>
      </c>
      <c r="I50" s="16"/>
    </row>
    <row r="51" customFormat="false" ht="15" hidden="false" customHeight="false" outlineLevel="0" collapsed="false">
      <c r="A51" s="9" t="n">
        <v>8</v>
      </c>
      <c r="B51" s="9" t="s">
        <v>424</v>
      </c>
      <c r="C51" s="9" t="s">
        <v>428</v>
      </c>
      <c r="D51" s="15"/>
      <c r="E51" s="9" t="s">
        <v>185</v>
      </c>
      <c r="F51" s="9" t="n">
        <v>10</v>
      </c>
      <c r="G51" s="9" t="s">
        <v>61</v>
      </c>
      <c r="H51" s="14" t="n">
        <f aca="false">IFERROR(F51*VLOOKUP(E51,Insumos!$A:$G,7,FALSE()),0)</f>
        <v>0.42</v>
      </c>
      <c r="I51" s="16"/>
    </row>
    <row r="52" customFormat="false" ht="15" hidden="false" customHeight="false" outlineLevel="0" collapsed="false">
      <c r="A52" s="9" t="n">
        <v>8</v>
      </c>
      <c r="B52" s="9" t="s">
        <v>424</v>
      </c>
      <c r="C52" s="9" t="s">
        <v>429</v>
      </c>
      <c r="D52" s="15"/>
      <c r="E52" s="9" t="s">
        <v>308</v>
      </c>
      <c r="F52" s="9" t="n">
        <v>25</v>
      </c>
      <c r="G52" s="9" t="s">
        <v>170</v>
      </c>
      <c r="H52" s="14" t="n">
        <f aca="false">IFERROR(F52*VLOOKUP(E52,Insumos!$A:$G,7,FALSE()),0)</f>
        <v>0.7</v>
      </c>
      <c r="I52" s="17" t="s">
        <v>430</v>
      </c>
    </row>
    <row r="53" customFormat="false" ht="15" hidden="false" customHeight="false" outlineLevel="0" collapsed="false">
      <c r="A53" s="9" t="n">
        <v>9</v>
      </c>
      <c r="B53" s="9" t="s">
        <v>431</v>
      </c>
      <c r="C53" s="9" t="s">
        <v>432</v>
      </c>
      <c r="D53" s="15"/>
      <c r="E53" s="9" t="s">
        <v>62</v>
      </c>
      <c r="F53" s="9" t="n">
        <v>60</v>
      </c>
      <c r="G53" s="9" t="s">
        <v>61</v>
      </c>
      <c r="H53" s="14" t="n">
        <f aca="false">IFERROR(F53*VLOOKUP(E53,Insumos!$A:$G,7,FALSE()),0)</f>
        <v>41.6</v>
      </c>
      <c r="I53" s="16"/>
    </row>
    <row r="54" customFormat="false" ht="15" hidden="false" customHeight="false" outlineLevel="0" collapsed="false">
      <c r="A54" s="9" t="n">
        <v>9</v>
      </c>
      <c r="B54" s="9" t="s">
        <v>431</v>
      </c>
      <c r="C54" s="9" t="s">
        <v>433</v>
      </c>
      <c r="D54" s="15"/>
      <c r="E54" s="9" t="s">
        <v>150</v>
      </c>
      <c r="F54" s="9" t="n">
        <v>30</v>
      </c>
      <c r="G54" s="9" t="s">
        <v>61</v>
      </c>
      <c r="H54" s="14" t="n">
        <f aca="false">IFERROR(F54*VLOOKUP(E54,Insumos!$A:$G,7,FALSE()),0)</f>
        <v>4.35</v>
      </c>
      <c r="I54" s="16"/>
    </row>
    <row r="55" customFormat="false" ht="15" hidden="false" customHeight="false" outlineLevel="0" collapsed="false">
      <c r="A55" s="9" t="n">
        <v>9</v>
      </c>
      <c r="B55" s="9" t="s">
        <v>431</v>
      </c>
      <c r="C55" s="9" t="s">
        <v>434</v>
      </c>
      <c r="D55" s="15"/>
      <c r="E55" s="9" t="s">
        <v>185</v>
      </c>
      <c r="F55" s="9" t="n">
        <v>20</v>
      </c>
      <c r="G55" s="9" t="s">
        <v>61</v>
      </c>
      <c r="H55" s="14" t="n">
        <f aca="false">IFERROR(F55*VLOOKUP(E55,Insumos!$A:$G,7,FALSE()),0)</f>
        <v>0.84</v>
      </c>
      <c r="I55" s="16"/>
    </row>
    <row r="56" customFormat="false" ht="15" hidden="false" customHeight="false" outlineLevel="0" collapsed="false">
      <c r="A56" s="9" t="n">
        <v>9</v>
      </c>
      <c r="B56" s="9" t="s">
        <v>431</v>
      </c>
      <c r="C56" s="9" t="s">
        <v>435</v>
      </c>
      <c r="D56" s="15"/>
      <c r="E56" s="9" t="s">
        <v>295</v>
      </c>
      <c r="F56" s="9" t="n">
        <v>15</v>
      </c>
      <c r="G56" s="9" t="s">
        <v>61</v>
      </c>
      <c r="H56" s="14" t="n">
        <f aca="false">IFERROR(F56*VLOOKUP(E56,Insumos!$A:$G,7,FALSE()),0)</f>
        <v>0.93</v>
      </c>
      <c r="I56" s="16"/>
    </row>
    <row r="57" customFormat="false" ht="15" hidden="false" customHeight="false" outlineLevel="0" collapsed="false">
      <c r="A57" s="9" t="n">
        <v>9</v>
      </c>
      <c r="B57" s="9" t="s">
        <v>431</v>
      </c>
      <c r="C57" s="9" t="s">
        <v>436</v>
      </c>
      <c r="D57" s="15"/>
      <c r="E57" s="9" t="s">
        <v>104</v>
      </c>
      <c r="F57" s="9" t="n">
        <v>0.15</v>
      </c>
      <c r="G57" s="9" t="s">
        <v>61</v>
      </c>
      <c r="H57" s="14" t="n">
        <f aca="false">IFERROR(F57*VLOOKUP(E57,Insumos!$A:$G,7,FALSE()),0)</f>
        <v>0.24</v>
      </c>
      <c r="I57" s="17" t="s">
        <v>437</v>
      </c>
    </row>
    <row r="58" customFormat="false" ht="15" hidden="false" customHeight="false" outlineLevel="0" collapsed="false">
      <c r="A58" s="9" t="n">
        <v>10</v>
      </c>
      <c r="B58" s="9" t="s">
        <v>438</v>
      </c>
      <c r="C58" s="9" t="s">
        <v>439</v>
      </c>
      <c r="D58" s="15"/>
      <c r="E58" s="9" t="s">
        <v>66</v>
      </c>
      <c r="F58" s="9" t="n">
        <v>60</v>
      </c>
      <c r="G58" s="9" t="s">
        <v>61</v>
      </c>
      <c r="H58" s="14" t="n">
        <f aca="false">IFERROR(F58*VLOOKUP(E58,Insumos!$A:$G,7,FALSE()),0)</f>
        <v>49.6</v>
      </c>
      <c r="I58" s="16"/>
    </row>
    <row r="59" customFormat="false" ht="15" hidden="false" customHeight="false" outlineLevel="0" collapsed="false">
      <c r="A59" s="9" t="n">
        <v>10</v>
      </c>
      <c r="B59" s="9" t="s">
        <v>438</v>
      </c>
      <c r="C59" s="9" t="s">
        <v>440</v>
      </c>
      <c r="D59" s="15"/>
      <c r="E59" s="9" t="s">
        <v>83</v>
      </c>
      <c r="F59" s="9" t="n">
        <v>25</v>
      </c>
      <c r="G59" s="9" t="s">
        <v>61</v>
      </c>
      <c r="H59" s="14" t="n">
        <f aca="false">IFERROR(F59*VLOOKUP(E59,Insumos!$A:$G,7,FALSE()),0)</f>
        <v>24.2857142857143</v>
      </c>
      <c r="I59" s="16"/>
    </row>
    <row r="60" customFormat="false" ht="15" hidden="false" customHeight="false" outlineLevel="0" collapsed="false">
      <c r="A60" s="9" t="n">
        <v>10</v>
      </c>
      <c r="B60" s="9" t="s">
        <v>438</v>
      </c>
      <c r="C60" s="9" t="s">
        <v>441</v>
      </c>
      <c r="D60" s="15"/>
      <c r="E60" s="9" t="s">
        <v>152</v>
      </c>
      <c r="F60" s="9" t="n">
        <v>20</v>
      </c>
      <c r="G60" s="9" t="s">
        <v>61</v>
      </c>
      <c r="H60" s="14" t="n">
        <f aca="false">IFERROR(F60*VLOOKUP(E60,Insumos!$A:$G,7,FALSE()),0)</f>
        <v>1.16</v>
      </c>
      <c r="I60" s="16"/>
    </row>
    <row r="61" customFormat="false" ht="15" hidden="false" customHeight="false" outlineLevel="0" collapsed="false">
      <c r="A61" s="9" t="n">
        <v>10</v>
      </c>
      <c r="B61" s="9" t="s">
        <v>438</v>
      </c>
      <c r="C61" s="9" t="s">
        <v>381</v>
      </c>
      <c r="D61" s="15"/>
      <c r="E61" s="9" t="s">
        <v>145</v>
      </c>
      <c r="F61" s="9" t="n">
        <v>15</v>
      </c>
      <c r="G61" s="9" t="s">
        <v>61</v>
      </c>
      <c r="H61" s="14" t="n">
        <f aca="false">IFERROR(F61*VLOOKUP(E61,Insumos!$A:$G,7,FALSE()),0)</f>
        <v>1.425</v>
      </c>
      <c r="I61" s="16"/>
    </row>
    <row r="62" customFormat="false" ht="15" hidden="false" customHeight="false" outlineLevel="0" collapsed="false">
      <c r="A62" s="9" t="n">
        <v>10</v>
      </c>
      <c r="B62" s="9" t="s">
        <v>438</v>
      </c>
      <c r="C62" s="9" t="s">
        <v>442</v>
      </c>
      <c r="D62" s="15"/>
      <c r="E62" s="9" t="s">
        <v>188</v>
      </c>
      <c r="F62" s="9" t="n">
        <v>10</v>
      </c>
      <c r="G62" s="9" t="s">
        <v>61</v>
      </c>
      <c r="H62" s="14" t="n">
        <f aca="false">IFERROR(F62*VLOOKUP(E62,Insumos!$A:$G,7,FALSE()),0)</f>
        <v>1.85</v>
      </c>
      <c r="I62" s="16"/>
    </row>
    <row r="63" customFormat="false" ht="15" hidden="false" customHeight="false" outlineLevel="0" collapsed="false">
      <c r="A63" s="9" t="n">
        <v>10</v>
      </c>
      <c r="B63" s="9" t="s">
        <v>438</v>
      </c>
      <c r="C63" s="9" t="s">
        <v>443</v>
      </c>
      <c r="D63" s="15"/>
      <c r="E63" s="9" t="s">
        <v>217</v>
      </c>
      <c r="F63" s="9" t="n">
        <v>2</v>
      </c>
      <c r="G63" s="9" t="s">
        <v>170</v>
      </c>
      <c r="H63" s="14" t="n">
        <f aca="false">IFERROR(F63*VLOOKUP(E63,Insumos!$A:$G,7,FALSE()),0)</f>
        <v>2.9</v>
      </c>
      <c r="I63" s="16"/>
    </row>
    <row r="64" customFormat="false" ht="15" hidden="false" customHeight="false" outlineLevel="0" collapsed="false">
      <c r="A64" s="9" t="n">
        <v>10</v>
      </c>
      <c r="B64" s="9" t="s">
        <v>438</v>
      </c>
      <c r="C64" s="9" t="s">
        <v>444</v>
      </c>
      <c r="D64" s="15"/>
      <c r="E64" s="9" t="s">
        <v>273</v>
      </c>
      <c r="F64" s="9" t="n">
        <v>4</v>
      </c>
      <c r="G64" s="9" t="s">
        <v>170</v>
      </c>
      <c r="H64" s="14" t="n">
        <f aca="false">IFERROR(F64*VLOOKUP(E64,Insumos!$A:$G,7,FALSE()),0)</f>
        <v>8.8</v>
      </c>
      <c r="I64" s="17" t="s">
        <v>377</v>
      </c>
    </row>
    <row r="65" customFormat="false" ht="15" hidden="false" customHeight="false" outlineLevel="0" collapsed="false">
      <c r="A65" s="9" t="n">
        <v>11</v>
      </c>
      <c r="B65" s="9" t="s">
        <v>445</v>
      </c>
      <c r="C65" s="9" t="s">
        <v>446</v>
      </c>
      <c r="D65" s="15"/>
      <c r="E65" s="9" t="s">
        <v>62</v>
      </c>
      <c r="F65" s="9" t="n">
        <v>45</v>
      </c>
      <c r="G65" s="9" t="s">
        <v>61</v>
      </c>
      <c r="H65" s="14" t="n">
        <f aca="false">IFERROR(F65*VLOOKUP(E65,Insumos!$A:$G,7,FALSE()),0)</f>
        <v>31.2</v>
      </c>
      <c r="I65" s="16"/>
    </row>
    <row r="66" customFormat="false" ht="15" hidden="false" customHeight="false" outlineLevel="0" collapsed="false">
      <c r="A66" s="9" t="n">
        <v>11</v>
      </c>
      <c r="B66" s="9" t="s">
        <v>445</v>
      </c>
      <c r="C66" s="9" t="s">
        <v>447</v>
      </c>
      <c r="D66" s="15"/>
      <c r="E66" s="9" t="s">
        <v>66</v>
      </c>
      <c r="F66" s="9" t="n">
        <v>15</v>
      </c>
      <c r="G66" s="9" t="s">
        <v>61</v>
      </c>
      <c r="H66" s="14" t="n">
        <f aca="false">IFERROR(F66*VLOOKUP(E66,Insumos!$A:$G,7,FALSE()),0)</f>
        <v>12.4</v>
      </c>
      <c r="I66" s="16"/>
    </row>
    <row r="67" customFormat="false" ht="15" hidden="false" customHeight="false" outlineLevel="0" collapsed="false">
      <c r="A67" s="9" t="n">
        <v>11</v>
      </c>
      <c r="B67" s="9" t="s">
        <v>445</v>
      </c>
      <c r="C67" s="9" t="s">
        <v>448</v>
      </c>
      <c r="D67" s="15"/>
      <c r="E67" s="9" t="s">
        <v>141</v>
      </c>
      <c r="F67" s="9" t="n">
        <v>10</v>
      </c>
      <c r="G67" s="9" t="s">
        <v>61</v>
      </c>
      <c r="H67" s="14" t="n">
        <f aca="false">IFERROR(F67*VLOOKUP(E67,Insumos!$A:$G,7,FALSE()),0)</f>
        <v>0.0225</v>
      </c>
      <c r="I67" s="16"/>
    </row>
    <row r="68" customFormat="false" ht="15" hidden="false" customHeight="false" outlineLevel="0" collapsed="false">
      <c r="A68" s="9" t="n">
        <v>11</v>
      </c>
      <c r="B68" s="9" t="s">
        <v>445</v>
      </c>
      <c r="C68" s="9" t="s">
        <v>449</v>
      </c>
      <c r="D68" s="15"/>
      <c r="E68" s="9" t="s">
        <v>104</v>
      </c>
      <c r="F68" s="9" t="n">
        <v>1.5</v>
      </c>
      <c r="G68" s="9" t="s">
        <v>61</v>
      </c>
      <c r="H68" s="14" t="n">
        <f aca="false">IFERROR(F68*VLOOKUP(E68,Insumos!$A:$G,7,FALSE()),0)</f>
        <v>2.4</v>
      </c>
      <c r="I68" s="17" t="s">
        <v>450</v>
      </c>
    </row>
    <row r="69" customFormat="false" ht="15" hidden="false" customHeight="false" outlineLevel="0" collapsed="false">
      <c r="A69" s="9" t="n">
        <v>11</v>
      </c>
      <c r="B69" s="9" t="s">
        <v>445</v>
      </c>
      <c r="C69" s="9" t="s">
        <v>451</v>
      </c>
      <c r="D69" s="15"/>
      <c r="E69" s="9" t="s">
        <v>107</v>
      </c>
      <c r="F69" s="9" t="n">
        <v>0.75</v>
      </c>
      <c r="G69" s="9" t="s">
        <v>61</v>
      </c>
      <c r="H69" s="14" t="n">
        <f aca="false">IFERROR(F69*VLOOKUP(E69,Insumos!$A:$G,7,FALSE()),0)</f>
        <v>1.9</v>
      </c>
      <c r="I69" s="17" t="s">
        <v>450</v>
      </c>
    </row>
    <row r="70" customFormat="false" ht="15" hidden="false" customHeight="false" outlineLevel="0" collapsed="false">
      <c r="A70" s="9" t="n">
        <v>11</v>
      </c>
      <c r="B70" s="9" t="s">
        <v>445</v>
      </c>
      <c r="C70" s="9" t="s">
        <v>452</v>
      </c>
      <c r="D70" s="15"/>
      <c r="E70" s="9" t="s">
        <v>302</v>
      </c>
      <c r="F70" s="9" t="n">
        <v>28</v>
      </c>
      <c r="G70" s="9" t="s">
        <v>170</v>
      </c>
      <c r="H70" s="14" t="n">
        <f aca="false">IFERROR(F70*VLOOKUP(E70,Insumos!$A:$G,7,FALSE()),0)</f>
        <v>0.728</v>
      </c>
      <c r="I70" s="17" t="s">
        <v>391</v>
      </c>
    </row>
    <row r="71" customFormat="false" ht="15" hidden="false" customHeight="false" outlineLevel="0" collapsed="false">
      <c r="A71" s="9" t="n">
        <v>12</v>
      </c>
      <c r="B71" s="9" t="s">
        <v>453</v>
      </c>
      <c r="C71" s="9" t="s">
        <v>454</v>
      </c>
      <c r="D71" s="15"/>
      <c r="E71" s="9" t="s">
        <v>66</v>
      </c>
      <c r="F71" s="9" t="n">
        <v>22.5</v>
      </c>
      <c r="G71" s="9" t="s">
        <v>61</v>
      </c>
      <c r="H71" s="14" t="n">
        <f aca="false">IFERROR(F71*VLOOKUP(E71,Insumos!$A:$G,7,FALSE()),0)</f>
        <v>18.6</v>
      </c>
      <c r="I71" s="16"/>
    </row>
    <row r="72" customFormat="false" ht="15" hidden="false" customHeight="false" outlineLevel="0" collapsed="false">
      <c r="A72" s="9" t="n">
        <v>12</v>
      </c>
      <c r="B72" s="9" t="s">
        <v>453</v>
      </c>
      <c r="C72" s="9" t="s">
        <v>455</v>
      </c>
      <c r="D72" s="15"/>
      <c r="E72" s="9" t="s">
        <v>86</v>
      </c>
      <c r="F72" s="9" t="n">
        <v>22.5</v>
      </c>
      <c r="G72" s="9" t="s">
        <v>61</v>
      </c>
      <c r="H72" s="14" t="n">
        <f aca="false">IFERROR(F72*VLOOKUP(E72,Insumos!$A:$G,7,FALSE()),0)</f>
        <v>11.55</v>
      </c>
      <c r="I72" s="16"/>
    </row>
    <row r="73" customFormat="false" ht="15" hidden="false" customHeight="false" outlineLevel="0" collapsed="false">
      <c r="A73" s="9" t="n">
        <v>12</v>
      </c>
      <c r="B73" s="9" t="s">
        <v>453</v>
      </c>
      <c r="C73" s="9" t="s">
        <v>456</v>
      </c>
      <c r="D73" s="15"/>
      <c r="E73" s="9" t="s">
        <v>90</v>
      </c>
      <c r="F73" s="9" t="n">
        <v>22.5</v>
      </c>
      <c r="G73" s="9" t="s">
        <v>61</v>
      </c>
      <c r="H73" s="14" t="n">
        <f aca="false">IFERROR(F73*VLOOKUP(E73,Insumos!$A:$G,7,FALSE()),0)</f>
        <v>40.1785714285714</v>
      </c>
      <c r="I73" s="16"/>
    </row>
    <row r="74" customFormat="false" ht="15" hidden="false" customHeight="false" outlineLevel="0" collapsed="false">
      <c r="A74" s="9" t="n">
        <v>12</v>
      </c>
      <c r="B74" s="9" t="s">
        <v>453</v>
      </c>
      <c r="C74" s="9" t="s">
        <v>457</v>
      </c>
      <c r="D74" s="15"/>
      <c r="E74" s="9" t="s">
        <v>148</v>
      </c>
      <c r="F74" s="9" t="n">
        <v>22.5</v>
      </c>
      <c r="G74" s="9" t="s">
        <v>61</v>
      </c>
      <c r="H74" s="14" t="n">
        <f aca="false">IFERROR(F74*VLOOKUP(E74,Insumos!$A:$G,7,FALSE()),0)</f>
        <v>2.475</v>
      </c>
      <c r="I74" s="16"/>
    </row>
    <row r="75" customFormat="false" ht="15" hidden="false" customHeight="false" outlineLevel="0" collapsed="false">
      <c r="A75" s="9" t="n">
        <v>12</v>
      </c>
      <c r="B75" s="9" t="s">
        <v>453</v>
      </c>
      <c r="C75" s="9" t="s">
        <v>458</v>
      </c>
      <c r="D75" s="15"/>
      <c r="E75" s="9" t="s">
        <v>273</v>
      </c>
      <c r="F75" s="9" t="n">
        <v>4</v>
      </c>
      <c r="G75" s="9" t="s">
        <v>170</v>
      </c>
      <c r="H75" s="14" t="n">
        <f aca="false">IFERROR(F75*VLOOKUP(E75,Insumos!$A:$G,7,FALSE()),0)</f>
        <v>8.8</v>
      </c>
      <c r="I75" s="17" t="s">
        <v>377</v>
      </c>
    </row>
    <row r="76" customFormat="false" ht="15" hidden="false" customHeight="false" outlineLevel="0" collapsed="false">
      <c r="A76" s="9" t="n">
        <v>13</v>
      </c>
      <c r="B76" s="9" t="s">
        <v>459</v>
      </c>
      <c r="C76" s="9" t="s">
        <v>460</v>
      </c>
      <c r="D76" s="15"/>
      <c r="E76" s="9" t="s">
        <v>66</v>
      </c>
      <c r="F76" s="9" t="n">
        <v>60</v>
      </c>
      <c r="G76" s="9" t="s">
        <v>61</v>
      </c>
      <c r="H76" s="14" t="n">
        <f aca="false">IFERROR(F76*VLOOKUP(E76,Insumos!$A:$G,7,FALSE()),0)</f>
        <v>49.6</v>
      </c>
      <c r="I76" s="16"/>
    </row>
    <row r="77" customFormat="false" ht="15" hidden="false" customHeight="false" outlineLevel="0" collapsed="false">
      <c r="A77" s="9" t="n">
        <v>13</v>
      </c>
      <c r="B77" s="9" t="s">
        <v>459</v>
      </c>
      <c r="C77" s="9" t="s">
        <v>461</v>
      </c>
      <c r="D77" s="15"/>
      <c r="E77" s="9" t="s">
        <v>156</v>
      </c>
      <c r="F77" s="9" t="n">
        <v>25</v>
      </c>
      <c r="G77" s="9" t="s">
        <v>61</v>
      </c>
      <c r="H77" s="14" t="n">
        <f aca="false">IFERROR(F77*VLOOKUP(E77,Insumos!$A:$G,7,FALSE()),0)</f>
        <v>2.05</v>
      </c>
      <c r="I77" s="16"/>
    </row>
    <row r="78" customFormat="false" ht="15" hidden="false" customHeight="false" outlineLevel="0" collapsed="false">
      <c r="A78" s="9" t="n">
        <v>13</v>
      </c>
      <c r="B78" s="9" t="s">
        <v>459</v>
      </c>
      <c r="C78" s="9" t="s">
        <v>462</v>
      </c>
      <c r="D78" s="15"/>
      <c r="E78" s="9" t="s">
        <v>145</v>
      </c>
      <c r="F78" s="9" t="n">
        <v>15</v>
      </c>
      <c r="G78" s="9" t="s">
        <v>61</v>
      </c>
      <c r="H78" s="14" t="n">
        <f aca="false">IFERROR(F78*VLOOKUP(E78,Insumos!$A:$G,7,FALSE()),0)</f>
        <v>1.425</v>
      </c>
      <c r="I78" s="16"/>
    </row>
    <row r="79" customFormat="false" ht="15" hidden="false" customHeight="false" outlineLevel="0" collapsed="false">
      <c r="A79" s="9" t="n">
        <v>13</v>
      </c>
      <c r="B79" s="9" t="s">
        <v>459</v>
      </c>
      <c r="C79" s="9" t="s">
        <v>463</v>
      </c>
      <c r="D79" s="15"/>
      <c r="E79" s="9" t="s">
        <v>188</v>
      </c>
      <c r="F79" s="9" t="n">
        <v>10</v>
      </c>
      <c r="G79" s="9" t="s">
        <v>61</v>
      </c>
      <c r="H79" s="14" t="n">
        <f aca="false">IFERROR(F79*VLOOKUP(E79,Insumos!$A:$G,7,FALSE()),0)</f>
        <v>1.85</v>
      </c>
      <c r="I79" s="16"/>
    </row>
    <row r="80" customFormat="false" ht="15" hidden="false" customHeight="false" outlineLevel="0" collapsed="false">
      <c r="A80" s="9" t="n">
        <v>13</v>
      </c>
      <c r="B80" s="9" t="s">
        <v>459</v>
      </c>
      <c r="C80" s="9" t="s">
        <v>464</v>
      </c>
      <c r="D80" s="15"/>
      <c r="E80" s="9" t="s">
        <v>131</v>
      </c>
      <c r="F80" s="9" t="n">
        <v>110</v>
      </c>
      <c r="G80" s="9" t="s">
        <v>61</v>
      </c>
      <c r="H80" s="14" t="n">
        <f aca="false">IFERROR(F80*VLOOKUP(E80,Insumos!$A:$G,7,FALSE()),0)</f>
        <v>9.91549295774648</v>
      </c>
      <c r="I80" s="16"/>
    </row>
    <row r="81" customFormat="false" ht="15" hidden="false" customHeight="false" outlineLevel="0" collapsed="false">
      <c r="A81" s="9" t="n">
        <v>13</v>
      </c>
      <c r="B81" s="9" t="s">
        <v>459</v>
      </c>
      <c r="C81" s="9" t="s">
        <v>465</v>
      </c>
      <c r="D81" s="15"/>
      <c r="E81" s="9" t="s">
        <v>217</v>
      </c>
      <c r="F81" s="9" t="n">
        <v>1.5</v>
      </c>
      <c r="G81" s="9" t="s">
        <v>170</v>
      </c>
      <c r="H81" s="14" t="n">
        <f aca="false">IFERROR(F81*VLOOKUP(E81,Insumos!$A:$G,7,FALSE()),0)</f>
        <v>2.175</v>
      </c>
      <c r="I81" s="16"/>
    </row>
    <row r="82" customFormat="false" ht="15" hidden="false" customHeight="false" outlineLevel="0" collapsed="false">
      <c r="A82" s="9" t="n">
        <v>13</v>
      </c>
      <c r="B82" s="9" t="s">
        <v>459</v>
      </c>
      <c r="C82" s="9" t="s">
        <v>466</v>
      </c>
      <c r="D82" s="15"/>
      <c r="E82" s="9" t="s">
        <v>304</v>
      </c>
      <c r="F82" s="9" t="n">
        <v>45</v>
      </c>
      <c r="G82" s="9" t="s">
        <v>170</v>
      </c>
      <c r="H82" s="14" t="n">
        <f aca="false">IFERROR(F82*VLOOKUP(E82,Insumos!$A:$G,7,FALSE()),0)</f>
        <v>1.71</v>
      </c>
      <c r="I82" s="17" t="s">
        <v>385</v>
      </c>
    </row>
    <row r="83" customFormat="false" ht="15" hidden="false" customHeight="false" outlineLevel="0" collapsed="false">
      <c r="A83" s="9" t="n">
        <v>14</v>
      </c>
      <c r="B83" s="9" t="s">
        <v>467</v>
      </c>
      <c r="C83" s="9" t="s">
        <v>468</v>
      </c>
      <c r="D83" s="15"/>
      <c r="E83" s="9" t="s">
        <v>66</v>
      </c>
      <c r="F83" s="9" t="n">
        <v>60</v>
      </c>
      <c r="G83" s="9" t="s">
        <v>61</v>
      </c>
      <c r="H83" s="14" t="n">
        <f aca="false">IFERROR(F83*VLOOKUP(E83,Insumos!$A:$G,7,FALSE()),0)</f>
        <v>49.6</v>
      </c>
      <c r="I83" s="16"/>
    </row>
    <row r="84" customFormat="false" ht="15" hidden="false" customHeight="false" outlineLevel="0" collapsed="false">
      <c r="A84" s="9" t="n">
        <v>14</v>
      </c>
      <c r="B84" s="9" t="s">
        <v>467</v>
      </c>
      <c r="C84" s="9" t="s">
        <v>469</v>
      </c>
      <c r="D84" s="15"/>
      <c r="E84" s="9" t="s">
        <v>160</v>
      </c>
      <c r="F84" s="9" t="n">
        <v>45</v>
      </c>
      <c r="G84" s="9" t="s">
        <v>61</v>
      </c>
      <c r="H84" s="14" t="n">
        <f aca="false">IFERROR(F84*VLOOKUP(E84,Insumos!$A:$G,7,FALSE()),0)</f>
        <v>2.16</v>
      </c>
      <c r="I84" s="16"/>
    </row>
    <row r="85" customFormat="false" ht="15" hidden="false" customHeight="false" outlineLevel="0" collapsed="false">
      <c r="A85" s="9" t="n">
        <v>14</v>
      </c>
      <c r="B85" s="9" t="s">
        <v>467</v>
      </c>
      <c r="C85" s="9" t="s">
        <v>470</v>
      </c>
      <c r="D85" s="15"/>
      <c r="E85" s="9" t="s">
        <v>148</v>
      </c>
      <c r="F85" s="9" t="n">
        <v>20</v>
      </c>
      <c r="G85" s="9" t="s">
        <v>61</v>
      </c>
      <c r="H85" s="14" t="n">
        <f aca="false">IFERROR(F85*VLOOKUP(E85,Insumos!$A:$G,7,FALSE()),0)</f>
        <v>2.2</v>
      </c>
      <c r="I85" s="16"/>
    </row>
    <row r="86" customFormat="false" ht="15" hidden="false" customHeight="false" outlineLevel="0" collapsed="false">
      <c r="A86" s="9" t="n">
        <v>14</v>
      </c>
      <c r="B86" s="9" t="s">
        <v>467</v>
      </c>
      <c r="C86" s="9" t="s">
        <v>471</v>
      </c>
      <c r="D86" s="15"/>
      <c r="E86" s="9" t="s">
        <v>188</v>
      </c>
      <c r="F86" s="9" t="n">
        <v>15</v>
      </c>
      <c r="G86" s="9" t="s">
        <v>61</v>
      </c>
      <c r="H86" s="14" t="n">
        <f aca="false">IFERROR(F86*VLOOKUP(E86,Insumos!$A:$G,7,FALSE()),0)</f>
        <v>2.775</v>
      </c>
      <c r="I86" s="16"/>
    </row>
    <row r="87" customFormat="false" ht="15" hidden="false" customHeight="false" outlineLevel="0" collapsed="false">
      <c r="A87" s="9" t="n">
        <v>14</v>
      </c>
      <c r="B87" s="9" t="s">
        <v>467</v>
      </c>
      <c r="C87" s="9" t="s">
        <v>472</v>
      </c>
      <c r="D87" s="15"/>
      <c r="E87" s="9" t="s">
        <v>229</v>
      </c>
      <c r="F87" s="9" t="n">
        <v>4</v>
      </c>
      <c r="G87" s="9" t="s">
        <v>170</v>
      </c>
      <c r="H87" s="14" t="n">
        <f aca="false">IFERROR(F87*VLOOKUP(E87,Insumos!$A:$G,7,FALSE()),0)</f>
        <v>0.352</v>
      </c>
      <c r="I87" s="17" t="s">
        <v>473</v>
      </c>
    </row>
    <row r="88" customFormat="false" ht="15" hidden="false" customHeight="false" outlineLevel="0" collapsed="false">
      <c r="A88" s="9" t="n">
        <v>14</v>
      </c>
      <c r="B88" s="9" t="s">
        <v>467</v>
      </c>
      <c r="C88" s="9" t="s">
        <v>474</v>
      </c>
      <c r="D88" s="15"/>
      <c r="E88" s="9" t="s">
        <v>221</v>
      </c>
      <c r="F88" s="9" t="n">
        <v>2</v>
      </c>
      <c r="G88" s="9" t="s">
        <v>170</v>
      </c>
      <c r="H88" s="14" t="n">
        <f aca="false">IFERROR(F88*VLOOKUP(E88,Insumos!$A:$G,7,FALSE()),0)</f>
        <v>0.624</v>
      </c>
      <c r="I88" s="16"/>
    </row>
    <row r="89" customFormat="false" ht="15" hidden="false" customHeight="false" outlineLevel="0" collapsed="false">
      <c r="A89" s="9" t="n">
        <v>14</v>
      </c>
      <c r="B89" s="9" t="s">
        <v>467</v>
      </c>
      <c r="C89" s="9" t="s">
        <v>475</v>
      </c>
      <c r="D89" s="15"/>
      <c r="E89" s="9" t="s">
        <v>308</v>
      </c>
      <c r="F89" s="9" t="n">
        <v>25</v>
      </c>
      <c r="G89" s="9" t="s">
        <v>170</v>
      </c>
      <c r="H89" s="14" t="n">
        <f aca="false">IFERROR(F89*VLOOKUP(E89,Insumos!$A:$G,7,FALSE()),0)</f>
        <v>0.7</v>
      </c>
      <c r="I89" s="17" t="s">
        <v>430</v>
      </c>
    </row>
    <row r="90" customFormat="false" ht="15" hidden="false" customHeight="false" outlineLevel="0" collapsed="false">
      <c r="A90" s="9" t="n">
        <v>15</v>
      </c>
      <c r="B90" s="9" t="s">
        <v>476</v>
      </c>
      <c r="C90" s="9" t="s">
        <v>477</v>
      </c>
      <c r="D90" s="15"/>
      <c r="E90" s="9" t="s">
        <v>66</v>
      </c>
      <c r="F90" s="9" t="n">
        <v>60</v>
      </c>
      <c r="G90" s="9" t="s">
        <v>61</v>
      </c>
      <c r="H90" s="14" t="n">
        <f aca="false">IFERROR(F90*VLOOKUP(E90,Insumos!$A:$G,7,FALSE()),0)</f>
        <v>49.6</v>
      </c>
      <c r="I90" s="16"/>
    </row>
    <row r="91" customFormat="false" ht="15" hidden="false" customHeight="false" outlineLevel="0" collapsed="false">
      <c r="A91" s="9" t="n">
        <v>15</v>
      </c>
      <c r="B91" s="9" t="s">
        <v>476</v>
      </c>
      <c r="C91" s="9" t="s">
        <v>478</v>
      </c>
      <c r="D91" s="15"/>
      <c r="E91" s="9" t="s">
        <v>175</v>
      </c>
      <c r="F91" s="9" t="n">
        <v>40</v>
      </c>
      <c r="G91" s="9" t="s">
        <v>61</v>
      </c>
      <c r="H91" s="14" t="n">
        <f aca="false">IFERROR(F91*VLOOKUP(E91,Insumos!$A:$G,7,FALSE()),0)</f>
        <v>5.4</v>
      </c>
      <c r="I91" s="16"/>
    </row>
    <row r="92" customFormat="false" ht="15" hidden="false" customHeight="false" outlineLevel="0" collapsed="false">
      <c r="A92" s="9" t="n">
        <v>15</v>
      </c>
      <c r="B92" s="9" t="s">
        <v>476</v>
      </c>
      <c r="C92" s="9" t="s">
        <v>462</v>
      </c>
      <c r="D92" s="15"/>
      <c r="E92" s="9" t="s">
        <v>145</v>
      </c>
      <c r="F92" s="9" t="n">
        <v>15</v>
      </c>
      <c r="G92" s="9" t="s">
        <v>61</v>
      </c>
      <c r="H92" s="14" t="n">
        <f aca="false">IFERROR(F92*VLOOKUP(E92,Insumos!$A:$G,7,FALSE()),0)</f>
        <v>1.425</v>
      </c>
      <c r="I92" s="16"/>
    </row>
    <row r="93" customFormat="false" ht="15" hidden="false" customHeight="false" outlineLevel="0" collapsed="false">
      <c r="A93" s="9" t="n">
        <v>15</v>
      </c>
      <c r="B93" s="9" t="s">
        <v>476</v>
      </c>
      <c r="C93" s="9" t="s">
        <v>479</v>
      </c>
      <c r="D93" s="15"/>
      <c r="E93" s="9" t="s">
        <v>192</v>
      </c>
      <c r="F93" s="9" t="n">
        <v>20</v>
      </c>
      <c r="G93" s="9" t="s">
        <v>61</v>
      </c>
      <c r="H93" s="14" t="n">
        <f aca="false">IFERROR(F93*VLOOKUP(E93,Insumos!$A:$G,7,FALSE()),0)</f>
        <v>1.24</v>
      </c>
      <c r="I93" s="16"/>
    </row>
    <row r="94" customFormat="false" ht="15" hidden="false" customHeight="false" outlineLevel="0" collapsed="false">
      <c r="A94" s="9" t="n">
        <v>15</v>
      </c>
      <c r="B94" s="9" t="s">
        <v>476</v>
      </c>
      <c r="C94" s="9" t="s">
        <v>480</v>
      </c>
      <c r="D94" s="15"/>
      <c r="E94" s="9" t="s">
        <v>219</v>
      </c>
      <c r="F94" s="9" t="n">
        <v>2</v>
      </c>
      <c r="G94" s="9" t="s">
        <v>170</v>
      </c>
      <c r="H94" s="14" t="n">
        <f aca="false">IFERROR(F94*VLOOKUP(E94,Insumos!$A:$G,7,FALSE()),0)</f>
        <v>12.8</v>
      </c>
      <c r="I94" s="16"/>
    </row>
    <row r="95" customFormat="false" ht="15" hidden="false" customHeight="false" outlineLevel="0" collapsed="false">
      <c r="A95" s="9" t="n">
        <v>15</v>
      </c>
      <c r="B95" s="9" t="s">
        <v>476</v>
      </c>
      <c r="C95" s="9" t="s">
        <v>481</v>
      </c>
      <c r="D95" s="15"/>
      <c r="E95" s="9" t="s">
        <v>312</v>
      </c>
      <c r="F95" s="9" t="n">
        <v>6</v>
      </c>
      <c r="G95" s="9" t="s">
        <v>170</v>
      </c>
      <c r="H95" s="14" t="n">
        <f aca="false">IFERROR(F95*VLOOKUP(E95,Insumos!$A:$G,7,FALSE()),0)</f>
        <v>1.08</v>
      </c>
      <c r="I95" s="17" t="s">
        <v>482</v>
      </c>
    </row>
    <row r="96" customFormat="false" ht="15" hidden="false" customHeight="false" outlineLevel="0" collapsed="false">
      <c r="A96" s="9" t="n">
        <v>16</v>
      </c>
      <c r="B96" s="9" t="s">
        <v>483</v>
      </c>
      <c r="C96" s="9" t="s">
        <v>484</v>
      </c>
      <c r="D96" s="15"/>
      <c r="E96" s="9" t="s">
        <v>66</v>
      </c>
      <c r="F96" s="9" t="n">
        <v>60</v>
      </c>
      <c r="G96" s="9" t="s">
        <v>61</v>
      </c>
      <c r="H96" s="14" t="n">
        <f aca="false">IFERROR(F96*VLOOKUP(E96,Insumos!$A:$G,7,FALSE()),0)</f>
        <v>49.6</v>
      </c>
      <c r="I96" s="16"/>
    </row>
    <row r="97" customFormat="false" ht="15" hidden="false" customHeight="false" outlineLevel="0" collapsed="false">
      <c r="A97" s="9" t="n">
        <v>16</v>
      </c>
      <c r="B97" s="9" t="s">
        <v>483</v>
      </c>
      <c r="C97" s="9" t="s">
        <v>485</v>
      </c>
      <c r="D97" s="15"/>
      <c r="E97" s="9" t="s">
        <v>148</v>
      </c>
      <c r="F97" s="9" t="n">
        <v>20</v>
      </c>
      <c r="G97" s="9" t="s">
        <v>61</v>
      </c>
      <c r="H97" s="14" t="n">
        <f aca="false">IFERROR(F97*VLOOKUP(E97,Insumos!$A:$G,7,FALSE()),0)</f>
        <v>2.2</v>
      </c>
      <c r="I97" s="16"/>
    </row>
    <row r="98" customFormat="false" ht="15" hidden="false" customHeight="false" outlineLevel="0" collapsed="false">
      <c r="A98" s="9" t="n">
        <v>16</v>
      </c>
      <c r="B98" s="9" t="s">
        <v>483</v>
      </c>
      <c r="C98" s="9" t="s">
        <v>442</v>
      </c>
      <c r="D98" s="15"/>
      <c r="E98" s="9" t="s">
        <v>188</v>
      </c>
      <c r="F98" s="9" t="n">
        <v>10</v>
      </c>
      <c r="G98" s="9" t="s">
        <v>61</v>
      </c>
      <c r="H98" s="14" t="n">
        <f aca="false">IFERROR(F98*VLOOKUP(E98,Insumos!$A:$G,7,FALSE()),0)</f>
        <v>1.85</v>
      </c>
      <c r="I98" s="16"/>
    </row>
    <row r="99" customFormat="false" ht="15" hidden="false" customHeight="false" outlineLevel="0" collapsed="false">
      <c r="A99" s="9" t="n">
        <v>16</v>
      </c>
      <c r="B99" s="9" t="s">
        <v>483</v>
      </c>
      <c r="C99" s="9" t="s">
        <v>486</v>
      </c>
      <c r="D99" s="15"/>
      <c r="E99" s="9" t="s">
        <v>120</v>
      </c>
      <c r="F99" s="9" t="n">
        <v>100</v>
      </c>
      <c r="G99" s="9" t="s">
        <v>61</v>
      </c>
      <c r="H99" s="14" t="n">
        <f aca="false">IFERROR(F99*VLOOKUP(E99,Insumos!$A:$G,7,FALSE()),0)</f>
        <v>11.830985915493</v>
      </c>
      <c r="I99" s="16"/>
    </row>
    <row r="100" customFormat="false" ht="15" hidden="false" customHeight="false" outlineLevel="0" collapsed="false">
      <c r="A100" s="9" t="n">
        <v>16</v>
      </c>
      <c r="B100" s="9" t="s">
        <v>483</v>
      </c>
      <c r="C100" s="9" t="s">
        <v>449</v>
      </c>
      <c r="D100" s="15"/>
      <c r="E100" s="9" t="s">
        <v>104</v>
      </c>
      <c r="F100" s="9" t="n">
        <v>1.5</v>
      </c>
      <c r="G100" s="9" t="s">
        <v>61</v>
      </c>
      <c r="H100" s="14" t="n">
        <f aca="false">IFERROR(F100*VLOOKUP(E100,Insumos!$A:$G,7,FALSE()),0)</f>
        <v>2.4</v>
      </c>
      <c r="I100" s="17" t="s">
        <v>450</v>
      </c>
    </row>
    <row r="101" customFormat="false" ht="15" hidden="false" customHeight="false" outlineLevel="0" collapsed="false">
      <c r="A101" s="9" t="n">
        <v>16</v>
      </c>
      <c r="B101" s="9" t="s">
        <v>483</v>
      </c>
      <c r="C101" s="9" t="s">
        <v>487</v>
      </c>
      <c r="D101" s="15"/>
      <c r="E101" s="9" t="s">
        <v>262</v>
      </c>
      <c r="F101" s="9" t="n">
        <v>4</v>
      </c>
      <c r="G101" s="9" t="s">
        <v>170</v>
      </c>
      <c r="H101" s="14" t="n">
        <f aca="false">IFERROR(F101*VLOOKUP(E101,Insumos!$A:$G,7,FALSE()),0)</f>
        <v>0.88</v>
      </c>
      <c r="I101" s="17" t="s">
        <v>488</v>
      </c>
    </row>
    <row r="102" customFormat="false" ht="15" hidden="false" customHeight="false" outlineLevel="0" collapsed="false">
      <c r="A102" s="9" t="n">
        <v>16</v>
      </c>
      <c r="B102" s="9" t="s">
        <v>483</v>
      </c>
      <c r="C102" s="9" t="s">
        <v>489</v>
      </c>
      <c r="D102" s="15"/>
      <c r="E102" s="9" t="s">
        <v>273</v>
      </c>
      <c r="F102" s="9" t="n">
        <v>4</v>
      </c>
      <c r="G102" s="9" t="s">
        <v>170</v>
      </c>
      <c r="H102" s="14" t="n">
        <f aca="false">IFERROR(F102*VLOOKUP(E102,Insumos!$A:$G,7,FALSE()),0)</f>
        <v>8.8</v>
      </c>
      <c r="I102" s="17" t="s">
        <v>377</v>
      </c>
    </row>
    <row r="103" customFormat="false" ht="15" hidden="false" customHeight="false" outlineLevel="0" collapsed="false">
      <c r="A103" s="9" t="n">
        <v>17</v>
      </c>
      <c r="B103" s="9" t="s">
        <v>490</v>
      </c>
      <c r="C103" s="9" t="s">
        <v>491</v>
      </c>
      <c r="D103" s="15"/>
      <c r="E103" s="9" t="s">
        <v>66</v>
      </c>
      <c r="F103" s="9" t="n">
        <v>50</v>
      </c>
      <c r="G103" s="9" t="s">
        <v>61</v>
      </c>
      <c r="H103" s="14" t="n">
        <f aca="false">IFERROR(F103*VLOOKUP(E103,Insumos!$A:$G,7,FALSE()),0)</f>
        <v>41.3333333333333</v>
      </c>
      <c r="I103" s="16"/>
    </row>
    <row r="104" customFormat="false" ht="15" hidden="false" customHeight="false" outlineLevel="0" collapsed="false">
      <c r="A104" s="9" t="n">
        <v>17</v>
      </c>
      <c r="B104" s="9" t="s">
        <v>490</v>
      </c>
      <c r="C104" s="9" t="s">
        <v>492</v>
      </c>
      <c r="D104" s="15"/>
      <c r="E104" s="9" t="s">
        <v>166</v>
      </c>
      <c r="F104" s="9" t="n">
        <v>35</v>
      </c>
      <c r="G104" s="9" t="s">
        <v>61</v>
      </c>
      <c r="H104" s="14" t="n">
        <f aca="false">IFERROR(F104*VLOOKUP(E104,Insumos!$A:$G,7,FALSE()),0)</f>
        <v>2.52</v>
      </c>
      <c r="I104" s="16"/>
    </row>
    <row r="105" customFormat="false" ht="15" hidden="false" customHeight="false" outlineLevel="0" collapsed="false">
      <c r="A105" s="9" t="n">
        <v>17</v>
      </c>
      <c r="B105" s="9" t="s">
        <v>490</v>
      </c>
      <c r="C105" s="9" t="s">
        <v>493</v>
      </c>
      <c r="D105" s="15"/>
      <c r="E105" s="9" t="s">
        <v>152</v>
      </c>
      <c r="F105" s="9" t="n">
        <v>25</v>
      </c>
      <c r="G105" s="9" t="s">
        <v>61</v>
      </c>
      <c r="H105" s="14" t="n">
        <f aca="false">IFERROR(F105*VLOOKUP(E105,Insumos!$A:$G,7,FALSE()),0)</f>
        <v>1.45</v>
      </c>
      <c r="I105" s="16"/>
    </row>
    <row r="106" customFormat="false" ht="15" hidden="false" customHeight="false" outlineLevel="0" collapsed="false">
      <c r="A106" s="9" t="n">
        <v>17</v>
      </c>
      <c r="B106" s="9" t="s">
        <v>490</v>
      </c>
      <c r="C106" s="9" t="s">
        <v>381</v>
      </c>
      <c r="D106" s="15"/>
      <c r="E106" s="9" t="s">
        <v>145</v>
      </c>
      <c r="F106" s="9" t="n">
        <v>15</v>
      </c>
      <c r="G106" s="9" t="s">
        <v>61</v>
      </c>
      <c r="H106" s="14" t="n">
        <f aca="false">IFERROR(F106*VLOOKUP(E106,Insumos!$A:$G,7,FALSE()),0)</f>
        <v>1.425</v>
      </c>
      <c r="I106" s="16"/>
    </row>
    <row r="107" customFormat="false" ht="15" hidden="false" customHeight="false" outlineLevel="0" collapsed="false">
      <c r="A107" s="9" t="n">
        <v>17</v>
      </c>
      <c r="B107" s="9" t="s">
        <v>490</v>
      </c>
      <c r="C107" s="9" t="s">
        <v>494</v>
      </c>
      <c r="D107" s="15"/>
      <c r="E107" s="9" t="s">
        <v>185</v>
      </c>
      <c r="F107" s="9" t="n">
        <v>15</v>
      </c>
      <c r="G107" s="9" t="s">
        <v>61</v>
      </c>
      <c r="H107" s="14" t="n">
        <f aca="false">IFERROR(F107*VLOOKUP(E107,Insumos!$A:$G,7,FALSE()),0)</f>
        <v>0.63</v>
      </c>
      <c r="I107" s="16"/>
    </row>
    <row r="108" customFormat="false" ht="15" hidden="false" customHeight="false" outlineLevel="0" collapsed="false">
      <c r="A108" s="9" t="n">
        <v>17</v>
      </c>
      <c r="B108" s="9" t="s">
        <v>490</v>
      </c>
      <c r="C108" s="9" t="s">
        <v>495</v>
      </c>
      <c r="D108" s="15"/>
      <c r="E108" s="9" t="s">
        <v>215</v>
      </c>
      <c r="F108" s="9" t="n">
        <v>1.5</v>
      </c>
      <c r="G108" s="9" t="s">
        <v>170</v>
      </c>
      <c r="H108" s="14" t="n">
        <f aca="false">IFERROR(F108*VLOOKUP(E108,Insumos!$A:$G,7,FALSE()),0)</f>
        <v>0.048</v>
      </c>
      <c r="I108" s="16"/>
    </row>
    <row r="109" customFormat="false" ht="15" hidden="false" customHeight="false" outlineLevel="0" collapsed="false">
      <c r="A109" s="9" t="n">
        <v>17</v>
      </c>
      <c r="B109" s="9" t="s">
        <v>490</v>
      </c>
      <c r="C109" s="9" t="s">
        <v>496</v>
      </c>
      <c r="D109" s="15"/>
      <c r="E109" s="9" t="s">
        <v>166</v>
      </c>
      <c r="F109" s="9" t="n">
        <v>5</v>
      </c>
      <c r="G109" s="9" t="s">
        <v>170</v>
      </c>
      <c r="H109" s="14" t="n">
        <f aca="false">IFERROR(F109*VLOOKUP(E109,Insumos!$A:$G,7,FALSE()),0)</f>
        <v>0.36</v>
      </c>
      <c r="I109" s="17" t="s">
        <v>497</v>
      </c>
    </row>
    <row r="110" customFormat="false" ht="15" hidden="false" customHeight="false" outlineLevel="0" collapsed="false">
      <c r="A110" s="9" t="n">
        <v>18</v>
      </c>
      <c r="B110" s="9" t="s">
        <v>498</v>
      </c>
      <c r="C110" s="9" t="s">
        <v>499</v>
      </c>
      <c r="D110" s="15"/>
      <c r="E110" s="9" t="s">
        <v>68</v>
      </c>
      <c r="F110" s="9" t="n">
        <v>60</v>
      </c>
      <c r="G110" s="9" t="s">
        <v>61</v>
      </c>
      <c r="H110" s="14" t="n">
        <f aca="false">IFERROR(F110*VLOOKUP(E110,Insumos!$A:$G,7,FALSE()),0)</f>
        <v>116</v>
      </c>
      <c r="I110" s="16"/>
    </row>
    <row r="111" customFormat="false" ht="15" hidden="false" customHeight="false" outlineLevel="0" collapsed="false">
      <c r="A111" s="9" t="n">
        <v>18</v>
      </c>
      <c r="B111" s="9" t="s">
        <v>498</v>
      </c>
      <c r="C111" s="9" t="s">
        <v>500</v>
      </c>
      <c r="D111" s="15"/>
      <c r="E111" s="9" t="s">
        <v>148</v>
      </c>
      <c r="F111" s="9" t="n">
        <v>25</v>
      </c>
      <c r="G111" s="9" t="s">
        <v>61</v>
      </c>
      <c r="H111" s="14" t="n">
        <f aca="false">IFERROR(F111*VLOOKUP(E111,Insumos!$A:$G,7,FALSE()),0)</f>
        <v>2.75</v>
      </c>
      <c r="I111" s="16"/>
    </row>
    <row r="112" customFormat="false" ht="15" hidden="false" customHeight="false" outlineLevel="0" collapsed="false">
      <c r="A112" s="9" t="n">
        <v>18</v>
      </c>
      <c r="B112" s="9" t="s">
        <v>498</v>
      </c>
      <c r="C112" s="9" t="s">
        <v>501</v>
      </c>
      <c r="D112" s="15"/>
      <c r="E112" s="9" t="s">
        <v>188</v>
      </c>
      <c r="F112" s="9" t="n">
        <v>20</v>
      </c>
      <c r="G112" s="9" t="s">
        <v>61</v>
      </c>
      <c r="H112" s="14" t="n">
        <f aca="false">IFERROR(F112*VLOOKUP(E112,Insumos!$A:$G,7,FALSE()),0)</f>
        <v>3.7</v>
      </c>
      <c r="I112" s="16"/>
    </row>
    <row r="113" customFormat="false" ht="15" hidden="false" customHeight="false" outlineLevel="0" collapsed="false">
      <c r="A113" s="9" t="n">
        <v>18</v>
      </c>
      <c r="B113" s="9" t="s">
        <v>498</v>
      </c>
      <c r="C113" s="9" t="s">
        <v>502</v>
      </c>
      <c r="D113" s="15"/>
      <c r="E113" s="9" t="s">
        <v>225</v>
      </c>
      <c r="F113" s="9" t="n">
        <v>5</v>
      </c>
      <c r="G113" s="9" t="s">
        <v>170</v>
      </c>
      <c r="H113" s="14" t="n">
        <f aca="false">IFERROR(F113*VLOOKUP(E113,Insumos!$A:$G,7,FALSE()),0)</f>
        <v>2.3</v>
      </c>
      <c r="I113" s="17" t="s">
        <v>503</v>
      </c>
    </row>
    <row r="114" customFormat="false" ht="15" hidden="false" customHeight="false" outlineLevel="0" collapsed="false">
      <c r="A114" s="9" t="n">
        <v>18</v>
      </c>
      <c r="B114" s="9" t="s">
        <v>498</v>
      </c>
      <c r="C114" s="9" t="s">
        <v>504</v>
      </c>
      <c r="D114" s="15"/>
      <c r="E114" s="9" t="s">
        <v>107</v>
      </c>
      <c r="F114" s="9" t="n">
        <v>1.5</v>
      </c>
      <c r="G114" s="9" t="s">
        <v>61</v>
      </c>
      <c r="H114" s="14" t="n">
        <f aca="false">IFERROR(F114*VLOOKUP(E114,Insumos!$A:$G,7,FALSE()),0)</f>
        <v>3.8</v>
      </c>
      <c r="I114" s="17" t="s">
        <v>450</v>
      </c>
    </row>
    <row r="115" customFormat="false" ht="15" hidden="false" customHeight="false" outlineLevel="0" collapsed="false">
      <c r="A115" s="9" t="n">
        <v>18</v>
      </c>
      <c r="B115" s="9" t="s">
        <v>498</v>
      </c>
      <c r="C115" s="9" t="s">
        <v>505</v>
      </c>
      <c r="D115" s="15"/>
      <c r="E115" s="9" t="s">
        <v>299</v>
      </c>
      <c r="F115" s="9" t="n">
        <v>0</v>
      </c>
      <c r="G115" s="9" t="s">
        <v>301</v>
      </c>
      <c r="H115" s="14" t="n">
        <f aca="false">IFERROR(F115*VLOOKUP(E115,Insumos!$A:$G,7,FALSE()),0)</f>
        <v>0</v>
      </c>
      <c r="I115" s="17" t="s">
        <v>404</v>
      </c>
    </row>
    <row r="116" customFormat="false" ht="15" hidden="false" customHeight="false" outlineLevel="0" collapsed="false">
      <c r="A116" s="9" t="n">
        <v>19</v>
      </c>
      <c r="B116" s="9" t="s">
        <v>506</v>
      </c>
      <c r="C116" s="9" t="s">
        <v>507</v>
      </c>
      <c r="D116" s="15"/>
      <c r="E116" s="9" t="s">
        <v>70</v>
      </c>
      <c r="F116" s="9" t="n">
        <v>60</v>
      </c>
      <c r="G116" s="9" t="s">
        <v>61</v>
      </c>
      <c r="H116" s="14" t="n">
        <f aca="false">IFERROR(F116*VLOOKUP(E116,Insumos!$A:$G,7,FALSE()),0)</f>
        <v>30.8</v>
      </c>
      <c r="I116" s="16"/>
    </row>
    <row r="117" customFormat="false" ht="15" hidden="false" customHeight="false" outlineLevel="0" collapsed="false">
      <c r="A117" s="9" t="n">
        <v>19</v>
      </c>
      <c r="B117" s="9" t="s">
        <v>506</v>
      </c>
      <c r="C117" s="9" t="s">
        <v>508</v>
      </c>
      <c r="D117" s="15"/>
      <c r="E117" s="9" t="s">
        <v>145</v>
      </c>
      <c r="F117" s="9" t="n">
        <v>25</v>
      </c>
      <c r="G117" s="9" t="s">
        <v>61</v>
      </c>
      <c r="H117" s="14" t="n">
        <f aca="false">IFERROR(F117*VLOOKUP(E117,Insumos!$A:$G,7,FALSE()),0)</f>
        <v>2.375</v>
      </c>
      <c r="I117" s="16"/>
    </row>
    <row r="118" customFormat="false" ht="15" hidden="false" customHeight="false" outlineLevel="0" collapsed="false">
      <c r="A118" s="9" t="n">
        <v>19</v>
      </c>
      <c r="B118" s="9" t="s">
        <v>506</v>
      </c>
      <c r="C118" s="9" t="s">
        <v>509</v>
      </c>
      <c r="D118" s="15"/>
      <c r="E118" s="9" t="s">
        <v>185</v>
      </c>
      <c r="F118" s="9" t="n">
        <v>20</v>
      </c>
      <c r="G118" s="9" t="s">
        <v>61</v>
      </c>
      <c r="H118" s="14" t="n">
        <f aca="false">IFERROR(F118*VLOOKUP(E118,Insumos!$A:$G,7,FALSE()),0)</f>
        <v>0.84</v>
      </c>
      <c r="I118" s="16"/>
    </row>
    <row r="119" customFormat="false" ht="15" hidden="false" customHeight="false" outlineLevel="0" collapsed="false">
      <c r="A119" s="9" t="n">
        <v>19</v>
      </c>
      <c r="B119" s="9" t="s">
        <v>506</v>
      </c>
      <c r="C119" s="9" t="s">
        <v>510</v>
      </c>
      <c r="D119" s="15"/>
      <c r="E119" s="9" t="s">
        <v>262</v>
      </c>
      <c r="F119" s="9" t="n">
        <v>4</v>
      </c>
      <c r="G119" s="9" t="s">
        <v>170</v>
      </c>
      <c r="H119" s="14" t="n">
        <f aca="false">IFERROR(F119*VLOOKUP(E119,Insumos!$A:$G,7,FALSE()),0)</f>
        <v>0.88</v>
      </c>
      <c r="I119" s="17" t="s">
        <v>488</v>
      </c>
    </row>
    <row r="120" customFormat="false" ht="15" hidden="false" customHeight="false" outlineLevel="0" collapsed="false">
      <c r="A120" s="9" t="n">
        <v>19</v>
      </c>
      <c r="B120" s="9" t="s">
        <v>506</v>
      </c>
      <c r="C120" s="9" t="s">
        <v>511</v>
      </c>
      <c r="D120" s="15"/>
      <c r="E120" s="9" t="s">
        <v>133</v>
      </c>
      <c r="F120" s="9" t="n">
        <v>60</v>
      </c>
      <c r="G120" s="9" t="s">
        <v>61</v>
      </c>
      <c r="H120" s="14" t="n">
        <f aca="false">IFERROR(F120*VLOOKUP(E120,Insumos!$A:$G,7,FALSE()),0)</f>
        <v>3.04225352112676</v>
      </c>
      <c r="I120" s="16"/>
    </row>
    <row r="121" customFormat="false" ht="15" hidden="false" customHeight="false" outlineLevel="0" collapsed="false">
      <c r="A121" s="9" t="n">
        <v>19</v>
      </c>
      <c r="B121" s="9" t="s">
        <v>506</v>
      </c>
      <c r="C121" s="9" t="s">
        <v>512</v>
      </c>
      <c r="D121" s="15"/>
      <c r="E121" s="9" t="s">
        <v>262</v>
      </c>
      <c r="F121" s="9" t="n">
        <v>12</v>
      </c>
      <c r="G121" s="9" t="s">
        <v>170</v>
      </c>
      <c r="H121" s="14" t="n">
        <f aca="false">IFERROR(F121*VLOOKUP(E121,Insumos!$A:$G,7,FALSE()),0)</f>
        <v>2.64</v>
      </c>
      <c r="I121" s="17" t="s">
        <v>397</v>
      </c>
    </row>
    <row r="122" customFormat="false" ht="15" hidden="false" customHeight="false" outlineLevel="0" collapsed="false">
      <c r="A122" s="9" t="n">
        <v>20</v>
      </c>
      <c r="B122" s="9" t="s">
        <v>513</v>
      </c>
      <c r="C122" s="9" t="s">
        <v>514</v>
      </c>
      <c r="D122" s="15"/>
      <c r="E122" s="9" t="s">
        <v>70</v>
      </c>
      <c r="F122" s="9" t="n">
        <v>60</v>
      </c>
      <c r="G122" s="9" t="s">
        <v>61</v>
      </c>
      <c r="H122" s="14" t="n">
        <f aca="false">IFERROR(F122*VLOOKUP(E122,Insumos!$A:$G,7,FALSE()),0)</f>
        <v>30.8</v>
      </c>
      <c r="I122" s="16"/>
    </row>
    <row r="123" customFormat="false" ht="15" hidden="false" customHeight="false" outlineLevel="0" collapsed="false">
      <c r="A123" s="9" t="n">
        <v>20</v>
      </c>
      <c r="B123" s="9" t="s">
        <v>513</v>
      </c>
      <c r="C123" s="9" t="s">
        <v>515</v>
      </c>
      <c r="D123" s="15"/>
      <c r="E123" s="9" t="s">
        <v>145</v>
      </c>
      <c r="F123" s="9" t="n">
        <v>30</v>
      </c>
      <c r="G123" s="9" t="s">
        <v>61</v>
      </c>
      <c r="H123" s="14" t="n">
        <f aca="false">IFERROR(F123*VLOOKUP(E123,Insumos!$A:$G,7,FALSE()),0)</f>
        <v>2.85</v>
      </c>
      <c r="I123" s="16"/>
    </row>
    <row r="124" customFormat="false" ht="15" hidden="false" customHeight="false" outlineLevel="0" collapsed="false">
      <c r="A124" s="9" t="n">
        <v>20</v>
      </c>
      <c r="B124" s="9" t="s">
        <v>513</v>
      </c>
      <c r="C124" s="9" t="s">
        <v>516</v>
      </c>
      <c r="D124" s="15"/>
      <c r="E124" s="9" t="s">
        <v>192</v>
      </c>
      <c r="F124" s="9" t="n">
        <v>20</v>
      </c>
      <c r="G124" s="9" t="s">
        <v>61</v>
      </c>
      <c r="H124" s="14" t="n">
        <f aca="false">IFERROR(F124*VLOOKUP(E124,Insumos!$A:$G,7,FALSE()),0)</f>
        <v>1.24</v>
      </c>
      <c r="I124" s="16"/>
    </row>
    <row r="125" customFormat="false" ht="15" hidden="false" customHeight="false" outlineLevel="0" collapsed="false">
      <c r="A125" s="9" t="n">
        <v>20</v>
      </c>
      <c r="B125" s="9" t="s">
        <v>513</v>
      </c>
      <c r="C125" s="9" t="s">
        <v>517</v>
      </c>
      <c r="D125" s="15"/>
      <c r="E125" s="9" t="s">
        <v>306</v>
      </c>
      <c r="F125" s="9" t="n">
        <v>12</v>
      </c>
      <c r="G125" s="9" t="s">
        <v>170</v>
      </c>
      <c r="H125" s="14" t="n">
        <f aca="false">IFERROR(F125*VLOOKUP(E125,Insumos!$A:$G,7,FALSE()),0)</f>
        <v>0.504</v>
      </c>
      <c r="I125" s="17" t="s">
        <v>397</v>
      </c>
    </row>
    <row r="126" customFormat="false" ht="15" hidden="false" customHeight="false" outlineLevel="0" collapsed="false">
      <c r="A126" s="9" t="n">
        <v>21</v>
      </c>
      <c r="B126" s="9" t="s">
        <v>518</v>
      </c>
      <c r="C126" s="9" t="s">
        <v>519</v>
      </c>
      <c r="D126" s="15"/>
      <c r="E126" s="9" t="s">
        <v>75</v>
      </c>
      <c r="F126" s="9" t="n">
        <v>60</v>
      </c>
      <c r="G126" s="9" t="s">
        <v>61</v>
      </c>
      <c r="H126" s="14" t="n">
        <f aca="false">IFERROR(F126*VLOOKUP(E126,Insumos!$A:$G,7,FALSE()),0)</f>
        <v>55.2</v>
      </c>
      <c r="I126" s="16"/>
    </row>
    <row r="127" customFormat="false" ht="15" hidden="false" customHeight="false" outlineLevel="0" collapsed="false">
      <c r="A127" s="9" t="n">
        <v>21</v>
      </c>
      <c r="B127" s="9" t="s">
        <v>518</v>
      </c>
      <c r="C127" s="9" t="s">
        <v>520</v>
      </c>
      <c r="D127" s="15"/>
      <c r="E127" s="9" t="s">
        <v>269</v>
      </c>
      <c r="F127" s="9" t="n">
        <v>6</v>
      </c>
      <c r="G127" s="9" t="s">
        <v>170</v>
      </c>
      <c r="H127" s="14" t="n">
        <f aca="false">IFERROR(F127*VLOOKUP(E127,Insumos!$A:$G,7,FALSE()),0)</f>
        <v>2.4</v>
      </c>
      <c r="I127" s="17" t="s">
        <v>521</v>
      </c>
    </row>
    <row r="128" customFormat="false" ht="15" hidden="false" customHeight="false" outlineLevel="0" collapsed="false">
      <c r="A128" s="9" t="n">
        <v>21</v>
      </c>
      <c r="B128" s="9" t="s">
        <v>518</v>
      </c>
      <c r="C128" s="9" t="s">
        <v>522</v>
      </c>
      <c r="D128" s="15"/>
      <c r="E128" s="9" t="s">
        <v>148</v>
      </c>
      <c r="F128" s="9" t="n">
        <v>25</v>
      </c>
      <c r="G128" s="9" t="s">
        <v>61</v>
      </c>
      <c r="H128" s="14" t="n">
        <f aca="false">IFERROR(F128*VLOOKUP(E128,Insumos!$A:$G,7,FALSE()),0)</f>
        <v>2.75</v>
      </c>
      <c r="I128" s="16"/>
    </row>
    <row r="129" customFormat="false" ht="15" hidden="false" customHeight="false" outlineLevel="0" collapsed="false">
      <c r="A129" s="9" t="n">
        <v>21</v>
      </c>
      <c r="B129" s="9" t="s">
        <v>518</v>
      </c>
      <c r="C129" s="9" t="s">
        <v>434</v>
      </c>
      <c r="D129" s="15"/>
      <c r="E129" s="9" t="s">
        <v>185</v>
      </c>
      <c r="F129" s="9" t="n">
        <v>20</v>
      </c>
      <c r="G129" s="9" t="s">
        <v>61</v>
      </c>
      <c r="H129" s="14" t="n">
        <f aca="false">IFERROR(F129*VLOOKUP(E129,Insumos!$A:$G,7,FALSE()),0)</f>
        <v>0.84</v>
      </c>
      <c r="I129" s="16"/>
    </row>
    <row r="130" customFormat="false" ht="15" hidden="false" customHeight="false" outlineLevel="0" collapsed="false">
      <c r="A130" s="9" t="n">
        <v>21</v>
      </c>
      <c r="B130" s="9" t="s">
        <v>518</v>
      </c>
      <c r="C130" s="9" t="s">
        <v>523</v>
      </c>
      <c r="D130" s="15"/>
      <c r="E130" s="9" t="s">
        <v>295</v>
      </c>
      <c r="F130" s="9" t="n">
        <v>15</v>
      </c>
      <c r="G130" s="9" t="s">
        <v>61</v>
      </c>
      <c r="H130" s="14" t="n">
        <f aca="false">IFERROR(F130*VLOOKUP(E130,Insumos!$A:$G,7,FALSE()),0)</f>
        <v>0.93</v>
      </c>
      <c r="I130" s="16"/>
    </row>
    <row r="131" customFormat="false" ht="15" hidden="false" customHeight="false" outlineLevel="0" collapsed="false">
      <c r="A131" s="9" t="n">
        <v>21</v>
      </c>
      <c r="B131" s="9" t="s">
        <v>518</v>
      </c>
      <c r="C131" s="9" t="s">
        <v>524</v>
      </c>
      <c r="D131" s="15"/>
      <c r="E131" s="9" t="s">
        <v>113</v>
      </c>
      <c r="F131" s="9" t="n">
        <v>0.05</v>
      </c>
      <c r="G131" s="9" t="s">
        <v>61</v>
      </c>
      <c r="H131" s="14" t="n">
        <f aca="false">IFERROR(F131*VLOOKUP(E131,Insumos!$A:$G,7,FALSE()),0)</f>
        <v>0.09</v>
      </c>
      <c r="I131" s="17" t="s">
        <v>437</v>
      </c>
    </row>
    <row r="132" customFormat="false" ht="15" hidden="false" customHeight="false" outlineLevel="0" collapsed="false">
      <c r="A132" s="9" t="n">
        <v>22</v>
      </c>
      <c r="B132" s="9" t="s">
        <v>525</v>
      </c>
      <c r="C132" s="9" t="s">
        <v>526</v>
      </c>
      <c r="D132" s="15"/>
      <c r="E132" s="9" t="s">
        <v>77</v>
      </c>
      <c r="F132" s="9" t="n">
        <v>50</v>
      </c>
      <c r="G132" s="9" t="s">
        <v>61</v>
      </c>
      <c r="H132" s="14" t="n">
        <f aca="false">IFERROR(F132*VLOOKUP(E132,Insumos!$A:$G,7,FALSE()),0)</f>
        <v>43.3333333333333</v>
      </c>
      <c r="I132" s="16"/>
    </row>
    <row r="133" customFormat="false" ht="15" hidden="false" customHeight="false" outlineLevel="0" collapsed="false">
      <c r="A133" s="9" t="n">
        <v>22</v>
      </c>
      <c r="B133" s="9" t="s">
        <v>525</v>
      </c>
      <c r="C133" s="9" t="s">
        <v>527</v>
      </c>
      <c r="D133" s="15"/>
      <c r="E133" s="9" t="s">
        <v>94</v>
      </c>
      <c r="F133" s="9" t="n">
        <v>15</v>
      </c>
      <c r="G133" s="9" t="s">
        <v>61</v>
      </c>
      <c r="H133" s="14" t="n">
        <f aca="false">IFERROR(F133*VLOOKUP(E133,Insumos!$A:$G,7,FALSE()),0)</f>
        <v>6.4</v>
      </c>
      <c r="I133" s="16"/>
    </row>
    <row r="134" customFormat="false" ht="15" hidden="false" customHeight="false" outlineLevel="0" collapsed="false">
      <c r="A134" s="9" t="n">
        <v>22</v>
      </c>
      <c r="B134" s="9" t="s">
        <v>525</v>
      </c>
      <c r="C134" s="9" t="s">
        <v>528</v>
      </c>
      <c r="D134" s="15"/>
      <c r="E134" s="9" t="s">
        <v>158</v>
      </c>
      <c r="F134" s="9" t="n">
        <v>25</v>
      </c>
      <c r="G134" s="9" t="s">
        <v>61</v>
      </c>
      <c r="H134" s="14" t="n">
        <f aca="false">IFERROR(F134*VLOOKUP(E134,Insumos!$A:$G,7,FALSE()),0)</f>
        <v>1.95</v>
      </c>
      <c r="I134" s="16"/>
    </row>
    <row r="135" customFormat="false" ht="15" hidden="false" customHeight="false" outlineLevel="0" collapsed="false">
      <c r="A135" s="9" t="n">
        <v>22</v>
      </c>
      <c r="B135" s="9" t="s">
        <v>525</v>
      </c>
      <c r="C135" s="9" t="s">
        <v>462</v>
      </c>
      <c r="D135" s="15"/>
      <c r="E135" s="9" t="s">
        <v>145</v>
      </c>
      <c r="F135" s="9" t="n">
        <v>15</v>
      </c>
      <c r="G135" s="9" t="s">
        <v>61</v>
      </c>
      <c r="H135" s="14" t="n">
        <f aca="false">IFERROR(F135*VLOOKUP(E135,Insumos!$A:$G,7,FALSE()),0)</f>
        <v>1.425</v>
      </c>
      <c r="I135" s="16"/>
    </row>
    <row r="136" customFormat="false" ht="15" hidden="false" customHeight="false" outlineLevel="0" collapsed="false">
      <c r="A136" s="9" t="n">
        <v>22</v>
      </c>
      <c r="B136" s="9" t="s">
        <v>525</v>
      </c>
      <c r="C136" s="9" t="s">
        <v>529</v>
      </c>
      <c r="D136" s="15"/>
      <c r="E136" s="9" t="s">
        <v>141</v>
      </c>
      <c r="F136" s="9" t="n">
        <v>10</v>
      </c>
      <c r="G136" s="9" t="s">
        <v>61</v>
      </c>
      <c r="H136" s="14" t="n">
        <f aca="false">IFERROR(F136*VLOOKUP(E136,Insumos!$A:$G,7,FALSE()),0)</f>
        <v>0.0225</v>
      </c>
      <c r="I136" s="16"/>
    </row>
    <row r="137" customFormat="false" ht="15" hidden="false" customHeight="false" outlineLevel="0" collapsed="false">
      <c r="A137" s="9" t="n">
        <v>22</v>
      </c>
      <c r="B137" s="9" t="s">
        <v>525</v>
      </c>
      <c r="C137" s="9" t="s">
        <v>530</v>
      </c>
      <c r="D137" s="15"/>
      <c r="E137" s="9" t="s">
        <v>265</v>
      </c>
      <c r="F137" s="9" t="n">
        <v>3</v>
      </c>
      <c r="G137" s="9" t="s">
        <v>170</v>
      </c>
      <c r="H137" s="14" t="n">
        <f aca="false">IFERROR(F137*VLOOKUP(E137,Insumos!$A:$G,7,FALSE()),0)</f>
        <v>0.96</v>
      </c>
      <c r="I137" s="17" t="s">
        <v>531</v>
      </c>
    </row>
    <row r="138" customFormat="false" ht="15" hidden="false" customHeight="false" outlineLevel="0" collapsed="false">
      <c r="A138" s="9" t="n">
        <v>22</v>
      </c>
      <c r="B138" s="9" t="s">
        <v>525</v>
      </c>
      <c r="C138" s="9" t="s">
        <v>532</v>
      </c>
      <c r="D138" s="15"/>
      <c r="E138" s="9" t="s">
        <v>212</v>
      </c>
      <c r="F138" s="9" t="n">
        <v>1.5</v>
      </c>
      <c r="G138" s="9" t="s">
        <v>170</v>
      </c>
      <c r="H138" s="14" t="n">
        <f aca="false">IFERROR(F138*VLOOKUP(E138,Insumos!$A:$G,7,FALSE()),0)</f>
        <v>1.17</v>
      </c>
      <c r="I138" s="16"/>
    </row>
    <row r="139" customFormat="false" ht="15" hidden="false" customHeight="false" outlineLevel="0" collapsed="false">
      <c r="A139" s="9" t="n">
        <v>23</v>
      </c>
      <c r="B139" s="9" t="s">
        <v>533</v>
      </c>
      <c r="C139" s="9" t="s">
        <v>534</v>
      </c>
      <c r="D139" s="15"/>
      <c r="E139" s="9" t="s">
        <v>81</v>
      </c>
      <c r="F139" s="9" t="n">
        <v>50</v>
      </c>
      <c r="G139" s="9" t="s">
        <v>61</v>
      </c>
      <c r="H139" s="14" t="n">
        <f aca="false">IFERROR(F139*VLOOKUP(E139,Insumos!$A:$G,7,FALSE()),0)</f>
        <v>25.3333333333333</v>
      </c>
      <c r="I139" s="16"/>
    </row>
    <row r="140" customFormat="false" ht="15" hidden="false" customHeight="false" outlineLevel="0" collapsed="false">
      <c r="A140" s="9" t="n">
        <v>23</v>
      </c>
      <c r="B140" s="9" t="s">
        <v>533</v>
      </c>
      <c r="C140" s="9" t="s">
        <v>535</v>
      </c>
      <c r="D140" s="15"/>
      <c r="E140" s="9" t="s">
        <v>245</v>
      </c>
      <c r="F140" s="9" t="n">
        <v>35</v>
      </c>
      <c r="G140" s="9" t="s">
        <v>61</v>
      </c>
      <c r="H140" s="14" t="n">
        <f aca="false">IFERROR(F140*VLOOKUP(E140,Insumos!$A:$G,7,FALSE()),0)</f>
        <v>3.325</v>
      </c>
      <c r="I140" s="16"/>
    </row>
    <row r="141" customFormat="false" ht="15" hidden="false" customHeight="false" outlineLevel="0" collapsed="false">
      <c r="A141" s="9" t="n">
        <v>23</v>
      </c>
      <c r="B141" s="9" t="s">
        <v>533</v>
      </c>
      <c r="C141" s="9" t="s">
        <v>536</v>
      </c>
      <c r="D141" s="15"/>
      <c r="E141" s="9" t="s">
        <v>83</v>
      </c>
      <c r="F141" s="9" t="n">
        <v>15</v>
      </c>
      <c r="G141" s="9" t="s">
        <v>61</v>
      </c>
      <c r="H141" s="14" t="n">
        <f aca="false">IFERROR(F141*VLOOKUP(E141,Insumos!$A:$G,7,FALSE()),0)</f>
        <v>14.5714285714286</v>
      </c>
      <c r="I141" s="16"/>
    </row>
    <row r="142" customFormat="false" ht="15" hidden="false" customHeight="false" outlineLevel="0" collapsed="false">
      <c r="A142" s="9" t="n">
        <v>23</v>
      </c>
      <c r="B142" s="9" t="s">
        <v>533</v>
      </c>
      <c r="C142" s="9" t="s">
        <v>537</v>
      </c>
      <c r="D142" s="15"/>
      <c r="E142" s="9" t="s">
        <v>192</v>
      </c>
      <c r="F142" s="9" t="n">
        <v>10</v>
      </c>
      <c r="G142" s="9" t="s">
        <v>61</v>
      </c>
      <c r="H142" s="14" t="n">
        <f aca="false">IFERROR(F142*VLOOKUP(E142,Insumos!$A:$G,7,FALSE()),0)</f>
        <v>0.62</v>
      </c>
      <c r="I142" s="16"/>
    </row>
    <row r="143" customFormat="false" ht="15" hidden="false" customHeight="false" outlineLevel="0" collapsed="false">
      <c r="A143" s="9" t="n">
        <v>23</v>
      </c>
      <c r="B143" s="9" t="s">
        <v>533</v>
      </c>
      <c r="C143" s="9" t="s">
        <v>538</v>
      </c>
      <c r="D143" s="15"/>
      <c r="E143" s="9" t="s">
        <v>107</v>
      </c>
      <c r="F143" s="9" t="n">
        <v>1.5</v>
      </c>
      <c r="G143" s="9" t="s">
        <v>61</v>
      </c>
      <c r="H143" s="14" t="n">
        <f aca="false">IFERROR(F143*VLOOKUP(E143,Insumos!$A:$G,7,FALSE()),0)</f>
        <v>3.8</v>
      </c>
      <c r="I143" s="17" t="s">
        <v>450</v>
      </c>
    </row>
    <row r="144" customFormat="false" ht="15" hidden="false" customHeight="false" outlineLevel="0" collapsed="false">
      <c r="A144" s="9" t="n">
        <v>23</v>
      </c>
      <c r="B144" s="9" t="s">
        <v>533</v>
      </c>
      <c r="C144" s="9" t="s">
        <v>539</v>
      </c>
      <c r="D144" s="15"/>
      <c r="E144" s="9" t="s">
        <v>233</v>
      </c>
      <c r="F144" s="9" t="n">
        <v>28</v>
      </c>
      <c r="G144" s="9" t="s">
        <v>170</v>
      </c>
      <c r="H144" s="14" t="n">
        <f aca="false">IFERROR(F144*VLOOKUP(E144,Insumos!$A:$G,7,FALSE()),0)</f>
        <v>20.72</v>
      </c>
      <c r="I144" s="17" t="s">
        <v>391</v>
      </c>
    </row>
    <row r="145" customFormat="false" ht="15" hidden="false" customHeight="false" outlineLevel="0" collapsed="false">
      <c r="A145" s="9" t="n">
        <v>24</v>
      </c>
      <c r="B145" s="9" t="s">
        <v>540</v>
      </c>
      <c r="C145" s="9" t="s">
        <v>541</v>
      </c>
      <c r="D145" s="15"/>
      <c r="E145" s="9" t="s">
        <v>79</v>
      </c>
      <c r="F145" s="9" t="n">
        <v>60</v>
      </c>
      <c r="G145" s="9" t="s">
        <v>61</v>
      </c>
      <c r="H145" s="14" t="n">
        <f aca="false">IFERROR(F145*VLOOKUP(E145,Insumos!$A:$G,7,FALSE()),0)</f>
        <v>57.6</v>
      </c>
      <c r="I145" s="16"/>
    </row>
    <row r="146" customFormat="false" ht="15" hidden="false" customHeight="false" outlineLevel="0" collapsed="false">
      <c r="A146" s="9" t="n">
        <v>24</v>
      </c>
      <c r="B146" s="9" t="s">
        <v>540</v>
      </c>
      <c r="C146" s="9" t="s">
        <v>542</v>
      </c>
      <c r="D146" s="15"/>
      <c r="E146" s="9" t="s">
        <v>154</v>
      </c>
      <c r="F146" s="9" t="n">
        <v>90</v>
      </c>
      <c r="G146" s="9" t="s">
        <v>61</v>
      </c>
      <c r="H146" s="14" t="n">
        <f aca="false">IFERROR(F146*VLOOKUP(E146,Insumos!$A:$G,7,FALSE()),0)</f>
        <v>7.02</v>
      </c>
      <c r="I146" s="16"/>
    </row>
    <row r="147" customFormat="false" ht="15" hidden="false" customHeight="false" outlineLevel="0" collapsed="false">
      <c r="A147" s="9" t="n">
        <v>24</v>
      </c>
      <c r="B147" s="9" t="s">
        <v>540</v>
      </c>
      <c r="C147" s="9" t="s">
        <v>543</v>
      </c>
      <c r="D147" s="15"/>
      <c r="E147" s="9" t="s">
        <v>204</v>
      </c>
      <c r="F147" s="9" t="n">
        <v>25</v>
      </c>
      <c r="G147" s="9" t="s">
        <v>61</v>
      </c>
      <c r="H147" s="14" t="n">
        <f aca="false">IFERROR(F147*VLOOKUP(E147,Insumos!$A:$G,7,FALSE()),0)</f>
        <v>7.25</v>
      </c>
      <c r="I147" s="16"/>
    </row>
    <row r="148" customFormat="false" ht="15" hidden="false" customHeight="false" outlineLevel="0" collapsed="false">
      <c r="A148" s="9" t="n">
        <v>24</v>
      </c>
      <c r="B148" s="9" t="s">
        <v>540</v>
      </c>
      <c r="C148" s="9" t="s">
        <v>462</v>
      </c>
      <c r="D148" s="15"/>
      <c r="E148" s="9" t="s">
        <v>145</v>
      </c>
      <c r="F148" s="9" t="n">
        <v>15</v>
      </c>
      <c r="G148" s="9" t="s">
        <v>61</v>
      </c>
      <c r="H148" s="14" t="n">
        <f aca="false">IFERROR(F148*VLOOKUP(E148,Insumos!$A:$G,7,FALSE()),0)</f>
        <v>1.425</v>
      </c>
      <c r="I148" s="16"/>
    </row>
    <row r="149" customFormat="false" ht="15" hidden="false" customHeight="false" outlineLevel="0" collapsed="false">
      <c r="A149" s="9" t="n">
        <v>24</v>
      </c>
      <c r="B149" s="9" t="s">
        <v>540</v>
      </c>
      <c r="C149" s="9" t="s">
        <v>544</v>
      </c>
      <c r="D149" s="15"/>
      <c r="E149" s="9" t="s">
        <v>273</v>
      </c>
      <c r="F149" s="9" t="n">
        <v>5</v>
      </c>
      <c r="G149" s="9" t="s">
        <v>170</v>
      </c>
      <c r="H149" s="14" t="n">
        <f aca="false">IFERROR(F149*VLOOKUP(E149,Insumos!$A:$G,7,FALSE()),0)</f>
        <v>11</v>
      </c>
      <c r="I149" s="17" t="s">
        <v>497</v>
      </c>
    </row>
    <row r="150" customFormat="false" ht="15" hidden="false" customHeight="false" outlineLevel="0" collapsed="false">
      <c r="A150" s="9" t="n">
        <v>25</v>
      </c>
      <c r="B150" s="9" t="s">
        <v>545</v>
      </c>
      <c r="C150" s="9" t="s">
        <v>546</v>
      </c>
      <c r="D150" s="15"/>
      <c r="E150" s="9" t="s">
        <v>75</v>
      </c>
      <c r="F150" s="9" t="n">
        <v>50</v>
      </c>
      <c r="G150" s="9" t="s">
        <v>61</v>
      </c>
      <c r="H150" s="14" t="n">
        <f aca="false">IFERROR(F150*VLOOKUP(E150,Insumos!$A:$G,7,FALSE()),0)</f>
        <v>46</v>
      </c>
      <c r="I150" s="16"/>
    </row>
    <row r="151" customFormat="false" ht="15" hidden="false" customHeight="false" outlineLevel="0" collapsed="false">
      <c r="A151" s="9" t="n">
        <v>25</v>
      </c>
      <c r="B151" s="9" t="s">
        <v>545</v>
      </c>
      <c r="C151" s="9" t="s">
        <v>547</v>
      </c>
      <c r="D151" s="15"/>
      <c r="E151" s="9" t="s">
        <v>156</v>
      </c>
      <c r="F151" s="9" t="n">
        <v>25</v>
      </c>
      <c r="G151" s="9" t="s">
        <v>61</v>
      </c>
      <c r="H151" s="14" t="n">
        <f aca="false">IFERROR(F151*VLOOKUP(E151,Insumos!$A:$G,7,FALSE()),0)</f>
        <v>2.05</v>
      </c>
      <c r="I151" s="16"/>
    </row>
    <row r="152" customFormat="false" ht="15" hidden="false" customHeight="false" outlineLevel="0" collapsed="false">
      <c r="A152" s="9" t="n">
        <v>25</v>
      </c>
      <c r="B152" s="9" t="s">
        <v>545</v>
      </c>
      <c r="C152" s="9" t="s">
        <v>470</v>
      </c>
      <c r="D152" s="15"/>
      <c r="E152" s="9" t="s">
        <v>148</v>
      </c>
      <c r="F152" s="9" t="n">
        <v>20</v>
      </c>
      <c r="G152" s="9" t="s">
        <v>61</v>
      </c>
      <c r="H152" s="14" t="n">
        <f aca="false">IFERROR(F152*VLOOKUP(E152,Insumos!$A:$G,7,FALSE()),0)</f>
        <v>2.2</v>
      </c>
      <c r="I152" s="16"/>
    </row>
    <row r="153" customFormat="false" ht="15" hidden="false" customHeight="false" outlineLevel="0" collapsed="false">
      <c r="A153" s="9" t="n">
        <v>25</v>
      </c>
      <c r="B153" s="9" t="s">
        <v>545</v>
      </c>
      <c r="C153" s="9" t="s">
        <v>494</v>
      </c>
      <c r="D153" s="15"/>
      <c r="E153" s="9" t="s">
        <v>185</v>
      </c>
      <c r="F153" s="9" t="n">
        <v>15</v>
      </c>
      <c r="G153" s="9" t="s">
        <v>61</v>
      </c>
      <c r="H153" s="14" t="n">
        <f aca="false">IFERROR(F153*VLOOKUP(E153,Insumos!$A:$G,7,FALSE()),0)</f>
        <v>0.63</v>
      </c>
      <c r="I153" s="16"/>
    </row>
    <row r="154" customFormat="false" ht="15" hidden="false" customHeight="false" outlineLevel="0" collapsed="false">
      <c r="A154" s="9" t="n">
        <v>25</v>
      </c>
      <c r="B154" s="9" t="s">
        <v>545</v>
      </c>
      <c r="C154" s="9" t="s">
        <v>548</v>
      </c>
      <c r="D154" s="15"/>
      <c r="E154" s="9" t="s">
        <v>135</v>
      </c>
      <c r="F154" s="9" t="n">
        <v>80</v>
      </c>
      <c r="G154" s="9" t="s">
        <v>61</v>
      </c>
      <c r="H154" s="14" t="n">
        <f aca="false">IFERROR(F154*VLOOKUP(E154,Insumos!$A:$G,7,FALSE()),0)</f>
        <v>15.2</v>
      </c>
      <c r="I154" s="16"/>
    </row>
    <row r="155" customFormat="false" ht="15" hidden="false" customHeight="false" outlineLevel="0" collapsed="false">
      <c r="A155" s="9" t="n">
        <v>25</v>
      </c>
      <c r="B155" s="9" t="s">
        <v>545</v>
      </c>
      <c r="C155" s="9" t="s">
        <v>549</v>
      </c>
      <c r="D155" s="15"/>
      <c r="E155" s="9" t="s">
        <v>267</v>
      </c>
      <c r="F155" s="9" t="n">
        <v>45</v>
      </c>
      <c r="G155" s="9" t="s">
        <v>170</v>
      </c>
      <c r="H155" s="14" t="n">
        <f aca="false">IFERROR(F155*VLOOKUP(E155,Insumos!$A:$G,7,FALSE()),0)</f>
        <v>15.75</v>
      </c>
      <c r="I155" s="17" t="s">
        <v>385</v>
      </c>
    </row>
    <row r="156" customFormat="false" ht="15" hidden="false" customHeight="false" outlineLevel="0" collapsed="false">
      <c r="A156" s="9" t="n">
        <v>26</v>
      </c>
      <c r="B156" s="9" t="s">
        <v>550</v>
      </c>
      <c r="C156" s="9" t="s">
        <v>551</v>
      </c>
      <c r="D156" s="15"/>
      <c r="E156" s="9" t="s">
        <v>77</v>
      </c>
      <c r="F156" s="9" t="n">
        <v>30</v>
      </c>
      <c r="G156" s="9" t="s">
        <v>61</v>
      </c>
      <c r="H156" s="14" t="n">
        <f aca="false">IFERROR(F156*VLOOKUP(E156,Insumos!$A:$G,7,FALSE()),0)</f>
        <v>26</v>
      </c>
      <c r="I156" s="16"/>
    </row>
    <row r="157" customFormat="false" ht="15" hidden="false" customHeight="false" outlineLevel="0" collapsed="false">
      <c r="A157" s="9" t="n">
        <v>26</v>
      </c>
      <c r="B157" s="9" t="s">
        <v>550</v>
      </c>
      <c r="C157" s="9" t="s">
        <v>552</v>
      </c>
      <c r="D157" s="15"/>
      <c r="E157" s="9" t="s">
        <v>88</v>
      </c>
      <c r="F157" s="9" t="n">
        <v>30</v>
      </c>
      <c r="G157" s="9" t="s">
        <v>61</v>
      </c>
      <c r="H157" s="14" t="n">
        <f aca="false">IFERROR(F157*VLOOKUP(E157,Insumos!$A:$G,7,FALSE()),0)</f>
        <v>17.2</v>
      </c>
      <c r="I157" s="16"/>
    </row>
    <row r="158" customFormat="false" ht="15" hidden="false" customHeight="false" outlineLevel="0" collapsed="false">
      <c r="A158" s="9" t="n">
        <v>26</v>
      </c>
      <c r="B158" s="9" t="s">
        <v>550</v>
      </c>
      <c r="C158" s="9" t="s">
        <v>553</v>
      </c>
      <c r="D158" s="15"/>
      <c r="E158" s="9" t="s">
        <v>92</v>
      </c>
      <c r="F158" s="9" t="n">
        <v>30</v>
      </c>
      <c r="G158" s="9" t="s">
        <v>61</v>
      </c>
      <c r="H158" s="14" t="n">
        <f aca="false">IFERROR(F158*VLOOKUP(E158,Insumos!$A:$G,7,FALSE()),0)</f>
        <v>10.2</v>
      </c>
      <c r="I158" s="16"/>
    </row>
    <row r="159" customFormat="false" ht="15" hidden="false" customHeight="false" outlineLevel="0" collapsed="false">
      <c r="A159" s="9" t="n">
        <v>26</v>
      </c>
      <c r="B159" s="9" t="s">
        <v>550</v>
      </c>
      <c r="C159" s="9" t="s">
        <v>554</v>
      </c>
      <c r="D159" s="15"/>
      <c r="E159" s="9" t="s">
        <v>302</v>
      </c>
      <c r="F159" s="9" t="n">
        <v>28</v>
      </c>
      <c r="G159" s="9" t="s">
        <v>170</v>
      </c>
      <c r="H159" s="14" t="n">
        <f aca="false">IFERROR(F159*VLOOKUP(E159,Insumos!$A:$G,7,FALSE()),0)</f>
        <v>0.728</v>
      </c>
      <c r="I159" s="17" t="s">
        <v>391</v>
      </c>
    </row>
    <row r="160" customFormat="false" ht="15" hidden="false" customHeight="false" outlineLevel="0" collapsed="false">
      <c r="A160" s="9" t="n">
        <v>26</v>
      </c>
      <c r="B160" s="9" t="s">
        <v>550</v>
      </c>
      <c r="C160" s="9" t="s">
        <v>555</v>
      </c>
      <c r="D160" s="15"/>
      <c r="E160" s="9" t="s">
        <v>265</v>
      </c>
      <c r="F160" s="9" t="n">
        <v>3</v>
      </c>
      <c r="G160" s="9" t="s">
        <v>170</v>
      </c>
      <c r="H160" s="14" t="n">
        <f aca="false">IFERROR(F160*VLOOKUP(E160,Insumos!$A:$G,7,FALSE()),0)</f>
        <v>0.96</v>
      </c>
      <c r="I160" s="17" t="s">
        <v>531</v>
      </c>
    </row>
    <row r="161" customFormat="false" ht="15" hidden="false" customHeight="false" outlineLevel="0" collapsed="false">
      <c r="A161" s="9" t="n">
        <v>27</v>
      </c>
      <c r="B161" s="9" t="s">
        <v>556</v>
      </c>
      <c r="C161" s="9" t="s">
        <v>557</v>
      </c>
      <c r="D161" s="15"/>
      <c r="E161" s="9" t="s">
        <v>73</v>
      </c>
      <c r="F161" s="9" t="n">
        <v>60</v>
      </c>
      <c r="G161" s="9" t="s">
        <v>61</v>
      </c>
      <c r="H161" s="14" t="n">
        <f aca="false">IFERROR(F161*VLOOKUP(E161,Insumos!$A:$G,7,FALSE()),0)</f>
        <v>39.6</v>
      </c>
      <c r="I161" s="16"/>
    </row>
    <row r="162" customFormat="false" ht="15" hidden="false" customHeight="false" outlineLevel="0" collapsed="false">
      <c r="A162" s="9" t="n">
        <v>27</v>
      </c>
      <c r="B162" s="9" t="s">
        <v>556</v>
      </c>
      <c r="C162" s="9" t="s">
        <v>558</v>
      </c>
      <c r="D162" s="15"/>
      <c r="E162" s="9" t="s">
        <v>185</v>
      </c>
      <c r="F162" s="9" t="n">
        <v>120</v>
      </c>
      <c r="G162" s="9" t="s">
        <v>61</v>
      </c>
      <c r="H162" s="14" t="n">
        <f aca="false">IFERROR(F162*VLOOKUP(E162,Insumos!$A:$G,7,FALSE()),0)</f>
        <v>5.04</v>
      </c>
      <c r="I162" s="16"/>
    </row>
    <row r="163" customFormat="false" ht="15" hidden="false" customHeight="false" outlineLevel="0" collapsed="false">
      <c r="A163" s="9" t="n">
        <v>27</v>
      </c>
      <c r="B163" s="9" t="s">
        <v>556</v>
      </c>
      <c r="C163" s="9" t="s">
        <v>559</v>
      </c>
      <c r="D163" s="15"/>
      <c r="E163" s="9" t="s">
        <v>152</v>
      </c>
      <c r="F163" s="9" t="n">
        <v>15</v>
      </c>
      <c r="G163" s="9" t="s">
        <v>61</v>
      </c>
      <c r="H163" s="14" t="n">
        <f aca="false">IFERROR(F163*VLOOKUP(E163,Insumos!$A:$G,7,FALSE()),0)</f>
        <v>0.87</v>
      </c>
      <c r="I163" s="16"/>
    </row>
    <row r="164" customFormat="false" ht="15" hidden="false" customHeight="false" outlineLevel="0" collapsed="false">
      <c r="A164" s="9" t="n">
        <v>27</v>
      </c>
      <c r="B164" s="9" t="s">
        <v>556</v>
      </c>
      <c r="C164" s="9" t="s">
        <v>560</v>
      </c>
      <c r="D164" s="15"/>
      <c r="E164" s="9" t="s">
        <v>183</v>
      </c>
      <c r="F164" s="9" t="n">
        <v>25</v>
      </c>
      <c r="G164" s="9" t="s">
        <v>170</v>
      </c>
      <c r="H164" s="14" t="n">
        <f aca="false">IFERROR(F164*VLOOKUP(E164,Insumos!$A:$G,7,FALSE()),0)</f>
        <v>1.375</v>
      </c>
      <c r="I164" s="17" t="s">
        <v>430</v>
      </c>
    </row>
    <row r="165" customFormat="false" ht="15" hidden="false" customHeight="false" outlineLevel="0" collapsed="false">
      <c r="A165" s="9" t="n">
        <v>27</v>
      </c>
      <c r="B165" s="9" t="s">
        <v>556</v>
      </c>
      <c r="C165" s="9" t="s">
        <v>561</v>
      </c>
      <c r="D165" s="15"/>
      <c r="E165" s="9" t="s">
        <v>279</v>
      </c>
      <c r="F165" s="9" t="n">
        <v>35</v>
      </c>
      <c r="G165" s="9" t="s">
        <v>170</v>
      </c>
      <c r="H165" s="14" t="n">
        <f aca="false">IFERROR(F165*VLOOKUP(E165,Insumos!$A:$G,7,FALSE()),0)</f>
        <v>1.33</v>
      </c>
      <c r="I165" s="17" t="s">
        <v>562</v>
      </c>
    </row>
    <row r="166" customFormat="false" ht="15" hidden="false" customHeight="false" outlineLevel="0" collapsed="false">
      <c r="A166" s="9" t="n">
        <v>27</v>
      </c>
      <c r="B166" s="9" t="s">
        <v>556</v>
      </c>
      <c r="C166" s="9" t="s">
        <v>563</v>
      </c>
      <c r="D166" s="15"/>
      <c r="E166" s="9" t="s">
        <v>233</v>
      </c>
      <c r="F166" s="9" t="n">
        <v>3</v>
      </c>
      <c r="G166" s="9" t="s">
        <v>170</v>
      </c>
      <c r="H166" s="14" t="n">
        <f aca="false">IFERROR(F166*VLOOKUP(E166,Insumos!$A:$G,7,FALSE()),0)</f>
        <v>2.22</v>
      </c>
      <c r="I166" s="17" t="s">
        <v>564</v>
      </c>
    </row>
    <row r="167" customFormat="false" ht="15" hidden="false" customHeight="false" outlineLevel="0" collapsed="false">
      <c r="A167" s="9" t="n">
        <v>28</v>
      </c>
      <c r="B167" s="9" t="s">
        <v>565</v>
      </c>
      <c r="C167" s="9" t="s">
        <v>566</v>
      </c>
      <c r="D167" s="15"/>
      <c r="E167" s="9" t="s">
        <v>58</v>
      </c>
      <c r="F167" s="9" t="n">
        <v>45</v>
      </c>
      <c r="G167" s="9" t="s">
        <v>61</v>
      </c>
      <c r="H167" s="14" t="n">
        <f aca="false">IFERROR(F167*VLOOKUP(E167,Insumos!$A:$G,7,FALSE()),0)</f>
        <v>25.2</v>
      </c>
      <c r="I167" s="16"/>
    </row>
    <row r="168" customFormat="false" ht="15" hidden="false" customHeight="false" outlineLevel="0" collapsed="false">
      <c r="A168" s="9" t="n">
        <v>28</v>
      </c>
      <c r="B168" s="9" t="s">
        <v>565</v>
      </c>
      <c r="C168" s="9" t="s">
        <v>567</v>
      </c>
      <c r="D168" s="15"/>
      <c r="E168" s="9" t="s">
        <v>124</v>
      </c>
      <c r="F168" s="9" t="n">
        <v>50</v>
      </c>
      <c r="G168" s="9" t="s">
        <v>61</v>
      </c>
      <c r="H168" s="14" t="n">
        <f aca="false">IFERROR(F168*VLOOKUP(E168,Insumos!$A:$G,7,FALSE()),0)</f>
        <v>3</v>
      </c>
      <c r="I168" s="16"/>
    </row>
    <row r="169" customFormat="false" ht="15" hidden="false" customHeight="false" outlineLevel="0" collapsed="false">
      <c r="A169" s="9" t="n">
        <v>28</v>
      </c>
      <c r="B169" s="9" t="s">
        <v>565</v>
      </c>
      <c r="C169" s="9" t="s">
        <v>568</v>
      </c>
      <c r="D169" s="15"/>
      <c r="E169" s="9" t="s">
        <v>148</v>
      </c>
      <c r="F169" s="9" t="n">
        <v>15</v>
      </c>
      <c r="G169" s="9" t="s">
        <v>61</v>
      </c>
      <c r="H169" s="14" t="n">
        <f aca="false">IFERROR(F169*VLOOKUP(E169,Insumos!$A:$G,7,FALSE()),0)</f>
        <v>1.65</v>
      </c>
      <c r="I169" s="16"/>
    </row>
    <row r="170" customFormat="false" ht="15" hidden="false" customHeight="false" outlineLevel="0" collapsed="false">
      <c r="A170" s="9" t="n">
        <v>28</v>
      </c>
      <c r="B170" s="9" t="s">
        <v>565</v>
      </c>
      <c r="C170" s="9" t="s">
        <v>569</v>
      </c>
      <c r="D170" s="15"/>
      <c r="E170" s="9" t="s">
        <v>185</v>
      </c>
      <c r="F170" s="9" t="n">
        <v>10</v>
      </c>
      <c r="G170" s="9" t="s">
        <v>61</v>
      </c>
      <c r="H170" s="14" t="n">
        <f aca="false">IFERROR(F170*VLOOKUP(E170,Insumos!$A:$G,7,FALSE()),0)</f>
        <v>0.42</v>
      </c>
      <c r="I170" s="16"/>
    </row>
    <row r="171" customFormat="false" ht="15" hidden="false" customHeight="false" outlineLevel="0" collapsed="false">
      <c r="A171" s="9" t="n">
        <v>28</v>
      </c>
      <c r="B171" s="9" t="s">
        <v>565</v>
      </c>
      <c r="C171" s="9" t="s">
        <v>570</v>
      </c>
      <c r="D171" s="15"/>
      <c r="E171" s="9" t="s">
        <v>102</v>
      </c>
      <c r="F171" s="9" t="n">
        <v>80</v>
      </c>
      <c r="G171" s="9" t="s">
        <v>61</v>
      </c>
      <c r="H171" s="14" t="n">
        <f aca="false">IFERROR(F171*VLOOKUP(E171,Insumos!$A:$G,7,FALSE()),0)</f>
        <v>31.4666666666667</v>
      </c>
      <c r="I171" s="16"/>
    </row>
    <row r="172" customFormat="false" ht="15" hidden="false" customHeight="false" outlineLevel="0" collapsed="false">
      <c r="A172" s="9" t="n">
        <v>28</v>
      </c>
      <c r="B172" s="9" t="s">
        <v>565</v>
      </c>
      <c r="C172" s="9" t="s">
        <v>571</v>
      </c>
      <c r="D172" s="15"/>
      <c r="E172" s="9" t="s">
        <v>275</v>
      </c>
      <c r="F172" s="9" t="n">
        <v>5</v>
      </c>
      <c r="G172" s="9" t="s">
        <v>170</v>
      </c>
      <c r="H172" s="14" t="n">
        <f aca="false">IFERROR(F172*VLOOKUP(E172,Insumos!$A:$G,7,FALSE()),0)</f>
        <v>12</v>
      </c>
      <c r="I172" s="17" t="s">
        <v>497</v>
      </c>
    </row>
    <row r="173" customFormat="false" ht="15" hidden="false" customHeight="false" outlineLevel="0" collapsed="false">
      <c r="A173" s="9" t="n">
        <v>28</v>
      </c>
      <c r="B173" s="9" t="s">
        <v>565</v>
      </c>
      <c r="C173" s="9" t="s">
        <v>572</v>
      </c>
      <c r="D173" s="15"/>
      <c r="E173" s="9" t="s">
        <v>262</v>
      </c>
      <c r="F173" s="9" t="n">
        <v>4</v>
      </c>
      <c r="G173" s="9" t="s">
        <v>170</v>
      </c>
      <c r="H173" s="14" t="n">
        <f aca="false">IFERROR(F173*VLOOKUP(E173,Insumos!$A:$G,7,FALSE()),0)</f>
        <v>0.88</v>
      </c>
      <c r="I173" s="17" t="s">
        <v>488</v>
      </c>
    </row>
    <row r="174" customFormat="false" ht="15" hidden="false" customHeight="false" outlineLevel="0" collapsed="false">
      <c r="A174" s="9" t="n">
        <v>29</v>
      </c>
      <c r="B174" s="9" t="s">
        <v>573</v>
      </c>
      <c r="C174" s="9" t="s">
        <v>574</v>
      </c>
      <c r="D174" s="15"/>
      <c r="E174" s="9" t="s">
        <v>122</v>
      </c>
      <c r="F174" s="9" t="n">
        <v>120</v>
      </c>
      <c r="G174" s="9" t="s">
        <v>61</v>
      </c>
      <c r="H174" s="14" t="n">
        <f aca="false">IFERROR(F174*VLOOKUP(E174,Insumos!$A:$G,7,FALSE()),0)</f>
        <v>9</v>
      </c>
      <c r="I174" s="16"/>
    </row>
    <row r="175" customFormat="false" ht="15" hidden="false" customHeight="false" outlineLevel="0" collapsed="false">
      <c r="A175" s="9" t="n">
        <v>29</v>
      </c>
      <c r="B175" s="9" t="s">
        <v>573</v>
      </c>
      <c r="C175" s="9" t="s">
        <v>575</v>
      </c>
      <c r="D175" s="15"/>
      <c r="E175" s="9" t="s">
        <v>210</v>
      </c>
      <c r="F175" s="9" t="n">
        <v>30</v>
      </c>
      <c r="G175" s="9" t="s">
        <v>61</v>
      </c>
      <c r="H175" s="14" t="n">
        <f aca="false">IFERROR(F175*VLOOKUP(E175,Insumos!$A:$G,7,FALSE()),0)</f>
        <v>2</v>
      </c>
      <c r="I175" s="16"/>
    </row>
    <row r="176" customFormat="false" ht="15" hidden="false" customHeight="false" outlineLevel="0" collapsed="false">
      <c r="A176" s="9" t="n">
        <v>29</v>
      </c>
      <c r="B176" s="9" t="s">
        <v>573</v>
      </c>
      <c r="C176" s="9" t="s">
        <v>576</v>
      </c>
      <c r="D176" s="15"/>
      <c r="E176" s="9" t="s">
        <v>247</v>
      </c>
      <c r="F176" s="9" t="n">
        <v>30</v>
      </c>
      <c r="G176" s="9" t="s">
        <v>170</v>
      </c>
      <c r="H176" s="14" t="n">
        <f aca="false">IFERROR(F176*VLOOKUP(E176,Insumos!$A:$G,7,FALSE()),0)</f>
        <v>1.26</v>
      </c>
      <c r="I176" s="16"/>
    </row>
    <row r="177" customFormat="false" ht="15" hidden="false" customHeight="false" outlineLevel="0" collapsed="false">
      <c r="A177" s="9" t="n">
        <v>29</v>
      </c>
      <c r="B177" s="9" t="s">
        <v>573</v>
      </c>
      <c r="C177" s="9" t="s">
        <v>577</v>
      </c>
      <c r="D177" s="15"/>
      <c r="E177" s="9" t="s">
        <v>190</v>
      </c>
      <c r="F177" s="9" t="n">
        <v>20</v>
      </c>
      <c r="G177" s="9" t="s">
        <v>61</v>
      </c>
      <c r="H177" s="14" t="n">
        <f aca="false">IFERROR(F177*VLOOKUP(E177,Insumos!$A:$G,7,FALSE()),0)</f>
        <v>3.3</v>
      </c>
      <c r="I177" s="16"/>
    </row>
    <row r="178" customFormat="false" ht="15" hidden="false" customHeight="false" outlineLevel="0" collapsed="false">
      <c r="A178" s="9" t="n">
        <v>29</v>
      </c>
      <c r="B178" s="9" t="s">
        <v>573</v>
      </c>
      <c r="C178" s="9" t="s">
        <v>578</v>
      </c>
      <c r="D178" s="15"/>
      <c r="E178" s="9" t="s">
        <v>233</v>
      </c>
      <c r="F178" s="9" t="n">
        <v>2</v>
      </c>
      <c r="G178" s="9" t="s">
        <v>170</v>
      </c>
      <c r="H178" s="14" t="n">
        <f aca="false">IFERROR(F178*VLOOKUP(E178,Insumos!$A:$G,7,FALSE()),0)</f>
        <v>1.48</v>
      </c>
      <c r="I178" s="16"/>
    </row>
    <row r="179" customFormat="false" ht="15" hidden="false" customHeight="false" outlineLevel="0" collapsed="false">
      <c r="A179" s="9" t="n">
        <v>29</v>
      </c>
      <c r="B179" s="9" t="s">
        <v>573</v>
      </c>
      <c r="C179" s="9" t="s">
        <v>579</v>
      </c>
      <c r="D179" s="15"/>
      <c r="E179" s="9" t="s">
        <v>233</v>
      </c>
      <c r="F179" s="9" t="n">
        <v>3</v>
      </c>
      <c r="G179" s="9" t="s">
        <v>170</v>
      </c>
      <c r="H179" s="14" t="n">
        <f aca="false">IFERROR(F179*VLOOKUP(E179,Insumos!$A:$G,7,FALSE()),0)</f>
        <v>2.22</v>
      </c>
      <c r="I179" s="17" t="s">
        <v>564</v>
      </c>
    </row>
    <row r="180" customFormat="false" ht="15" hidden="false" customHeight="false" outlineLevel="0" collapsed="false">
      <c r="A180" s="9" t="n">
        <v>30</v>
      </c>
      <c r="B180" s="9" t="s">
        <v>580</v>
      </c>
      <c r="C180" s="9" t="s">
        <v>581</v>
      </c>
      <c r="D180" s="15"/>
      <c r="E180" s="9" t="s">
        <v>126</v>
      </c>
      <c r="F180" s="9" t="n">
        <v>120</v>
      </c>
      <c r="G180" s="9" t="s">
        <v>61</v>
      </c>
      <c r="H180" s="14" t="n">
        <f aca="false">IFERROR(F180*VLOOKUP(E180,Insumos!$A:$G,7,FALSE()),0)</f>
        <v>6.6</v>
      </c>
      <c r="I180" s="16"/>
    </row>
    <row r="181" customFormat="false" ht="15" hidden="false" customHeight="false" outlineLevel="0" collapsed="false">
      <c r="A181" s="9" t="n">
        <v>30</v>
      </c>
      <c r="B181" s="9" t="s">
        <v>580</v>
      </c>
      <c r="C181" s="9" t="s">
        <v>582</v>
      </c>
      <c r="D181" s="15"/>
      <c r="E181" s="9" t="s">
        <v>115</v>
      </c>
      <c r="F181" s="9" t="n">
        <v>150</v>
      </c>
      <c r="G181" s="9" t="s">
        <v>61</v>
      </c>
      <c r="H181" s="14" t="n">
        <f aca="false">IFERROR(F181*VLOOKUP(E181,Insumos!$A:$G,7,FALSE()),0)</f>
        <v>10.9859154929577</v>
      </c>
      <c r="I181" s="16"/>
    </row>
    <row r="182" customFormat="false" ht="15" hidden="false" customHeight="false" outlineLevel="0" collapsed="false">
      <c r="A182" s="9" t="n">
        <v>30</v>
      </c>
      <c r="B182" s="9" t="s">
        <v>580</v>
      </c>
      <c r="C182" s="9" t="s">
        <v>583</v>
      </c>
      <c r="D182" s="15"/>
      <c r="E182" s="9" t="s">
        <v>145</v>
      </c>
      <c r="F182" s="9" t="n">
        <v>25</v>
      </c>
      <c r="G182" s="9" t="s">
        <v>61</v>
      </c>
      <c r="H182" s="14" t="n">
        <f aca="false">IFERROR(F182*VLOOKUP(E182,Insumos!$A:$G,7,FALSE()),0)</f>
        <v>2.375</v>
      </c>
      <c r="I182" s="16"/>
    </row>
    <row r="183" customFormat="false" ht="15" hidden="false" customHeight="false" outlineLevel="0" collapsed="false">
      <c r="A183" s="9" t="n">
        <v>30</v>
      </c>
      <c r="B183" s="9" t="s">
        <v>580</v>
      </c>
      <c r="C183" s="9" t="s">
        <v>584</v>
      </c>
      <c r="D183" s="15"/>
      <c r="E183" s="9" t="s">
        <v>215</v>
      </c>
      <c r="F183" s="9" t="n">
        <v>2</v>
      </c>
      <c r="G183" s="9" t="s">
        <v>170</v>
      </c>
      <c r="H183" s="14" t="n">
        <f aca="false">IFERROR(F183*VLOOKUP(E183,Insumos!$A:$G,7,FALSE()),0)</f>
        <v>0.064</v>
      </c>
      <c r="I183" s="16"/>
    </row>
    <row r="184" customFormat="false" ht="15" hidden="false" customHeight="false" outlineLevel="0" collapsed="false">
      <c r="A184" s="9" t="n">
        <v>30</v>
      </c>
      <c r="B184" s="9" t="s">
        <v>580</v>
      </c>
      <c r="C184" s="9" t="s">
        <v>585</v>
      </c>
      <c r="D184" s="15"/>
      <c r="E184" s="9" t="s">
        <v>293</v>
      </c>
      <c r="F184" s="9" t="n">
        <v>60</v>
      </c>
      <c r="G184" s="9" t="s">
        <v>170</v>
      </c>
      <c r="H184" s="14" t="n">
        <f aca="false">IFERROR(F184*VLOOKUP(E184,Insumos!$A:$G,7,FALSE()),0)</f>
        <v>8.7</v>
      </c>
      <c r="I184" s="16"/>
    </row>
    <row r="185" customFormat="false" ht="15" hidden="false" customHeight="false" outlineLevel="0" collapsed="false">
      <c r="A185" s="9" t="n">
        <v>30</v>
      </c>
      <c r="B185" s="9" t="s">
        <v>580</v>
      </c>
      <c r="C185" s="9" t="s">
        <v>586</v>
      </c>
      <c r="D185" s="15"/>
      <c r="E185" s="9" t="s">
        <v>221</v>
      </c>
      <c r="F185" s="9" t="n">
        <v>2</v>
      </c>
      <c r="G185" s="9" t="s">
        <v>170</v>
      </c>
      <c r="H185" s="14" t="n">
        <f aca="false">IFERROR(F185*VLOOKUP(E185,Insumos!$A:$G,7,FALSE()),0)</f>
        <v>0.624</v>
      </c>
      <c r="I185" s="16"/>
    </row>
    <row r="186" customFormat="false" ht="15" hidden="false" customHeight="false" outlineLevel="0" collapsed="false">
      <c r="A186" s="9" t="n">
        <v>31</v>
      </c>
      <c r="B186" s="9" t="s">
        <v>587</v>
      </c>
      <c r="C186" s="9" t="s">
        <v>588</v>
      </c>
      <c r="D186" s="15"/>
      <c r="E186" s="9" t="s">
        <v>122</v>
      </c>
      <c r="F186" s="9" t="n">
        <v>75</v>
      </c>
      <c r="G186" s="9" t="s">
        <v>61</v>
      </c>
      <c r="H186" s="14" t="n">
        <f aca="false">IFERROR(F186*VLOOKUP(E186,Insumos!$A:$G,7,FALSE()),0)</f>
        <v>5.625</v>
      </c>
      <c r="I186" s="16"/>
    </row>
    <row r="187" customFormat="false" ht="15" hidden="false" customHeight="false" outlineLevel="0" collapsed="false">
      <c r="A187" s="9" t="n">
        <v>31</v>
      </c>
      <c r="B187" s="9" t="s">
        <v>587</v>
      </c>
      <c r="C187" s="9" t="s">
        <v>589</v>
      </c>
      <c r="D187" s="15"/>
      <c r="E187" s="9" t="s">
        <v>58</v>
      </c>
      <c r="F187" s="9" t="n">
        <v>45</v>
      </c>
      <c r="G187" s="9" t="s">
        <v>61</v>
      </c>
      <c r="H187" s="14" t="n">
        <f aca="false">IFERROR(F187*VLOOKUP(E187,Insumos!$A:$G,7,FALSE()),0)</f>
        <v>25.2</v>
      </c>
      <c r="I187" s="16"/>
    </row>
    <row r="188" customFormat="false" ht="15" hidden="false" customHeight="false" outlineLevel="0" collapsed="false">
      <c r="A188" s="9" t="n">
        <v>31</v>
      </c>
      <c r="B188" s="9" t="s">
        <v>587</v>
      </c>
      <c r="C188" s="9" t="s">
        <v>590</v>
      </c>
      <c r="D188" s="15"/>
      <c r="E188" s="9" t="s">
        <v>202</v>
      </c>
      <c r="F188" s="9" t="n">
        <v>25</v>
      </c>
      <c r="G188" s="9" t="s">
        <v>61</v>
      </c>
      <c r="H188" s="14" t="n">
        <f aca="false">IFERROR(F188*VLOOKUP(E188,Insumos!$A:$G,7,FALSE()),0)</f>
        <v>4.5</v>
      </c>
      <c r="I188" s="16"/>
    </row>
    <row r="189" customFormat="false" ht="15" hidden="false" customHeight="false" outlineLevel="0" collapsed="false">
      <c r="A189" s="9" t="n">
        <v>31</v>
      </c>
      <c r="B189" s="9" t="s">
        <v>587</v>
      </c>
      <c r="C189" s="9" t="s">
        <v>591</v>
      </c>
      <c r="D189" s="15"/>
      <c r="E189" s="9" t="s">
        <v>145</v>
      </c>
      <c r="F189" s="9" t="n">
        <v>20</v>
      </c>
      <c r="G189" s="9" t="s">
        <v>61</v>
      </c>
      <c r="H189" s="14" t="n">
        <f aca="false">IFERROR(F189*VLOOKUP(E189,Insumos!$A:$G,7,FALSE()),0)</f>
        <v>1.9</v>
      </c>
      <c r="I189" s="16"/>
    </row>
    <row r="190" customFormat="false" ht="15" hidden="false" customHeight="false" outlineLevel="0" collapsed="false">
      <c r="A190" s="9" t="n">
        <v>31</v>
      </c>
      <c r="B190" s="9" t="s">
        <v>587</v>
      </c>
      <c r="C190" s="9" t="s">
        <v>592</v>
      </c>
      <c r="D190" s="15"/>
      <c r="E190" s="9" t="s">
        <v>295</v>
      </c>
      <c r="F190" s="9" t="n">
        <v>10</v>
      </c>
      <c r="G190" s="9" t="s">
        <v>61</v>
      </c>
      <c r="H190" s="14" t="n">
        <f aca="false">IFERROR(F190*VLOOKUP(E190,Insumos!$A:$G,7,FALSE()),0)</f>
        <v>0.62</v>
      </c>
      <c r="I190" s="16"/>
    </row>
    <row r="191" customFormat="false" ht="15" hidden="false" customHeight="false" outlineLevel="0" collapsed="false">
      <c r="A191" s="9" t="n">
        <v>31</v>
      </c>
      <c r="B191" s="9" t="s">
        <v>587</v>
      </c>
      <c r="C191" s="9" t="s">
        <v>593</v>
      </c>
      <c r="D191" s="15"/>
      <c r="E191" s="9" t="s">
        <v>109</v>
      </c>
      <c r="F191" s="9" t="n">
        <v>0.1</v>
      </c>
      <c r="G191" s="9" t="s">
        <v>61</v>
      </c>
      <c r="H191" s="14" t="n">
        <f aca="false">IFERROR(F191*VLOOKUP(E191,Insumos!$A:$G,7,FALSE()),0)</f>
        <v>0.24</v>
      </c>
      <c r="I191" s="17" t="s">
        <v>437</v>
      </c>
    </row>
    <row r="192" customFormat="false" ht="15" hidden="false" customHeight="false" outlineLevel="0" collapsed="false">
      <c r="A192" s="9" t="n">
        <v>31</v>
      </c>
      <c r="B192" s="9" t="s">
        <v>587</v>
      </c>
      <c r="C192" s="9" t="s">
        <v>594</v>
      </c>
      <c r="D192" s="15"/>
      <c r="E192" s="9" t="s">
        <v>183</v>
      </c>
      <c r="F192" s="9" t="n">
        <v>5</v>
      </c>
      <c r="G192" s="9" t="s">
        <v>170</v>
      </c>
      <c r="H192" s="14" t="n">
        <f aca="false">IFERROR(F192*VLOOKUP(E192,Insumos!$A:$G,7,FALSE()),0)</f>
        <v>0.275</v>
      </c>
      <c r="I192" s="17" t="s">
        <v>497</v>
      </c>
    </row>
    <row r="193" customFormat="false" ht="15" hidden="false" customHeight="false" outlineLevel="0" collapsed="false">
      <c r="A193" s="9" t="n">
        <v>32</v>
      </c>
      <c r="B193" s="9" t="s">
        <v>595</v>
      </c>
      <c r="C193" s="9" t="s">
        <v>596</v>
      </c>
      <c r="D193" s="15"/>
      <c r="E193" s="9" t="s">
        <v>66</v>
      </c>
      <c r="F193" s="9" t="n">
        <v>50</v>
      </c>
      <c r="G193" s="9" t="s">
        <v>61</v>
      </c>
      <c r="H193" s="14" t="n">
        <f aca="false">IFERROR(F193*VLOOKUP(E193,Insumos!$A:$G,7,FALSE()),0)</f>
        <v>41.3333333333333</v>
      </c>
      <c r="I193" s="16"/>
    </row>
    <row r="194" customFormat="false" ht="15" hidden="false" customHeight="false" outlineLevel="0" collapsed="false">
      <c r="A194" s="9" t="n">
        <v>32</v>
      </c>
      <c r="B194" s="9" t="s">
        <v>595</v>
      </c>
      <c r="C194" s="9" t="s">
        <v>597</v>
      </c>
      <c r="D194" s="15"/>
      <c r="E194" s="9" t="s">
        <v>124</v>
      </c>
      <c r="F194" s="9" t="n">
        <v>100</v>
      </c>
      <c r="G194" s="9" t="s">
        <v>61</v>
      </c>
      <c r="H194" s="14" t="n">
        <f aca="false">IFERROR(F194*VLOOKUP(E194,Insumos!$A:$G,7,FALSE()),0)</f>
        <v>6</v>
      </c>
      <c r="I194" s="16"/>
    </row>
    <row r="195" customFormat="false" ht="15" hidden="false" customHeight="false" outlineLevel="0" collapsed="false">
      <c r="A195" s="9" t="n">
        <v>32</v>
      </c>
      <c r="B195" s="9" t="s">
        <v>595</v>
      </c>
      <c r="C195" s="9" t="s">
        <v>470</v>
      </c>
      <c r="D195" s="15"/>
      <c r="E195" s="9" t="s">
        <v>148</v>
      </c>
      <c r="F195" s="9" t="n">
        <v>20</v>
      </c>
      <c r="G195" s="9" t="s">
        <v>61</v>
      </c>
      <c r="H195" s="14" t="n">
        <f aca="false">IFERROR(F195*VLOOKUP(E195,Insumos!$A:$G,7,FALSE()),0)</f>
        <v>2.2</v>
      </c>
      <c r="I195" s="16"/>
    </row>
    <row r="196" customFormat="false" ht="15" hidden="false" customHeight="false" outlineLevel="0" collapsed="false">
      <c r="A196" s="9" t="n">
        <v>32</v>
      </c>
      <c r="B196" s="9" t="s">
        <v>595</v>
      </c>
      <c r="C196" s="9" t="s">
        <v>598</v>
      </c>
      <c r="D196" s="15"/>
      <c r="E196" s="9" t="s">
        <v>192</v>
      </c>
      <c r="F196" s="9" t="n">
        <v>10</v>
      </c>
      <c r="G196" s="9" t="s">
        <v>61</v>
      </c>
      <c r="H196" s="14" t="n">
        <f aca="false">IFERROR(F196*VLOOKUP(E196,Insumos!$A:$G,7,FALSE()),0)</f>
        <v>0.62</v>
      </c>
      <c r="I196" s="16"/>
    </row>
    <row r="197" customFormat="false" ht="15" hidden="false" customHeight="false" outlineLevel="0" collapsed="false">
      <c r="A197" s="9" t="n">
        <v>32</v>
      </c>
      <c r="B197" s="9" t="s">
        <v>595</v>
      </c>
      <c r="C197" s="9" t="s">
        <v>599</v>
      </c>
      <c r="D197" s="15"/>
      <c r="E197" s="9" t="s">
        <v>221</v>
      </c>
      <c r="F197" s="9" t="n">
        <v>2</v>
      </c>
      <c r="G197" s="9" t="s">
        <v>170</v>
      </c>
      <c r="H197" s="14" t="n">
        <f aca="false">IFERROR(F197*VLOOKUP(E197,Insumos!$A:$G,7,FALSE()),0)</f>
        <v>0.624</v>
      </c>
      <c r="I197" s="16"/>
    </row>
    <row r="198" customFormat="false" ht="15" hidden="false" customHeight="false" outlineLevel="0" collapsed="false">
      <c r="A198" s="9" t="n">
        <v>32</v>
      </c>
      <c r="B198" s="9" t="s">
        <v>595</v>
      </c>
      <c r="C198" s="9" t="s">
        <v>600</v>
      </c>
      <c r="D198" s="15"/>
      <c r="E198" s="9" t="s">
        <v>299</v>
      </c>
      <c r="F198" s="9" t="n">
        <v>25</v>
      </c>
      <c r="G198" s="9" t="s">
        <v>170</v>
      </c>
      <c r="H198" s="14" t="n">
        <f aca="false">IFERROR(F198*VLOOKUP(E198,Insumos!$A:$G,7,FALSE()),0)</f>
        <v>21.25</v>
      </c>
      <c r="I198" s="17" t="s">
        <v>430</v>
      </c>
    </row>
    <row r="199" customFormat="false" ht="15" hidden="false" customHeight="false" outlineLevel="0" collapsed="false">
      <c r="A199" s="9" t="n">
        <v>33</v>
      </c>
      <c r="B199" s="9" t="s">
        <v>601</v>
      </c>
      <c r="C199" s="9" t="s">
        <v>602</v>
      </c>
      <c r="D199" s="15"/>
      <c r="E199" s="9" t="s">
        <v>62</v>
      </c>
      <c r="F199" s="9" t="n">
        <v>45</v>
      </c>
      <c r="G199" s="9" t="s">
        <v>61</v>
      </c>
      <c r="H199" s="14" t="n">
        <f aca="false">IFERROR(F199*VLOOKUP(E199,Insumos!$A:$G,7,FALSE()),0)</f>
        <v>31.2</v>
      </c>
      <c r="I199" s="16"/>
    </row>
    <row r="200" customFormat="false" ht="15" hidden="false" customHeight="false" outlineLevel="0" collapsed="false">
      <c r="A200" s="9" t="n">
        <v>33</v>
      </c>
      <c r="B200" s="9" t="s">
        <v>601</v>
      </c>
      <c r="C200" s="9" t="s">
        <v>603</v>
      </c>
      <c r="D200" s="15"/>
      <c r="E200" s="9" t="s">
        <v>126</v>
      </c>
      <c r="F200" s="9" t="n">
        <v>90</v>
      </c>
      <c r="G200" s="9" t="s">
        <v>61</v>
      </c>
      <c r="H200" s="14" t="n">
        <f aca="false">IFERROR(F200*VLOOKUP(E200,Insumos!$A:$G,7,FALSE()),0)</f>
        <v>4.95</v>
      </c>
      <c r="I200" s="16"/>
    </row>
    <row r="201" customFormat="false" ht="15" hidden="false" customHeight="false" outlineLevel="0" collapsed="false">
      <c r="A201" s="9" t="n">
        <v>33</v>
      </c>
      <c r="B201" s="9" t="s">
        <v>601</v>
      </c>
      <c r="C201" s="9" t="s">
        <v>462</v>
      </c>
      <c r="D201" s="15"/>
      <c r="E201" s="9" t="s">
        <v>145</v>
      </c>
      <c r="F201" s="9" t="n">
        <v>15</v>
      </c>
      <c r="G201" s="9" t="s">
        <v>61</v>
      </c>
      <c r="H201" s="14" t="n">
        <f aca="false">IFERROR(F201*VLOOKUP(E201,Insumos!$A:$G,7,FALSE()),0)</f>
        <v>1.425</v>
      </c>
      <c r="I201" s="16"/>
    </row>
    <row r="202" customFormat="false" ht="15" hidden="false" customHeight="false" outlineLevel="0" collapsed="false">
      <c r="A202" s="9" t="n">
        <v>33</v>
      </c>
      <c r="B202" s="9" t="s">
        <v>601</v>
      </c>
      <c r="C202" s="9" t="s">
        <v>604</v>
      </c>
      <c r="D202" s="15"/>
      <c r="E202" s="9" t="s">
        <v>215</v>
      </c>
      <c r="F202" s="9" t="n">
        <v>1</v>
      </c>
      <c r="G202" s="9" t="s">
        <v>170</v>
      </c>
      <c r="H202" s="14" t="n">
        <f aca="false">IFERROR(F202*VLOOKUP(E202,Insumos!$A:$G,7,FALSE()),0)</f>
        <v>0.032</v>
      </c>
      <c r="I202" s="16"/>
    </row>
    <row r="203" customFormat="false" ht="15" hidden="false" customHeight="false" outlineLevel="0" collapsed="false">
      <c r="A203" s="9" t="n">
        <v>33</v>
      </c>
      <c r="B203" s="9" t="s">
        <v>601</v>
      </c>
      <c r="C203" s="9" t="s">
        <v>605</v>
      </c>
      <c r="D203" s="15"/>
      <c r="E203" s="9" t="s">
        <v>293</v>
      </c>
      <c r="F203" s="9" t="n">
        <v>50</v>
      </c>
      <c r="G203" s="9" t="s">
        <v>170</v>
      </c>
      <c r="H203" s="14" t="n">
        <f aca="false">IFERROR(F203*VLOOKUP(E203,Insumos!$A:$G,7,FALSE()),0)</f>
        <v>7.25</v>
      </c>
      <c r="I203" s="16"/>
    </row>
    <row r="204" customFormat="false" ht="15" hidden="false" customHeight="false" outlineLevel="0" collapsed="false">
      <c r="A204" s="9" t="n">
        <v>33</v>
      </c>
      <c r="B204" s="9" t="s">
        <v>601</v>
      </c>
      <c r="C204" s="9" t="s">
        <v>606</v>
      </c>
      <c r="D204" s="15"/>
      <c r="E204" s="9" t="s">
        <v>221</v>
      </c>
      <c r="F204" s="9" t="n">
        <v>2</v>
      </c>
      <c r="G204" s="9" t="s">
        <v>170</v>
      </c>
      <c r="H204" s="14" t="n">
        <f aca="false">IFERROR(F204*VLOOKUP(E204,Insumos!$A:$G,7,FALSE()),0)</f>
        <v>0.624</v>
      </c>
      <c r="I204" s="16"/>
    </row>
    <row r="205" customFormat="false" ht="15" hidden="false" customHeight="false" outlineLevel="0" collapsed="false">
      <c r="A205" s="9" t="n">
        <v>33</v>
      </c>
      <c r="B205" s="9" t="s">
        <v>601</v>
      </c>
      <c r="C205" s="9" t="s">
        <v>607</v>
      </c>
      <c r="D205" s="15"/>
      <c r="E205" s="9" t="s">
        <v>279</v>
      </c>
      <c r="F205" s="9" t="n">
        <v>35</v>
      </c>
      <c r="G205" s="9" t="s">
        <v>170</v>
      </c>
      <c r="H205" s="14" t="n">
        <f aca="false">IFERROR(F205*VLOOKUP(E205,Insumos!$A:$G,7,FALSE()),0)</f>
        <v>1.33</v>
      </c>
      <c r="I205" s="17" t="s">
        <v>562</v>
      </c>
    </row>
    <row r="206" customFormat="false" ht="15" hidden="false" customHeight="false" outlineLevel="0" collapsed="false">
      <c r="A206" s="9" t="n">
        <v>34</v>
      </c>
      <c r="B206" s="9" t="s">
        <v>608</v>
      </c>
      <c r="C206" s="9" t="s">
        <v>609</v>
      </c>
      <c r="D206" s="15"/>
      <c r="E206" s="9" t="s">
        <v>122</v>
      </c>
      <c r="F206" s="9" t="n">
        <v>100</v>
      </c>
      <c r="G206" s="9" t="s">
        <v>61</v>
      </c>
      <c r="H206" s="14" t="n">
        <f aca="false">IFERROR(F206*VLOOKUP(E206,Insumos!$A:$G,7,FALSE()),0)</f>
        <v>7.5</v>
      </c>
      <c r="I206" s="16"/>
    </row>
    <row r="207" customFormat="false" ht="15" hidden="false" customHeight="false" outlineLevel="0" collapsed="false">
      <c r="A207" s="9" t="n">
        <v>34</v>
      </c>
      <c r="B207" s="9" t="s">
        <v>608</v>
      </c>
      <c r="C207" s="9" t="s">
        <v>610</v>
      </c>
      <c r="D207" s="15"/>
      <c r="E207" s="9" t="s">
        <v>66</v>
      </c>
      <c r="F207" s="9" t="n">
        <v>35</v>
      </c>
      <c r="G207" s="9" t="s">
        <v>61</v>
      </c>
      <c r="H207" s="14" t="n">
        <f aca="false">IFERROR(F207*VLOOKUP(E207,Insumos!$A:$G,7,FALSE()),0)</f>
        <v>28.9333333333333</v>
      </c>
      <c r="I207" s="16"/>
    </row>
    <row r="208" customFormat="false" ht="15" hidden="false" customHeight="false" outlineLevel="0" collapsed="false">
      <c r="A208" s="9" t="n">
        <v>34</v>
      </c>
      <c r="B208" s="9" t="s">
        <v>608</v>
      </c>
      <c r="C208" s="9" t="s">
        <v>611</v>
      </c>
      <c r="D208" s="15"/>
      <c r="E208" s="9" t="s">
        <v>160</v>
      </c>
      <c r="F208" s="9" t="n">
        <v>30</v>
      </c>
      <c r="G208" s="9" t="s">
        <v>61</v>
      </c>
      <c r="H208" s="14" t="n">
        <f aca="false">IFERROR(F208*VLOOKUP(E208,Insumos!$A:$G,7,FALSE()),0)</f>
        <v>1.44</v>
      </c>
      <c r="I208" s="16"/>
    </row>
    <row r="209" customFormat="false" ht="15" hidden="false" customHeight="false" outlineLevel="0" collapsed="false">
      <c r="A209" s="9" t="n">
        <v>34</v>
      </c>
      <c r="B209" s="9" t="s">
        <v>608</v>
      </c>
      <c r="C209" s="9" t="s">
        <v>612</v>
      </c>
      <c r="D209" s="15"/>
      <c r="E209" s="9" t="s">
        <v>164</v>
      </c>
      <c r="F209" s="9" t="n">
        <v>20</v>
      </c>
      <c r="G209" s="9" t="s">
        <v>61</v>
      </c>
      <c r="H209" s="14" t="n">
        <f aca="false">IFERROR(F209*VLOOKUP(E209,Insumos!$A:$G,7,FALSE()),0)</f>
        <v>1.36</v>
      </c>
      <c r="I209" s="16"/>
    </row>
    <row r="210" customFormat="false" ht="15" hidden="false" customHeight="false" outlineLevel="0" collapsed="false">
      <c r="A210" s="9" t="n">
        <v>34</v>
      </c>
      <c r="B210" s="9" t="s">
        <v>608</v>
      </c>
      <c r="C210" s="9" t="s">
        <v>494</v>
      </c>
      <c r="D210" s="15"/>
      <c r="E210" s="9" t="s">
        <v>185</v>
      </c>
      <c r="F210" s="9" t="n">
        <v>15</v>
      </c>
      <c r="G210" s="9" t="s">
        <v>61</v>
      </c>
      <c r="H210" s="14" t="n">
        <f aca="false">IFERROR(F210*VLOOKUP(E210,Insumos!$A:$G,7,FALSE()),0)</f>
        <v>0.63</v>
      </c>
      <c r="I210" s="16"/>
    </row>
    <row r="211" customFormat="false" ht="15" hidden="false" customHeight="false" outlineLevel="0" collapsed="false">
      <c r="A211" s="9" t="n">
        <v>34</v>
      </c>
      <c r="B211" s="9" t="s">
        <v>608</v>
      </c>
      <c r="C211" s="9" t="s">
        <v>613</v>
      </c>
      <c r="D211" s="15"/>
      <c r="E211" s="9" t="s">
        <v>212</v>
      </c>
      <c r="F211" s="9" t="n">
        <v>1</v>
      </c>
      <c r="G211" s="9" t="s">
        <v>170</v>
      </c>
      <c r="H211" s="14" t="n">
        <f aca="false">IFERROR(F211*VLOOKUP(E211,Insumos!$A:$G,7,FALSE()),0)</f>
        <v>0.78</v>
      </c>
      <c r="I211" s="16"/>
    </row>
    <row r="212" customFormat="false" ht="15" hidden="false" customHeight="false" outlineLevel="0" collapsed="false">
      <c r="A212" s="9" t="n">
        <v>34</v>
      </c>
      <c r="B212" s="9" t="s">
        <v>608</v>
      </c>
      <c r="C212" s="9" t="s">
        <v>614</v>
      </c>
      <c r="D212" s="15"/>
      <c r="E212" s="9" t="s">
        <v>281</v>
      </c>
      <c r="F212" s="9" t="n">
        <v>30</v>
      </c>
      <c r="G212" s="9" t="s">
        <v>170</v>
      </c>
      <c r="H212" s="14" t="n">
        <f aca="false">IFERROR(F212*VLOOKUP(E212,Insumos!$A:$G,7,FALSE()),0)</f>
        <v>0.84</v>
      </c>
      <c r="I212" s="17" t="s">
        <v>615</v>
      </c>
    </row>
    <row r="213" customFormat="false" ht="15" hidden="false" customHeight="false" outlineLevel="0" collapsed="false">
      <c r="A213" s="9" t="n">
        <v>35</v>
      </c>
      <c r="B213" s="9" t="s">
        <v>616</v>
      </c>
      <c r="C213" s="9" t="s">
        <v>617</v>
      </c>
      <c r="D213" s="15"/>
      <c r="E213" s="9" t="s">
        <v>81</v>
      </c>
      <c r="F213" s="9" t="n">
        <v>50</v>
      </c>
      <c r="G213" s="9" t="s">
        <v>61</v>
      </c>
      <c r="H213" s="14" t="n">
        <f aca="false">IFERROR(F213*VLOOKUP(E213,Insumos!$A:$G,7,FALSE()),0)</f>
        <v>25.3333333333333</v>
      </c>
      <c r="I213" s="16"/>
    </row>
    <row r="214" customFormat="false" ht="15" hidden="false" customHeight="false" outlineLevel="0" collapsed="false">
      <c r="A214" s="9" t="n">
        <v>35</v>
      </c>
      <c r="B214" s="9" t="s">
        <v>616</v>
      </c>
      <c r="C214" s="9" t="s">
        <v>618</v>
      </c>
      <c r="D214" s="15"/>
      <c r="E214" s="9" t="s">
        <v>148</v>
      </c>
      <c r="F214" s="9" t="n">
        <v>20</v>
      </c>
      <c r="G214" s="9" t="s">
        <v>61</v>
      </c>
      <c r="H214" s="14" t="n">
        <f aca="false">IFERROR(F214*VLOOKUP(E214,Insumos!$A:$G,7,FALSE()),0)</f>
        <v>2.2</v>
      </c>
      <c r="I214" s="16"/>
    </row>
    <row r="215" customFormat="false" ht="15" hidden="false" customHeight="false" outlineLevel="0" collapsed="false">
      <c r="A215" s="9" t="n">
        <v>35</v>
      </c>
      <c r="B215" s="9" t="s">
        <v>616</v>
      </c>
      <c r="C215" s="9" t="s">
        <v>619</v>
      </c>
      <c r="D215" s="15"/>
      <c r="E215" s="9" t="s">
        <v>192</v>
      </c>
      <c r="F215" s="9" t="n">
        <v>15</v>
      </c>
      <c r="G215" s="9" t="s">
        <v>61</v>
      </c>
      <c r="H215" s="14" t="n">
        <f aca="false">IFERROR(F215*VLOOKUP(E215,Insumos!$A:$G,7,FALSE()),0)</f>
        <v>0.93</v>
      </c>
      <c r="I215" s="16"/>
    </row>
    <row r="216" customFormat="false" ht="15" hidden="false" customHeight="false" outlineLevel="0" collapsed="false">
      <c r="A216" s="9" t="n">
        <v>35</v>
      </c>
      <c r="B216" s="9" t="s">
        <v>616</v>
      </c>
      <c r="C216" s="9" t="s">
        <v>620</v>
      </c>
      <c r="D216" s="15"/>
      <c r="E216" s="9" t="s">
        <v>124</v>
      </c>
      <c r="F216" s="9" t="n">
        <v>80</v>
      </c>
      <c r="G216" s="9" t="s">
        <v>61</v>
      </c>
      <c r="H216" s="14" t="n">
        <f aca="false">IFERROR(F216*VLOOKUP(E216,Insumos!$A:$G,7,FALSE()),0)</f>
        <v>4.8</v>
      </c>
      <c r="I216" s="16"/>
    </row>
    <row r="217" customFormat="false" ht="15" hidden="false" customHeight="false" outlineLevel="0" collapsed="false">
      <c r="A217" s="9" t="n">
        <v>35</v>
      </c>
      <c r="B217" s="9" t="s">
        <v>616</v>
      </c>
      <c r="C217" s="9" t="s">
        <v>621</v>
      </c>
      <c r="D217" s="15"/>
      <c r="E217" s="9" t="s">
        <v>104</v>
      </c>
      <c r="F217" s="9" t="n">
        <v>1.5</v>
      </c>
      <c r="G217" s="9" t="s">
        <v>61</v>
      </c>
      <c r="H217" s="14" t="n">
        <f aca="false">IFERROR(F217*VLOOKUP(E217,Insumos!$A:$G,7,FALSE()),0)</f>
        <v>2.4</v>
      </c>
      <c r="I217" s="17" t="s">
        <v>450</v>
      </c>
    </row>
    <row r="218" customFormat="false" ht="15" hidden="false" customHeight="false" outlineLevel="0" collapsed="false">
      <c r="A218" s="9" t="n">
        <v>35</v>
      </c>
      <c r="B218" s="9" t="s">
        <v>616</v>
      </c>
      <c r="C218" s="9" t="s">
        <v>622</v>
      </c>
      <c r="D218" s="15"/>
      <c r="E218" s="9" t="s">
        <v>262</v>
      </c>
      <c r="F218" s="9" t="n">
        <v>4</v>
      </c>
      <c r="G218" s="9" t="s">
        <v>170</v>
      </c>
      <c r="H218" s="14" t="n">
        <f aca="false">IFERROR(F218*VLOOKUP(E218,Insumos!$A:$G,7,FALSE()),0)</f>
        <v>0.88</v>
      </c>
      <c r="I218" s="17" t="s">
        <v>488</v>
      </c>
    </row>
    <row r="219" customFormat="false" ht="15" hidden="false" customHeight="false" outlineLevel="0" collapsed="false">
      <c r="A219" s="9" t="n">
        <v>36</v>
      </c>
      <c r="B219" s="9" t="s">
        <v>623</v>
      </c>
      <c r="C219" s="9" t="s">
        <v>624</v>
      </c>
      <c r="D219" s="15"/>
      <c r="E219" s="9" t="s">
        <v>115</v>
      </c>
      <c r="F219" s="9" t="n">
        <v>355</v>
      </c>
      <c r="G219" s="9" t="s">
        <v>61</v>
      </c>
      <c r="H219" s="14" t="n">
        <f aca="false">IFERROR(F219*VLOOKUP(E219,Insumos!$A:$G,7,FALSE()),0)</f>
        <v>26</v>
      </c>
      <c r="I219" s="16"/>
    </row>
    <row r="220" customFormat="false" ht="15" hidden="false" customHeight="false" outlineLevel="0" collapsed="false">
      <c r="A220" s="9" t="n">
        <v>36</v>
      </c>
      <c r="B220" s="9" t="s">
        <v>623</v>
      </c>
      <c r="C220" s="9" t="s">
        <v>625</v>
      </c>
      <c r="D220" s="15"/>
      <c r="E220" s="9" t="s">
        <v>145</v>
      </c>
      <c r="F220" s="9" t="n">
        <v>30</v>
      </c>
      <c r="G220" s="9" t="s">
        <v>61</v>
      </c>
      <c r="H220" s="14" t="n">
        <f aca="false">IFERROR(F220*VLOOKUP(E220,Insumos!$A:$G,7,FALSE()),0)</f>
        <v>2.85</v>
      </c>
      <c r="I220" s="16"/>
    </row>
    <row r="221" customFormat="false" ht="15" hidden="false" customHeight="false" outlineLevel="0" collapsed="false">
      <c r="A221" s="9" t="n">
        <v>36</v>
      </c>
      <c r="B221" s="9" t="s">
        <v>623</v>
      </c>
      <c r="C221" s="9" t="s">
        <v>626</v>
      </c>
      <c r="D221" s="15"/>
      <c r="E221" s="9" t="s">
        <v>215</v>
      </c>
      <c r="F221" s="9" t="n">
        <v>2</v>
      </c>
      <c r="G221" s="9" t="s">
        <v>170</v>
      </c>
      <c r="H221" s="14" t="n">
        <f aca="false">IFERROR(F221*VLOOKUP(E221,Insumos!$A:$G,7,FALSE()),0)</f>
        <v>0.064</v>
      </c>
      <c r="I221" s="16"/>
    </row>
    <row r="222" customFormat="false" ht="15" hidden="false" customHeight="false" outlineLevel="0" collapsed="false">
      <c r="A222" s="9" t="n">
        <v>36</v>
      </c>
      <c r="B222" s="9" t="s">
        <v>623</v>
      </c>
      <c r="C222" s="9" t="s">
        <v>627</v>
      </c>
      <c r="D222" s="15"/>
      <c r="E222" s="9" t="s">
        <v>306</v>
      </c>
      <c r="F222" s="9" t="n">
        <v>12</v>
      </c>
      <c r="G222" s="9" t="s">
        <v>170</v>
      </c>
      <c r="H222" s="14" t="n">
        <f aca="false">IFERROR(F222*VLOOKUP(E222,Insumos!$A:$G,7,FALSE()),0)</f>
        <v>0.504</v>
      </c>
      <c r="I222" s="17" t="s">
        <v>397</v>
      </c>
    </row>
    <row r="223" customFormat="false" ht="15" hidden="false" customHeight="false" outlineLevel="0" collapsed="false">
      <c r="A223" s="9" t="n">
        <v>37</v>
      </c>
      <c r="B223" s="9" t="s">
        <v>628</v>
      </c>
      <c r="C223" s="9" t="s">
        <v>629</v>
      </c>
      <c r="D223" s="15"/>
      <c r="E223" s="9" t="s">
        <v>115</v>
      </c>
      <c r="F223" s="9" t="n">
        <v>250</v>
      </c>
      <c r="G223" s="9" t="s">
        <v>61</v>
      </c>
      <c r="H223" s="14" t="n">
        <f aca="false">IFERROR(F223*VLOOKUP(E223,Insumos!$A:$G,7,FALSE()),0)</f>
        <v>18.3098591549296</v>
      </c>
      <c r="I223" s="16"/>
    </row>
    <row r="224" customFormat="false" ht="15" hidden="false" customHeight="false" outlineLevel="0" collapsed="false">
      <c r="A224" s="9" t="n">
        <v>37</v>
      </c>
      <c r="B224" s="9" t="s">
        <v>628</v>
      </c>
      <c r="C224" s="9" t="s">
        <v>630</v>
      </c>
      <c r="D224" s="15"/>
      <c r="E224" s="9" t="s">
        <v>137</v>
      </c>
      <c r="F224" s="9" t="n">
        <v>120</v>
      </c>
      <c r="G224" s="9" t="s">
        <v>61</v>
      </c>
      <c r="H224" s="14" t="n">
        <f aca="false">IFERROR(F224*VLOOKUP(E224,Insumos!$A:$G,7,FALSE()),0)</f>
        <v>8.16</v>
      </c>
      <c r="I224" s="16"/>
    </row>
    <row r="225" customFormat="false" ht="15" hidden="false" customHeight="false" outlineLevel="0" collapsed="false">
      <c r="A225" s="9" t="n">
        <v>37</v>
      </c>
      <c r="B225" s="9" t="s">
        <v>628</v>
      </c>
      <c r="C225" s="9" t="s">
        <v>631</v>
      </c>
      <c r="D225" s="15"/>
      <c r="E225" s="9" t="s">
        <v>145</v>
      </c>
      <c r="F225" s="9" t="n">
        <v>30</v>
      </c>
      <c r="G225" s="9" t="s">
        <v>61</v>
      </c>
      <c r="H225" s="14" t="n">
        <f aca="false">IFERROR(F225*VLOOKUP(E225,Insumos!$A:$G,7,FALSE()),0)</f>
        <v>2.85</v>
      </c>
      <c r="I225" s="16"/>
    </row>
    <row r="226" customFormat="false" ht="15" hidden="false" customHeight="false" outlineLevel="0" collapsed="false">
      <c r="A226" s="9" t="n">
        <v>37</v>
      </c>
      <c r="B226" s="9" t="s">
        <v>628</v>
      </c>
      <c r="C226" s="9" t="s">
        <v>632</v>
      </c>
      <c r="D226" s="15"/>
      <c r="E226" s="9" t="s">
        <v>251</v>
      </c>
      <c r="F226" s="9" t="n">
        <v>8</v>
      </c>
      <c r="G226" s="9" t="s">
        <v>61</v>
      </c>
      <c r="H226" s="14" t="n">
        <f aca="false">IFERROR(F226*VLOOKUP(E226,Insumos!$A:$G,7,FALSE()),0)</f>
        <v>1.71034482758621</v>
      </c>
      <c r="I226" s="16"/>
    </row>
    <row r="227" customFormat="false" ht="15" hidden="false" customHeight="false" outlineLevel="0" collapsed="false">
      <c r="A227" s="9" t="n">
        <v>37</v>
      </c>
      <c r="B227" s="9" t="s">
        <v>628</v>
      </c>
      <c r="C227" s="9" t="s">
        <v>633</v>
      </c>
      <c r="D227" s="15"/>
      <c r="E227" s="9" t="s">
        <v>256</v>
      </c>
      <c r="F227" s="9" t="n">
        <v>5</v>
      </c>
      <c r="G227" s="9" t="s">
        <v>61</v>
      </c>
      <c r="H227" s="14" t="n">
        <f aca="false">IFERROR(F227*VLOOKUP(E227,Insumos!$A:$G,7,FALSE()),0)</f>
        <v>0.9</v>
      </c>
      <c r="I227" s="16"/>
    </row>
    <row r="228" customFormat="false" ht="15" hidden="false" customHeight="false" outlineLevel="0" collapsed="false">
      <c r="A228" s="9" t="n">
        <v>37</v>
      </c>
      <c r="B228" s="9" t="s">
        <v>628</v>
      </c>
      <c r="C228" s="9" t="s">
        <v>634</v>
      </c>
      <c r="D228" s="15"/>
      <c r="E228" s="9" t="s">
        <v>258</v>
      </c>
      <c r="F228" s="9" t="n">
        <v>4</v>
      </c>
      <c r="G228" s="9" t="s">
        <v>61</v>
      </c>
      <c r="H228" s="14" t="n">
        <f aca="false">IFERROR(F228*VLOOKUP(E228,Insumos!$A:$G,7,FALSE()),0)</f>
        <v>0.48</v>
      </c>
      <c r="I228" s="16"/>
    </row>
    <row r="229" customFormat="false" ht="15" hidden="false" customHeight="false" outlineLevel="0" collapsed="false">
      <c r="A229" s="9" t="n">
        <v>37</v>
      </c>
      <c r="B229" s="9" t="s">
        <v>628</v>
      </c>
      <c r="C229" s="9" t="s">
        <v>635</v>
      </c>
      <c r="D229" s="15"/>
      <c r="E229" s="9" t="s">
        <v>237</v>
      </c>
      <c r="F229" s="9" t="n">
        <v>1</v>
      </c>
      <c r="G229" s="9" t="s">
        <v>170</v>
      </c>
      <c r="H229" s="14" t="n">
        <f aca="false">IFERROR(F229*VLOOKUP(E229,Insumos!$A:$G,7,FALSE()),0)</f>
        <v>0.48</v>
      </c>
      <c r="I229" s="16"/>
    </row>
    <row r="230" customFormat="false" ht="15" hidden="false" customHeight="false" outlineLevel="0" collapsed="false">
      <c r="A230" s="9" t="n">
        <v>37</v>
      </c>
      <c r="B230" s="9" t="s">
        <v>628</v>
      </c>
      <c r="C230" s="9" t="s">
        <v>636</v>
      </c>
      <c r="D230" s="15"/>
      <c r="E230" s="9" t="s">
        <v>221</v>
      </c>
      <c r="F230" s="9" t="n">
        <v>2</v>
      </c>
      <c r="G230" s="9" t="s">
        <v>170</v>
      </c>
      <c r="H230" s="14" t="n">
        <f aca="false">IFERROR(F230*VLOOKUP(E230,Insumos!$A:$G,7,FALSE()),0)</f>
        <v>0.624</v>
      </c>
      <c r="I230" s="16"/>
    </row>
    <row r="231" customFormat="false" ht="15" hidden="false" customHeight="false" outlineLevel="0" collapsed="false">
      <c r="A231" s="9" t="n">
        <v>37</v>
      </c>
      <c r="B231" s="9" t="s">
        <v>628</v>
      </c>
      <c r="C231" s="9" t="s">
        <v>637</v>
      </c>
      <c r="D231" s="15"/>
      <c r="E231" s="9" t="s">
        <v>281</v>
      </c>
      <c r="F231" s="9" t="n">
        <v>12</v>
      </c>
      <c r="G231" s="9" t="s">
        <v>170</v>
      </c>
      <c r="H231" s="14" t="n">
        <f aca="false">IFERROR(F231*VLOOKUP(E231,Insumos!$A:$G,7,FALSE()),0)</f>
        <v>0.336</v>
      </c>
      <c r="I231" s="17" t="s">
        <v>397</v>
      </c>
    </row>
    <row r="232" customFormat="false" ht="15" hidden="false" customHeight="false" outlineLevel="0" collapsed="false">
      <c r="A232" s="9" t="n">
        <v>38</v>
      </c>
      <c r="B232" s="9" t="s">
        <v>638</v>
      </c>
      <c r="C232" s="9" t="s">
        <v>639</v>
      </c>
      <c r="D232" s="15"/>
      <c r="E232" s="9" t="s">
        <v>115</v>
      </c>
      <c r="F232" s="9" t="n">
        <v>300</v>
      </c>
      <c r="G232" s="9" t="s">
        <v>61</v>
      </c>
      <c r="H232" s="14" t="n">
        <f aca="false">IFERROR(F232*VLOOKUP(E232,Insumos!$A:$G,7,FALSE()),0)</f>
        <v>21.9718309859155</v>
      </c>
      <c r="I232" s="16"/>
    </row>
    <row r="233" customFormat="false" ht="15" hidden="false" customHeight="false" outlineLevel="0" collapsed="false">
      <c r="A233" s="9" t="n">
        <v>38</v>
      </c>
      <c r="B233" s="9" t="s">
        <v>638</v>
      </c>
      <c r="C233" s="9" t="s">
        <v>640</v>
      </c>
      <c r="D233" s="15"/>
      <c r="E233" s="9" t="s">
        <v>181</v>
      </c>
      <c r="F233" s="9" t="n">
        <v>60</v>
      </c>
      <c r="G233" s="9" t="s">
        <v>61</v>
      </c>
      <c r="H233" s="14" t="n">
        <f aca="false">IFERROR(F233*VLOOKUP(E233,Insumos!$A:$G,7,FALSE()),0)</f>
        <v>7.2</v>
      </c>
      <c r="I233" s="16"/>
    </row>
    <row r="234" customFormat="false" ht="15" hidden="false" customHeight="false" outlineLevel="0" collapsed="false">
      <c r="A234" s="9" t="n">
        <v>38</v>
      </c>
      <c r="B234" s="9" t="s">
        <v>638</v>
      </c>
      <c r="C234" s="9" t="s">
        <v>641</v>
      </c>
      <c r="D234" s="15"/>
      <c r="E234" s="9" t="s">
        <v>145</v>
      </c>
      <c r="F234" s="9" t="n">
        <v>25</v>
      </c>
      <c r="G234" s="9" t="s">
        <v>61</v>
      </c>
      <c r="H234" s="14" t="n">
        <f aca="false">IFERROR(F234*VLOOKUP(E234,Insumos!$A:$G,7,FALSE()),0)</f>
        <v>2.375</v>
      </c>
      <c r="I234" s="16"/>
    </row>
    <row r="235" customFormat="false" ht="15" hidden="false" customHeight="false" outlineLevel="0" collapsed="false">
      <c r="A235" s="9" t="n">
        <v>38</v>
      </c>
      <c r="B235" s="9" t="s">
        <v>638</v>
      </c>
      <c r="C235" s="9" t="s">
        <v>642</v>
      </c>
      <c r="D235" s="15"/>
      <c r="E235" s="9" t="s">
        <v>206</v>
      </c>
      <c r="F235" s="9" t="n">
        <v>15</v>
      </c>
      <c r="G235" s="9" t="s">
        <v>61</v>
      </c>
      <c r="H235" s="14" t="n">
        <f aca="false">IFERROR(F235*VLOOKUP(E235,Insumos!$A:$G,7,FALSE()),0)</f>
        <v>2.34</v>
      </c>
      <c r="I235" s="16"/>
    </row>
    <row r="236" customFormat="false" ht="15" hidden="false" customHeight="false" outlineLevel="0" collapsed="false">
      <c r="A236" s="9" t="n">
        <v>38</v>
      </c>
      <c r="B236" s="9" t="s">
        <v>638</v>
      </c>
      <c r="C236" s="9" t="s">
        <v>643</v>
      </c>
      <c r="D236" s="15"/>
      <c r="E236" s="9" t="s">
        <v>221</v>
      </c>
      <c r="F236" s="9" t="n">
        <v>2</v>
      </c>
      <c r="G236" s="9" t="s">
        <v>170</v>
      </c>
      <c r="H236" s="14" t="n">
        <f aca="false">IFERROR(F236*VLOOKUP(E236,Insumos!$A:$G,7,FALSE()),0)</f>
        <v>0.624</v>
      </c>
      <c r="I236" s="16"/>
    </row>
    <row r="237" customFormat="false" ht="15" hidden="false" customHeight="false" outlineLevel="0" collapsed="false">
      <c r="A237" s="9" t="n">
        <v>38</v>
      </c>
      <c r="B237" s="9" t="s">
        <v>638</v>
      </c>
      <c r="C237" s="9" t="s">
        <v>644</v>
      </c>
      <c r="D237" s="15"/>
      <c r="E237" s="9" t="s">
        <v>289</v>
      </c>
      <c r="F237" s="9" t="n">
        <v>35</v>
      </c>
      <c r="G237" s="9" t="s">
        <v>170</v>
      </c>
      <c r="H237" s="14" t="n">
        <f aca="false">IFERROR(F237*VLOOKUP(E237,Insumos!$A:$G,7,FALSE()),0)</f>
        <v>5.46</v>
      </c>
      <c r="I237" s="16"/>
    </row>
    <row r="238" customFormat="false" ht="15" hidden="false" customHeight="false" outlineLevel="0" collapsed="false">
      <c r="A238" s="9" t="n">
        <v>38</v>
      </c>
      <c r="B238" s="9" t="s">
        <v>638</v>
      </c>
      <c r="C238" s="9" t="s">
        <v>645</v>
      </c>
      <c r="D238" s="15"/>
      <c r="E238" s="9" t="s">
        <v>291</v>
      </c>
      <c r="F238" s="9" t="n">
        <v>12</v>
      </c>
      <c r="G238" s="9" t="s">
        <v>170</v>
      </c>
      <c r="H238" s="14" t="n">
        <f aca="false">IFERROR(F238*VLOOKUP(E238,Insumos!$A:$G,7,FALSE()),0)</f>
        <v>4.224</v>
      </c>
      <c r="I238" s="17" t="s">
        <v>646</v>
      </c>
    </row>
    <row r="239" customFormat="false" ht="15" hidden="false" customHeight="false" outlineLevel="0" collapsed="false">
      <c r="A239" s="9" t="n">
        <v>39</v>
      </c>
      <c r="B239" s="9" t="s">
        <v>647</v>
      </c>
      <c r="C239" s="9" t="s">
        <v>648</v>
      </c>
      <c r="D239" s="15"/>
      <c r="E239" s="9" t="s">
        <v>131</v>
      </c>
      <c r="F239" s="9" t="n">
        <v>200</v>
      </c>
      <c r="G239" s="9" t="s">
        <v>61</v>
      </c>
      <c r="H239" s="14" t="n">
        <f aca="false">IFERROR(F239*VLOOKUP(E239,Insumos!$A:$G,7,FALSE()),0)</f>
        <v>18.0281690140845</v>
      </c>
      <c r="I239" s="16"/>
    </row>
    <row r="240" customFormat="false" ht="15" hidden="false" customHeight="false" outlineLevel="0" collapsed="false">
      <c r="A240" s="9" t="n">
        <v>39</v>
      </c>
      <c r="B240" s="9" t="s">
        <v>647</v>
      </c>
      <c r="C240" s="9" t="s">
        <v>649</v>
      </c>
      <c r="D240" s="15"/>
      <c r="E240" s="9" t="s">
        <v>145</v>
      </c>
      <c r="F240" s="9" t="n">
        <v>30</v>
      </c>
      <c r="G240" s="9" t="s">
        <v>61</v>
      </c>
      <c r="H240" s="14" t="n">
        <f aca="false">IFERROR(F240*VLOOKUP(E240,Insumos!$A:$G,7,FALSE()),0)</f>
        <v>2.85</v>
      </c>
      <c r="I240" s="16"/>
    </row>
    <row r="241" customFormat="false" ht="15" hidden="false" customHeight="false" outlineLevel="0" collapsed="false">
      <c r="A241" s="9" t="n">
        <v>39</v>
      </c>
      <c r="B241" s="9" t="s">
        <v>647</v>
      </c>
      <c r="C241" s="9" t="s">
        <v>650</v>
      </c>
      <c r="D241" s="15"/>
      <c r="E241" s="9" t="s">
        <v>152</v>
      </c>
      <c r="F241" s="9" t="n">
        <v>10</v>
      </c>
      <c r="G241" s="9" t="s">
        <v>61</v>
      </c>
      <c r="H241" s="14" t="n">
        <f aca="false">IFERROR(F241*VLOOKUP(E241,Insumos!$A:$G,7,FALSE()),0)</f>
        <v>0.58</v>
      </c>
      <c r="I241" s="16"/>
    </row>
    <row r="242" customFormat="false" ht="15" hidden="false" customHeight="false" outlineLevel="0" collapsed="false">
      <c r="A242" s="9" t="n">
        <v>39</v>
      </c>
      <c r="B242" s="9" t="s">
        <v>647</v>
      </c>
      <c r="C242" s="9" t="s">
        <v>651</v>
      </c>
      <c r="D242" s="15"/>
      <c r="E242" s="9" t="s">
        <v>160</v>
      </c>
      <c r="F242" s="9" t="n">
        <v>40</v>
      </c>
      <c r="G242" s="9" t="s">
        <v>170</v>
      </c>
      <c r="H242" s="14" t="n">
        <f aca="false">IFERROR(F242*VLOOKUP(E242,Insumos!$A:$G,7,FALSE()),0)</f>
        <v>1.92</v>
      </c>
      <c r="I242" s="16"/>
    </row>
    <row r="243" customFormat="false" ht="15" hidden="false" customHeight="false" outlineLevel="0" collapsed="false">
      <c r="A243" s="9" t="n">
        <v>39</v>
      </c>
      <c r="B243" s="9" t="s">
        <v>647</v>
      </c>
      <c r="C243" s="9" t="s">
        <v>652</v>
      </c>
      <c r="D243" s="15"/>
      <c r="E243" s="9" t="s">
        <v>179</v>
      </c>
      <c r="F243" s="9" t="n">
        <v>30</v>
      </c>
      <c r="G243" s="9" t="s">
        <v>170</v>
      </c>
      <c r="H243" s="14" t="n">
        <f aca="false">IFERROR(F243*VLOOKUP(E243,Insumos!$A:$G,7,FALSE()),0)</f>
        <v>0.78</v>
      </c>
      <c r="I243" s="16"/>
    </row>
    <row r="244" customFormat="false" ht="15" hidden="false" customHeight="false" outlineLevel="0" collapsed="false">
      <c r="A244" s="9" t="n">
        <v>39</v>
      </c>
      <c r="B244" s="9" t="s">
        <v>647</v>
      </c>
      <c r="C244" s="9" t="s">
        <v>653</v>
      </c>
      <c r="D244" s="15"/>
      <c r="E244" s="9" t="s">
        <v>302</v>
      </c>
      <c r="F244" s="9" t="n">
        <v>30</v>
      </c>
      <c r="G244" s="9" t="s">
        <v>170</v>
      </c>
      <c r="H244" s="14" t="n">
        <f aca="false">IFERROR(F244*VLOOKUP(E244,Insumos!$A:$G,7,FALSE()),0)</f>
        <v>0.78</v>
      </c>
      <c r="I244" s="16"/>
    </row>
    <row r="245" customFormat="false" ht="15" hidden="false" customHeight="false" outlineLevel="0" collapsed="false">
      <c r="A245" s="9" t="n">
        <v>39</v>
      </c>
      <c r="B245" s="9" t="s">
        <v>647</v>
      </c>
      <c r="C245" s="9" t="s">
        <v>654</v>
      </c>
      <c r="D245" s="15"/>
      <c r="E245" s="9" t="s">
        <v>215</v>
      </c>
      <c r="F245" s="9" t="n">
        <v>2</v>
      </c>
      <c r="G245" s="9" t="s">
        <v>170</v>
      </c>
      <c r="H245" s="14" t="n">
        <f aca="false">IFERROR(F245*VLOOKUP(E245,Insumos!$A:$G,7,FALSE()),0)</f>
        <v>0.064</v>
      </c>
      <c r="I245" s="16"/>
    </row>
    <row r="246" customFormat="false" ht="15" hidden="false" customHeight="false" outlineLevel="0" collapsed="false">
      <c r="A246" s="9" t="n">
        <v>39</v>
      </c>
      <c r="B246" s="9" t="s">
        <v>647</v>
      </c>
      <c r="C246" s="9" t="s">
        <v>655</v>
      </c>
      <c r="D246" s="15"/>
      <c r="E246" s="9" t="s">
        <v>221</v>
      </c>
      <c r="F246" s="9" t="n">
        <v>2</v>
      </c>
      <c r="G246" s="9" t="s">
        <v>170</v>
      </c>
      <c r="H246" s="14" t="n">
        <f aca="false">IFERROR(F246*VLOOKUP(E246,Insumos!$A:$G,7,FALSE()),0)</f>
        <v>0.624</v>
      </c>
      <c r="I246" s="16"/>
    </row>
    <row r="247" customFormat="false" ht="15" hidden="false" customHeight="false" outlineLevel="0" collapsed="false">
      <c r="A247" s="9" t="n">
        <v>40</v>
      </c>
      <c r="B247" s="9" t="s">
        <v>656</v>
      </c>
      <c r="C247" s="9" t="s">
        <v>657</v>
      </c>
      <c r="D247" s="15"/>
      <c r="E247" s="9" t="s">
        <v>115</v>
      </c>
      <c r="F247" s="9" t="n">
        <v>200</v>
      </c>
      <c r="G247" s="9" t="s">
        <v>61</v>
      </c>
      <c r="H247" s="14" t="n">
        <f aca="false">IFERROR(F247*VLOOKUP(E247,Insumos!$A:$G,7,FALSE()),0)</f>
        <v>14.6478873239437</v>
      </c>
      <c r="I247" s="16"/>
    </row>
    <row r="248" customFormat="false" ht="15" hidden="false" customHeight="false" outlineLevel="0" collapsed="false">
      <c r="A248" s="9" t="n">
        <v>40</v>
      </c>
      <c r="B248" s="9" t="s">
        <v>656</v>
      </c>
      <c r="C248" s="9" t="s">
        <v>658</v>
      </c>
      <c r="D248" s="15"/>
      <c r="E248" s="9" t="s">
        <v>137</v>
      </c>
      <c r="F248" s="9" t="n">
        <v>180</v>
      </c>
      <c r="G248" s="9" t="s">
        <v>61</v>
      </c>
      <c r="H248" s="14" t="n">
        <f aca="false">IFERROR(F248*VLOOKUP(E248,Insumos!$A:$G,7,FALSE()),0)</f>
        <v>12.24</v>
      </c>
      <c r="I248" s="16"/>
    </row>
    <row r="249" customFormat="false" ht="15" hidden="false" customHeight="false" outlineLevel="0" collapsed="false">
      <c r="A249" s="9" t="n">
        <v>40</v>
      </c>
      <c r="B249" s="9" t="s">
        <v>656</v>
      </c>
      <c r="C249" s="9" t="s">
        <v>659</v>
      </c>
      <c r="D249" s="15"/>
      <c r="E249" s="9" t="s">
        <v>145</v>
      </c>
      <c r="F249" s="9" t="n">
        <v>35</v>
      </c>
      <c r="G249" s="9" t="s">
        <v>61</v>
      </c>
      <c r="H249" s="14" t="n">
        <f aca="false">IFERROR(F249*VLOOKUP(E249,Insumos!$A:$G,7,FALSE()),0)</f>
        <v>3.325</v>
      </c>
      <c r="I249" s="16"/>
    </row>
    <row r="250" customFormat="false" ht="15" hidden="false" customHeight="false" outlineLevel="0" collapsed="false">
      <c r="A250" s="9" t="n">
        <v>40</v>
      </c>
      <c r="B250" s="9" t="s">
        <v>656</v>
      </c>
      <c r="C250" s="9" t="s">
        <v>660</v>
      </c>
      <c r="D250" s="15"/>
      <c r="E250" s="9" t="s">
        <v>260</v>
      </c>
      <c r="F250" s="9" t="n">
        <v>10</v>
      </c>
      <c r="G250" s="9" t="s">
        <v>61</v>
      </c>
      <c r="H250" s="14" t="n">
        <f aca="false">IFERROR(F250*VLOOKUP(E250,Insumos!$A:$G,7,FALSE()),0)</f>
        <v>1.57142857142857</v>
      </c>
      <c r="I250" s="16"/>
    </row>
    <row r="251" customFormat="false" ht="15" hidden="false" customHeight="false" outlineLevel="0" collapsed="false">
      <c r="A251" s="9" t="n">
        <v>40</v>
      </c>
      <c r="B251" s="9" t="s">
        <v>656</v>
      </c>
      <c r="C251" s="9" t="s">
        <v>661</v>
      </c>
      <c r="D251" s="15"/>
      <c r="E251" s="9" t="s">
        <v>227</v>
      </c>
      <c r="F251" s="9" t="n">
        <v>4</v>
      </c>
      <c r="G251" s="9" t="s">
        <v>61</v>
      </c>
      <c r="H251" s="14" t="n">
        <f aca="false">IFERROR(F251*VLOOKUP(E251,Insumos!$A:$G,7,FALSE()),0)</f>
        <v>1.04</v>
      </c>
      <c r="I251" s="16"/>
    </row>
    <row r="252" customFormat="false" ht="15" hidden="false" customHeight="false" outlineLevel="0" collapsed="false">
      <c r="A252" s="9" t="n">
        <v>40</v>
      </c>
      <c r="B252" s="9" t="s">
        <v>656</v>
      </c>
      <c r="C252" s="9" t="s">
        <v>662</v>
      </c>
      <c r="D252" s="15"/>
      <c r="E252" s="9" t="s">
        <v>215</v>
      </c>
      <c r="F252" s="9" t="n">
        <v>2</v>
      </c>
      <c r="G252" s="9" t="s">
        <v>170</v>
      </c>
      <c r="H252" s="14" t="n">
        <f aca="false">IFERROR(F252*VLOOKUP(E252,Insumos!$A:$G,7,FALSE()),0)</f>
        <v>0.064</v>
      </c>
      <c r="I252" s="16"/>
    </row>
    <row r="253" customFormat="false" ht="15" hidden="false" customHeight="false" outlineLevel="0" collapsed="false">
      <c r="A253" s="9" t="n">
        <v>40</v>
      </c>
      <c r="B253" s="9" t="s">
        <v>656</v>
      </c>
      <c r="C253" s="9" t="s">
        <v>663</v>
      </c>
      <c r="D253" s="15"/>
      <c r="E253" s="9" t="s">
        <v>179</v>
      </c>
      <c r="F253" s="9" t="n">
        <v>30</v>
      </c>
      <c r="G253" s="9" t="s">
        <v>170</v>
      </c>
      <c r="H253" s="14" t="n">
        <f aca="false">IFERROR(F253*VLOOKUP(E253,Insumos!$A:$G,7,FALSE()),0)</f>
        <v>0.78</v>
      </c>
      <c r="I253" s="16"/>
    </row>
    <row r="254" customFormat="false" ht="15" hidden="false" customHeight="false" outlineLevel="0" collapsed="false">
      <c r="A254" s="9" t="n">
        <v>40</v>
      </c>
      <c r="B254" s="9" t="s">
        <v>656</v>
      </c>
      <c r="C254" s="9" t="s">
        <v>664</v>
      </c>
      <c r="D254" s="15"/>
      <c r="E254" s="9" t="s">
        <v>285</v>
      </c>
      <c r="F254" s="9" t="n">
        <v>20</v>
      </c>
      <c r="G254" s="9" t="s">
        <v>170</v>
      </c>
      <c r="H254" s="14" t="n">
        <f aca="false">IFERROR(F254*VLOOKUP(E254,Insumos!$A:$G,7,FALSE()),0)</f>
        <v>15.6</v>
      </c>
      <c r="I254" s="16"/>
    </row>
    <row r="255" customFormat="false" ht="15" hidden="false" customHeight="false" outlineLevel="0" collapsed="false">
      <c r="A255" s="9" t="n">
        <v>40</v>
      </c>
      <c r="B255" s="9" t="s">
        <v>656</v>
      </c>
      <c r="C255" s="9" t="s">
        <v>665</v>
      </c>
      <c r="D255" s="15"/>
      <c r="E255" s="9" t="s">
        <v>287</v>
      </c>
      <c r="F255" s="9" t="n">
        <v>10</v>
      </c>
      <c r="G255" s="9" t="s">
        <v>170</v>
      </c>
      <c r="H255" s="14" t="n">
        <f aca="false">IFERROR(F255*VLOOKUP(E255,Insumos!$A:$G,7,FALSE()),0)</f>
        <v>7</v>
      </c>
      <c r="I255" s="16"/>
    </row>
    <row r="256" customFormat="false" ht="15" hidden="false" customHeight="false" outlineLevel="0" collapsed="false">
      <c r="A256" s="9" t="n">
        <v>40</v>
      </c>
      <c r="B256" s="9" t="s">
        <v>656</v>
      </c>
      <c r="C256" s="9" t="s">
        <v>666</v>
      </c>
      <c r="D256" s="15"/>
      <c r="E256" s="9" t="s">
        <v>231</v>
      </c>
      <c r="F256" s="9" t="n">
        <v>2</v>
      </c>
      <c r="G256" s="9" t="s">
        <v>170</v>
      </c>
      <c r="H256" s="14" t="n">
        <f aca="false">IFERROR(F256*VLOOKUP(E256,Insumos!$A:$G,7,FALSE()),0)</f>
        <v>3.7</v>
      </c>
      <c r="I256" s="16"/>
    </row>
    <row r="257" customFormat="false" ht="15" hidden="false" customHeight="false" outlineLevel="0" collapsed="false">
      <c r="A257" s="9" t="n">
        <v>41</v>
      </c>
      <c r="B257" s="9" t="s">
        <v>667</v>
      </c>
      <c r="C257" s="9" t="s">
        <v>668</v>
      </c>
      <c r="D257" s="15"/>
      <c r="E257" s="9" t="s">
        <v>58</v>
      </c>
      <c r="F257" s="9" t="n">
        <v>60</v>
      </c>
      <c r="G257" s="9" t="s">
        <v>61</v>
      </c>
      <c r="H257" s="14" t="n">
        <f aca="false">IFERROR(F257*VLOOKUP(E257,Insumos!$A:$G,7,FALSE()),0)</f>
        <v>33.6</v>
      </c>
      <c r="I257" s="16"/>
    </row>
    <row r="258" customFormat="false" ht="15" hidden="false" customHeight="false" outlineLevel="0" collapsed="false">
      <c r="A258" s="9" t="n">
        <v>41</v>
      </c>
      <c r="B258" s="9" t="s">
        <v>667</v>
      </c>
      <c r="C258" s="9" t="s">
        <v>669</v>
      </c>
      <c r="D258" s="15"/>
      <c r="E258" s="9" t="s">
        <v>115</v>
      </c>
      <c r="F258" s="9" t="n">
        <v>355</v>
      </c>
      <c r="G258" s="9" t="s">
        <v>61</v>
      </c>
      <c r="H258" s="14" t="n">
        <f aca="false">IFERROR(F258*VLOOKUP(E258,Insumos!$A:$G,7,FALSE()),0)</f>
        <v>26</v>
      </c>
      <c r="I258" s="16"/>
    </row>
    <row r="259" customFormat="false" ht="15" hidden="false" customHeight="false" outlineLevel="0" collapsed="false">
      <c r="A259" s="9" t="n">
        <v>41</v>
      </c>
      <c r="B259" s="9" t="s">
        <v>667</v>
      </c>
      <c r="C259" s="9" t="s">
        <v>670</v>
      </c>
      <c r="D259" s="15"/>
      <c r="E259" s="9" t="s">
        <v>306</v>
      </c>
      <c r="F259" s="9" t="n">
        <v>12</v>
      </c>
      <c r="G259" s="9" t="s">
        <v>170</v>
      </c>
      <c r="H259" s="14" t="n">
        <f aca="false">IFERROR(F259*VLOOKUP(E259,Insumos!$A:$G,7,FALSE()),0)</f>
        <v>0.504</v>
      </c>
      <c r="I259" s="17" t="s">
        <v>397</v>
      </c>
    </row>
    <row r="260" customFormat="false" ht="15" hidden="false" customHeight="false" outlineLevel="0" collapsed="false">
      <c r="A260" s="9" t="n">
        <v>41</v>
      </c>
      <c r="B260" s="9" t="s">
        <v>667</v>
      </c>
      <c r="C260" s="9" t="s">
        <v>671</v>
      </c>
      <c r="D260" s="15"/>
      <c r="E260" s="9" t="s">
        <v>215</v>
      </c>
      <c r="F260" s="9" t="n">
        <v>1</v>
      </c>
      <c r="G260" s="9" t="s">
        <v>170</v>
      </c>
      <c r="H260" s="14" t="n">
        <f aca="false">IFERROR(F260*VLOOKUP(E260,Insumos!$A:$G,7,FALSE()),0)</f>
        <v>0.032</v>
      </c>
      <c r="I260" s="16"/>
    </row>
    <row r="261" customFormat="false" ht="15" hidden="false" customHeight="false" outlineLevel="0" collapsed="false">
      <c r="A261" s="9" t="n">
        <v>42</v>
      </c>
      <c r="B261" s="9" t="s">
        <v>672</v>
      </c>
      <c r="C261" s="9" t="s">
        <v>673</v>
      </c>
      <c r="D261" s="15"/>
      <c r="E261" s="9" t="s">
        <v>118</v>
      </c>
      <c r="F261" s="9" t="n">
        <v>250</v>
      </c>
      <c r="G261" s="9" t="s">
        <v>61</v>
      </c>
      <c r="H261" s="14" t="n">
        <f aca="false">IFERROR(F261*VLOOKUP(E261,Insumos!$A:$G,7,FALSE()),0)</f>
        <v>21.1267605633803</v>
      </c>
      <c r="I261" s="16"/>
    </row>
    <row r="262" customFormat="false" ht="15" hidden="false" customHeight="false" outlineLevel="0" collapsed="false">
      <c r="A262" s="9" t="n">
        <v>42</v>
      </c>
      <c r="B262" s="9" t="s">
        <v>672</v>
      </c>
      <c r="C262" s="9" t="s">
        <v>674</v>
      </c>
      <c r="D262" s="15"/>
      <c r="E262" s="9" t="s">
        <v>137</v>
      </c>
      <c r="F262" s="9" t="n">
        <v>90</v>
      </c>
      <c r="G262" s="9" t="s">
        <v>61</v>
      </c>
      <c r="H262" s="14" t="n">
        <f aca="false">IFERROR(F262*VLOOKUP(E262,Insumos!$A:$G,7,FALSE()),0)</f>
        <v>6.12</v>
      </c>
      <c r="I262" s="16"/>
    </row>
    <row r="263" customFormat="false" ht="15" hidden="false" customHeight="false" outlineLevel="0" collapsed="false">
      <c r="A263" s="9" t="n">
        <v>42</v>
      </c>
      <c r="B263" s="9" t="s">
        <v>672</v>
      </c>
      <c r="C263" s="9" t="s">
        <v>675</v>
      </c>
      <c r="D263" s="15"/>
      <c r="E263" s="9" t="s">
        <v>145</v>
      </c>
      <c r="F263" s="9" t="n">
        <v>30</v>
      </c>
      <c r="G263" s="9" t="s">
        <v>61</v>
      </c>
      <c r="H263" s="14" t="n">
        <f aca="false">IFERROR(F263*VLOOKUP(E263,Insumos!$A:$G,7,FALSE()),0)</f>
        <v>2.85</v>
      </c>
      <c r="I263" s="16"/>
    </row>
    <row r="264" customFormat="false" ht="15" hidden="false" customHeight="false" outlineLevel="0" collapsed="false">
      <c r="A264" s="9" t="n">
        <v>42</v>
      </c>
      <c r="B264" s="9" t="s">
        <v>672</v>
      </c>
      <c r="C264" s="9" t="s">
        <v>676</v>
      </c>
      <c r="D264" s="15"/>
      <c r="E264" s="9" t="s">
        <v>251</v>
      </c>
      <c r="F264" s="9" t="n">
        <v>10</v>
      </c>
      <c r="G264" s="9" t="s">
        <v>61</v>
      </c>
      <c r="H264" s="14" t="n">
        <f aca="false">IFERROR(F264*VLOOKUP(E264,Insumos!$A:$G,7,FALSE()),0)</f>
        <v>2.13793103448276</v>
      </c>
      <c r="I264" s="16"/>
    </row>
    <row r="265" customFormat="false" ht="15" hidden="false" customHeight="false" outlineLevel="0" collapsed="false">
      <c r="A265" s="9" t="n">
        <v>42</v>
      </c>
      <c r="B265" s="9" t="s">
        <v>672</v>
      </c>
      <c r="C265" s="9" t="s">
        <v>677</v>
      </c>
      <c r="D265" s="15"/>
      <c r="E265" s="9" t="s">
        <v>256</v>
      </c>
      <c r="F265" s="9" t="n">
        <v>8</v>
      </c>
      <c r="G265" s="9" t="s">
        <v>61</v>
      </c>
      <c r="H265" s="14" t="n">
        <f aca="false">IFERROR(F265*VLOOKUP(E265,Insumos!$A:$G,7,FALSE()),0)</f>
        <v>1.44</v>
      </c>
      <c r="I265" s="16"/>
    </row>
    <row r="266" customFormat="false" ht="15" hidden="false" customHeight="false" outlineLevel="0" collapsed="false">
      <c r="A266" s="9" t="n">
        <v>42</v>
      </c>
      <c r="B266" s="9" t="s">
        <v>672</v>
      </c>
      <c r="C266" s="9" t="s">
        <v>678</v>
      </c>
      <c r="D266" s="15"/>
      <c r="E266" s="9" t="s">
        <v>254</v>
      </c>
      <c r="F266" s="9" t="n">
        <v>5</v>
      </c>
      <c r="G266" s="9" t="s">
        <v>61</v>
      </c>
      <c r="H266" s="14" t="n">
        <f aca="false">IFERROR(F266*VLOOKUP(E266,Insumos!$A:$G,7,FALSE()),0)</f>
        <v>0.48</v>
      </c>
      <c r="I266" s="16"/>
    </row>
    <row r="267" customFormat="false" ht="15" hidden="false" customHeight="false" outlineLevel="0" collapsed="false">
      <c r="A267" s="9" t="n">
        <v>42</v>
      </c>
      <c r="B267" s="9" t="s">
        <v>672</v>
      </c>
      <c r="C267" s="9" t="s">
        <v>679</v>
      </c>
      <c r="D267" s="15"/>
      <c r="E267" s="9" t="s">
        <v>227</v>
      </c>
      <c r="F267" s="9" t="n">
        <v>3</v>
      </c>
      <c r="G267" s="9" t="s">
        <v>61</v>
      </c>
      <c r="H267" s="14" t="n">
        <f aca="false">IFERROR(F267*VLOOKUP(E267,Insumos!$A:$G,7,FALSE()),0)</f>
        <v>0.78</v>
      </c>
      <c r="I267" s="16"/>
    </row>
    <row r="268" customFormat="false" ht="15" hidden="false" customHeight="false" outlineLevel="0" collapsed="false">
      <c r="A268" s="9" t="n">
        <v>42</v>
      </c>
      <c r="B268" s="9" t="s">
        <v>672</v>
      </c>
      <c r="C268" s="9" t="s">
        <v>680</v>
      </c>
      <c r="D268" s="15"/>
      <c r="E268" s="9" t="s">
        <v>235</v>
      </c>
      <c r="F268" s="9" t="n">
        <v>1</v>
      </c>
      <c r="G268" s="9" t="s">
        <v>170</v>
      </c>
      <c r="H268" s="14" t="n">
        <f aca="false">IFERROR(F268*VLOOKUP(E268,Insumos!$A:$G,7,FALSE()),0)</f>
        <v>0.38</v>
      </c>
      <c r="I268" s="16"/>
    </row>
    <row r="269" customFormat="false" ht="15" hidden="false" customHeight="false" outlineLevel="0" collapsed="false">
      <c r="A269" s="9" t="n">
        <v>42</v>
      </c>
      <c r="B269" s="9" t="s">
        <v>672</v>
      </c>
      <c r="C269" s="9" t="s">
        <v>681</v>
      </c>
      <c r="D269" s="15"/>
      <c r="E269" s="9" t="s">
        <v>221</v>
      </c>
      <c r="F269" s="9" t="n">
        <v>2</v>
      </c>
      <c r="G269" s="9" t="s">
        <v>170</v>
      </c>
      <c r="H269" s="14" t="n">
        <f aca="false">IFERROR(F269*VLOOKUP(E269,Insumos!$A:$G,7,FALSE()),0)</f>
        <v>0.624</v>
      </c>
      <c r="I269" s="16"/>
    </row>
    <row r="270" customFormat="false" ht="15" hidden="false" customHeight="false" outlineLevel="0" collapsed="false">
      <c r="A270" s="9" t="n">
        <v>42</v>
      </c>
      <c r="B270" s="9" t="s">
        <v>672</v>
      </c>
      <c r="C270" s="9" t="s">
        <v>423</v>
      </c>
      <c r="D270" s="15"/>
      <c r="E270" s="9" t="s">
        <v>306</v>
      </c>
      <c r="F270" s="9" t="n">
        <v>12</v>
      </c>
      <c r="G270" s="9" t="s">
        <v>170</v>
      </c>
      <c r="H270" s="14" t="n">
        <f aca="false">IFERROR(F270*VLOOKUP(E270,Insumos!$A:$G,7,FALSE()),0)</f>
        <v>0.504</v>
      </c>
      <c r="I270" s="17" t="s">
        <v>397</v>
      </c>
    </row>
    <row r="271" customFormat="false" ht="15" hidden="false" customHeight="false" outlineLevel="0" collapsed="false">
      <c r="A271" s="9" t="n">
        <v>43</v>
      </c>
      <c r="B271" s="9" t="s">
        <v>682</v>
      </c>
      <c r="C271" s="9" t="s">
        <v>683</v>
      </c>
      <c r="D271" s="15"/>
      <c r="E271" s="9" t="s">
        <v>118</v>
      </c>
      <c r="F271" s="9" t="n">
        <v>355</v>
      </c>
      <c r="G271" s="9" t="s">
        <v>61</v>
      </c>
      <c r="H271" s="14" t="n">
        <f aca="false">IFERROR(F271*VLOOKUP(E271,Insumos!$A:$G,7,FALSE()),0)</f>
        <v>30</v>
      </c>
      <c r="I271" s="16"/>
    </row>
    <row r="272" customFormat="false" ht="15" hidden="false" customHeight="false" outlineLevel="0" collapsed="false">
      <c r="A272" s="9" t="n">
        <v>43</v>
      </c>
      <c r="B272" s="9" t="s">
        <v>682</v>
      </c>
      <c r="C272" s="9" t="s">
        <v>649</v>
      </c>
      <c r="D272" s="15"/>
      <c r="E272" s="9" t="s">
        <v>145</v>
      </c>
      <c r="F272" s="9" t="n">
        <v>30</v>
      </c>
      <c r="G272" s="9" t="s">
        <v>61</v>
      </c>
      <c r="H272" s="14" t="n">
        <f aca="false">IFERROR(F272*VLOOKUP(E272,Insumos!$A:$G,7,FALSE()),0)</f>
        <v>2.85</v>
      </c>
      <c r="I272" s="16"/>
    </row>
    <row r="273" customFormat="false" ht="15" hidden="false" customHeight="false" outlineLevel="0" collapsed="false">
      <c r="A273" s="9" t="n">
        <v>43</v>
      </c>
      <c r="B273" s="9" t="s">
        <v>682</v>
      </c>
      <c r="C273" s="9" t="s">
        <v>684</v>
      </c>
      <c r="D273" s="15"/>
      <c r="E273" s="9" t="s">
        <v>215</v>
      </c>
      <c r="F273" s="9" t="n">
        <v>2</v>
      </c>
      <c r="G273" s="9" t="s">
        <v>170</v>
      </c>
      <c r="H273" s="14" t="n">
        <f aca="false">IFERROR(F273*VLOOKUP(E273,Insumos!$A:$G,7,FALSE()),0)</f>
        <v>0.064</v>
      </c>
      <c r="I273" s="16"/>
    </row>
    <row r="274" customFormat="false" ht="15" hidden="false" customHeight="false" outlineLevel="0" collapsed="false">
      <c r="A274" s="9" t="n">
        <v>43</v>
      </c>
      <c r="B274" s="9" t="s">
        <v>682</v>
      </c>
      <c r="C274" s="9" t="s">
        <v>685</v>
      </c>
      <c r="D274" s="15"/>
      <c r="E274" s="9" t="s">
        <v>212</v>
      </c>
      <c r="F274" s="9" t="n">
        <v>2</v>
      </c>
      <c r="G274" s="9" t="s">
        <v>170</v>
      </c>
      <c r="H274" s="14" t="n">
        <f aca="false">IFERROR(F274*VLOOKUP(E274,Insumos!$A:$G,7,FALSE()),0)</f>
        <v>1.56</v>
      </c>
      <c r="I274" s="16"/>
    </row>
    <row r="275" customFormat="false" ht="15" hidden="false" customHeight="false" outlineLevel="0" collapsed="false">
      <c r="A275" s="9" t="n">
        <v>43</v>
      </c>
      <c r="B275" s="9" t="s">
        <v>682</v>
      </c>
      <c r="C275" s="9" t="s">
        <v>686</v>
      </c>
      <c r="D275" s="15"/>
      <c r="E275" s="9" t="s">
        <v>227</v>
      </c>
      <c r="F275" s="9" t="n">
        <v>6</v>
      </c>
      <c r="G275" s="9" t="s">
        <v>170</v>
      </c>
      <c r="H275" s="14" t="n">
        <f aca="false">IFERROR(F275*VLOOKUP(E275,Insumos!$A:$G,7,FALSE()),0)</f>
        <v>1.56</v>
      </c>
      <c r="I275" s="17" t="s">
        <v>687</v>
      </c>
    </row>
    <row r="276" customFormat="false" ht="15" hidden="false" customHeight="false" outlineLevel="0" collapsed="false">
      <c r="A276" s="9" t="n">
        <v>44</v>
      </c>
      <c r="B276" s="9" t="s">
        <v>688</v>
      </c>
      <c r="C276" s="9" t="s">
        <v>689</v>
      </c>
      <c r="D276" s="15"/>
      <c r="E276" s="9" t="s">
        <v>62</v>
      </c>
      <c r="F276" s="9" t="n">
        <v>60</v>
      </c>
      <c r="G276" s="9" t="s">
        <v>61</v>
      </c>
      <c r="H276" s="14" t="n">
        <f aca="false">IFERROR(F276*VLOOKUP(E276,Insumos!$A:$G,7,FALSE()),0)</f>
        <v>41.6</v>
      </c>
      <c r="I276" s="16"/>
    </row>
    <row r="277" customFormat="false" ht="15" hidden="false" customHeight="false" outlineLevel="0" collapsed="false">
      <c r="A277" s="9" t="n">
        <v>44</v>
      </c>
      <c r="B277" s="9" t="s">
        <v>688</v>
      </c>
      <c r="C277" s="9" t="s">
        <v>690</v>
      </c>
      <c r="D277" s="15"/>
      <c r="E277" s="9" t="s">
        <v>168</v>
      </c>
      <c r="F277" s="9" t="n">
        <v>45</v>
      </c>
      <c r="G277" s="9" t="s">
        <v>170</v>
      </c>
      <c r="H277" s="14" t="n">
        <f aca="false">IFERROR(F277*VLOOKUP(E277,Insumos!$A:$G,7,FALSE()),0)</f>
        <v>3.06</v>
      </c>
      <c r="I277" s="16"/>
    </row>
    <row r="278" customFormat="false" ht="15" hidden="false" customHeight="false" outlineLevel="0" collapsed="false">
      <c r="A278" s="9" t="n">
        <v>44</v>
      </c>
      <c r="B278" s="9" t="s">
        <v>688</v>
      </c>
      <c r="C278" s="9" t="s">
        <v>691</v>
      </c>
      <c r="D278" s="15"/>
      <c r="E278" s="9" t="s">
        <v>227</v>
      </c>
      <c r="F278" s="9" t="n">
        <v>6</v>
      </c>
      <c r="G278" s="9" t="s">
        <v>170</v>
      </c>
      <c r="H278" s="14" t="n">
        <f aca="false">IFERROR(F278*VLOOKUP(E278,Insumos!$A:$G,7,FALSE()),0)</f>
        <v>1.56</v>
      </c>
      <c r="I278" s="17" t="s">
        <v>687</v>
      </c>
    </row>
    <row r="279" customFormat="false" ht="15" hidden="false" customHeight="false" outlineLevel="0" collapsed="false">
      <c r="A279" s="9" t="n">
        <v>44</v>
      </c>
      <c r="B279" s="9" t="s">
        <v>688</v>
      </c>
      <c r="C279" s="9" t="s">
        <v>470</v>
      </c>
      <c r="D279" s="15"/>
      <c r="E279" s="9" t="s">
        <v>148</v>
      </c>
      <c r="F279" s="9" t="n">
        <v>20</v>
      </c>
      <c r="G279" s="9" t="s">
        <v>61</v>
      </c>
      <c r="H279" s="14" t="n">
        <f aca="false">IFERROR(F279*VLOOKUP(E279,Insumos!$A:$G,7,FALSE()),0)</f>
        <v>2.2</v>
      </c>
      <c r="I279" s="16"/>
    </row>
    <row r="280" customFormat="false" ht="15" hidden="false" customHeight="false" outlineLevel="0" collapsed="false">
      <c r="A280" s="9" t="n">
        <v>44</v>
      </c>
      <c r="B280" s="9" t="s">
        <v>688</v>
      </c>
      <c r="C280" s="9" t="s">
        <v>471</v>
      </c>
      <c r="D280" s="15"/>
      <c r="E280" s="9" t="s">
        <v>188</v>
      </c>
      <c r="F280" s="9" t="n">
        <v>15</v>
      </c>
      <c r="G280" s="9" t="s">
        <v>61</v>
      </c>
      <c r="H280" s="14" t="n">
        <f aca="false">IFERROR(F280*VLOOKUP(E280,Insumos!$A:$G,7,FALSE()),0)</f>
        <v>2.775</v>
      </c>
      <c r="I280" s="16"/>
    </row>
    <row r="281" customFormat="false" ht="15" hidden="false" customHeight="false" outlineLevel="0" collapsed="false">
      <c r="A281" s="9" t="n">
        <v>44</v>
      </c>
      <c r="B281" s="9" t="s">
        <v>688</v>
      </c>
      <c r="C281" s="9" t="s">
        <v>692</v>
      </c>
      <c r="D281" s="15"/>
      <c r="E281" s="9" t="s">
        <v>262</v>
      </c>
      <c r="F281" s="9" t="n">
        <v>4</v>
      </c>
      <c r="G281" s="9" t="s">
        <v>170</v>
      </c>
      <c r="H281" s="14" t="n">
        <f aca="false">IFERROR(F281*VLOOKUP(E281,Insumos!$A:$G,7,FALSE()),0)</f>
        <v>0.88</v>
      </c>
      <c r="I281" s="17" t="s">
        <v>488</v>
      </c>
    </row>
    <row r="282" customFormat="false" ht="15" hidden="false" customHeight="false" outlineLevel="0" collapsed="false">
      <c r="A282" s="9" t="n">
        <v>44</v>
      </c>
      <c r="B282" s="9" t="s">
        <v>688</v>
      </c>
      <c r="C282" s="9" t="s">
        <v>693</v>
      </c>
      <c r="D282" s="15"/>
      <c r="E282" s="9" t="s">
        <v>262</v>
      </c>
      <c r="F282" s="9" t="n">
        <v>5</v>
      </c>
      <c r="G282" s="9" t="s">
        <v>170</v>
      </c>
      <c r="H282" s="14" t="n">
        <f aca="false">IFERROR(F282*VLOOKUP(E282,Insumos!$A:$G,7,FALSE()),0)</f>
        <v>1.1</v>
      </c>
      <c r="I282" s="17" t="s">
        <v>497</v>
      </c>
    </row>
    <row r="283" customFormat="false" ht="15" hidden="false" customHeight="false" outlineLevel="0" collapsed="false">
      <c r="A283" s="9" t="n">
        <v>45</v>
      </c>
      <c r="B283" s="9" t="s">
        <v>694</v>
      </c>
      <c r="C283" s="9" t="s">
        <v>596</v>
      </c>
      <c r="D283" s="15"/>
      <c r="E283" s="9" t="s">
        <v>66</v>
      </c>
      <c r="F283" s="9" t="n">
        <v>50</v>
      </c>
      <c r="G283" s="9" t="s">
        <v>61</v>
      </c>
      <c r="H283" s="14" t="n">
        <f aca="false">IFERROR(F283*VLOOKUP(E283,Insumos!$A:$G,7,FALSE()),0)</f>
        <v>41.3333333333333</v>
      </c>
      <c r="I283" s="16"/>
    </row>
    <row r="284" customFormat="false" ht="15" hidden="false" customHeight="false" outlineLevel="0" collapsed="false">
      <c r="A284" s="9" t="n">
        <v>45</v>
      </c>
      <c r="B284" s="9" t="s">
        <v>694</v>
      </c>
      <c r="C284" s="9" t="s">
        <v>695</v>
      </c>
      <c r="D284" s="15"/>
      <c r="E284" s="9" t="s">
        <v>162</v>
      </c>
      <c r="F284" s="9" t="n">
        <v>35</v>
      </c>
      <c r="G284" s="9" t="s">
        <v>61</v>
      </c>
      <c r="H284" s="14" t="n">
        <f aca="false">IFERROR(F284*VLOOKUP(E284,Insumos!$A:$G,7,FALSE()),0)</f>
        <v>2.73</v>
      </c>
      <c r="I284" s="16"/>
    </row>
    <row r="285" customFormat="false" ht="15" hidden="false" customHeight="false" outlineLevel="0" collapsed="false">
      <c r="A285" s="9" t="n">
        <v>45</v>
      </c>
      <c r="B285" s="9" t="s">
        <v>694</v>
      </c>
      <c r="C285" s="9" t="s">
        <v>696</v>
      </c>
      <c r="D285" s="15"/>
      <c r="E285" s="9" t="s">
        <v>148</v>
      </c>
      <c r="F285" s="9" t="n">
        <v>20</v>
      </c>
      <c r="G285" s="9" t="s">
        <v>61</v>
      </c>
      <c r="H285" s="14" t="n">
        <f aca="false">IFERROR(F285*VLOOKUP(E285,Insumos!$A:$G,7,FALSE()),0)</f>
        <v>2.2</v>
      </c>
      <c r="I285" s="16"/>
    </row>
    <row r="286" customFormat="false" ht="15" hidden="false" customHeight="false" outlineLevel="0" collapsed="false">
      <c r="A286" s="9" t="n">
        <v>45</v>
      </c>
      <c r="B286" s="9" t="s">
        <v>694</v>
      </c>
      <c r="C286" s="9" t="s">
        <v>494</v>
      </c>
      <c r="D286" s="15"/>
      <c r="E286" s="9" t="s">
        <v>185</v>
      </c>
      <c r="F286" s="9" t="n">
        <v>15</v>
      </c>
      <c r="G286" s="9" t="s">
        <v>61</v>
      </c>
      <c r="H286" s="14" t="n">
        <f aca="false">IFERROR(F286*VLOOKUP(E286,Insumos!$A:$G,7,FALSE()),0)</f>
        <v>0.63</v>
      </c>
      <c r="I286" s="16"/>
    </row>
    <row r="287" customFormat="false" ht="15" hidden="false" customHeight="false" outlineLevel="0" collapsed="false">
      <c r="A287" s="9" t="n">
        <v>45</v>
      </c>
      <c r="B287" s="9" t="s">
        <v>694</v>
      </c>
      <c r="C287" s="9" t="s">
        <v>697</v>
      </c>
      <c r="D287" s="15"/>
      <c r="E287" s="9" t="s">
        <v>269</v>
      </c>
      <c r="F287" s="9" t="n">
        <v>6</v>
      </c>
      <c r="G287" s="9" t="s">
        <v>170</v>
      </c>
      <c r="H287" s="14" t="n">
        <f aca="false">IFERROR(F287*VLOOKUP(E287,Insumos!$A:$G,7,FALSE()),0)</f>
        <v>2.4</v>
      </c>
      <c r="I287" s="17" t="s">
        <v>521</v>
      </c>
    </row>
    <row r="288" customFormat="false" ht="15" hidden="false" customHeight="false" outlineLevel="0" collapsed="false">
      <c r="A288" s="9" t="n">
        <v>45</v>
      </c>
      <c r="B288" s="9" t="s">
        <v>694</v>
      </c>
      <c r="C288" s="9" t="s">
        <v>698</v>
      </c>
      <c r="D288" s="15"/>
      <c r="E288" s="9" t="s">
        <v>113</v>
      </c>
      <c r="F288" s="9" t="n">
        <v>6</v>
      </c>
      <c r="G288" s="9" t="s">
        <v>170</v>
      </c>
      <c r="H288" s="14" t="n">
        <f aca="false">IFERROR(F288*VLOOKUP(E288,Insumos!$A:$G,7,FALSE()),0)</f>
        <v>10.8</v>
      </c>
      <c r="I288" s="17" t="s">
        <v>521</v>
      </c>
    </row>
    <row r="289" customFormat="false" ht="15" hidden="false" customHeight="false" outlineLevel="0" collapsed="false">
      <c r="A289" s="9" t="n">
        <v>45</v>
      </c>
      <c r="B289" s="9" t="s">
        <v>694</v>
      </c>
      <c r="C289" s="9" t="s">
        <v>699</v>
      </c>
      <c r="D289" s="15"/>
      <c r="E289" s="9" t="s">
        <v>275</v>
      </c>
      <c r="F289" s="9" t="n">
        <v>5</v>
      </c>
      <c r="G289" s="9" t="s">
        <v>170</v>
      </c>
      <c r="H289" s="14" t="n">
        <f aca="false">IFERROR(F289*VLOOKUP(E289,Insumos!$A:$G,7,FALSE()),0)</f>
        <v>12</v>
      </c>
      <c r="I289" s="17" t="s">
        <v>497</v>
      </c>
    </row>
    <row r="290" customFormat="false" ht="15" hidden="false" customHeight="false" outlineLevel="0" collapsed="false">
      <c r="A290" s="9" t="n">
        <v>46</v>
      </c>
      <c r="B290" s="9" t="s">
        <v>700</v>
      </c>
      <c r="C290" s="9" t="s">
        <v>596</v>
      </c>
      <c r="D290" s="15"/>
      <c r="E290" s="9" t="s">
        <v>66</v>
      </c>
      <c r="F290" s="9" t="n">
        <v>50</v>
      </c>
      <c r="G290" s="9" t="s">
        <v>61</v>
      </c>
      <c r="H290" s="14" t="n">
        <f aca="false">IFERROR(F290*VLOOKUP(E290,Insumos!$A:$G,7,FALSE()),0)</f>
        <v>41.3333333333333</v>
      </c>
      <c r="I290" s="16"/>
    </row>
    <row r="291" customFormat="false" ht="15" hidden="false" customHeight="false" outlineLevel="0" collapsed="false">
      <c r="A291" s="9" t="n">
        <v>46</v>
      </c>
      <c r="B291" s="9" t="s">
        <v>700</v>
      </c>
      <c r="C291" s="9" t="s">
        <v>701</v>
      </c>
      <c r="D291" s="15"/>
      <c r="E291" s="9" t="s">
        <v>100</v>
      </c>
      <c r="F291" s="9" t="n">
        <v>15</v>
      </c>
      <c r="G291" s="9" t="s">
        <v>61</v>
      </c>
      <c r="H291" s="14" t="n">
        <f aca="false">IFERROR(F291*VLOOKUP(E291,Insumos!$A:$G,7,FALSE()),0)</f>
        <v>8.46428571428571</v>
      </c>
      <c r="I291" s="16"/>
    </row>
    <row r="292" customFormat="false" ht="15" hidden="false" customHeight="false" outlineLevel="0" collapsed="false">
      <c r="A292" s="9" t="n">
        <v>46</v>
      </c>
      <c r="B292" s="9" t="s">
        <v>700</v>
      </c>
      <c r="C292" s="9" t="s">
        <v>702</v>
      </c>
      <c r="D292" s="15"/>
      <c r="E292" s="9" t="s">
        <v>173</v>
      </c>
      <c r="F292" s="9" t="n">
        <v>25</v>
      </c>
      <c r="G292" s="9" t="s">
        <v>170</v>
      </c>
      <c r="H292" s="14" t="n">
        <f aca="false">IFERROR(F292*VLOOKUP(E292,Insumos!$A:$G,7,FALSE()),0)</f>
        <v>3.625</v>
      </c>
      <c r="I292" s="16"/>
    </row>
    <row r="293" customFormat="false" ht="15" hidden="false" customHeight="false" outlineLevel="0" collapsed="false">
      <c r="A293" s="9" t="n">
        <v>46</v>
      </c>
      <c r="B293" s="9" t="s">
        <v>700</v>
      </c>
      <c r="C293" s="9" t="s">
        <v>500</v>
      </c>
      <c r="D293" s="15"/>
      <c r="E293" s="9" t="s">
        <v>148</v>
      </c>
      <c r="F293" s="9" t="n">
        <v>25</v>
      </c>
      <c r="G293" s="9" t="s">
        <v>61</v>
      </c>
      <c r="H293" s="14" t="n">
        <f aca="false">IFERROR(F293*VLOOKUP(E293,Insumos!$A:$G,7,FALSE()),0)</f>
        <v>2.75</v>
      </c>
      <c r="I293" s="16"/>
    </row>
    <row r="294" customFormat="false" ht="15" hidden="false" customHeight="false" outlineLevel="0" collapsed="false">
      <c r="A294" s="9" t="n">
        <v>46</v>
      </c>
      <c r="B294" s="9" t="s">
        <v>700</v>
      </c>
      <c r="C294" s="9" t="s">
        <v>471</v>
      </c>
      <c r="D294" s="15"/>
      <c r="E294" s="9" t="s">
        <v>188</v>
      </c>
      <c r="F294" s="9" t="n">
        <v>15</v>
      </c>
      <c r="G294" s="9" t="s">
        <v>61</v>
      </c>
      <c r="H294" s="14" t="n">
        <f aca="false">IFERROR(F294*VLOOKUP(E294,Insumos!$A:$G,7,FALSE()),0)</f>
        <v>2.775</v>
      </c>
      <c r="I294" s="16"/>
    </row>
    <row r="295" customFormat="false" ht="15" hidden="false" customHeight="false" outlineLevel="0" collapsed="false">
      <c r="A295" s="9" t="n">
        <v>46</v>
      </c>
      <c r="B295" s="9" t="s">
        <v>700</v>
      </c>
      <c r="C295" s="9" t="s">
        <v>703</v>
      </c>
      <c r="D295" s="15"/>
      <c r="E295" s="9" t="s">
        <v>271</v>
      </c>
      <c r="F295" s="9" t="n">
        <v>8</v>
      </c>
      <c r="G295" s="9" t="s">
        <v>170</v>
      </c>
      <c r="H295" s="14" t="n">
        <f aca="false">IFERROR(F295*VLOOKUP(E295,Insumos!$A:$G,7,FALSE()),0)</f>
        <v>1.2</v>
      </c>
      <c r="I295" s="17" t="s">
        <v>704</v>
      </c>
    </row>
    <row r="296" customFormat="false" ht="15" hidden="false" customHeight="false" outlineLevel="0" collapsed="false">
      <c r="A296" s="9" t="n">
        <v>46</v>
      </c>
      <c r="B296" s="9" t="s">
        <v>700</v>
      </c>
      <c r="C296" s="9" t="s">
        <v>705</v>
      </c>
      <c r="D296" s="15"/>
      <c r="E296" s="9" t="s">
        <v>212</v>
      </c>
      <c r="F296" s="9" t="n">
        <v>1.5</v>
      </c>
      <c r="G296" s="9" t="s">
        <v>170</v>
      </c>
      <c r="H296" s="14" t="n">
        <f aca="false">IFERROR(F296*VLOOKUP(E296,Insumos!$A:$G,7,FALSE()),0)</f>
        <v>1.17</v>
      </c>
      <c r="I296" s="16"/>
    </row>
    <row r="297" customFormat="false" ht="15" hidden="false" customHeight="false" outlineLevel="0" collapsed="false">
      <c r="A297" s="9" t="n">
        <v>46</v>
      </c>
      <c r="B297" s="9" t="s">
        <v>700</v>
      </c>
      <c r="C297" s="9" t="s">
        <v>706</v>
      </c>
      <c r="D297" s="15"/>
      <c r="E297" s="9" t="s">
        <v>171</v>
      </c>
      <c r="F297" s="9" t="n">
        <v>4</v>
      </c>
      <c r="G297" s="9" t="s">
        <v>170</v>
      </c>
      <c r="H297" s="14" t="n">
        <f aca="false">IFERROR(F297*VLOOKUP(E297,Insumos!$A:$G,7,FALSE()),0)</f>
        <v>0.168</v>
      </c>
      <c r="I297" s="17" t="s">
        <v>488</v>
      </c>
    </row>
    <row r="298" customFormat="false" ht="15" hidden="false" customHeight="false" outlineLevel="0" collapsed="false">
      <c r="A298" s="9" t="n">
        <v>47</v>
      </c>
      <c r="B298" s="9" t="s">
        <v>707</v>
      </c>
      <c r="C298" s="9" t="s">
        <v>708</v>
      </c>
      <c r="D298" s="15"/>
      <c r="E298" s="9" t="s">
        <v>64</v>
      </c>
      <c r="F298" s="9" t="n">
        <v>50</v>
      </c>
      <c r="G298" s="9" t="s">
        <v>61</v>
      </c>
      <c r="H298" s="14" t="n">
        <f aca="false">IFERROR(F298*VLOOKUP(E298,Insumos!$A:$G,7,FALSE()),0)</f>
        <v>52</v>
      </c>
      <c r="I298" s="16"/>
    </row>
    <row r="299" customFormat="false" ht="15" hidden="false" customHeight="false" outlineLevel="0" collapsed="false">
      <c r="A299" s="9" t="n">
        <v>47</v>
      </c>
      <c r="B299" s="9" t="s">
        <v>707</v>
      </c>
      <c r="C299" s="9" t="s">
        <v>709</v>
      </c>
      <c r="D299" s="15"/>
      <c r="E299" s="9" t="s">
        <v>297</v>
      </c>
      <c r="F299" s="9" t="n">
        <v>50</v>
      </c>
      <c r="G299" s="9" t="s">
        <v>170</v>
      </c>
      <c r="H299" s="14" t="n">
        <f aca="false">IFERROR(F299*VLOOKUP(E299,Insumos!$A:$G,7,FALSE()),0)</f>
        <v>3.4</v>
      </c>
      <c r="I299" s="17" t="s">
        <v>710</v>
      </c>
    </row>
    <row r="300" customFormat="false" ht="15" hidden="false" customHeight="false" outlineLevel="0" collapsed="false">
      <c r="A300" s="9" t="n">
        <v>47</v>
      </c>
      <c r="B300" s="9" t="s">
        <v>707</v>
      </c>
      <c r="C300" s="9" t="s">
        <v>711</v>
      </c>
      <c r="D300" s="15"/>
      <c r="E300" s="9" t="s">
        <v>192</v>
      </c>
      <c r="F300" s="9" t="n">
        <v>20</v>
      </c>
      <c r="G300" s="9" t="s">
        <v>61</v>
      </c>
      <c r="H300" s="14" t="n">
        <f aca="false">IFERROR(F300*VLOOKUP(E300,Insumos!$A:$G,7,FALSE()),0)</f>
        <v>1.24</v>
      </c>
      <c r="I300" s="16"/>
    </row>
    <row r="301" customFormat="false" ht="15" hidden="false" customHeight="false" outlineLevel="0" collapsed="false">
      <c r="A301" s="9" t="n">
        <v>47</v>
      </c>
      <c r="B301" s="9" t="s">
        <v>707</v>
      </c>
      <c r="C301" s="9" t="s">
        <v>712</v>
      </c>
      <c r="D301" s="15"/>
      <c r="E301" s="9" t="s">
        <v>98</v>
      </c>
      <c r="F301" s="9" t="n">
        <v>15</v>
      </c>
      <c r="G301" s="9" t="s">
        <v>61</v>
      </c>
      <c r="H301" s="14" t="n">
        <f aca="false">IFERROR(F301*VLOOKUP(E301,Insumos!$A:$G,7,FALSE()),0)</f>
        <v>9.85714285714286</v>
      </c>
      <c r="I301" s="16"/>
    </row>
    <row r="302" customFormat="false" ht="15" hidden="false" customHeight="false" outlineLevel="0" collapsed="false">
      <c r="A302" s="9" t="n">
        <v>47</v>
      </c>
      <c r="B302" s="9" t="s">
        <v>707</v>
      </c>
      <c r="C302" s="9" t="s">
        <v>713</v>
      </c>
      <c r="D302" s="15"/>
      <c r="E302" s="9" t="s">
        <v>239</v>
      </c>
      <c r="F302" s="9" t="n">
        <v>5</v>
      </c>
      <c r="G302" s="9" t="s">
        <v>170</v>
      </c>
      <c r="H302" s="14" t="n">
        <f aca="false">IFERROR(F302*VLOOKUP(E302,Insumos!$A:$G,7,FALSE()),0)</f>
        <v>1.65</v>
      </c>
      <c r="I302" s="16"/>
    </row>
    <row r="303" customFormat="false" ht="15" hidden="false" customHeight="false" outlineLevel="0" collapsed="false">
      <c r="A303" s="9" t="n">
        <v>47</v>
      </c>
      <c r="B303" s="9" t="s">
        <v>707</v>
      </c>
      <c r="C303" s="9" t="s">
        <v>714</v>
      </c>
      <c r="D303" s="15"/>
      <c r="E303" s="9" t="s">
        <v>111</v>
      </c>
      <c r="F303" s="9" t="n">
        <v>0.1</v>
      </c>
      <c r="G303" s="9" t="s">
        <v>61</v>
      </c>
      <c r="H303" s="14" t="n">
        <f aca="false">IFERROR(F303*VLOOKUP(E303,Insumos!$A:$G,7,FALSE()),0)</f>
        <v>0.28</v>
      </c>
      <c r="I303" s="17" t="s">
        <v>437</v>
      </c>
    </row>
    <row r="304" customFormat="false" ht="15" hidden="false" customHeight="false" outlineLevel="0" collapsed="false">
      <c r="A304" s="9" t="n">
        <v>47</v>
      </c>
      <c r="B304" s="9" t="s">
        <v>707</v>
      </c>
      <c r="C304" s="9" t="s">
        <v>715</v>
      </c>
      <c r="D304" s="15"/>
      <c r="E304" s="9" t="s">
        <v>241</v>
      </c>
      <c r="F304" s="9" t="n">
        <v>3</v>
      </c>
      <c r="G304" s="9" t="s">
        <v>170</v>
      </c>
      <c r="H304" s="14" t="n">
        <f aca="false">IFERROR(F304*VLOOKUP(E304,Insumos!$A:$G,7,FALSE()),0)</f>
        <v>0.87</v>
      </c>
      <c r="I304" s="17" t="s">
        <v>716</v>
      </c>
    </row>
    <row r="305" customFormat="false" ht="15" hidden="false" customHeight="false" outlineLevel="0" collapsed="false">
      <c r="A305" s="9" t="n">
        <v>48</v>
      </c>
      <c r="B305" s="9" t="s">
        <v>717</v>
      </c>
      <c r="C305" s="9" t="s">
        <v>718</v>
      </c>
      <c r="D305" s="15"/>
      <c r="E305" s="9" t="s">
        <v>58</v>
      </c>
      <c r="F305" s="9" t="n">
        <v>60</v>
      </c>
      <c r="G305" s="9" t="s">
        <v>61</v>
      </c>
      <c r="H305" s="14" t="n">
        <f aca="false">IFERROR(F305*VLOOKUP(E305,Insumos!$A:$G,7,FALSE()),0)</f>
        <v>33.6</v>
      </c>
      <c r="I305" s="16"/>
    </row>
    <row r="306" customFormat="false" ht="15" hidden="false" customHeight="false" outlineLevel="0" collapsed="false">
      <c r="A306" s="9" t="n">
        <v>48</v>
      </c>
      <c r="B306" s="9" t="s">
        <v>717</v>
      </c>
      <c r="C306" s="9" t="s">
        <v>719</v>
      </c>
      <c r="D306" s="15"/>
      <c r="E306" s="9" t="s">
        <v>171</v>
      </c>
      <c r="F306" s="9" t="n">
        <v>50</v>
      </c>
      <c r="G306" s="9" t="s">
        <v>170</v>
      </c>
      <c r="H306" s="14" t="n">
        <f aca="false">IFERROR(F306*VLOOKUP(E306,Insumos!$A:$G,7,FALSE()),0)</f>
        <v>2.1</v>
      </c>
      <c r="I306" s="16"/>
    </row>
    <row r="307" customFormat="false" ht="15" hidden="false" customHeight="false" outlineLevel="0" collapsed="false">
      <c r="A307" s="9" t="n">
        <v>48</v>
      </c>
      <c r="B307" s="9" t="s">
        <v>717</v>
      </c>
      <c r="C307" s="9" t="s">
        <v>720</v>
      </c>
      <c r="D307" s="15"/>
      <c r="E307" s="9" t="s">
        <v>223</v>
      </c>
      <c r="F307" s="9" t="n">
        <v>2</v>
      </c>
      <c r="G307" s="9" t="s">
        <v>170</v>
      </c>
      <c r="H307" s="14" t="n">
        <f aca="false">IFERROR(F307*VLOOKUP(E307,Insumos!$A:$G,7,FALSE()),0)</f>
        <v>1.04</v>
      </c>
      <c r="I307" s="17" t="s">
        <v>721</v>
      </c>
    </row>
    <row r="308" customFormat="false" ht="15" hidden="false" customHeight="false" outlineLevel="0" collapsed="false">
      <c r="A308" s="9" t="n">
        <v>48</v>
      </c>
      <c r="B308" s="9" t="s">
        <v>717</v>
      </c>
      <c r="C308" s="9" t="s">
        <v>618</v>
      </c>
      <c r="D308" s="15"/>
      <c r="E308" s="9" t="s">
        <v>148</v>
      </c>
      <c r="F308" s="9" t="n">
        <v>20</v>
      </c>
      <c r="G308" s="9" t="s">
        <v>61</v>
      </c>
      <c r="H308" s="14" t="n">
        <f aca="false">IFERROR(F308*VLOOKUP(E308,Insumos!$A:$G,7,FALSE()),0)</f>
        <v>2.2</v>
      </c>
      <c r="I308" s="16"/>
    </row>
    <row r="309" customFormat="false" ht="15" hidden="false" customHeight="false" outlineLevel="0" collapsed="false">
      <c r="A309" s="9" t="n">
        <v>48</v>
      </c>
      <c r="B309" s="9" t="s">
        <v>717</v>
      </c>
      <c r="C309" s="9" t="s">
        <v>494</v>
      </c>
      <c r="D309" s="15"/>
      <c r="E309" s="9" t="s">
        <v>185</v>
      </c>
      <c r="F309" s="9" t="n">
        <v>15</v>
      </c>
      <c r="G309" s="9" t="s">
        <v>61</v>
      </c>
      <c r="H309" s="14" t="n">
        <f aca="false">IFERROR(F309*VLOOKUP(E309,Insumos!$A:$G,7,FALSE()),0)</f>
        <v>0.63</v>
      </c>
      <c r="I309" s="16"/>
    </row>
    <row r="310" customFormat="false" ht="15" hidden="false" customHeight="false" outlineLevel="0" collapsed="false">
      <c r="A310" s="9" t="n">
        <v>48</v>
      </c>
      <c r="B310" s="9" t="s">
        <v>717</v>
      </c>
      <c r="C310" s="9" t="s">
        <v>722</v>
      </c>
      <c r="D310" s="15"/>
      <c r="E310" s="9" t="s">
        <v>212</v>
      </c>
      <c r="F310" s="9" t="n">
        <v>2</v>
      </c>
      <c r="G310" s="9" t="s">
        <v>170</v>
      </c>
      <c r="H310" s="14" t="n">
        <f aca="false">IFERROR(F310*VLOOKUP(E310,Insumos!$A:$G,7,FALSE()),0)</f>
        <v>1.56</v>
      </c>
      <c r="I310" s="16"/>
    </row>
    <row r="311" customFormat="false" ht="15" hidden="false" customHeight="false" outlineLevel="0" collapsed="false">
      <c r="A311" s="9" t="n">
        <v>48</v>
      </c>
      <c r="B311" s="9" t="s">
        <v>717</v>
      </c>
      <c r="C311" s="9" t="s">
        <v>723</v>
      </c>
      <c r="D311" s="15"/>
      <c r="E311" s="9" t="s">
        <v>171</v>
      </c>
      <c r="F311" s="9" t="n">
        <v>25</v>
      </c>
      <c r="G311" s="9" t="s">
        <v>170</v>
      </c>
      <c r="H311" s="14" t="n">
        <f aca="false">IFERROR(F311*VLOOKUP(E311,Insumos!$A:$G,7,FALSE()),0)</f>
        <v>1.05</v>
      </c>
      <c r="I311" s="17" t="s">
        <v>430</v>
      </c>
    </row>
    <row r="312" customFormat="false" ht="15" hidden="false" customHeight="false" outlineLevel="0" collapsed="false">
      <c r="A312" s="9" t="n">
        <v>49</v>
      </c>
      <c r="B312" s="9" t="s">
        <v>724</v>
      </c>
      <c r="C312" s="9" t="s">
        <v>725</v>
      </c>
      <c r="D312" s="15"/>
      <c r="E312" s="9" t="s">
        <v>70</v>
      </c>
      <c r="F312" s="9" t="n">
        <v>60</v>
      </c>
      <c r="G312" s="9" t="s">
        <v>61</v>
      </c>
      <c r="H312" s="14" t="n">
        <f aca="false">IFERROR(F312*VLOOKUP(E312,Insumos!$A:$G,7,FALSE()),0)</f>
        <v>30.8</v>
      </c>
      <c r="I312" s="16"/>
    </row>
    <row r="313" customFormat="false" ht="15" hidden="false" customHeight="false" outlineLevel="0" collapsed="false">
      <c r="A313" s="9" t="n">
        <v>49</v>
      </c>
      <c r="B313" s="9" t="s">
        <v>724</v>
      </c>
      <c r="C313" s="9" t="s">
        <v>726</v>
      </c>
      <c r="D313" s="15"/>
      <c r="E313" s="9" t="s">
        <v>177</v>
      </c>
      <c r="F313" s="9" t="n">
        <v>45</v>
      </c>
      <c r="G313" s="9" t="s">
        <v>61</v>
      </c>
      <c r="H313" s="14" t="n">
        <f aca="false">IFERROR(F313*VLOOKUP(E313,Insumos!$A:$G,7,FALSE()),0)</f>
        <v>3.96</v>
      </c>
      <c r="I313" s="16"/>
    </row>
    <row r="314" customFormat="false" ht="15" hidden="false" customHeight="false" outlineLevel="0" collapsed="false">
      <c r="A314" s="9" t="n">
        <v>49</v>
      </c>
      <c r="B314" s="9" t="s">
        <v>724</v>
      </c>
      <c r="C314" s="9" t="s">
        <v>727</v>
      </c>
      <c r="D314" s="15"/>
      <c r="E314" s="9" t="s">
        <v>154</v>
      </c>
      <c r="F314" s="9" t="n">
        <v>20</v>
      </c>
      <c r="G314" s="9" t="s">
        <v>61</v>
      </c>
      <c r="H314" s="14" t="n">
        <f aca="false">IFERROR(F314*VLOOKUP(E314,Insumos!$A:$G,7,FALSE()),0)</f>
        <v>1.56</v>
      </c>
      <c r="I314" s="16"/>
    </row>
    <row r="315" customFormat="false" ht="15" hidden="false" customHeight="false" outlineLevel="0" collapsed="false">
      <c r="A315" s="9" t="n">
        <v>49</v>
      </c>
      <c r="B315" s="9" t="s">
        <v>724</v>
      </c>
      <c r="C315" s="9" t="s">
        <v>728</v>
      </c>
      <c r="D315" s="15"/>
      <c r="E315" s="9" t="s">
        <v>145</v>
      </c>
      <c r="F315" s="9" t="n">
        <v>10</v>
      </c>
      <c r="G315" s="9" t="s">
        <v>61</v>
      </c>
      <c r="H315" s="14" t="n">
        <f aca="false">IFERROR(F315*VLOOKUP(E315,Insumos!$A:$G,7,FALSE()),0)</f>
        <v>0.95</v>
      </c>
      <c r="I315" s="16"/>
    </row>
    <row r="316" customFormat="false" ht="15" hidden="false" customHeight="false" outlineLevel="0" collapsed="false">
      <c r="A316" s="9" t="n">
        <v>49</v>
      </c>
      <c r="B316" s="9" t="s">
        <v>724</v>
      </c>
      <c r="C316" s="9" t="s">
        <v>729</v>
      </c>
      <c r="D316" s="15"/>
      <c r="E316" s="9" t="s">
        <v>200</v>
      </c>
      <c r="F316" s="9" t="n">
        <v>25</v>
      </c>
      <c r="G316" s="9" t="s">
        <v>61</v>
      </c>
      <c r="H316" s="14" t="n">
        <f aca="false">IFERROR(F316*VLOOKUP(E316,Insumos!$A:$G,7,FALSE()),0)</f>
        <v>4.75</v>
      </c>
      <c r="I316" s="16"/>
    </row>
    <row r="317" customFormat="false" ht="15" hidden="false" customHeight="false" outlineLevel="0" collapsed="false">
      <c r="A317" s="9" t="n">
        <v>49</v>
      </c>
      <c r="B317" s="9" t="s">
        <v>724</v>
      </c>
      <c r="C317" s="9" t="s">
        <v>730</v>
      </c>
      <c r="D317" s="15"/>
      <c r="E317" s="9" t="s">
        <v>262</v>
      </c>
      <c r="F317" s="9" t="n">
        <v>3</v>
      </c>
      <c r="G317" s="9" t="s">
        <v>170</v>
      </c>
      <c r="H317" s="14" t="n">
        <f aca="false">IFERROR(F317*VLOOKUP(E317,Insumos!$A:$G,7,FALSE()),0)</f>
        <v>0.66</v>
      </c>
      <c r="I317" s="17" t="s">
        <v>731</v>
      </c>
    </row>
    <row r="318" customFormat="false" ht="15" hidden="false" customHeight="false" outlineLevel="0" collapsed="false">
      <c r="A318" s="9" t="n">
        <v>50</v>
      </c>
      <c r="B318" s="9" t="s">
        <v>732</v>
      </c>
      <c r="C318" s="9" t="s">
        <v>733</v>
      </c>
      <c r="D318" s="15"/>
      <c r="E318" s="9" t="s">
        <v>243</v>
      </c>
      <c r="F318" s="9" t="n">
        <v>45</v>
      </c>
      <c r="G318" s="9" t="s">
        <v>61</v>
      </c>
      <c r="H318" s="14" t="n">
        <f aca="false">IFERROR(F318*VLOOKUP(E318,Insumos!$A:$G,7,FALSE()),0)</f>
        <v>17.325</v>
      </c>
      <c r="I318" s="16"/>
    </row>
    <row r="319" customFormat="false" ht="15" hidden="false" customHeight="false" outlineLevel="0" collapsed="false">
      <c r="A319" s="9" t="n">
        <v>50</v>
      </c>
      <c r="B319" s="9" t="s">
        <v>732</v>
      </c>
      <c r="C319" s="9" t="s">
        <v>734</v>
      </c>
      <c r="D319" s="15"/>
      <c r="E319" s="9" t="s">
        <v>96</v>
      </c>
      <c r="F319" s="9" t="n">
        <v>35</v>
      </c>
      <c r="G319" s="9" t="s">
        <v>61</v>
      </c>
      <c r="H319" s="14" t="n">
        <f aca="false">IFERROR(F319*VLOOKUP(E319,Insumos!$A:$G,7,FALSE()),0)</f>
        <v>19.6</v>
      </c>
      <c r="I319" s="16"/>
    </row>
    <row r="320" customFormat="false" ht="15" hidden="false" customHeight="false" outlineLevel="0" collapsed="false">
      <c r="A320" s="9" t="n">
        <v>50</v>
      </c>
      <c r="B320" s="9" t="s">
        <v>732</v>
      </c>
      <c r="C320" s="9" t="s">
        <v>735</v>
      </c>
      <c r="D320" s="15"/>
      <c r="E320" s="9" t="s">
        <v>62</v>
      </c>
      <c r="F320" s="9" t="n">
        <v>30</v>
      </c>
      <c r="G320" s="9" t="s">
        <v>61</v>
      </c>
      <c r="H320" s="14" t="n">
        <f aca="false">IFERROR(F320*VLOOKUP(E320,Insumos!$A:$G,7,FALSE()),0)</f>
        <v>20.8</v>
      </c>
      <c r="I320" s="16"/>
    </row>
    <row r="321" customFormat="false" ht="15" hidden="false" customHeight="false" outlineLevel="0" collapsed="false">
      <c r="A321" s="9" t="n">
        <v>50</v>
      </c>
      <c r="B321" s="9" t="s">
        <v>732</v>
      </c>
      <c r="C321" s="9" t="s">
        <v>736</v>
      </c>
      <c r="D321" s="15"/>
      <c r="E321" s="9" t="s">
        <v>185</v>
      </c>
      <c r="F321" s="9" t="n">
        <v>5</v>
      </c>
      <c r="G321" s="9" t="s">
        <v>61</v>
      </c>
      <c r="H321" s="14" t="n">
        <f aca="false">IFERROR(F321*VLOOKUP(E321,Insumos!$A:$G,7,FALSE()),0)</f>
        <v>0.21</v>
      </c>
      <c r="I321" s="16"/>
    </row>
    <row r="322" customFormat="false" ht="15" hidden="false" customHeight="false" outlineLevel="0" collapsed="false">
      <c r="A322" s="9" t="n">
        <v>50</v>
      </c>
      <c r="B322" s="9" t="s">
        <v>732</v>
      </c>
      <c r="C322" s="9" t="s">
        <v>737</v>
      </c>
      <c r="D322" s="15"/>
      <c r="E322" s="9" t="s">
        <v>243</v>
      </c>
      <c r="F322" s="9" t="n">
        <v>0.5</v>
      </c>
      <c r="G322" s="9" t="s">
        <v>170</v>
      </c>
      <c r="H322" s="14" t="n">
        <f aca="false">IFERROR(F322*VLOOKUP(E322,Insumos!$A:$G,7,FALSE()),0)</f>
        <v>0.1925</v>
      </c>
      <c r="I322" s="17" t="s">
        <v>738</v>
      </c>
    </row>
    <row r="323" customFormat="false" ht="15" hidden="false" customHeight="false" outlineLevel="0" collapsed="false">
      <c r="A323" s="9" t="n">
        <v>51</v>
      </c>
      <c r="B323" s="9" t="s">
        <v>739</v>
      </c>
      <c r="C323" s="9" t="s">
        <v>740</v>
      </c>
      <c r="D323" s="15"/>
      <c r="E323" s="9" t="s">
        <v>68</v>
      </c>
      <c r="F323" s="9" t="n">
        <v>60</v>
      </c>
      <c r="G323" s="9" t="s">
        <v>61</v>
      </c>
      <c r="H323" s="14" t="n">
        <f aca="false">IFERROR(F323*VLOOKUP(E323,Insumos!$A:$G,7,FALSE()),0)</f>
        <v>116</v>
      </c>
      <c r="I323" s="16"/>
    </row>
    <row r="324" customFormat="false" ht="15" hidden="false" customHeight="false" outlineLevel="0" collapsed="false">
      <c r="A324" s="9" t="n">
        <v>51</v>
      </c>
      <c r="B324" s="9" t="s">
        <v>739</v>
      </c>
      <c r="C324" s="9" t="s">
        <v>741</v>
      </c>
      <c r="D324" s="15"/>
      <c r="E324" s="9" t="s">
        <v>179</v>
      </c>
      <c r="F324" s="9" t="n">
        <v>40</v>
      </c>
      <c r="G324" s="9" t="s">
        <v>170</v>
      </c>
      <c r="H324" s="14" t="n">
        <f aca="false">IFERROR(F324*VLOOKUP(E324,Insumos!$A:$G,7,FALSE()),0)</f>
        <v>1.04</v>
      </c>
      <c r="I324" s="16"/>
    </row>
    <row r="325" customFormat="false" ht="15" hidden="false" customHeight="false" outlineLevel="0" collapsed="false">
      <c r="A325" s="9" t="n">
        <v>51</v>
      </c>
      <c r="B325" s="9" t="s">
        <v>739</v>
      </c>
      <c r="C325" s="9" t="s">
        <v>742</v>
      </c>
      <c r="D325" s="15"/>
      <c r="E325" s="9" t="s">
        <v>148</v>
      </c>
      <c r="F325" s="9" t="n">
        <v>20</v>
      </c>
      <c r="G325" s="9" t="s">
        <v>61</v>
      </c>
      <c r="H325" s="14" t="n">
        <f aca="false">IFERROR(F325*VLOOKUP(E325,Insumos!$A:$G,7,FALSE()),0)</f>
        <v>2.2</v>
      </c>
      <c r="I325" s="16"/>
    </row>
    <row r="326" customFormat="false" ht="15" hidden="false" customHeight="false" outlineLevel="0" collapsed="false">
      <c r="A326" s="9" t="n">
        <v>51</v>
      </c>
      <c r="B326" s="9" t="s">
        <v>739</v>
      </c>
      <c r="C326" s="9" t="s">
        <v>743</v>
      </c>
      <c r="D326" s="15"/>
      <c r="E326" s="9" t="s">
        <v>198</v>
      </c>
      <c r="F326" s="9" t="n">
        <v>20</v>
      </c>
      <c r="G326" s="9" t="s">
        <v>61</v>
      </c>
      <c r="H326" s="14" t="n">
        <f aca="false">IFERROR(F326*VLOOKUP(E326,Insumos!$A:$G,7,FALSE()),0)</f>
        <v>3.4</v>
      </c>
      <c r="I326" s="16"/>
    </row>
    <row r="327" customFormat="false" ht="15" hidden="false" customHeight="false" outlineLevel="0" collapsed="false">
      <c r="A327" s="9" t="n">
        <v>51</v>
      </c>
      <c r="B327" s="9" t="s">
        <v>739</v>
      </c>
      <c r="C327" s="9" t="s">
        <v>744</v>
      </c>
      <c r="D327" s="15"/>
      <c r="E327" s="9" t="s">
        <v>249</v>
      </c>
      <c r="F327" s="9" t="n">
        <v>3</v>
      </c>
      <c r="G327" s="9" t="s">
        <v>170</v>
      </c>
      <c r="H327" s="14" t="n">
        <f aca="false">IFERROR(F327*VLOOKUP(E327,Insumos!$A:$G,7,FALSE()),0)</f>
        <v>3.6</v>
      </c>
      <c r="I327" s="17" t="s">
        <v>745</v>
      </c>
    </row>
    <row r="328" customFormat="false" ht="15" hidden="false" customHeight="false" outlineLevel="0" collapsed="false">
      <c r="A328" s="9" t="n">
        <v>51</v>
      </c>
      <c r="B328" s="9" t="s">
        <v>739</v>
      </c>
      <c r="C328" s="9" t="s">
        <v>746</v>
      </c>
      <c r="D328" s="15"/>
      <c r="E328" s="9" t="s">
        <v>179</v>
      </c>
      <c r="F328" s="9" t="n">
        <v>3</v>
      </c>
      <c r="G328" s="9" t="s">
        <v>170</v>
      </c>
      <c r="H328" s="14" t="n">
        <f aca="false">IFERROR(F328*VLOOKUP(E328,Insumos!$A:$G,7,FALSE()),0)</f>
        <v>0.078</v>
      </c>
      <c r="I328" s="17" t="s">
        <v>531</v>
      </c>
    </row>
    <row r="330" customFormat="false" ht="15" hidden="false" customHeight="false" outlineLevel="0" collapsed="false">
      <c r="A330" s="2" t="s">
        <v>747</v>
      </c>
    </row>
  </sheetData>
  <autoFilter ref="A5:I3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748</v>
      </c>
    </row>
    <row r="2" customFormat="false" ht="15" hidden="false" customHeight="false" outlineLevel="0" collapsed="false">
      <c r="A2" s="2" t="s">
        <v>749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750</v>
      </c>
      <c r="B5" s="8" t="s">
        <v>751</v>
      </c>
      <c r="C5" s="8"/>
      <c r="D5" s="8" t="s">
        <v>318</v>
      </c>
    </row>
    <row r="6" customFormat="false" ht="15" hidden="false" customHeight="false" outlineLevel="0" collapsed="false">
      <c r="A6" s="12" t="s">
        <v>752</v>
      </c>
      <c r="B6" s="10" t="n">
        <v>18000</v>
      </c>
      <c r="D6" s="2" t="s">
        <v>753</v>
      </c>
    </row>
    <row r="7" customFormat="false" ht="15" hidden="false" customHeight="false" outlineLevel="0" collapsed="false">
      <c r="A7" s="12" t="s">
        <v>754</v>
      </c>
      <c r="B7" s="18" t="n">
        <v>1200</v>
      </c>
      <c r="D7" s="2" t="s">
        <v>755</v>
      </c>
    </row>
    <row r="8" customFormat="false" ht="15" hidden="false" customHeight="false" outlineLevel="0" collapsed="false">
      <c r="A8" s="12" t="s">
        <v>756</v>
      </c>
      <c r="B8" s="10" t="n">
        <v>15000</v>
      </c>
      <c r="D8" s="2" t="s">
        <v>757</v>
      </c>
    </row>
    <row r="9" customFormat="false" ht="15" hidden="false" customHeight="false" outlineLevel="0" collapsed="false">
      <c r="A9" s="12" t="s">
        <v>758</v>
      </c>
      <c r="B9" s="18" t="n">
        <v>200</v>
      </c>
      <c r="D9" s="2" t="s">
        <v>759</v>
      </c>
    </row>
    <row r="10" customFormat="false" ht="15" hidden="false" customHeight="false" outlineLevel="0" collapsed="false">
      <c r="A10" s="12" t="s">
        <v>760</v>
      </c>
      <c r="B10" s="10" t="n">
        <v>2.5</v>
      </c>
      <c r="D10" s="2" t="s">
        <v>761</v>
      </c>
    </row>
    <row r="11" customFormat="false" ht="15" hidden="false" customHeight="false" outlineLevel="0" collapsed="false">
      <c r="A11" s="12" t="s">
        <v>762</v>
      </c>
      <c r="B11" s="10" t="n">
        <v>1.8</v>
      </c>
      <c r="D11" s="2" t="s">
        <v>763</v>
      </c>
    </row>
    <row r="12" customFormat="false" ht="15" hidden="false" customHeight="false" outlineLevel="0" collapsed="false">
      <c r="A12" s="12" t="s">
        <v>764</v>
      </c>
      <c r="B12" s="19" t="n">
        <v>0.08</v>
      </c>
      <c r="D12" s="2" t="s">
        <v>765</v>
      </c>
    </row>
    <row r="13" customFormat="false" ht="15" hidden="false" customHeight="false" outlineLevel="0" collapsed="false">
      <c r="A13" s="12" t="s">
        <v>766</v>
      </c>
      <c r="B13" s="18" t="n">
        <v>6</v>
      </c>
      <c r="D13" s="2" t="s">
        <v>767</v>
      </c>
    </row>
    <row r="14" customFormat="false" ht="15" hidden="false" customHeight="false" outlineLevel="0" collapsed="false">
      <c r="A14" s="12" t="s">
        <v>768</v>
      </c>
      <c r="B14" s="10" t="n">
        <v>28</v>
      </c>
      <c r="D14" s="2" t="s">
        <v>769</v>
      </c>
    </row>
    <row r="15" customFormat="false" ht="15" hidden="false" customHeight="false" outlineLevel="0" collapsed="false">
      <c r="A15" s="12" t="s">
        <v>770</v>
      </c>
      <c r="B15" s="20" t="n">
        <v>16.5</v>
      </c>
      <c r="D15" s="2" t="s">
        <v>771</v>
      </c>
    </row>
    <row r="17" customFormat="false" ht="15" hidden="false" customHeight="false" outlineLevel="0" collapsed="false">
      <c r="A17" s="6" t="s">
        <v>772</v>
      </c>
    </row>
    <row r="18" customFormat="false" ht="15" hidden="false" customHeight="false" outlineLevel="0" collapsed="false">
      <c r="A18" s="4" t="s">
        <v>773</v>
      </c>
      <c r="B18" s="21" t="n">
        <f aca="false">IFERROR(B6/B7,0)</f>
        <v>15</v>
      </c>
      <c r="D18" s="2" t="s">
        <v>774</v>
      </c>
    </row>
    <row r="19" customFormat="false" ht="15" hidden="false" customHeight="false" outlineLevel="0" collapsed="false">
      <c r="A19" s="4" t="s">
        <v>775</v>
      </c>
      <c r="B19" s="21" t="n">
        <f aca="false">IFERROR(B8/B9,0)</f>
        <v>75</v>
      </c>
      <c r="D19" s="2" t="s">
        <v>776</v>
      </c>
    </row>
    <row r="22" customFormat="false" ht="15" hidden="false" customHeight="false" outlineLevel="0" collapsed="false">
      <c r="A22" s="6" t="s">
        <v>777</v>
      </c>
    </row>
    <row r="23" customFormat="false" ht="25.5" hidden="false" customHeight="true" outlineLevel="0" collapsed="false">
      <c r="A23" s="8" t="s">
        <v>778</v>
      </c>
      <c r="B23" s="8" t="s">
        <v>779</v>
      </c>
      <c r="C23" s="8"/>
      <c r="D23" s="8" t="s">
        <v>780</v>
      </c>
    </row>
    <row r="24" customFormat="false" ht="15" hidden="false" customHeight="false" outlineLevel="0" collapsed="false">
      <c r="A24" s="4" t="s">
        <v>781</v>
      </c>
      <c r="B24" s="19" t="n">
        <v>0.62</v>
      </c>
      <c r="D24" s="2" t="s">
        <v>782</v>
      </c>
    </row>
    <row r="25" customFormat="false" ht="15" hidden="false" customHeight="false" outlineLevel="0" collapsed="false">
      <c r="A25" s="4" t="s">
        <v>783</v>
      </c>
      <c r="B25" s="19" t="n">
        <v>0.68</v>
      </c>
      <c r="D25" s="2" t="s">
        <v>782</v>
      </c>
    </row>
    <row r="26" customFormat="false" ht="15" hidden="false" customHeight="false" outlineLevel="0" collapsed="false">
      <c r="A26" s="4" t="s">
        <v>784</v>
      </c>
      <c r="B26" s="19" t="n">
        <v>0.55</v>
      </c>
      <c r="D26" s="2" t="s">
        <v>782</v>
      </c>
    </row>
    <row r="27" customFormat="false" ht="15" hidden="false" customHeight="false" outlineLevel="0" collapsed="false">
      <c r="A27" s="4" t="s">
        <v>785</v>
      </c>
      <c r="B27" s="19" t="n">
        <v>0.45</v>
      </c>
      <c r="D27" s="2" t="s">
        <v>786</v>
      </c>
    </row>
    <row r="29" customFormat="false" ht="15" hidden="false" customHeight="false" outlineLevel="0" collapsed="false">
      <c r="A29" s="2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20" min="16" style="0" width="12"/>
    <col collapsed="false" customWidth="true" hidden="false" outlineLevel="0" max="21" min="21" style="0" width="11"/>
  </cols>
  <sheetData>
    <row r="1" customFormat="false" ht="19.7" hidden="false" customHeight="false" outlineLevel="0" collapsed="false">
      <c r="A1" s="1" t="s">
        <v>788</v>
      </c>
    </row>
    <row r="2" customFormat="false" ht="15" hidden="false" customHeight="false" outlineLevel="0" collapsed="false">
      <c r="A2" s="2" t="s">
        <v>789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363</v>
      </c>
      <c r="B5" s="8" t="s">
        <v>364</v>
      </c>
      <c r="C5" s="8" t="s">
        <v>790</v>
      </c>
      <c r="D5" s="8" t="s">
        <v>791</v>
      </c>
      <c r="E5" s="8" t="s">
        <v>792</v>
      </c>
      <c r="F5" s="8" t="s">
        <v>793</v>
      </c>
      <c r="G5" s="8" t="s">
        <v>794</v>
      </c>
      <c r="H5" s="8" t="s">
        <v>795</v>
      </c>
      <c r="I5" s="8" t="s">
        <v>796</v>
      </c>
      <c r="J5" s="8" t="s">
        <v>797</v>
      </c>
      <c r="K5" s="8" t="s">
        <v>798</v>
      </c>
      <c r="L5" s="8" t="s">
        <v>799</v>
      </c>
      <c r="M5" s="8" t="s">
        <v>800</v>
      </c>
      <c r="N5" s="8" t="s">
        <v>801</v>
      </c>
      <c r="O5" s="8" t="s">
        <v>802</v>
      </c>
      <c r="P5" s="8" t="s">
        <v>781</v>
      </c>
      <c r="Q5" s="8" t="s">
        <v>803</v>
      </c>
      <c r="R5" s="8" t="s">
        <v>784</v>
      </c>
      <c r="S5" s="8" t="s">
        <v>785</v>
      </c>
      <c r="T5" s="8" t="s">
        <v>804</v>
      </c>
      <c r="U5" s="8" t="s">
        <v>805</v>
      </c>
    </row>
    <row r="6" customFormat="false" ht="15" hidden="false" customHeight="false" outlineLevel="0" collapsed="false">
      <c r="A6" s="9" t="n">
        <v>1</v>
      </c>
      <c r="B6" s="9" t="s">
        <v>370</v>
      </c>
      <c r="C6" s="12" t="s">
        <v>326</v>
      </c>
      <c r="D6" s="9" t="n">
        <v>6</v>
      </c>
      <c r="E6" s="14" t="n">
        <f aca="false">SUMIF(Ingredientes!$A:$A,$A6,Ingredientes!$H:$H)</f>
        <v>76.2228571428572</v>
      </c>
      <c r="F6" s="14" t="n">
        <f aca="false">'Mi negocio'!$B$10</f>
        <v>2.5</v>
      </c>
      <c r="G6" s="14" t="n">
        <f aca="false">'Mi negocio'!$B$11</f>
        <v>1.8</v>
      </c>
      <c r="H6" s="22" t="n">
        <v>3</v>
      </c>
      <c r="I6" s="14" t="n">
        <f aca="false">H6/60*'Mi negocio'!$B$19</f>
        <v>3.75</v>
      </c>
      <c r="J6" s="14" t="n">
        <f aca="false">'Mi negocio'!$B$18</f>
        <v>15</v>
      </c>
      <c r="K6" s="14" t="n">
        <f aca="false">E6+F6+G6+I6+J6</f>
        <v>99.2728571428572</v>
      </c>
      <c r="L6" s="23" t="n">
        <f aca="false">'Mi negocio'!$B$12</f>
        <v>0.08</v>
      </c>
      <c r="M6" s="21" t="n">
        <f aca="false">IFERROR(K6/(1-L6),0)</f>
        <v>107.905279503106</v>
      </c>
      <c r="N6" s="24" t="n">
        <v>36</v>
      </c>
      <c r="O6" s="24" t="n">
        <f aca="false">IFERROR(N6/'Mi negocio'!$B$15,0)</f>
        <v>2.18181818181818</v>
      </c>
      <c r="P6" s="25" t="n">
        <f aca="false">IFERROR(CEILING(M6/(1-'Mi negocio'!$B$24),5),0)</f>
        <v>285</v>
      </c>
      <c r="Q6" s="25" t="n">
        <f aca="false">IFERROR(CEILING(M6/(1-'Mi negocio'!$B$25),5),0)</f>
        <v>340</v>
      </c>
      <c r="R6" s="25" t="n">
        <f aca="false">IFERROR(CEILING(M6/(1-'Mi negocio'!$B$26),5),0)</f>
        <v>240</v>
      </c>
      <c r="S6" s="25" t="n">
        <f aca="false">IFERROR(CEILING((M6*'Mi negocio'!$B$13+'Mi negocio'!$B$14)/(1-'Mi negocio'!$B$27),10),0)</f>
        <v>1230</v>
      </c>
      <c r="T6" s="14" t="n">
        <f aca="false">P6-M6</f>
        <v>177.094720496894</v>
      </c>
      <c r="U6" s="23" t="n">
        <f aca="false">IFERROR(E6/P6,0)</f>
        <v>0.267448621553885</v>
      </c>
    </row>
    <row r="7" customFormat="false" ht="15" hidden="false" customHeight="false" outlineLevel="0" collapsed="false">
      <c r="A7" s="9" t="n">
        <v>2</v>
      </c>
      <c r="B7" s="9" t="s">
        <v>378</v>
      </c>
      <c r="C7" s="12" t="s">
        <v>323</v>
      </c>
      <c r="D7" s="9" t="n">
        <v>6</v>
      </c>
      <c r="E7" s="14" t="n">
        <f aca="false">SUMIF(Ingredientes!$A:$A,$A7,Ingredientes!$H:$H)</f>
        <v>48.9539014084507</v>
      </c>
      <c r="F7" s="14" t="n">
        <f aca="false">'Mi negocio'!$B$10</f>
        <v>2.5</v>
      </c>
      <c r="G7" s="14" t="n">
        <f aca="false">'Mi negocio'!$B$11</f>
        <v>1.8</v>
      </c>
      <c r="H7" s="22" t="n">
        <v>2</v>
      </c>
      <c r="I7" s="14" t="n">
        <f aca="false">H7/60*'Mi negocio'!$B$19</f>
        <v>2.5</v>
      </c>
      <c r="J7" s="14" t="n">
        <f aca="false">'Mi negocio'!$B$18</f>
        <v>15</v>
      </c>
      <c r="K7" s="14" t="n">
        <f aca="false">E7+F7+G7+I7+J7</f>
        <v>70.7539014084507</v>
      </c>
      <c r="L7" s="23" t="n">
        <f aca="false">'Mi negocio'!$B$12</f>
        <v>0.08</v>
      </c>
      <c r="M7" s="21" t="n">
        <f aca="false">IFERROR(K7/(1-L7),0)</f>
        <v>76.9064145744029</v>
      </c>
      <c r="N7" s="24" t="n">
        <v>24</v>
      </c>
      <c r="O7" s="24" t="n">
        <f aca="false">IFERROR(N7/'Mi negocio'!$B$15,0)</f>
        <v>1.45454545454545</v>
      </c>
      <c r="P7" s="25" t="n">
        <f aca="false">IFERROR(CEILING(M7/(1-'Mi negocio'!$B$24),5),0)</f>
        <v>205</v>
      </c>
      <c r="Q7" s="25" t="n">
        <f aca="false">IFERROR(CEILING(M7/(1-'Mi negocio'!$B$25),5),0)</f>
        <v>245</v>
      </c>
      <c r="R7" s="25" t="n">
        <f aca="false">IFERROR(CEILING(M7/(1-'Mi negocio'!$B$26),5),0)</f>
        <v>175</v>
      </c>
      <c r="S7" s="25" t="n">
        <f aca="false">IFERROR(CEILING((M7*'Mi negocio'!$B$13+'Mi negocio'!$B$14)/(1-'Mi negocio'!$B$27),10),0)</f>
        <v>890</v>
      </c>
      <c r="T7" s="14" t="n">
        <f aca="false">P7-M7</f>
        <v>128.093585425597</v>
      </c>
      <c r="U7" s="23" t="n">
        <f aca="false">IFERROR(E7/P7,0)</f>
        <v>0.238799519065613</v>
      </c>
    </row>
    <row r="8" customFormat="false" ht="15" hidden="false" customHeight="false" outlineLevel="0" collapsed="false">
      <c r="A8" s="9" t="n">
        <v>3</v>
      </c>
      <c r="B8" s="9" t="s">
        <v>386</v>
      </c>
      <c r="C8" s="12" t="s">
        <v>338</v>
      </c>
      <c r="D8" s="9" t="n">
        <v>6</v>
      </c>
      <c r="E8" s="14" t="n">
        <f aca="false">SUMIF(Ingredientes!$A:$A,$A8,Ingredientes!$H:$H)</f>
        <v>54.71</v>
      </c>
      <c r="F8" s="14" t="n">
        <f aca="false">'Mi negocio'!$B$10</f>
        <v>2.5</v>
      </c>
      <c r="G8" s="14" t="n">
        <f aca="false">'Mi negocio'!$B$11</f>
        <v>1.8</v>
      </c>
      <c r="H8" s="22" t="n">
        <v>6</v>
      </c>
      <c r="I8" s="14" t="n">
        <f aca="false">H8/60*'Mi negocio'!$B$19</f>
        <v>7.5</v>
      </c>
      <c r="J8" s="14" t="n">
        <f aca="false">'Mi negocio'!$B$18</f>
        <v>15</v>
      </c>
      <c r="K8" s="14" t="n">
        <f aca="false">E8+F8+G8+I8+J8</f>
        <v>81.51</v>
      </c>
      <c r="L8" s="23" t="n">
        <f aca="false">'Mi negocio'!$B$12</f>
        <v>0.08</v>
      </c>
      <c r="M8" s="21" t="n">
        <f aca="false">IFERROR(K8/(1-L8),0)</f>
        <v>88.5978260869565</v>
      </c>
      <c r="N8" s="24" t="n">
        <v>24</v>
      </c>
      <c r="O8" s="24" t="n">
        <f aca="false">IFERROR(N8/'Mi negocio'!$B$15,0)</f>
        <v>1.45454545454545</v>
      </c>
      <c r="P8" s="25" t="n">
        <f aca="false">IFERROR(CEILING(M8/(1-'Mi negocio'!$B$24),5),0)</f>
        <v>235</v>
      </c>
      <c r="Q8" s="25" t="n">
        <f aca="false">IFERROR(CEILING(M8/(1-'Mi negocio'!$B$25),5),0)</f>
        <v>280</v>
      </c>
      <c r="R8" s="25" t="n">
        <f aca="false">IFERROR(CEILING(M8/(1-'Mi negocio'!$B$26),5),0)</f>
        <v>200</v>
      </c>
      <c r="S8" s="25" t="n">
        <f aca="false">IFERROR(CEILING((M8*'Mi negocio'!$B$13+'Mi negocio'!$B$14)/(1-'Mi negocio'!$B$27),10),0)</f>
        <v>1020</v>
      </c>
      <c r="T8" s="14" t="n">
        <f aca="false">P8-M8</f>
        <v>146.402173913044</v>
      </c>
      <c r="U8" s="23" t="n">
        <f aca="false">IFERROR(E8/P8,0)</f>
        <v>0.232808510638298</v>
      </c>
    </row>
    <row r="9" customFormat="false" ht="15" hidden="false" customHeight="false" outlineLevel="0" collapsed="false">
      <c r="A9" s="9" t="n">
        <v>4</v>
      </c>
      <c r="B9" s="9" t="s">
        <v>392</v>
      </c>
      <c r="C9" s="12" t="s">
        <v>326</v>
      </c>
      <c r="D9" s="9" t="n">
        <v>6</v>
      </c>
      <c r="E9" s="14" t="n">
        <f aca="false">SUMIF(Ingredientes!$A:$A,$A9,Ingredientes!$H:$H)</f>
        <v>45.43775</v>
      </c>
      <c r="F9" s="14" t="n">
        <f aca="false">'Mi negocio'!$B$10</f>
        <v>2.5</v>
      </c>
      <c r="G9" s="14" t="n">
        <f aca="false">'Mi negocio'!$B$11</f>
        <v>1.8</v>
      </c>
      <c r="H9" s="22" t="n">
        <v>3</v>
      </c>
      <c r="I9" s="14" t="n">
        <f aca="false">H9/60*'Mi negocio'!$B$19</f>
        <v>3.75</v>
      </c>
      <c r="J9" s="14" t="n">
        <f aca="false">'Mi negocio'!$B$18</f>
        <v>15</v>
      </c>
      <c r="K9" s="14" t="n">
        <f aca="false">E9+F9+G9+I9+J9</f>
        <v>68.48775</v>
      </c>
      <c r="L9" s="23" t="n">
        <f aca="false">'Mi negocio'!$B$12</f>
        <v>0.08</v>
      </c>
      <c r="M9" s="21" t="n">
        <f aca="false">IFERROR(K9/(1-L9),0)</f>
        <v>74.4432065217391</v>
      </c>
      <c r="N9" s="24" t="n">
        <v>24</v>
      </c>
      <c r="O9" s="24" t="n">
        <f aca="false">IFERROR(N9/'Mi negocio'!$B$15,0)</f>
        <v>1.45454545454545</v>
      </c>
      <c r="P9" s="25" t="n">
        <f aca="false">IFERROR(CEILING(M9/(1-'Mi negocio'!$B$24),5),0)</f>
        <v>200</v>
      </c>
      <c r="Q9" s="25" t="n">
        <f aca="false">IFERROR(CEILING(M9/(1-'Mi negocio'!$B$25),5),0)</f>
        <v>235</v>
      </c>
      <c r="R9" s="25" t="n">
        <f aca="false">IFERROR(CEILING(M9/(1-'Mi negocio'!$B$26),5),0)</f>
        <v>170</v>
      </c>
      <c r="S9" s="25" t="n">
        <f aca="false">IFERROR(CEILING((M9*'Mi negocio'!$B$13+'Mi negocio'!$B$14)/(1-'Mi negocio'!$B$27),10),0)</f>
        <v>870</v>
      </c>
      <c r="T9" s="14" t="n">
        <f aca="false">P9-M9</f>
        <v>125.556793478261</v>
      </c>
      <c r="U9" s="23" t="n">
        <f aca="false">IFERROR(E9/P9,0)</f>
        <v>0.22718875</v>
      </c>
    </row>
    <row r="10" customFormat="false" ht="15" hidden="false" customHeight="false" outlineLevel="0" collapsed="false">
      <c r="A10" s="9" t="n">
        <v>5</v>
      </c>
      <c r="B10" s="9" t="s">
        <v>398</v>
      </c>
      <c r="C10" s="12" t="s">
        <v>326</v>
      </c>
      <c r="D10" s="9" t="n">
        <v>6</v>
      </c>
      <c r="E10" s="14" t="n">
        <f aca="false">SUMIF(Ingredientes!$A:$A,$A10,Ingredientes!$H:$H)</f>
        <v>53.3750563380282</v>
      </c>
      <c r="F10" s="14" t="n">
        <f aca="false">'Mi negocio'!$B$10</f>
        <v>2.5</v>
      </c>
      <c r="G10" s="14" t="n">
        <f aca="false">'Mi negocio'!$B$11</f>
        <v>1.8</v>
      </c>
      <c r="H10" s="22" t="n">
        <v>3</v>
      </c>
      <c r="I10" s="14" t="n">
        <f aca="false">H10/60*'Mi negocio'!$B$19</f>
        <v>3.75</v>
      </c>
      <c r="J10" s="14" t="n">
        <f aca="false">'Mi negocio'!$B$18</f>
        <v>15</v>
      </c>
      <c r="K10" s="14" t="n">
        <f aca="false">E10+F10+G10+I10+J10</f>
        <v>76.4250563380282</v>
      </c>
      <c r="L10" s="23" t="n">
        <f aca="false">'Mi negocio'!$B$12</f>
        <v>0.08</v>
      </c>
      <c r="M10" s="21" t="n">
        <f aca="false">IFERROR(K10/(1-L10),0)</f>
        <v>83.0707134109002</v>
      </c>
      <c r="N10" s="24" t="n">
        <v>24</v>
      </c>
      <c r="O10" s="24" t="n">
        <f aca="false">IFERROR(N10/'Mi negocio'!$B$15,0)</f>
        <v>1.45454545454545</v>
      </c>
      <c r="P10" s="25" t="n">
        <f aca="false">IFERROR(CEILING(M10/(1-'Mi negocio'!$B$24),5),0)</f>
        <v>220</v>
      </c>
      <c r="Q10" s="25" t="n">
        <f aca="false">IFERROR(CEILING(M10/(1-'Mi negocio'!$B$25),5),0)</f>
        <v>260</v>
      </c>
      <c r="R10" s="25" t="n">
        <f aca="false">IFERROR(CEILING(M10/(1-'Mi negocio'!$B$26),5),0)</f>
        <v>185</v>
      </c>
      <c r="S10" s="25" t="n">
        <f aca="false">IFERROR(CEILING((M10*'Mi negocio'!$B$13+'Mi negocio'!$B$14)/(1-'Mi negocio'!$B$27),10),0)</f>
        <v>960</v>
      </c>
      <c r="T10" s="14" t="n">
        <f aca="false">P10-M10</f>
        <v>136.9292865891</v>
      </c>
      <c r="U10" s="23" t="n">
        <f aca="false">IFERROR(E10/P10,0)</f>
        <v>0.242613892445583</v>
      </c>
    </row>
    <row r="11" customFormat="false" ht="15" hidden="false" customHeight="false" outlineLevel="0" collapsed="false">
      <c r="A11" s="9" t="n">
        <v>6</v>
      </c>
      <c r="B11" s="9" t="s">
        <v>406</v>
      </c>
      <c r="C11" s="12" t="s">
        <v>323</v>
      </c>
      <c r="D11" s="9" t="n">
        <v>6</v>
      </c>
      <c r="E11" s="14" t="n">
        <f aca="false">SUMIF(Ingredientes!$A:$A,$A11,Ingredientes!$H:$H)</f>
        <v>51.617338028169</v>
      </c>
      <c r="F11" s="14" t="n">
        <f aca="false">'Mi negocio'!$B$10</f>
        <v>2.5</v>
      </c>
      <c r="G11" s="14" t="n">
        <f aca="false">'Mi negocio'!$B$11</f>
        <v>1.8</v>
      </c>
      <c r="H11" s="22" t="n">
        <v>2</v>
      </c>
      <c r="I11" s="14" t="n">
        <f aca="false">H11/60*'Mi negocio'!$B$19</f>
        <v>2.5</v>
      </c>
      <c r="J11" s="14" t="n">
        <f aca="false">'Mi negocio'!$B$18</f>
        <v>15</v>
      </c>
      <c r="K11" s="14" t="n">
        <f aca="false">E11+F11+G11+I11+J11</f>
        <v>73.417338028169</v>
      </c>
      <c r="L11" s="23" t="n">
        <f aca="false">'Mi negocio'!$B$12</f>
        <v>0.08</v>
      </c>
      <c r="M11" s="21" t="n">
        <f aca="false">IFERROR(K11/(1-L11),0)</f>
        <v>79.8014543784446</v>
      </c>
      <c r="N11" s="24" t="n">
        <v>24</v>
      </c>
      <c r="O11" s="24" t="n">
        <f aca="false">IFERROR(N11/'Mi negocio'!$B$15,0)</f>
        <v>1.45454545454545</v>
      </c>
      <c r="P11" s="25" t="n">
        <f aca="false">IFERROR(CEILING(M11/(1-'Mi negocio'!$B$24),5),0)</f>
        <v>215</v>
      </c>
      <c r="Q11" s="25" t="n">
        <f aca="false">IFERROR(CEILING(M11/(1-'Mi negocio'!$B$25),5),0)</f>
        <v>250</v>
      </c>
      <c r="R11" s="25" t="n">
        <f aca="false">IFERROR(CEILING(M11/(1-'Mi negocio'!$B$26),5),0)</f>
        <v>180</v>
      </c>
      <c r="S11" s="25" t="n">
        <f aca="false">IFERROR(CEILING((M11*'Mi negocio'!$B$13+'Mi negocio'!$B$14)/(1-'Mi negocio'!$B$27),10),0)</f>
        <v>930</v>
      </c>
      <c r="T11" s="14" t="n">
        <f aca="false">P11-M11</f>
        <v>135.198545621555</v>
      </c>
      <c r="U11" s="23" t="n">
        <f aca="false">IFERROR(E11/P11,0)</f>
        <v>0.240080641991484</v>
      </c>
    </row>
    <row r="12" customFormat="false" ht="15" hidden="false" customHeight="false" outlineLevel="0" collapsed="false">
      <c r="A12" s="9" t="n">
        <v>7</v>
      </c>
      <c r="B12" s="9" t="s">
        <v>412</v>
      </c>
      <c r="C12" s="12" t="s">
        <v>323</v>
      </c>
      <c r="D12" s="9" t="n">
        <v>6</v>
      </c>
      <c r="E12" s="14" t="n">
        <f aca="false">SUMIF(Ingredientes!$A:$A,$A12,Ingredientes!$H:$H)</f>
        <v>56.6724162214667</v>
      </c>
      <c r="F12" s="14" t="n">
        <f aca="false">'Mi negocio'!$B$10</f>
        <v>2.5</v>
      </c>
      <c r="G12" s="14" t="n">
        <f aca="false">'Mi negocio'!$B$11</f>
        <v>1.8</v>
      </c>
      <c r="H12" s="22" t="n">
        <v>2</v>
      </c>
      <c r="I12" s="14" t="n">
        <f aca="false">H12/60*'Mi negocio'!$B$19</f>
        <v>2.5</v>
      </c>
      <c r="J12" s="14" t="n">
        <f aca="false">'Mi negocio'!$B$18</f>
        <v>15</v>
      </c>
      <c r="K12" s="14" t="n">
        <f aca="false">E12+F12+G12+I12+J12</f>
        <v>78.4724162214667</v>
      </c>
      <c r="L12" s="23" t="n">
        <f aca="false">'Mi negocio'!$B$12</f>
        <v>0.08</v>
      </c>
      <c r="M12" s="21" t="n">
        <f aca="false">IFERROR(K12/(1-L12),0)</f>
        <v>85.2961045885508</v>
      </c>
      <c r="N12" s="24" t="n">
        <v>24</v>
      </c>
      <c r="O12" s="24" t="n">
        <f aca="false">IFERROR(N12/'Mi negocio'!$B$15,0)</f>
        <v>1.45454545454545</v>
      </c>
      <c r="P12" s="25" t="n">
        <f aca="false">IFERROR(CEILING(M12/(1-'Mi negocio'!$B$24),5),0)</f>
        <v>225</v>
      </c>
      <c r="Q12" s="25" t="n">
        <f aca="false">IFERROR(CEILING(M12/(1-'Mi negocio'!$B$25),5),0)</f>
        <v>270</v>
      </c>
      <c r="R12" s="25" t="n">
        <f aca="false">IFERROR(CEILING(M12/(1-'Mi negocio'!$B$26),5),0)</f>
        <v>190</v>
      </c>
      <c r="S12" s="25" t="n">
        <f aca="false">IFERROR(CEILING((M12*'Mi negocio'!$B$13+'Mi negocio'!$B$14)/(1-'Mi negocio'!$B$27),10),0)</f>
        <v>990</v>
      </c>
      <c r="T12" s="14" t="n">
        <f aca="false">P12-M12</f>
        <v>139.703895411449</v>
      </c>
      <c r="U12" s="23" t="n">
        <f aca="false">IFERROR(E12/P12,0)</f>
        <v>0.251877405428741</v>
      </c>
    </row>
    <row r="13" customFormat="false" ht="15" hidden="false" customHeight="false" outlineLevel="0" collapsed="false">
      <c r="A13" s="9" t="n">
        <v>8</v>
      </c>
      <c r="B13" s="9" t="s">
        <v>424</v>
      </c>
      <c r="C13" s="12" t="s">
        <v>326</v>
      </c>
      <c r="D13" s="9" t="n">
        <v>6</v>
      </c>
      <c r="E13" s="14" t="n">
        <f aca="false">SUMIF(Ingredientes!$A:$A,$A13,Ingredientes!$H:$H)</f>
        <v>38.53</v>
      </c>
      <c r="F13" s="14" t="n">
        <f aca="false">'Mi negocio'!$B$10</f>
        <v>2.5</v>
      </c>
      <c r="G13" s="14" t="n">
        <f aca="false">'Mi negocio'!$B$11</f>
        <v>1.8</v>
      </c>
      <c r="H13" s="22" t="n">
        <v>3</v>
      </c>
      <c r="I13" s="14" t="n">
        <f aca="false">H13/60*'Mi negocio'!$B$19</f>
        <v>3.75</v>
      </c>
      <c r="J13" s="14" t="n">
        <f aca="false">'Mi negocio'!$B$18</f>
        <v>15</v>
      </c>
      <c r="K13" s="14" t="n">
        <f aca="false">E13+F13+G13+I13+J13</f>
        <v>61.58</v>
      </c>
      <c r="L13" s="23" t="n">
        <f aca="false">'Mi negocio'!$B$12</f>
        <v>0.08</v>
      </c>
      <c r="M13" s="21" t="n">
        <f aca="false">IFERROR(K13/(1-L13),0)</f>
        <v>66.9347826086956</v>
      </c>
      <c r="N13" s="24" t="n">
        <v>24</v>
      </c>
      <c r="O13" s="24" t="n">
        <f aca="false">IFERROR(N13/'Mi negocio'!$B$15,0)</f>
        <v>1.45454545454545</v>
      </c>
      <c r="P13" s="25" t="n">
        <f aca="false">IFERROR(CEILING(M13/(1-'Mi negocio'!$B$24),5),0)</f>
        <v>180</v>
      </c>
      <c r="Q13" s="25" t="n">
        <f aca="false">IFERROR(CEILING(M13/(1-'Mi negocio'!$B$25),5),0)</f>
        <v>210</v>
      </c>
      <c r="R13" s="25" t="n">
        <f aca="false">IFERROR(CEILING(M13/(1-'Mi negocio'!$B$26),5),0)</f>
        <v>150</v>
      </c>
      <c r="S13" s="25" t="n">
        <f aca="false">IFERROR(CEILING((M13*'Mi negocio'!$B$13+'Mi negocio'!$B$14)/(1-'Mi negocio'!$B$27),10),0)</f>
        <v>790</v>
      </c>
      <c r="T13" s="14" t="n">
        <f aca="false">P13-M13</f>
        <v>113.065217391304</v>
      </c>
      <c r="U13" s="23" t="n">
        <f aca="false">IFERROR(E13/P13,0)</f>
        <v>0.214055555555556</v>
      </c>
    </row>
    <row r="14" customFormat="false" ht="15" hidden="false" customHeight="false" outlineLevel="0" collapsed="false">
      <c r="A14" s="9" t="n">
        <v>9</v>
      </c>
      <c r="B14" s="9" t="s">
        <v>431</v>
      </c>
      <c r="C14" s="12" t="s">
        <v>335</v>
      </c>
      <c r="D14" s="9" t="n">
        <v>6</v>
      </c>
      <c r="E14" s="14" t="n">
        <f aca="false">SUMIF(Ingredientes!$A:$A,$A14,Ingredientes!$H:$H)</f>
        <v>47.96</v>
      </c>
      <c r="F14" s="14" t="n">
        <f aca="false">'Mi negocio'!$B$10</f>
        <v>2.5</v>
      </c>
      <c r="G14" s="14" t="n">
        <f aca="false">'Mi negocio'!$B$11</f>
        <v>1.8</v>
      </c>
      <c r="H14" s="22" t="n">
        <v>4</v>
      </c>
      <c r="I14" s="14" t="n">
        <f aca="false">H14/60*'Mi negocio'!$B$19</f>
        <v>5</v>
      </c>
      <c r="J14" s="14" t="n">
        <f aca="false">'Mi negocio'!$B$18</f>
        <v>15</v>
      </c>
      <c r="K14" s="14" t="n">
        <f aca="false">E14+F14+G14+I14+J14</f>
        <v>72.26</v>
      </c>
      <c r="L14" s="23" t="n">
        <f aca="false">'Mi negocio'!$B$12</f>
        <v>0.08</v>
      </c>
      <c r="M14" s="21" t="n">
        <f aca="false">IFERROR(K14/(1-L14),0)</f>
        <v>78.5434782608696</v>
      </c>
      <c r="N14" s="24" t="n">
        <v>24.07</v>
      </c>
      <c r="O14" s="24" t="n">
        <f aca="false">IFERROR(N14/'Mi negocio'!$B$15,0)</f>
        <v>1.45878787878788</v>
      </c>
      <c r="P14" s="25" t="n">
        <f aca="false">IFERROR(CEILING(M14/(1-'Mi negocio'!$B$24),5),0)</f>
        <v>210</v>
      </c>
      <c r="Q14" s="25" t="n">
        <f aca="false">IFERROR(CEILING(M14/(1-'Mi negocio'!$B$25),5),0)</f>
        <v>250</v>
      </c>
      <c r="R14" s="25" t="n">
        <f aca="false">IFERROR(CEILING(M14/(1-'Mi negocio'!$B$26),5),0)</f>
        <v>175</v>
      </c>
      <c r="S14" s="25" t="n">
        <f aca="false">IFERROR(CEILING((M14*'Mi negocio'!$B$13+'Mi negocio'!$B$14)/(1-'Mi negocio'!$B$27),10),0)</f>
        <v>910</v>
      </c>
      <c r="T14" s="14" t="n">
        <f aca="false">P14-M14</f>
        <v>131.45652173913</v>
      </c>
      <c r="U14" s="23" t="n">
        <f aca="false">IFERROR(E14/P14,0)</f>
        <v>0.228380952380952</v>
      </c>
    </row>
    <row r="15" customFormat="false" ht="15" hidden="false" customHeight="false" outlineLevel="0" collapsed="false">
      <c r="A15" s="9" t="n">
        <v>10</v>
      </c>
      <c r="B15" s="9" t="s">
        <v>438</v>
      </c>
      <c r="C15" s="12" t="s">
        <v>326</v>
      </c>
      <c r="D15" s="9" t="n">
        <v>7</v>
      </c>
      <c r="E15" s="14" t="n">
        <f aca="false">SUMIF(Ingredientes!$A:$A,$A15,Ingredientes!$H:$H)</f>
        <v>90.0207142857143</v>
      </c>
      <c r="F15" s="14" t="n">
        <f aca="false">'Mi negocio'!$B$10</f>
        <v>2.5</v>
      </c>
      <c r="G15" s="14" t="n">
        <f aca="false">'Mi negocio'!$B$11</f>
        <v>1.8</v>
      </c>
      <c r="H15" s="22" t="n">
        <v>3</v>
      </c>
      <c r="I15" s="14" t="n">
        <f aca="false">H15/60*'Mi negocio'!$B$19</f>
        <v>3.75</v>
      </c>
      <c r="J15" s="14" t="n">
        <f aca="false">'Mi negocio'!$B$18</f>
        <v>15</v>
      </c>
      <c r="K15" s="14" t="n">
        <f aca="false">E15+F15+G15+I15+J15</f>
        <v>113.070714285714</v>
      </c>
      <c r="L15" s="23" t="n">
        <f aca="false">'Mi negocio'!$B$12</f>
        <v>0.08</v>
      </c>
      <c r="M15" s="21" t="n">
        <f aca="false">IFERROR(K15/(1-L15),0)</f>
        <v>122.902950310559</v>
      </c>
      <c r="N15" s="24" t="n">
        <v>37</v>
      </c>
      <c r="O15" s="24" t="n">
        <f aca="false">IFERROR(N15/'Mi negocio'!$B$15,0)</f>
        <v>2.24242424242424</v>
      </c>
      <c r="P15" s="25" t="n">
        <f aca="false">IFERROR(CEILING(M15/(1-'Mi negocio'!$B$24),5),0)</f>
        <v>325</v>
      </c>
      <c r="Q15" s="25" t="n">
        <f aca="false">IFERROR(CEILING(M15/(1-'Mi negocio'!$B$25),5),0)</f>
        <v>385</v>
      </c>
      <c r="R15" s="25" t="n">
        <f aca="false">IFERROR(CEILING(M15/(1-'Mi negocio'!$B$26),5),0)</f>
        <v>275</v>
      </c>
      <c r="S15" s="25" t="n">
        <f aca="false">IFERROR(CEILING((M15*'Mi negocio'!$B$13+'Mi negocio'!$B$14)/(1-'Mi negocio'!$B$27),10),0)</f>
        <v>1400</v>
      </c>
      <c r="T15" s="14" t="n">
        <f aca="false">P15-M15</f>
        <v>202.097049689441</v>
      </c>
      <c r="U15" s="23" t="n">
        <f aca="false">IFERROR(E15/P15,0)</f>
        <v>0.276986813186813</v>
      </c>
    </row>
    <row r="16" customFormat="false" ht="15" hidden="false" customHeight="false" outlineLevel="0" collapsed="false">
      <c r="A16" s="9" t="n">
        <v>11</v>
      </c>
      <c r="B16" s="9" t="s">
        <v>445</v>
      </c>
      <c r="C16" s="12" t="s">
        <v>329</v>
      </c>
      <c r="D16" s="9" t="n">
        <v>7</v>
      </c>
      <c r="E16" s="14" t="n">
        <f aca="false">SUMIF(Ingredientes!$A:$A,$A16,Ingredientes!$H:$H)</f>
        <v>48.6505</v>
      </c>
      <c r="F16" s="14" t="n">
        <f aca="false">'Mi negocio'!$B$10</f>
        <v>2.5</v>
      </c>
      <c r="G16" s="14" t="n">
        <f aca="false">'Mi negocio'!$B$11</f>
        <v>1.8</v>
      </c>
      <c r="H16" s="22" t="n">
        <v>3</v>
      </c>
      <c r="I16" s="14" t="n">
        <f aca="false">H16/60*'Mi negocio'!$B$19</f>
        <v>3.75</v>
      </c>
      <c r="J16" s="14" t="n">
        <f aca="false">'Mi negocio'!$B$18</f>
        <v>15</v>
      </c>
      <c r="K16" s="14" t="n">
        <f aca="false">E16+F16+G16+I16+J16</f>
        <v>71.7005</v>
      </c>
      <c r="L16" s="23" t="n">
        <f aca="false">'Mi negocio'!$B$12</f>
        <v>0.08</v>
      </c>
      <c r="M16" s="21" t="n">
        <f aca="false">IFERROR(K16/(1-L16),0)</f>
        <v>77.9353260869565</v>
      </c>
      <c r="N16" s="24" t="n">
        <v>25.73</v>
      </c>
      <c r="O16" s="24" t="n">
        <f aca="false">IFERROR(N16/'Mi negocio'!$B$15,0)</f>
        <v>1.55939393939394</v>
      </c>
      <c r="P16" s="25" t="n">
        <f aca="false">IFERROR(CEILING(M16/(1-'Mi negocio'!$B$24),5),0)</f>
        <v>210</v>
      </c>
      <c r="Q16" s="25" t="n">
        <f aca="false">IFERROR(CEILING(M16/(1-'Mi negocio'!$B$25),5),0)</f>
        <v>245</v>
      </c>
      <c r="R16" s="25" t="n">
        <f aca="false">IFERROR(CEILING(M16/(1-'Mi negocio'!$B$26),5),0)</f>
        <v>175</v>
      </c>
      <c r="S16" s="25" t="n">
        <f aca="false">IFERROR(CEILING((M16*'Mi negocio'!$B$13+'Mi negocio'!$B$14)/(1-'Mi negocio'!$B$27),10),0)</f>
        <v>910</v>
      </c>
      <c r="T16" s="14" t="n">
        <f aca="false">P16-M16</f>
        <v>132.064673913043</v>
      </c>
      <c r="U16" s="23" t="n">
        <f aca="false">IFERROR(E16/P16,0)</f>
        <v>0.231669047619048</v>
      </c>
    </row>
    <row r="17" customFormat="false" ht="15" hidden="false" customHeight="false" outlineLevel="0" collapsed="false">
      <c r="A17" s="9" t="n">
        <v>12</v>
      </c>
      <c r="B17" s="9" t="s">
        <v>453</v>
      </c>
      <c r="C17" s="12" t="s">
        <v>326</v>
      </c>
      <c r="D17" s="9" t="n">
        <v>7</v>
      </c>
      <c r="E17" s="14" t="n">
        <f aca="false">SUMIF(Ingredientes!$A:$A,$A17,Ingredientes!$H:$H)</f>
        <v>81.6035714285714</v>
      </c>
      <c r="F17" s="14" t="n">
        <f aca="false">'Mi negocio'!$B$10</f>
        <v>2.5</v>
      </c>
      <c r="G17" s="14" t="n">
        <f aca="false">'Mi negocio'!$B$11</f>
        <v>1.8</v>
      </c>
      <c r="H17" s="22" t="n">
        <v>3</v>
      </c>
      <c r="I17" s="14" t="n">
        <f aca="false">H17/60*'Mi negocio'!$B$19</f>
        <v>3.75</v>
      </c>
      <c r="J17" s="14" t="n">
        <f aca="false">'Mi negocio'!$B$18</f>
        <v>15</v>
      </c>
      <c r="K17" s="14" t="n">
        <f aca="false">E17+F17+G17+I17+J17</f>
        <v>104.653571428571</v>
      </c>
      <c r="L17" s="23" t="n">
        <f aca="false">'Mi negocio'!$B$12</f>
        <v>0.08</v>
      </c>
      <c r="M17" s="21" t="n">
        <f aca="false">IFERROR(K17/(1-L17),0)</f>
        <v>113.753881987578</v>
      </c>
      <c r="N17" s="24" t="n">
        <v>22.27</v>
      </c>
      <c r="O17" s="24" t="n">
        <f aca="false">IFERROR(N17/'Mi negocio'!$B$15,0)</f>
        <v>1.34969696969697</v>
      </c>
      <c r="P17" s="25" t="n">
        <f aca="false">IFERROR(CEILING(M17/(1-'Mi negocio'!$B$24),5),0)</f>
        <v>300</v>
      </c>
      <c r="Q17" s="25" t="n">
        <f aca="false">IFERROR(CEILING(M17/(1-'Mi negocio'!$B$25),5),0)</f>
        <v>360</v>
      </c>
      <c r="R17" s="25" t="n">
        <f aca="false">IFERROR(CEILING(M17/(1-'Mi negocio'!$B$26),5),0)</f>
        <v>255</v>
      </c>
      <c r="S17" s="25" t="n">
        <f aca="false">IFERROR(CEILING((M17*'Mi negocio'!$B$13+'Mi negocio'!$B$14)/(1-'Mi negocio'!$B$27),10),0)</f>
        <v>1300</v>
      </c>
      <c r="T17" s="14" t="n">
        <f aca="false">P17-M17</f>
        <v>186.246118012422</v>
      </c>
      <c r="U17" s="23" t="n">
        <f aca="false">IFERROR(E17/P17,0)</f>
        <v>0.272011904761905</v>
      </c>
    </row>
    <row r="18" customFormat="false" ht="15" hidden="false" customHeight="false" outlineLevel="0" collapsed="false">
      <c r="A18" s="9" t="n">
        <v>13</v>
      </c>
      <c r="B18" s="9" t="s">
        <v>459</v>
      </c>
      <c r="C18" s="12" t="s">
        <v>335</v>
      </c>
      <c r="D18" s="9" t="n">
        <v>7</v>
      </c>
      <c r="E18" s="14" t="n">
        <f aca="false">SUMIF(Ingredientes!$A:$A,$A18,Ingredientes!$H:$H)</f>
        <v>68.7254929577465</v>
      </c>
      <c r="F18" s="14" t="n">
        <f aca="false">'Mi negocio'!$B$10</f>
        <v>2.5</v>
      </c>
      <c r="G18" s="14" t="n">
        <f aca="false">'Mi negocio'!$B$11</f>
        <v>1.8</v>
      </c>
      <c r="H18" s="22" t="n">
        <v>4</v>
      </c>
      <c r="I18" s="14" t="n">
        <f aca="false">H18/60*'Mi negocio'!$B$19</f>
        <v>5</v>
      </c>
      <c r="J18" s="14" t="n">
        <f aca="false">'Mi negocio'!$B$18</f>
        <v>15</v>
      </c>
      <c r="K18" s="14" t="n">
        <f aca="false">E18+F18+G18+I18+J18</f>
        <v>93.0254929577465</v>
      </c>
      <c r="L18" s="23" t="n">
        <f aca="false">'Mi negocio'!$B$12</f>
        <v>0.08</v>
      </c>
      <c r="M18" s="21" t="n">
        <f aca="false">IFERROR(K18/(1-L18),0)</f>
        <v>101.11466625842</v>
      </c>
      <c r="N18" s="24" t="n">
        <v>27</v>
      </c>
      <c r="O18" s="24" t="n">
        <f aca="false">IFERROR(N18/'Mi negocio'!$B$15,0)</f>
        <v>1.63636363636364</v>
      </c>
      <c r="P18" s="25" t="n">
        <f aca="false">IFERROR(CEILING(M18/(1-'Mi negocio'!$B$24),5),0)</f>
        <v>270</v>
      </c>
      <c r="Q18" s="25" t="n">
        <f aca="false">IFERROR(CEILING(M18/(1-'Mi negocio'!$B$25),5),0)</f>
        <v>320</v>
      </c>
      <c r="R18" s="25" t="n">
        <f aca="false">IFERROR(CEILING(M18/(1-'Mi negocio'!$B$26),5),0)</f>
        <v>225</v>
      </c>
      <c r="S18" s="25" t="n">
        <f aca="false">IFERROR(CEILING((M18*'Mi negocio'!$B$13+'Mi negocio'!$B$14)/(1-'Mi negocio'!$B$27),10),0)</f>
        <v>1160</v>
      </c>
      <c r="T18" s="14" t="n">
        <f aca="false">P18-M18</f>
        <v>168.88533374158</v>
      </c>
      <c r="U18" s="23" t="n">
        <f aca="false">IFERROR(E18/P18,0)</f>
        <v>0.254538862806469</v>
      </c>
    </row>
    <row r="19" customFormat="false" ht="15" hidden="false" customHeight="false" outlineLevel="0" collapsed="false">
      <c r="A19" s="9" t="n">
        <v>14</v>
      </c>
      <c r="B19" s="9" t="s">
        <v>467</v>
      </c>
      <c r="C19" s="12" t="s">
        <v>332</v>
      </c>
      <c r="D19" s="9" t="n">
        <v>7</v>
      </c>
      <c r="E19" s="14" t="n">
        <f aca="false">SUMIF(Ingredientes!$A:$A,$A19,Ingredientes!$H:$H)</f>
        <v>58.411</v>
      </c>
      <c r="F19" s="14" t="n">
        <f aca="false">'Mi negocio'!$B$10</f>
        <v>2.5</v>
      </c>
      <c r="G19" s="14" t="n">
        <f aca="false">'Mi negocio'!$B$11</f>
        <v>1.8</v>
      </c>
      <c r="H19" s="22" t="n">
        <v>4</v>
      </c>
      <c r="I19" s="14" t="n">
        <f aca="false">H19/60*'Mi negocio'!$B$19</f>
        <v>5</v>
      </c>
      <c r="J19" s="14" t="n">
        <f aca="false">'Mi negocio'!$B$18</f>
        <v>15</v>
      </c>
      <c r="K19" s="14" t="n">
        <f aca="false">E19+F19+G19+I19+J19</f>
        <v>82.711</v>
      </c>
      <c r="L19" s="23" t="n">
        <f aca="false">'Mi negocio'!$B$12</f>
        <v>0.08</v>
      </c>
      <c r="M19" s="21" t="n">
        <f aca="false">IFERROR(K19/(1-L19),0)</f>
        <v>89.9032608695652</v>
      </c>
      <c r="N19" s="24" t="n">
        <v>27</v>
      </c>
      <c r="O19" s="24" t="n">
        <f aca="false">IFERROR(N19/'Mi negocio'!$B$15,0)</f>
        <v>1.63636363636364</v>
      </c>
      <c r="P19" s="25" t="n">
        <f aca="false">IFERROR(CEILING(M19/(1-'Mi negocio'!$B$24),5),0)</f>
        <v>240</v>
      </c>
      <c r="Q19" s="25" t="n">
        <f aca="false">IFERROR(CEILING(M19/(1-'Mi negocio'!$B$25),5),0)</f>
        <v>285</v>
      </c>
      <c r="R19" s="25" t="n">
        <f aca="false">IFERROR(CEILING(M19/(1-'Mi negocio'!$B$26),5),0)</f>
        <v>200</v>
      </c>
      <c r="S19" s="25" t="n">
        <f aca="false">IFERROR(CEILING((M19*'Mi negocio'!$B$13+'Mi negocio'!$B$14)/(1-'Mi negocio'!$B$27),10),0)</f>
        <v>1040</v>
      </c>
      <c r="T19" s="14" t="n">
        <f aca="false">P19-M19</f>
        <v>150.096739130435</v>
      </c>
      <c r="U19" s="23" t="n">
        <f aca="false">IFERROR(E19/P19,0)</f>
        <v>0.243379166666667</v>
      </c>
    </row>
    <row r="20" customFormat="false" ht="15" hidden="false" customHeight="false" outlineLevel="0" collapsed="false">
      <c r="A20" s="9" t="n">
        <v>15</v>
      </c>
      <c r="B20" s="9" t="s">
        <v>476</v>
      </c>
      <c r="C20" s="12" t="s">
        <v>326</v>
      </c>
      <c r="D20" s="9" t="n">
        <v>7</v>
      </c>
      <c r="E20" s="14" t="n">
        <f aca="false">SUMIF(Ingredientes!$A:$A,$A20,Ingredientes!$H:$H)</f>
        <v>71.545</v>
      </c>
      <c r="F20" s="14" t="n">
        <f aca="false">'Mi negocio'!$B$10</f>
        <v>2.5</v>
      </c>
      <c r="G20" s="14" t="n">
        <f aca="false">'Mi negocio'!$B$11</f>
        <v>1.8</v>
      </c>
      <c r="H20" s="22" t="n">
        <v>3</v>
      </c>
      <c r="I20" s="14" t="n">
        <f aca="false">H20/60*'Mi negocio'!$B$19</f>
        <v>3.75</v>
      </c>
      <c r="J20" s="14" t="n">
        <f aca="false">'Mi negocio'!$B$18</f>
        <v>15</v>
      </c>
      <c r="K20" s="14" t="n">
        <f aca="false">E20+F20+G20+I20+J20</f>
        <v>94.595</v>
      </c>
      <c r="L20" s="23" t="n">
        <f aca="false">'Mi negocio'!$B$12</f>
        <v>0.08</v>
      </c>
      <c r="M20" s="21" t="n">
        <f aca="false">IFERROR(K20/(1-L20),0)</f>
        <v>102.820652173913</v>
      </c>
      <c r="N20" s="24" t="n">
        <v>27</v>
      </c>
      <c r="O20" s="24" t="n">
        <f aca="false">IFERROR(N20/'Mi negocio'!$B$15,0)</f>
        <v>1.63636363636364</v>
      </c>
      <c r="P20" s="25" t="n">
        <f aca="false">IFERROR(CEILING(M20/(1-'Mi negocio'!$B$24),5),0)</f>
        <v>275</v>
      </c>
      <c r="Q20" s="25" t="n">
        <f aca="false">IFERROR(CEILING(M20/(1-'Mi negocio'!$B$25),5),0)</f>
        <v>325</v>
      </c>
      <c r="R20" s="25" t="n">
        <f aca="false">IFERROR(CEILING(M20/(1-'Mi negocio'!$B$26),5),0)</f>
        <v>230</v>
      </c>
      <c r="S20" s="25" t="n">
        <f aca="false">IFERROR(CEILING((M20*'Mi negocio'!$B$13+'Mi negocio'!$B$14)/(1-'Mi negocio'!$B$27),10),0)</f>
        <v>1180</v>
      </c>
      <c r="T20" s="14" t="n">
        <f aca="false">P20-M20</f>
        <v>172.179347826087</v>
      </c>
      <c r="U20" s="23" t="n">
        <f aca="false">IFERROR(E20/P20,0)</f>
        <v>0.260163636363636</v>
      </c>
    </row>
    <row r="21" customFormat="false" ht="15" hidden="false" customHeight="false" outlineLevel="0" collapsed="false">
      <c r="A21" s="9" t="n">
        <v>16</v>
      </c>
      <c r="B21" s="9" t="s">
        <v>483</v>
      </c>
      <c r="C21" s="12" t="s">
        <v>323</v>
      </c>
      <c r="D21" s="9" t="n">
        <v>7</v>
      </c>
      <c r="E21" s="14" t="n">
        <f aca="false">SUMIF(Ingredientes!$A:$A,$A21,Ingredientes!$H:$H)</f>
        <v>77.560985915493</v>
      </c>
      <c r="F21" s="14" t="n">
        <f aca="false">'Mi negocio'!$B$10</f>
        <v>2.5</v>
      </c>
      <c r="G21" s="14" t="n">
        <f aca="false">'Mi negocio'!$B$11</f>
        <v>1.8</v>
      </c>
      <c r="H21" s="22" t="n">
        <v>2</v>
      </c>
      <c r="I21" s="14" t="n">
        <f aca="false">H21/60*'Mi negocio'!$B$19</f>
        <v>2.5</v>
      </c>
      <c r="J21" s="14" t="n">
        <f aca="false">'Mi negocio'!$B$18</f>
        <v>15</v>
      </c>
      <c r="K21" s="14" t="n">
        <f aca="false">E21+F21+G21+I21+J21</f>
        <v>99.360985915493</v>
      </c>
      <c r="L21" s="23" t="n">
        <f aca="false">'Mi negocio'!$B$12</f>
        <v>0.08</v>
      </c>
      <c r="M21" s="21" t="n">
        <f aca="false">IFERROR(K21/(1-L21),0)</f>
        <v>108.001071647275</v>
      </c>
      <c r="N21" s="24" t="n">
        <v>28.18</v>
      </c>
      <c r="O21" s="24" t="n">
        <f aca="false">IFERROR(N21/'Mi negocio'!$B$15,0)</f>
        <v>1.70787878787879</v>
      </c>
      <c r="P21" s="25" t="n">
        <f aca="false">IFERROR(CEILING(M21/(1-'Mi negocio'!$B$24),5),0)</f>
        <v>285</v>
      </c>
      <c r="Q21" s="25" t="n">
        <f aca="false">IFERROR(CEILING(M21/(1-'Mi negocio'!$B$25),5),0)</f>
        <v>340</v>
      </c>
      <c r="R21" s="25" t="n">
        <f aca="false">IFERROR(CEILING(M21/(1-'Mi negocio'!$B$26),5),0)</f>
        <v>245</v>
      </c>
      <c r="S21" s="25" t="n">
        <f aca="false">IFERROR(CEILING((M21*'Mi negocio'!$B$13+'Mi negocio'!$B$14)/(1-'Mi negocio'!$B$27),10),0)</f>
        <v>1230</v>
      </c>
      <c r="T21" s="14" t="n">
        <f aca="false">P21-M21</f>
        <v>176.998928352725</v>
      </c>
      <c r="U21" s="23" t="n">
        <f aca="false">IFERROR(E21/P21,0)</f>
        <v>0.2721438102298</v>
      </c>
    </row>
    <row r="22" customFormat="false" ht="15" hidden="false" customHeight="false" outlineLevel="0" collapsed="false">
      <c r="A22" s="9" t="n">
        <v>17</v>
      </c>
      <c r="B22" s="9" t="s">
        <v>490</v>
      </c>
      <c r="C22" s="12" t="s">
        <v>326</v>
      </c>
      <c r="D22" s="9" t="n">
        <v>7</v>
      </c>
      <c r="E22" s="14" t="n">
        <f aca="false">SUMIF(Ingredientes!$A:$A,$A22,Ingredientes!$H:$H)</f>
        <v>47.7663333333333</v>
      </c>
      <c r="F22" s="14" t="n">
        <f aca="false">'Mi negocio'!$B$10</f>
        <v>2.5</v>
      </c>
      <c r="G22" s="14" t="n">
        <f aca="false">'Mi negocio'!$B$11</f>
        <v>1.8</v>
      </c>
      <c r="H22" s="22" t="n">
        <v>3</v>
      </c>
      <c r="I22" s="14" t="n">
        <f aca="false">H22/60*'Mi negocio'!$B$19</f>
        <v>3.75</v>
      </c>
      <c r="J22" s="14" t="n">
        <f aca="false">'Mi negocio'!$B$18</f>
        <v>15</v>
      </c>
      <c r="K22" s="14" t="n">
        <f aca="false">E22+F22+G22+I22+J22</f>
        <v>70.8163333333333</v>
      </c>
      <c r="L22" s="23" t="n">
        <f aca="false">'Mi negocio'!$B$12</f>
        <v>0.08</v>
      </c>
      <c r="M22" s="21" t="n">
        <f aca="false">IFERROR(K22/(1-L22),0)</f>
        <v>76.9742753623188</v>
      </c>
      <c r="N22" s="24" t="n">
        <v>22.5</v>
      </c>
      <c r="O22" s="24" t="n">
        <f aca="false">IFERROR(N22/'Mi negocio'!$B$15,0)</f>
        <v>1.36363636363636</v>
      </c>
      <c r="P22" s="25" t="n">
        <f aca="false">IFERROR(CEILING(M22/(1-'Mi negocio'!$B$24),5),0)</f>
        <v>205</v>
      </c>
      <c r="Q22" s="25" t="n">
        <f aca="false">IFERROR(CEILING(M22/(1-'Mi negocio'!$B$25),5),0)</f>
        <v>245</v>
      </c>
      <c r="R22" s="25" t="n">
        <f aca="false">IFERROR(CEILING(M22/(1-'Mi negocio'!$B$26),5),0)</f>
        <v>175</v>
      </c>
      <c r="S22" s="25" t="n">
        <f aca="false">IFERROR(CEILING((M22*'Mi negocio'!$B$13+'Mi negocio'!$B$14)/(1-'Mi negocio'!$B$27),10),0)</f>
        <v>900</v>
      </c>
      <c r="T22" s="14" t="n">
        <f aca="false">P22-M22</f>
        <v>128.025724637681</v>
      </c>
      <c r="U22" s="23" t="n">
        <f aca="false">IFERROR(E22/P22,0)</f>
        <v>0.233006504065041</v>
      </c>
    </row>
    <row r="23" customFormat="false" ht="15" hidden="false" customHeight="false" outlineLevel="0" collapsed="false">
      <c r="A23" s="9" t="n">
        <v>18</v>
      </c>
      <c r="B23" s="9" t="s">
        <v>498</v>
      </c>
      <c r="C23" s="12" t="s">
        <v>338</v>
      </c>
      <c r="D23" s="9" t="n">
        <v>7</v>
      </c>
      <c r="E23" s="14" t="n">
        <f aca="false">SUMIF(Ingredientes!$A:$A,$A23,Ingredientes!$H:$H)</f>
        <v>128.55</v>
      </c>
      <c r="F23" s="14" t="n">
        <f aca="false">'Mi negocio'!$B$10</f>
        <v>2.5</v>
      </c>
      <c r="G23" s="14" t="n">
        <f aca="false">'Mi negocio'!$B$11</f>
        <v>1.8</v>
      </c>
      <c r="H23" s="22" t="n">
        <v>6</v>
      </c>
      <c r="I23" s="14" t="n">
        <f aca="false">H23/60*'Mi negocio'!$B$19</f>
        <v>7.5</v>
      </c>
      <c r="J23" s="14" t="n">
        <f aca="false">'Mi negocio'!$B$18</f>
        <v>15</v>
      </c>
      <c r="K23" s="14" t="n">
        <f aca="false">E23+F23+G23+I23+J23</f>
        <v>155.35</v>
      </c>
      <c r="L23" s="23" t="n">
        <f aca="false">'Mi negocio'!$B$12</f>
        <v>0.08</v>
      </c>
      <c r="M23" s="21" t="n">
        <f aca="false">IFERROR(K23/(1-L23),0)</f>
        <v>168.858695652174</v>
      </c>
      <c r="N23" s="24" t="n">
        <v>29.4</v>
      </c>
      <c r="O23" s="24" t="n">
        <f aca="false">IFERROR(N23/'Mi negocio'!$B$15,0)</f>
        <v>1.78181818181818</v>
      </c>
      <c r="P23" s="25" t="n">
        <f aca="false">IFERROR(CEILING(M23/(1-'Mi negocio'!$B$24),5),0)</f>
        <v>445</v>
      </c>
      <c r="Q23" s="25" t="n">
        <f aca="false">IFERROR(CEILING(M23/(1-'Mi negocio'!$B$25),5),0)</f>
        <v>530</v>
      </c>
      <c r="R23" s="25" t="n">
        <f aca="false">IFERROR(CEILING(M23/(1-'Mi negocio'!$B$26),5),0)</f>
        <v>380</v>
      </c>
      <c r="S23" s="25" t="n">
        <f aca="false">IFERROR(CEILING((M23*'Mi negocio'!$B$13+'Mi negocio'!$B$14)/(1-'Mi negocio'!$B$27),10),0)</f>
        <v>1900</v>
      </c>
      <c r="T23" s="14" t="n">
        <f aca="false">P23-M23</f>
        <v>276.141304347826</v>
      </c>
      <c r="U23" s="23" t="n">
        <f aca="false">IFERROR(E23/P23,0)</f>
        <v>0.288876404494382</v>
      </c>
    </row>
    <row r="24" customFormat="false" ht="15" hidden="false" customHeight="false" outlineLevel="0" collapsed="false">
      <c r="A24" s="9" t="n">
        <v>19</v>
      </c>
      <c r="B24" s="9" t="s">
        <v>506</v>
      </c>
      <c r="C24" s="12" t="s">
        <v>332</v>
      </c>
      <c r="D24" s="9" t="n">
        <v>8</v>
      </c>
      <c r="E24" s="14" t="n">
        <f aca="false">SUMIF(Ingredientes!$A:$A,$A24,Ingredientes!$H:$H)</f>
        <v>40.5772535211268</v>
      </c>
      <c r="F24" s="14" t="n">
        <f aca="false">'Mi negocio'!$B$10</f>
        <v>2.5</v>
      </c>
      <c r="G24" s="14" t="n">
        <f aca="false">'Mi negocio'!$B$11</f>
        <v>1.8</v>
      </c>
      <c r="H24" s="22" t="n">
        <v>4</v>
      </c>
      <c r="I24" s="14" t="n">
        <f aca="false">H24/60*'Mi negocio'!$B$19</f>
        <v>5</v>
      </c>
      <c r="J24" s="14" t="n">
        <f aca="false">'Mi negocio'!$B$18</f>
        <v>15</v>
      </c>
      <c r="K24" s="14" t="n">
        <f aca="false">E24+F24+G24+I24+J24</f>
        <v>64.8772535211268</v>
      </c>
      <c r="L24" s="23" t="n">
        <f aca="false">'Mi negocio'!$B$12</f>
        <v>0.08</v>
      </c>
      <c r="M24" s="21" t="n">
        <f aca="false">IFERROR(K24/(1-L24),0)</f>
        <v>70.5187538273117</v>
      </c>
      <c r="N24" s="24" t="n">
        <v>24</v>
      </c>
      <c r="O24" s="24" t="n">
        <f aca="false">IFERROR(N24/'Mi negocio'!$B$15,0)</f>
        <v>1.45454545454545</v>
      </c>
      <c r="P24" s="25" t="n">
        <f aca="false">IFERROR(CEILING(M24/(1-'Mi negocio'!$B$24),5),0)</f>
        <v>190</v>
      </c>
      <c r="Q24" s="25" t="n">
        <f aca="false">IFERROR(CEILING(M24/(1-'Mi negocio'!$B$25),5),0)</f>
        <v>225</v>
      </c>
      <c r="R24" s="25" t="n">
        <f aca="false">IFERROR(CEILING(M24/(1-'Mi negocio'!$B$26),5),0)</f>
        <v>160</v>
      </c>
      <c r="S24" s="25" t="n">
        <f aca="false">IFERROR(CEILING((M24*'Mi negocio'!$B$13+'Mi negocio'!$B$14)/(1-'Mi negocio'!$B$27),10),0)</f>
        <v>830</v>
      </c>
      <c r="T24" s="14" t="n">
        <f aca="false">P24-M24</f>
        <v>119.481246172688</v>
      </c>
      <c r="U24" s="23" t="n">
        <f aca="false">IFERROR(E24/P24,0)</f>
        <v>0.213564492216457</v>
      </c>
    </row>
    <row r="25" customFormat="false" ht="15" hidden="false" customHeight="false" outlineLevel="0" collapsed="false">
      <c r="A25" s="9" t="n">
        <v>20</v>
      </c>
      <c r="B25" s="9" t="s">
        <v>513</v>
      </c>
      <c r="C25" s="12" t="s">
        <v>326</v>
      </c>
      <c r="D25" s="9" t="n">
        <v>8</v>
      </c>
      <c r="E25" s="14" t="n">
        <f aca="false">SUMIF(Ingredientes!$A:$A,$A25,Ingredientes!$H:$H)</f>
        <v>35.394</v>
      </c>
      <c r="F25" s="14" t="n">
        <f aca="false">'Mi negocio'!$B$10</f>
        <v>2.5</v>
      </c>
      <c r="G25" s="14" t="n">
        <f aca="false">'Mi negocio'!$B$11</f>
        <v>1.8</v>
      </c>
      <c r="H25" s="22" t="n">
        <v>3</v>
      </c>
      <c r="I25" s="14" t="n">
        <f aca="false">H25/60*'Mi negocio'!$B$19</f>
        <v>3.75</v>
      </c>
      <c r="J25" s="14" t="n">
        <f aca="false">'Mi negocio'!$B$18</f>
        <v>15</v>
      </c>
      <c r="K25" s="14" t="n">
        <f aca="false">E25+F25+G25+I25+J25</f>
        <v>58.444</v>
      </c>
      <c r="L25" s="23" t="n">
        <f aca="false">'Mi negocio'!$B$12</f>
        <v>0.08</v>
      </c>
      <c r="M25" s="21" t="n">
        <f aca="false">IFERROR(K25/(1-L25),0)</f>
        <v>63.5260869565217</v>
      </c>
      <c r="N25" s="24" t="n">
        <v>24</v>
      </c>
      <c r="O25" s="24" t="n">
        <f aca="false">IFERROR(N25/'Mi negocio'!$B$15,0)</f>
        <v>1.45454545454545</v>
      </c>
      <c r="P25" s="25" t="n">
        <f aca="false">IFERROR(CEILING(M25/(1-'Mi negocio'!$B$24),5),0)</f>
        <v>170</v>
      </c>
      <c r="Q25" s="25" t="n">
        <f aca="false">IFERROR(CEILING(M25/(1-'Mi negocio'!$B$25),5),0)</f>
        <v>200</v>
      </c>
      <c r="R25" s="25" t="n">
        <f aca="false">IFERROR(CEILING(M25/(1-'Mi negocio'!$B$26),5),0)</f>
        <v>145</v>
      </c>
      <c r="S25" s="25" t="n">
        <f aca="false">IFERROR(CEILING((M25*'Mi negocio'!$B$13+'Mi negocio'!$B$14)/(1-'Mi negocio'!$B$27),10),0)</f>
        <v>750</v>
      </c>
      <c r="T25" s="14" t="n">
        <f aca="false">P25-M25</f>
        <v>106.473913043478</v>
      </c>
      <c r="U25" s="23" t="n">
        <f aca="false">IFERROR(E25/P25,0)</f>
        <v>0.2082</v>
      </c>
    </row>
    <row r="26" customFormat="false" ht="15" hidden="false" customHeight="false" outlineLevel="0" collapsed="false">
      <c r="A26" s="9" t="n">
        <v>21</v>
      </c>
      <c r="B26" s="9" t="s">
        <v>518</v>
      </c>
      <c r="C26" s="12" t="s">
        <v>335</v>
      </c>
      <c r="D26" s="9" t="n">
        <v>8</v>
      </c>
      <c r="E26" s="14" t="n">
        <f aca="false">SUMIF(Ingredientes!$A:$A,$A26,Ingredientes!$H:$H)</f>
        <v>62.21</v>
      </c>
      <c r="F26" s="14" t="n">
        <f aca="false">'Mi negocio'!$B$10</f>
        <v>2.5</v>
      </c>
      <c r="G26" s="14" t="n">
        <f aca="false">'Mi negocio'!$B$11</f>
        <v>1.8</v>
      </c>
      <c r="H26" s="22" t="n">
        <v>4</v>
      </c>
      <c r="I26" s="14" t="n">
        <f aca="false">H26/60*'Mi negocio'!$B$19</f>
        <v>5</v>
      </c>
      <c r="J26" s="14" t="n">
        <f aca="false">'Mi negocio'!$B$18</f>
        <v>15</v>
      </c>
      <c r="K26" s="14" t="n">
        <f aca="false">E26+F26+G26+I26+J26</f>
        <v>86.51</v>
      </c>
      <c r="L26" s="23" t="n">
        <f aca="false">'Mi negocio'!$B$12</f>
        <v>0.08</v>
      </c>
      <c r="M26" s="21" t="n">
        <f aca="false">IFERROR(K26/(1-L26),0)</f>
        <v>94.0326086956522</v>
      </c>
      <c r="N26" s="24" t="n">
        <v>27.02</v>
      </c>
      <c r="O26" s="24" t="n">
        <f aca="false">IFERROR(N26/'Mi negocio'!$B$15,0)</f>
        <v>1.63757575757576</v>
      </c>
      <c r="P26" s="25" t="n">
        <f aca="false">IFERROR(CEILING(M26/(1-'Mi negocio'!$B$24),5),0)</f>
        <v>250</v>
      </c>
      <c r="Q26" s="25" t="n">
        <f aca="false">IFERROR(CEILING(M26/(1-'Mi negocio'!$B$25),5),0)</f>
        <v>295</v>
      </c>
      <c r="R26" s="25" t="n">
        <f aca="false">IFERROR(CEILING(M26/(1-'Mi negocio'!$B$26),5),0)</f>
        <v>210</v>
      </c>
      <c r="S26" s="25" t="n">
        <f aca="false">IFERROR(CEILING((M26*'Mi negocio'!$B$13+'Mi negocio'!$B$14)/(1-'Mi negocio'!$B$27),10),0)</f>
        <v>1080</v>
      </c>
      <c r="T26" s="14" t="n">
        <f aca="false">P26-M26</f>
        <v>155.967391304348</v>
      </c>
      <c r="U26" s="23" t="n">
        <f aca="false">IFERROR(E26/P26,0)</f>
        <v>0.24884</v>
      </c>
    </row>
    <row r="27" customFormat="false" ht="15" hidden="false" customHeight="false" outlineLevel="0" collapsed="false">
      <c r="A27" s="9" t="n">
        <v>22</v>
      </c>
      <c r="B27" s="9" t="s">
        <v>525</v>
      </c>
      <c r="C27" s="12" t="s">
        <v>326</v>
      </c>
      <c r="D27" s="9" t="n">
        <v>8</v>
      </c>
      <c r="E27" s="14" t="n">
        <f aca="false">SUMIF(Ingredientes!$A:$A,$A27,Ingredientes!$H:$H)</f>
        <v>55.2608333333333</v>
      </c>
      <c r="F27" s="14" t="n">
        <f aca="false">'Mi negocio'!$B$10</f>
        <v>2.5</v>
      </c>
      <c r="G27" s="14" t="n">
        <f aca="false">'Mi negocio'!$B$11</f>
        <v>1.8</v>
      </c>
      <c r="H27" s="22" t="n">
        <v>3</v>
      </c>
      <c r="I27" s="14" t="n">
        <f aca="false">H27/60*'Mi negocio'!$B$19</f>
        <v>3.75</v>
      </c>
      <c r="J27" s="14" t="n">
        <f aca="false">'Mi negocio'!$B$18</f>
        <v>15</v>
      </c>
      <c r="K27" s="14" t="n">
        <f aca="false">E27+F27+G27+I27+J27</f>
        <v>78.3108333333333</v>
      </c>
      <c r="L27" s="23" t="n">
        <f aca="false">'Mi negocio'!$B$12</f>
        <v>0.08</v>
      </c>
      <c r="M27" s="21" t="n">
        <f aca="false">IFERROR(K27/(1-L27),0)</f>
        <v>85.1204710144928</v>
      </c>
      <c r="N27" s="24" t="n">
        <v>27</v>
      </c>
      <c r="O27" s="24" t="n">
        <f aca="false">IFERROR(N27/'Mi negocio'!$B$15,0)</f>
        <v>1.63636363636364</v>
      </c>
      <c r="P27" s="25" t="n">
        <f aca="false">IFERROR(CEILING(M27/(1-'Mi negocio'!$B$24),5),0)</f>
        <v>225</v>
      </c>
      <c r="Q27" s="25" t="n">
        <f aca="false">IFERROR(CEILING(M27/(1-'Mi negocio'!$B$25),5),0)</f>
        <v>270</v>
      </c>
      <c r="R27" s="25" t="n">
        <f aca="false">IFERROR(CEILING(M27/(1-'Mi negocio'!$B$26),5),0)</f>
        <v>190</v>
      </c>
      <c r="S27" s="25" t="n">
        <f aca="false">IFERROR(CEILING((M27*'Mi negocio'!$B$13+'Mi negocio'!$B$14)/(1-'Mi negocio'!$B$27),10),0)</f>
        <v>980</v>
      </c>
      <c r="T27" s="14" t="n">
        <f aca="false">P27-M27</f>
        <v>139.879528985507</v>
      </c>
      <c r="U27" s="23" t="n">
        <f aca="false">IFERROR(E27/P27,0)</f>
        <v>0.245603703703704</v>
      </c>
    </row>
    <row r="28" customFormat="false" ht="15" hidden="false" customHeight="false" outlineLevel="0" collapsed="false">
      <c r="A28" s="9" t="n">
        <v>23</v>
      </c>
      <c r="B28" s="9" t="s">
        <v>533</v>
      </c>
      <c r="C28" s="12" t="s">
        <v>329</v>
      </c>
      <c r="D28" s="9" t="n">
        <v>8</v>
      </c>
      <c r="E28" s="14" t="n">
        <f aca="false">SUMIF(Ingredientes!$A:$A,$A28,Ingredientes!$H:$H)</f>
        <v>68.3697619047619</v>
      </c>
      <c r="F28" s="14" t="n">
        <f aca="false">'Mi negocio'!$B$10</f>
        <v>2.5</v>
      </c>
      <c r="G28" s="14" t="n">
        <f aca="false">'Mi negocio'!$B$11</f>
        <v>1.8</v>
      </c>
      <c r="H28" s="22" t="n">
        <v>3</v>
      </c>
      <c r="I28" s="14" t="n">
        <f aca="false">H28/60*'Mi negocio'!$B$19</f>
        <v>3.75</v>
      </c>
      <c r="J28" s="14" t="n">
        <f aca="false">'Mi negocio'!$B$18</f>
        <v>15</v>
      </c>
      <c r="K28" s="14" t="n">
        <f aca="false">E28+F28+G28+I28+J28</f>
        <v>91.4197619047619</v>
      </c>
      <c r="L28" s="23" t="n">
        <f aca="false">'Mi negocio'!$B$12</f>
        <v>0.08</v>
      </c>
      <c r="M28" s="21" t="n">
        <f aca="false">IFERROR(K28/(1-L28),0)</f>
        <v>99.3693064182195</v>
      </c>
      <c r="N28" s="24" t="n">
        <v>25.6</v>
      </c>
      <c r="O28" s="24" t="n">
        <f aca="false">IFERROR(N28/'Mi negocio'!$B$15,0)</f>
        <v>1.55151515151515</v>
      </c>
      <c r="P28" s="25" t="n">
        <f aca="false">IFERROR(CEILING(M28/(1-'Mi negocio'!$B$24),5),0)</f>
        <v>265</v>
      </c>
      <c r="Q28" s="25" t="n">
        <f aca="false">IFERROR(CEILING(M28/(1-'Mi negocio'!$B$25),5),0)</f>
        <v>315</v>
      </c>
      <c r="R28" s="25" t="n">
        <f aca="false">IFERROR(CEILING(M28/(1-'Mi negocio'!$B$26),5),0)</f>
        <v>225</v>
      </c>
      <c r="S28" s="25" t="n">
        <f aca="false">IFERROR(CEILING((M28*'Mi negocio'!$B$13+'Mi negocio'!$B$14)/(1-'Mi negocio'!$B$27),10),0)</f>
        <v>1140</v>
      </c>
      <c r="T28" s="14" t="n">
        <f aca="false">P28-M28</f>
        <v>165.630693581781</v>
      </c>
      <c r="U28" s="23" t="n">
        <f aca="false">IFERROR(E28/P28,0)</f>
        <v>0.257999101527403</v>
      </c>
    </row>
    <row r="29" customFormat="false" ht="15" hidden="false" customHeight="false" outlineLevel="0" collapsed="false">
      <c r="A29" s="9" t="n">
        <v>24</v>
      </c>
      <c r="B29" s="9" t="s">
        <v>540</v>
      </c>
      <c r="C29" s="12" t="s">
        <v>338</v>
      </c>
      <c r="D29" s="9" t="n">
        <v>8</v>
      </c>
      <c r="E29" s="14" t="n">
        <f aca="false">SUMIF(Ingredientes!$A:$A,$A29,Ingredientes!$H:$H)</f>
        <v>84.295</v>
      </c>
      <c r="F29" s="14" t="n">
        <f aca="false">'Mi negocio'!$B$10</f>
        <v>2.5</v>
      </c>
      <c r="G29" s="14" t="n">
        <f aca="false">'Mi negocio'!$B$11</f>
        <v>1.8</v>
      </c>
      <c r="H29" s="22" t="n">
        <v>6</v>
      </c>
      <c r="I29" s="14" t="n">
        <f aca="false">H29/60*'Mi negocio'!$B$19</f>
        <v>7.5</v>
      </c>
      <c r="J29" s="14" t="n">
        <f aca="false">'Mi negocio'!$B$18</f>
        <v>15</v>
      </c>
      <c r="K29" s="14" t="n">
        <f aca="false">E29+F29+G29+I29+J29</f>
        <v>111.095</v>
      </c>
      <c r="L29" s="23" t="n">
        <f aca="false">'Mi negocio'!$B$12</f>
        <v>0.08</v>
      </c>
      <c r="M29" s="21" t="n">
        <f aca="false">IFERROR(K29/(1-L29),0)</f>
        <v>120.755434782609</v>
      </c>
      <c r="N29" s="24" t="n">
        <v>27</v>
      </c>
      <c r="O29" s="24" t="n">
        <f aca="false">IFERROR(N29/'Mi negocio'!$B$15,0)</f>
        <v>1.63636363636364</v>
      </c>
      <c r="P29" s="25" t="n">
        <f aca="false">IFERROR(CEILING(M29/(1-'Mi negocio'!$B$24),5),0)</f>
        <v>320</v>
      </c>
      <c r="Q29" s="25" t="n">
        <f aca="false">IFERROR(CEILING(M29/(1-'Mi negocio'!$B$25),5),0)</f>
        <v>380</v>
      </c>
      <c r="R29" s="25" t="n">
        <f aca="false">IFERROR(CEILING(M29/(1-'Mi negocio'!$B$26),5),0)</f>
        <v>270</v>
      </c>
      <c r="S29" s="25" t="n">
        <f aca="false">IFERROR(CEILING((M29*'Mi negocio'!$B$13+'Mi negocio'!$B$14)/(1-'Mi negocio'!$B$27),10),0)</f>
        <v>1370</v>
      </c>
      <c r="T29" s="14" t="n">
        <f aca="false">P29-M29</f>
        <v>199.244565217391</v>
      </c>
      <c r="U29" s="23" t="n">
        <f aca="false">IFERROR(E29/P29,0)</f>
        <v>0.263421875</v>
      </c>
    </row>
    <row r="30" customFormat="false" ht="15" hidden="false" customHeight="false" outlineLevel="0" collapsed="false">
      <c r="A30" s="9" t="n">
        <v>25</v>
      </c>
      <c r="B30" s="9" t="s">
        <v>545</v>
      </c>
      <c r="C30" s="12" t="s">
        <v>326</v>
      </c>
      <c r="D30" s="9" t="n">
        <v>8</v>
      </c>
      <c r="E30" s="14" t="n">
        <f aca="false">SUMIF(Ingredientes!$A:$A,$A30,Ingredientes!$H:$H)</f>
        <v>81.83</v>
      </c>
      <c r="F30" s="14" t="n">
        <f aca="false">'Mi negocio'!$B$10</f>
        <v>2.5</v>
      </c>
      <c r="G30" s="14" t="n">
        <f aca="false">'Mi negocio'!$B$11</f>
        <v>1.8</v>
      </c>
      <c r="H30" s="22" t="n">
        <v>3</v>
      </c>
      <c r="I30" s="14" t="n">
        <f aca="false">H30/60*'Mi negocio'!$B$19</f>
        <v>3.75</v>
      </c>
      <c r="J30" s="14" t="n">
        <f aca="false">'Mi negocio'!$B$18</f>
        <v>15</v>
      </c>
      <c r="K30" s="14" t="n">
        <f aca="false">E30+F30+G30+I30+J30</f>
        <v>104.88</v>
      </c>
      <c r="L30" s="23" t="n">
        <f aca="false">'Mi negocio'!$B$12</f>
        <v>0.08</v>
      </c>
      <c r="M30" s="21" t="n">
        <f aca="false">IFERROR(K30/(1-L30),0)</f>
        <v>114</v>
      </c>
      <c r="N30" s="24" t="n">
        <v>22.5</v>
      </c>
      <c r="O30" s="24" t="n">
        <f aca="false">IFERROR(N30/'Mi negocio'!$B$15,0)</f>
        <v>1.36363636363636</v>
      </c>
      <c r="P30" s="25" t="n">
        <f aca="false">IFERROR(CEILING(M30/(1-'Mi negocio'!$B$24),5),0)</f>
        <v>300</v>
      </c>
      <c r="Q30" s="25" t="n">
        <f aca="false">IFERROR(CEILING(M30/(1-'Mi negocio'!$B$25),5),0)</f>
        <v>360</v>
      </c>
      <c r="R30" s="25" t="n">
        <f aca="false">IFERROR(CEILING(M30/(1-'Mi negocio'!$B$26),5),0)</f>
        <v>255</v>
      </c>
      <c r="S30" s="25" t="n">
        <f aca="false">IFERROR(CEILING((M30*'Mi negocio'!$B$13+'Mi negocio'!$B$14)/(1-'Mi negocio'!$B$27),10),0)</f>
        <v>1300</v>
      </c>
      <c r="T30" s="14" t="n">
        <f aca="false">P30-M30</f>
        <v>186</v>
      </c>
      <c r="U30" s="23" t="n">
        <f aca="false">IFERROR(E30/P30,0)</f>
        <v>0.272766666666667</v>
      </c>
    </row>
    <row r="31" customFormat="false" ht="15" hidden="false" customHeight="false" outlineLevel="0" collapsed="false">
      <c r="A31" s="9" t="n">
        <v>26</v>
      </c>
      <c r="B31" s="9" t="s">
        <v>550</v>
      </c>
      <c r="C31" s="12" t="s">
        <v>329</v>
      </c>
      <c r="D31" s="9" t="n">
        <v>8</v>
      </c>
      <c r="E31" s="14" t="n">
        <f aca="false">SUMIF(Ingredientes!$A:$A,$A31,Ingredientes!$H:$H)</f>
        <v>55.088</v>
      </c>
      <c r="F31" s="14" t="n">
        <f aca="false">'Mi negocio'!$B$10</f>
        <v>2.5</v>
      </c>
      <c r="G31" s="14" t="n">
        <f aca="false">'Mi negocio'!$B$11</f>
        <v>1.8</v>
      </c>
      <c r="H31" s="22" t="n">
        <v>3</v>
      </c>
      <c r="I31" s="14" t="n">
        <f aca="false">H31/60*'Mi negocio'!$B$19</f>
        <v>3.75</v>
      </c>
      <c r="J31" s="14" t="n">
        <f aca="false">'Mi negocio'!$B$18</f>
        <v>15</v>
      </c>
      <c r="K31" s="14" t="n">
        <f aca="false">E31+F31+G31+I31+J31</f>
        <v>78.138</v>
      </c>
      <c r="L31" s="23" t="n">
        <f aca="false">'Mi negocio'!$B$12</f>
        <v>0.08</v>
      </c>
      <c r="M31" s="21" t="n">
        <f aca="false">IFERROR(K31/(1-L31),0)</f>
        <v>84.9326086956522</v>
      </c>
      <c r="N31" s="24" t="n">
        <v>25.8</v>
      </c>
      <c r="O31" s="24" t="n">
        <f aca="false">IFERROR(N31/'Mi negocio'!$B$15,0)</f>
        <v>1.56363636363636</v>
      </c>
      <c r="P31" s="25" t="n">
        <f aca="false">IFERROR(CEILING(M31/(1-'Mi negocio'!$B$24),5),0)</f>
        <v>225</v>
      </c>
      <c r="Q31" s="25" t="n">
        <f aca="false">IFERROR(CEILING(M31/(1-'Mi negocio'!$B$25),5),0)</f>
        <v>270</v>
      </c>
      <c r="R31" s="25" t="n">
        <f aca="false">IFERROR(CEILING(M31/(1-'Mi negocio'!$B$26),5),0)</f>
        <v>190</v>
      </c>
      <c r="S31" s="25" t="n">
        <f aca="false">IFERROR(CEILING((M31*'Mi negocio'!$B$13+'Mi negocio'!$B$14)/(1-'Mi negocio'!$B$27),10),0)</f>
        <v>980</v>
      </c>
      <c r="T31" s="14" t="n">
        <f aca="false">P31-M31</f>
        <v>140.067391304348</v>
      </c>
      <c r="U31" s="23" t="n">
        <f aca="false">IFERROR(E31/P31,0)</f>
        <v>0.244835555555556</v>
      </c>
    </row>
    <row r="32" customFormat="false" ht="15" hidden="false" customHeight="false" outlineLevel="0" collapsed="false">
      <c r="A32" s="9" t="n">
        <v>27</v>
      </c>
      <c r="B32" s="9" t="s">
        <v>556</v>
      </c>
      <c r="C32" s="12" t="s">
        <v>338</v>
      </c>
      <c r="D32" s="9" t="n">
        <v>8</v>
      </c>
      <c r="E32" s="14" t="n">
        <f aca="false">SUMIF(Ingredientes!$A:$A,$A32,Ingredientes!$H:$H)</f>
        <v>50.435</v>
      </c>
      <c r="F32" s="14" t="n">
        <f aca="false">'Mi negocio'!$B$10</f>
        <v>2.5</v>
      </c>
      <c r="G32" s="14" t="n">
        <f aca="false">'Mi negocio'!$B$11</f>
        <v>1.8</v>
      </c>
      <c r="H32" s="22" t="n">
        <v>6</v>
      </c>
      <c r="I32" s="14" t="n">
        <f aca="false">H32/60*'Mi negocio'!$B$19</f>
        <v>7.5</v>
      </c>
      <c r="J32" s="14" t="n">
        <f aca="false">'Mi negocio'!$B$18</f>
        <v>15</v>
      </c>
      <c r="K32" s="14" t="n">
        <f aca="false">E32+F32+G32+I32+J32</f>
        <v>77.235</v>
      </c>
      <c r="L32" s="23" t="n">
        <f aca="false">'Mi negocio'!$B$12</f>
        <v>0.08</v>
      </c>
      <c r="M32" s="21" t="n">
        <f aca="false">IFERROR(K32/(1-L32),0)</f>
        <v>83.9510869565217</v>
      </c>
      <c r="N32" s="24" t="n">
        <v>24</v>
      </c>
      <c r="O32" s="24" t="n">
        <f aca="false">IFERROR(N32/'Mi negocio'!$B$15,0)</f>
        <v>1.45454545454545</v>
      </c>
      <c r="P32" s="25" t="n">
        <f aca="false">IFERROR(CEILING(M32/(1-'Mi negocio'!$B$24),5),0)</f>
        <v>225</v>
      </c>
      <c r="Q32" s="25" t="n">
        <f aca="false">IFERROR(CEILING(M32/(1-'Mi negocio'!$B$25),5),0)</f>
        <v>265</v>
      </c>
      <c r="R32" s="25" t="n">
        <f aca="false">IFERROR(CEILING(M32/(1-'Mi negocio'!$B$26),5),0)</f>
        <v>190</v>
      </c>
      <c r="S32" s="25" t="n">
        <f aca="false">IFERROR(CEILING((M32*'Mi negocio'!$B$13+'Mi negocio'!$B$14)/(1-'Mi negocio'!$B$27),10),0)</f>
        <v>970</v>
      </c>
      <c r="T32" s="14" t="n">
        <f aca="false">P32-M32</f>
        <v>141.048913043478</v>
      </c>
      <c r="U32" s="23" t="n">
        <f aca="false">IFERROR(E32/P32,0)</f>
        <v>0.224155555555556</v>
      </c>
    </row>
    <row r="33" customFormat="false" ht="15" hidden="false" customHeight="false" outlineLevel="0" collapsed="false">
      <c r="A33" s="9" t="n">
        <v>28</v>
      </c>
      <c r="B33" s="9" t="s">
        <v>565</v>
      </c>
      <c r="C33" s="12" t="s">
        <v>323</v>
      </c>
      <c r="D33" s="9" t="n">
        <v>9</v>
      </c>
      <c r="E33" s="14" t="n">
        <f aca="false">SUMIF(Ingredientes!$A:$A,$A33,Ingredientes!$H:$H)</f>
        <v>74.6166666666667</v>
      </c>
      <c r="F33" s="14" t="n">
        <f aca="false">'Mi negocio'!$B$10</f>
        <v>2.5</v>
      </c>
      <c r="G33" s="14" t="n">
        <f aca="false">'Mi negocio'!$B$11</f>
        <v>1.8</v>
      </c>
      <c r="H33" s="22" t="n">
        <v>2</v>
      </c>
      <c r="I33" s="14" t="n">
        <f aca="false">H33/60*'Mi negocio'!$B$19</f>
        <v>2.5</v>
      </c>
      <c r="J33" s="14" t="n">
        <f aca="false">'Mi negocio'!$B$18</f>
        <v>15</v>
      </c>
      <c r="K33" s="14" t="n">
        <f aca="false">E33+F33+G33+I33+J33</f>
        <v>96.4166666666667</v>
      </c>
      <c r="L33" s="23" t="n">
        <f aca="false">'Mi negocio'!$B$12</f>
        <v>0.08</v>
      </c>
      <c r="M33" s="21" t="n">
        <f aca="false">IFERROR(K33/(1-L33),0)</f>
        <v>104.800724637681</v>
      </c>
      <c r="N33" s="24" t="n">
        <v>28.6</v>
      </c>
      <c r="O33" s="24" t="n">
        <f aca="false">IFERROR(N33/'Mi negocio'!$B$15,0)</f>
        <v>1.73333333333333</v>
      </c>
      <c r="P33" s="25" t="n">
        <f aca="false">IFERROR(CEILING(M33/(1-'Mi negocio'!$B$24),5),0)</f>
        <v>280</v>
      </c>
      <c r="Q33" s="25" t="n">
        <f aca="false">IFERROR(CEILING(M33/(1-'Mi negocio'!$B$25),5),0)</f>
        <v>330</v>
      </c>
      <c r="R33" s="25" t="n">
        <f aca="false">IFERROR(CEILING(M33/(1-'Mi negocio'!$B$26),5),0)</f>
        <v>235</v>
      </c>
      <c r="S33" s="25" t="n">
        <f aca="false">IFERROR(CEILING((M33*'Mi negocio'!$B$13+'Mi negocio'!$B$14)/(1-'Mi negocio'!$B$27),10),0)</f>
        <v>1200</v>
      </c>
      <c r="T33" s="14" t="n">
        <f aca="false">P33-M33</f>
        <v>175.199275362319</v>
      </c>
      <c r="U33" s="23" t="n">
        <f aca="false">IFERROR(E33/P33,0)</f>
        <v>0.266488095238095</v>
      </c>
    </row>
    <row r="34" customFormat="false" ht="15" hidden="false" customHeight="false" outlineLevel="0" collapsed="false">
      <c r="A34" s="9" t="n">
        <v>29</v>
      </c>
      <c r="B34" s="9" t="s">
        <v>573</v>
      </c>
      <c r="C34" s="12" t="s">
        <v>335</v>
      </c>
      <c r="D34" s="9" t="n">
        <v>9</v>
      </c>
      <c r="E34" s="14" t="n">
        <f aca="false">SUMIF(Ingredientes!$A:$A,$A34,Ingredientes!$H:$H)</f>
        <v>19.26</v>
      </c>
      <c r="F34" s="14" t="n">
        <f aca="false">'Mi negocio'!$B$10</f>
        <v>2.5</v>
      </c>
      <c r="G34" s="14" t="n">
        <f aca="false">'Mi negocio'!$B$11</f>
        <v>1.8</v>
      </c>
      <c r="H34" s="22" t="n">
        <v>4</v>
      </c>
      <c r="I34" s="14" t="n">
        <f aca="false">H34/60*'Mi negocio'!$B$19</f>
        <v>5</v>
      </c>
      <c r="J34" s="14" t="n">
        <f aca="false">'Mi negocio'!$B$18</f>
        <v>15</v>
      </c>
      <c r="K34" s="14" t="n">
        <f aca="false">E34+F34+G34+I34+J34</f>
        <v>43.56</v>
      </c>
      <c r="L34" s="23" t="n">
        <f aca="false">'Mi negocio'!$B$12</f>
        <v>0.08</v>
      </c>
      <c r="M34" s="21" t="n">
        <f aca="false">IFERROR(K34/(1-L34),0)</f>
        <v>47.3478260869565</v>
      </c>
      <c r="N34" s="24" t="n">
        <v>6</v>
      </c>
      <c r="O34" s="24" t="n">
        <f aca="false">IFERROR(N34/'Mi negocio'!$B$15,0)</f>
        <v>0.363636363636364</v>
      </c>
      <c r="P34" s="25" t="n">
        <f aca="false">IFERROR(CEILING(M34/(1-'Mi negocio'!$B$24),5),0)</f>
        <v>125</v>
      </c>
      <c r="Q34" s="25" t="n">
        <f aca="false">IFERROR(CEILING(M34/(1-'Mi negocio'!$B$25),5),0)</f>
        <v>150</v>
      </c>
      <c r="R34" s="25" t="n">
        <f aca="false">IFERROR(CEILING(M34/(1-'Mi negocio'!$B$26),5),0)</f>
        <v>110</v>
      </c>
      <c r="S34" s="25" t="n">
        <f aca="false">IFERROR(CEILING((M34*'Mi negocio'!$B$13+'Mi negocio'!$B$14)/(1-'Mi negocio'!$B$27),10),0)</f>
        <v>570</v>
      </c>
      <c r="T34" s="14" t="n">
        <f aca="false">P34-M34</f>
        <v>77.6521739130435</v>
      </c>
      <c r="U34" s="23" t="n">
        <f aca="false">IFERROR(E34/P34,0)</f>
        <v>0.15408</v>
      </c>
    </row>
    <row r="35" customFormat="false" ht="15" hidden="false" customHeight="false" outlineLevel="0" collapsed="false">
      <c r="A35" s="9" t="n">
        <v>30</v>
      </c>
      <c r="B35" s="9" t="s">
        <v>580</v>
      </c>
      <c r="C35" s="12" t="s">
        <v>338</v>
      </c>
      <c r="D35" s="9" t="n">
        <v>9</v>
      </c>
      <c r="E35" s="14" t="n">
        <f aca="false">SUMIF(Ingredientes!$A:$A,$A35,Ingredientes!$H:$H)</f>
        <v>29.3489154929577</v>
      </c>
      <c r="F35" s="14" t="n">
        <f aca="false">'Mi negocio'!$B$10</f>
        <v>2.5</v>
      </c>
      <c r="G35" s="14" t="n">
        <f aca="false">'Mi negocio'!$B$11</f>
        <v>1.8</v>
      </c>
      <c r="H35" s="22" t="n">
        <v>6</v>
      </c>
      <c r="I35" s="14" t="n">
        <f aca="false">H35/60*'Mi negocio'!$B$19</f>
        <v>7.5</v>
      </c>
      <c r="J35" s="14" t="n">
        <f aca="false">'Mi negocio'!$B$18</f>
        <v>15</v>
      </c>
      <c r="K35" s="14" t="n">
        <f aca="false">E35+F35+G35+I35+J35</f>
        <v>56.1489154929577</v>
      </c>
      <c r="L35" s="23" t="n">
        <f aca="false">'Mi negocio'!$B$12</f>
        <v>0.08</v>
      </c>
      <c r="M35" s="21" t="n">
        <f aca="false">IFERROR(K35/(1-L35),0)</f>
        <v>61.0314298836497</v>
      </c>
      <c r="N35" s="24" t="n">
        <v>7.95</v>
      </c>
      <c r="O35" s="24" t="n">
        <f aca="false">IFERROR(N35/'Mi negocio'!$B$15,0)</f>
        <v>0.481818181818182</v>
      </c>
      <c r="P35" s="25" t="n">
        <f aca="false">IFERROR(CEILING(M35/(1-'Mi negocio'!$B$24),5),0)</f>
        <v>165</v>
      </c>
      <c r="Q35" s="25" t="n">
        <f aca="false">IFERROR(CEILING(M35/(1-'Mi negocio'!$B$25),5),0)</f>
        <v>195</v>
      </c>
      <c r="R35" s="25" t="n">
        <f aca="false">IFERROR(CEILING(M35/(1-'Mi negocio'!$B$26),5),0)</f>
        <v>140</v>
      </c>
      <c r="S35" s="25" t="n">
        <f aca="false">IFERROR(CEILING((M35*'Mi negocio'!$B$13+'Mi negocio'!$B$14)/(1-'Mi negocio'!$B$27),10),0)</f>
        <v>720</v>
      </c>
      <c r="T35" s="14" t="n">
        <f aca="false">P35-M35</f>
        <v>103.96857011635</v>
      </c>
      <c r="U35" s="23" t="n">
        <f aca="false">IFERROR(E35/P35,0)</f>
        <v>0.177872215108835</v>
      </c>
    </row>
    <row r="36" customFormat="false" ht="15" hidden="false" customHeight="false" outlineLevel="0" collapsed="false">
      <c r="A36" s="9" t="n">
        <v>31</v>
      </c>
      <c r="B36" s="9" t="s">
        <v>587</v>
      </c>
      <c r="C36" s="12" t="s">
        <v>335</v>
      </c>
      <c r="D36" s="9" t="n">
        <v>9</v>
      </c>
      <c r="E36" s="14" t="n">
        <f aca="false">SUMIF(Ingredientes!$A:$A,$A36,Ingredientes!$H:$H)</f>
        <v>38.36</v>
      </c>
      <c r="F36" s="14" t="n">
        <f aca="false">'Mi negocio'!$B$10</f>
        <v>2.5</v>
      </c>
      <c r="G36" s="14" t="n">
        <f aca="false">'Mi negocio'!$B$11</f>
        <v>1.8</v>
      </c>
      <c r="H36" s="22" t="n">
        <v>4</v>
      </c>
      <c r="I36" s="14" t="n">
        <f aca="false">H36/60*'Mi negocio'!$B$19</f>
        <v>5</v>
      </c>
      <c r="J36" s="14" t="n">
        <f aca="false">'Mi negocio'!$B$18</f>
        <v>15</v>
      </c>
      <c r="K36" s="14" t="n">
        <f aca="false">E36+F36+G36+I36+J36</f>
        <v>62.66</v>
      </c>
      <c r="L36" s="23" t="n">
        <f aca="false">'Mi negocio'!$B$12</f>
        <v>0.08</v>
      </c>
      <c r="M36" s="21" t="n">
        <f aca="false">IFERROR(K36/(1-L36),0)</f>
        <v>68.1086956521739</v>
      </c>
      <c r="N36" s="24" t="n">
        <v>21.79</v>
      </c>
      <c r="O36" s="24" t="n">
        <f aca="false">IFERROR(N36/'Mi negocio'!$B$15,0)</f>
        <v>1.32060606060606</v>
      </c>
      <c r="P36" s="25" t="n">
        <f aca="false">IFERROR(CEILING(M36/(1-'Mi negocio'!$B$24),5),0)</f>
        <v>180</v>
      </c>
      <c r="Q36" s="25" t="n">
        <f aca="false">IFERROR(CEILING(M36/(1-'Mi negocio'!$B$25),5),0)</f>
        <v>215</v>
      </c>
      <c r="R36" s="25" t="n">
        <f aca="false">IFERROR(CEILING(M36/(1-'Mi negocio'!$B$26),5),0)</f>
        <v>155</v>
      </c>
      <c r="S36" s="25" t="n">
        <f aca="false">IFERROR(CEILING((M36*'Mi negocio'!$B$13+'Mi negocio'!$B$14)/(1-'Mi negocio'!$B$27),10),0)</f>
        <v>800</v>
      </c>
      <c r="T36" s="14" t="n">
        <f aca="false">P36-M36</f>
        <v>111.891304347826</v>
      </c>
      <c r="U36" s="23" t="n">
        <f aca="false">IFERROR(E36/P36,0)</f>
        <v>0.213111111111111</v>
      </c>
    </row>
    <row r="37" customFormat="false" ht="15" hidden="false" customHeight="false" outlineLevel="0" collapsed="false">
      <c r="A37" s="9" t="n">
        <v>32</v>
      </c>
      <c r="B37" s="9" t="s">
        <v>595</v>
      </c>
      <c r="C37" s="12" t="s">
        <v>323</v>
      </c>
      <c r="D37" s="9" t="n">
        <v>9</v>
      </c>
      <c r="E37" s="14" t="n">
        <f aca="false">SUMIF(Ingredientes!$A:$A,$A37,Ingredientes!$H:$H)</f>
        <v>72.0273333333333</v>
      </c>
      <c r="F37" s="14" t="n">
        <f aca="false">'Mi negocio'!$B$10</f>
        <v>2.5</v>
      </c>
      <c r="G37" s="14" t="n">
        <f aca="false">'Mi negocio'!$B$11</f>
        <v>1.8</v>
      </c>
      <c r="H37" s="22" t="n">
        <v>2</v>
      </c>
      <c r="I37" s="14" t="n">
        <f aca="false">H37/60*'Mi negocio'!$B$19</f>
        <v>2.5</v>
      </c>
      <c r="J37" s="14" t="n">
        <f aca="false">'Mi negocio'!$B$18</f>
        <v>15</v>
      </c>
      <c r="K37" s="14" t="n">
        <f aca="false">E37+F37+G37+I37+J37</f>
        <v>93.8273333333333</v>
      </c>
      <c r="L37" s="23" t="n">
        <f aca="false">'Mi negocio'!$B$12</f>
        <v>0.08</v>
      </c>
      <c r="M37" s="21" t="n">
        <f aca="false">IFERROR(K37/(1-L37),0)</f>
        <v>101.986231884058</v>
      </c>
      <c r="N37" s="24" t="n">
        <v>24.5</v>
      </c>
      <c r="O37" s="24" t="n">
        <f aca="false">IFERROR(N37/'Mi negocio'!$B$15,0)</f>
        <v>1.48484848484848</v>
      </c>
      <c r="P37" s="25" t="n">
        <f aca="false">IFERROR(CEILING(M37/(1-'Mi negocio'!$B$24),5),0)</f>
        <v>270</v>
      </c>
      <c r="Q37" s="25" t="n">
        <f aca="false">IFERROR(CEILING(M37/(1-'Mi negocio'!$B$25),5),0)</f>
        <v>320</v>
      </c>
      <c r="R37" s="25" t="n">
        <f aca="false">IFERROR(CEILING(M37/(1-'Mi negocio'!$B$26),5),0)</f>
        <v>230</v>
      </c>
      <c r="S37" s="25" t="n">
        <f aca="false">IFERROR(CEILING((M37*'Mi negocio'!$B$13+'Mi negocio'!$B$14)/(1-'Mi negocio'!$B$27),10),0)</f>
        <v>1170</v>
      </c>
      <c r="T37" s="14" t="n">
        <f aca="false">P37-M37</f>
        <v>168.013768115942</v>
      </c>
      <c r="U37" s="23" t="n">
        <f aca="false">IFERROR(E37/P37,0)</f>
        <v>0.266767901234568</v>
      </c>
    </row>
    <row r="38" customFormat="false" ht="15" hidden="false" customHeight="false" outlineLevel="0" collapsed="false">
      <c r="A38" s="9" t="n">
        <v>33</v>
      </c>
      <c r="B38" s="9" t="s">
        <v>601</v>
      </c>
      <c r="C38" s="12" t="s">
        <v>335</v>
      </c>
      <c r="D38" s="9" t="n">
        <v>9</v>
      </c>
      <c r="E38" s="14" t="n">
        <f aca="false">SUMIF(Ingredientes!$A:$A,$A38,Ingredientes!$H:$H)</f>
        <v>46.811</v>
      </c>
      <c r="F38" s="14" t="n">
        <f aca="false">'Mi negocio'!$B$10</f>
        <v>2.5</v>
      </c>
      <c r="G38" s="14" t="n">
        <f aca="false">'Mi negocio'!$B$11</f>
        <v>1.8</v>
      </c>
      <c r="H38" s="22" t="n">
        <v>4</v>
      </c>
      <c r="I38" s="14" t="n">
        <f aca="false">H38/60*'Mi negocio'!$B$19</f>
        <v>5</v>
      </c>
      <c r="J38" s="14" t="n">
        <f aca="false">'Mi negocio'!$B$18</f>
        <v>15</v>
      </c>
      <c r="K38" s="14" t="n">
        <f aca="false">E38+F38+G38+I38+J38</f>
        <v>71.111</v>
      </c>
      <c r="L38" s="23" t="n">
        <f aca="false">'Mi negocio'!$B$12</f>
        <v>0.08</v>
      </c>
      <c r="M38" s="21" t="n">
        <f aca="false">IFERROR(K38/(1-L38),0)</f>
        <v>77.2945652173913</v>
      </c>
      <c r="N38" s="24" t="n">
        <v>18.9</v>
      </c>
      <c r="O38" s="24" t="n">
        <f aca="false">IFERROR(N38/'Mi negocio'!$B$15,0)</f>
        <v>1.14545454545455</v>
      </c>
      <c r="P38" s="25" t="n">
        <f aca="false">IFERROR(CEILING(M38/(1-'Mi negocio'!$B$24),5),0)</f>
        <v>205</v>
      </c>
      <c r="Q38" s="25" t="n">
        <f aca="false">IFERROR(CEILING(M38/(1-'Mi negocio'!$B$25),5),0)</f>
        <v>245</v>
      </c>
      <c r="R38" s="25" t="n">
        <f aca="false">IFERROR(CEILING(M38/(1-'Mi negocio'!$B$26),5),0)</f>
        <v>175</v>
      </c>
      <c r="S38" s="25" t="n">
        <f aca="false">IFERROR(CEILING((M38*'Mi negocio'!$B$13+'Mi negocio'!$B$14)/(1-'Mi negocio'!$B$27),10),0)</f>
        <v>900</v>
      </c>
      <c r="T38" s="14" t="n">
        <f aca="false">P38-M38</f>
        <v>127.705434782609</v>
      </c>
      <c r="U38" s="23" t="n">
        <f aca="false">IFERROR(E38/P38,0)</f>
        <v>0.228346341463415</v>
      </c>
    </row>
    <row r="39" customFormat="false" ht="15" hidden="false" customHeight="false" outlineLevel="0" collapsed="false">
      <c r="A39" s="9" t="n">
        <v>34</v>
      </c>
      <c r="B39" s="9" t="s">
        <v>608</v>
      </c>
      <c r="C39" s="12" t="s">
        <v>335</v>
      </c>
      <c r="D39" s="9" t="n">
        <v>9</v>
      </c>
      <c r="E39" s="14" t="n">
        <f aca="false">SUMIF(Ingredientes!$A:$A,$A39,Ingredientes!$H:$H)</f>
        <v>41.4833333333333</v>
      </c>
      <c r="F39" s="14" t="n">
        <f aca="false">'Mi negocio'!$B$10</f>
        <v>2.5</v>
      </c>
      <c r="G39" s="14" t="n">
        <f aca="false">'Mi negocio'!$B$11</f>
        <v>1.8</v>
      </c>
      <c r="H39" s="22" t="n">
        <v>4</v>
      </c>
      <c r="I39" s="14" t="n">
        <f aca="false">H39/60*'Mi negocio'!$B$19</f>
        <v>5</v>
      </c>
      <c r="J39" s="14" t="n">
        <f aca="false">'Mi negocio'!$B$18</f>
        <v>15</v>
      </c>
      <c r="K39" s="14" t="n">
        <f aca="false">E39+F39+G39+I39+J39</f>
        <v>65.7833333333333</v>
      </c>
      <c r="L39" s="23" t="n">
        <f aca="false">'Mi negocio'!$B$12</f>
        <v>0.08</v>
      </c>
      <c r="M39" s="21" t="n">
        <f aca="false">IFERROR(K39/(1-L39),0)</f>
        <v>71.5036231884058</v>
      </c>
      <c r="N39" s="24" t="n">
        <v>20.75</v>
      </c>
      <c r="O39" s="24" t="n">
        <f aca="false">IFERROR(N39/'Mi negocio'!$B$15,0)</f>
        <v>1.25757575757576</v>
      </c>
      <c r="P39" s="25" t="n">
        <f aca="false">IFERROR(CEILING(M39/(1-'Mi negocio'!$B$24),5),0)</f>
        <v>190</v>
      </c>
      <c r="Q39" s="25" t="n">
        <f aca="false">IFERROR(CEILING(M39/(1-'Mi negocio'!$B$25),5),0)</f>
        <v>225</v>
      </c>
      <c r="R39" s="25" t="n">
        <f aca="false">IFERROR(CEILING(M39/(1-'Mi negocio'!$B$26),5),0)</f>
        <v>160</v>
      </c>
      <c r="S39" s="25" t="n">
        <f aca="false">IFERROR(CEILING((M39*'Mi negocio'!$B$13+'Mi negocio'!$B$14)/(1-'Mi negocio'!$B$27),10),0)</f>
        <v>840</v>
      </c>
      <c r="T39" s="14" t="n">
        <f aca="false">P39-M39</f>
        <v>118.496376811594</v>
      </c>
      <c r="U39" s="23" t="n">
        <f aca="false">IFERROR(E39/P39,0)</f>
        <v>0.218333333333333</v>
      </c>
    </row>
    <row r="40" customFormat="false" ht="15" hidden="false" customHeight="false" outlineLevel="0" collapsed="false">
      <c r="A40" s="9" t="n">
        <v>35</v>
      </c>
      <c r="B40" s="9" t="s">
        <v>616</v>
      </c>
      <c r="C40" s="12" t="s">
        <v>326</v>
      </c>
      <c r="D40" s="9" t="n">
        <v>9</v>
      </c>
      <c r="E40" s="14" t="n">
        <f aca="false">SUMIF(Ingredientes!$A:$A,$A40,Ingredientes!$H:$H)</f>
        <v>36.5433333333333</v>
      </c>
      <c r="F40" s="14" t="n">
        <f aca="false">'Mi negocio'!$B$10</f>
        <v>2.5</v>
      </c>
      <c r="G40" s="14" t="n">
        <f aca="false">'Mi negocio'!$B$11</f>
        <v>1.8</v>
      </c>
      <c r="H40" s="22" t="n">
        <v>3</v>
      </c>
      <c r="I40" s="14" t="n">
        <f aca="false">H40/60*'Mi negocio'!$B$19</f>
        <v>3.75</v>
      </c>
      <c r="J40" s="14" t="n">
        <f aca="false">'Mi negocio'!$B$18</f>
        <v>15</v>
      </c>
      <c r="K40" s="14" t="n">
        <f aca="false">E40+F40+G40+I40+J40</f>
        <v>59.5933333333333</v>
      </c>
      <c r="L40" s="23" t="n">
        <f aca="false">'Mi negocio'!$B$12</f>
        <v>0.08</v>
      </c>
      <c r="M40" s="21" t="n">
        <f aca="false">IFERROR(K40/(1-L40),0)</f>
        <v>64.7753623188406</v>
      </c>
      <c r="N40" s="24" t="n">
        <v>21.28</v>
      </c>
      <c r="O40" s="24" t="n">
        <f aca="false">IFERROR(N40/'Mi negocio'!$B$15,0)</f>
        <v>1.28969696969697</v>
      </c>
      <c r="P40" s="25" t="n">
        <f aca="false">IFERROR(CEILING(M40/(1-'Mi negocio'!$B$24),5),0)</f>
        <v>175</v>
      </c>
      <c r="Q40" s="25" t="n">
        <f aca="false">IFERROR(CEILING(M40/(1-'Mi negocio'!$B$25),5),0)</f>
        <v>205</v>
      </c>
      <c r="R40" s="25" t="n">
        <f aca="false">IFERROR(CEILING(M40/(1-'Mi negocio'!$B$26),5),0)</f>
        <v>145</v>
      </c>
      <c r="S40" s="25" t="n">
        <f aca="false">IFERROR(CEILING((M40*'Mi negocio'!$B$13+'Mi negocio'!$B$14)/(1-'Mi negocio'!$B$27),10),0)</f>
        <v>760</v>
      </c>
      <c r="T40" s="14" t="n">
        <f aca="false">P40-M40</f>
        <v>110.224637681159</v>
      </c>
      <c r="U40" s="23" t="n">
        <f aca="false">IFERROR(E40/P40,0)</f>
        <v>0.208819047619048</v>
      </c>
    </row>
    <row r="41" customFormat="false" ht="15" hidden="false" customHeight="false" outlineLevel="0" collapsed="false">
      <c r="A41" s="9" t="n">
        <v>36</v>
      </c>
      <c r="B41" s="9" t="s">
        <v>623</v>
      </c>
      <c r="C41" s="12" t="s">
        <v>323</v>
      </c>
      <c r="D41" s="9" t="n">
        <v>10</v>
      </c>
      <c r="E41" s="14" t="n">
        <f aca="false">SUMIF(Ingredientes!$A:$A,$A41,Ingredientes!$H:$H)</f>
        <v>29.418</v>
      </c>
      <c r="F41" s="14" t="n">
        <f aca="false">'Mi negocio'!$B$10</f>
        <v>2.5</v>
      </c>
      <c r="G41" s="14" t="n">
        <f aca="false">'Mi negocio'!$B$11</f>
        <v>1.8</v>
      </c>
      <c r="H41" s="22" t="n">
        <v>2</v>
      </c>
      <c r="I41" s="14" t="n">
        <f aca="false">H41/60*'Mi negocio'!$B$19</f>
        <v>2.5</v>
      </c>
      <c r="J41" s="14" t="n">
        <f aca="false">'Mi negocio'!$B$18</f>
        <v>15</v>
      </c>
      <c r="K41" s="14" t="n">
        <f aca="false">E41+F41+G41+I41+J41</f>
        <v>51.218</v>
      </c>
      <c r="L41" s="23" t="n">
        <f aca="false">'Mi negocio'!$B$12</f>
        <v>0.08</v>
      </c>
      <c r="M41" s="21" t="n">
        <f aca="false">IFERROR(K41/(1-L41),0)</f>
        <v>55.6717391304348</v>
      </c>
      <c r="N41" s="24" t="n">
        <v>15.97</v>
      </c>
      <c r="O41" s="24" t="n">
        <f aca="false">IFERROR(N41/'Mi negocio'!$B$15,0)</f>
        <v>0.967878787878788</v>
      </c>
      <c r="P41" s="25" t="n">
        <f aca="false">IFERROR(CEILING(M41/(1-'Mi negocio'!$B$24),5),0)</f>
        <v>150</v>
      </c>
      <c r="Q41" s="25" t="n">
        <f aca="false">IFERROR(CEILING(M41/(1-'Mi negocio'!$B$25),5),0)</f>
        <v>175</v>
      </c>
      <c r="R41" s="25" t="n">
        <f aca="false">IFERROR(CEILING(M41/(1-'Mi negocio'!$B$26),5),0)</f>
        <v>125</v>
      </c>
      <c r="S41" s="25" t="n">
        <f aca="false">IFERROR(CEILING((M41*'Mi negocio'!$B$13+'Mi negocio'!$B$14)/(1-'Mi negocio'!$B$27),10),0)</f>
        <v>660</v>
      </c>
      <c r="T41" s="14" t="n">
        <f aca="false">P41-M41</f>
        <v>94.3282608695652</v>
      </c>
      <c r="U41" s="23" t="n">
        <f aca="false">IFERROR(E41/P41,0)</f>
        <v>0.19612</v>
      </c>
    </row>
    <row r="42" customFormat="false" ht="15" hidden="false" customHeight="false" outlineLevel="0" collapsed="false">
      <c r="A42" s="9" t="n">
        <v>37</v>
      </c>
      <c r="B42" s="9" t="s">
        <v>628</v>
      </c>
      <c r="C42" s="12" t="s">
        <v>323</v>
      </c>
      <c r="D42" s="9" t="n">
        <v>10</v>
      </c>
      <c r="E42" s="14" t="n">
        <f aca="false">SUMIF(Ingredientes!$A:$A,$A42,Ingredientes!$H:$H)</f>
        <v>33.8502039825158</v>
      </c>
      <c r="F42" s="14" t="n">
        <f aca="false">'Mi negocio'!$B$10</f>
        <v>2.5</v>
      </c>
      <c r="G42" s="14" t="n">
        <f aca="false">'Mi negocio'!$B$11</f>
        <v>1.8</v>
      </c>
      <c r="H42" s="22" t="n">
        <v>2</v>
      </c>
      <c r="I42" s="14" t="n">
        <f aca="false">H42/60*'Mi negocio'!$B$19</f>
        <v>2.5</v>
      </c>
      <c r="J42" s="14" t="n">
        <f aca="false">'Mi negocio'!$B$18</f>
        <v>15</v>
      </c>
      <c r="K42" s="14" t="n">
        <f aca="false">E42+F42+G42+I42+J42</f>
        <v>55.6502039825158</v>
      </c>
      <c r="L42" s="23" t="n">
        <f aca="false">'Mi negocio'!$B$12</f>
        <v>0.08</v>
      </c>
      <c r="M42" s="21" t="n">
        <f aca="false">IFERROR(K42/(1-L42),0)</f>
        <v>60.4893521549085</v>
      </c>
      <c r="N42" s="24" t="n">
        <v>11.25</v>
      </c>
      <c r="O42" s="24" t="n">
        <f aca="false">IFERROR(N42/'Mi negocio'!$B$15,0)</f>
        <v>0.681818181818182</v>
      </c>
      <c r="P42" s="25" t="n">
        <f aca="false">IFERROR(CEILING(M42/(1-'Mi negocio'!$B$24),5),0)</f>
        <v>160</v>
      </c>
      <c r="Q42" s="25" t="n">
        <f aca="false">IFERROR(CEILING(M42/(1-'Mi negocio'!$B$25),5),0)</f>
        <v>190</v>
      </c>
      <c r="R42" s="25" t="n">
        <f aca="false">IFERROR(CEILING(M42/(1-'Mi negocio'!$B$26),5),0)</f>
        <v>135</v>
      </c>
      <c r="S42" s="25" t="n">
        <f aca="false">IFERROR(CEILING((M42*'Mi negocio'!$B$13+'Mi negocio'!$B$14)/(1-'Mi negocio'!$B$27),10),0)</f>
        <v>720</v>
      </c>
      <c r="T42" s="14" t="n">
        <f aca="false">P42-M42</f>
        <v>99.5106478450915</v>
      </c>
      <c r="U42" s="23" t="n">
        <f aca="false">IFERROR(E42/P42,0)</f>
        <v>0.211563774890724</v>
      </c>
    </row>
    <row r="43" customFormat="false" ht="15" hidden="false" customHeight="false" outlineLevel="0" collapsed="false">
      <c r="A43" s="9" t="n">
        <v>38</v>
      </c>
      <c r="B43" s="9" t="s">
        <v>638</v>
      </c>
      <c r="C43" s="12" t="s">
        <v>338</v>
      </c>
      <c r="D43" s="9" t="n">
        <v>10</v>
      </c>
      <c r="E43" s="14" t="n">
        <f aca="false">SUMIF(Ingredientes!$A:$A,$A43,Ingredientes!$H:$H)</f>
        <v>44.1948309859155</v>
      </c>
      <c r="F43" s="14" t="n">
        <f aca="false">'Mi negocio'!$B$10</f>
        <v>2.5</v>
      </c>
      <c r="G43" s="14" t="n">
        <f aca="false">'Mi negocio'!$B$11</f>
        <v>1.8</v>
      </c>
      <c r="H43" s="22" t="n">
        <v>6</v>
      </c>
      <c r="I43" s="14" t="n">
        <f aca="false">H43/60*'Mi negocio'!$B$19</f>
        <v>7.5</v>
      </c>
      <c r="J43" s="14" t="n">
        <f aca="false">'Mi negocio'!$B$18</f>
        <v>15</v>
      </c>
      <c r="K43" s="14" t="n">
        <f aca="false">E43+F43+G43+I43+J43</f>
        <v>70.9948309859155</v>
      </c>
      <c r="L43" s="23" t="n">
        <f aca="false">'Mi negocio'!$B$12</f>
        <v>0.08</v>
      </c>
      <c r="M43" s="21" t="n">
        <f aca="false">IFERROR(K43/(1-L43),0)</f>
        <v>77.1682945499081</v>
      </c>
      <c r="N43" s="24" t="n">
        <v>13.5</v>
      </c>
      <c r="O43" s="24" t="n">
        <f aca="false">IFERROR(N43/'Mi negocio'!$B$15,0)</f>
        <v>0.818181818181818</v>
      </c>
      <c r="P43" s="25" t="n">
        <f aca="false">IFERROR(CEILING(M43/(1-'Mi negocio'!$B$24),5),0)</f>
        <v>205</v>
      </c>
      <c r="Q43" s="25" t="n">
        <f aca="false">IFERROR(CEILING(M43/(1-'Mi negocio'!$B$25),5),0)</f>
        <v>245</v>
      </c>
      <c r="R43" s="25" t="n">
        <f aca="false">IFERROR(CEILING(M43/(1-'Mi negocio'!$B$26),5),0)</f>
        <v>175</v>
      </c>
      <c r="S43" s="25" t="n">
        <f aca="false">IFERROR(CEILING((M43*'Mi negocio'!$B$13+'Mi negocio'!$B$14)/(1-'Mi negocio'!$B$27),10),0)</f>
        <v>900</v>
      </c>
      <c r="T43" s="14" t="n">
        <f aca="false">P43-M43</f>
        <v>127.831705450092</v>
      </c>
      <c r="U43" s="23" t="n">
        <f aca="false">IFERROR(E43/P43,0)</f>
        <v>0.21558454139471</v>
      </c>
    </row>
    <row r="44" customFormat="false" ht="15" hidden="false" customHeight="false" outlineLevel="0" collapsed="false">
      <c r="A44" s="9" t="n">
        <v>39</v>
      </c>
      <c r="B44" s="9" t="s">
        <v>647</v>
      </c>
      <c r="C44" s="12" t="s">
        <v>323</v>
      </c>
      <c r="D44" s="9" t="n">
        <v>10</v>
      </c>
      <c r="E44" s="14" t="n">
        <f aca="false">SUMIF(Ingredientes!$A:$A,$A44,Ingredientes!$H:$H)</f>
        <v>25.6261690140845</v>
      </c>
      <c r="F44" s="14" t="n">
        <f aca="false">'Mi negocio'!$B$10</f>
        <v>2.5</v>
      </c>
      <c r="G44" s="14" t="n">
        <f aca="false">'Mi negocio'!$B$11</f>
        <v>1.8</v>
      </c>
      <c r="H44" s="22" t="n">
        <v>2</v>
      </c>
      <c r="I44" s="14" t="n">
        <f aca="false">H44/60*'Mi negocio'!$B$19</f>
        <v>2.5</v>
      </c>
      <c r="J44" s="14" t="n">
        <f aca="false">'Mi negocio'!$B$18</f>
        <v>15</v>
      </c>
      <c r="K44" s="14" t="n">
        <f aca="false">E44+F44+G44+I44+J44</f>
        <v>47.4261690140845</v>
      </c>
      <c r="L44" s="23" t="n">
        <f aca="false">'Mi negocio'!$B$12</f>
        <v>0.08</v>
      </c>
      <c r="M44" s="21" t="n">
        <f aca="false">IFERROR(K44/(1-L44),0)</f>
        <v>51.5501837109614</v>
      </c>
      <c r="N44" s="24" t="n">
        <v>0</v>
      </c>
      <c r="O44" s="24" t="n">
        <f aca="false">IFERROR(N44/'Mi negocio'!$B$15,0)</f>
        <v>0</v>
      </c>
      <c r="P44" s="25" t="n">
        <f aca="false">IFERROR(CEILING(M44/(1-'Mi negocio'!$B$24),5),0)</f>
        <v>140</v>
      </c>
      <c r="Q44" s="25" t="n">
        <f aca="false">IFERROR(CEILING(M44/(1-'Mi negocio'!$B$25),5),0)</f>
        <v>165</v>
      </c>
      <c r="R44" s="25" t="n">
        <f aca="false">IFERROR(CEILING(M44/(1-'Mi negocio'!$B$26),5),0)</f>
        <v>115</v>
      </c>
      <c r="S44" s="25" t="n">
        <f aca="false">IFERROR(CEILING((M44*'Mi negocio'!$B$13+'Mi negocio'!$B$14)/(1-'Mi negocio'!$B$27),10),0)</f>
        <v>620</v>
      </c>
      <c r="T44" s="14" t="n">
        <f aca="false">P44-M44</f>
        <v>88.4498162890386</v>
      </c>
      <c r="U44" s="23" t="n">
        <f aca="false">IFERROR(E44/P44,0)</f>
        <v>0.183044064386318</v>
      </c>
    </row>
    <row r="45" customFormat="false" ht="15" hidden="false" customHeight="false" outlineLevel="0" collapsed="false">
      <c r="A45" s="9" t="n">
        <v>40</v>
      </c>
      <c r="B45" s="9" t="s">
        <v>656</v>
      </c>
      <c r="C45" s="12" t="s">
        <v>338</v>
      </c>
      <c r="D45" s="9" t="n">
        <v>10</v>
      </c>
      <c r="E45" s="14" t="n">
        <f aca="false">SUMIF(Ingredientes!$A:$A,$A45,Ingredientes!$H:$H)</f>
        <v>59.9683158953722</v>
      </c>
      <c r="F45" s="14" t="n">
        <f aca="false">'Mi negocio'!$B$10</f>
        <v>2.5</v>
      </c>
      <c r="G45" s="14" t="n">
        <f aca="false">'Mi negocio'!$B$11</f>
        <v>1.8</v>
      </c>
      <c r="H45" s="22" t="n">
        <v>6</v>
      </c>
      <c r="I45" s="14" t="n">
        <f aca="false">H45/60*'Mi negocio'!$B$19</f>
        <v>7.5</v>
      </c>
      <c r="J45" s="14" t="n">
        <f aca="false">'Mi negocio'!$B$18</f>
        <v>15</v>
      </c>
      <c r="K45" s="14" t="n">
        <f aca="false">E45+F45+G45+I45+J45</f>
        <v>86.7683158953722</v>
      </c>
      <c r="L45" s="23" t="n">
        <f aca="false">'Mi negocio'!$B$12</f>
        <v>0.08</v>
      </c>
      <c r="M45" s="21" t="n">
        <f aca="false">IFERROR(K45/(1-L45),0)</f>
        <v>94.3133868427959</v>
      </c>
      <c r="N45" s="24" t="n">
        <v>9</v>
      </c>
      <c r="O45" s="24" t="n">
        <f aca="false">IFERROR(N45/'Mi negocio'!$B$15,0)</f>
        <v>0.545454545454545</v>
      </c>
      <c r="P45" s="25" t="n">
        <f aca="false">IFERROR(CEILING(M45/(1-'Mi negocio'!$B$24),5),0)</f>
        <v>250</v>
      </c>
      <c r="Q45" s="25" t="n">
        <f aca="false">IFERROR(CEILING(M45/(1-'Mi negocio'!$B$25),5),0)</f>
        <v>295</v>
      </c>
      <c r="R45" s="25" t="n">
        <f aca="false">IFERROR(CEILING(M45/(1-'Mi negocio'!$B$26),5),0)</f>
        <v>210</v>
      </c>
      <c r="S45" s="25" t="n">
        <f aca="false">IFERROR(CEILING((M45*'Mi negocio'!$B$13+'Mi negocio'!$B$14)/(1-'Mi negocio'!$B$27),10),0)</f>
        <v>1080</v>
      </c>
      <c r="T45" s="14" t="n">
        <f aca="false">P45-M45</f>
        <v>155.686613157204</v>
      </c>
      <c r="U45" s="23" t="n">
        <f aca="false">IFERROR(E45/P45,0)</f>
        <v>0.239873263581489</v>
      </c>
    </row>
    <row r="46" customFormat="false" ht="15" hidden="false" customHeight="false" outlineLevel="0" collapsed="false">
      <c r="A46" s="9" t="n">
        <v>41</v>
      </c>
      <c r="B46" s="9" t="s">
        <v>667</v>
      </c>
      <c r="C46" s="12" t="s">
        <v>338</v>
      </c>
      <c r="D46" s="9" t="n">
        <v>10</v>
      </c>
      <c r="E46" s="14" t="n">
        <f aca="false">SUMIF(Ingredientes!$A:$A,$A46,Ingredientes!$H:$H)</f>
        <v>60.136</v>
      </c>
      <c r="F46" s="14" t="n">
        <f aca="false">'Mi negocio'!$B$10</f>
        <v>2.5</v>
      </c>
      <c r="G46" s="14" t="n">
        <f aca="false">'Mi negocio'!$B$11</f>
        <v>1.8</v>
      </c>
      <c r="H46" s="22" t="n">
        <v>6</v>
      </c>
      <c r="I46" s="14" t="n">
        <f aca="false">H46/60*'Mi negocio'!$B$19</f>
        <v>7.5</v>
      </c>
      <c r="J46" s="14" t="n">
        <f aca="false">'Mi negocio'!$B$18</f>
        <v>15</v>
      </c>
      <c r="K46" s="14" t="n">
        <f aca="false">E46+F46+G46+I46+J46</f>
        <v>86.936</v>
      </c>
      <c r="L46" s="23" t="n">
        <f aca="false">'Mi negocio'!$B$12</f>
        <v>0.08</v>
      </c>
      <c r="M46" s="21" t="n">
        <f aca="false">IFERROR(K46/(1-L46),0)</f>
        <v>94.495652173913</v>
      </c>
      <c r="N46" s="24" t="n">
        <v>39.98</v>
      </c>
      <c r="O46" s="24" t="n">
        <f aca="false">IFERROR(N46/'Mi negocio'!$B$15,0)</f>
        <v>2.4230303030303</v>
      </c>
      <c r="P46" s="25" t="n">
        <f aca="false">IFERROR(CEILING(M46/(1-'Mi negocio'!$B$24),5),0)</f>
        <v>250</v>
      </c>
      <c r="Q46" s="25" t="n">
        <f aca="false">IFERROR(CEILING(M46/(1-'Mi negocio'!$B$25),5),0)</f>
        <v>300</v>
      </c>
      <c r="R46" s="25" t="n">
        <f aca="false">IFERROR(CEILING(M46/(1-'Mi negocio'!$B$26),5),0)</f>
        <v>210</v>
      </c>
      <c r="S46" s="25" t="n">
        <f aca="false">IFERROR(CEILING((M46*'Mi negocio'!$B$13+'Mi negocio'!$B$14)/(1-'Mi negocio'!$B$27),10),0)</f>
        <v>1090</v>
      </c>
      <c r="T46" s="14" t="n">
        <f aca="false">P46-M46</f>
        <v>155.504347826087</v>
      </c>
      <c r="U46" s="23" t="n">
        <f aca="false">IFERROR(E46/P46,0)</f>
        <v>0.240544</v>
      </c>
    </row>
    <row r="47" customFormat="false" ht="15" hidden="false" customHeight="false" outlineLevel="0" collapsed="false">
      <c r="A47" s="9" t="n">
        <v>42</v>
      </c>
      <c r="B47" s="9" t="s">
        <v>672</v>
      </c>
      <c r="C47" s="12" t="s">
        <v>323</v>
      </c>
      <c r="D47" s="9" t="n">
        <v>10</v>
      </c>
      <c r="E47" s="14" t="n">
        <f aca="false">SUMIF(Ingredientes!$A:$A,$A47,Ingredientes!$H:$H)</f>
        <v>36.442691597863</v>
      </c>
      <c r="F47" s="14" t="n">
        <f aca="false">'Mi negocio'!$B$10</f>
        <v>2.5</v>
      </c>
      <c r="G47" s="14" t="n">
        <f aca="false">'Mi negocio'!$B$11</f>
        <v>1.8</v>
      </c>
      <c r="H47" s="22" t="n">
        <v>2</v>
      </c>
      <c r="I47" s="14" t="n">
        <f aca="false">H47/60*'Mi negocio'!$B$19</f>
        <v>2.5</v>
      </c>
      <c r="J47" s="14" t="n">
        <f aca="false">'Mi negocio'!$B$18</f>
        <v>15</v>
      </c>
      <c r="K47" s="14" t="n">
        <f aca="false">E47+F47+G47+I47+J47</f>
        <v>58.242691597863</v>
      </c>
      <c r="L47" s="23" t="n">
        <f aca="false">'Mi negocio'!$B$12</f>
        <v>0.08</v>
      </c>
      <c r="M47" s="21" t="n">
        <f aca="false">IFERROR(K47/(1-L47),0)</f>
        <v>63.3072734759381</v>
      </c>
      <c r="N47" s="24" t="n">
        <v>12.5</v>
      </c>
      <c r="O47" s="24" t="n">
        <f aca="false">IFERROR(N47/'Mi negocio'!$B$15,0)</f>
        <v>0.757575757575758</v>
      </c>
      <c r="P47" s="25" t="n">
        <f aca="false">IFERROR(CEILING(M47/(1-'Mi negocio'!$B$24),5),0)</f>
        <v>170</v>
      </c>
      <c r="Q47" s="25" t="n">
        <f aca="false">IFERROR(CEILING(M47/(1-'Mi negocio'!$B$25),5),0)</f>
        <v>200</v>
      </c>
      <c r="R47" s="25" t="n">
        <f aca="false">IFERROR(CEILING(M47/(1-'Mi negocio'!$B$26),5),0)</f>
        <v>145</v>
      </c>
      <c r="S47" s="25" t="n">
        <f aca="false">IFERROR(CEILING((M47*'Mi negocio'!$B$13+'Mi negocio'!$B$14)/(1-'Mi negocio'!$B$27),10),0)</f>
        <v>750</v>
      </c>
      <c r="T47" s="14" t="n">
        <f aca="false">P47-M47</f>
        <v>106.692726524062</v>
      </c>
      <c r="U47" s="23" t="n">
        <f aca="false">IFERROR(E47/P47,0)</f>
        <v>0.214368774105077</v>
      </c>
    </row>
    <row r="48" customFormat="false" ht="15" hidden="false" customHeight="false" outlineLevel="0" collapsed="false">
      <c r="A48" s="9" t="n">
        <v>43</v>
      </c>
      <c r="B48" s="9" t="s">
        <v>682</v>
      </c>
      <c r="C48" s="12" t="s">
        <v>323</v>
      </c>
      <c r="D48" s="9" t="n">
        <v>10</v>
      </c>
      <c r="E48" s="14" t="n">
        <f aca="false">SUMIF(Ingredientes!$A:$A,$A48,Ingredientes!$H:$H)</f>
        <v>36.034</v>
      </c>
      <c r="F48" s="14" t="n">
        <f aca="false">'Mi negocio'!$B$10</f>
        <v>2.5</v>
      </c>
      <c r="G48" s="14" t="n">
        <f aca="false">'Mi negocio'!$B$11</f>
        <v>1.8</v>
      </c>
      <c r="H48" s="22" t="n">
        <v>2</v>
      </c>
      <c r="I48" s="14" t="n">
        <f aca="false">H48/60*'Mi negocio'!$B$19</f>
        <v>2.5</v>
      </c>
      <c r="J48" s="14" t="n">
        <f aca="false">'Mi negocio'!$B$18</f>
        <v>15</v>
      </c>
      <c r="K48" s="14" t="n">
        <f aca="false">E48+F48+G48+I48+J48</f>
        <v>57.834</v>
      </c>
      <c r="L48" s="23" t="n">
        <f aca="false">'Mi negocio'!$B$12</f>
        <v>0.08</v>
      </c>
      <c r="M48" s="21" t="n">
        <f aca="false">IFERROR(K48/(1-L48),0)</f>
        <v>62.8630434782609</v>
      </c>
      <c r="N48" s="24" t="n">
        <v>17.75</v>
      </c>
      <c r="O48" s="24" t="n">
        <f aca="false">IFERROR(N48/'Mi negocio'!$B$15,0)</f>
        <v>1.07575757575758</v>
      </c>
      <c r="P48" s="25" t="n">
        <f aca="false">IFERROR(CEILING(M48/(1-'Mi negocio'!$B$24),5),0)</f>
        <v>170</v>
      </c>
      <c r="Q48" s="25" t="n">
        <f aca="false">IFERROR(CEILING(M48/(1-'Mi negocio'!$B$25),5),0)</f>
        <v>200</v>
      </c>
      <c r="R48" s="25" t="n">
        <f aca="false">IFERROR(CEILING(M48/(1-'Mi negocio'!$B$26),5),0)</f>
        <v>140</v>
      </c>
      <c r="S48" s="25" t="n">
        <f aca="false">IFERROR(CEILING((M48*'Mi negocio'!$B$13+'Mi negocio'!$B$14)/(1-'Mi negocio'!$B$27),10),0)</f>
        <v>740</v>
      </c>
      <c r="T48" s="14" t="n">
        <f aca="false">P48-M48</f>
        <v>107.136956521739</v>
      </c>
      <c r="U48" s="23" t="n">
        <f aca="false">IFERROR(E48/P48,0)</f>
        <v>0.211964705882353</v>
      </c>
    </row>
    <row r="49" customFormat="false" ht="15" hidden="false" customHeight="false" outlineLevel="0" collapsed="false">
      <c r="A49" s="9" t="n">
        <v>44</v>
      </c>
      <c r="B49" s="9" t="s">
        <v>688</v>
      </c>
      <c r="C49" s="12" t="s">
        <v>332</v>
      </c>
      <c r="D49" s="9" t="n">
        <v>11</v>
      </c>
      <c r="E49" s="14" t="n">
        <f aca="false">SUMIF(Ingredientes!$A:$A,$A49,Ingredientes!$H:$H)</f>
        <v>53.175</v>
      </c>
      <c r="F49" s="14" t="n">
        <f aca="false">'Mi negocio'!$B$10</f>
        <v>2.5</v>
      </c>
      <c r="G49" s="14" t="n">
        <f aca="false">'Mi negocio'!$B$11</f>
        <v>1.8</v>
      </c>
      <c r="H49" s="22" t="n">
        <v>4</v>
      </c>
      <c r="I49" s="14" t="n">
        <f aca="false">H49/60*'Mi negocio'!$B$19</f>
        <v>5</v>
      </c>
      <c r="J49" s="14" t="n">
        <f aca="false">'Mi negocio'!$B$18</f>
        <v>15</v>
      </c>
      <c r="K49" s="14" t="n">
        <f aca="false">E49+F49+G49+I49+J49</f>
        <v>77.475</v>
      </c>
      <c r="L49" s="23" t="n">
        <f aca="false">'Mi negocio'!$B$12</f>
        <v>0.08</v>
      </c>
      <c r="M49" s="21" t="n">
        <f aca="false">IFERROR(K49/(1-L49),0)</f>
        <v>84.2119565217391</v>
      </c>
      <c r="N49" s="24" t="n">
        <v>24</v>
      </c>
      <c r="O49" s="24" t="n">
        <f aca="false">IFERROR(N49/'Mi negocio'!$B$15,0)</f>
        <v>1.45454545454545</v>
      </c>
      <c r="P49" s="25" t="n">
        <f aca="false">IFERROR(CEILING(M49/(1-'Mi negocio'!$B$24),5),0)</f>
        <v>225</v>
      </c>
      <c r="Q49" s="25" t="n">
        <f aca="false">IFERROR(CEILING(M49/(1-'Mi negocio'!$B$25),5),0)</f>
        <v>265</v>
      </c>
      <c r="R49" s="25" t="n">
        <f aca="false">IFERROR(CEILING(M49/(1-'Mi negocio'!$B$26),5),0)</f>
        <v>190</v>
      </c>
      <c r="S49" s="25" t="n">
        <f aca="false">IFERROR(CEILING((M49*'Mi negocio'!$B$13+'Mi negocio'!$B$14)/(1-'Mi negocio'!$B$27),10),0)</f>
        <v>970</v>
      </c>
      <c r="T49" s="14" t="n">
        <f aca="false">P49-M49</f>
        <v>140.788043478261</v>
      </c>
      <c r="U49" s="23" t="n">
        <f aca="false">IFERROR(E49/P49,0)</f>
        <v>0.236333333333333</v>
      </c>
    </row>
    <row r="50" customFormat="false" ht="15" hidden="false" customHeight="false" outlineLevel="0" collapsed="false">
      <c r="A50" s="9" t="n">
        <v>45</v>
      </c>
      <c r="B50" s="9" t="s">
        <v>694</v>
      </c>
      <c r="C50" s="12" t="s">
        <v>326</v>
      </c>
      <c r="D50" s="9" t="n">
        <v>11</v>
      </c>
      <c r="E50" s="14" t="n">
        <f aca="false">SUMIF(Ingredientes!$A:$A,$A50,Ingredientes!$H:$H)</f>
        <v>72.0933333333333</v>
      </c>
      <c r="F50" s="14" t="n">
        <f aca="false">'Mi negocio'!$B$10</f>
        <v>2.5</v>
      </c>
      <c r="G50" s="14" t="n">
        <f aca="false">'Mi negocio'!$B$11</f>
        <v>1.8</v>
      </c>
      <c r="H50" s="22" t="n">
        <v>3</v>
      </c>
      <c r="I50" s="14" t="n">
        <f aca="false">H50/60*'Mi negocio'!$B$19</f>
        <v>3.75</v>
      </c>
      <c r="J50" s="14" t="n">
        <f aca="false">'Mi negocio'!$B$18</f>
        <v>15</v>
      </c>
      <c r="K50" s="14" t="n">
        <f aca="false">E50+F50+G50+I50+J50</f>
        <v>95.1433333333333</v>
      </c>
      <c r="L50" s="23" t="n">
        <f aca="false">'Mi negocio'!$B$12</f>
        <v>0.08</v>
      </c>
      <c r="M50" s="21" t="n">
        <f aca="false">IFERROR(K50/(1-L50),0)</f>
        <v>103.416666666667</v>
      </c>
      <c r="N50" s="24" t="n">
        <v>22.5</v>
      </c>
      <c r="O50" s="24" t="n">
        <f aca="false">IFERROR(N50/'Mi negocio'!$B$15,0)</f>
        <v>1.36363636363636</v>
      </c>
      <c r="P50" s="25" t="n">
        <f aca="false">IFERROR(CEILING(M50/(1-'Mi negocio'!$B$24),5),0)</f>
        <v>275</v>
      </c>
      <c r="Q50" s="25" t="n">
        <f aca="false">IFERROR(CEILING(M50/(1-'Mi negocio'!$B$25),5),0)</f>
        <v>325</v>
      </c>
      <c r="R50" s="25" t="n">
        <f aca="false">IFERROR(CEILING(M50/(1-'Mi negocio'!$B$26),5),0)</f>
        <v>230</v>
      </c>
      <c r="S50" s="25" t="n">
        <f aca="false">IFERROR(CEILING((M50*'Mi negocio'!$B$13+'Mi negocio'!$B$14)/(1-'Mi negocio'!$B$27),10),0)</f>
        <v>1180</v>
      </c>
      <c r="T50" s="14" t="n">
        <f aca="false">P50-M50</f>
        <v>171.583333333333</v>
      </c>
      <c r="U50" s="23" t="n">
        <f aca="false">IFERROR(E50/P50,0)</f>
        <v>0.262157575757576</v>
      </c>
    </row>
    <row r="51" customFormat="false" ht="15" hidden="false" customHeight="false" outlineLevel="0" collapsed="false">
      <c r="A51" s="9" t="n">
        <v>46</v>
      </c>
      <c r="B51" s="9" t="s">
        <v>700</v>
      </c>
      <c r="C51" s="12" t="s">
        <v>335</v>
      </c>
      <c r="D51" s="9" t="n">
        <v>11</v>
      </c>
      <c r="E51" s="14" t="n">
        <f aca="false">SUMIF(Ingredientes!$A:$A,$A51,Ingredientes!$H:$H)</f>
        <v>61.485619047619</v>
      </c>
      <c r="F51" s="14" t="n">
        <f aca="false">'Mi negocio'!$B$10</f>
        <v>2.5</v>
      </c>
      <c r="G51" s="14" t="n">
        <f aca="false">'Mi negocio'!$B$11</f>
        <v>1.8</v>
      </c>
      <c r="H51" s="22" t="n">
        <v>4</v>
      </c>
      <c r="I51" s="14" t="n">
        <f aca="false">H51/60*'Mi negocio'!$B$19</f>
        <v>5</v>
      </c>
      <c r="J51" s="14" t="n">
        <f aca="false">'Mi negocio'!$B$18</f>
        <v>15</v>
      </c>
      <c r="K51" s="14" t="n">
        <f aca="false">E51+F51+G51+I51+J51</f>
        <v>85.7856190476191</v>
      </c>
      <c r="L51" s="23" t="n">
        <f aca="false">'Mi negocio'!$B$12</f>
        <v>0.08</v>
      </c>
      <c r="M51" s="21" t="n">
        <f aca="false">IFERROR(K51/(1-L51),0)</f>
        <v>93.2452380952381</v>
      </c>
      <c r="N51" s="24" t="n">
        <v>26.25</v>
      </c>
      <c r="O51" s="24" t="n">
        <f aca="false">IFERROR(N51/'Mi negocio'!$B$15,0)</f>
        <v>1.59090909090909</v>
      </c>
      <c r="P51" s="25" t="n">
        <f aca="false">IFERROR(CEILING(M51/(1-'Mi negocio'!$B$24),5),0)</f>
        <v>250</v>
      </c>
      <c r="Q51" s="25" t="n">
        <f aca="false">IFERROR(CEILING(M51/(1-'Mi negocio'!$B$25),5),0)</f>
        <v>295</v>
      </c>
      <c r="R51" s="25" t="n">
        <f aca="false">IFERROR(CEILING(M51/(1-'Mi negocio'!$B$26),5),0)</f>
        <v>210</v>
      </c>
      <c r="S51" s="25" t="n">
        <f aca="false">IFERROR(CEILING((M51*'Mi negocio'!$B$13+'Mi negocio'!$B$14)/(1-'Mi negocio'!$B$27),10),0)</f>
        <v>1070</v>
      </c>
      <c r="T51" s="14" t="n">
        <f aca="false">P51-M51</f>
        <v>156.754761904762</v>
      </c>
      <c r="U51" s="23" t="n">
        <f aca="false">IFERROR(E51/P51,0)</f>
        <v>0.245942476190476</v>
      </c>
    </row>
    <row r="52" customFormat="false" ht="15" hidden="false" customHeight="false" outlineLevel="0" collapsed="false">
      <c r="A52" s="9" t="n">
        <v>47</v>
      </c>
      <c r="B52" s="9" t="s">
        <v>707</v>
      </c>
      <c r="C52" s="12" t="s">
        <v>335</v>
      </c>
      <c r="D52" s="9" t="n">
        <v>11</v>
      </c>
      <c r="E52" s="14" t="n">
        <f aca="false">SUMIF(Ingredientes!$A:$A,$A52,Ingredientes!$H:$H)</f>
        <v>69.2971428571429</v>
      </c>
      <c r="F52" s="14" t="n">
        <f aca="false">'Mi negocio'!$B$10</f>
        <v>2.5</v>
      </c>
      <c r="G52" s="14" t="n">
        <f aca="false">'Mi negocio'!$B$11</f>
        <v>1.8</v>
      </c>
      <c r="H52" s="22" t="n">
        <v>4</v>
      </c>
      <c r="I52" s="14" t="n">
        <f aca="false">H52/60*'Mi negocio'!$B$19</f>
        <v>5</v>
      </c>
      <c r="J52" s="14" t="n">
        <f aca="false">'Mi negocio'!$B$18</f>
        <v>15</v>
      </c>
      <c r="K52" s="14" t="n">
        <f aca="false">E52+F52+G52+I52+J52</f>
        <v>93.5971428571429</v>
      </c>
      <c r="L52" s="23" t="n">
        <f aca="false">'Mi negocio'!$B$12</f>
        <v>0.08</v>
      </c>
      <c r="M52" s="21" t="n">
        <f aca="false">IFERROR(K52/(1-L52),0)</f>
        <v>101.73602484472</v>
      </c>
      <c r="N52" s="24" t="n">
        <v>23.79</v>
      </c>
      <c r="O52" s="24" t="n">
        <f aca="false">IFERROR(N52/'Mi negocio'!$B$15,0)</f>
        <v>1.44181818181818</v>
      </c>
      <c r="P52" s="25" t="n">
        <f aca="false">IFERROR(CEILING(M52/(1-'Mi negocio'!$B$24),5),0)</f>
        <v>270</v>
      </c>
      <c r="Q52" s="25" t="n">
        <f aca="false">IFERROR(CEILING(M52/(1-'Mi negocio'!$B$25),5),0)</f>
        <v>320</v>
      </c>
      <c r="R52" s="25" t="n">
        <f aca="false">IFERROR(CEILING(M52/(1-'Mi negocio'!$B$26),5),0)</f>
        <v>230</v>
      </c>
      <c r="S52" s="25" t="n">
        <f aca="false">IFERROR(CEILING((M52*'Mi negocio'!$B$13+'Mi negocio'!$B$14)/(1-'Mi negocio'!$B$27),10),0)</f>
        <v>1170</v>
      </c>
      <c r="T52" s="14" t="n">
        <f aca="false">P52-M52</f>
        <v>168.26397515528</v>
      </c>
      <c r="U52" s="23" t="n">
        <f aca="false">IFERROR(E52/P52,0)</f>
        <v>0.256656084656085</v>
      </c>
    </row>
    <row r="53" customFormat="false" ht="15" hidden="false" customHeight="false" outlineLevel="0" collapsed="false">
      <c r="A53" s="9" t="n">
        <v>48</v>
      </c>
      <c r="B53" s="9" t="s">
        <v>717</v>
      </c>
      <c r="C53" s="12" t="s">
        <v>338</v>
      </c>
      <c r="D53" s="9" t="n">
        <v>11</v>
      </c>
      <c r="E53" s="14" t="n">
        <f aca="false">SUMIF(Ingredientes!$A:$A,$A53,Ingredientes!$H:$H)</f>
        <v>42.18</v>
      </c>
      <c r="F53" s="14" t="n">
        <f aca="false">'Mi negocio'!$B$10</f>
        <v>2.5</v>
      </c>
      <c r="G53" s="14" t="n">
        <f aca="false">'Mi negocio'!$B$11</f>
        <v>1.8</v>
      </c>
      <c r="H53" s="22" t="n">
        <v>6</v>
      </c>
      <c r="I53" s="14" t="n">
        <f aca="false">H53/60*'Mi negocio'!$B$19</f>
        <v>7.5</v>
      </c>
      <c r="J53" s="14" t="n">
        <f aca="false">'Mi negocio'!$B$18</f>
        <v>15</v>
      </c>
      <c r="K53" s="14" t="n">
        <f aca="false">E53+F53+G53+I53+J53</f>
        <v>68.98</v>
      </c>
      <c r="L53" s="23" t="n">
        <f aca="false">'Mi negocio'!$B$12</f>
        <v>0.08</v>
      </c>
      <c r="M53" s="21" t="n">
        <f aca="false">IFERROR(K53/(1-L53),0)</f>
        <v>74.9782608695652</v>
      </c>
      <c r="N53" s="24" t="n">
        <v>24</v>
      </c>
      <c r="O53" s="24" t="n">
        <f aca="false">IFERROR(N53/'Mi negocio'!$B$15,0)</f>
        <v>1.45454545454545</v>
      </c>
      <c r="P53" s="25" t="n">
        <f aca="false">IFERROR(CEILING(M53/(1-'Mi negocio'!$B$24),5),0)</f>
        <v>200</v>
      </c>
      <c r="Q53" s="25" t="n">
        <f aca="false">IFERROR(CEILING(M53/(1-'Mi negocio'!$B$25),5),0)</f>
        <v>235</v>
      </c>
      <c r="R53" s="25" t="n">
        <f aca="false">IFERROR(CEILING(M53/(1-'Mi negocio'!$B$26),5),0)</f>
        <v>170</v>
      </c>
      <c r="S53" s="25" t="n">
        <f aca="false">IFERROR(CEILING((M53*'Mi negocio'!$B$13+'Mi negocio'!$B$14)/(1-'Mi negocio'!$B$27),10),0)</f>
        <v>870</v>
      </c>
      <c r="T53" s="14" t="n">
        <f aca="false">P53-M53</f>
        <v>125.021739130435</v>
      </c>
      <c r="U53" s="23" t="n">
        <f aca="false">IFERROR(E53/P53,0)</f>
        <v>0.2109</v>
      </c>
    </row>
    <row r="54" customFormat="false" ht="15" hidden="false" customHeight="false" outlineLevel="0" collapsed="false">
      <c r="A54" s="9" t="n">
        <v>49</v>
      </c>
      <c r="B54" s="9" t="s">
        <v>724</v>
      </c>
      <c r="C54" s="12" t="s">
        <v>326</v>
      </c>
      <c r="D54" s="9" t="n">
        <v>11</v>
      </c>
      <c r="E54" s="14" t="n">
        <f aca="false">SUMIF(Ingredientes!$A:$A,$A54,Ingredientes!$H:$H)</f>
        <v>42.68</v>
      </c>
      <c r="F54" s="14" t="n">
        <f aca="false">'Mi negocio'!$B$10</f>
        <v>2.5</v>
      </c>
      <c r="G54" s="14" t="n">
        <f aca="false">'Mi negocio'!$B$11</f>
        <v>1.8</v>
      </c>
      <c r="H54" s="22" t="n">
        <v>3</v>
      </c>
      <c r="I54" s="14" t="n">
        <f aca="false">H54/60*'Mi negocio'!$B$19</f>
        <v>3.75</v>
      </c>
      <c r="J54" s="14" t="n">
        <f aca="false">'Mi negocio'!$B$18</f>
        <v>15</v>
      </c>
      <c r="K54" s="14" t="n">
        <f aca="false">E54+F54+G54+I54+J54</f>
        <v>65.73</v>
      </c>
      <c r="L54" s="23" t="n">
        <f aca="false">'Mi negocio'!$B$12</f>
        <v>0.08</v>
      </c>
      <c r="M54" s="21" t="n">
        <f aca="false">IFERROR(K54/(1-L54),0)</f>
        <v>71.445652173913</v>
      </c>
      <c r="N54" s="24" t="n">
        <v>24</v>
      </c>
      <c r="O54" s="24" t="n">
        <f aca="false">IFERROR(N54/'Mi negocio'!$B$15,0)</f>
        <v>1.45454545454545</v>
      </c>
      <c r="P54" s="25" t="n">
        <f aca="false">IFERROR(CEILING(M54/(1-'Mi negocio'!$B$24),5),0)</f>
        <v>190</v>
      </c>
      <c r="Q54" s="25" t="n">
        <f aca="false">IFERROR(CEILING(M54/(1-'Mi negocio'!$B$25),5),0)</f>
        <v>225</v>
      </c>
      <c r="R54" s="25" t="n">
        <f aca="false">IFERROR(CEILING(M54/(1-'Mi negocio'!$B$26),5),0)</f>
        <v>160</v>
      </c>
      <c r="S54" s="25" t="n">
        <f aca="false">IFERROR(CEILING((M54*'Mi negocio'!$B$13+'Mi negocio'!$B$14)/(1-'Mi negocio'!$B$27),10),0)</f>
        <v>840</v>
      </c>
      <c r="T54" s="14" t="n">
        <f aca="false">P54-M54</f>
        <v>118.554347826087</v>
      </c>
      <c r="U54" s="23" t="n">
        <f aca="false">IFERROR(E54/P54,0)</f>
        <v>0.224631578947368</v>
      </c>
    </row>
    <row r="55" customFormat="false" ht="15" hidden="false" customHeight="false" outlineLevel="0" collapsed="false">
      <c r="A55" s="9" t="n">
        <v>50</v>
      </c>
      <c r="B55" s="9" t="s">
        <v>732</v>
      </c>
      <c r="C55" s="12" t="s">
        <v>335</v>
      </c>
      <c r="D55" s="9" t="n">
        <v>11</v>
      </c>
      <c r="E55" s="14" t="n">
        <f aca="false">SUMIF(Ingredientes!$A:$A,$A55,Ingredientes!$H:$H)</f>
        <v>58.1275</v>
      </c>
      <c r="F55" s="14" t="n">
        <f aca="false">'Mi negocio'!$B$10</f>
        <v>2.5</v>
      </c>
      <c r="G55" s="14" t="n">
        <f aca="false">'Mi negocio'!$B$11</f>
        <v>1.8</v>
      </c>
      <c r="H55" s="22" t="n">
        <v>4</v>
      </c>
      <c r="I55" s="14" t="n">
        <f aca="false">H55/60*'Mi negocio'!$B$19</f>
        <v>5</v>
      </c>
      <c r="J55" s="14" t="n">
        <f aca="false">'Mi negocio'!$B$18</f>
        <v>15</v>
      </c>
      <c r="K55" s="14" t="n">
        <f aca="false">E55+F55+G55+I55+J55</f>
        <v>82.4275</v>
      </c>
      <c r="L55" s="23" t="n">
        <f aca="false">'Mi negocio'!$B$12</f>
        <v>0.08</v>
      </c>
      <c r="M55" s="21" t="n">
        <f aca="false">IFERROR(K55/(1-L55),0)</f>
        <v>89.5951086956522</v>
      </c>
      <c r="N55" s="24" t="n">
        <v>22.5</v>
      </c>
      <c r="O55" s="24" t="n">
        <f aca="false">IFERROR(N55/'Mi negocio'!$B$15,0)</f>
        <v>1.36363636363636</v>
      </c>
      <c r="P55" s="25" t="n">
        <f aca="false">IFERROR(CEILING(M55/(1-'Mi negocio'!$B$24),5),0)</f>
        <v>240</v>
      </c>
      <c r="Q55" s="25" t="n">
        <f aca="false">IFERROR(CEILING(M55/(1-'Mi negocio'!$B$25),5),0)</f>
        <v>280</v>
      </c>
      <c r="R55" s="25" t="n">
        <f aca="false">IFERROR(CEILING(M55/(1-'Mi negocio'!$B$26),5),0)</f>
        <v>200</v>
      </c>
      <c r="S55" s="25" t="n">
        <f aca="false">IFERROR(CEILING((M55*'Mi negocio'!$B$13+'Mi negocio'!$B$14)/(1-'Mi negocio'!$B$27),10),0)</f>
        <v>1030</v>
      </c>
      <c r="T55" s="14" t="n">
        <f aca="false">P55-M55</f>
        <v>150.404891304348</v>
      </c>
      <c r="U55" s="23" t="n">
        <f aca="false">IFERROR(E55/P55,0)</f>
        <v>0.242197916666667</v>
      </c>
    </row>
    <row r="56" customFormat="false" ht="15" hidden="false" customHeight="false" outlineLevel="0" collapsed="false">
      <c r="A56" s="9" t="n">
        <v>51</v>
      </c>
      <c r="B56" s="9" t="s">
        <v>739</v>
      </c>
      <c r="C56" s="12" t="s">
        <v>338</v>
      </c>
      <c r="D56" s="9" t="n">
        <v>11</v>
      </c>
      <c r="E56" s="14" t="n">
        <f aca="false">SUMIF(Ingredientes!$A:$A,$A56,Ingredientes!$H:$H)</f>
        <v>126.318</v>
      </c>
      <c r="F56" s="14" t="n">
        <f aca="false">'Mi negocio'!$B$10</f>
        <v>2.5</v>
      </c>
      <c r="G56" s="14" t="n">
        <f aca="false">'Mi negocio'!$B$11</f>
        <v>1.8</v>
      </c>
      <c r="H56" s="22" t="n">
        <v>6</v>
      </c>
      <c r="I56" s="14" t="n">
        <f aca="false">H56/60*'Mi negocio'!$B$19</f>
        <v>7.5</v>
      </c>
      <c r="J56" s="14" t="n">
        <f aca="false">'Mi negocio'!$B$18</f>
        <v>15</v>
      </c>
      <c r="K56" s="14" t="n">
        <f aca="false">E56+F56+G56+I56+J56</f>
        <v>153.118</v>
      </c>
      <c r="L56" s="23" t="n">
        <f aca="false">'Mi negocio'!$B$12</f>
        <v>0.08</v>
      </c>
      <c r="M56" s="21" t="n">
        <f aca="false">IFERROR(K56/(1-L56),0)</f>
        <v>166.432608695652</v>
      </c>
      <c r="N56" s="24" t="n">
        <v>28.8</v>
      </c>
      <c r="O56" s="24" t="n">
        <f aca="false">IFERROR(N56/'Mi negocio'!$B$15,0)</f>
        <v>1.74545454545455</v>
      </c>
      <c r="P56" s="25" t="n">
        <f aca="false">IFERROR(CEILING(M56/(1-'Mi negocio'!$B$24),5),0)</f>
        <v>440</v>
      </c>
      <c r="Q56" s="25" t="n">
        <f aca="false">IFERROR(CEILING(M56/(1-'Mi negocio'!$B$25),5),0)</f>
        <v>525</v>
      </c>
      <c r="R56" s="25" t="n">
        <f aca="false">IFERROR(CEILING(M56/(1-'Mi negocio'!$B$26),5),0)</f>
        <v>370</v>
      </c>
      <c r="S56" s="25" t="n">
        <f aca="false">IFERROR(CEILING((M56*'Mi negocio'!$B$13+'Mi negocio'!$B$14)/(1-'Mi negocio'!$B$27),10),0)</f>
        <v>1870</v>
      </c>
      <c r="T56" s="14" t="n">
        <f aca="false">P56-M56</f>
        <v>273.567391304348</v>
      </c>
      <c r="U56" s="23" t="n">
        <f aca="false">IFERROR(E56/P56,0)</f>
        <v>0.287086363636364</v>
      </c>
    </row>
    <row r="58" customFormat="false" ht="15" hidden="false" customHeight="false" outlineLevel="0" collapsed="false">
      <c r="B58" s="4" t="s">
        <v>806</v>
      </c>
      <c r="E58" s="26" t="n">
        <f aca="false">AVERAGE(E6:E56)</f>
        <v>56.6519638175005</v>
      </c>
      <c r="M58" s="26" t="n">
        <f aca="false">AVERAGE(M6:M56)</f>
        <v>87.4850842858594</v>
      </c>
      <c r="N58" s="27" t="n">
        <f aca="false">AVERAGE(N6:N56)</f>
        <v>22.8750980392157</v>
      </c>
      <c r="O58" s="27" t="n">
        <f aca="false">AVERAGE(O6:O56)</f>
        <v>1.38636957813428</v>
      </c>
      <c r="P58" s="26" t="n">
        <f aca="false">AVERAGE(P6:P56)</f>
        <v>232.843137254902</v>
      </c>
      <c r="Q58" s="26" t="n">
        <f aca="false">AVERAGE(Q6:Q56)</f>
        <v>276.078431372549</v>
      </c>
      <c r="R58" s="26" t="n">
        <f aca="false">AVERAGE(R6:R56)</f>
        <v>196.56862745098</v>
      </c>
      <c r="S58" s="26" t="n">
        <f aca="false">AVERAGE(S6:S56)</f>
        <v>1010.39215686275</v>
      </c>
      <c r="T58" s="26" t="n">
        <f aca="false">AVERAGE(T6:T56)</f>
        <v>145.358052969043</v>
      </c>
      <c r="U58" s="28" t="n">
        <f aca="false">AVERAGE(U6:U56)</f>
        <v>0.23663144015718</v>
      </c>
    </row>
    <row r="60" customFormat="false" ht="15" hidden="false" customHeight="false" outlineLevel="0" collapsed="false">
      <c r="B60" s="2" t="s">
        <v>807</v>
      </c>
    </row>
  </sheetData>
  <autoFilter ref="A5:U56"/>
  <conditionalFormatting sqref="M6:M56">
    <cfRule type="colorScale" priority="2">
      <colorScale>
        <cfvo type="min" val="0"/>
        <cfvo type="max" val="0"/>
        <color rgb="FFEEF7F2"/>
        <color rgb="FFFDE2D7"/>
      </colorScale>
    </cfRule>
  </conditionalFormatting>
  <conditionalFormatting sqref="U6:U56">
    <cfRule type="cellIs" priority="3" operator="greaterThan" aboveAverage="0" equalAverage="0" bottom="0" percent="0" rank="0" text="" dxfId="74">
      <formula>0.3</formula>
    </cfRule>
  </conditionalFormatting>
  <conditionalFormatting sqref="O6:O56">
    <cfRule type="cellIs" priority="4" operator="greaterThan" aboveAverage="0" equalAverage="0" bottom="0" percent="0" rank="0" text="" dxfId="74">
      <formula>2.5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9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808</v>
      </c>
    </row>
    <row r="2" customFormat="false" ht="15" hidden="false" customHeight="false" outlineLevel="0" collapsed="false">
      <c r="A2" s="2" t="s">
        <v>809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8" t="s">
        <v>363</v>
      </c>
      <c r="B5" s="8" t="s">
        <v>364</v>
      </c>
      <c r="C5" s="8" t="s">
        <v>810</v>
      </c>
      <c r="D5" s="8" t="s">
        <v>792</v>
      </c>
      <c r="E5" s="8" t="s">
        <v>811</v>
      </c>
      <c r="F5" s="8" t="s">
        <v>812</v>
      </c>
      <c r="G5" s="8" t="s">
        <v>813</v>
      </c>
      <c r="H5" s="8" t="s">
        <v>814</v>
      </c>
      <c r="I5" s="8" t="s">
        <v>815</v>
      </c>
      <c r="J5" s="8" t="s">
        <v>804</v>
      </c>
      <c r="K5" s="8" t="s">
        <v>816</v>
      </c>
    </row>
    <row r="6" customFormat="false" ht="15" hidden="false" customHeight="false" outlineLevel="0" collapsed="false">
      <c r="A6" s="9" t="n">
        <v>1</v>
      </c>
      <c r="B6" s="9" t="s">
        <v>370</v>
      </c>
      <c r="C6" s="29" t="n">
        <v>0</v>
      </c>
      <c r="D6" s="14" t="n">
        <f aca="false">C6*'Fichas y precios'!E6</f>
        <v>0</v>
      </c>
      <c r="E6" s="14" t="n">
        <f aca="false">C6*'Fichas y precios'!M6</f>
        <v>0</v>
      </c>
      <c r="F6" s="22" t="n">
        <f aca="false">C6*'Fichas y precios'!H6</f>
        <v>0</v>
      </c>
      <c r="G6" s="24" t="n">
        <f aca="false">F6/60</f>
        <v>0</v>
      </c>
      <c r="H6" s="14" t="n">
        <f aca="false">C6*'Fichas y precios'!P6</f>
        <v>0</v>
      </c>
      <c r="I6" s="14" t="n">
        <f aca="false">C6*'Fichas y precios'!R6</f>
        <v>0</v>
      </c>
      <c r="J6" s="14" t="n">
        <f aca="false">H6-E6</f>
        <v>0</v>
      </c>
      <c r="K6" s="24" t="n">
        <f aca="false">C6*'Fichas y precios'!O6</f>
        <v>0</v>
      </c>
    </row>
    <row r="7" customFormat="false" ht="15" hidden="false" customHeight="false" outlineLevel="0" collapsed="false">
      <c r="A7" s="9" t="n">
        <v>2</v>
      </c>
      <c r="B7" s="9" t="s">
        <v>378</v>
      </c>
      <c r="C7" s="29" t="n">
        <v>0</v>
      </c>
      <c r="D7" s="14" t="n">
        <f aca="false">C7*'Fichas y precios'!E7</f>
        <v>0</v>
      </c>
      <c r="E7" s="14" t="n">
        <f aca="false">C7*'Fichas y precios'!M7</f>
        <v>0</v>
      </c>
      <c r="F7" s="22" t="n">
        <f aca="false">C7*'Fichas y precios'!H7</f>
        <v>0</v>
      </c>
      <c r="G7" s="24" t="n">
        <f aca="false">F7/60</f>
        <v>0</v>
      </c>
      <c r="H7" s="14" t="n">
        <f aca="false">C7*'Fichas y precios'!P7</f>
        <v>0</v>
      </c>
      <c r="I7" s="14" t="n">
        <f aca="false">C7*'Fichas y precios'!R7</f>
        <v>0</v>
      </c>
      <c r="J7" s="14" t="n">
        <f aca="false">H7-E7</f>
        <v>0</v>
      </c>
      <c r="K7" s="24" t="n">
        <f aca="false">C7*'Fichas y precios'!O7</f>
        <v>0</v>
      </c>
    </row>
    <row r="8" customFormat="false" ht="15" hidden="false" customHeight="false" outlineLevel="0" collapsed="false">
      <c r="A8" s="9" t="n">
        <v>3</v>
      </c>
      <c r="B8" s="9" t="s">
        <v>386</v>
      </c>
      <c r="C8" s="29" t="n">
        <v>0</v>
      </c>
      <c r="D8" s="14" t="n">
        <f aca="false">C8*'Fichas y precios'!E8</f>
        <v>0</v>
      </c>
      <c r="E8" s="14" t="n">
        <f aca="false">C8*'Fichas y precios'!M8</f>
        <v>0</v>
      </c>
      <c r="F8" s="22" t="n">
        <f aca="false">C8*'Fichas y precios'!H8</f>
        <v>0</v>
      </c>
      <c r="G8" s="24" t="n">
        <f aca="false">F8/60</f>
        <v>0</v>
      </c>
      <c r="H8" s="14" t="n">
        <f aca="false">C8*'Fichas y precios'!P8</f>
        <v>0</v>
      </c>
      <c r="I8" s="14" t="n">
        <f aca="false">C8*'Fichas y precios'!R8</f>
        <v>0</v>
      </c>
      <c r="J8" s="14" t="n">
        <f aca="false">H8-E8</f>
        <v>0</v>
      </c>
      <c r="K8" s="24" t="n">
        <f aca="false">C8*'Fichas y precios'!O8</f>
        <v>0</v>
      </c>
    </row>
    <row r="9" customFormat="false" ht="15" hidden="false" customHeight="false" outlineLevel="0" collapsed="false">
      <c r="A9" s="9" t="n">
        <v>4</v>
      </c>
      <c r="B9" s="9" t="s">
        <v>392</v>
      </c>
      <c r="C9" s="29" t="n">
        <v>0</v>
      </c>
      <c r="D9" s="14" t="n">
        <f aca="false">C9*'Fichas y precios'!E9</f>
        <v>0</v>
      </c>
      <c r="E9" s="14" t="n">
        <f aca="false">C9*'Fichas y precios'!M9</f>
        <v>0</v>
      </c>
      <c r="F9" s="22" t="n">
        <f aca="false">C9*'Fichas y precios'!H9</f>
        <v>0</v>
      </c>
      <c r="G9" s="24" t="n">
        <f aca="false">F9/60</f>
        <v>0</v>
      </c>
      <c r="H9" s="14" t="n">
        <f aca="false">C9*'Fichas y precios'!P9</f>
        <v>0</v>
      </c>
      <c r="I9" s="14" t="n">
        <f aca="false">C9*'Fichas y precios'!R9</f>
        <v>0</v>
      </c>
      <c r="J9" s="14" t="n">
        <f aca="false">H9-E9</f>
        <v>0</v>
      </c>
      <c r="K9" s="24" t="n">
        <f aca="false">C9*'Fichas y precios'!O9</f>
        <v>0</v>
      </c>
    </row>
    <row r="10" customFormat="false" ht="15" hidden="false" customHeight="false" outlineLevel="0" collapsed="false">
      <c r="A10" s="9" t="n">
        <v>5</v>
      </c>
      <c r="B10" s="9" t="s">
        <v>398</v>
      </c>
      <c r="C10" s="29" t="n">
        <v>0</v>
      </c>
      <c r="D10" s="14" t="n">
        <f aca="false">C10*'Fichas y precios'!E10</f>
        <v>0</v>
      </c>
      <c r="E10" s="14" t="n">
        <f aca="false">C10*'Fichas y precios'!M10</f>
        <v>0</v>
      </c>
      <c r="F10" s="22" t="n">
        <f aca="false">C10*'Fichas y precios'!H10</f>
        <v>0</v>
      </c>
      <c r="G10" s="24" t="n">
        <f aca="false">F10/60</f>
        <v>0</v>
      </c>
      <c r="H10" s="14" t="n">
        <f aca="false">C10*'Fichas y precios'!P10</f>
        <v>0</v>
      </c>
      <c r="I10" s="14" t="n">
        <f aca="false">C10*'Fichas y precios'!R10</f>
        <v>0</v>
      </c>
      <c r="J10" s="14" t="n">
        <f aca="false">H10-E10</f>
        <v>0</v>
      </c>
      <c r="K10" s="24" t="n">
        <f aca="false">C10*'Fichas y precios'!O10</f>
        <v>0</v>
      </c>
    </row>
    <row r="11" customFormat="false" ht="15" hidden="false" customHeight="false" outlineLevel="0" collapsed="false">
      <c r="A11" s="9" t="n">
        <v>6</v>
      </c>
      <c r="B11" s="9" t="s">
        <v>406</v>
      </c>
      <c r="C11" s="29" t="n">
        <v>0</v>
      </c>
      <c r="D11" s="14" t="n">
        <f aca="false">C11*'Fichas y precios'!E11</f>
        <v>0</v>
      </c>
      <c r="E11" s="14" t="n">
        <f aca="false">C11*'Fichas y precios'!M11</f>
        <v>0</v>
      </c>
      <c r="F11" s="22" t="n">
        <f aca="false">C11*'Fichas y precios'!H11</f>
        <v>0</v>
      </c>
      <c r="G11" s="24" t="n">
        <f aca="false">F11/60</f>
        <v>0</v>
      </c>
      <c r="H11" s="14" t="n">
        <f aca="false">C11*'Fichas y precios'!P11</f>
        <v>0</v>
      </c>
      <c r="I11" s="14" t="n">
        <f aca="false">C11*'Fichas y precios'!R11</f>
        <v>0</v>
      </c>
      <c r="J11" s="14" t="n">
        <f aca="false">H11-E11</f>
        <v>0</v>
      </c>
      <c r="K11" s="24" t="n">
        <f aca="false">C11*'Fichas y precios'!O11</f>
        <v>0</v>
      </c>
    </row>
    <row r="12" customFormat="false" ht="15" hidden="false" customHeight="false" outlineLevel="0" collapsed="false">
      <c r="A12" s="9" t="n">
        <v>7</v>
      </c>
      <c r="B12" s="9" t="s">
        <v>412</v>
      </c>
      <c r="C12" s="29" t="n">
        <v>0</v>
      </c>
      <c r="D12" s="14" t="n">
        <f aca="false">C12*'Fichas y precios'!E12</f>
        <v>0</v>
      </c>
      <c r="E12" s="14" t="n">
        <f aca="false">C12*'Fichas y precios'!M12</f>
        <v>0</v>
      </c>
      <c r="F12" s="22" t="n">
        <f aca="false">C12*'Fichas y precios'!H12</f>
        <v>0</v>
      </c>
      <c r="G12" s="24" t="n">
        <f aca="false">F12/60</f>
        <v>0</v>
      </c>
      <c r="H12" s="14" t="n">
        <f aca="false">C12*'Fichas y precios'!P12</f>
        <v>0</v>
      </c>
      <c r="I12" s="14" t="n">
        <f aca="false">C12*'Fichas y precios'!R12</f>
        <v>0</v>
      </c>
      <c r="J12" s="14" t="n">
        <f aca="false">H12-E12</f>
        <v>0</v>
      </c>
      <c r="K12" s="24" t="n">
        <f aca="false">C12*'Fichas y precios'!O12</f>
        <v>0</v>
      </c>
    </row>
    <row r="13" customFormat="false" ht="15" hidden="false" customHeight="false" outlineLevel="0" collapsed="false">
      <c r="A13" s="9" t="n">
        <v>8</v>
      </c>
      <c r="B13" s="9" t="s">
        <v>424</v>
      </c>
      <c r="C13" s="29" t="n">
        <v>0</v>
      </c>
      <c r="D13" s="14" t="n">
        <f aca="false">C13*'Fichas y precios'!E13</f>
        <v>0</v>
      </c>
      <c r="E13" s="14" t="n">
        <f aca="false">C13*'Fichas y precios'!M13</f>
        <v>0</v>
      </c>
      <c r="F13" s="22" t="n">
        <f aca="false">C13*'Fichas y precios'!H13</f>
        <v>0</v>
      </c>
      <c r="G13" s="24" t="n">
        <f aca="false">F13/60</f>
        <v>0</v>
      </c>
      <c r="H13" s="14" t="n">
        <f aca="false">C13*'Fichas y precios'!P13</f>
        <v>0</v>
      </c>
      <c r="I13" s="14" t="n">
        <f aca="false">C13*'Fichas y precios'!R13</f>
        <v>0</v>
      </c>
      <c r="J13" s="14" t="n">
        <f aca="false">H13-E13</f>
        <v>0</v>
      </c>
      <c r="K13" s="24" t="n">
        <f aca="false">C13*'Fichas y precios'!O13</f>
        <v>0</v>
      </c>
    </row>
    <row r="14" customFormat="false" ht="15" hidden="false" customHeight="false" outlineLevel="0" collapsed="false">
      <c r="A14" s="9" t="n">
        <v>9</v>
      </c>
      <c r="B14" s="9" t="s">
        <v>431</v>
      </c>
      <c r="C14" s="29" t="n">
        <v>0</v>
      </c>
      <c r="D14" s="14" t="n">
        <f aca="false">C14*'Fichas y precios'!E14</f>
        <v>0</v>
      </c>
      <c r="E14" s="14" t="n">
        <f aca="false">C14*'Fichas y precios'!M14</f>
        <v>0</v>
      </c>
      <c r="F14" s="22" t="n">
        <f aca="false">C14*'Fichas y precios'!H14</f>
        <v>0</v>
      </c>
      <c r="G14" s="24" t="n">
        <f aca="false">F14/60</f>
        <v>0</v>
      </c>
      <c r="H14" s="14" t="n">
        <f aca="false">C14*'Fichas y precios'!P14</f>
        <v>0</v>
      </c>
      <c r="I14" s="14" t="n">
        <f aca="false">C14*'Fichas y precios'!R14</f>
        <v>0</v>
      </c>
      <c r="J14" s="14" t="n">
        <f aca="false">H14-E14</f>
        <v>0</v>
      </c>
      <c r="K14" s="24" t="n">
        <f aca="false">C14*'Fichas y precios'!O14</f>
        <v>0</v>
      </c>
    </row>
    <row r="15" customFormat="false" ht="15" hidden="false" customHeight="false" outlineLevel="0" collapsed="false">
      <c r="A15" s="9" t="n">
        <v>10</v>
      </c>
      <c r="B15" s="9" t="s">
        <v>438</v>
      </c>
      <c r="C15" s="29" t="n">
        <v>0</v>
      </c>
      <c r="D15" s="14" t="n">
        <f aca="false">C15*'Fichas y precios'!E15</f>
        <v>0</v>
      </c>
      <c r="E15" s="14" t="n">
        <f aca="false">C15*'Fichas y precios'!M15</f>
        <v>0</v>
      </c>
      <c r="F15" s="22" t="n">
        <f aca="false">C15*'Fichas y precios'!H15</f>
        <v>0</v>
      </c>
      <c r="G15" s="24" t="n">
        <f aca="false">F15/60</f>
        <v>0</v>
      </c>
      <c r="H15" s="14" t="n">
        <f aca="false">C15*'Fichas y precios'!P15</f>
        <v>0</v>
      </c>
      <c r="I15" s="14" t="n">
        <f aca="false">C15*'Fichas y precios'!R15</f>
        <v>0</v>
      </c>
      <c r="J15" s="14" t="n">
        <f aca="false">H15-E15</f>
        <v>0</v>
      </c>
      <c r="K15" s="24" t="n">
        <f aca="false">C15*'Fichas y precios'!O15</f>
        <v>0</v>
      </c>
    </row>
    <row r="16" customFormat="false" ht="15" hidden="false" customHeight="false" outlineLevel="0" collapsed="false">
      <c r="A16" s="9" t="n">
        <v>11</v>
      </c>
      <c r="B16" s="9" t="s">
        <v>445</v>
      </c>
      <c r="C16" s="29" t="n">
        <v>0</v>
      </c>
      <c r="D16" s="14" t="n">
        <f aca="false">C16*'Fichas y precios'!E16</f>
        <v>0</v>
      </c>
      <c r="E16" s="14" t="n">
        <f aca="false">C16*'Fichas y precios'!M16</f>
        <v>0</v>
      </c>
      <c r="F16" s="22" t="n">
        <f aca="false">C16*'Fichas y precios'!H16</f>
        <v>0</v>
      </c>
      <c r="G16" s="24" t="n">
        <f aca="false">F16/60</f>
        <v>0</v>
      </c>
      <c r="H16" s="14" t="n">
        <f aca="false">C16*'Fichas y precios'!P16</f>
        <v>0</v>
      </c>
      <c r="I16" s="14" t="n">
        <f aca="false">C16*'Fichas y precios'!R16</f>
        <v>0</v>
      </c>
      <c r="J16" s="14" t="n">
        <f aca="false">H16-E16</f>
        <v>0</v>
      </c>
      <c r="K16" s="24" t="n">
        <f aca="false">C16*'Fichas y precios'!O16</f>
        <v>0</v>
      </c>
    </row>
    <row r="17" customFormat="false" ht="15" hidden="false" customHeight="false" outlineLevel="0" collapsed="false">
      <c r="A17" s="9" t="n">
        <v>12</v>
      </c>
      <c r="B17" s="9" t="s">
        <v>453</v>
      </c>
      <c r="C17" s="29" t="n">
        <v>0</v>
      </c>
      <c r="D17" s="14" t="n">
        <f aca="false">C17*'Fichas y precios'!E17</f>
        <v>0</v>
      </c>
      <c r="E17" s="14" t="n">
        <f aca="false">C17*'Fichas y precios'!M17</f>
        <v>0</v>
      </c>
      <c r="F17" s="22" t="n">
        <f aca="false">C17*'Fichas y precios'!H17</f>
        <v>0</v>
      </c>
      <c r="G17" s="24" t="n">
        <f aca="false">F17/60</f>
        <v>0</v>
      </c>
      <c r="H17" s="14" t="n">
        <f aca="false">C17*'Fichas y precios'!P17</f>
        <v>0</v>
      </c>
      <c r="I17" s="14" t="n">
        <f aca="false">C17*'Fichas y precios'!R17</f>
        <v>0</v>
      </c>
      <c r="J17" s="14" t="n">
        <f aca="false">H17-E17</f>
        <v>0</v>
      </c>
      <c r="K17" s="24" t="n">
        <f aca="false">C17*'Fichas y precios'!O17</f>
        <v>0</v>
      </c>
    </row>
    <row r="18" customFormat="false" ht="15" hidden="false" customHeight="false" outlineLevel="0" collapsed="false">
      <c r="A18" s="9" t="n">
        <v>13</v>
      </c>
      <c r="B18" s="9" t="s">
        <v>459</v>
      </c>
      <c r="C18" s="29" t="n">
        <v>0</v>
      </c>
      <c r="D18" s="14" t="n">
        <f aca="false">C18*'Fichas y precios'!E18</f>
        <v>0</v>
      </c>
      <c r="E18" s="14" t="n">
        <f aca="false">C18*'Fichas y precios'!M18</f>
        <v>0</v>
      </c>
      <c r="F18" s="22" t="n">
        <f aca="false">C18*'Fichas y precios'!H18</f>
        <v>0</v>
      </c>
      <c r="G18" s="24" t="n">
        <f aca="false">F18/60</f>
        <v>0</v>
      </c>
      <c r="H18" s="14" t="n">
        <f aca="false">C18*'Fichas y precios'!P18</f>
        <v>0</v>
      </c>
      <c r="I18" s="14" t="n">
        <f aca="false">C18*'Fichas y precios'!R18</f>
        <v>0</v>
      </c>
      <c r="J18" s="14" t="n">
        <f aca="false">H18-E18</f>
        <v>0</v>
      </c>
      <c r="K18" s="24" t="n">
        <f aca="false">C18*'Fichas y precios'!O18</f>
        <v>0</v>
      </c>
    </row>
    <row r="19" customFormat="false" ht="15" hidden="false" customHeight="false" outlineLevel="0" collapsed="false">
      <c r="A19" s="9" t="n">
        <v>14</v>
      </c>
      <c r="B19" s="9" t="s">
        <v>467</v>
      </c>
      <c r="C19" s="29" t="n">
        <v>0</v>
      </c>
      <c r="D19" s="14" t="n">
        <f aca="false">C19*'Fichas y precios'!E19</f>
        <v>0</v>
      </c>
      <c r="E19" s="14" t="n">
        <f aca="false">C19*'Fichas y precios'!M19</f>
        <v>0</v>
      </c>
      <c r="F19" s="22" t="n">
        <f aca="false">C19*'Fichas y precios'!H19</f>
        <v>0</v>
      </c>
      <c r="G19" s="24" t="n">
        <f aca="false">F19/60</f>
        <v>0</v>
      </c>
      <c r="H19" s="14" t="n">
        <f aca="false">C19*'Fichas y precios'!P19</f>
        <v>0</v>
      </c>
      <c r="I19" s="14" t="n">
        <f aca="false">C19*'Fichas y precios'!R19</f>
        <v>0</v>
      </c>
      <c r="J19" s="14" t="n">
        <f aca="false">H19-E19</f>
        <v>0</v>
      </c>
      <c r="K19" s="24" t="n">
        <f aca="false">C19*'Fichas y precios'!O19</f>
        <v>0</v>
      </c>
    </row>
    <row r="20" customFormat="false" ht="15" hidden="false" customHeight="false" outlineLevel="0" collapsed="false">
      <c r="A20" s="9" t="n">
        <v>15</v>
      </c>
      <c r="B20" s="9" t="s">
        <v>476</v>
      </c>
      <c r="C20" s="29" t="n">
        <v>0</v>
      </c>
      <c r="D20" s="14" t="n">
        <f aca="false">C20*'Fichas y precios'!E20</f>
        <v>0</v>
      </c>
      <c r="E20" s="14" t="n">
        <f aca="false">C20*'Fichas y precios'!M20</f>
        <v>0</v>
      </c>
      <c r="F20" s="22" t="n">
        <f aca="false">C20*'Fichas y precios'!H20</f>
        <v>0</v>
      </c>
      <c r="G20" s="24" t="n">
        <f aca="false">F20/60</f>
        <v>0</v>
      </c>
      <c r="H20" s="14" t="n">
        <f aca="false">C20*'Fichas y precios'!P20</f>
        <v>0</v>
      </c>
      <c r="I20" s="14" t="n">
        <f aca="false">C20*'Fichas y precios'!R20</f>
        <v>0</v>
      </c>
      <c r="J20" s="14" t="n">
        <f aca="false">H20-E20</f>
        <v>0</v>
      </c>
      <c r="K20" s="24" t="n">
        <f aca="false">C20*'Fichas y precios'!O20</f>
        <v>0</v>
      </c>
    </row>
    <row r="21" customFormat="false" ht="15" hidden="false" customHeight="false" outlineLevel="0" collapsed="false">
      <c r="A21" s="9" t="n">
        <v>16</v>
      </c>
      <c r="B21" s="9" t="s">
        <v>483</v>
      </c>
      <c r="C21" s="29" t="n">
        <v>0</v>
      </c>
      <c r="D21" s="14" t="n">
        <f aca="false">C21*'Fichas y precios'!E21</f>
        <v>0</v>
      </c>
      <c r="E21" s="14" t="n">
        <f aca="false">C21*'Fichas y precios'!M21</f>
        <v>0</v>
      </c>
      <c r="F21" s="22" t="n">
        <f aca="false">C21*'Fichas y precios'!H21</f>
        <v>0</v>
      </c>
      <c r="G21" s="24" t="n">
        <f aca="false">F21/60</f>
        <v>0</v>
      </c>
      <c r="H21" s="14" t="n">
        <f aca="false">C21*'Fichas y precios'!P21</f>
        <v>0</v>
      </c>
      <c r="I21" s="14" t="n">
        <f aca="false">C21*'Fichas y precios'!R21</f>
        <v>0</v>
      </c>
      <c r="J21" s="14" t="n">
        <f aca="false">H21-E21</f>
        <v>0</v>
      </c>
      <c r="K21" s="24" t="n">
        <f aca="false">C21*'Fichas y precios'!O21</f>
        <v>0</v>
      </c>
    </row>
    <row r="22" customFormat="false" ht="15" hidden="false" customHeight="false" outlineLevel="0" collapsed="false">
      <c r="A22" s="9" t="n">
        <v>17</v>
      </c>
      <c r="B22" s="9" t="s">
        <v>490</v>
      </c>
      <c r="C22" s="29" t="n">
        <v>0</v>
      </c>
      <c r="D22" s="14" t="n">
        <f aca="false">C22*'Fichas y precios'!E22</f>
        <v>0</v>
      </c>
      <c r="E22" s="14" t="n">
        <f aca="false">C22*'Fichas y precios'!M22</f>
        <v>0</v>
      </c>
      <c r="F22" s="22" t="n">
        <f aca="false">C22*'Fichas y precios'!H22</f>
        <v>0</v>
      </c>
      <c r="G22" s="24" t="n">
        <f aca="false">F22/60</f>
        <v>0</v>
      </c>
      <c r="H22" s="14" t="n">
        <f aca="false">C22*'Fichas y precios'!P22</f>
        <v>0</v>
      </c>
      <c r="I22" s="14" t="n">
        <f aca="false">C22*'Fichas y precios'!R22</f>
        <v>0</v>
      </c>
      <c r="J22" s="14" t="n">
        <f aca="false">H22-E22</f>
        <v>0</v>
      </c>
      <c r="K22" s="24" t="n">
        <f aca="false">C22*'Fichas y precios'!O22</f>
        <v>0</v>
      </c>
    </row>
    <row r="23" customFormat="false" ht="15" hidden="false" customHeight="false" outlineLevel="0" collapsed="false">
      <c r="A23" s="9" t="n">
        <v>18</v>
      </c>
      <c r="B23" s="9" t="s">
        <v>498</v>
      </c>
      <c r="C23" s="29" t="n">
        <v>0</v>
      </c>
      <c r="D23" s="14" t="n">
        <f aca="false">C23*'Fichas y precios'!E23</f>
        <v>0</v>
      </c>
      <c r="E23" s="14" t="n">
        <f aca="false">C23*'Fichas y precios'!M23</f>
        <v>0</v>
      </c>
      <c r="F23" s="22" t="n">
        <f aca="false">C23*'Fichas y precios'!H23</f>
        <v>0</v>
      </c>
      <c r="G23" s="24" t="n">
        <f aca="false">F23/60</f>
        <v>0</v>
      </c>
      <c r="H23" s="14" t="n">
        <f aca="false">C23*'Fichas y precios'!P23</f>
        <v>0</v>
      </c>
      <c r="I23" s="14" t="n">
        <f aca="false">C23*'Fichas y precios'!R23</f>
        <v>0</v>
      </c>
      <c r="J23" s="14" t="n">
        <f aca="false">H23-E23</f>
        <v>0</v>
      </c>
      <c r="K23" s="24" t="n">
        <f aca="false">C23*'Fichas y precios'!O23</f>
        <v>0</v>
      </c>
    </row>
    <row r="24" customFormat="false" ht="15" hidden="false" customHeight="false" outlineLevel="0" collapsed="false">
      <c r="A24" s="9" t="n">
        <v>19</v>
      </c>
      <c r="B24" s="9" t="s">
        <v>506</v>
      </c>
      <c r="C24" s="29" t="n">
        <v>0</v>
      </c>
      <c r="D24" s="14" t="n">
        <f aca="false">C24*'Fichas y precios'!E24</f>
        <v>0</v>
      </c>
      <c r="E24" s="14" t="n">
        <f aca="false">C24*'Fichas y precios'!M24</f>
        <v>0</v>
      </c>
      <c r="F24" s="22" t="n">
        <f aca="false">C24*'Fichas y precios'!H24</f>
        <v>0</v>
      </c>
      <c r="G24" s="24" t="n">
        <f aca="false">F24/60</f>
        <v>0</v>
      </c>
      <c r="H24" s="14" t="n">
        <f aca="false">C24*'Fichas y precios'!P24</f>
        <v>0</v>
      </c>
      <c r="I24" s="14" t="n">
        <f aca="false">C24*'Fichas y precios'!R24</f>
        <v>0</v>
      </c>
      <c r="J24" s="14" t="n">
        <f aca="false">H24-E24</f>
        <v>0</v>
      </c>
      <c r="K24" s="24" t="n">
        <f aca="false">C24*'Fichas y precios'!O24</f>
        <v>0</v>
      </c>
    </row>
    <row r="25" customFormat="false" ht="15" hidden="false" customHeight="false" outlineLevel="0" collapsed="false">
      <c r="A25" s="9" t="n">
        <v>20</v>
      </c>
      <c r="B25" s="9" t="s">
        <v>513</v>
      </c>
      <c r="C25" s="29" t="n">
        <v>0</v>
      </c>
      <c r="D25" s="14" t="n">
        <f aca="false">C25*'Fichas y precios'!E25</f>
        <v>0</v>
      </c>
      <c r="E25" s="14" t="n">
        <f aca="false">C25*'Fichas y precios'!M25</f>
        <v>0</v>
      </c>
      <c r="F25" s="22" t="n">
        <f aca="false">C25*'Fichas y precios'!H25</f>
        <v>0</v>
      </c>
      <c r="G25" s="24" t="n">
        <f aca="false">F25/60</f>
        <v>0</v>
      </c>
      <c r="H25" s="14" t="n">
        <f aca="false">C25*'Fichas y precios'!P25</f>
        <v>0</v>
      </c>
      <c r="I25" s="14" t="n">
        <f aca="false">C25*'Fichas y precios'!R25</f>
        <v>0</v>
      </c>
      <c r="J25" s="14" t="n">
        <f aca="false">H25-E25</f>
        <v>0</v>
      </c>
      <c r="K25" s="24" t="n">
        <f aca="false">C25*'Fichas y precios'!O25</f>
        <v>0</v>
      </c>
    </row>
    <row r="26" customFormat="false" ht="15" hidden="false" customHeight="false" outlineLevel="0" collapsed="false">
      <c r="A26" s="9" t="n">
        <v>21</v>
      </c>
      <c r="B26" s="9" t="s">
        <v>518</v>
      </c>
      <c r="C26" s="29" t="n">
        <v>0</v>
      </c>
      <c r="D26" s="14" t="n">
        <f aca="false">C26*'Fichas y precios'!E26</f>
        <v>0</v>
      </c>
      <c r="E26" s="14" t="n">
        <f aca="false">C26*'Fichas y precios'!M26</f>
        <v>0</v>
      </c>
      <c r="F26" s="22" t="n">
        <f aca="false">C26*'Fichas y precios'!H26</f>
        <v>0</v>
      </c>
      <c r="G26" s="24" t="n">
        <f aca="false">F26/60</f>
        <v>0</v>
      </c>
      <c r="H26" s="14" t="n">
        <f aca="false">C26*'Fichas y precios'!P26</f>
        <v>0</v>
      </c>
      <c r="I26" s="14" t="n">
        <f aca="false">C26*'Fichas y precios'!R26</f>
        <v>0</v>
      </c>
      <c r="J26" s="14" t="n">
        <f aca="false">H26-E26</f>
        <v>0</v>
      </c>
      <c r="K26" s="24" t="n">
        <f aca="false">C26*'Fichas y precios'!O26</f>
        <v>0</v>
      </c>
    </row>
    <row r="27" customFormat="false" ht="15" hidden="false" customHeight="false" outlineLevel="0" collapsed="false">
      <c r="A27" s="9" t="n">
        <v>22</v>
      </c>
      <c r="B27" s="9" t="s">
        <v>525</v>
      </c>
      <c r="C27" s="29" t="n">
        <v>0</v>
      </c>
      <c r="D27" s="14" t="n">
        <f aca="false">C27*'Fichas y precios'!E27</f>
        <v>0</v>
      </c>
      <c r="E27" s="14" t="n">
        <f aca="false">C27*'Fichas y precios'!M27</f>
        <v>0</v>
      </c>
      <c r="F27" s="22" t="n">
        <f aca="false">C27*'Fichas y precios'!H27</f>
        <v>0</v>
      </c>
      <c r="G27" s="24" t="n">
        <f aca="false">F27/60</f>
        <v>0</v>
      </c>
      <c r="H27" s="14" t="n">
        <f aca="false">C27*'Fichas y precios'!P27</f>
        <v>0</v>
      </c>
      <c r="I27" s="14" t="n">
        <f aca="false">C27*'Fichas y precios'!R27</f>
        <v>0</v>
      </c>
      <c r="J27" s="14" t="n">
        <f aca="false">H27-E27</f>
        <v>0</v>
      </c>
      <c r="K27" s="24" t="n">
        <f aca="false">C27*'Fichas y precios'!O27</f>
        <v>0</v>
      </c>
    </row>
    <row r="28" customFormat="false" ht="15" hidden="false" customHeight="false" outlineLevel="0" collapsed="false">
      <c r="A28" s="9" t="n">
        <v>23</v>
      </c>
      <c r="B28" s="9" t="s">
        <v>533</v>
      </c>
      <c r="C28" s="29" t="n">
        <v>0</v>
      </c>
      <c r="D28" s="14" t="n">
        <f aca="false">C28*'Fichas y precios'!E28</f>
        <v>0</v>
      </c>
      <c r="E28" s="14" t="n">
        <f aca="false">C28*'Fichas y precios'!M28</f>
        <v>0</v>
      </c>
      <c r="F28" s="22" t="n">
        <f aca="false">C28*'Fichas y precios'!H28</f>
        <v>0</v>
      </c>
      <c r="G28" s="24" t="n">
        <f aca="false">F28/60</f>
        <v>0</v>
      </c>
      <c r="H28" s="14" t="n">
        <f aca="false">C28*'Fichas y precios'!P28</f>
        <v>0</v>
      </c>
      <c r="I28" s="14" t="n">
        <f aca="false">C28*'Fichas y precios'!R28</f>
        <v>0</v>
      </c>
      <c r="J28" s="14" t="n">
        <f aca="false">H28-E28</f>
        <v>0</v>
      </c>
      <c r="K28" s="24" t="n">
        <f aca="false">C28*'Fichas y precios'!O28</f>
        <v>0</v>
      </c>
    </row>
    <row r="29" customFormat="false" ht="15" hidden="false" customHeight="false" outlineLevel="0" collapsed="false">
      <c r="A29" s="9" t="n">
        <v>24</v>
      </c>
      <c r="B29" s="9" t="s">
        <v>540</v>
      </c>
      <c r="C29" s="29" t="n">
        <v>0</v>
      </c>
      <c r="D29" s="14" t="n">
        <f aca="false">C29*'Fichas y precios'!E29</f>
        <v>0</v>
      </c>
      <c r="E29" s="14" t="n">
        <f aca="false">C29*'Fichas y precios'!M29</f>
        <v>0</v>
      </c>
      <c r="F29" s="22" t="n">
        <f aca="false">C29*'Fichas y precios'!H29</f>
        <v>0</v>
      </c>
      <c r="G29" s="24" t="n">
        <f aca="false">F29/60</f>
        <v>0</v>
      </c>
      <c r="H29" s="14" t="n">
        <f aca="false">C29*'Fichas y precios'!P29</f>
        <v>0</v>
      </c>
      <c r="I29" s="14" t="n">
        <f aca="false">C29*'Fichas y precios'!R29</f>
        <v>0</v>
      </c>
      <c r="J29" s="14" t="n">
        <f aca="false">H29-E29</f>
        <v>0</v>
      </c>
      <c r="K29" s="24" t="n">
        <f aca="false">C29*'Fichas y precios'!O29</f>
        <v>0</v>
      </c>
    </row>
    <row r="30" customFormat="false" ht="15" hidden="false" customHeight="false" outlineLevel="0" collapsed="false">
      <c r="A30" s="9" t="n">
        <v>25</v>
      </c>
      <c r="B30" s="9" t="s">
        <v>545</v>
      </c>
      <c r="C30" s="29" t="n">
        <v>0</v>
      </c>
      <c r="D30" s="14" t="n">
        <f aca="false">C30*'Fichas y precios'!E30</f>
        <v>0</v>
      </c>
      <c r="E30" s="14" t="n">
        <f aca="false">C30*'Fichas y precios'!M30</f>
        <v>0</v>
      </c>
      <c r="F30" s="22" t="n">
        <f aca="false">C30*'Fichas y precios'!H30</f>
        <v>0</v>
      </c>
      <c r="G30" s="24" t="n">
        <f aca="false">F30/60</f>
        <v>0</v>
      </c>
      <c r="H30" s="14" t="n">
        <f aca="false">C30*'Fichas y precios'!P30</f>
        <v>0</v>
      </c>
      <c r="I30" s="14" t="n">
        <f aca="false">C30*'Fichas y precios'!R30</f>
        <v>0</v>
      </c>
      <c r="J30" s="14" t="n">
        <f aca="false">H30-E30</f>
        <v>0</v>
      </c>
      <c r="K30" s="24" t="n">
        <f aca="false">C30*'Fichas y precios'!O30</f>
        <v>0</v>
      </c>
    </row>
    <row r="31" customFormat="false" ht="15" hidden="false" customHeight="false" outlineLevel="0" collapsed="false">
      <c r="A31" s="9" t="n">
        <v>26</v>
      </c>
      <c r="B31" s="9" t="s">
        <v>550</v>
      </c>
      <c r="C31" s="29" t="n">
        <v>0</v>
      </c>
      <c r="D31" s="14" t="n">
        <f aca="false">C31*'Fichas y precios'!E31</f>
        <v>0</v>
      </c>
      <c r="E31" s="14" t="n">
        <f aca="false">C31*'Fichas y precios'!M31</f>
        <v>0</v>
      </c>
      <c r="F31" s="22" t="n">
        <f aca="false">C31*'Fichas y precios'!H31</f>
        <v>0</v>
      </c>
      <c r="G31" s="24" t="n">
        <f aca="false">F31/60</f>
        <v>0</v>
      </c>
      <c r="H31" s="14" t="n">
        <f aca="false">C31*'Fichas y precios'!P31</f>
        <v>0</v>
      </c>
      <c r="I31" s="14" t="n">
        <f aca="false">C31*'Fichas y precios'!R31</f>
        <v>0</v>
      </c>
      <c r="J31" s="14" t="n">
        <f aca="false">H31-E31</f>
        <v>0</v>
      </c>
      <c r="K31" s="24" t="n">
        <f aca="false">C31*'Fichas y precios'!O31</f>
        <v>0</v>
      </c>
    </row>
    <row r="32" customFormat="false" ht="15" hidden="false" customHeight="false" outlineLevel="0" collapsed="false">
      <c r="A32" s="9" t="n">
        <v>27</v>
      </c>
      <c r="B32" s="9" t="s">
        <v>556</v>
      </c>
      <c r="C32" s="29" t="n">
        <v>0</v>
      </c>
      <c r="D32" s="14" t="n">
        <f aca="false">C32*'Fichas y precios'!E32</f>
        <v>0</v>
      </c>
      <c r="E32" s="14" t="n">
        <f aca="false">C32*'Fichas y precios'!M32</f>
        <v>0</v>
      </c>
      <c r="F32" s="22" t="n">
        <f aca="false">C32*'Fichas y precios'!H32</f>
        <v>0</v>
      </c>
      <c r="G32" s="24" t="n">
        <f aca="false">F32/60</f>
        <v>0</v>
      </c>
      <c r="H32" s="14" t="n">
        <f aca="false">C32*'Fichas y precios'!P32</f>
        <v>0</v>
      </c>
      <c r="I32" s="14" t="n">
        <f aca="false">C32*'Fichas y precios'!R32</f>
        <v>0</v>
      </c>
      <c r="J32" s="14" t="n">
        <f aca="false">H32-E32</f>
        <v>0</v>
      </c>
      <c r="K32" s="24" t="n">
        <f aca="false">C32*'Fichas y precios'!O32</f>
        <v>0</v>
      </c>
    </row>
    <row r="33" customFormat="false" ht="15" hidden="false" customHeight="false" outlineLevel="0" collapsed="false">
      <c r="A33" s="9" t="n">
        <v>28</v>
      </c>
      <c r="B33" s="9" t="s">
        <v>565</v>
      </c>
      <c r="C33" s="29" t="n">
        <v>0</v>
      </c>
      <c r="D33" s="14" t="n">
        <f aca="false">C33*'Fichas y precios'!E33</f>
        <v>0</v>
      </c>
      <c r="E33" s="14" t="n">
        <f aca="false">C33*'Fichas y precios'!M33</f>
        <v>0</v>
      </c>
      <c r="F33" s="22" t="n">
        <f aca="false">C33*'Fichas y precios'!H33</f>
        <v>0</v>
      </c>
      <c r="G33" s="24" t="n">
        <f aca="false">F33/60</f>
        <v>0</v>
      </c>
      <c r="H33" s="14" t="n">
        <f aca="false">C33*'Fichas y precios'!P33</f>
        <v>0</v>
      </c>
      <c r="I33" s="14" t="n">
        <f aca="false">C33*'Fichas y precios'!R33</f>
        <v>0</v>
      </c>
      <c r="J33" s="14" t="n">
        <f aca="false">H33-E33</f>
        <v>0</v>
      </c>
      <c r="K33" s="24" t="n">
        <f aca="false">C33*'Fichas y precios'!O33</f>
        <v>0</v>
      </c>
    </row>
    <row r="34" customFormat="false" ht="15" hidden="false" customHeight="false" outlineLevel="0" collapsed="false">
      <c r="A34" s="9" t="n">
        <v>29</v>
      </c>
      <c r="B34" s="9" t="s">
        <v>573</v>
      </c>
      <c r="C34" s="29" t="n">
        <v>0</v>
      </c>
      <c r="D34" s="14" t="n">
        <f aca="false">C34*'Fichas y precios'!E34</f>
        <v>0</v>
      </c>
      <c r="E34" s="14" t="n">
        <f aca="false">C34*'Fichas y precios'!M34</f>
        <v>0</v>
      </c>
      <c r="F34" s="22" t="n">
        <f aca="false">C34*'Fichas y precios'!H34</f>
        <v>0</v>
      </c>
      <c r="G34" s="24" t="n">
        <f aca="false">F34/60</f>
        <v>0</v>
      </c>
      <c r="H34" s="14" t="n">
        <f aca="false">C34*'Fichas y precios'!P34</f>
        <v>0</v>
      </c>
      <c r="I34" s="14" t="n">
        <f aca="false">C34*'Fichas y precios'!R34</f>
        <v>0</v>
      </c>
      <c r="J34" s="14" t="n">
        <f aca="false">H34-E34</f>
        <v>0</v>
      </c>
      <c r="K34" s="24" t="n">
        <f aca="false">C34*'Fichas y precios'!O34</f>
        <v>0</v>
      </c>
    </row>
    <row r="35" customFormat="false" ht="15" hidden="false" customHeight="false" outlineLevel="0" collapsed="false">
      <c r="A35" s="9" t="n">
        <v>30</v>
      </c>
      <c r="B35" s="9" t="s">
        <v>580</v>
      </c>
      <c r="C35" s="29" t="n">
        <v>0</v>
      </c>
      <c r="D35" s="14" t="n">
        <f aca="false">C35*'Fichas y precios'!E35</f>
        <v>0</v>
      </c>
      <c r="E35" s="14" t="n">
        <f aca="false">C35*'Fichas y precios'!M35</f>
        <v>0</v>
      </c>
      <c r="F35" s="22" t="n">
        <f aca="false">C35*'Fichas y precios'!H35</f>
        <v>0</v>
      </c>
      <c r="G35" s="24" t="n">
        <f aca="false">F35/60</f>
        <v>0</v>
      </c>
      <c r="H35" s="14" t="n">
        <f aca="false">C35*'Fichas y precios'!P35</f>
        <v>0</v>
      </c>
      <c r="I35" s="14" t="n">
        <f aca="false">C35*'Fichas y precios'!R35</f>
        <v>0</v>
      </c>
      <c r="J35" s="14" t="n">
        <f aca="false">H35-E35</f>
        <v>0</v>
      </c>
      <c r="K35" s="24" t="n">
        <f aca="false">C35*'Fichas y precios'!O35</f>
        <v>0</v>
      </c>
    </row>
    <row r="36" customFormat="false" ht="15" hidden="false" customHeight="false" outlineLevel="0" collapsed="false">
      <c r="A36" s="9" t="n">
        <v>31</v>
      </c>
      <c r="B36" s="9" t="s">
        <v>587</v>
      </c>
      <c r="C36" s="29" t="n">
        <v>0</v>
      </c>
      <c r="D36" s="14" t="n">
        <f aca="false">C36*'Fichas y precios'!E36</f>
        <v>0</v>
      </c>
      <c r="E36" s="14" t="n">
        <f aca="false">C36*'Fichas y precios'!M36</f>
        <v>0</v>
      </c>
      <c r="F36" s="22" t="n">
        <f aca="false">C36*'Fichas y precios'!H36</f>
        <v>0</v>
      </c>
      <c r="G36" s="24" t="n">
        <f aca="false">F36/60</f>
        <v>0</v>
      </c>
      <c r="H36" s="14" t="n">
        <f aca="false">C36*'Fichas y precios'!P36</f>
        <v>0</v>
      </c>
      <c r="I36" s="14" t="n">
        <f aca="false">C36*'Fichas y precios'!R36</f>
        <v>0</v>
      </c>
      <c r="J36" s="14" t="n">
        <f aca="false">H36-E36</f>
        <v>0</v>
      </c>
      <c r="K36" s="24" t="n">
        <f aca="false">C36*'Fichas y precios'!O36</f>
        <v>0</v>
      </c>
    </row>
    <row r="37" customFormat="false" ht="15" hidden="false" customHeight="false" outlineLevel="0" collapsed="false">
      <c r="A37" s="9" t="n">
        <v>32</v>
      </c>
      <c r="B37" s="9" t="s">
        <v>595</v>
      </c>
      <c r="C37" s="29" t="n">
        <v>0</v>
      </c>
      <c r="D37" s="14" t="n">
        <f aca="false">C37*'Fichas y precios'!E37</f>
        <v>0</v>
      </c>
      <c r="E37" s="14" t="n">
        <f aca="false">C37*'Fichas y precios'!M37</f>
        <v>0</v>
      </c>
      <c r="F37" s="22" t="n">
        <f aca="false">C37*'Fichas y precios'!H37</f>
        <v>0</v>
      </c>
      <c r="G37" s="24" t="n">
        <f aca="false">F37/60</f>
        <v>0</v>
      </c>
      <c r="H37" s="14" t="n">
        <f aca="false">C37*'Fichas y precios'!P37</f>
        <v>0</v>
      </c>
      <c r="I37" s="14" t="n">
        <f aca="false">C37*'Fichas y precios'!R37</f>
        <v>0</v>
      </c>
      <c r="J37" s="14" t="n">
        <f aca="false">H37-E37</f>
        <v>0</v>
      </c>
      <c r="K37" s="24" t="n">
        <f aca="false">C37*'Fichas y precios'!O37</f>
        <v>0</v>
      </c>
    </row>
    <row r="38" customFormat="false" ht="15" hidden="false" customHeight="false" outlineLevel="0" collapsed="false">
      <c r="A38" s="9" t="n">
        <v>33</v>
      </c>
      <c r="B38" s="9" t="s">
        <v>601</v>
      </c>
      <c r="C38" s="29" t="n">
        <v>0</v>
      </c>
      <c r="D38" s="14" t="n">
        <f aca="false">C38*'Fichas y precios'!E38</f>
        <v>0</v>
      </c>
      <c r="E38" s="14" t="n">
        <f aca="false">C38*'Fichas y precios'!M38</f>
        <v>0</v>
      </c>
      <c r="F38" s="22" t="n">
        <f aca="false">C38*'Fichas y precios'!H38</f>
        <v>0</v>
      </c>
      <c r="G38" s="24" t="n">
        <f aca="false">F38/60</f>
        <v>0</v>
      </c>
      <c r="H38" s="14" t="n">
        <f aca="false">C38*'Fichas y precios'!P38</f>
        <v>0</v>
      </c>
      <c r="I38" s="14" t="n">
        <f aca="false">C38*'Fichas y precios'!R38</f>
        <v>0</v>
      </c>
      <c r="J38" s="14" t="n">
        <f aca="false">H38-E38</f>
        <v>0</v>
      </c>
      <c r="K38" s="24" t="n">
        <f aca="false">C38*'Fichas y precios'!O38</f>
        <v>0</v>
      </c>
    </row>
    <row r="39" customFormat="false" ht="15" hidden="false" customHeight="false" outlineLevel="0" collapsed="false">
      <c r="A39" s="9" t="n">
        <v>34</v>
      </c>
      <c r="B39" s="9" t="s">
        <v>608</v>
      </c>
      <c r="C39" s="29" t="n">
        <v>0</v>
      </c>
      <c r="D39" s="14" t="n">
        <f aca="false">C39*'Fichas y precios'!E39</f>
        <v>0</v>
      </c>
      <c r="E39" s="14" t="n">
        <f aca="false">C39*'Fichas y precios'!M39</f>
        <v>0</v>
      </c>
      <c r="F39" s="22" t="n">
        <f aca="false">C39*'Fichas y precios'!H39</f>
        <v>0</v>
      </c>
      <c r="G39" s="24" t="n">
        <f aca="false">F39/60</f>
        <v>0</v>
      </c>
      <c r="H39" s="14" t="n">
        <f aca="false">C39*'Fichas y precios'!P39</f>
        <v>0</v>
      </c>
      <c r="I39" s="14" t="n">
        <f aca="false">C39*'Fichas y precios'!R39</f>
        <v>0</v>
      </c>
      <c r="J39" s="14" t="n">
        <f aca="false">H39-E39</f>
        <v>0</v>
      </c>
      <c r="K39" s="24" t="n">
        <f aca="false">C39*'Fichas y precios'!O39</f>
        <v>0</v>
      </c>
    </row>
    <row r="40" customFormat="false" ht="15" hidden="false" customHeight="false" outlineLevel="0" collapsed="false">
      <c r="A40" s="9" t="n">
        <v>35</v>
      </c>
      <c r="B40" s="9" t="s">
        <v>616</v>
      </c>
      <c r="C40" s="29" t="n">
        <v>0</v>
      </c>
      <c r="D40" s="14" t="n">
        <f aca="false">C40*'Fichas y precios'!E40</f>
        <v>0</v>
      </c>
      <c r="E40" s="14" t="n">
        <f aca="false">C40*'Fichas y precios'!M40</f>
        <v>0</v>
      </c>
      <c r="F40" s="22" t="n">
        <f aca="false">C40*'Fichas y precios'!H40</f>
        <v>0</v>
      </c>
      <c r="G40" s="24" t="n">
        <f aca="false">F40/60</f>
        <v>0</v>
      </c>
      <c r="H40" s="14" t="n">
        <f aca="false">C40*'Fichas y precios'!P40</f>
        <v>0</v>
      </c>
      <c r="I40" s="14" t="n">
        <f aca="false">C40*'Fichas y precios'!R40</f>
        <v>0</v>
      </c>
      <c r="J40" s="14" t="n">
        <f aca="false">H40-E40</f>
        <v>0</v>
      </c>
      <c r="K40" s="24" t="n">
        <f aca="false">C40*'Fichas y precios'!O40</f>
        <v>0</v>
      </c>
    </row>
    <row r="41" customFormat="false" ht="15" hidden="false" customHeight="false" outlineLevel="0" collapsed="false">
      <c r="A41" s="9" t="n">
        <v>36</v>
      </c>
      <c r="B41" s="9" t="s">
        <v>623</v>
      </c>
      <c r="C41" s="29" t="n">
        <v>0</v>
      </c>
      <c r="D41" s="14" t="n">
        <f aca="false">C41*'Fichas y precios'!E41</f>
        <v>0</v>
      </c>
      <c r="E41" s="14" t="n">
        <f aca="false">C41*'Fichas y precios'!M41</f>
        <v>0</v>
      </c>
      <c r="F41" s="22" t="n">
        <f aca="false">C41*'Fichas y precios'!H41</f>
        <v>0</v>
      </c>
      <c r="G41" s="24" t="n">
        <f aca="false">F41/60</f>
        <v>0</v>
      </c>
      <c r="H41" s="14" t="n">
        <f aca="false">C41*'Fichas y precios'!P41</f>
        <v>0</v>
      </c>
      <c r="I41" s="14" t="n">
        <f aca="false">C41*'Fichas y precios'!R41</f>
        <v>0</v>
      </c>
      <c r="J41" s="14" t="n">
        <f aca="false">H41-E41</f>
        <v>0</v>
      </c>
      <c r="K41" s="24" t="n">
        <f aca="false">C41*'Fichas y precios'!O41</f>
        <v>0</v>
      </c>
    </row>
    <row r="42" customFormat="false" ht="15" hidden="false" customHeight="false" outlineLevel="0" collapsed="false">
      <c r="A42" s="9" t="n">
        <v>37</v>
      </c>
      <c r="B42" s="9" t="s">
        <v>628</v>
      </c>
      <c r="C42" s="29" t="n">
        <v>0</v>
      </c>
      <c r="D42" s="14" t="n">
        <f aca="false">C42*'Fichas y precios'!E42</f>
        <v>0</v>
      </c>
      <c r="E42" s="14" t="n">
        <f aca="false">C42*'Fichas y precios'!M42</f>
        <v>0</v>
      </c>
      <c r="F42" s="22" t="n">
        <f aca="false">C42*'Fichas y precios'!H42</f>
        <v>0</v>
      </c>
      <c r="G42" s="24" t="n">
        <f aca="false">F42/60</f>
        <v>0</v>
      </c>
      <c r="H42" s="14" t="n">
        <f aca="false">C42*'Fichas y precios'!P42</f>
        <v>0</v>
      </c>
      <c r="I42" s="14" t="n">
        <f aca="false">C42*'Fichas y precios'!R42</f>
        <v>0</v>
      </c>
      <c r="J42" s="14" t="n">
        <f aca="false">H42-E42</f>
        <v>0</v>
      </c>
      <c r="K42" s="24" t="n">
        <f aca="false">C42*'Fichas y precios'!O42</f>
        <v>0</v>
      </c>
    </row>
    <row r="43" customFormat="false" ht="15" hidden="false" customHeight="false" outlineLevel="0" collapsed="false">
      <c r="A43" s="9" t="n">
        <v>38</v>
      </c>
      <c r="B43" s="9" t="s">
        <v>638</v>
      </c>
      <c r="C43" s="29" t="n">
        <v>0</v>
      </c>
      <c r="D43" s="14" t="n">
        <f aca="false">C43*'Fichas y precios'!E43</f>
        <v>0</v>
      </c>
      <c r="E43" s="14" t="n">
        <f aca="false">C43*'Fichas y precios'!M43</f>
        <v>0</v>
      </c>
      <c r="F43" s="22" t="n">
        <f aca="false">C43*'Fichas y precios'!H43</f>
        <v>0</v>
      </c>
      <c r="G43" s="24" t="n">
        <f aca="false">F43/60</f>
        <v>0</v>
      </c>
      <c r="H43" s="14" t="n">
        <f aca="false">C43*'Fichas y precios'!P43</f>
        <v>0</v>
      </c>
      <c r="I43" s="14" t="n">
        <f aca="false">C43*'Fichas y precios'!R43</f>
        <v>0</v>
      </c>
      <c r="J43" s="14" t="n">
        <f aca="false">H43-E43</f>
        <v>0</v>
      </c>
      <c r="K43" s="24" t="n">
        <f aca="false">C43*'Fichas y precios'!O43</f>
        <v>0</v>
      </c>
    </row>
    <row r="44" customFormat="false" ht="15" hidden="false" customHeight="false" outlineLevel="0" collapsed="false">
      <c r="A44" s="9" t="n">
        <v>39</v>
      </c>
      <c r="B44" s="9" t="s">
        <v>647</v>
      </c>
      <c r="C44" s="29" t="n">
        <v>0</v>
      </c>
      <c r="D44" s="14" t="n">
        <f aca="false">C44*'Fichas y precios'!E44</f>
        <v>0</v>
      </c>
      <c r="E44" s="14" t="n">
        <f aca="false">C44*'Fichas y precios'!M44</f>
        <v>0</v>
      </c>
      <c r="F44" s="22" t="n">
        <f aca="false">C44*'Fichas y precios'!H44</f>
        <v>0</v>
      </c>
      <c r="G44" s="24" t="n">
        <f aca="false">F44/60</f>
        <v>0</v>
      </c>
      <c r="H44" s="14" t="n">
        <f aca="false">C44*'Fichas y precios'!P44</f>
        <v>0</v>
      </c>
      <c r="I44" s="14" t="n">
        <f aca="false">C44*'Fichas y precios'!R44</f>
        <v>0</v>
      </c>
      <c r="J44" s="14" t="n">
        <f aca="false">H44-E44</f>
        <v>0</v>
      </c>
      <c r="K44" s="24" t="n">
        <f aca="false">C44*'Fichas y precios'!O44</f>
        <v>0</v>
      </c>
    </row>
    <row r="45" customFormat="false" ht="15" hidden="false" customHeight="false" outlineLevel="0" collapsed="false">
      <c r="A45" s="9" t="n">
        <v>40</v>
      </c>
      <c r="B45" s="9" t="s">
        <v>656</v>
      </c>
      <c r="C45" s="29" t="n">
        <v>0</v>
      </c>
      <c r="D45" s="14" t="n">
        <f aca="false">C45*'Fichas y precios'!E45</f>
        <v>0</v>
      </c>
      <c r="E45" s="14" t="n">
        <f aca="false">C45*'Fichas y precios'!M45</f>
        <v>0</v>
      </c>
      <c r="F45" s="22" t="n">
        <f aca="false">C45*'Fichas y precios'!H45</f>
        <v>0</v>
      </c>
      <c r="G45" s="24" t="n">
        <f aca="false">F45/60</f>
        <v>0</v>
      </c>
      <c r="H45" s="14" t="n">
        <f aca="false">C45*'Fichas y precios'!P45</f>
        <v>0</v>
      </c>
      <c r="I45" s="14" t="n">
        <f aca="false">C45*'Fichas y precios'!R45</f>
        <v>0</v>
      </c>
      <c r="J45" s="14" t="n">
        <f aca="false">H45-E45</f>
        <v>0</v>
      </c>
      <c r="K45" s="24" t="n">
        <f aca="false">C45*'Fichas y precios'!O45</f>
        <v>0</v>
      </c>
    </row>
    <row r="46" customFormat="false" ht="15" hidden="false" customHeight="false" outlineLevel="0" collapsed="false">
      <c r="A46" s="9" t="n">
        <v>41</v>
      </c>
      <c r="B46" s="9" t="s">
        <v>667</v>
      </c>
      <c r="C46" s="29" t="n">
        <v>0</v>
      </c>
      <c r="D46" s="14" t="n">
        <f aca="false">C46*'Fichas y precios'!E46</f>
        <v>0</v>
      </c>
      <c r="E46" s="14" t="n">
        <f aca="false">C46*'Fichas y precios'!M46</f>
        <v>0</v>
      </c>
      <c r="F46" s="22" t="n">
        <f aca="false">C46*'Fichas y precios'!H46</f>
        <v>0</v>
      </c>
      <c r="G46" s="24" t="n">
        <f aca="false">F46/60</f>
        <v>0</v>
      </c>
      <c r="H46" s="14" t="n">
        <f aca="false">C46*'Fichas y precios'!P46</f>
        <v>0</v>
      </c>
      <c r="I46" s="14" t="n">
        <f aca="false">C46*'Fichas y precios'!R46</f>
        <v>0</v>
      </c>
      <c r="J46" s="14" t="n">
        <f aca="false">H46-E46</f>
        <v>0</v>
      </c>
      <c r="K46" s="24" t="n">
        <f aca="false">C46*'Fichas y precios'!O46</f>
        <v>0</v>
      </c>
    </row>
    <row r="47" customFormat="false" ht="15" hidden="false" customHeight="false" outlineLevel="0" collapsed="false">
      <c r="A47" s="9" t="n">
        <v>42</v>
      </c>
      <c r="B47" s="9" t="s">
        <v>672</v>
      </c>
      <c r="C47" s="29" t="n">
        <v>0</v>
      </c>
      <c r="D47" s="14" t="n">
        <f aca="false">C47*'Fichas y precios'!E47</f>
        <v>0</v>
      </c>
      <c r="E47" s="14" t="n">
        <f aca="false">C47*'Fichas y precios'!M47</f>
        <v>0</v>
      </c>
      <c r="F47" s="22" t="n">
        <f aca="false">C47*'Fichas y precios'!H47</f>
        <v>0</v>
      </c>
      <c r="G47" s="24" t="n">
        <f aca="false">F47/60</f>
        <v>0</v>
      </c>
      <c r="H47" s="14" t="n">
        <f aca="false">C47*'Fichas y precios'!P47</f>
        <v>0</v>
      </c>
      <c r="I47" s="14" t="n">
        <f aca="false">C47*'Fichas y precios'!R47</f>
        <v>0</v>
      </c>
      <c r="J47" s="14" t="n">
        <f aca="false">H47-E47</f>
        <v>0</v>
      </c>
      <c r="K47" s="24" t="n">
        <f aca="false">C47*'Fichas y precios'!O47</f>
        <v>0</v>
      </c>
    </row>
    <row r="48" customFormat="false" ht="15" hidden="false" customHeight="false" outlineLevel="0" collapsed="false">
      <c r="A48" s="9" t="n">
        <v>43</v>
      </c>
      <c r="B48" s="9" t="s">
        <v>682</v>
      </c>
      <c r="C48" s="29" t="n">
        <v>0</v>
      </c>
      <c r="D48" s="14" t="n">
        <f aca="false">C48*'Fichas y precios'!E48</f>
        <v>0</v>
      </c>
      <c r="E48" s="14" t="n">
        <f aca="false">C48*'Fichas y precios'!M48</f>
        <v>0</v>
      </c>
      <c r="F48" s="22" t="n">
        <f aca="false">C48*'Fichas y precios'!H48</f>
        <v>0</v>
      </c>
      <c r="G48" s="24" t="n">
        <f aca="false">F48/60</f>
        <v>0</v>
      </c>
      <c r="H48" s="14" t="n">
        <f aca="false">C48*'Fichas y precios'!P48</f>
        <v>0</v>
      </c>
      <c r="I48" s="14" t="n">
        <f aca="false">C48*'Fichas y precios'!R48</f>
        <v>0</v>
      </c>
      <c r="J48" s="14" t="n">
        <f aca="false">H48-E48</f>
        <v>0</v>
      </c>
      <c r="K48" s="24" t="n">
        <f aca="false">C48*'Fichas y precios'!O48</f>
        <v>0</v>
      </c>
    </row>
    <row r="49" customFormat="false" ht="15" hidden="false" customHeight="false" outlineLevel="0" collapsed="false">
      <c r="A49" s="9" t="n">
        <v>44</v>
      </c>
      <c r="B49" s="9" t="s">
        <v>688</v>
      </c>
      <c r="C49" s="29" t="n">
        <v>0</v>
      </c>
      <c r="D49" s="14" t="n">
        <f aca="false">C49*'Fichas y precios'!E49</f>
        <v>0</v>
      </c>
      <c r="E49" s="14" t="n">
        <f aca="false">C49*'Fichas y precios'!M49</f>
        <v>0</v>
      </c>
      <c r="F49" s="22" t="n">
        <f aca="false">C49*'Fichas y precios'!H49</f>
        <v>0</v>
      </c>
      <c r="G49" s="24" t="n">
        <f aca="false">F49/60</f>
        <v>0</v>
      </c>
      <c r="H49" s="14" t="n">
        <f aca="false">C49*'Fichas y precios'!P49</f>
        <v>0</v>
      </c>
      <c r="I49" s="14" t="n">
        <f aca="false">C49*'Fichas y precios'!R49</f>
        <v>0</v>
      </c>
      <c r="J49" s="14" t="n">
        <f aca="false">H49-E49</f>
        <v>0</v>
      </c>
      <c r="K49" s="24" t="n">
        <f aca="false">C49*'Fichas y precios'!O49</f>
        <v>0</v>
      </c>
    </row>
    <row r="50" customFormat="false" ht="15" hidden="false" customHeight="false" outlineLevel="0" collapsed="false">
      <c r="A50" s="9" t="n">
        <v>45</v>
      </c>
      <c r="B50" s="9" t="s">
        <v>694</v>
      </c>
      <c r="C50" s="29" t="n">
        <v>0</v>
      </c>
      <c r="D50" s="14" t="n">
        <f aca="false">C50*'Fichas y precios'!E50</f>
        <v>0</v>
      </c>
      <c r="E50" s="14" t="n">
        <f aca="false">C50*'Fichas y precios'!M50</f>
        <v>0</v>
      </c>
      <c r="F50" s="22" t="n">
        <f aca="false">C50*'Fichas y precios'!H50</f>
        <v>0</v>
      </c>
      <c r="G50" s="24" t="n">
        <f aca="false">F50/60</f>
        <v>0</v>
      </c>
      <c r="H50" s="14" t="n">
        <f aca="false">C50*'Fichas y precios'!P50</f>
        <v>0</v>
      </c>
      <c r="I50" s="14" t="n">
        <f aca="false">C50*'Fichas y precios'!R50</f>
        <v>0</v>
      </c>
      <c r="J50" s="14" t="n">
        <f aca="false">H50-E50</f>
        <v>0</v>
      </c>
      <c r="K50" s="24" t="n">
        <f aca="false">C50*'Fichas y precios'!O50</f>
        <v>0</v>
      </c>
    </row>
    <row r="51" customFormat="false" ht="15" hidden="false" customHeight="false" outlineLevel="0" collapsed="false">
      <c r="A51" s="9" t="n">
        <v>46</v>
      </c>
      <c r="B51" s="9" t="s">
        <v>700</v>
      </c>
      <c r="C51" s="29" t="n">
        <v>0</v>
      </c>
      <c r="D51" s="14" t="n">
        <f aca="false">C51*'Fichas y precios'!E51</f>
        <v>0</v>
      </c>
      <c r="E51" s="14" t="n">
        <f aca="false">C51*'Fichas y precios'!M51</f>
        <v>0</v>
      </c>
      <c r="F51" s="22" t="n">
        <f aca="false">C51*'Fichas y precios'!H51</f>
        <v>0</v>
      </c>
      <c r="G51" s="24" t="n">
        <f aca="false">F51/60</f>
        <v>0</v>
      </c>
      <c r="H51" s="14" t="n">
        <f aca="false">C51*'Fichas y precios'!P51</f>
        <v>0</v>
      </c>
      <c r="I51" s="14" t="n">
        <f aca="false">C51*'Fichas y precios'!R51</f>
        <v>0</v>
      </c>
      <c r="J51" s="14" t="n">
        <f aca="false">H51-E51</f>
        <v>0</v>
      </c>
      <c r="K51" s="24" t="n">
        <f aca="false">C51*'Fichas y precios'!O51</f>
        <v>0</v>
      </c>
    </row>
    <row r="52" customFormat="false" ht="15" hidden="false" customHeight="false" outlineLevel="0" collapsed="false">
      <c r="A52" s="9" t="n">
        <v>47</v>
      </c>
      <c r="B52" s="9" t="s">
        <v>707</v>
      </c>
      <c r="C52" s="29" t="n">
        <v>0</v>
      </c>
      <c r="D52" s="14" t="n">
        <f aca="false">C52*'Fichas y precios'!E52</f>
        <v>0</v>
      </c>
      <c r="E52" s="14" t="n">
        <f aca="false">C52*'Fichas y precios'!M52</f>
        <v>0</v>
      </c>
      <c r="F52" s="22" t="n">
        <f aca="false">C52*'Fichas y precios'!H52</f>
        <v>0</v>
      </c>
      <c r="G52" s="24" t="n">
        <f aca="false">F52/60</f>
        <v>0</v>
      </c>
      <c r="H52" s="14" t="n">
        <f aca="false">C52*'Fichas y precios'!P52</f>
        <v>0</v>
      </c>
      <c r="I52" s="14" t="n">
        <f aca="false">C52*'Fichas y precios'!R52</f>
        <v>0</v>
      </c>
      <c r="J52" s="14" t="n">
        <f aca="false">H52-E52</f>
        <v>0</v>
      </c>
      <c r="K52" s="24" t="n">
        <f aca="false">C52*'Fichas y precios'!O52</f>
        <v>0</v>
      </c>
    </row>
    <row r="53" customFormat="false" ht="15" hidden="false" customHeight="false" outlineLevel="0" collapsed="false">
      <c r="A53" s="9" t="n">
        <v>48</v>
      </c>
      <c r="B53" s="9" t="s">
        <v>717</v>
      </c>
      <c r="C53" s="29" t="n">
        <v>0</v>
      </c>
      <c r="D53" s="14" t="n">
        <f aca="false">C53*'Fichas y precios'!E53</f>
        <v>0</v>
      </c>
      <c r="E53" s="14" t="n">
        <f aca="false">C53*'Fichas y precios'!M53</f>
        <v>0</v>
      </c>
      <c r="F53" s="22" t="n">
        <f aca="false">C53*'Fichas y precios'!H53</f>
        <v>0</v>
      </c>
      <c r="G53" s="24" t="n">
        <f aca="false">F53/60</f>
        <v>0</v>
      </c>
      <c r="H53" s="14" t="n">
        <f aca="false">C53*'Fichas y precios'!P53</f>
        <v>0</v>
      </c>
      <c r="I53" s="14" t="n">
        <f aca="false">C53*'Fichas y precios'!R53</f>
        <v>0</v>
      </c>
      <c r="J53" s="14" t="n">
        <f aca="false">H53-E53</f>
        <v>0</v>
      </c>
      <c r="K53" s="24" t="n">
        <f aca="false">C53*'Fichas y precios'!O53</f>
        <v>0</v>
      </c>
    </row>
    <row r="54" customFormat="false" ht="15" hidden="false" customHeight="false" outlineLevel="0" collapsed="false">
      <c r="A54" s="9" t="n">
        <v>49</v>
      </c>
      <c r="B54" s="9" t="s">
        <v>724</v>
      </c>
      <c r="C54" s="29" t="n">
        <v>0</v>
      </c>
      <c r="D54" s="14" t="n">
        <f aca="false">C54*'Fichas y precios'!E54</f>
        <v>0</v>
      </c>
      <c r="E54" s="14" t="n">
        <f aca="false">C54*'Fichas y precios'!M54</f>
        <v>0</v>
      </c>
      <c r="F54" s="22" t="n">
        <f aca="false">C54*'Fichas y precios'!H54</f>
        <v>0</v>
      </c>
      <c r="G54" s="24" t="n">
        <f aca="false">F54/60</f>
        <v>0</v>
      </c>
      <c r="H54" s="14" t="n">
        <f aca="false">C54*'Fichas y precios'!P54</f>
        <v>0</v>
      </c>
      <c r="I54" s="14" t="n">
        <f aca="false">C54*'Fichas y precios'!R54</f>
        <v>0</v>
      </c>
      <c r="J54" s="14" t="n">
        <f aca="false">H54-E54</f>
        <v>0</v>
      </c>
      <c r="K54" s="24" t="n">
        <f aca="false">C54*'Fichas y precios'!O54</f>
        <v>0</v>
      </c>
    </row>
    <row r="55" customFormat="false" ht="15" hidden="false" customHeight="false" outlineLevel="0" collapsed="false">
      <c r="A55" s="9" t="n">
        <v>50</v>
      </c>
      <c r="B55" s="9" t="s">
        <v>732</v>
      </c>
      <c r="C55" s="29" t="n">
        <v>0</v>
      </c>
      <c r="D55" s="14" t="n">
        <f aca="false">C55*'Fichas y precios'!E55</f>
        <v>0</v>
      </c>
      <c r="E55" s="14" t="n">
        <f aca="false">C55*'Fichas y precios'!M55</f>
        <v>0</v>
      </c>
      <c r="F55" s="22" t="n">
        <f aca="false">C55*'Fichas y precios'!H55</f>
        <v>0</v>
      </c>
      <c r="G55" s="24" t="n">
        <f aca="false">F55/60</f>
        <v>0</v>
      </c>
      <c r="H55" s="14" t="n">
        <f aca="false">C55*'Fichas y precios'!P55</f>
        <v>0</v>
      </c>
      <c r="I55" s="14" t="n">
        <f aca="false">C55*'Fichas y precios'!R55</f>
        <v>0</v>
      </c>
      <c r="J55" s="14" t="n">
        <f aca="false">H55-E55</f>
        <v>0</v>
      </c>
      <c r="K55" s="24" t="n">
        <f aca="false">C55*'Fichas y precios'!O55</f>
        <v>0</v>
      </c>
    </row>
    <row r="56" customFormat="false" ht="15" hidden="false" customHeight="false" outlineLevel="0" collapsed="false">
      <c r="A56" s="9" t="n">
        <v>51</v>
      </c>
      <c r="B56" s="9" t="s">
        <v>739</v>
      </c>
      <c r="C56" s="29" t="n">
        <v>0</v>
      </c>
      <c r="D56" s="14" t="n">
        <f aca="false">C56*'Fichas y precios'!E56</f>
        <v>0</v>
      </c>
      <c r="E56" s="14" t="n">
        <f aca="false">C56*'Fichas y precios'!M56</f>
        <v>0</v>
      </c>
      <c r="F56" s="22" t="n">
        <f aca="false">C56*'Fichas y precios'!H56</f>
        <v>0</v>
      </c>
      <c r="G56" s="24" t="n">
        <f aca="false">F56/60</f>
        <v>0</v>
      </c>
      <c r="H56" s="14" t="n">
        <f aca="false">C56*'Fichas y precios'!P56</f>
        <v>0</v>
      </c>
      <c r="I56" s="14" t="n">
        <f aca="false">C56*'Fichas y precios'!R56</f>
        <v>0</v>
      </c>
      <c r="J56" s="14" t="n">
        <f aca="false">H56-E56</f>
        <v>0</v>
      </c>
      <c r="K56" s="24" t="n">
        <f aca="false">C56*'Fichas y precios'!O56</f>
        <v>0</v>
      </c>
    </row>
    <row r="57" customFormat="false" ht="15" hidden="false" customHeight="false" outlineLevel="0" collapsed="false">
      <c r="B57" s="4" t="s">
        <v>817</v>
      </c>
      <c r="C57" s="27" t="n">
        <f aca="false">SUM(C6:C56)</f>
        <v>0</v>
      </c>
      <c r="D57" s="26" t="n">
        <f aca="false">SUM(D6:D56)</f>
        <v>0</v>
      </c>
      <c r="E57" s="26" t="n">
        <f aca="false">SUM(E6:E56)</f>
        <v>0</v>
      </c>
      <c r="F57" s="27" t="n">
        <f aca="false">SUM(F6:F56)</f>
        <v>0</v>
      </c>
      <c r="G57" s="27" t="n">
        <f aca="false">SUM(G6:G56)</f>
        <v>0</v>
      </c>
      <c r="H57" s="26" t="n">
        <f aca="false">SUM(H6:H56)</f>
        <v>0</v>
      </c>
      <c r="I57" s="26" t="n">
        <f aca="false">SUM(I6:I56)</f>
        <v>0</v>
      </c>
      <c r="J57" s="26" t="n">
        <f aca="false">SUM(J6:J56)</f>
        <v>0</v>
      </c>
      <c r="K57" s="27" t="n">
        <f aca="false">SUM(K6:K56)</f>
        <v>0</v>
      </c>
    </row>
    <row r="59" customFormat="false" ht="15" hidden="false" customHeight="false" outlineLevel="0" collapsed="false">
      <c r="B59" s="2" t="s">
        <v>818</v>
      </c>
    </row>
    <row r="60" customFormat="false" ht="15" hidden="false" customHeight="false" outlineLevel="0" collapsed="false">
      <c r="B60" s="2" t="s"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10" min="6" style="0" width="13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820</v>
      </c>
    </row>
    <row r="2" customFormat="false" ht="15" hidden="false" customHeight="false" outlineLevel="0" collapsed="false">
      <c r="A2" s="2" t="s">
        <v>821</v>
      </c>
    </row>
    <row r="3" customFormat="false" ht="15" hidden="false" customHeight="false" outlineLevel="0" collapsed="false">
      <c r="A3" s="3" t="s">
        <v>2</v>
      </c>
      <c r="H3" s="6" t="s">
        <v>822</v>
      </c>
    </row>
    <row r="4" customFormat="false" ht="15" hidden="false" customHeight="false" outlineLevel="0" collapsed="false">
      <c r="G4" s="26" t="n">
        <f aca="false">SUM(G6:G305)</f>
        <v>0</v>
      </c>
      <c r="I4" s="26" t="n">
        <f aca="false">SUM(I6:I305)</f>
        <v>0</v>
      </c>
      <c r="J4" s="26" t="n">
        <f aca="false">SUM(J6:J305)</f>
        <v>0</v>
      </c>
    </row>
    <row r="5" customFormat="false" ht="25.5" hidden="false" customHeight="true" outlineLevel="0" collapsed="false">
      <c r="A5" s="8" t="s">
        <v>823</v>
      </c>
      <c r="B5" s="8" t="s">
        <v>824</v>
      </c>
      <c r="C5" s="8" t="s">
        <v>364</v>
      </c>
      <c r="D5" s="8" t="s">
        <v>778</v>
      </c>
      <c r="E5" s="8" t="s">
        <v>825</v>
      </c>
      <c r="F5" s="8" t="s">
        <v>826</v>
      </c>
      <c r="G5" s="8" t="s">
        <v>827</v>
      </c>
      <c r="H5" s="8" t="s">
        <v>828</v>
      </c>
      <c r="I5" s="8" t="s">
        <v>811</v>
      </c>
      <c r="J5" s="8" t="s">
        <v>829</v>
      </c>
      <c r="K5" s="8" t="s">
        <v>779</v>
      </c>
      <c r="L5" s="8" t="s">
        <v>830</v>
      </c>
    </row>
    <row r="6" customFormat="false" ht="15" hidden="false" customHeight="false" outlineLevel="0" collapsed="false">
      <c r="A6" s="30"/>
      <c r="B6" s="31"/>
      <c r="C6" s="9" t="str">
        <f aca="false">IF($B6="","",IFERROR(VLOOKUP($B6,'Fichas y precios'!$A:$B,2,FALSE()),""))</f>
        <v/>
      </c>
      <c r="D6" s="31"/>
      <c r="E6" s="31"/>
      <c r="F6" s="14" t="str">
        <f aca="false">IF(OR($B6="",$D6=""),"",IFERROR(INDEX('Fichas y precios'!$P:$S,MATCH($B6,'Fichas y precios'!$A:$A,0),MATCH($D6,'Fichas y precios'!$P$5:$S$5,0)),""))</f>
        <v/>
      </c>
      <c r="G6" s="14" t="str">
        <f aca="false">IFERROR($E6*$F6,"")</f>
        <v/>
      </c>
      <c r="H6" s="14" t="str">
        <f aca="false">IF($B6="","",IF($D6="Batch embotellado",IFERROR(VLOOKUP($B6,'Fichas y precios'!$A:$M,13,FALSE())*'Mi negocio'!$B$13+'Mi negocio'!$B$14,""),IFERROR(VLOOKUP($B6,'Fichas y precios'!$A:$M,13,FALSE()),"")))</f>
        <v/>
      </c>
      <c r="I6" s="14" t="str">
        <f aca="false">IFERROR($E6*$H6,"")</f>
        <v/>
      </c>
      <c r="J6" s="14" t="str">
        <f aca="false">IFERROR($G6-$I6,"")</f>
        <v/>
      </c>
      <c r="K6" s="23" t="str">
        <f aca="false">IFERROR($J6/$G6,"")</f>
        <v/>
      </c>
      <c r="L6" s="31"/>
    </row>
    <row r="7" customFormat="false" ht="15" hidden="false" customHeight="false" outlineLevel="0" collapsed="false">
      <c r="A7" s="30"/>
      <c r="B7" s="31"/>
      <c r="C7" s="9" t="str">
        <f aca="false">IF($B7="","",IFERROR(VLOOKUP($B7,'Fichas y precios'!$A:$B,2,FALSE()),""))</f>
        <v/>
      </c>
      <c r="D7" s="31"/>
      <c r="E7" s="31"/>
      <c r="F7" s="14" t="str">
        <f aca="false">IF(OR($B7="",$D7=""),"",IFERROR(INDEX('Fichas y precios'!$P:$S,MATCH($B7,'Fichas y precios'!$A:$A,0),MATCH($D7,'Fichas y precios'!$P$5:$S$5,0)),""))</f>
        <v/>
      </c>
      <c r="G7" s="14" t="str">
        <f aca="false">IFERROR($E7*$F7,"")</f>
        <v/>
      </c>
      <c r="H7" s="14" t="str">
        <f aca="false">IF($B7="","",IF($D7="Batch embotellado",IFERROR(VLOOKUP($B7,'Fichas y precios'!$A:$M,13,FALSE())*'Mi negocio'!$B$13+'Mi negocio'!$B$14,""),IFERROR(VLOOKUP($B7,'Fichas y precios'!$A:$M,13,FALSE()),"")))</f>
        <v/>
      </c>
      <c r="I7" s="14" t="str">
        <f aca="false">IFERROR($E7*$H7,"")</f>
        <v/>
      </c>
      <c r="J7" s="14" t="str">
        <f aca="false">IFERROR($G7-$I7,"")</f>
        <v/>
      </c>
      <c r="K7" s="23" t="str">
        <f aca="false">IFERROR($J7/$G7,"")</f>
        <v/>
      </c>
      <c r="L7" s="31"/>
    </row>
    <row r="8" customFormat="false" ht="15" hidden="false" customHeight="false" outlineLevel="0" collapsed="false">
      <c r="A8" s="30"/>
      <c r="B8" s="31"/>
      <c r="C8" s="9" t="str">
        <f aca="false">IF($B8="","",IFERROR(VLOOKUP($B8,'Fichas y precios'!$A:$B,2,FALSE()),""))</f>
        <v/>
      </c>
      <c r="D8" s="31"/>
      <c r="E8" s="31"/>
      <c r="F8" s="14" t="str">
        <f aca="false">IF(OR($B8="",$D8=""),"",IFERROR(INDEX('Fichas y precios'!$P:$S,MATCH($B8,'Fichas y precios'!$A:$A,0),MATCH($D8,'Fichas y precios'!$P$5:$S$5,0)),""))</f>
        <v/>
      </c>
      <c r="G8" s="14" t="str">
        <f aca="false">IFERROR($E8*$F8,"")</f>
        <v/>
      </c>
      <c r="H8" s="14" t="str">
        <f aca="false">IF($B8="","",IF($D8="Batch embotellado",IFERROR(VLOOKUP($B8,'Fichas y precios'!$A:$M,13,FALSE())*'Mi negocio'!$B$13+'Mi negocio'!$B$14,""),IFERROR(VLOOKUP($B8,'Fichas y precios'!$A:$M,13,FALSE()),"")))</f>
        <v/>
      </c>
      <c r="I8" s="14" t="str">
        <f aca="false">IFERROR($E8*$H8,"")</f>
        <v/>
      </c>
      <c r="J8" s="14" t="str">
        <f aca="false">IFERROR($G8-$I8,"")</f>
        <v/>
      </c>
      <c r="K8" s="23" t="str">
        <f aca="false">IFERROR($J8/$G8,"")</f>
        <v/>
      </c>
      <c r="L8" s="31"/>
    </row>
    <row r="9" customFormat="false" ht="15" hidden="false" customHeight="false" outlineLevel="0" collapsed="false">
      <c r="A9" s="30"/>
      <c r="B9" s="31"/>
      <c r="C9" s="9" t="str">
        <f aca="false">IF($B9="","",IFERROR(VLOOKUP($B9,'Fichas y precios'!$A:$B,2,FALSE()),""))</f>
        <v/>
      </c>
      <c r="D9" s="31"/>
      <c r="E9" s="31"/>
      <c r="F9" s="14" t="str">
        <f aca="false">IF(OR($B9="",$D9=""),"",IFERROR(INDEX('Fichas y precios'!$P:$S,MATCH($B9,'Fichas y precios'!$A:$A,0),MATCH($D9,'Fichas y precios'!$P$5:$S$5,0)),""))</f>
        <v/>
      </c>
      <c r="G9" s="14" t="str">
        <f aca="false">IFERROR($E9*$F9,"")</f>
        <v/>
      </c>
      <c r="H9" s="14" t="str">
        <f aca="false">IF($B9="","",IF($D9="Batch embotellado",IFERROR(VLOOKUP($B9,'Fichas y precios'!$A:$M,13,FALSE())*'Mi negocio'!$B$13+'Mi negocio'!$B$14,""),IFERROR(VLOOKUP($B9,'Fichas y precios'!$A:$M,13,FALSE()),"")))</f>
        <v/>
      </c>
      <c r="I9" s="14" t="str">
        <f aca="false">IFERROR($E9*$H9,"")</f>
        <v/>
      </c>
      <c r="J9" s="14" t="str">
        <f aca="false">IFERROR($G9-$I9,"")</f>
        <v/>
      </c>
      <c r="K9" s="23" t="str">
        <f aca="false">IFERROR($J9/$G9,"")</f>
        <v/>
      </c>
      <c r="L9" s="31"/>
    </row>
    <row r="10" customFormat="false" ht="15" hidden="false" customHeight="false" outlineLevel="0" collapsed="false">
      <c r="A10" s="30"/>
      <c r="B10" s="31"/>
      <c r="C10" s="9" t="str">
        <f aca="false">IF($B10="","",IFERROR(VLOOKUP($B10,'Fichas y precios'!$A:$B,2,FALSE()),""))</f>
        <v/>
      </c>
      <c r="D10" s="31"/>
      <c r="E10" s="31"/>
      <c r="F10" s="14" t="str">
        <f aca="false">IF(OR($B10="",$D10=""),"",IFERROR(INDEX('Fichas y precios'!$P:$S,MATCH($B10,'Fichas y precios'!$A:$A,0),MATCH($D10,'Fichas y precios'!$P$5:$S$5,0)),""))</f>
        <v/>
      </c>
      <c r="G10" s="14" t="str">
        <f aca="false">IFERROR($E10*$F10,"")</f>
        <v/>
      </c>
      <c r="H10" s="14" t="str">
        <f aca="false">IF($B10="","",IF($D10="Batch embotellado",IFERROR(VLOOKUP($B10,'Fichas y precios'!$A:$M,13,FALSE())*'Mi negocio'!$B$13+'Mi negocio'!$B$14,""),IFERROR(VLOOKUP($B10,'Fichas y precios'!$A:$M,13,FALSE()),"")))</f>
        <v/>
      </c>
      <c r="I10" s="14" t="str">
        <f aca="false">IFERROR($E10*$H10,"")</f>
        <v/>
      </c>
      <c r="J10" s="14" t="str">
        <f aca="false">IFERROR($G10-$I10,"")</f>
        <v/>
      </c>
      <c r="K10" s="23" t="str">
        <f aca="false">IFERROR($J10/$G10,"")</f>
        <v/>
      </c>
      <c r="L10" s="31"/>
    </row>
    <row r="11" customFormat="false" ht="15" hidden="false" customHeight="false" outlineLevel="0" collapsed="false">
      <c r="A11" s="30"/>
      <c r="B11" s="31"/>
      <c r="C11" s="9" t="str">
        <f aca="false">IF($B11="","",IFERROR(VLOOKUP($B11,'Fichas y precios'!$A:$B,2,FALSE()),""))</f>
        <v/>
      </c>
      <c r="D11" s="31"/>
      <c r="E11" s="31"/>
      <c r="F11" s="14" t="str">
        <f aca="false">IF(OR($B11="",$D11=""),"",IFERROR(INDEX('Fichas y precios'!$P:$S,MATCH($B11,'Fichas y precios'!$A:$A,0),MATCH($D11,'Fichas y precios'!$P$5:$S$5,0)),""))</f>
        <v/>
      </c>
      <c r="G11" s="14" t="str">
        <f aca="false">IFERROR($E11*$F11,"")</f>
        <v/>
      </c>
      <c r="H11" s="14" t="str">
        <f aca="false">IF($B11="","",IF($D11="Batch embotellado",IFERROR(VLOOKUP($B11,'Fichas y precios'!$A:$M,13,FALSE())*'Mi negocio'!$B$13+'Mi negocio'!$B$14,""),IFERROR(VLOOKUP($B11,'Fichas y precios'!$A:$M,13,FALSE()),"")))</f>
        <v/>
      </c>
      <c r="I11" s="14" t="str">
        <f aca="false">IFERROR($E11*$H11,"")</f>
        <v/>
      </c>
      <c r="J11" s="14" t="str">
        <f aca="false">IFERROR($G11-$I11,"")</f>
        <v/>
      </c>
      <c r="K11" s="23" t="str">
        <f aca="false">IFERROR($J11/$G11,"")</f>
        <v/>
      </c>
      <c r="L11" s="31"/>
    </row>
    <row r="12" customFormat="false" ht="15" hidden="false" customHeight="false" outlineLevel="0" collapsed="false">
      <c r="A12" s="30"/>
      <c r="B12" s="31"/>
      <c r="C12" s="9" t="str">
        <f aca="false">IF($B12="","",IFERROR(VLOOKUP($B12,'Fichas y precios'!$A:$B,2,FALSE()),""))</f>
        <v/>
      </c>
      <c r="D12" s="31"/>
      <c r="E12" s="31"/>
      <c r="F12" s="14" t="str">
        <f aca="false">IF(OR($B12="",$D12=""),"",IFERROR(INDEX('Fichas y precios'!$P:$S,MATCH($B12,'Fichas y precios'!$A:$A,0),MATCH($D12,'Fichas y precios'!$P$5:$S$5,0)),""))</f>
        <v/>
      </c>
      <c r="G12" s="14" t="str">
        <f aca="false">IFERROR($E12*$F12,"")</f>
        <v/>
      </c>
      <c r="H12" s="14" t="str">
        <f aca="false">IF($B12="","",IF($D12="Batch embotellado",IFERROR(VLOOKUP($B12,'Fichas y precios'!$A:$M,13,FALSE())*'Mi negocio'!$B$13+'Mi negocio'!$B$14,""),IFERROR(VLOOKUP($B12,'Fichas y precios'!$A:$M,13,FALSE()),"")))</f>
        <v/>
      </c>
      <c r="I12" s="14" t="str">
        <f aca="false">IFERROR($E12*$H12,"")</f>
        <v/>
      </c>
      <c r="J12" s="14" t="str">
        <f aca="false">IFERROR($G12-$I12,"")</f>
        <v/>
      </c>
      <c r="K12" s="23" t="str">
        <f aca="false">IFERROR($J12/$G12,"")</f>
        <v/>
      </c>
      <c r="L12" s="31"/>
    </row>
    <row r="13" customFormat="false" ht="15" hidden="false" customHeight="false" outlineLevel="0" collapsed="false">
      <c r="A13" s="30"/>
      <c r="B13" s="31"/>
      <c r="C13" s="9" t="str">
        <f aca="false">IF($B13="","",IFERROR(VLOOKUP($B13,'Fichas y precios'!$A:$B,2,FALSE()),""))</f>
        <v/>
      </c>
      <c r="D13" s="31"/>
      <c r="E13" s="31"/>
      <c r="F13" s="14" t="str">
        <f aca="false">IF(OR($B13="",$D13=""),"",IFERROR(INDEX('Fichas y precios'!$P:$S,MATCH($B13,'Fichas y precios'!$A:$A,0),MATCH($D13,'Fichas y precios'!$P$5:$S$5,0)),""))</f>
        <v/>
      </c>
      <c r="G13" s="14" t="str">
        <f aca="false">IFERROR($E13*$F13,"")</f>
        <v/>
      </c>
      <c r="H13" s="14" t="str">
        <f aca="false">IF($B13="","",IF($D13="Batch embotellado",IFERROR(VLOOKUP($B13,'Fichas y precios'!$A:$M,13,FALSE())*'Mi negocio'!$B$13+'Mi negocio'!$B$14,""),IFERROR(VLOOKUP($B13,'Fichas y precios'!$A:$M,13,FALSE()),"")))</f>
        <v/>
      </c>
      <c r="I13" s="14" t="str">
        <f aca="false">IFERROR($E13*$H13,"")</f>
        <v/>
      </c>
      <c r="J13" s="14" t="str">
        <f aca="false">IFERROR($G13-$I13,"")</f>
        <v/>
      </c>
      <c r="K13" s="23" t="str">
        <f aca="false">IFERROR($J13/$G13,"")</f>
        <v/>
      </c>
      <c r="L13" s="31"/>
    </row>
    <row r="14" customFormat="false" ht="15" hidden="false" customHeight="false" outlineLevel="0" collapsed="false">
      <c r="A14" s="30"/>
      <c r="B14" s="31"/>
      <c r="C14" s="9" t="str">
        <f aca="false">IF($B14="","",IFERROR(VLOOKUP($B14,'Fichas y precios'!$A:$B,2,FALSE()),""))</f>
        <v/>
      </c>
      <c r="D14" s="31"/>
      <c r="E14" s="31"/>
      <c r="F14" s="14" t="str">
        <f aca="false">IF(OR($B14="",$D14=""),"",IFERROR(INDEX('Fichas y precios'!$P:$S,MATCH($B14,'Fichas y precios'!$A:$A,0),MATCH($D14,'Fichas y precios'!$P$5:$S$5,0)),""))</f>
        <v/>
      </c>
      <c r="G14" s="14" t="str">
        <f aca="false">IFERROR($E14*$F14,"")</f>
        <v/>
      </c>
      <c r="H14" s="14" t="str">
        <f aca="false">IF($B14="","",IF($D14="Batch embotellado",IFERROR(VLOOKUP($B14,'Fichas y precios'!$A:$M,13,FALSE())*'Mi negocio'!$B$13+'Mi negocio'!$B$14,""),IFERROR(VLOOKUP($B14,'Fichas y precios'!$A:$M,13,FALSE()),"")))</f>
        <v/>
      </c>
      <c r="I14" s="14" t="str">
        <f aca="false">IFERROR($E14*$H14,"")</f>
        <v/>
      </c>
      <c r="J14" s="14" t="str">
        <f aca="false">IFERROR($G14-$I14,"")</f>
        <v/>
      </c>
      <c r="K14" s="23" t="str">
        <f aca="false">IFERROR($J14/$G14,"")</f>
        <v/>
      </c>
      <c r="L14" s="31"/>
    </row>
    <row r="15" customFormat="false" ht="15" hidden="false" customHeight="false" outlineLevel="0" collapsed="false">
      <c r="A15" s="30"/>
      <c r="B15" s="31"/>
      <c r="C15" s="9" t="str">
        <f aca="false">IF($B15="","",IFERROR(VLOOKUP($B15,'Fichas y precios'!$A:$B,2,FALSE()),""))</f>
        <v/>
      </c>
      <c r="D15" s="31"/>
      <c r="E15" s="31"/>
      <c r="F15" s="14" t="str">
        <f aca="false">IF(OR($B15="",$D15=""),"",IFERROR(INDEX('Fichas y precios'!$P:$S,MATCH($B15,'Fichas y precios'!$A:$A,0),MATCH($D15,'Fichas y precios'!$P$5:$S$5,0)),""))</f>
        <v/>
      </c>
      <c r="G15" s="14" t="str">
        <f aca="false">IFERROR($E15*$F15,"")</f>
        <v/>
      </c>
      <c r="H15" s="14" t="str">
        <f aca="false">IF($B15="","",IF($D15="Batch embotellado",IFERROR(VLOOKUP($B15,'Fichas y precios'!$A:$M,13,FALSE())*'Mi negocio'!$B$13+'Mi negocio'!$B$14,""),IFERROR(VLOOKUP($B15,'Fichas y precios'!$A:$M,13,FALSE()),"")))</f>
        <v/>
      </c>
      <c r="I15" s="14" t="str">
        <f aca="false">IFERROR($E15*$H15,"")</f>
        <v/>
      </c>
      <c r="J15" s="14" t="str">
        <f aca="false">IFERROR($G15-$I15,"")</f>
        <v/>
      </c>
      <c r="K15" s="23" t="str">
        <f aca="false">IFERROR($J15/$G15,"")</f>
        <v/>
      </c>
      <c r="L15" s="31"/>
    </row>
    <row r="16" customFormat="false" ht="15" hidden="false" customHeight="false" outlineLevel="0" collapsed="false">
      <c r="A16" s="30"/>
      <c r="B16" s="31"/>
      <c r="C16" s="9" t="str">
        <f aca="false">IF($B16="","",IFERROR(VLOOKUP($B16,'Fichas y precios'!$A:$B,2,FALSE()),""))</f>
        <v/>
      </c>
      <c r="D16" s="31"/>
      <c r="E16" s="31"/>
      <c r="F16" s="14" t="str">
        <f aca="false">IF(OR($B16="",$D16=""),"",IFERROR(INDEX('Fichas y precios'!$P:$S,MATCH($B16,'Fichas y precios'!$A:$A,0),MATCH($D16,'Fichas y precios'!$P$5:$S$5,0)),""))</f>
        <v/>
      </c>
      <c r="G16" s="14" t="str">
        <f aca="false">IFERROR($E16*$F16,"")</f>
        <v/>
      </c>
      <c r="H16" s="14" t="str">
        <f aca="false">IF($B16="","",IF($D16="Batch embotellado",IFERROR(VLOOKUP($B16,'Fichas y precios'!$A:$M,13,FALSE())*'Mi negocio'!$B$13+'Mi negocio'!$B$14,""),IFERROR(VLOOKUP($B16,'Fichas y precios'!$A:$M,13,FALSE()),"")))</f>
        <v/>
      </c>
      <c r="I16" s="14" t="str">
        <f aca="false">IFERROR($E16*$H16,"")</f>
        <v/>
      </c>
      <c r="J16" s="14" t="str">
        <f aca="false">IFERROR($G16-$I16,"")</f>
        <v/>
      </c>
      <c r="K16" s="23" t="str">
        <f aca="false">IFERROR($J16/$G16,"")</f>
        <v/>
      </c>
      <c r="L16" s="31"/>
    </row>
    <row r="17" customFormat="false" ht="15" hidden="false" customHeight="false" outlineLevel="0" collapsed="false">
      <c r="A17" s="30"/>
      <c r="B17" s="31"/>
      <c r="C17" s="9" t="str">
        <f aca="false">IF($B17="","",IFERROR(VLOOKUP($B17,'Fichas y precios'!$A:$B,2,FALSE()),""))</f>
        <v/>
      </c>
      <c r="D17" s="31"/>
      <c r="E17" s="31"/>
      <c r="F17" s="14" t="str">
        <f aca="false">IF(OR($B17="",$D17=""),"",IFERROR(INDEX('Fichas y precios'!$P:$S,MATCH($B17,'Fichas y precios'!$A:$A,0),MATCH($D17,'Fichas y precios'!$P$5:$S$5,0)),""))</f>
        <v/>
      </c>
      <c r="G17" s="14" t="str">
        <f aca="false">IFERROR($E17*$F17,"")</f>
        <v/>
      </c>
      <c r="H17" s="14" t="str">
        <f aca="false">IF($B17="","",IF($D17="Batch embotellado",IFERROR(VLOOKUP($B17,'Fichas y precios'!$A:$M,13,FALSE())*'Mi negocio'!$B$13+'Mi negocio'!$B$14,""),IFERROR(VLOOKUP($B17,'Fichas y precios'!$A:$M,13,FALSE()),"")))</f>
        <v/>
      </c>
      <c r="I17" s="14" t="str">
        <f aca="false">IFERROR($E17*$H17,"")</f>
        <v/>
      </c>
      <c r="J17" s="14" t="str">
        <f aca="false">IFERROR($G17-$I17,"")</f>
        <v/>
      </c>
      <c r="K17" s="23" t="str">
        <f aca="false">IFERROR($J17/$G17,"")</f>
        <v/>
      </c>
      <c r="L17" s="31"/>
    </row>
    <row r="18" customFormat="false" ht="15" hidden="false" customHeight="false" outlineLevel="0" collapsed="false">
      <c r="A18" s="30"/>
      <c r="B18" s="31"/>
      <c r="C18" s="9" t="str">
        <f aca="false">IF($B18="","",IFERROR(VLOOKUP($B18,'Fichas y precios'!$A:$B,2,FALSE()),""))</f>
        <v/>
      </c>
      <c r="D18" s="31"/>
      <c r="E18" s="31"/>
      <c r="F18" s="14" t="str">
        <f aca="false">IF(OR($B18="",$D18=""),"",IFERROR(INDEX('Fichas y precios'!$P:$S,MATCH($B18,'Fichas y precios'!$A:$A,0),MATCH($D18,'Fichas y precios'!$P$5:$S$5,0)),""))</f>
        <v/>
      </c>
      <c r="G18" s="14" t="str">
        <f aca="false">IFERROR($E18*$F18,"")</f>
        <v/>
      </c>
      <c r="H18" s="14" t="str">
        <f aca="false">IF($B18="","",IF($D18="Batch embotellado",IFERROR(VLOOKUP($B18,'Fichas y precios'!$A:$M,13,FALSE())*'Mi negocio'!$B$13+'Mi negocio'!$B$14,""),IFERROR(VLOOKUP($B18,'Fichas y precios'!$A:$M,13,FALSE()),"")))</f>
        <v/>
      </c>
      <c r="I18" s="14" t="str">
        <f aca="false">IFERROR($E18*$H18,"")</f>
        <v/>
      </c>
      <c r="J18" s="14" t="str">
        <f aca="false">IFERROR($G18-$I18,"")</f>
        <v/>
      </c>
      <c r="K18" s="23" t="str">
        <f aca="false">IFERROR($J18/$G18,"")</f>
        <v/>
      </c>
      <c r="L18" s="31"/>
    </row>
    <row r="19" customFormat="false" ht="15" hidden="false" customHeight="false" outlineLevel="0" collapsed="false">
      <c r="A19" s="30"/>
      <c r="B19" s="31"/>
      <c r="C19" s="9" t="str">
        <f aca="false">IF($B19="","",IFERROR(VLOOKUP($B19,'Fichas y precios'!$A:$B,2,FALSE()),""))</f>
        <v/>
      </c>
      <c r="D19" s="31"/>
      <c r="E19" s="31"/>
      <c r="F19" s="14" t="str">
        <f aca="false">IF(OR($B19="",$D19=""),"",IFERROR(INDEX('Fichas y precios'!$P:$S,MATCH($B19,'Fichas y precios'!$A:$A,0),MATCH($D19,'Fichas y precios'!$P$5:$S$5,0)),""))</f>
        <v/>
      </c>
      <c r="G19" s="14" t="str">
        <f aca="false">IFERROR($E19*$F19,"")</f>
        <v/>
      </c>
      <c r="H19" s="14" t="str">
        <f aca="false">IF($B19="","",IF($D19="Batch embotellado",IFERROR(VLOOKUP($B19,'Fichas y precios'!$A:$M,13,FALSE())*'Mi negocio'!$B$13+'Mi negocio'!$B$14,""),IFERROR(VLOOKUP($B19,'Fichas y precios'!$A:$M,13,FALSE()),"")))</f>
        <v/>
      </c>
      <c r="I19" s="14" t="str">
        <f aca="false">IFERROR($E19*$H19,"")</f>
        <v/>
      </c>
      <c r="J19" s="14" t="str">
        <f aca="false">IFERROR($G19-$I19,"")</f>
        <v/>
      </c>
      <c r="K19" s="23" t="str">
        <f aca="false">IFERROR($J19/$G19,"")</f>
        <v/>
      </c>
      <c r="L19" s="31"/>
    </row>
    <row r="20" customFormat="false" ht="15" hidden="false" customHeight="false" outlineLevel="0" collapsed="false">
      <c r="A20" s="30"/>
      <c r="B20" s="31"/>
      <c r="C20" s="9" t="str">
        <f aca="false">IF($B20="","",IFERROR(VLOOKUP($B20,'Fichas y precios'!$A:$B,2,FALSE()),""))</f>
        <v/>
      </c>
      <c r="D20" s="31"/>
      <c r="E20" s="31"/>
      <c r="F20" s="14" t="str">
        <f aca="false">IF(OR($B20="",$D20=""),"",IFERROR(INDEX('Fichas y precios'!$P:$S,MATCH($B20,'Fichas y precios'!$A:$A,0),MATCH($D20,'Fichas y precios'!$P$5:$S$5,0)),""))</f>
        <v/>
      </c>
      <c r="G20" s="14" t="str">
        <f aca="false">IFERROR($E20*$F20,"")</f>
        <v/>
      </c>
      <c r="H20" s="14" t="str">
        <f aca="false">IF($B20="","",IF($D20="Batch embotellado",IFERROR(VLOOKUP($B20,'Fichas y precios'!$A:$M,13,FALSE())*'Mi negocio'!$B$13+'Mi negocio'!$B$14,""),IFERROR(VLOOKUP($B20,'Fichas y precios'!$A:$M,13,FALSE()),"")))</f>
        <v/>
      </c>
      <c r="I20" s="14" t="str">
        <f aca="false">IFERROR($E20*$H20,"")</f>
        <v/>
      </c>
      <c r="J20" s="14" t="str">
        <f aca="false">IFERROR($G20-$I20,"")</f>
        <v/>
      </c>
      <c r="K20" s="23" t="str">
        <f aca="false">IFERROR($J20/$G20,"")</f>
        <v/>
      </c>
      <c r="L20" s="31"/>
    </row>
    <row r="21" customFormat="false" ht="15" hidden="false" customHeight="false" outlineLevel="0" collapsed="false">
      <c r="A21" s="30"/>
      <c r="B21" s="31"/>
      <c r="C21" s="9" t="str">
        <f aca="false">IF($B21="","",IFERROR(VLOOKUP($B21,'Fichas y precios'!$A:$B,2,FALSE()),""))</f>
        <v/>
      </c>
      <c r="D21" s="31"/>
      <c r="E21" s="31"/>
      <c r="F21" s="14" t="str">
        <f aca="false">IF(OR($B21="",$D21=""),"",IFERROR(INDEX('Fichas y precios'!$P:$S,MATCH($B21,'Fichas y precios'!$A:$A,0),MATCH($D21,'Fichas y precios'!$P$5:$S$5,0)),""))</f>
        <v/>
      </c>
      <c r="G21" s="14" t="str">
        <f aca="false">IFERROR($E21*$F21,"")</f>
        <v/>
      </c>
      <c r="H21" s="14" t="str">
        <f aca="false">IF($B21="","",IF($D21="Batch embotellado",IFERROR(VLOOKUP($B21,'Fichas y precios'!$A:$M,13,FALSE())*'Mi negocio'!$B$13+'Mi negocio'!$B$14,""),IFERROR(VLOOKUP($B21,'Fichas y precios'!$A:$M,13,FALSE()),"")))</f>
        <v/>
      </c>
      <c r="I21" s="14" t="str">
        <f aca="false">IFERROR($E21*$H21,"")</f>
        <v/>
      </c>
      <c r="J21" s="14" t="str">
        <f aca="false">IFERROR($G21-$I21,"")</f>
        <v/>
      </c>
      <c r="K21" s="23" t="str">
        <f aca="false">IFERROR($J21/$G21,"")</f>
        <v/>
      </c>
      <c r="L21" s="31"/>
    </row>
    <row r="22" customFormat="false" ht="15" hidden="false" customHeight="false" outlineLevel="0" collapsed="false">
      <c r="A22" s="30"/>
      <c r="B22" s="31"/>
      <c r="C22" s="9" t="str">
        <f aca="false">IF($B22="","",IFERROR(VLOOKUP($B22,'Fichas y precios'!$A:$B,2,FALSE()),""))</f>
        <v/>
      </c>
      <c r="D22" s="31"/>
      <c r="E22" s="31"/>
      <c r="F22" s="14" t="str">
        <f aca="false">IF(OR($B22="",$D22=""),"",IFERROR(INDEX('Fichas y precios'!$P:$S,MATCH($B22,'Fichas y precios'!$A:$A,0),MATCH($D22,'Fichas y precios'!$P$5:$S$5,0)),""))</f>
        <v/>
      </c>
      <c r="G22" s="14" t="str">
        <f aca="false">IFERROR($E22*$F22,"")</f>
        <v/>
      </c>
      <c r="H22" s="14" t="str">
        <f aca="false">IF($B22="","",IF($D22="Batch embotellado",IFERROR(VLOOKUP($B22,'Fichas y precios'!$A:$M,13,FALSE())*'Mi negocio'!$B$13+'Mi negocio'!$B$14,""),IFERROR(VLOOKUP($B22,'Fichas y precios'!$A:$M,13,FALSE()),"")))</f>
        <v/>
      </c>
      <c r="I22" s="14" t="str">
        <f aca="false">IFERROR($E22*$H22,"")</f>
        <v/>
      </c>
      <c r="J22" s="14" t="str">
        <f aca="false">IFERROR($G22-$I22,"")</f>
        <v/>
      </c>
      <c r="K22" s="23" t="str">
        <f aca="false">IFERROR($J22/$G22,"")</f>
        <v/>
      </c>
      <c r="L22" s="31"/>
    </row>
    <row r="23" customFormat="false" ht="15" hidden="false" customHeight="false" outlineLevel="0" collapsed="false">
      <c r="A23" s="30"/>
      <c r="B23" s="31"/>
      <c r="C23" s="9" t="str">
        <f aca="false">IF($B23="","",IFERROR(VLOOKUP($B23,'Fichas y precios'!$A:$B,2,FALSE()),""))</f>
        <v/>
      </c>
      <c r="D23" s="31"/>
      <c r="E23" s="31"/>
      <c r="F23" s="14" t="str">
        <f aca="false">IF(OR($B23="",$D23=""),"",IFERROR(INDEX('Fichas y precios'!$P:$S,MATCH($B23,'Fichas y precios'!$A:$A,0),MATCH($D23,'Fichas y precios'!$P$5:$S$5,0)),""))</f>
        <v/>
      </c>
      <c r="G23" s="14" t="str">
        <f aca="false">IFERROR($E23*$F23,"")</f>
        <v/>
      </c>
      <c r="H23" s="14" t="str">
        <f aca="false">IF($B23="","",IF($D23="Batch embotellado",IFERROR(VLOOKUP($B23,'Fichas y precios'!$A:$M,13,FALSE())*'Mi negocio'!$B$13+'Mi negocio'!$B$14,""),IFERROR(VLOOKUP($B23,'Fichas y precios'!$A:$M,13,FALSE()),"")))</f>
        <v/>
      </c>
      <c r="I23" s="14" t="str">
        <f aca="false">IFERROR($E23*$H23,"")</f>
        <v/>
      </c>
      <c r="J23" s="14" t="str">
        <f aca="false">IFERROR($G23-$I23,"")</f>
        <v/>
      </c>
      <c r="K23" s="23" t="str">
        <f aca="false">IFERROR($J23/$G23,"")</f>
        <v/>
      </c>
      <c r="L23" s="31"/>
    </row>
    <row r="24" customFormat="false" ht="15" hidden="false" customHeight="false" outlineLevel="0" collapsed="false">
      <c r="A24" s="30"/>
      <c r="B24" s="31"/>
      <c r="C24" s="9" t="str">
        <f aca="false">IF($B24="","",IFERROR(VLOOKUP($B24,'Fichas y precios'!$A:$B,2,FALSE()),""))</f>
        <v/>
      </c>
      <c r="D24" s="31"/>
      <c r="E24" s="31"/>
      <c r="F24" s="14" t="str">
        <f aca="false">IF(OR($B24="",$D24=""),"",IFERROR(INDEX('Fichas y precios'!$P:$S,MATCH($B24,'Fichas y precios'!$A:$A,0),MATCH($D24,'Fichas y precios'!$P$5:$S$5,0)),""))</f>
        <v/>
      </c>
      <c r="G24" s="14" t="str">
        <f aca="false">IFERROR($E24*$F24,"")</f>
        <v/>
      </c>
      <c r="H24" s="14" t="str">
        <f aca="false">IF($B24="","",IF($D24="Batch embotellado",IFERROR(VLOOKUP($B24,'Fichas y precios'!$A:$M,13,FALSE())*'Mi negocio'!$B$13+'Mi negocio'!$B$14,""),IFERROR(VLOOKUP($B24,'Fichas y precios'!$A:$M,13,FALSE()),"")))</f>
        <v/>
      </c>
      <c r="I24" s="14" t="str">
        <f aca="false">IFERROR($E24*$H24,"")</f>
        <v/>
      </c>
      <c r="J24" s="14" t="str">
        <f aca="false">IFERROR($G24-$I24,"")</f>
        <v/>
      </c>
      <c r="K24" s="23" t="str">
        <f aca="false">IFERROR($J24/$G24,"")</f>
        <v/>
      </c>
      <c r="L24" s="31"/>
    </row>
    <row r="25" customFormat="false" ht="15" hidden="false" customHeight="false" outlineLevel="0" collapsed="false">
      <c r="A25" s="30"/>
      <c r="B25" s="31"/>
      <c r="C25" s="9" t="str">
        <f aca="false">IF($B25="","",IFERROR(VLOOKUP($B25,'Fichas y precios'!$A:$B,2,FALSE()),""))</f>
        <v/>
      </c>
      <c r="D25" s="31"/>
      <c r="E25" s="31"/>
      <c r="F25" s="14" t="str">
        <f aca="false">IF(OR($B25="",$D25=""),"",IFERROR(INDEX('Fichas y precios'!$P:$S,MATCH($B25,'Fichas y precios'!$A:$A,0),MATCH($D25,'Fichas y precios'!$P$5:$S$5,0)),""))</f>
        <v/>
      </c>
      <c r="G25" s="14" t="str">
        <f aca="false">IFERROR($E25*$F25,"")</f>
        <v/>
      </c>
      <c r="H25" s="14" t="str">
        <f aca="false">IF($B25="","",IF($D25="Batch embotellado",IFERROR(VLOOKUP($B25,'Fichas y precios'!$A:$M,13,FALSE())*'Mi negocio'!$B$13+'Mi negocio'!$B$14,""),IFERROR(VLOOKUP($B25,'Fichas y precios'!$A:$M,13,FALSE()),"")))</f>
        <v/>
      </c>
      <c r="I25" s="14" t="str">
        <f aca="false">IFERROR($E25*$H25,"")</f>
        <v/>
      </c>
      <c r="J25" s="14" t="str">
        <f aca="false">IFERROR($G25-$I25,"")</f>
        <v/>
      </c>
      <c r="K25" s="23" t="str">
        <f aca="false">IFERROR($J25/$G25,"")</f>
        <v/>
      </c>
      <c r="L25" s="31"/>
    </row>
    <row r="26" customFormat="false" ht="15" hidden="false" customHeight="false" outlineLevel="0" collapsed="false">
      <c r="A26" s="30"/>
      <c r="B26" s="31"/>
      <c r="C26" s="9" t="str">
        <f aca="false">IF($B26="","",IFERROR(VLOOKUP($B26,'Fichas y precios'!$A:$B,2,FALSE()),""))</f>
        <v/>
      </c>
      <c r="D26" s="31"/>
      <c r="E26" s="31"/>
      <c r="F26" s="14" t="str">
        <f aca="false">IF(OR($B26="",$D26=""),"",IFERROR(INDEX('Fichas y precios'!$P:$S,MATCH($B26,'Fichas y precios'!$A:$A,0),MATCH($D26,'Fichas y precios'!$P$5:$S$5,0)),""))</f>
        <v/>
      </c>
      <c r="G26" s="14" t="str">
        <f aca="false">IFERROR($E26*$F26,"")</f>
        <v/>
      </c>
      <c r="H26" s="14" t="str">
        <f aca="false">IF($B26="","",IF($D26="Batch embotellado",IFERROR(VLOOKUP($B26,'Fichas y precios'!$A:$M,13,FALSE())*'Mi negocio'!$B$13+'Mi negocio'!$B$14,""),IFERROR(VLOOKUP($B26,'Fichas y precios'!$A:$M,13,FALSE()),"")))</f>
        <v/>
      </c>
      <c r="I26" s="14" t="str">
        <f aca="false">IFERROR($E26*$H26,"")</f>
        <v/>
      </c>
      <c r="J26" s="14" t="str">
        <f aca="false">IFERROR($G26-$I26,"")</f>
        <v/>
      </c>
      <c r="K26" s="23" t="str">
        <f aca="false">IFERROR($J26/$G26,"")</f>
        <v/>
      </c>
      <c r="L26" s="31"/>
    </row>
    <row r="27" customFormat="false" ht="15" hidden="false" customHeight="false" outlineLevel="0" collapsed="false">
      <c r="A27" s="30"/>
      <c r="B27" s="31"/>
      <c r="C27" s="9" t="str">
        <f aca="false">IF($B27="","",IFERROR(VLOOKUP($B27,'Fichas y precios'!$A:$B,2,FALSE()),""))</f>
        <v/>
      </c>
      <c r="D27" s="31"/>
      <c r="E27" s="31"/>
      <c r="F27" s="14" t="str">
        <f aca="false">IF(OR($B27="",$D27=""),"",IFERROR(INDEX('Fichas y precios'!$P:$S,MATCH($B27,'Fichas y precios'!$A:$A,0),MATCH($D27,'Fichas y precios'!$P$5:$S$5,0)),""))</f>
        <v/>
      </c>
      <c r="G27" s="14" t="str">
        <f aca="false">IFERROR($E27*$F27,"")</f>
        <v/>
      </c>
      <c r="H27" s="14" t="str">
        <f aca="false">IF($B27="","",IF($D27="Batch embotellado",IFERROR(VLOOKUP($B27,'Fichas y precios'!$A:$M,13,FALSE())*'Mi negocio'!$B$13+'Mi negocio'!$B$14,""),IFERROR(VLOOKUP($B27,'Fichas y precios'!$A:$M,13,FALSE()),"")))</f>
        <v/>
      </c>
      <c r="I27" s="14" t="str">
        <f aca="false">IFERROR($E27*$H27,"")</f>
        <v/>
      </c>
      <c r="J27" s="14" t="str">
        <f aca="false">IFERROR($G27-$I27,"")</f>
        <v/>
      </c>
      <c r="K27" s="23" t="str">
        <f aca="false">IFERROR($J27/$G27,"")</f>
        <v/>
      </c>
      <c r="L27" s="31"/>
    </row>
    <row r="28" customFormat="false" ht="15" hidden="false" customHeight="false" outlineLevel="0" collapsed="false">
      <c r="A28" s="30"/>
      <c r="B28" s="31"/>
      <c r="C28" s="9" t="str">
        <f aca="false">IF($B28="","",IFERROR(VLOOKUP($B28,'Fichas y precios'!$A:$B,2,FALSE()),""))</f>
        <v/>
      </c>
      <c r="D28" s="31"/>
      <c r="E28" s="31"/>
      <c r="F28" s="14" t="str">
        <f aca="false">IF(OR($B28="",$D28=""),"",IFERROR(INDEX('Fichas y precios'!$P:$S,MATCH($B28,'Fichas y precios'!$A:$A,0),MATCH($D28,'Fichas y precios'!$P$5:$S$5,0)),""))</f>
        <v/>
      </c>
      <c r="G28" s="14" t="str">
        <f aca="false">IFERROR($E28*$F28,"")</f>
        <v/>
      </c>
      <c r="H28" s="14" t="str">
        <f aca="false">IF($B28="","",IF($D28="Batch embotellado",IFERROR(VLOOKUP($B28,'Fichas y precios'!$A:$M,13,FALSE())*'Mi negocio'!$B$13+'Mi negocio'!$B$14,""),IFERROR(VLOOKUP($B28,'Fichas y precios'!$A:$M,13,FALSE()),"")))</f>
        <v/>
      </c>
      <c r="I28" s="14" t="str">
        <f aca="false">IFERROR($E28*$H28,"")</f>
        <v/>
      </c>
      <c r="J28" s="14" t="str">
        <f aca="false">IFERROR($G28-$I28,"")</f>
        <v/>
      </c>
      <c r="K28" s="23" t="str">
        <f aca="false">IFERROR($J28/$G28,"")</f>
        <v/>
      </c>
      <c r="L28" s="31"/>
    </row>
    <row r="29" customFormat="false" ht="15" hidden="false" customHeight="false" outlineLevel="0" collapsed="false">
      <c r="A29" s="30"/>
      <c r="B29" s="31"/>
      <c r="C29" s="9" t="str">
        <f aca="false">IF($B29="","",IFERROR(VLOOKUP($B29,'Fichas y precios'!$A:$B,2,FALSE()),""))</f>
        <v/>
      </c>
      <c r="D29" s="31"/>
      <c r="E29" s="31"/>
      <c r="F29" s="14" t="str">
        <f aca="false">IF(OR($B29="",$D29=""),"",IFERROR(INDEX('Fichas y precios'!$P:$S,MATCH($B29,'Fichas y precios'!$A:$A,0),MATCH($D29,'Fichas y precios'!$P$5:$S$5,0)),""))</f>
        <v/>
      </c>
      <c r="G29" s="14" t="str">
        <f aca="false">IFERROR($E29*$F29,"")</f>
        <v/>
      </c>
      <c r="H29" s="14" t="str">
        <f aca="false">IF($B29="","",IF($D29="Batch embotellado",IFERROR(VLOOKUP($B29,'Fichas y precios'!$A:$M,13,FALSE())*'Mi negocio'!$B$13+'Mi negocio'!$B$14,""),IFERROR(VLOOKUP($B29,'Fichas y precios'!$A:$M,13,FALSE()),"")))</f>
        <v/>
      </c>
      <c r="I29" s="14" t="str">
        <f aca="false">IFERROR($E29*$H29,"")</f>
        <v/>
      </c>
      <c r="J29" s="14" t="str">
        <f aca="false">IFERROR($G29-$I29,"")</f>
        <v/>
      </c>
      <c r="K29" s="23" t="str">
        <f aca="false">IFERROR($J29/$G29,"")</f>
        <v/>
      </c>
      <c r="L29" s="31"/>
    </row>
    <row r="30" customFormat="false" ht="15" hidden="false" customHeight="false" outlineLevel="0" collapsed="false">
      <c r="A30" s="30"/>
      <c r="B30" s="31"/>
      <c r="C30" s="9" t="str">
        <f aca="false">IF($B30="","",IFERROR(VLOOKUP($B30,'Fichas y precios'!$A:$B,2,FALSE()),""))</f>
        <v/>
      </c>
      <c r="D30" s="31"/>
      <c r="E30" s="31"/>
      <c r="F30" s="14" t="str">
        <f aca="false">IF(OR($B30="",$D30=""),"",IFERROR(INDEX('Fichas y precios'!$P:$S,MATCH($B30,'Fichas y precios'!$A:$A,0),MATCH($D30,'Fichas y precios'!$P$5:$S$5,0)),""))</f>
        <v/>
      </c>
      <c r="G30" s="14" t="str">
        <f aca="false">IFERROR($E30*$F30,"")</f>
        <v/>
      </c>
      <c r="H30" s="14" t="str">
        <f aca="false">IF($B30="","",IF($D30="Batch embotellado",IFERROR(VLOOKUP($B30,'Fichas y precios'!$A:$M,13,FALSE())*'Mi negocio'!$B$13+'Mi negocio'!$B$14,""),IFERROR(VLOOKUP($B30,'Fichas y precios'!$A:$M,13,FALSE()),"")))</f>
        <v/>
      </c>
      <c r="I30" s="14" t="str">
        <f aca="false">IFERROR($E30*$H30,"")</f>
        <v/>
      </c>
      <c r="J30" s="14" t="str">
        <f aca="false">IFERROR($G30-$I30,"")</f>
        <v/>
      </c>
      <c r="K30" s="23" t="str">
        <f aca="false">IFERROR($J30/$G30,"")</f>
        <v/>
      </c>
      <c r="L30" s="31"/>
    </row>
    <row r="31" customFormat="false" ht="15" hidden="false" customHeight="false" outlineLevel="0" collapsed="false">
      <c r="A31" s="30"/>
      <c r="B31" s="31"/>
      <c r="C31" s="9" t="str">
        <f aca="false">IF($B31="","",IFERROR(VLOOKUP($B31,'Fichas y precios'!$A:$B,2,FALSE()),""))</f>
        <v/>
      </c>
      <c r="D31" s="31"/>
      <c r="E31" s="31"/>
      <c r="F31" s="14" t="str">
        <f aca="false">IF(OR($B31="",$D31=""),"",IFERROR(INDEX('Fichas y precios'!$P:$S,MATCH($B31,'Fichas y precios'!$A:$A,0),MATCH($D31,'Fichas y precios'!$P$5:$S$5,0)),""))</f>
        <v/>
      </c>
      <c r="G31" s="14" t="str">
        <f aca="false">IFERROR($E31*$F31,"")</f>
        <v/>
      </c>
      <c r="H31" s="14" t="str">
        <f aca="false">IF($B31="","",IF($D31="Batch embotellado",IFERROR(VLOOKUP($B31,'Fichas y precios'!$A:$M,13,FALSE())*'Mi negocio'!$B$13+'Mi negocio'!$B$14,""),IFERROR(VLOOKUP($B31,'Fichas y precios'!$A:$M,13,FALSE()),"")))</f>
        <v/>
      </c>
      <c r="I31" s="14" t="str">
        <f aca="false">IFERROR($E31*$H31,"")</f>
        <v/>
      </c>
      <c r="J31" s="14" t="str">
        <f aca="false">IFERROR($G31-$I31,"")</f>
        <v/>
      </c>
      <c r="K31" s="23" t="str">
        <f aca="false">IFERROR($J31/$G31,"")</f>
        <v/>
      </c>
      <c r="L31" s="31"/>
    </row>
    <row r="32" customFormat="false" ht="15" hidden="false" customHeight="false" outlineLevel="0" collapsed="false">
      <c r="A32" s="30"/>
      <c r="B32" s="31"/>
      <c r="C32" s="9" t="str">
        <f aca="false">IF($B32="","",IFERROR(VLOOKUP($B32,'Fichas y precios'!$A:$B,2,FALSE()),""))</f>
        <v/>
      </c>
      <c r="D32" s="31"/>
      <c r="E32" s="31"/>
      <c r="F32" s="14" t="str">
        <f aca="false">IF(OR($B32="",$D32=""),"",IFERROR(INDEX('Fichas y precios'!$P:$S,MATCH($B32,'Fichas y precios'!$A:$A,0),MATCH($D32,'Fichas y precios'!$P$5:$S$5,0)),""))</f>
        <v/>
      </c>
      <c r="G32" s="14" t="str">
        <f aca="false">IFERROR($E32*$F32,"")</f>
        <v/>
      </c>
      <c r="H32" s="14" t="str">
        <f aca="false">IF($B32="","",IF($D32="Batch embotellado",IFERROR(VLOOKUP($B32,'Fichas y precios'!$A:$M,13,FALSE())*'Mi negocio'!$B$13+'Mi negocio'!$B$14,""),IFERROR(VLOOKUP($B32,'Fichas y precios'!$A:$M,13,FALSE()),"")))</f>
        <v/>
      </c>
      <c r="I32" s="14" t="str">
        <f aca="false">IFERROR($E32*$H32,"")</f>
        <v/>
      </c>
      <c r="J32" s="14" t="str">
        <f aca="false">IFERROR($G32-$I32,"")</f>
        <v/>
      </c>
      <c r="K32" s="23" t="str">
        <f aca="false">IFERROR($J32/$G32,"")</f>
        <v/>
      </c>
      <c r="L32" s="31"/>
    </row>
    <row r="33" customFormat="false" ht="15" hidden="false" customHeight="false" outlineLevel="0" collapsed="false">
      <c r="A33" s="30"/>
      <c r="B33" s="31"/>
      <c r="C33" s="9" t="str">
        <f aca="false">IF($B33="","",IFERROR(VLOOKUP($B33,'Fichas y precios'!$A:$B,2,FALSE()),""))</f>
        <v/>
      </c>
      <c r="D33" s="31"/>
      <c r="E33" s="31"/>
      <c r="F33" s="14" t="str">
        <f aca="false">IF(OR($B33="",$D33=""),"",IFERROR(INDEX('Fichas y precios'!$P:$S,MATCH($B33,'Fichas y precios'!$A:$A,0),MATCH($D33,'Fichas y precios'!$P$5:$S$5,0)),""))</f>
        <v/>
      </c>
      <c r="G33" s="14" t="str">
        <f aca="false">IFERROR($E33*$F33,"")</f>
        <v/>
      </c>
      <c r="H33" s="14" t="str">
        <f aca="false">IF($B33="","",IF($D33="Batch embotellado",IFERROR(VLOOKUP($B33,'Fichas y precios'!$A:$M,13,FALSE())*'Mi negocio'!$B$13+'Mi negocio'!$B$14,""),IFERROR(VLOOKUP($B33,'Fichas y precios'!$A:$M,13,FALSE()),"")))</f>
        <v/>
      </c>
      <c r="I33" s="14" t="str">
        <f aca="false">IFERROR($E33*$H33,"")</f>
        <v/>
      </c>
      <c r="J33" s="14" t="str">
        <f aca="false">IFERROR($G33-$I33,"")</f>
        <v/>
      </c>
      <c r="K33" s="23" t="str">
        <f aca="false">IFERROR($J33/$G33,"")</f>
        <v/>
      </c>
      <c r="L33" s="31"/>
    </row>
    <row r="34" customFormat="false" ht="15" hidden="false" customHeight="false" outlineLevel="0" collapsed="false">
      <c r="A34" s="30"/>
      <c r="B34" s="31"/>
      <c r="C34" s="9" t="str">
        <f aca="false">IF($B34="","",IFERROR(VLOOKUP($B34,'Fichas y precios'!$A:$B,2,FALSE()),""))</f>
        <v/>
      </c>
      <c r="D34" s="31"/>
      <c r="E34" s="31"/>
      <c r="F34" s="14" t="str">
        <f aca="false">IF(OR($B34="",$D34=""),"",IFERROR(INDEX('Fichas y precios'!$P:$S,MATCH($B34,'Fichas y precios'!$A:$A,0),MATCH($D34,'Fichas y precios'!$P$5:$S$5,0)),""))</f>
        <v/>
      </c>
      <c r="G34" s="14" t="str">
        <f aca="false">IFERROR($E34*$F34,"")</f>
        <v/>
      </c>
      <c r="H34" s="14" t="str">
        <f aca="false">IF($B34="","",IF($D34="Batch embotellado",IFERROR(VLOOKUP($B34,'Fichas y precios'!$A:$M,13,FALSE())*'Mi negocio'!$B$13+'Mi negocio'!$B$14,""),IFERROR(VLOOKUP($B34,'Fichas y precios'!$A:$M,13,FALSE()),"")))</f>
        <v/>
      </c>
      <c r="I34" s="14" t="str">
        <f aca="false">IFERROR($E34*$H34,"")</f>
        <v/>
      </c>
      <c r="J34" s="14" t="str">
        <f aca="false">IFERROR($G34-$I34,"")</f>
        <v/>
      </c>
      <c r="K34" s="23" t="str">
        <f aca="false">IFERROR($J34/$G34,"")</f>
        <v/>
      </c>
      <c r="L34" s="31"/>
    </row>
    <row r="35" customFormat="false" ht="15" hidden="false" customHeight="false" outlineLevel="0" collapsed="false">
      <c r="A35" s="30"/>
      <c r="B35" s="31"/>
      <c r="C35" s="9" t="str">
        <f aca="false">IF($B35="","",IFERROR(VLOOKUP($B35,'Fichas y precios'!$A:$B,2,FALSE()),""))</f>
        <v/>
      </c>
      <c r="D35" s="31"/>
      <c r="E35" s="31"/>
      <c r="F35" s="14" t="str">
        <f aca="false">IF(OR($B35="",$D35=""),"",IFERROR(INDEX('Fichas y precios'!$P:$S,MATCH($B35,'Fichas y precios'!$A:$A,0),MATCH($D35,'Fichas y precios'!$P$5:$S$5,0)),""))</f>
        <v/>
      </c>
      <c r="G35" s="14" t="str">
        <f aca="false">IFERROR($E35*$F35,"")</f>
        <v/>
      </c>
      <c r="H35" s="14" t="str">
        <f aca="false">IF($B35="","",IF($D35="Batch embotellado",IFERROR(VLOOKUP($B35,'Fichas y precios'!$A:$M,13,FALSE())*'Mi negocio'!$B$13+'Mi negocio'!$B$14,""),IFERROR(VLOOKUP($B35,'Fichas y precios'!$A:$M,13,FALSE()),"")))</f>
        <v/>
      </c>
      <c r="I35" s="14" t="str">
        <f aca="false">IFERROR($E35*$H35,"")</f>
        <v/>
      </c>
      <c r="J35" s="14" t="str">
        <f aca="false">IFERROR($G35-$I35,"")</f>
        <v/>
      </c>
      <c r="K35" s="23" t="str">
        <f aca="false">IFERROR($J35/$G35,"")</f>
        <v/>
      </c>
      <c r="L35" s="31"/>
    </row>
    <row r="36" customFormat="false" ht="15" hidden="false" customHeight="false" outlineLevel="0" collapsed="false">
      <c r="A36" s="30"/>
      <c r="B36" s="31"/>
      <c r="C36" s="9" t="str">
        <f aca="false">IF($B36="","",IFERROR(VLOOKUP($B36,'Fichas y precios'!$A:$B,2,FALSE()),""))</f>
        <v/>
      </c>
      <c r="D36" s="31"/>
      <c r="E36" s="31"/>
      <c r="F36" s="14" t="str">
        <f aca="false">IF(OR($B36="",$D36=""),"",IFERROR(INDEX('Fichas y precios'!$P:$S,MATCH($B36,'Fichas y precios'!$A:$A,0),MATCH($D36,'Fichas y precios'!$P$5:$S$5,0)),""))</f>
        <v/>
      </c>
      <c r="G36" s="14" t="str">
        <f aca="false">IFERROR($E36*$F36,"")</f>
        <v/>
      </c>
      <c r="H36" s="14" t="str">
        <f aca="false">IF($B36="","",IF($D36="Batch embotellado",IFERROR(VLOOKUP($B36,'Fichas y precios'!$A:$M,13,FALSE())*'Mi negocio'!$B$13+'Mi negocio'!$B$14,""),IFERROR(VLOOKUP($B36,'Fichas y precios'!$A:$M,13,FALSE()),"")))</f>
        <v/>
      </c>
      <c r="I36" s="14" t="str">
        <f aca="false">IFERROR($E36*$H36,"")</f>
        <v/>
      </c>
      <c r="J36" s="14" t="str">
        <f aca="false">IFERROR($G36-$I36,"")</f>
        <v/>
      </c>
      <c r="K36" s="23" t="str">
        <f aca="false">IFERROR($J36/$G36,"")</f>
        <v/>
      </c>
      <c r="L36" s="31"/>
    </row>
    <row r="37" customFormat="false" ht="15" hidden="false" customHeight="false" outlineLevel="0" collapsed="false">
      <c r="A37" s="30"/>
      <c r="B37" s="31"/>
      <c r="C37" s="9" t="str">
        <f aca="false">IF($B37="","",IFERROR(VLOOKUP($B37,'Fichas y precios'!$A:$B,2,FALSE()),""))</f>
        <v/>
      </c>
      <c r="D37" s="31"/>
      <c r="E37" s="31"/>
      <c r="F37" s="14" t="str">
        <f aca="false">IF(OR($B37="",$D37=""),"",IFERROR(INDEX('Fichas y precios'!$P:$S,MATCH($B37,'Fichas y precios'!$A:$A,0),MATCH($D37,'Fichas y precios'!$P$5:$S$5,0)),""))</f>
        <v/>
      </c>
      <c r="G37" s="14" t="str">
        <f aca="false">IFERROR($E37*$F37,"")</f>
        <v/>
      </c>
      <c r="H37" s="14" t="str">
        <f aca="false">IF($B37="","",IF($D37="Batch embotellado",IFERROR(VLOOKUP($B37,'Fichas y precios'!$A:$M,13,FALSE())*'Mi negocio'!$B$13+'Mi negocio'!$B$14,""),IFERROR(VLOOKUP($B37,'Fichas y precios'!$A:$M,13,FALSE()),"")))</f>
        <v/>
      </c>
      <c r="I37" s="14" t="str">
        <f aca="false">IFERROR($E37*$H37,"")</f>
        <v/>
      </c>
      <c r="J37" s="14" t="str">
        <f aca="false">IFERROR($G37-$I37,"")</f>
        <v/>
      </c>
      <c r="K37" s="23" t="str">
        <f aca="false">IFERROR($J37/$G37,"")</f>
        <v/>
      </c>
      <c r="L37" s="31"/>
    </row>
    <row r="38" customFormat="false" ht="15" hidden="false" customHeight="false" outlineLevel="0" collapsed="false">
      <c r="A38" s="30"/>
      <c r="B38" s="31"/>
      <c r="C38" s="9" t="str">
        <f aca="false">IF($B38="","",IFERROR(VLOOKUP($B38,'Fichas y precios'!$A:$B,2,FALSE()),""))</f>
        <v/>
      </c>
      <c r="D38" s="31"/>
      <c r="E38" s="31"/>
      <c r="F38" s="14" t="str">
        <f aca="false">IF(OR($B38="",$D38=""),"",IFERROR(INDEX('Fichas y precios'!$P:$S,MATCH($B38,'Fichas y precios'!$A:$A,0),MATCH($D38,'Fichas y precios'!$P$5:$S$5,0)),""))</f>
        <v/>
      </c>
      <c r="G38" s="14" t="str">
        <f aca="false">IFERROR($E38*$F38,"")</f>
        <v/>
      </c>
      <c r="H38" s="14" t="str">
        <f aca="false">IF($B38="","",IF($D38="Batch embotellado",IFERROR(VLOOKUP($B38,'Fichas y precios'!$A:$M,13,FALSE())*'Mi negocio'!$B$13+'Mi negocio'!$B$14,""),IFERROR(VLOOKUP($B38,'Fichas y precios'!$A:$M,13,FALSE()),"")))</f>
        <v/>
      </c>
      <c r="I38" s="14" t="str">
        <f aca="false">IFERROR($E38*$H38,"")</f>
        <v/>
      </c>
      <c r="J38" s="14" t="str">
        <f aca="false">IFERROR($G38-$I38,"")</f>
        <v/>
      </c>
      <c r="K38" s="23" t="str">
        <f aca="false">IFERROR($J38/$G38,"")</f>
        <v/>
      </c>
      <c r="L38" s="31"/>
    </row>
    <row r="39" customFormat="false" ht="15" hidden="false" customHeight="false" outlineLevel="0" collapsed="false">
      <c r="A39" s="30"/>
      <c r="B39" s="31"/>
      <c r="C39" s="9" t="str">
        <f aca="false">IF($B39="","",IFERROR(VLOOKUP($B39,'Fichas y precios'!$A:$B,2,FALSE()),""))</f>
        <v/>
      </c>
      <c r="D39" s="31"/>
      <c r="E39" s="31"/>
      <c r="F39" s="14" t="str">
        <f aca="false">IF(OR($B39="",$D39=""),"",IFERROR(INDEX('Fichas y precios'!$P:$S,MATCH($B39,'Fichas y precios'!$A:$A,0),MATCH($D39,'Fichas y precios'!$P$5:$S$5,0)),""))</f>
        <v/>
      </c>
      <c r="G39" s="14" t="str">
        <f aca="false">IFERROR($E39*$F39,"")</f>
        <v/>
      </c>
      <c r="H39" s="14" t="str">
        <f aca="false">IF($B39="","",IF($D39="Batch embotellado",IFERROR(VLOOKUP($B39,'Fichas y precios'!$A:$M,13,FALSE())*'Mi negocio'!$B$13+'Mi negocio'!$B$14,""),IFERROR(VLOOKUP($B39,'Fichas y precios'!$A:$M,13,FALSE()),"")))</f>
        <v/>
      </c>
      <c r="I39" s="14" t="str">
        <f aca="false">IFERROR($E39*$H39,"")</f>
        <v/>
      </c>
      <c r="J39" s="14" t="str">
        <f aca="false">IFERROR($G39-$I39,"")</f>
        <v/>
      </c>
      <c r="K39" s="23" t="str">
        <f aca="false">IFERROR($J39/$G39,"")</f>
        <v/>
      </c>
      <c r="L39" s="31"/>
    </row>
    <row r="40" customFormat="false" ht="15" hidden="false" customHeight="false" outlineLevel="0" collapsed="false">
      <c r="A40" s="30"/>
      <c r="B40" s="31"/>
      <c r="C40" s="9" t="str">
        <f aca="false">IF($B40="","",IFERROR(VLOOKUP($B40,'Fichas y precios'!$A:$B,2,FALSE()),""))</f>
        <v/>
      </c>
      <c r="D40" s="31"/>
      <c r="E40" s="31"/>
      <c r="F40" s="14" t="str">
        <f aca="false">IF(OR($B40="",$D40=""),"",IFERROR(INDEX('Fichas y precios'!$P:$S,MATCH($B40,'Fichas y precios'!$A:$A,0),MATCH($D40,'Fichas y precios'!$P$5:$S$5,0)),""))</f>
        <v/>
      </c>
      <c r="G40" s="14" t="str">
        <f aca="false">IFERROR($E40*$F40,"")</f>
        <v/>
      </c>
      <c r="H40" s="14" t="str">
        <f aca="false">IF($B40="","",IF($D40="Batch embotellado",IFERROR(VLOOKUP($B40,'Fichas y precios'!$A:$M,13,FALSE())*'Mi negocio'!$B$13+'Mi negocio'!$B$14,""),IFERROR(VLOOKUP($B40,'Fichas y precios'!$A:$M,13,FALSE()),"")))</f>
        <v/>
      </c>
      <c r="I40" s="14" t="str">
        <f aca="false">IFERROR($E40*$H40,"")</f>
        <v/>
      </c>
      <c r="J40" s="14" t="str">
        <f aca="false">IFERROR($G40-$I40,"")</f>
        <v/>
      </c>
      <c r="K40" s="23" t="str">
        <f aca="false">IFERROR($J40/$G40,"")</f>
        <v/>
      </c>
      <c r="L40" s="31"/>
    </row>
    <row r="41" customFormat="false" ht="15" hidden="false" customHeight="false" outlineLevel="0" collapsed="false">
      <c r="A41" s="30"/>
      <c r="B41" s="31"/>
      <c r="C41" s="9" t="str">
        <f aca="false">IF($B41="","",IFERROR(VLOOKUP($B41,'Fichas y precios'!$A:$B,2,FALSE()),""))</f>
        <v/>
      </c>
      <c r="D41" s="31"/>
      <c r="E41" s="31"/>
      <c r="F41" s="14" t="str">
        <f aca="false">IF(OR($B41="",$D41=""),"",IFERROR(INDEX('Fichas y precios'!$P:$S,MATCH($B41,'Fichas y precios'!$A:$A,0),MATCH($D41,'Fichas y precios'!$P$5:$S$5,0)),""))</f>
        <v/>
      </c>
      <c r="G41" s="14" t="str">
        <f aca="false">IFERROR($E41*$F41,"")</f>
        <v/>
      </c>
      <c r="H41" s="14" t="str">
        <f aca="false">IF($B41="","",IF($D41="Batch embotellado",IFERROR(VLOOKUP($B41,'Fichas y precios'!$A:$M,13,FALSE())*'Mi negocio'!$B$13+'Mi negocio'!$B$14,""),IFERROR(VLOOKUP($B41,'Fichas y precios'!$A:$M,13,FALSE()),"")))</f>
        <v/>
      </c>
      <c r="I41" s="14" t="str">
        <f aca="false">IFERROR($E41*$H41,"")</f>
        <v/>
      </c>
      <c r="J41" s="14" t="str">
        <f aca="false">IFERROR($G41-$I41,"")</f>
        <v/>
      </c>
      <c r="K41" s="23" t="str">
        <f aca="false">IFERROR($J41/$G41,"")</f>
        <v/>
      </c>
      <c r="L41" s="31"/>
    </row>
    <row r="42" customFormat="false" ht="15" hidden="false" customHeight="false" outlineLevel="0" collapsed="false">
      <c r="A42" s="30"/>
      <c r="B42" s="31"/>
      <c r="C42" s="9" t="str">
        <f aca="false">IF($B42="","",IFERROR(VLOOKUP($B42,'Fichas y precios'!$A:$B,2,FALSE()),""))</f>
        <v/>
      </c>
      <c r="D42" s="31"/>
      <c r="E42" s="31"/>
      <c r="F42" s="14" t="str">
        <f aca="false">IF(OR($B42="",$D42=""),"",IFERROR(INDEX('Fichas y precios'!$P:$S,MATCH($B42,'Fichas y precios'!$A:$A,0),MATCH($D42,'Fichas y precios'!$P$5:$S$5,0)),""))</f>
        <v/>
      </c>
      <c r="G42" s="14" t="str">
        <f aca="false">IFERROR($E42*$F42,"")</f>
        <v/>
      </c>
      <c r="H42" s="14" t="str">
        <f aca="false">IF($B42="","",IF($D42="Batch embotellado",IFERROR(VLOOKUP($B42,'Fichas y precios'!$A:$M,13,FALSE())*'Mi negocio'!$B$13+'Mi negocio'!$B$14,""),IFERROR(VLOOKUP($B42,'Fichas y precios'!$A:$M,13,FALSE()),"")))</f>
        <v/>
      </c>
      <c r="I42" s="14" t="str">
        <f aca="false">IFERROR($E42*$H42,"")</f>
        <v/>
      </c>
      <c r="J42" s="14" t="str">
        <f aca="false">IFERROR($G42-$I42,"")</f>
        <v/>
      </c>
      <c r="K42" s="23" t="str">
        <f aca="false">IFERROR($J42/$G42,"")</f>
        <v/>
      </c>
      <c r="L42" s="31"/>
    </row>
    <row r="43" customFormat="false" ht="15" hidden="false" customHeight="false" outlineLevel="0" collapsed="false">
      <c r="A43" s="30"/>
      <c r="B43" s="31"/>
      <c r="C43" s="9" t="str">
        <f aca="false">IF($B43="","",IFERROR(VLOOKUP($B43,'Fichas y precios'!$A:$B,2,FALSE()),""))</f>
        <v/>
      </c>
      <c r="D43" s="31"/>
      <c r="E43" s="31"/>
      <c r="F43" s="14" t="str">
        <f aca="false">IF(OR($B43="",$D43=""),"",IFERROR(INDEX('Fichas y precios'!$P:$S,MATCH($B43,'Fichas y precios'!$A:$A,0),MATCH($D43,'Fichas y precios'!$P$5:$S$5,0)),""))</f>
        <v/>
      </c>
      <c r="G43" s="14" t="str">
        <f aca="false">IFERROR($E43*$F43,"")</f>
        <v/>
      </c>
      <c r="H43" s="14" t="str">
        <f aca="false">IF($B43="","",IF($D43="Batch embotellado",IFERROR(VLOOKUP($B43,'Fichas y precios'!$A:$M,13,FALSE())*'Mi negocio'!$B$13+'Mi negocio'!$B$14,""),IFERROR(VLOOKUP($B43,'Fichas y precios'!$A:$M,13,FALSE()),"")))</f>
        <v/>
      </c>
      <c r="I43" s="14" t="str">
        <f aca="false">IFERROR($E43*$H43,"")</f>
        <v/>
      </c>
      <c r="J43" s="14" t="str">
        <f aca="false">IFERROR($G43-$I43,"")</f>
        <v/>
      </c>
      <c r="K43" s="23" t="str">
        <f aca="false">IFERROR($J43/$G43,"")</f>
        <v/>
      </c>
      <c r="L43" s="31"/>
    </row>
    <row r="44" customFormat="false" ht="15" hidden="false" customHeight="false" outlineLevel="0" collapsed="false">
      <c r="A44" s="30"/>
      <c r="B44" s="31"/>
      <c r="C44" s="9" t="str">
        <f aca="false">IF($B44="","",IFERROR(VLOOKUP($B44,'Fichas y precios'!$A:$B,2,FALSE()),""))</f>
        <v/>
      </c>
      <c r="D44" s="31"/>
      <c r="E44" s="31"/>
      <c r="F44" s="14" t="str">
        <f aca="false">IF(OR($B44="",$D44=""),"",IFERROR(INDEX('Fichas y precios'!$P:$S,MATCH($B44,'Fichas y precios'!$A:$A,0),MATCH($D44,'Fichas y precios'!$P$5:$S$5,0)),""))</f>
        <v/>
      </c>
      <c r="G44" s="14" t="str">
        <f aca="false">IFERROR($E44*$F44,"")</f>
        <v/>
      </c>
      <c r="H44" s="14" t="str">
        <f aca="false">IF($B44="","",IF($D44="Batch embotellado",IFERROR(VLOOKUP($B44,'Fichas y precios'!$A:$M,13,FALSE())*'Mi negocio'!$B$13+'Mi negocio'!$B$14,""),IFERROR(VLOOKUP($B44,'Fichas y precios'!$A:$M,13,FALSE()),"")))</f>
        <v/>
      </c>
      <c r="I44" s="14" t="str">
        <f aca="false">IFERROR($E44*$H44,"")</f>
        <v/>
      </c>
      <c r="J44" s="14" t="str">
        <f aca="false">IFERROR($G44-$I44,"")</f>
        <v/>
      </c>
      <c r="K44" s="23" t="str">
        <f aca="false">IFERROR($J44/$G44,"")</f>
        <v/>
      </c>
      <c r="L44" s="31"/>
    </row>
    <row r="45" customFormat="false" ht="15" hidden="false" customHeight="false" outlineLevel="0" collapsed="false">
      <c r="A45" s="30"/>
      <c r="B45" s="31"/>
      <c r="C45" s="9" t="str">
        <f aca="false">IF($B45="","",IFERROR(VLOOKUP($B45,'Fichas y precios'!$A:$B,2,FALSE()),""))</f>
        <v/>
      </c>
      <c r="D45" s="31"/>
      <c r="E45" s="31"/>
      <c r="F45" s="14" t="str">
        <f aca="false">IF(OR($B45="",$D45=""),"",IFERROR(INDEX('Fichas y precios'!$P:$S,MATCH($B45,'Fichas y precios'!$A:$A,0),MATCH($D45,'Fichas y precios'!$P$5:$S$5,0)),""))</f>
        <v/>
      </c>
      <c r="G45" s="14" t="str">
        <f aca="false">IFERROR($E45*$F45,"")</f>
        <v/>
      </c>
      <c r="H45" s="14" t="str">
        <f aca="false">IF($B45="","",IF($D45="Batch embotellado",IFERROR(VLOOKUP($B45,'Fichas y precios'!$A:$M,13,FALSE())*'Mi negocio'!$B$13+'Mi negocio'!$B$14,""),IFERROR(VLOOKUP($B45,'Fichas y precios'!$A:$M,13,FALSE()),"")))</f>
        <v/>
      </c>
      <c r="I45" s="14" t="str">
        <f aca="false">IFERROR($E45*$H45,"")</f>
        <v/>
      </c>
      <c r="J45" s="14" t="str">
        <f aca="false">IFERROR($G45-$I45,"")</f>
        <v/>
      </c>
      <c r="K45" s="23" t="str">
        <f aca="false">IFERROR($J45/$G45,"")</f>
        <v/>
      </c>
      <c r="L45" s="31"/>
    </row>
    <row r="46" customFormat="false" ht="15" hidden="false" customHeight="false" outlineLevel="0" collapsed="false">
      <c r="A46" s="30"/>
      <c r="B46" s="31"/>
      <c r="C46" s="9" t="str">
        <f aca="false">IF($B46="","",IFERROR(VLOOKUP($B46,'Fichas y precios'!$A:$B,2,FALSE()),""))</f>
        <v/>
      </c>
      <c r="D46" s="31"/>
      <c r="E46" s="31"/>
      <c r="F46" s="14" t="str">
        <f aca="false">IF(OR($B46="",$D46=""),"",IFERROR(INDEX('Fichas y precios'!$P:$S,MATCH($B46,'Fichas y precios'!$A:$A,0),MATCH($D46,'Fichas y precios'!$P$5:$S$5,0)),""))</f>
        <v/>
      </c>
      <c r="G46" s="14" t="str">
        <f aca="false">IFERROR($E46*$F46,"")</f>
        <v/>
      </c>
      <c r="H46" s="14" t="str">
        <f aca="false">IF($B46="","",IF($D46="Batch embotellado",IFERROR(VLOOKUP($B46,'Fichas y precios'!$A:$M,13,FALSE())*'Mi negocio'!$B$13+'Mi negocio'!$B$14,""),IFERROR(VLOOKUP($B46,'Fichas y precios'!$A:$M,13,FALSE()),"")))</f>
        <v/>
      </c>
      <c r="I46" s="14" t="str">
        <f aca="false">IFERROR($E46*$H46,"")</f>
        <v/>
      </c>
      <c r="J46" s="14" t="str">
        <f aca="false">IFERROR($G46-$I46,"")</f>
        <v/>
      </c>
      <c r="K46" s="23" t="str">
        <f aca="false">IFERROR($J46/$G46,"")</f>
        <v/>
      </c>
      <c r="L46" s="31"/>
    </row>
    <row r="47" customFormat="false" ht="15" hidden="false" customHeight="false" outlineLevel="0" collapsed="false">
      <c r="A47" s="30"/>
      <c r="B47" s="31"/>
      <c r="C47" s="9" t="str">
        <f aca="false">IF($B47="","",IFERROR(VLOOKUP($B47,'Fichas y precios'!$A:$B,2,FALSE()),""))</f>
        <v/>
      </c>
      <c r="D47" s="31"/>
      <c r="E47" s="31"/>
      <c r="F47" s="14" t="str">
        <f aca="false">IF(OR($B47="",$D47=""),"",IFERROR(INDEX('Fichas y precios'!$P:$S,MATCH($B47,'Fichas y precios'!$A:$A,0),MATCH($D47,'Fichas y precios'!$P$5:$S$5,0)),""))</f>
        <v/>
      </c>
      <c r="G47" s="14" t="str">
        <f aca="false">IFERROR($E47*$F47,"")</f>
        <v/>
      </c>
      <c r="H47" s="14" t="str">
        <f aca="false">IF($B47="","",IF($D47="Batch embotellado",IFERROR(VLOOKUP($B47,'Fichas y precios'!$A:$M,13,FALSE())*'Mi negocio'!$B$13+'Mi negocio'!$B$14,""),IFERROR(VLOOKUP($B47,'Fichas y precios'!$A:$M,13,FALSE()),"")))</f>
        <v/>
      </c>
      <c r="I47" s="14" t="str">
        <f aca="false">IFERROR($E47*$H47,"")</f>
        <v/>
      </c>
      <c r="J47" s="14" t="str">
        <f aca="false">IFERROR($G47-$I47,"")</f>
        <v/>
      </c>
      <c r="K47" s="23" t="str">
        <f aca="false">IFERROR($J47/$G47,"")</f>
        <v/>
      </c>
      <c r="L47" s="31"/>
    </row>
    <row r="48" customFormat="false" ht="15" hidden="false" customHeight="false" outlineLevel="0" collapsed="false">
      <c r="A48" s="30"/>
      <c r="B48" s="31"/>
      <c r="C48" s="9" t="str">
        <f aca="false">IF($B48="","",IFERROR(VLOOKUP($B48,'Fichas y precios'!$A:$B,2,FALSE()),""))</f>
        <v/>
      </c>
      <c r="D48" s="31"/>
      <c r="E48" s="31"/>
      <c r="F48" s="14" t="str">
        <f aca="false">IF(OR($B48="",$D48=""),"",IFERROR(INDEX('Fichas y precios'!$P:$S,MATCH($B48,'Fichas y precios'!$A:$A,0),MATCH($D48,'Fichas y precios'!$P$5:$S$5,0)),""))</f>
        <v/>
      </c>
      <c r="G48" s="14" t="str">
        <f aca="false">IFERROR($E48*$F48,"")</f>
        <v/>
      </c>
      <c r="H48" s="14" t="str">
        <f aca="false">IF($B48="","",IF($D48="Batch embotellado",IFERROR(VLOOKUP($B48,'Fichas y precios'!$A:$M,13,FALSE())*'Mi negocio'!$B$13+'Mi negocio'!$B$14,""),IFERROR(VLOOKUP($B48,'Fichas y precios'!$A:$M,13,FALSE()),"")))</f>
        <v/>
      </c>
      <c r="I48" s="14" t="str">
        <f aca="false">IFERROR($E48*$H48,"")</f>
        <v/>
      </c>
      <c r="J48" s="14" t="str">
        <f aca="false">IFERROR($G48-$I48,"")</f>
        <v/>
      </c>
      <c r="K48" s="23" t="str">
        <f aca="false">IFERROR($J48/$G48,"")</f>
        <v/>
      </c>
      <c r="L48" s="31"/>
    </row>
    <row r="49" customFormat="false" ht="15" hidden="false" customHeight="false" outlineLevel="0" collapsed="false">
      <c r="A49" s="30"/>
      <c r="B49" s="31"/>
      <c r="C49" s="9" t="str">
        <f aca="false">IF($B49="","",IFERROR(VLOOKUP($B49,'Fichas y precios'!$A:$B,2,FALSE()),""))</f>
        <v/>
      </c>
      <c r="D49" s="31"/>
      <c r="E49" s="31"/>
      <c r="F49" s="14" t="str">
        <f aca="false">IF(OR($B49="",$D49=""),"",IFERROR(INDEX('Fichas y precios'!$P:$S,MATCH($B49,'Fichas y precios'!$A:$A,0),MATCH($D49,'Fichas y precios'!$P$5:$S$5,0)),""))</f>
        <v/>
      </c>
      <c r="G49" s="14" t="str">
        <f aca="false">IFERROR($E49*$F49,"")</f>
        <v/>
      </c>
      <c r="H49" s="14" t="str">
        <f aca="false">IF($B49="","",IF($D49="Batch embotellado",IFERROR(VLOOKUP($B49,'Fichas y precios'!$A:$M,13,FALSE())*'Mi negocio'!$B$13+'Mi negocio'!$B$14,""),IFERROR(VLOOKUP($B49,'Fichas y precios'!$A:$M,13,FALSE()),"")))</f>
        <v/>
      </c>
      <c r="I49" s="14" t="str">
        <f aca="false">IFERROR($E49*$H49,"")</f>
        <v/>
      </c>
      <c r="J49" s="14" t="str">
        <f aca="false">IFERROR($G49-$I49,"")</f>
        <v/>
      </c>
      <c r="K49" s="23" t="str">
        <f aca="false">IFERROR($J49/$G49,"")</f>
        <v/>
      </c>
      <c r="L49" s="31"/>
    </row>
    <row r="50" customFormat="false" ht="15" hidden="false" customHeight="false" outlineLevel="0" collapsed="false">
      <c r="A50" s="30"/>
      <c r="B50" s="31"/>
      <c r="C50" s="9" t="str">
        <f aca="false">IF($B50="","",IFERROR(VLOOKUP($B50,'Fichas y precios'!$A:$B,2,FALSE()),""))</f>
        <v/>
      </c>
      <c r="D50" s="31"/>
      <c r="E50" s="31"/>
      <c r="F50" s="14" t="str">
        <f aca="false">IF(OR($B50="",$D50=""),"",IFERROR(INDEX('Fichas y precios'!$P:$S,MATCH($B50,'Fichas y precios'!$A:$A,0),MATCH($D50,'Fichas y precios'!$P$5:$S$5,0)),""))</f>
        <v/>
      </c>
      <c r="G50" s="14" t="str">
        <f aca="false">IFERROR($E50*$F50,"")</f>
        <v/>
      </c>
      <c r="H50" s="14" t="str">
        <f aca="false">IF($B50="","",IF($D50="Batch embotellado",IFERROR(VLOOKUP($B50,'Fichas y precios'!$A:$M,13,FALSE())*'Mi negocio'!$B$13+'Mi negocio'!$B$14,""),IFERROR(VLOOKUP($B50,'Fichas y precios'!$A:$M,13,FALSE()),"")))</f>
        <v/>
      </c>
      <c r="I50" s="14" t="str">
        <f aca="false">IFERROR($E50*$H50,"")</f>
        <v/>
      </c>
      <c r="J50" s="14" t="str">
        <f aca="false">IFERROR($G50-$I50,"")</f>
        <v/>
      </c>
      <c r="K50" s="23" t="str">
        <f aca="false">IFERROR($J50/$G50,"")</f>
        <v/>
      </c>
      <c r="L50" s="31"/>
    </row>
    <row r="51" customFormat="false" ht="15" hidden="false" customHeight="false" outlineLevel="0" collapsed="false">
      <c r="A51" s="30"/>
      <c r="B51" s="31"/>
      <c r="C51" s="9" t="str">
        <f aca="false">IF($B51="","",IFERROR(VLOOKUP($B51,'Fichas y precios'!$A:$B,2,FALSE()),""))</f>
        <v/>
      </c>
      <c r="D51" s="31"/>
      <c r="E51" s="31"/>
      <c r="F51" s="14" t="str">
        <f aca="false">IF(OR($B51="",$D51=""),"",IFERROR(INDEX('Fichas y precios'!$P:$S,MATCH($B51,'Fichas y precios'!$A:$A,0),MATCH($D51,'Fichas y precios'!$P$5:$S$5,0)),""))</f>
        <v/>
      </c>
      <c r="G51" s="14" t="str">
        <f aca="false">IFERROR($E51*$F51,"")</f>
        <v/>
      </c>
      <c r="H51" s="14" t="str">
        <f aca="false">IF($B51="","",IF($D51="Batch embotellado",IFERROR(VLOOKUP($B51,'Fichas y precios'!$A:$M,13,FALSE())*'Mi negocio'!$B$13+'Mi negocio'!$B$14,""),IFERROR(VLOOKUP($B51,'Fichas y precios'!$A:$M,13,FALSE()),"")))</f>
        <v/>
      </c>
      <c r="I51" s="14" t="str">
        <f aca="false">IFERROR($E51*$H51,"")</f>
        <v/>
      </c>
      <c r="J51" s="14" t="str">
        <f aca="false">IFERROR($G51-$I51,"")</f>
        <v/>
      </c>
      <c r="K51" s="23" t="str">
        <f aca="false">IFERROR($J51/$G51,"")</f>
        <v/>
      </c>
      <c r="L51" s="31"/>
    </row>
    <row r="52" customFormat="false" ht="15" hidden="false" customHeight="false" outlineLevel="0" collapsed="false">
      <c r="A52" s="30"/>
      <c r="B52" s="31"/>
      <c r="C52" s="9" t="str">
        <f aca="false">IF($B52="","",IFERROR(VLOOKUP($B52,'Fichas y precios'!$A:$B,2,FALSE()),""))</f>
        <v/>
      </c>
      <c r="D52" s="31"/>
      <c r="E52" s="31"/>
      <c r="F52" s="14" t="str">
        <f aca="false">IF(OR($B52="",$D52=""),"",IFERROR(INDEX('Fichas y precios'!$P:$S,MATCH($B52,'Fichas y precios'!$A:$A,0),MATCH($D52,'Fichas y precios'!$P$5:$S$5,0)),""))</f>
        <v/>
      </c>
      <c r="G52" s="14" t="str">
        <f aca="false">IFERROR($E52*$F52,"")</f>
        <v/>
      </c>
      <c r="H52" s="14" t="str">
        <f aca="false">IF($B52="","",IF($D52="Batch embotellado",IFERROR(VLOOKUP($B52,'Fichas y precios'!$A:$M,13,FALSE())*'Mi negocio'!$B$13+'Mi negocio'!$B$14,""),IFERROR(VLOOKUP($B52,'Fichas y precios'!$A:$M,13,FALSE()),"")))</f>
        <v/>
      </c>
      <c r="I52" s="14" t="str">
        <f aca="false">IFERROR($E52*$H52,"")</f>
        <v/>
      </c>
      <c r="J52" s="14" t="str">
        <f aca="false">IFERROR($G52-$I52,"")</f>
        <v/>
      </c>
      <c r="K52" s="23" t="str">
        <f aca="false">IFERROR($J52/$G52,"")</f>
        <v/>
      </c>
      <c r="L52" s="31"/>
    </row>
    <row r="53" customFormat="false" ht="15" hidden="false" customHeight="false" outlineLevel="0" collapsed="false">
      <c r="A53" s="30"/>
      <c r="B53" s="31"/>
      <c r="C53" s="9" t="str">
        <f aca="false">IF($B53="","",IFERROR(VLOOKUP($B53,'Fichas y precios'!$A:$B,2,FALSE()),""))</f>
        <v/>
      </c>
      <c r="D53" s="31"/>
      <c r="E53" s="31"/>
      <c r="F53" s="14" t="str">
        <f aca="false">IF(OR($B53="",$D53=""),"",IFERROR(INDEX('Fichas y precios'!$P:$S,MATCH($B53,'Fichas y precios'!$A:$A,0),MATCH($D53,'Fichas y precios'!$P$5:$S$5,0)),""))</f>
        <v/>
      </c>
      <c r="G53" s="14" t="str">
        <f aca="false">IFERROR($E53*$F53,"")</f>
        <v/>
      </c>
      <c r="H53" s="14" t="str">
        <f aca="false">IF($B53="","",IF($D53="Batch embotellado",IFERROR(VLOOKUP($B53,'Fichas y precios'!$A:$M,13,FALSE())*'Mi negocio'!$B$13+'Mi negocio'!$B$14,""),IFERROR(VLOOKUP($B53,'Fichas y precios'!$A:$M,13,FALSE()),"")))</f>
        <v/>
      </c>
      <c r="I53" s="14" t="str">
        <f aca="false">IFERROR($E53*$H53,"")</f>
        <v/>
      </c>
      <c r="J53" s="14" t="str">
        <f aca="false">IFERROR($G53-$I53,"")</f>
        <v/>
      </c>
      <c r="K53" s="23" t="str">
        <f aca="false">IFERROR($J53/$G53,"")</f>
        <v/>
      </c>
      <c r="L53" s="31"/>
    </row>
    <row r="54" customFormat="false" ht="15" hidden="false" customHeight="false" outlineLevel="0" collapsed="false">
      <c r="A54" s="30"/>
      <c r="B54" s="31"/>
      <c r="C54" s="9" t="str">
        <f aca="false">IF($B54="","",IFERROR(VLOOKUP($B54,'Fichas y precios'!$A:$B,2,FALSE()),""))</f>
        <v/>
      </c>
      <c r="D54" s="31"/>
      <c r="E54" s="31"/>
      <c r="F54" s="14" t="str">
        <f aca="false">IF(OR($B54="",$D54=""),"",IFERROR(INDEX('Fichas y precios'!$P:$S,MATCH($B54,'Fichas y precios'!$A:$A,0),MATCH($D54,'Fichas y precios'!$P$5:$S$5,0)),""))</f>
        <v/>
      </c>
      <c r="G54" s="14" t="str">
        <f aca="false">IFERROR($E54*$F54,"")</f>
        <v/>
      </c>
      <c r="H54" s="14" t="str">
        <f aca="false">IF($B54="","",IF($D54="Batch embotellado",IFERROR(VLOOKUP($B54,'Fichas y precios'!$A:$M,13,FALSE())*'Mi negocio'!$B$13+'Mi negocio'!$B$14,""),IFERROR(VLOOKUP($B54,'Fichas y precios'!$A:$M,13,FALSE()),"")))</f>
        <v/>
      </c>
      <c r="I54" s="14" t="str">
        <f aca="false">IFERROR($E54*$H54,"")</f>
        <v/>
      </c>
      <c r="J54" s="14" t="str">
        <f aca="false">IFERROR($G54-$I54,"")</f>
        <v/>
      </c>
      <c r="K54" s="23" t="str">
        <f aca="false">IFERROR($J54/$G54,"")</f>
        <v/>
      </c>
      <c r="L54" s="31"/>
    </row>
    <row r="55" customFormat="false" ht="15" hidden="false" customHeight="false" outlineLevel="0" collapsed="false">
      <c r="A55" s="30"/>
      <c r="B55" s="31"/>
      <c r="C55" s="9" t="str">
        <f aca="false">IF($B55="","",IFERROR(VLOOKUP($B55,'Fichas y precios'!$A:$B,2,FALSE()),""))</f>
        <v/>
      </c>
      <c r="D55" s="31"/>
      <c r="E55" s="31"/>
      <c r="F55" s="14" t="str">
        <f aca="false">IF(OR($B55="",$D55=""),"",IFERROR(INDEX('Fichas y precios'!$P:$S,MATCH($B55,'Fichas y precios'!$A:$A,0),MATCH($D55,'Fichas y precios'!$P$5:$S$5,0)),""))</f>
        <v/>
      </c>
      <c r="G55" s="14" t="str">
        <f aca="false">IFERROR($E55*$F55,"")</f>
        <v/>
      </c>
      <c r="H55" s="14" t="str">
        <f aca="false">IF($B55="","",IF($D55="Batch embotellado",IFERROR(VLOOKUP($B55,'Fichas y precios'!$A:$M,13,FALSE())*'Mi negocio'!$B$13+'Mi negocio'!$B$14,""),IFERROR(VLOOKUP($B55,'Fichas y precios'!$A:$M,13,FALSE()),"")))</f>
        <v/>
      </c>
      <c r="I55" s="14" t="str">
        <f aca="false">IFERROR($E55*$H55,"")</f>
        <v/>
      </c>
      <c r="J55" s="14" t="str">
        <f aca="false">IFERROR($G55-$I55,"")</f>
        <v/>
      </c>
      <c r="K55" s="23" t="str">
        <f aca="false">IFERROR($J55/$G55,"")</f>
        <v/>
      </c>
      <c r="L55" s="31"/>
    </row>
    <row r="56" customFormat="false" ht="15" hidden="false" customHeight="false" outlineLevel="0" collapsed="false">
      <c r="A56" s="30"/>
      <c r="B56" s="31"/>
      <c r="C56" s="9" t="str">
        <f aca="false">IF($B56="","",IFERROR(VLOOKUP($B56,'Fichas y precios'!$A:$B,2,FALSE()),""))</f>
        <v/>
      </c>
      <c r="D56" s="31"/>
      <c r="E56" s="31"/>
      <c r="F56" s="14" t="str">
        <f aca="false">IF(OR($B56="",$D56=""),"",IFERROR(INDEX('Fichas y precios'!$P:$S,MATCH($B56,'Fichas y precios'!$A:$A,0),MATCH($D56,'Fichas y precios'!$P$5:$S$5,0)),""))</f>
        <v/>
      </c>
      <c r="G56" s="14" t="str">
        <f aca="false">IFERROR($E56*$F56,"")</f>
        <v/>
      </c>
      <c r="H56" s="14" t="str">
        <f aca="false">IF($B56="","",IF($D56="Batch embotellado",IFERROR(VLOOKUP($B56,'Fichas y precios'!$A:$M,13,FALSE())*'Mi negocio'!$B$13+'Mi negocio'!$B$14,""),IFERROR(VLOOKUP($B56,'Fichas y precios'!$A:$M,13,FALSE()),"")))</f>
        <v/>
      </c>
      <c r="I56" s="14" t="str">
        <f aca="false">IFERROR($E56*$H56,"")</f>
        <v/>
      </c>
      <c r="J56" s="14" t="str">
        <f aca="false">IFERROR($G56-$I56,"")</f>
        <v/>
      </c>
      <c r="K56" s="23" t="str">
        <f aca="false">IFERROR($J56/$G56,"")</f>
        <v/>
      </c>
      <c r="L56" s="31"/>
    </row>
    <row r="57" customFormat="false" ht="15" hidden="false" customHeight="false" outlineLevel="0" collapsed="false">
      <c r="A57" s="30"/>
      <c r="B57" s="31"/>
      <c r="C57" s="9" t="str">
        <f aca="false">IF($B57="","",IFERROR(VLOOKUP($B57,'Fichas y precios'!$A:$B,2,FALSE()),""))</f>
        <v/>
      </c>
      <c r="D57" s="31"/>
      <c r="E57" s="31"/>
      <c r="F57" s="14" t="str">
        <f aca="false">IF(OR($B57="",$D57=""),"",IFERROR(INDEX('Fichas y precios'!$P:$S,MATCH($B57,'Fichas y precios'!$A:$A,0),MATCH($D57,'Fichas y precios'!$P$5:$S$5,0)),""))</f>
        <v/>
      </c>
      <c r="G57" s="14" t="str">
        <f aca="false">IFERROR($E57*$F57,"")</f>
        <v/>
      </c>
      <c r="H57" s="14" t="str">
        <f aca="false">IF($B57="","",IF($D57="Batch embotellado",IFERROR(VLOOKUP($B57,'Fichas y precios'!$A:$M,13,FALSE())*'Mi negocio'!$B$13+'Mi negocio'!$B$14,""),IFERROR(VLOOKUP($B57,'Fichas y precios'!$A:$M,13,FALSE()),"")))</f>
        <v/>
      </c>
      <c r="I57" s="14" t="str">
        <f aca="false">IFERROR($E57*$H57,"")</f>
        <v/>
      </c>
      <c r="J57" s="14" t="str">
        <f aca="false">IFERROR($G57-$I57,"")</f>
        <v/>
      </c>
      <c r="K57" s="23" t="str">
        <f aca="false">IFERROR($J57/$G57,"")</f>
        <v/>
      </c>
      <c r="L57" s="31"/>
    </row>
    <row r="58" customFormat="false" ht="15" hidden="false" customHeight="false" outlineLevel="0" collapsed="false">
      <c r="A58" s="30"/>
      <c r="B58" s="31"/>
      <c r="C58" s="9" t="str">
        <f aca="false">IF($B58="","",IFERROR(VLOOKUP($B58,'Fichas y precios'!$A:$B,2,FALSE()),""))</f>
        <v/>
      </c>
      <c r="D58" s="31"/>
      <c r="E58" s="31"/>
      <c r="F58" s="14" t="str">
        <f aca="false">IF(OR($B58="",$D58=""),"",IFERROR(INDEX('Fichas y precios'!$P:$S,MATCH($B58,'Fichas y precios'!$A:$A,0),MATCH($D58,'Fichas y precios'!$P$5:$S$5,0)),""))</f>
        <v/>
      </c>
      <c r="G58" s="14" t="str">
        <f aca="false">IFERROR($E58*$F58,"")</f>
        <v/>
      </c>
      <c r="H58" s="14" t="str">
        <f aca="false">IF($B58="","",IF($D58="Batch embotellado",IFERROR(VLOOKUP($B58,'Fichas y precios'!$A:$M,13,FALSE())*'Mi negocio'!$B$13+'Mi negocio'!$B$14,""),IFERROR(VLOOKUP($B58,'Fichas y precios'!$A:$M,13,FALSE()),"")))</f>
        <v/>
      </c>
      <c r="I58" s="14" t="str">
        <f aca="false">IFERROR($E58*$H58,"")</f>
        <v/>
      </c>
      <c r="J58" s="14" t="str">
        <f aca="false">IFERROR($G58-$I58,"")</f>
        <v/>
      </c>
      <c r="K58" s="23" t="str">
        <f aca="false">IFERROR($J58/$G58,"")</f>
        <v/>
      </c>
      <c r="L58" s="31"/>
    </row>
    <row r="59" customFormat="false" ht="15" hidden="false" customHeight="false" outlineLevel="0" collapsed="false">
      <c r="A59" s="30"/>
      <c r="B59" s="31"/>
      <c r="C59" s="9" t="str">
        <f aca="false">IF($B59="","",IFERROR(VLOOKUP($B59,'Fichas y precios'!$A:$B,2,FALSE()),""))</f>
        <v/>
      </c>
      <c r="D59" s="31"/>
      <c r="E59" s="31"/>
      <c r="F59" s="14" t="str">
        <f aca="false">IF(OR($B59="",$D59=""),"",IFERROR(INDEX('Fichas y precios'!$P:$S,MATCH($B59,'Fichas y precios'!$A:$A,0),MATCH($D59,'Fichas y precios'!$P$5:$S$5,0)),""))</f>
        <v/>
      </c>
      <c r="G59" s="14" t="str">
        <f aca="false">IFERROR($E59*$F59,"")</f>
        <v/>
      </c>
      <c r="H59" s="14" t="str">
        <f aca="false">IF($B59="","",IF($D59="Batch embotellado",IFERROR(VLOOKUP($B59,'Fichas y precios'!$A:$M,13,FALSE())*'Mi negocio'!$B$13+'Mi negocio'!$B$14,""),IFERROR(VLOOKUP($B59,'Fichas y precios'!$A:$M,13,FALSE()),"")))</f>
        <v/>
      </c>
      <c r="I59" s="14" t="str">
        <f aca="false">IFERROR($E59*$H59,"")</f>
        <v/>
      </c>
      <c r="J59" s="14" t="str">
        <f aca="false">IFERROR($G59-$I59,"")</f>
        <v/>
      </c>
      <c r="K59" s="23" t="str">
        <f aca="false">IFERROR($J59/$G59,"")</f>
        <v/>
      </c>
      <c r="L59" s="31"/>
    </row>
    <row r="60" customFormat="false" ht="15" hidden="false" customHeight="false" outlineLevel="0" collapsed="false">
      <c r="A60" s="30"/>
      <c r="B60" s="31"/>
      <c r="C60" s="9" t="str">
        <f aca="false">IF($B60="","",IFERROR(VLOOKUP($B60,'Fichas y precios'!$A:$B,2,FALSE()),""))</f>
        <v/>
      </c>
      <c r="D60" s="31"/>
      <c r="E60" s="31"/>
      <c r="F60" s="14" t="str">
        <f aca="false">IF(OR($B60="",$D60=""),"",IFERROR(INDEX('Fichas y precios'!$P:$S,MATCH($B60,'Fichas y precios'!$A:$A,0),MATCH($D60,'Fichas y precios'!$P$5:$S$5,0)),""))</f>
        <v/>
      </c>
      <c r="G60" s="14" t="str">
        <f aca="false">IFERROR($E60*$F60,"")</f>
        <v/>
      </c>
      <c r="H60" s="14" t="str">
        <f aca="false">IF($B60="","",IF($D60="Batch embotellado",IFERROR(VLOOKUP($B60,'Fichas y precios'!$A:$M,13,FALSE())*'Mi negocio'!$B$13+'Mi negocio'!$B$14,""),IFERROR(VLOOKUP($B60,'Fichas y precios'!$A:$M,13,FALSE()),"")))</f>
        <v/>
      </c>
      <c r="I60" s="14" t="str">
        <f aca="false">IFERROR($E60*$H60,"")</f>
        <v/>
      </c>
      <c r="J60" s="14" t="str">
        <f aca="false">IFERROR($G60-$I60,"")</f>
        <v/>
      </c>
      <c r="K60" s="23" t="str">
        <f aca="false">IFERROR($J60/$G60,"")</f>
        <v/>
      </c>
      <c r="L60" s="31"/>
    </row>
    <row r="61" customFormat="false" ht="15" hidden="false" customHeight="false" outlineLevel="0" collapsed="false">
      <c r="A61" s="30"/>
      <c r="B61" s="31"/>
      <c r="C61" s="9" t="str">
        <f aca="false">IF($B61="","",IFERROR(VLOOKUP($B61,'Fichas y precios'!$A:$B,2,FALSE()),""))</f>
        <v/>
      </c>
      <c r="D61" s="31"/>
      <c r="E61" s="31"/>
      <c r="F61" s="14" t="str">
        <f aca="false">IF(OR($B61="",$D61=""),"",IFERROR(INDEX('Fichas y precios'!$P:$S,MATCH($B61,'Fichas y precios'!$A:$A,0),MATCH($D61,'Fichas y precios'!$P$5:$S$5,0)),""))</f>
        <v/>
      </c>
      <c r="G61" s="14" t="str">
        <f aca="false">IFERROR($E61*$F61,"")</f>
        <v/>
      </c>
      <c r="H61" s="14" t="str">
        <f aca="false">IF($B61="","",IF($D61="Batch embotellado",IFERROR(VLOOKUP($B61,'Fichas y precios'!$A:$M,13,FALSE())*'Mi negocio'!$B$13+'Mi negocio'!$B$14,""),IFERROR(VLOOKUP($B61,'Fichas y precios'!$A:$M,13,FALSE()),"")))</f>
        <v/>
      </c>
      <c r="I61" s="14" t="str">
        <f aca="false">IFERROR($E61*$H61,"")</f>
        <v/>
      </c>
      <c r="J61" s="14" t="str">
        <f aca="false">IFERROR($G61-$I61,"")</f>
        <v/>
      </c>
      <c r="K61" s="23" t="str">
        <f aca="false">IFERROR($J61/$G61,"")</f>
        <v/>
      </c>
      <c r="L61" s="31"/>
    </row>
    <row r="62" customFormat="false" ht="15" hidden="false" customHeight="false" outlineLevel="0" collapsed="false">
      <c r="A62" s="30"/>
      <c r="B62" s="31"/>
      <c r="C62" s="9" t="str">
        <f aca="false">IF($B62="","",IFERROR(VLOOKUP($B62,'Fichas y precios'!$A:$B,2,FALSE()),""))</f>
        <v/>
      </c>
      <c r="D62" s="31"/>
      <c r="E62" s="31"/>
      <c r="F62" s="14" t="str">
        <f aca="false">IF(OR($B62="",$D62=""),"",IFERROR(INDEX('Fichas y precios'!$P:$S,MATCH($B62,'Fichas y precios'!$A:$A,0),MATCH($D62,'Fichas y precios'!$P$5:$S$5,0)),""))</f>
        <v/>
      </c>
      <c r="G62" s="14" t="str">
        <f aca="false">IFERROR($E62*$F62,"")</f>
        <v/>
      </c>
      <c r="H62" s="14" t="str">
        <f aca="false">IF($B62="","",IF($D62="Batch embotellado",IFERROR(VLOOKUP($B62,'Fichas y precios'!$A:$M,13,FALSE())*'Mi negocio'!$B$13+'Mi negocio'!$B$14,""),IFERROR(VLOOKUP($B62,'Fichas y precios'!$A:$M,13,FALSE()),"")))</f>
        <v/>
      </c>
      <c r="I62" s="14" t="str">
        <f aca="false">IFERROR($E62*$H62,"")</f>
        <v/>
      </c>
      <c r="J62" s="14" t="str">
        <f aca="false">IFERROR($G62-$I62,"")</f>
        <v/>
      </c>
      <c r="K62" s="23" t="str">
        <f aca="false">IFERROR($J62/$G62,"")</f>
        <v/>
      </c>
      <c r="L62" s="31"/>
    </row>
    <row r="63" customFormat="false" ht="15" hidden="false" customHeight="false" outlineLevel="0" collapsed="false">
      <c r="A63" s="30"/>
      <c r="B63" s="31"/>
      <c r="C63" s="9" t="str">
        <f aca="false">IF($B63="","",IFERROR(VLOOKUP($B63,'Fichas y precios'!$A:$B,2,FALSE()),""))</f>
        <v/>
      </c>
      <c r="D63" s="31"/>
      <c r="E63" s="31"/>
      <c r="F63" s="14" t="str">
        <f aca="false">IF(OR($B63="",$D63=""),"",IFERROR(INDEX('Fichas y precios'!$P:$S,MATCH($B63,'Fichas y precios'!$A:$A,0),MATCH($D63,'Fichas y precios'!$P$5:$S$5,0)),""))</f>
        <v/>
      </c>
      <c r="G63" s="14" t="str">
        <f aca="false">IFERROR($E63*$F63,"")</f>
        <v/>
      </c>
      <c r="H63" s="14" t="str">
        <f aca="false">IF($B63="","",IF($D63="Batch embotellado",IFERROR(VLOOKUP($B63,'Fichas y precios'!$A:$M,13,FALSE())*'Mi negocio'!$B$13+'Mi negocio'!$B$14,""),IFERROR(VLOOKUP($B63,'Fichas y precios'!$A:$M,13,FALSE()),"")))</f>
        <v/>
      </c>
      <c r="I63" s="14" t="str">
        <f aca="false">IFERROR($E63*$H63,"")</f>
        <v/>
      </c>
      <c r="J63" s="14" t="str">
        <f aca="false">IFERROR($G63-$I63,"")</f>
        <v/>
      </c>
      <c r="K63" s="23" t="str">
        <f aca="false">IFERROR($J63/$G63,"")</f>
        <v/>
      </c>
      <c r="L63" s="31"/>
    </row>
    <row r="64" customFormat="false" ht="15" hidden="false" customHeight="false" outlineLevel="0" collapsed="false">
      <c r="A64" s="30"/>
      <c r="B64" s="31"/>
      <c r="C64" s="9" t="str">
        <f aca="false">IF($B64="","",IFERROR(VLOOKUP($B64,'Fichas y precios'!$A:$B,2,FALSE()),""))</f>
        <v/>
      </c>
      <c r="D64" s="31"/>
      <c r="E64" s="31"/>
      <c r="F64" s="14" t="str">
        <f aca="false">IF(OR($B64="",$D64=""),"",IFERROR(INDEX('Fichas y precios'!$P:$S,MATCH($B64,'Fichas y precios'!$A:$A,0),MATCH($D64,'Fichas y precios'!$P$5:$S$5,0)),""))</f>
        <v/>
      </c>
      <c r="G64" s="14" t="str">
        <f aca="false">IFERROR($E64*$F64,"")</f>
        <v/>
      </c>
      <c r="H64" s="14" t="str">
        <f aca="false">IF($B64="","",IF($D64="Batch embotellado",IFERROR(VLOOKUP($B64,'Fichas y precios'!$A:$M,13,FALSE())*'Mi negocio'!$B$13+'Mi negocio'!$B$14,""),IFERROR(VLOOKUP($B64,'Fichas y precios'!$A:$M,13,FALSE()),"")))</f>
        <v/>
      </c>
      <c r="I64" s="14" t="str">
        <f aca="false">IFERROR($E64*$H64,"")</f>
        <v/>
      </c>
      <c r="J64" s="14" t="str">
        <f aca="false">IFERROR($G64-$I64,"")</f>
        <v/>
      </c>
      <c r="K64" s="23" t="str">
        <f aca="false">IFERROR($J64/$G64,"")</f>
        <v/>
      </c>
      <c r="L64" s="31"/>
    </row>
    <row r="65" customFormat="false" ht="15" hidden="false" customHeight="false" outlineLevel="0" collapsed="false">
      <c r="A65" s="30"/>
      <c r="B65" s="31"/>
      <c r="C65" s="9" t="str">
        <f aca="false">IF($B65="","",IFERROR(VLOOKUP($B65,'Fichas y precios'!$A:$B,2,FALSE()),""))</f>
        <v/>
      </c>
      <c r="D65" s="31"/>
      <c r="E65" s="31"/>
      <c r="F65" s="14" t="str">
        <f aca="false">IF(OR($B65="",$D65=""),"",IFERROR(INDEX('Fichas y precios'!$P:$S,MATCH($B65,'Fichas y precios'!$A:$A,0),MATCH($D65,'Fichas y precios'!$P$5:$S$5,0)),""))</f>
        <v/>
      </c>
      <c r="G65" s="14" t="str">
        <f aca="false">IFERROR($E65*$F65,"")</f>
        <v/>
      </c>
      <c r="H65" s="14" t="str">
        <f aca="false">IF($B65="","",IF($D65="Batch embotellado",IFERROR(VLOOKUP($B65,'Fichas y precios'!$A:$M,13,FALSE())*'Mi negocio'!$B$13+'Mi negocio'!$B$14,""),IFERROR(VLOOKUP($B65,'Fichas y precios'!$A:$M,13,FALSE()),"")))</f>
        <v/>
      </c>
      <c r="I65" s="14" t="str">
        <f aca="false">IFERROR($E65*$H65,"")</f>
        <v/>
      </c>
      <c r="J65" s="14" t="str">
        <f aca="false">IFERROR($G65-$I65,"")</f>
        <v/>
      </c>
      <c r="K65" s="23" t="str">
        <f aca="false">IFERROR($J65/$G65,"")</f>
        <v/>
      </c>
      <c r="L65" s="31"/>
    </row>
    <row r="66" customFormat="false" ht="15" hidden="false" customHeight="false" outlineLevel="0" collapsed="false">
      <c r="A66" s="30"/>
      <c r="B66" s="31"/>
      <c r="C66" s="9" t="str">
        <f aca="false">IF($B66="","",IFERROR(VLOOKUP($B66,'Fichas y precios'!$A:$B,2,FALSE()),""))</f>
        <v/>
      </c>
      <c r="D66" s="31"/>
      <c r="E66" s="31"/>
      <c r="F66" s="14" t="str">
        <f aca="false">IF(OR($B66="",$D66=""),"",IFERROR(INDEX('Fichas y precios'!$P:$S,MATCH($B66,'Fichas y precios'!$A:$A,0),MATCH($D66,'Fichas y precios'!$P$5:$S$5,0)),""))</f>
        <v/>
      </c>
      <c r="G66" s="14" t="str">
        <f aca="false">IFERROR($E66*$F66,"")</f>
        <v/>
      </c>
      <c r="H66" s="14" t="str">
        <f aca="false">IF($B66="","",IF($D66="Batch embotellado",IFERROR(VLOOKUP($B66,'Fichas y precios'!$A:$M,13,FALSE())*'Mi negocio'!$B$13+'Mi negocio'!$B$14,""),IFERROR(VLOOKUP($B66,'Fichas y precios'!$A:$M,13,FALSE()),"")))</f>
        <v/>
      </c>
      <c r="I66" s="14" t="str">
        <f aca="false">IFERROR($E66*$H66,"")</f>
        <v/>
      </c>
      <c r="J66" s="14" t="str">
        <f aca="false">IFERROR($G66-$I66,"")</f>
        <v/>
      </c>
      <c r="K66" s="23" t="str">
        <f aca="false">IFERROR($J66/$G66,"")</f>
        <v/>
      </c>
      <c r="L66" s="31"/>
    </row>
    <row r="67" customFormat="false" ht="15" hidden="false" customHeight="false" outlineLevel="0" collapsed="false">
      <c r="A67" s="30"/>
      <c r="B67" s="31"/>
      <c r="C67" s="9" t="str">
        <f aca="false">IF($B67="","",IFERROR(VLOOKUP($B67,'Fichas y precios'!$A:$B,2,FALSE()),""))</f>
        <v/>
      </c>
      <c r="D67" s="31"/>
      <c r="E67" s="31"/>
      <c r="F67" s="14" t="str">
        <f aca="false">IF(OR($B67="",$D67=""),"",IFERROR(INDEX('Fichas y precios'!$P:$S,MATCH($B67,'Fichas y precios'!$A:$A,0),MATCH($D67,'Fichas y precios'!$P$5:$S$5,0)),""))</f>
        <v/>
      </c>
      <c r="G67" s="14" t="str">
        <f aca="false">IFERROR($E67*$F67,"")</f>
        <v/>
      </c>
      <c r="H67" s="14" t="str">
        <f aca="false">IF($B67="","",IF($D67="Batch embotellado",IFERROR(VLOOKUP($B67,'Fichas y precios'!$A:$M,13,FALSE())*'Mi negocio'!$B$13+'Mi negocio'!$B$14,""),IFERROR(VLOOKUP($B67,'Fichas y precios'!$A:$M,13,FALSE()),"")))</f>
        <v/>
      </c>
      <c r="I67" s="14" t="str">
        <f aca="false">IFERROR($E67*$H67,"")</f>
        <v/>
      </c>
      <c r="J67" s="14" t="str">
        <f aca="false">IFERROR($G67-$I67,"")</f>
        <v/>
      </c>
      <c r="K67" s="23" t="str">
        <f aca="false">IFERROR($J67/$G67,"")</f>
        <v/>
      </c>
      <c r="L67" s="31"/>
    </row>
    <row r="68" customFormat="false" ht="15" hidden="false" customHeight="false" outlineLevel="0" collapsed="false">
      <c r="A68" s="30"/>
      <c r="B68" s="31"/>
      <c r="C68" s="9" t="str">
        <f aca="false">IF($B68="","",IFERROR(VLOOKUP($B68,'Fichas y precios'!$A:$B,2,FALSE()),""))</f>
        <v/>
      </c>
      <c r="D68" s="31"/>
      <c r="E68" s="31"/>
      <c r="F68" s="14" t="str">
        <f aca="false">IF(OR($B68="",$D68=""),"",IFERROR(INDEX('Fichas y precios'!$P:$S,MATCH($B68,'Fichas y precios'!$A:$A,0),MATCH($D68,'Fichas y precios'!$P$5:$S$5,0)),""))</f>
        <v/>
      </c>
      <c r="G68" s="14" t="str">
        <f aca="false">IFERROR($E68*$F68,"")</f>
        <v/>
      </c>
      <c r="H68" s="14" t="str">
        <f aca="false">IF($B68="","",IF($D68="Batch embotellado",IFERROR(VLOOKUP($B68,'Fichas y precios'!$A:$M,13,FALSE())*'Mi negocio'!$B$13+'Mi negocio'!$B$14,""),IFERROR(VLOOKUP($B68,'Fichas y precios'!$A:$M,13,FALSE()),"")))</f>
        <v/>
      </c>
      <c r="I68" s="14" t="str">
        <f aca="false">IFERROR($E68*$H68,"")</f>
        <v/>
      </c>
      <c r="J68" s="14" t="str">
        <f aca="false">IFERROR($G68-$I68,"")</f>
        <v/>
      </c>
      <c r="K68" s="23" t="str">
        <f aca="false">IFERROR($J68/$G68,"")</f>
        <v/>
      </c>
      <c r="L68" s="31"/>
    </row>
    <row r="69" customFormat="false" ht="15" hidden="false" customHeight="false" outlineLevel="0" collapsed="false">
      <c r="A69" s="30"/>
      <c r="B69" s="31"/>
      <c r="C69" s="9" t="str">
        <f aca="false">IF($B69="","",IFERROR(VLOOKUP($B69,'Fichas y precios'!$A:$B,2,FALSE()),""))</f>
        <v/>
      </c>
      <c r="D69" s="31"/>
      <c r="E69" s="31"/>
      <c r="F69" s="14" t="str">
        <f aca="false">IF(OR($B69="",$D69=""),"",IFERROR(INDEX('Fichas y precios'!$P:$S,MATCH($B69,'Fichas y precios'!$A:$A,0),MATCH($D69,'Fichas y precios'!$P$5:$S$5,0)),""))</f>
        <v/>
      </c>
      <c r="G69" s="14" t="str">
        <f aca="false">IFERROR($E69*$F69,"")</f>
        <v/>
      </c>
      <c r="H69" s="14" t="str">
        <f aca="false">IF($B69="","",IF($D69="Batch embotellado",IFERROR(VLOOKUP($B69,'Fichas y precios'!$A:$M,13,FALSE())*'Mi negocio'!$B$13+'Mi negocio'!$B$14,""),IFERROR(VLOOKUP($B69,'Fichas y precios'!$A:$M,13,FALSE()),"")))</f>
        <v/>
      </c>
      <c r="I69" s="14" t="str">
        <f aca="false">IFERROR($E69*$H69,"")</f>
        <v/>
      </c>
      <c r="J69" s="14" t="str">
        <f aca="false">IFERROR($G69-$I69,"")</f>
        <v/>
      </c>
      <c r="K69" s="23" t="str">
        <f aca="false">IFERROR($J69/$G69,"")</f>
        <v/>
      </c>
      <c r="L69" s="31"/>
    </row>
    <row r="70" customFormat="false" ht="15" hidden="false" customHeight="false" outlineLevel="0" collapsed="false">
      <c r="A70" s="30"/>
      <c r="B70" s="31"/>
      <c r="C70" s="9" t="str">
        <f aca="false">IF($B70="","",IFERROR(VLOOKUP($B70,'Fichas y precios'!$A:$B,2,FALSE()),""))</f>
        <v/>
      </c>
      <c r="D70" s="31"/>
      <c r="E70" s="31"/>
      <c r="F70" s="14" t="str">
        <f aca="false">IF(OR($B70="",$D70=""),"",IFERROR(INDEX('Fichas y precios'!$P:$S,MATCH($B70,'Fichas y precios'!$A:$A,0),MATCH($D70,'Fichas y precios'!$P$5:$S$5,0)),""))</f>
        <v/>
      </c>
      <c r="G70" s="14" t="str">
        <f aca="false">IFERROR($E70*$F70,"")</f>
        <v/>
      </c>
      <c r="H70" s="14" t="str">
        <f aca="false">IF($B70="","",IF($D70="Batch embotellado",IFERROR(VLOOKUP($B70,'Fichas y precios'!$A:$M,13,FALSE())*'Mi negocio'!$B$13+'Mi negocio'!$B$14,""),IFERROR(VLOOKUP($B70,'Fichas y precios'!$A:$M,13,FALSE()),"")))</f>
        <v/>
      </c>
      <c r="I70" s="14" t="str">
        <f aca="false">IFERROR($E70*$H70,"")</f>
        <v/>
      </c>
      <c r="J70" s="14" t="str">
        <f aca="false">IFERROR($G70-$I70,"")</f>
        <v/>
      </c>
      <c r="K70" s="23" t="str">
        <f aca="false">IFERROR($J70/$G70,"")</f>
        <v/>
      </c>
      <c r="L70" s="31"/>
    </row>
    <row r="71" customFormat="false" ht="15" hidden="false" customHeight="false" outlineLevel="0" collapsed="false">
      <c r="A71" s="30"/>
      <c r="B71" s="31"/>
      <c r="C71" s="9" t="str">
        <f aca="false">IF($B71="","",IFERROR(VLOOKUP($B71,'Fichas y precios'!$A:$B,2,FALSE()),""))</f>
        <v/>
      </c>
      <c r="D71" s="31"/>
      <c r="E71" s="31"/>
      <c r="F71" s="14" t="str">
        <f aca="false">IF(OR($B71="",$D71=""),"",IFERROR(INDEX('Fichas y precios'!$P:$S,MATCH($B71,'Fichas y precios'!$A:$A,0),MATCH($D71,'Fichas y precios'!$P$5:$S$5,0)),""))</f>
        <v/>
      </c>
      <c r="G71" s="14" t="str">
        <f aca="false">IFERROR($E71*$F71,"")</f>
        <v/>
      </c>
      <c r="H71" s="14" t="str">
        <f aca="false">IF($B71="","",IF($D71="Batch embotellado",IFERROR(VLOOKUP($B71,'Fichas y precios'!$A:$M,13,FALSE())*'Mi negocio'!$B$13+'Mi negocio'!$B$14,""),IFERROR(VLOOKUP($B71,'Fichas y precios'!$A:$M,13,FALSE()),"")))</f>
        <v/>
      </c>
      <c r="I71" s="14" t="str">
        <f aca="false">IFERROR($E71*$H71,"")</f>
        <v/>
      </c>
      <c r="J71" s="14" t="str">
        <f aca="false">IFERROR($G71-$I71,"")</f>
        <v/>
      </c>
      <c r="K71" s="23" t="str">
        <f aca="false">IFERROR($J71/$G71,"")</f>
        <v/>
      </c>
      <c r="L71" s="31"/>
    </row>
    <row r="72" customFormat="false" ht="15" hidden="false" customHeight="false" outlineLevel="0" collapsed="false">
      <c r="A72" s="30"/>
      <c r="B72" s="31"/>
      <c r="C72" s="9" t="str">
        <f aca="false">IF($B72="","",IFERROR(VLOOKUP($B72,'Fichas y precios'!$A:$B,2,FALSE()),""))</f>
        <v/>
      </c>
      <c r="D72" s="31"/>
      <c r="E72" s="31"/>
      <c r="F72" s="14" t="str">
        <f aca="false">IF(OR($B72="",$D72=""),"",IFERROR(INDEX('Fichas y precios'!$P:$S,MATCH($B72,'Fichas y precios'!$A:$A,0),MATCH($D72,'Fichas y precios'!$P$5:$S$5,0)),""))</f>
        <v/>
      </c>
      <c r="G72" s="14" t="str">
        <f aca="false">IFERROR($E72*$F72,"")</f>
        <v/>
      </c>
      <c r="H72" s="14" t="str">
        <f aca="false">IF($B72="","",IF($D72="Batch embotellado",IFERROR(VLOOKUP($B72,'Fichas y precios'!$A:$M,13,FALSE())*'Mi negocio'!$B$13+'Mi negocio'!$B$14,""),IFERROR(VLOOKUP($B72,'Fichas y precios'!$A:$M,13,FALSE()),"")))</f>
        <v/>
      </c>
      <c r="I72" s="14" t="str">
        <f aca="false">IFERROR($E72*$H72,"")</f>
        <v/>
      </c>
      <c r="J72" s="14" t="str">
        <f aca="false">IFERROR($G72-$I72,"")</f>
        <v/>
      </c>
      <c r="K72" s="23" t="str">
        <f aca="false">IFERROR($J72/$G72,"")</f>
        <v/>
      </c>
      <c r="L72" s="31"/>
    </row>
    <row r="73" customFormat="false" ht="15" hidden="false" customHeight="false" outlineLevel="0" collapsed="false">
      <c r="A73" s="30"/>
      <c r="B73" s="31"/>
      <c r="C73" s="9" t="str">
        <f aca="false">IF($B73="","",IFERROR(VLOOKUP($B73,'Fichas y precios'!$A:$B,2,FALSE()),""))</f>
        <v/>
      </c>
      <c r="D73" s="31"/>
      <c r="E73" s="31"/>
      <c r="F73" s="14" t="str">
        <f aca="false">IF(OR($B73="",$D73=""),"",IFERROR(INDEX('Fichas y precios'!$P:$S,MATCH($B73,'Fichas y precios'!$A:$A,0),MATCH($D73,'Fichas y precios'!$P$5:$S$5,0)),""))</f>
        <v/>
      </c>
      <c r="G73" s="14" t="str">
        <f aca="false">IFERROR($E73*$F73,"")</f>
        <v/>
      </c>
      <c r="H73" s="14" t="str">
        <f aca="false">IF($B73="","",IF($D73="Batch embotellado",IFERROR(VLOOKUP($B73,'Fichas y precios'!$A:$M,13,FALSE())*'Mi negocio'!$B$13+'Mi negocio'!$B$14,""),IFERROR(VLOOKUP($B73,'Fichas y precios'!$A:$M,13,FALSE()),"")))</f>
        <v/>
      </c>
      <c r="I73" s="14" t="str">
        <f aca="false">IFERROR($E73*$H73,"")</f>
        <v/>
      </c>
      <c r="J73" s="14" t="str">
        <f aca="false">IFERROR($G73-$I73,"")</f>
        <v/>
      </c>
      <c r="K73" s="23" t="str">
        <f aca="false">IFERROR($J73/$G73,"")</f>
        <v/>
      </c>
      <c r="L73" s="31"/>
    </row>
    <row r="74" customFormat="false" ht="15" hidden="false" customHeight="false" outlineLevel="0" collapsed="false">
      <c r="A74" s="30"/>
      <c r="B74" s="31"/>
      <c r="C74" s="9" t="str">
        <f aca="false">IF($B74="","",IFERROR(VLOOKUP($B74,'Fichas y precios'!$A:$B,2,FALSE()),""))</f>
        <v/>
      </c>
      <c r="D74" s="31"/>
      <c r="E74" s="31"/>
      <c r="F74" s="14" t="str">
        <f aca="false">IF(OR($B74="",$D74=""),"",IFERROR(INDEX('Fichas y precios'!$P:$S,MATCH($B74,'Fichas y precios'!$A:$A,0),MATCH($D74,'Fichas y precios'!$P$5:$S$5,0)),""))</f>
        <v/>
      </c>
      <c r="G74" s="14" t="str">
        <f aca="false">IFERROR($E74*$F74,"")</f>
        <v/>
      </c>
      <c r="H74" s="14" t="str">
        <f aca="false">IF($B74="","",IF($D74="Batch embotellado",IFERROR(VLOOKUP($B74,'Fichas y precios'!$A:$M,13,FALSE())*'Mi negocio'!$B$13+'Mi negocio'!$B$14,""),IFERROR(VLOOKUP($B74,'Fichas y precios'!$A:$M,13,FALSE()),"")))</f>
        <v/>
      </c>
      <c r="I74" s="14" t="str">
        <f aca="false">IFERROR($E74*$H74,"")</f>
        <v/>
      </c>
      <c r="J74" s="14" t="str">
        <f aca="false">IFERROR($G74-$I74,"")</f>
        <v/>
      </c>
      <c r="K74" s="23" t="str">
        <f aca="false">IFERROR($J74/$G74,"")</f>
        <v/>
      </c>
      <c r="L74" s="31"/>
    </row>
    <row r="75" customFormat="false" ht="15" hidden="false" customHeight="false" outlineLevel="0" collapsed="false">
      <c r="A75" s="30"/>
      <c r="B75" s="31"/>
      <c r="C75" s="9" t="str">
        <f aca="false">IF($B75="","",IFERROR(VLOOKUP($B75,'Fichas y precios'!$A:$B,2,FALSE()),""))</f>
        <v/>
      </c>
      <c r="D75" s="31"/>
      <c r="E75" s="31"/>
      <c r="F75" s="14" t="str">
        <f aca="false">IF(OR($B75="",$D75=""),"",IFERROR(INDEX('Fichas y precios'!$P:$S,MATCH($B75,'Fichas y precios'!$A:$A,0),MATCH($D75,'Fichas y precios'!$P$5:$S$5,0)),""))</f>
        <v/>
      </c>
      <c r="G75" s="14" t="str">
        <f aca="false">IFERROR($E75*$F75,"")</f>
        <v/>
      </c>
      <c r="H75" s="14" t="str">
        <f aca="false">IF($B75="","",IF($D75="Batch embotellado",IFERROR(VLOOKUP($B75,'Fichas y precios'!$A:$M,13,FALSE())*'Mi negocio'!$B$13+'Mi negocio'!$B$14,""),IFERROR(VLOOKUP($B75,'Fichas y precios'!$A:$M,13,FALSE()),"")))</f>
        <v/>
      </c>
      <c r="I75" s="14" t="str">
        <f aca="false">IFERROR($E75*$H75,"")</f>
        <v/>
      </c>
      <c r="J75" s="14" t="str">
        <f aca="false">IFERROR($G75-$I75,"")</f>
        <v/>
      </c>
      <c r="K75" s="23" t="str">
        <f aca="false">IFERROR($J75/$G75,"")</f>
        <v/>
      </c>
      <c r="L75" s="31"/>
    </row>
    <row r="76" customFormat="false" ht="15" hidden="false" customHeight="false" outlineLevel="0" collapsed="false">
      <c r="A76" s="30"/>
      <c r="B76" s="31"/>
      <c r="C76" s="9" t="str">
        <f aca="false">IF($B76="","",IFERROR(VLOOKUP($B76,'Fichas y precios'!$A:$B,2,FALSE()),""))</f>
        <v/>
      </c>
      <c r="D76" s="31"/>
      <c r="E76" s="31"/>
      <c r="F76" s="14" t="str">
        <f aca="false">IF(OR($B76="",$D76=""),"",IFERROR(INDEX('Fichas y precios'!$P:$S,MATCH($B76,'Fichas y precios'!$A:$A,0),MATCH($D76,'Fichas y precios'!$P$5:$S$5,0)),""))</f>
        <v/>
      </c>
      <c r="G76" s="14" t="str">
        <f aca="false">IFERROR($E76*$F76,"")</f>
        <v/>
      </c>
      <c r="H76" s="14" t="str">
        <f aca="false">IF($B76="","",IF($D76="Batch embotellado",IFERROR(VLOOKUP($B76,'Fichas y precios'!$A:$M,13,FALSE())*'Mi negocio'!$B$13+'Mi negocio'!$B$14,""),IFERROR(VLOOKUP($B76,'Fichas y precios'!$A:$M,13,FALSE()),"")))</f>
        <v/>
      </c>
      <c r="I76" s="14" t="str">
        <f aca="false">IFERROR($E76*$H76,"")</f>
        <v/>
      </c>
      <c r="J76" s="14" t="str">
        <f aca="false">IFERROR($G76-$I76,"")</f>
        <v/>
      </c>
      <c r="K76" s="23" t="str">
        <f aca="false">IFERROR($J76/$G76,"")</f>
        <v/>
      </c>
      <c r="L76" s="31"/>
    </row>
    <row r="77" customFormat="false" ht="15" hidden="false" customHeight="false" outlineLevel="0" collapsed="false">
      <c r="A77" s="30"/>
      <c r="B77" s="31"/>
      <c r="C77" s="9" t="str">
        <f aca="false">IF($B77="","",IFERROR(VLOOKUP($B77,'Fichas y precios'!$A:$B,2,FALSE()),""))</f>
        <v/>
      </c>
      <c r="D77" s="31"/>
      <c r="E77" s="31"/>
      <c r="F77" s="14" t="str">
        <f aca="false">IF(OR($B77="",$D77=""),"",IFERROR(INDEX('Fichas y precios'!$P:$S,MATCH($B77,'Fichas y precios'!$A:$A,0),MATCH($D77,'Fichas y precios'!$P$5:$S$5,0)),""))</f>
        <v/>
      </c>
      <c r="G77" s="14" t="str">
        <f aca="false">IFERROR($E77*$F77,"")</f>
        <v/>
      </c>
      <c r="H77" s="14" t="str">
        <f aca="false">IF($B77="","",IF($D77="Batch embotellado",IFERROR(VLOOKUP($B77,'Fichas y precios'!$A:$M,13,FALSE())*'Mi negocio'!$B$13+'Mi negocio'!$B$14,""),IFERROR(VLOOKUP($B77,'Fichas y precios'!$A:$M,13,FALSE()),"")))</f>
        <v/>
      </c>
      <c r="I77" s="14" t="str">
        <f aca="false">IFERROR($E77*$H77,"")</f>
        <v/>
      </c>
      <c r="J77" s="14" t="str">
        <f aca="false">IFERROR($G77-$I77,"")</f>
        <v/>
      </c>
      <c r="K77" s="23" t="str">
        <f aca="false">IFERROR($J77/$G77,"")</f>
        <v/>
      </c>
      <c r="L77" s="31"/>
    </row>
    <row r="78" customFormat="false" ht="15" hidden="false" customHeight="false" outlineLevel="0" collapsed="false">
      <c r="A78" s="30"/>
      <c r="B78" s="31"/>
      <c r="C78" s="9" t="str">
        <f aca="false">IF($B78="","",IFERROR(VLOOKUP($B78,'Fichas y precios'!$A:$B,2,FALSE()),""))</f>
        <v/>
      </c>
      <c r="D78" s="31"/>
      <c r="E78" s="31"/>
      <c r="F78" s="14" t="str">
        <f aca="false">IF(OR($B78="",$D78=""),"",IFERROR(INDEX('Fichas y precios'!$P:$S,MATCH($B78,'Fichas y precios'!$A:$A,0),MATCH($D78,'Fichas y precios'!$P$5:$S$5,0)),""))</f>
        <v/>
      </c>
      <c r="G78" s="14" t="str">
        <f aca="false">IFERROR($E78*$F78,"")</f>
        <v/>
      </c>
      <c r="H78" s="14" t="str">
        <f aca="false">IF($B78="","",IF($D78="Batch embotellado",IFERROR(VLOOKUP($B78,'Fichas y precios'!$A:$M,13,FALSE())*'Mi negocio'!$B$13+'Mi negocio'!$B$14,""),IFERROR(VLOOKUP($B78,'Fichas y precios'!$A:$M,13,FALSE()),"")))</f>
        <v/>
      </c>
      <c r="I78" s="14" t="str">
        <f aca="false">IFERROR($E78*$H78,"")</f>
        <v/>
      </c>
      <c r="J78" s="14" t="str">
        <f aca="false">IFERROR($G78-$I78,"")</f>
        <v/>
      </c>
      <c r="K78" s="23" t="str">
        <f aca="false">IFERROR($J78/$G78,"")</f>
        <v/>
      </c>
      <c r="L78" s="31"/>
    </row>
    <row r="79" customFormat="false" ht="15" hidden="false" customHeight="false" outlineLevel="0" collapsed="false">
      <c r="A79" s="30"/>
      <c r="B79" s="31"/>
      <c r="C79" s="9" t="str">
        <f aca="false">IF($B79="","",IFERROR(VLOOKUP($B79,'Fichas y precios'!$A:$B,2,FALSE()),""))</f>
        <v/>
      </c>
      <c r="D79" s="31"/>
      <c r="E79" s="31"/>
      <c r="F79" s="14" t="str">
        <f aca="false">IF(OR($B79="",$D79=""),"",IFERROR(INDEX('Fichas y precios'!$P:$S,MATCH($B79,'Fichas y precios'!$A:$A,0),MATCH($D79,'Fichas y precios'!$P$5:$S$5,0)),""))</f>
        <v/>
      </c>
      <c r="G79" s="14" t="str">
        <f aca="false">IFERROR($E79*$F79,"")</f>
        <v/>
      </c>
      <c r="H79" s="14" t="str">
        <f aca="false">IF($B79="","",IF($D79="Batch embotellado",IFERROR(VLOOKUP($B79,'Fichas y precios'!$A:$M,13,FALSE())*'Mi negocio'!$B$13+'Mi negocio'!$B$14,""),IFERROR(VLOOKUP($B79,'Fichas y precios'!$A:$M,13,FALSE()),"")))</f>
        <v/>
      </c>
      <c r="I79" s="14" t="str">
        <f aca="false">IFERROR($E79*$H79,"")</f>
        <v/>
      </c>
      <c r="J79" s="14" t="str">
        <f aca="false">IFERROR($G79-$I79,"")</f>
        <v/>
      </c>
      <c r="K79" s="23" t="str">
        <f aca="false">IFERROR($J79/$G79,"")</f>
        <v/>
      </c>
      <c r="L79" s="31"/>
    </row>
    <row r="80" customFormat="false" ht="15" hidden="false" customHeight="false" outlineLevel="0" collapsed="false">
      <c r="A80" s="30"/>
      <c r="B80" s="31"/>
      <c r="C80" s="9" t="str">
        <f aca="false">IF($B80="","",IFERROR(VLOOKUP($B80,'Fichas y precios'!$A:$B,2,FALSE()),""))</f>
        <v/>
      </c>
      <c r="D80" s="31"/>
      <c r="E80" s="31"/>
      <c r="F80" s="14" t="str">
        <f aca="false">IF(OR($B80="",$D80=""),"",IFERROR(INDEX('Fichas y precios'!$P:$S,MATCH($B80,'Fichas y precios'!$A:$A,0),MATCH($D80,'Fichas y precios'!$P$5:$S$5,0)),""))</f>
        <v/>
      </c>
      <c r="G80" s="14" t="str">
        <f aca="false">IFERROR($E80*$F80,"")</f>
        <v/>
      </c>
      <c r="H80" s="14" t="str">
        <f aca="false">IF($B80="","",IF($D80="Batch embotellado",IFERROR(VLOOKUP($B80,'Fichas y precios'!$A:$M,13,FALSE())*'Mi negocio'!$B$13+'Mi negocio'!$B$14,""),IFERROR(VLOOKUP($B80,'Fichas y precios'!$A:$M,13,FALSE()),"")))</f>
        <v/>
      </c>
      <c r="I80" s="14" t="str">
        <f aca="false">IFERROR($E80*$H80,"")</f>
        <v/>
      </c>
      <c r="J80" s="14" t="str">
        <f aca="false">IFERROR($G80-$I80,"")</f>
        <v/>
      </c>
      <c r="K80" s="23" t="str">
        <f aca="false">IFERROR($J80/$G80,"")</f>
        <v/>
      </c>
      <c r="L80" s="31"/>
    </row>
    <row r="81" customFormat="false" ht="15" hidden="false" customHeight="false" outlineLevel="0" collapsed="false">
      <c r="A81" s="30"/>
      <c r="B81" s="31"/>
      <c r="C81" s="9" t="str">
        <f aca="false">IF($B81="","",IFERROR(VLOOKUP($B81,'Fichas y precios'!$A:$B,2,FALSE()),""))</f>
        <v/>
      </c>
      <c r="D81" s="31"/>
      <c r="E81" s="31"/>
      <c r="F81" s="14" t="str">
        <f aca="false">IF(OR($B81="",$D81=""),"",IFERROR(INDEX('Fichas y precios'!$P:$S,MATCH($B81,'Fichas y precios'!$A:$A,0),MATCH($D81,'Fichas y precios'!$P$5:$S$5,0)),""))</f>
        <v/>
      </c>
      <c r="G81" s="14" t="str">
        <f aca="false">IFERROR($E81*$F81,"")</f>
        <v/>
      </c>
      <c r="H81" s="14" t="str">
        <f aca="false">IF($B81="","",IF($D81="Batch embotellado",IFERROR(VLOOKUP($B81,'Fichas y precios'!$A:$M,13,FALSE())*'Mi negocio'!$B$13+'Mi negocio'!$B$14,""),IFERROR(VLOOKUP($B81,'Fichas y precios'!$A:$M,13,FALSE()),"")))</f>
        <v/>
      </c>
      <c r="I81" s="14" t="str">
        <f aca="false">IFERROR($E81*$H81,"")</f>
        <v/>
      </c>
      <c r="J81" s="14" t="str">
        <f aca="false">IFERROR($G81-$I81,"")</f>
        <v/>
      </c>
      <c r="K81" s="23" t="str">
        <f aca="false">IFERROR($J81/$G81,"")</f>
        <v/>
      </c>
      <c r="L81" s="31"/>
    </row>
    <row r="82" customFormat="false" ht="15" hidden="false" customHeight="false" outlineLevel="0" collapsed="false">
      <c r="A82" s="30"/>
      <c r="B82" s="31"/>
      <c r="C82" s="9" t="str">
        <f aca="false">IF($B82="","",IFERROR(VLOOKUP($B82,'Fichas y precios'!$A:$B,2,FALSE()),""))</f>
        <v/>
      </c>
      <c r="D82" s="31"/>
      <c r="E82" s="31"/>
      <c r="F82" s="14" t="str">
        <f aca="false">IF(OR($B82="",$D82=""),"",IFERROR(INDEX('Fichas y precios'!$P:$S,MATCH($B82,'Fichas y precios'!$A:$A,0),MATCH($D82,'Fichas y precios'!$P$5:$S$5,0)),""))</f>
        <v/>
      </c>
      <c r="G82" s="14" t="str">
        <f aca="false">IFERROR($E82*$F82,"")</f>
        <v/>
      </c>
      <c r="H82" s="14" t="str">
        <f aca="false">IF($B82="","",IF($D82="Batch embotellado",IFERROR(VLOOKUP($B82,'Fichas y precios'!$A:$M,13,FALSE())*'Mi negocio'!$B$13+'Mi negocio'!$B$14,""),IFERROR(VLOOKUP($B82,'Fichas y precios'!$A:$M,13,FALSE()),"")))</f>
        <v/>
      </c>
      <c r="I82" s="14" t="str">
        <f aca="false">IFERROR($E82*$H82,"")</f>
        <v/>
      </c>
      <c r="J82" s="14" t="str">
        <f aca="false">IFERROR($G82-$I82,"")</f>
        <v/>
      </c>
      <c r="K82" s="23" t="str">
        <f aca="false">IFERROR($J82/$G82,"")</f>
        <v/>
      </c>
      <c r="L82" s="31"/>
    </row>
    <row r="83" customFormat="false" ht="15" hidden="false" customHeight="false" outlineLevel="0" collapsed="false">
      <c r="A83" s="30"/>
      <c r="B83" s="31"/>
      <c r="C83" s="9" t="str">
        <f aca="false">IF($B83="","",IFERROR(VLOOKUP($B83,'Fichas y precios'!$A:$B,2,FALSE()),""))</f>
        <v/>
      </c>
      <c r="D83" s="31"/>
      <c r="E83" s="31"/>
      <c r="F83" s="14" t="str">
        <f aca="false">IF(OR($B83="",$D83=""),"",IFERROR(INDEX('Fichas y precios'!$P:$S,MATCH($B83,'Fichas y precios'!$A:$A,0),MATCH($D83,'Fichas y precios'!$P$5:$S$5,0)),""))</f>
        <v/>
      </c>
      <c r="G83" s="14" t="str">
        <f aca="false">IFERROR($E83*$F83,"")</f>
        <v/>
      </c>
      <c r="H83" s="14" t="str">
        <f aca="false">IF($B83="","",IF($D83="Batch embotellado",IFERROR(VLOOKUP($B83,'Fichas y precios'!$A:$M,13,FALSE())*'Mi negocio'!$B$13+'Mi negocio'!$B$14,""),IFERROR(VLOOKUP($B83,'Fichas y precios'!$A:$M,13,FALSE()),"")))</f>
        <v/>
      </c>
      <c r="I83" s="14" t="str">
        <f aca="false">IFERROR($E83*$H83,"")</f>
        <v/>
      </c>
      <c r="J83" s="14" t="str">
        <f aca="false">IFERROR($G83-$I83,"")</f>
        <v/>
      </c>
      <c r="K83" s="23" t="str">
        <f aca="false">IFERROR($J83/$G83,"")</f>
        <v/>
      </c>
      <c r="L83" s="31"/>
    </row>
    <row r="84" customFormat="false" ht="15" hidden="false" customHeight="false" outlineLevel="0" collapsed="false">
      <c r="A84" s="30"/>
      <c r="B84" s="31"/>
      <c r="C84" s="9" t="str">
        <f aca="false">IF($B84="","",IFERROR(VLOOKUP($B84,'Fichas y precios'!$A:$B,2,FALSE()),""))</f>
        <v/>
      </c>
      <c r="D84" s="31"/>
      <c r="E84" s="31"/>
      <c r="F84" s="14" t="str">
        <f aca="false">IF(OR($B84="",$D84=""),"",IFERROR(INDEX('Fichas y precios'!$P:$S,MATCH($B84,'Fichas y precios'!$A:$A,0),MATCH($D84,'Fichas y precios'!$P$5:$S$5,0)),""))</f>
        <v/>
      </c>
      <c r="G84" s="14" t="str">
        <f aca="false">IFERROR($E84*$F84,"")</f>
        <v/>
      </c>
      <c r="H84" s="14" t="str">
        <f aca="false">IF($B84="","",IF($D84="Batch embotellado",IFERROR(VLOOKUP($B84,'Fichas y precios'!$A:$M,13,FALSE())*'Mi negocio'!$B$13+'Mi negocio'!$B$14,""),IFERROR(VLOOKUP($B84,'Fichas y precios'!$A:$M,13,FALSE()),"")))</f>
        <v/>
      </c>
      <c r="I84" s="14" t="str">
        <f aca="false">IFERROR($E84*$H84,"")</f>
        <v/>
      </c>
      <c r="J84" s="14" t="str">
        <f aca="false">IFERROR($G84-$I84,"")</f>
        <v/>
      </c>
      <c r="K84" s="23" t="str">
        <f aca="false">IFERROR($J84/$G84,"")</f>
        <v/>
      </c>
      <c r="L84" s="31"/>
    </row>
    <row r="85" customFormat="false" ht="15" hidden="false" customHeight="false" outlineLevel="0" collapsed="false">
      <c r="A85" s="30"/>
      <c r="B85" s="31"/>
      <c r="C85" s="9" t="str">
        <f aca="false">IF($B85="","",IFERROR(VLOOKUP($B85,'Fichas y precios'!$A:$B,2,FALSE()),""))</f>
        <v/>
      </c>
      <c r="D85" s="31"/>
      <c r="E85" s="31"/>
      <c r="F85" s="14" t="str">
        <f aca="false">IF(OR($B85="",$D85=""),"",IFERROR(INDEX('Fichas y precios'!$P:$S,MATCH($B85,'Fichas y precios'!$A:$A,0),MATCH($D85,'Fichas y precios'!$P$5:$S$5,0)),""))</f>
        <v/>
      </c>
      <c r="G85" s="14" t="str">
        <f aca="false">IFERROR($E85*$F85,"")</f>
        <v/>
      </c>
      <c r="H85" s="14" t="str">
        <f aca="false">IF($B85="","",IF($D85="Batch embotellado",IFERROR(VLOOKUP($B85,'Fichas y precios'!$A:$M,13,FALSE())*'Mi negocio'!$B$13+'Mi negocio'!$B$14,""),IFERROR(VLOOKUP($B85,'Fichas y precios'!$A:$M,13,FALSE()),"")))</f>
        <v/>
      </c>
      <c r="I85" s="14" t="str">
        <f aca="false">IFERROR($E85*$H85,"")</f>
        <v/>
      </c>
      <c r="J85" s="14" t="str">
        <f aca="false">IFERROR($G85-$I85,"")</f>
        <v/>
      </c>
      <c r="K85" s="23" t="str">
        <f aca="false">IFERROR($J85/$G85,"")</f>
        <v/>
      </c>
      <c r="L85" s="31"/>
    </row>
    <row r="86" customFormat="false" ht="15" hidden="false" customHeight="false" outlineLevel="0" collapsed="false">
      <c r="A86" s="30"/>
      <c r="B86" s="31"/>
      <c r="C86" s="9" t="str">
        <f aca="false">IF($B86="","",IFERROR(VLOOKUP($B86,'Fichas y precios'!$A:$B,2,FALSE()),""))</f>
        <v/>
      </c>
      <c r="D86" s="31"/>
      <c r="E86" s="31"/>
      <c r="F86" s="14" t="str">
        <f aca="false">IF(OR($B86="",$D86=""),"",IFERROR(INDEX('Fichas y precios'!$P:$S,MATCH($B86,'Fichas y precios'!$A:$A,0),MATCH($D86,'Fichas y precios'!$P$5:$S$5,0)),""))</f>
        <v/>
      </c>
      <c r="G86" s="14" t="str">
        <f aca="false">IFERROR($E86*$F86,"")</f>
        <v/>
      </c>
      <c r="H86" s="14" t="str">
        <f aca="false">IF($B86="","",IF($D86="Batch embotellado",IFERROR(VLOOKUP($B86,'Fichas y precios'!$A:$M,13,FALSE())*'Mi negocio'!$B$13+'Mi negocio'!$B$14,""),IFERROR(VLOOKUP($B86,'Fichas y precios'!$A:$M,13,FALSE()),"")))</f>
        <v/>
      </c>
      <c r="I86" s="14" t="str">
        <f aca="false">IFERROR($E86*$H86,"")</f>
        <v/>
      </c>
      <c r="J86" s="14" t="str">
        <f aca="false">IFERROR($G86-$I86,"")</f>
        <v/>
      </c>
      <c r="K86" s="23" t="str">
        <f aca="false">IFERROR($J86/$G86,"")</f>
        <v/>
      </c>
      <c r="L86" s="31"/>
    </row>
    <row r="87" customFormat="false" ht="15" hidden="false" customHeight="false" outlineLevel="0" collapsed="false">
      <c r="A87" s="30"/>
      <c r="B87" s="31"/>
      <c r="C87" s="9" t="str">
        <f aca="false">IF($B87="","",IFERROR(VLOOKUP($B87,'Fichas y precios'!$A:$B,2,FALSE()),""))</f>
        <v/>
      </c>
      <c r="D87" s="31"/>
      <c r="E87" s="31"/>
      <c r="F87" s="14" t="str">
        <f aca="false">IF(OR($B87="",$D87=""),"",IFERROR(INDEX('Fichas y precios'!$P:$S,MATCH($B87,'Fichas y precios'!$A:$A,0),MATCH($D87,'Fichas y precios'!$P$5:$S$5,0)),""))</f>
        <v/>
      </c>
      <c r="G87" s="14" t="str">
        <f aca="false">IFERROR($E87*$F87,"")</f>
        <v/>
      </c>
      <c r="H87" s="14" t="str">
        <f aca="false">IF($B87="","",IF($D87="Batch embotellado",IFERROR(VLOOKUP($B87,'Fichas y precios'!$A:$M,13,FALSE())*'Mi negocio'!$B$13+'Mi negocio'!$B$14,""),IFERROR(VLOOKUP($B87,'Fichas y precios'!$A:$M,13,FALSE()),"")))</f>
        <v/>
      </c>
      <c r="I87" s="14" t="str">
        <f aca="false">IFERROR($E87*$H87,"")</f>
        <v/>
      </c>
      <c r="J87" s="14" t="str">
        <f aca="false">IFERROR($G87-$I87,"")</f>
        <v/>
      </c>
      <c r="K87" s="23" t="str">
        <f aca="false">IFERROR($J87/$G87,"")</f>
        <v/>
      </c>
      <c r="L87" s="31"/>
    </row>
    <row r="88" customFormat="false" ht="15" hidden="false" customHeight="false" outlineLevel="0" collapsed="false">
      <c r="A88" s="30"/>
      <c r="B88" s="31"/>
      <c r="C88" s="9" t="str">
        <f aca="false">IF($B88="","",IFERROR(VLOOKUP($B88,'Fichas y precios'!$A:$B,2,FALSE()),""))</f>
        <v/>
      </c>
      <c r="D88" s="31"/>
      <c r="E88" s="31"/>
      <c r="F88" s="14" t="str">
        <f aca="false">IF(OR($B88="",$D88=""),"",IFERROR(INDEX('Fichas y precios'!$P:$S,MATCH($B88,'Fichas y precios'!$A:$A,0),MATCH($D88,'Fichas y precios'!$P$5:$S$5,0)),""))</f>
        <v/>
      </c>
      <c r="G88" s="14" t="str">
        <f aca="false">IFERROR($E88*$F88,"")</f>
        <v/>
      </c>
      <c r="H88" s="14" t="str">
        <f aca="false">IF($B88="","",IF($D88="Batch embotellado",IFERROR(VLOOKUP($B88,'Fichas y precios'!$A:$M,13,FALSE())*'Mi negocio'!$B$13+'Mi negocio'!$B$14,""),IFERROR(VLOOKUP($B88,'Fichas y precios'!$A:$M,13,FALSE()),"")))</f>
        <v/>
      </c>
      <c r="I88" s="14" t="str">
        <f aca="false">IFERROR($E88*$H88,"")</f>
        <v/>
      </c>
      <c r="J88" s="14" t="str">
        <f aca="false">IFERROR($G88-$I88,"")</f>
        <v/>
      </c>
      <c r="K88" s="23" t="str">
        <f aca="false">IFERROR($J88/$G88,"")</f>
        <v/>
      </c>
      <c r="L88" s="31"/>
    </row>
    <row r="89" customFormat="false" ht="15" hidden="false" customHeight="false" outlineLevel="0" collapsed="false">
      <c r="A89" s="30"/>
      <c r="B89" s="31"/>
      <c r="C89" s="9" t="str">
        <f aca="false">IF($B89="","",IFERROR(VLOOKUP($B89,'Fichas y precios'!$A:$B,2,FALSE()),""))</f>
        <v/>
      </c>
      <c r="D89" s="31"/>
      <c r="E89" s="31"/>
      <c r="F89" s="14" t="str">
        <f aca="false">IF(OR($B89="",$D89=""),"",IFERROR(INDEX('Fichas y precios'!$P:$S,MATCH($B89,'Fichas y precios'!$A:$A,0),MATCH($D89,'Fichas y precios'!$P$5:$S$5,0)),""))</f>
        <v/>
      </c>
      <c r="G89" s="14" t="str">
        <f aca="false">IFERROR($E89*$F89,"")</f>
        <v/>
      </c>
      <c r="H89" s="14" t="str">
        <f aca="false">IF($B89="","",IF($D89="Batch embotellado",IFERROR(VLOOKUP($B89,'Fichas y precios'!$A:$M,13,FALSE())*'Mi negocio'!$B$13+'Mi negocio'!$B$14,""),IFERROR(VLOOKUP($B89,'Fichas y precios'!$A:$M,13,FALSE()),"")))</f>
        <v/>
      </c>
      <c r="I89" s="14" t="str">
        <f aca="false">IFERROR($E89*$H89,"")</f>
        <v/>
      </c>
      <c r="J89" s="14" t="str">
        <f aca="false">IFERROR($G89-$I89,"")</f>
        <v/>
      </c>
      <c r="K89" s="23" t="str">
        <f aca="false">IFERROR($J89/$G89,"")</f>
        <v/>
      </c>
      <c r="L89" s="31"/>
    </row>
    <row r="90" customFormat="false" ht="15" hidden="false" customHeight="false" outlineLevel="0" collapsed="false">
      <c r="A90" s="30"/>
      <c r="B90" s="31"/>
      <c r="C90" s="9" t="str">
        <f aca="false">IF($B90="","",IFERROR(VLOOKUP($B90,'Fichas y precios'!$A:$B,2,FALSE()),""))</f>
        <v/>
      </c>
      <c r="D90" s="31"/>
      <c r="E90" s="31"/>
      <c r="F90" s="14" t="str">
        <f aca="false">IF(OR($B90="",$D90=""),"",IFERROR(INDEX('Fichas y precios'!$P:$S,MATCH($B90,'Fichas y precios'!$A:$A,0),MATCH($D90,'Fichas y precios'!$P$5:$S$5,0)),""))</f>
        <v/>
      </c>
      <c r="G90" s="14" t="str">
        <f aca="false">IFERROR($E90*$F90,"")</f>
        <v/>
      </c>
      <c r="H90" s="14" t="str">
        <f aca="false">IF($B90="","",IF($D90="Batch embotellado",IFERROR(VLOOKUP($B90,'Fichas y precios'!$A:$M,13,FALSE())*'Mi negocio'!$B$13+'Mi negocio'!$B$14,""),IFERROR(VLOOKUP($B90,'Fichas y precios'!$A:$M,13,FALSE()),"")))</f>
        <v/>
      </c>
      <c r="I90" s="14" t="str">
        <f aca="false">IFERROR($E90*$H90,"")</f>
        <v/>
      </c>
      <c r="J90" s="14" t="str">
        <f aca="false">IFERROR($G90-$I90,"")</f>
        <v/>
      </c>
      <c r="K90" s="23" t="str">
        <f aca="false">IFERROR($J90/$G90,"")</f>
        <v/>
      </c>
      <c r="L90" s="31"/>
    </row>
    <row r="91" customFormat="false" ht="15" hidden="false" customHeight="false" outlineLevel="0" collapsed="false">
      <c r="A91" s="30"/>
      <c r="B91" s="31"/>
      <c r="C91" s="9" t="str">
        <f aca="false">IF($B91="","",IFERROR(VLOOKUP($B91,'Fichas y precios'!$A:$B,2,FALSE()),""))</f>
        <v/>
      </c>
      <c r="D91" s="31"/>
      <c r="E91" s="31"/>
      <c r="F91" s="14" t="str">
        <f aca="false">IF(OR($B91="",$D91=""),"",IFERROR(INDEX('Fichas y precios'!$P:$S,MATCH($B91,'Fichas y precios'!$A:$A,0),MATCH($D91,'Fichas y precios'!$P$5:$S$5,0)),""))</f>
        <v/>
      </c>
      <c r="G91" s="14" t="str">
        <f aca="false">IFERROR($E91*$F91,"")</f>
        <v/>
      </c>
      <c r="H91" s="14" t="str">
        <f aca="false">IF($B91="","",IF($D91="Batch embotellado",IFERROR(VLOOKUP($B91,'Fichas y precios'!$A:$M,13,FALSE())*'Mi negocio'!$B$13+'Mi negocio'!$B$14,""),IFERROR(VLOOKUP($B91,'Fichas y precios'!$A:$M,13,FALSE()),"")))</f>
        <v/>
      </c>
      <c r="I91" s="14" t="str">
        <f aca="false">IFERROR($E91*$H91,"")</f>
        <v/>
      </c>
      <c r="J91" s="14" t="str">
        <f aca="false">IFERROR($G91-$I91,"")</f>
        <v/>
      </c>
      <c r="K91" s="23" t="str">
        <f aca="false">IFERROR($J91/$G91,"")</f>
        <v/>
      </c>
      <c r="L91" s="31"/>
    </row>
    <row r="92" customFormat="false" ht="15" hidden="false" customHeight="false" outlineLevel="0" collapsed="false">
      <c r="A92" s="30"/>
      <c r="B92" s="31"/>
      <c r="C92" s="9" t="str">
        <f aca="false">IF($B92="","",IFERROR(VLOOKUP($B92,'Fichas y precios'!$A:$B,2,FALSE()),""))</f>
        <v/>
      </c>
      <c r="D92" s="31"/>
      <c r="E92" s="31"/>
      <c r="F92" s="14" t="str">
        <f aca="false">IF(OR($B92="",$D92=""),"",IFERROR(INDEX('Fichas y precios'!$P:$S,MATCH($B92,'Fichas y precios'!$A:$A,0),MATCH($D92,'Fichas y precios'!$P$5:$S$5,0)),""))</f>
        <v/>
      </c>
      <c r="G92" s="14" t="str">
        <f aca="false">IFERROR($E92*$F92,"")</f>
        <v/>
      </c>
      <c r="H92" s="14" t="str">
        <f aca="false">IF($B92="","",IF($D92="Batch embotellado",IFERROR(VLOOKUP($B92,'Fichas y precios'!$A:$M,13,FALSE())*'Mi negocio'!$B$13+'Mi negocio'!$B$14,""),IFERROR(VLOOKUP($B92,'Fichas y precios'!$A:$M,13,FALSE()),"")))</f>
        <v/>
      </c>
      <c r="I92" s="14" t="str">
        <f aca="false">IFERROR($E92*$H92,"")</f>
        <v/>
      </c>
      <c r="J92" s="14" t="str">
        <f aca="false">IFERROR($G92-$I92,"")</f>
        <v/>
      </c>
      <c r="K92" s="23" t="str">
        <f aca="false">IFERROR($J92/$G92,"")</f>
        <v/>
      </c>
      <c r="L92" s="31"/>
    </row>
    <row r="93" customFormat="false" ht="15" hidden="false" customHeight="false" outlineLevel="0" collapsed="false">
      <c r="A93" s="30"/>
      <c r="B93" s="31"/>
      <c r="C93" s="9" t="str">
        <f aca="false">IF($B93="","",IFERROR(VLOOKUP($B93,'Fichas y precios'!$A:$B,2,FALSE()),""))</f>
        <v/>
      </c>
      <c r="D93" s="31"/>
      <c r="E93" s="31"/>
      <c r="F93" s="14" t="str">
        <f aca="false">IF(OR($B93="",$D93=""),"",IFERROR(INDEX('Fichas y precios'!$P:$S,MATCH($B93,'Fichas y precios'!$A:$A,0),MATCH($D93,'Fichas y precios'!$P$5:$S$5,0)),""))</f>
        <v/>
      </c>
      <c r="G93" s="14" t="str">
        <f aca="false">IFERROR($E93*$F93,"")</f>
        <v/>
      </c>
      <c r="H93" s="14" t="str">
        <f aca="false">IF($B93="","",IF($D93="Batch embotellado",IFERROR(VLOOKUP($B93,'Fichas y precios'!$A:$M,13,FALSE())*'Mi negocio'!$B$13+'Mi negocio'!$B$14,""),IFERROR(VLOOKUP($B93,'Fichas y precios'!$A:$M,13,FALSE()),"")))</f>
        <v/>
      </c>
      <c r="I93" s="14" t="str">
        <f aca="false">IFERROR($E93*$H93,"")</f>
        <v/>
      </c>
      <c r="J93" s="14" t="str">
        <f aca="false">IFERROR($G93-$I93,"")</f>
        <v/>
      </c>
      <c r="K93" s="23" t="str">
        <f aca="false">IFERROR($J93/$G93,"")</f>
        <v/>
      </c>
      <c r="L93" s="31"/>
    </row>
    <row r="94" customFormat="false" ht="15" hidden="false" customHeight="false" outlineLevel="0" collapsed="false">
      <c r="A94" s="30"/>
      <c r="B94" s="31"/>
      <c r="C94" s="9" t="str">
        <f aca="false">IF($B94="","",IFERROR(VLOOKUP($B94,'Fichas y precios'!$A:$B,2,FALSE()),""))</f>
        <v/>
      </c>
      <c r="D94" s="31"/>
      <c r="E94" s="31"/>
      <c r="F94" s="14" t="str">
        <f aca="false">IF(OR($B94="",$D94=""),"",IFERROR(INDEX('Fichas y precios'!$P:$S,MATCH($B94,'Fichas y precios'!$A:$A,0),MATCH($D94,'Fichas y precios'!$P$5:$S$5,0)),""))</f>
        <v/>
      </c>
      <c r="G94" s="14" t="str">
        <f aca="false">IFERROR($E94*$F94,"")</f>
        <v/>
      </c>
      <c r="H94" s="14" t="str">
        <f aca="false">IF($B94="","",IF($D94="Batch embotellado",IFERROR(VLOOKUP($B94,'Fichas y precios'!$A:$M,13,FALSE())*'Mi negocio'!$B$13+'Mi negocio'!$B$14,""),IFERROR(VLOOKUP($B94,'Fichas y precios'!$A:$M,13,FALSE()),"")))</f>
        <v/>
      </c>
      <c r="I94" s="14" t="str">
        <f aca="false">IFERROR($E94*$H94,"")</f>
        <v/>
      </c>
      <c r="J94" s="14" t="str">
        <f aca="false">IFERROR($G94-$I94,"")</f>
        <v/>
      </c>
      <c r="K94" s="23" t="str">
        <f aca="false">IFERROR($J94/$G94,"")</f>
        <v/>
      </c>
      <c r="L94" s="31"/>
    </row>
    <row r="95" customFormat="false" ht="15" hidden="false" customHeight="false" outlineLevel="0" collapsed="false">
      <c r="A95" s="30"/>
      <c r="B95" s="31"/>
      <c r="C95" s="9" t="str">
        <f aca="false">IF($B95="","",IFERROR(VLOOKUP($B95,'Fichas y precios'!$A:$B,2,FALSE()),""))</f>
        <v/>
      </c>
      <c r="D95" s="31"/>
      <c r="E95" s="31"/>
      <c r="F95" s="14" t="str">
        <f aca="false">IF(OR($B95="",$D95=""),"",IFERROR(INDEX('Fichas y precios'!$P:$S,MATCH($B95,'Fichas y precios'!$A:$A,0),MATCH($D95,'Fichas y precios'!$P$5:$S$5,0)),""))</f>
        <v/>
      </c>
      <c r="G95" s="14" t="str">
        <f aca="false">IFERROR($E95*$F95,"")</f>
        <v/>
      </c>
      <c r="H95" s="14" t="str">
        <f aca="false">IF($B95="","",IF($D95="Batch embotellado",IFERROR(VLOOKUP($B95,'Fichas y precios'!$A:$M,13,FALSE())*'Mi negocio'!$B$13+'Mi negocio'!$B$14,""),IFERROR(VLOOKUP($B95,'Fichas y precios'!$A:$M,13,FALSE()),"")))</f>
        <v/>
      </c>
      <c r="I95" s="14" t="str">
        <f aca="false">IFERROR($E95*$H95,"")</f>
        <v/>
      </c>
      <c r="J95" s="14" t="str">
        <f aca="false">IFERROR($G95-$I95,"")</f>
        <v/>
      </c>
      <c r="K95" s="23" t="str">
        <f aca="false">IFERROR($J95/$G95,"")</f>
        <v/>
      </c>
      <c r="L95" s="31"/>
    </row>
    <row r="96" customFormat="false" ht="15" hidden="false" customHeight="false" outlineLevel="0" collapsed="false">
      <c r="A96" s="30"/>
      <c r="B96" s="31"/>
      <c r="C96" s="9" t="str">
        <f aca="false">IF($B96="","",IFERROR(VLOOKUP($B96,'Fichas y precios'!$A:$B,2,FALSE()),""))</f>
        <v/>
      </c>
      <c r="D96" s="31"/>
      <c r="E96" s="31"/>
      <c r="F96" s="14" t="str">
        <f aca="false">IF(OR($B96="",$D96=""),"",IFERROR(INDEX('Fichas y precios'!$P:$S,MATCH($B96,'Fichas y precios'!$A:$A,0),MATCH($D96,'Fichas y precios'!$P$5:$S$5,0)),""))</f>
        <v/>
      </c>
      <c r="G96" s="14" t="str">
        <f aca="false">IFERROR($E96*$F96,"")</f>
        <v/>
      </c>
      <c r="H96" s="14" t="str">
        <f aca="false">IF($B96="","",IF($D96="Batch embotellado",IFERROR(VLOOKUP($B96,'Fichas y precios'!$A:$M,13,FALSE())*'Mi negocio'!$B$13+'Mi negocio'!$B$14,""),IFERROR(VLOOKUP($B96,'Fichas y precios'!$A:$M,13,FALSE()),"")))</f>
        <v/>
      </c>
      <c r="I96" s="14" t="str">
        <f aca="false">IFERROR($E96*$H96,"")</f>
        <v/>
      </c>
      <c r="J96" s="14" t="str">
        <f aca="false">IFERROR($G96-$I96,"")</f>
        <v/>
      </c>
      <c r="K96" s="23" t="str">
        <f aca="false">IFERROR($J96/$G96,"")</f>
        <v/>
      </c>
      <c r="L96" s="31"/>
    </row>
    <row r="97" customFormat="false" ht="15" hidden="false" customHeight="false" outlineLevel="0" collapsed="false">
      <c r="A97" s="30"/>
      <c r="B97" s="31"/>
      <c r="C97" s="9" t="str">
        <f aca="false">IF($B97="","",IFERROR(VLOOKUP($B97,'Fichas y precios'!$A:$B,2,FALSE()),""))</f>
        <v/>
      </c>
      <c r="D97" s="31"/>
      <c r="E97" s="31"/>
      <c r="F97" s="14" t="str">
        <f aca="false">IF(OR($B97="",$D97=""),"",IFERROR(INDEX('Fichas y precios'!$P:$S,MATCH($B97,'Fichas y precios'!$A:$A,0),MATCH($D97,'Fichas y precios'!$P$5:$S$5,0)),""))</f>
        <v/>
      </c>
      <c r="G97" s="14" t="str">
        <f aca="false">IFERROR($E97*$F97,"")</f>
        <v/>
      </c>
      <c r="H97" s="14" t="str">
        <f aca="false">IF($B97="","",IF($D97="Batch embotellado",IFERROR(VLOOKUP($B97,'Fichas y precios'!$A:$M,13,FALSE())*'Mi negocio'!$B$13+'Mi negocio'!$B$14,""),IFERROR(VLOOKUP($B97,'Fichas y precios'!$A:$M,13,FALSE()),"")))</f>
        <v/>
      </c>
      <c r="I97" s="14" t="str">
        <f aca="false">IFERROR($E97*$H97,"")</f>
        <v/>
      </c>
      <c r="J97" s="14" t="str">
        <f aca="false">IFERROR($G97-$I97,"")</f>
        <v/>
      </c>
      <c r="K97" s="23" t="str">
        <f aca="false">IFERROR($J97/$G97,"")</f>
        <v/>
      </c>
      <c r="L97" s="31"/>
    </row>
    <row r="98" customFormat="false" ht="15" hidden="false" customHeight="false" outlineLevel="0" collapsed="false">
      <c r="A98" s="30"/>
      <c r="B98" s="31"/>
      <c r="C98" s="9" t="str">
        <f aca="false">IF($B98="","",IFERROR(VLOOKUP($B98,'Fichas y precios'!$A:$B,2,FALSE()),""))</f>
        <v/>
      </c>
      <c r="D98" s="31"/>
      <c r="E98" s="31"/>
      <c r="F98" s="14" t="str">
        <f aca="false">IF(OR($B98="",$D98=""),"",IFERROR(INDEX('Fichas y precios'!$P:$S,MATCH($B98,'Fichas y precios'!$A:$A,0),MATCH($D98,'Fichas y precios'!$P$5:$S$5,0)),""))</f>
        <v/>
      </c>
      <c r="G98" s="14" t="str">
        <f aca="false">IFERROR($E98*$F98,"")</f>
        <v/>
      </c>
      <c r="H98" s="14" t="str">
        <f aca="false">IF($B98="","",IF($D98="Batch embotellado",IFERROR(VLOOKUP($B98,'Fichas y precios'!$A:$M,13,FALSE())*'Mi negocio'!$B$13+'Mi negocio'!$B$14,""),IFERROR(VLOOKUP($B98,'Fichas y precios'!$A:$M,13,FALSE()),"")))</f>
        <v/>
      </c>
      <c r="I98" s="14" t="str">
        <f aca="false">IFERROR($E98*$H98,"")</f>
        <v/>
      </c>
      <c r="J98" s="14" t="str">
        <f aca="false">IFERROR($G98-$I98,"")</f>
        <v/>
      </c>
      <c r="K98" s="23" t="str">
        <f aca="false">IFERROR($J98/$G98,"")</f>
        <v/>
      </c>
      <c r="L98" s="31"/>
    </row>
    <row r="99" customFormat="false" ht="15" hidden="false" customHeight="false" outlineLevel="0" collapsed="false">
      <c r="A99" s="30"/>
      <c r="B99" s="31"/>
      <c r="C99" s="9" t="str">
        <f aca="false">IF($B99="","",IFERROR(VLOOKUP($B99,'Fichas y precios'!$A:$B,2,FALSE()),""))</f>
        <v/>
      </c>
      <c r="D99" s="31"/>
      <c r="E99" s="31"/>
      <c r="F99" s="14" t="str">
        <f aca="false">IF(OR($B99="",$D99=""),"",IFERROR(INDEX('Fichas y precios'!$P:$S,MATCH($B99,'Fichas y precios'!$A:$A,0),MATCH($D99,'Fichas y precios'!$P$5:$S$5,0)),""))</f>
        <v/>
      </c>
      <c r="G99" s="14" t="str">
        <f aca="false">IFERROR($E99*$F99,"")</f>
        <v/>
      </c>
      <c r="H99" s="14" t="str">
        <f aca="false">IF($B99="","",IF($D99="Batch embotellado",IFERROR(VLOOKUP($B99,'Fichas y precios'!$A:$M,13,FALSE())*'Mi negocio'!$B$13+'Mi negocio'!$B$14,""),IFERROR(VLOOKUP($B99,'Fichas y precios'!$A:$M,13,FALSE()),"")))</f>
        <v/>
      </c>
      <c r="I99" s="14" t="str">
        <f aca="false">IFERROR($E99*$H99,"")</f>
        <v/>
      </c>
      <c r="J99" s="14" t="str">
        <f aca="false">IFERROR($G99-$I99,"")</f>
        <v/>
      </c>
      <c r="K99" s="23" t="str">
        <f aca="false">IFERROR($J99/$G99,"")</f>
        <v/>
      </c>
      <c r="L99" s="31"/>
    </row>
    <row r="100" customFormat="false" ht="15" hidden="false" customHeight="false" outlineLevel="0" collapsed="false">
      <c r="A100" s="30"/>
      <c r="B100" s="31"/>
      <c r="C100" s="9" t="str">
        <f aca="false">IF($B100="","",IFERROR(VLOOKUP($B100,'Fichas y precios'!$A:$B,2,FALSE()),""))</f>
        <v/>
      </c>
      <c r="D100" s="31"/>
      <c r="E100" s="31"/>
      <c r="F100" s="14" t="str">
        <f aca="false">IF(OR($B100="",$D100=""),"",IFERROR(INDEX('Fichas y precios'!$P:$S,MATCH($B100,'Fichas y precios'!$A:$A,0),MATCH($D100,'Fichas y precios'!$P$5:$S$5,0)),""))</f>
        <v/>
      </c>
      <c r="G100" s="14" t="str">
        <f aca="false">IFERROR($E100*$F100,"")</f>
        <v/>
      </c>
      <c r="H100" s="14" t="str">
        <f aca="false">IF($B100="","",IF($D100="Batch embotellado",IFERROR(VLOOKUP($B100,'Fichas y precios'!$A:$M,13,FALSE())*'Mi negocio'!$B$13+'Mi negocio'!$B$14,""),IFERROR(VLOOKUP($B100,'Fichas y precios'!$A:$M,13,FALSE()),"")))</f>
        <v/>
      </c>
      <c r="I100" s="14" t="str">
        <f aca="false">IFERROR($E100*$H100,"")</f>
        <v/>
      </c>
      <c r="J100" s="14" t="str">
        <f aca="false">IFERROR($G100-$I100,"")</f>
        <v/>
      </c>
      <c r="K100" s="23" t="str">
        <f aca="false">IFERROR($J100/$G100,"")</f>
        <v/>
      </c>
      <c r="L100" s="31"/>
    </row>
    <row r="101" customFormat="false" ht="15" hidden="false" customHeight="false" outlineLevel="0" collapsed="false">
      <c r="A101" s="30"/>
      <c r="B101" s="31"/>
      <c r="C101" s="9" t="str">
        <f aca="false">IF($B101="","",IFERROR(VLOOKUP($B101,'Fichas y precios'!$A:$B,2,FALSE()),""))</f>
        <v/>
      </c>
      <c r="D101" s="31"/>
      <c r="E101" s="31"/>
      <c r="F101" s="14" t="str">
        <f aca="false">IF(OR($B101="",$D101=""),"",IFERROR(INDEX('Fichas y precios'!$P:$S,MATCH($B101,'Fichas y precios'!$A:$A,0),MATCH($D101,'Fichas y precios'!$P$5:$S$5,0)),""))</f>
        <v/>
      </c>
      <c r="G101" s="14" t="str">
        <f aca="false">IFERROR($E101*$F101,"")</f>
        <v/>
      </c>
      <c r="H101" s="14" t="str">
        <f aca="false">IF($B101="","",IF($D101="Batch embotellado",IFERROR(VLOOKUP($B101,'Fichas y precios'!$A:$M,13,FALSE())*'Mi negocio'!$B$13+'Mi negocio'!$B$14,""),IFERROR(VLOOKUP($B101,'Fichas y precios'!$A:$M,13,FALSE()),"")))</f>
        <v/>
      </c>
      <c r="I101" s="14" t="str">
        <f aca="false">IFERROR($E101*$H101,"")</f>
        <v/>
      </c>
      <c r="J101" s="14" t="str">
        <f aca="false">IFERROR($G101-$I101,"")</f>
        <v/>
      </c>
      <c r="K101" s="23" t="str">
        <f aca="false">IFERROR($J101/$G101,"")</f>
        <v/>
      </c>
      <c r="L101" s="31"/>
    </row>
    <row r="102" customFormat="false" ht="15" hidden="false" customHeight="false" outlineLevel="0" collapsed="false">
      <c r="A102" s="30"/>
      <c r="B102" s="31"/>
      <c r="C102" s="9" t="str">
        <f aca="false">IF($B102="","",IFERROR(VLOOKUP($B102,'Fichas y precios'!$A:$B,2,FALSE()),""))</f>
        <v/>
      </c>
      <c r="D102" s="31"/>
      <c r="E102" s="31"/>
      <c r="F102" s="14" t="str">
        <f aca="false">IF(OR($B102="",$D102=""),"",IFERROR(INDEX('Fichas y precios'!$P:$S,MATCH($B102,'Fichas y precios'!$A:$A,0),MATCH($D102,'Fichas y precios'!$P$5:$S$5,0)),""))</f>
        <v/>
      </c>
      <c r="G102" s="14" t="str">
        <f aca="false">IFERROR($E102*$F102,"")</f>
        <v/>
      </c>
      <c r="H102" s="14" t="str">
        <f aca="false">IF($B102="","",IF($D102="Batch embotellado",IFERROR(VLOOKUP($B102,'Fichas y precios'!$A:$M,13,FALSE())*'Mi negocio'!$B$13+'Mi negocio'!$B$14,""),IFERROR(VLOOKUP($B102,'Fichas y precios'!$A:$M,13,FALSE()),"")))</f>
        <v/>
      </c>
      <c r="I102" s="14" t="str">
        <f aca="false">IFERROR($E102*$H102,"")</f>
        <v/>
      </c>
      <c r="J102" s="14" t="str">
        <f aca="false">IFERROR($G102-$I102,"")</f>
        <v/>
      </c>
      <c r="K102" s="23" t="str">
        <f aca="false">IFERROR($J102/$G102,"")</f>
        <v/>
      </c>
      <c r="L102" s="31"/>
    </row>
    <row r="103" customFormat="false" ht="15" hidden="false" customHeight="false" outlineLevel="0" collapsed="false">
      <c r="A103" s="30"/>
      <c r="B103" s="31"/>
      <c r="C103" s="9" t="str">
        <f aca="false">IF($B103="","",IFERROR(VLOOKUP($B103,'Fichas y precios'!$A:$B,2,FALSE()),""))</f>
        <v/>
      </c>
      <c r="D103" s="31"/>
      <c r="E103" s="31"/>
      <c r="F103" s="14" t="str">
        <f aca="false">IF(OR($B103="",$D103=""),"",IFERROR(INDEX('Fichas y precios'!$P:$S,MATCH($B103,'Fichas y precios'!$A:$A,0),MATCH($D103,'Fichas y precios'!$P$5:$S$5,0)),""))</f>
        <v/>
      </c>
      <c r="G103" s="14" t="str">
        <f aca="false">IFERROR($E103*$F103,"")</f>
        <v/>
      </c>
      <c r="H103" s="14" t="str">
        <f aca="false">IF($B103="","",IF($D103="Batch embotellado",IFERROR(VLOOKUP($B103,'Fichas y precios'!$A:$M,13,FALSE())*'Mi negocio'!$B$13+'Mi negocio'!$B$14,""),IFERROR(VLOOKUP($B103,'Fichas y precios'!$A:$M,13,FALSE()),"")))</f>
        <v/>
      </c>
      <c r="I103" s="14" t="str">
        <f aca="false">IFERROR($E103*$H103,"")</f>
        <v/>
      </c>
      <c r="J103" s="14" t="str">
        <f aca="false">IFERROR($G103-$I103,"")</f>
        <v/>
      </c>
      <c r="K103" s="23" t="str">
        <f aca="false">IFERROR($J103/$G103,"")</f>
        <v/>
      </c>
      <c r="L103" s="31"/>
    </row>
    <row r="104" customFormat="false" ht="15" hidden="false" customHeight="false" outlineLevel="0" collapsed="false">
      <c r="A104" s="30"/>
      <c r="B104" s="31"/>
      <c r="C104" s="9" t="str">
        <f aca="false">IF($B104="","",IFERROR(VLOOKUP($B104,'Fichas y precios'!$A:$B,2,FALSE()),""))</f>
        <v/>
      </c>
      <c r="D104" s="31"/>
      <c r="E104" s="31"/>
      <c r="F104" s="14" t="str">
        <f aca="false">IF(OR($B104="",$D104=""),"",IFERROR(INDEX('Fichas y precios'!$P:$S,MATCH($B104,'Fichas y precios'!$A:$A,0),MATCH($D104,'Fichas y precios'!$P$5:$S$5,0)),""))</f>
        <v/>
      </c>
      <c r="G104" s="14" t="str">
        <f aca="false">IFERROR($E104*$F104,"")</f>
        <v/>
      </c>
      <c r="H104" s="14" t="str">
        <f aca="false">IF($B104="","",IF($D104="Batch embotellado",IFERROR(VLOOKUP($B104,'Fichas y precios'!$A:$M,13,FALSE())*'Mi negocio'!$B$13+'Mi negocio'!$B$14,""),IFERROR(VLOOKUP($B104,'Fichas y precios'!$A:$M,13,FALSE()),"")))</f>
        <v/>
      </c>
      <c r="I104" s="14" t="str">
        <f aca="false">IFERROR($E104*$H104,"")</f>
        <v/>
      </c>
      <c r="J104" s="14" t="str">
        <f aca="false">IFERROR($G104-$I104,"")</f>
        <v/>
      </c>
      <c r="K104" s="23" t="str">
        <f aca="false">IFERROR($J104/$G104,"")</f>
        <v/>
      </c>
      <c r="L104" s="31"/>
    </row>
    <row r="105" customFormat="false" ht="15" hidden="false" customHeight="false" outlineLevel="0" collapsed="false">
      <c r="A105" s="30"/>
      <c r="B105" s="31"/>
      <c r="C105" s="9" t="str">
        <f aca="false">IF($B105="","",IFERROR(VLOOKUP($B105,'Fichas y precios'!$A:$B,2,FALSE()),""))</f>
        <v/>
      </c>
      <c r="D105" s="31"/>
      <c r="E105" s="31"/>
      <c r="F105" s="14" t="str">
        <f aca="false">IF(OR($B105="",$D105=""),"",IFERROR(INDEX('Fichas y precios'!$P:$S,MATCH($B105,'Fichas y precios'!$A:$A,0),MATCH($D105,'Fichas y precios'!$P$5:$S$5,0)),""))</f>
        <v/>
      </c>
      <c r="G105" s="14" t="str">
        <f aca="false">IFERROR($E105*$F105,"")</f>
        <v/>
      </c>
      <c r="H105" s="14" t="str">
        <f aca="false">IF($B105="","",IF($D105="Batch embotellado",IFERROR(VLOOKUP($B105,'Fichas y precios'!$A:$M,13,FALSE())*'Mi negocio'!$B$13+'Mi negocio'!$B$14,""),IFERROR(VLOOKUP($B105,'Fichas y precios'!$A:$M,13,FALSE()),"")))</f>
        <v/>
      </c>
      <c r="I105" s="14" t="str">
        <f aca="false">IFERROR($E105*$H105,"")</f>
        <v/>
      </c>
      <c r="J105" s="14" t="str">
        <f aca="false">IFERROR($G105-$I105,"")</f>
        <v/>
      </c>
      <c r="K105" s="23" t="str">
        <f aca="false">IFERROR($J105/$G105,"")</f>
        <v/>
      </c>
      <c r="L105" s="31"/>
    </row>
    <row r="106" customFormat="false" ht="15" hidden="false" customHeight="false" outlineLevel="0" collapsed="false">
      <c r="A106" s="30"/>
      <c r="B106" s="31"/>
      <c r="C106" s="9" t="str">
        <f aca="false">IF($B106="","",IFERROR(VLOOKUP($B106,'Fichas y precios'!$A:$B,2,FALSE()),""))</f>
        <v/>
      </c>
      <c r="D106" s="31"/>
      <c r="E106" s="31"/>
      <c r="F106" s="14" t="str">
        <f aca="false">IF(OR($B106="",$D106=""),"",IFERROR(INDEX('Fichas y precios'!$P:$S,MATCH($B106,'Fichas y precios'!$A:$A,0),MATCH($D106,'Fichas y precios'!$P$5:$S$5,0)),""))</f>
        <v/>
      </c>
      <c r="G106" s="14" t="str">
        <f aca="false">IFERROR($E106*$F106,"")</f>
        <v/>
      </c>
      <c r="H106" s="14" t="str">
        <f aca="false">IF($B106="","",IF($D106="Batch embotellado",IFERROR(VLOOKUP($B106,'Fichas y precios'!$A:$M,13,FALSE())*'Mi negocio'!$B$13+'Mi negocio'!$B$14,""),IFERROR(VLOOKUP($B106,'Fichas y precios'!$A:$M,13,FALSE()),"")))</f>
        <v/>
      </c>
      <c r="I106" s="14" t="str">
        <f aca="false">IFERROR($E106*$H106,"")</f>
        <v/>
      </c>
      <c r="J106" s="14" t="str">
        <f aca="false">IFERROR($G106-$I106,"")</f>
        <v/>
      </c>
      <c r="K106" s="23" t="str">
        <f aca="false">IFERROR($J106/$G106,"")</f>
        <v/>
      </c>
      <c r="L106" s="31"/>
    </row>
    <row r="107" customFormat="false" ht="15" hidden="false" customHeight="false" outlineLevel="0" collapsed="false">
      <c r="A107" s="30"/>
      <c r="B107" s="31"/>
      <c r="C107" s="9" t="str">
        <f aca="false">IF($B107="","",IFERROR(VLOOKUP($B107,'Fichas y precios'!$A:$B,2,FALSE()),""))</f>
        <v/>
      </c>
      <c r="D107" s="31"/>
      <c r="E107" s="31"/>
      <c r="F107" s="14" t="str">
        <f aca="false">IF(OR($B107="",$D107=""),"",IFERROR(INDEX('Fichas y precios'!$P:$S,MATCH($B107,'Fichas y precios'!$A:$A,0),MATCH($D107,'Fichas y precios'!$P$5:$S$5,0)),""))</f>
        <v/>
      </c>
      <c r="G107" s="14" t="str">
        <f aca="false">IFERROR($E107*$F107,"")</f>
        <v/>
      </c>
      <c r="H107" s="14" t="str">
        <f aca="false">IF($B107="","",IF($D107="Batch embotellado",IFERROR(VLOOKUP($B107,'Fichas y precios'!$A:$M,13,FALSE())*'Mi negocio'!$B$13+'Mi negocio'!$B$14,""),IFERROR(VLOOKUP($B107,'Fichas y precios'!$A:$M,13,FALSE()),"")))</f>
        <v/>
      </c>
      <c r="I107" s="14" t="str">
        <f aca="false">IFERROR($E107*$H107,"")</f>
        <v/>
      </c>
      <c r="J107" s="14" t="str">
        <f aca="false">IFERROR($G107-$I107,"")</f>
        <v/>
      </c>
      <c r="K107" s="23" t="str">
        <f aca="false">IFERROR($J107/$G107,"")</f>
        <v/>
      </c>
      <c r="L107" s="31"/>
    </row>
    <row r="108" customFormat="false" ht="15" hidden="false" customHeight="false" outlineLevel="0" collapsed="false">
      <c r="A108" s="30"/>
      <c r="B108" s="31"/>
      <c r="C108" s="9" t="str">
        <f aca="false">IF($B108="","",IFERROR(VLOOKUP($B108,'Fichas y precios'!$A:$B,2,FALSE()),""))</f>
        <v/>
      </c>
      <c r="D108" s="31"/>
      <c r="E108" s="31"/>
      <c r="F108" s="14" t="str">
        <f aca="false">IF(OR($B108="",$D108=""),"",IFERROR(INDEX('Fichas y precios'!$P:$S,MATCH($B108,'Fichas y precios'!$A:$A,0),MATCH($D108,'Fichas y precios'!$P$5:$S$5,0)),""))</f>
        <v/>
      </c>
      <c r="G108" s="14" t="str">
        <f aca="false">IFERROR($E108*$F108,"")</f>
        <v/>
      </c>
      <c r="H108" s="14" t="str">
        <f aca="false">IF($B108="","",IF($D108="Batch embotellado",IFERROR(VLOOKUP($B108,'Fichas y precios'!$A:$M,13,FALSE())*'Mi negocio'!$B$13+'Mi negocio'!$B$14,""),IFERROR(VLOOKUP($B108,'Fichas y precios'!$A:$M,13,FALSE()),"")))</f>
        <v/>
      </c>
      <c r="I108" s="14" t="str">
        <f aca="false">IFERROR($E108*$H108,"")</f>
        <v/>
      </c>
      <c r="J108" s="14" t="str">
        <f aca="false">IFERROR($G108-$I108,"")</f>
        <v/>
      </c>
      <c r="K108" s="23" t="str">
        <f aca="false">IFERROR($J108/$G108,"")</f>
        <v/>
      </c>
      <c r="L108" s="31"/>
    </row>
    <row r="109" customFormat="false" ht="15" hidden="false" customHeight="false" outlineLevel="0" collapsed="false">
      <c r="A109" s="30"/>
      <c r="B109" s="31"/>
      <c r="C109" s="9" t="str">
        <f aca="false">IF($B109="","",IFERROR(VLOOKUP($B109,'Fichas y precios'!$A:$B,2,FALSE()),""))</f>
        <v/>
      </c>
      <c r="D109" s="31"/>
      <c r="E109" s="31"/>
      <c r="F109" s="14" t="str">
        <f aca="false">IF(OR($B109="",$D109=""),"",IFERROR(INDEX('Fichas y precios'!$P:$S,MATCH($B109,'Fichas y precios'!$A:$A,0),MATCH($D109,'Fichas y precios'!$P$5:$S$5,0)),""))</f>
        <v/>
      </c>
      <c r="G109" s="14" t="str">
        <f aca="false">IFERROR($E109*$F109,"")</f>
        <v/>
      </c>
      <c r="H109" s="14" t="str">
        <f aca="false">IF($B109="","",IF($D109="Batch embotellado",IFERROR(VLOOKUP($B109,'Fichas y precios'!$A:$M,13,FALSE())*'Mi negocio'!$B$13+'Mi negocio'!$B$14,""),IFERROR(VLOOKUP($B109,'Fichas y precios'!$A:$M,13,FALSE()),"")))</f>
        <v/>
      </c>
      <c r="I109" s="14" t="str">
        <f aca="false">IFERROR($E109*$H109,"")</f>
        <v/>
      </c>
      <c r="J109" s="14" t="str">
        <f aca="false">IFERROR($G109-$I109,"")</f>
        <v/>
      </c>
      <c r="K109" s="23" t="str">
        <f aca="false">IFERROR($J109/$G109,"")</f>
        <v/>
      </c>
      <c r="L109" s="31"/>
    </row>
    <row r="110" customFormat="false" ht="15" hidden="false" customHeight="false" outlineLevel="0" collapsed="false">
      <c r="A110" s="30"/>
      <c r="B110" s="31"/>
      <c r="C110" s="9" t="str">
        <f aca="false">IF($B110="","",IFERROR(VLOOKUP($B110,'Fichas y precios'!$A:$B,2,FALSE()),""))</f>
        <v/>
      </c>
      <c r="D110" s="31"/>
      <c r="E110" s="31"/>
      <c r="F110" s="14" t="str">
        <f aca="false">IF(OR($B110="",$D110=""),"",IFERROR(INDEX('Fichas y precios'!$P:$S,MATCH($B110,'Fichas y precios'!$A:$A,0),MATCH($D110,'Fichas y precios'!$P$5:$S$5,0)),""))</f>
        <v/>
      </c>
      <c r="G110" s="14" t="str">
        <f aca="false">IFERROR($E110*$F110,"")</f>
        <v/>
      </c>
      <c r="H110" s="14" t="str">
        <f aca="false">IF($B110="","",IF($D110="Batch embotellado",IFERROR(VLOOKUP($B110,'Fichas y precios'!$A:$M,13,FALSE())*'Mi negocio'!$B$13+'Mi negocio'!$B$14,""),IFERROR(VLOOKUP($B110,'Fichas y precios'!$A:$M,13,FALSE()),"")))</f>
        <v/>
      </c>
      <c r="I110" s="14" t="str">
        <f aca="false">IFERROR($E110*$H110,"")</f>
        <v/>
      </c>
      <c r="J110" s="14" t="str">
        <f aca="false">IFERROR($G110-$I110,"")</f>
        <v/>
      </c>
      <c r="K110" s="23" t="str">
        <f aca="false">IFERROR($J110/$G110,"")</f>
        <v/>
      </c>
      <c r="L110" s="31"/>
    </row>
    <row r="111" customFormat="false" ht="15" hidden="false" customHeight="false" outlineLevel="0" collapsed="false">
      <c r="A111" s="30"/>
      <c r="B111" s="31"/>
      <c r="C111" s="9" t="str">
        <f aca="false">IF($B111="","",IFERROR(VLOOKUP($B111,'Fichas y precios'!$A:$B,2,FALSE()),""))</f>
        <v/>
      </c>
      <c r="D111" s="31"/>
      <c r="E111" s="31"/>
      <c r="F111" s="14" t="str">
        <f aca="false">IF(OR($B111="",$D111=""),"",IFERROR(INDEX('Fichas y precios'!$P:$S,MATCH($B111,'Fichas y precios'!$A:$A,0),MATCH($D111,'Fichas y precios'!$P$5:$S$5,0)),""))</f>
        <v/>
      </c>
      <c r="G111" s="14" t="str">
        <f aca="false">IFERROR($E111*$F111,"")</f>
        <v/>
      </c>
      <c r="H111" s="14" t="str">
        <f aca="false">IF($B111="","",IF($D111="Batch embotellado",IFERROR(VLOOKUP($B111,'Fichas y precios'!$A:$M,13,FALSE())*'Mi negocio'!$B$13+'Mi negocio'!$B$14,""),IFERROR(VLOOKUP($B111,'Fichas y precios'!$A:$M,13,FALSE()),"")))</f>
        <v/>
      </c>
      <c r="I111" s="14" t="str">
        <f aca="false">IFERROR($E111*$H111,"")</f>
        <v/>
      </c>
      <c r="J111" s="14" t="str">
        <f aca="false">IFERROR($G111-$I111,"")</f>
        <v/>
      </c>
      <c r="K111" s="23" t="str">
        <f aca="false">IFERROR($J111/$G111,"")</f>
        <v/>
      </c>
      <c r="L111" s="31"/>
    </row>
    <row r="112" customFormat="false" ht="15" hidden="false" customHeight="false" outlineLevel="0" collapsed="false">
      <c r="A112" s="30"/>
      <c r="B112" s="31"/>
      <c r="C112" s="9" t="str">
        <f aca="false">IF($B112="","",IFERROR(VLOOKUP($B112,'Fichas y precios'!$A:$B,2,FALSE()),""))</f>
        <v/>
      </c>
      <c r="D112" s="31"/>
      <c r="E112" s="31"/>
      <c r="F112" s="14" t="str">
        <f aca="false">IF(OR($B112="",$D112=""),"",IFERROR(INDEX('Fichas y precios'!$P:$S,MATCH($B112,'Fichas y precios'!$A:$A,0),MATCH($D112,'Fichas y precios'!$P$5:$S$5,0)),""))</f>
        <v/>
      </c>
      <c r="G112" s="14" t="str">
        <f aca="false">IFERROR($E112*$F112,"")</f>
        <v/>
      </c>
      <c r="H112" s="14" t="str">
        <f aca="false">IF($B112="","",IF($D112="Batch embotellado",IFERROR(VLOOKUP($B112,'Fichas y precios'!$A:$M,13,FALSE())*'Mi negocio'!$B$13+'Mi negocio'!$B$14,""),IFERROR(VLOOKUP($B112,'Fichas y precios'!$A:$M,13,FALSE()),"")))</f>
        <v/>
      </c>
      <c r="I112" s="14" t="str">
        <f aca="false">IFERROR($E112*$H112,"")</f>
        <v/>
      </c>
      <c r="J112" s="14" t="str">
        <f aca="false">IFERROR($G112-$I112,"")</f>
        <v/>
      </c>
      <c r="K112" s="23" t="str">
        <f aca="false">IFERROR($J112/$G112,"")</f>
        <v/>
      </c>
      <c r="L112" s="31"/>
    </row>
    <row r="113" customFormat="false" ht="15" hidden="false" customHeight="false" outlineLevel="0" collapsed="false">
      <c r="A113" s="30"/>
      <c r="B113" s="31"/>
      <c r="C113" s="9" t="str">
        <f aca="false">IF($B113="","",IFERROR(VLOOKUP($B113,'Fichas y precios'!$A:$B,2,FALSE()),""))</f>
        <v/>
      </c>
      <c r="D113" s="31"/>
      <c r="E113" s="31"/>
      <c r="F113" s="14" t="str">
        <f aca="false">IF(OR($B113="",$D113=""),"",IFERROR(INDEX('Fichas y precios'!$P:$S,MATCH($B113,'Fichas y precios'!$A:$A,0),MATCH($D113,'Fichas y precios'!$P$5:$S$5,0)),""))</f>
        <v/>
      </c>
      <c r="G113" s="14" t="str">
        <f aca="false">IFERROR($E113*$F113,"")</f>
        <v/>
      </c>
      <c r="H113" s="14" t="str">
        <f aca="false">IF($B113="","",IF($D113="Batch embotellado",IFERROR(VLOOKUP($B113,'Fichas y precios'!$A:$M,13,FALSE())*'Mi negocio'!$B$13+'Mi negocio'!$B$14,""),IFERROR(VLOOKUP($B113,'Fichas y precios'!$A:$M,13,FALSE()),"")))</f>
        <v/>
      </c>
      <c r="I113" s="14" t="str">
        <f aca="false">IFERROR($E113*$H113,"")</f>
        <v/>
      </c>
      <c r="J113" s="14" t="str">
        <f aca="false">IFERROR($G113-$I113,"")</f>
        <v/>
      </c>
      <c r="K113" s="23" t="str">
        <f aca="false">IFERROR($J113/$G113,"")</f>
        <v/>
      </c>
      <c r="L113" s="31"/>
    </row>
    <row r="114" customFormat="false" ht="15" hidden="false" customHeight="false" outlineLevel="0" collapsed="false">
      <c r="A114" s="30"/>
      <c r="B114" s="31"/>
      <c r="C114" s="9" t="str">
        <f aca="false">IF($B114="","",IFERROR(VLOOKUP($B114,'Fichas y precios'!$A:$B,2,FALSE()),""))</f>
        <v/>
      </c>
      <c r="D114" s="31"/>
      <c r="E114" s="31"/>
      <c r="F114" s="14" t="str">
        <f aca="false">IF(OR($B114="",$D114=""),"",IFERROR(INDEX('Fichas y precios'!$P:$S,MATCH($B114,'Fichas y precios'!$A:$A,0),MATCH($D114,'Fichas y precios'!$P$5:$S$5,0)),""))</f>
        <v/>
      </c>
      <c r="G114" s="14" t="str">
        <f aca="false">IFERROR($E114*$F114,"")</f>
        <v/>
      </c>
      <c r="H114" s="14" t="str">
        <f aca="false">IF($B114="","",IF($D114="Batch embotellado",IFERROR(VLOOKUP($B114,'Fichas y precios'!$A:$M,13,FALSE())*'Mi negocio'!$B$13+'Mi negocio'!$B$14,""),IFERROR(VLOOKUP($B114,'Fichas y precios'!$A:$M,13,FALSE()),"")))</f>
        <v/>
      </c>
      <c r="I114" s="14" t="str">
        <f aca="false">IFERROR($E114*$H114,"")</f>
        <v/>
      </c>
      <c r="J114" s="14" t="str">
        <f aca="false">IFERROR($G114-$I114,"")</f>
        <v/>
      </c>
      <c r="K114" s="23" t="str">
        <f aca="false">IFERROR($J114/$G114,"")</f>
        <v/>
      </c>
      <c r="L114" s="31"/>
    </row>
    <row r="115" customFormat="false" ht="15" hidden="false" customHeight="false" outlineLevel="0" collapsed="false">
      <c r="A115" s="30"/>
      <c r="B115" s="31"/>
      <c r="C115" s="9" t="str">
        <f aca="false">IF($B115="","",IFERROR(VLOOKUP($B115,'Fichas y precios'!$A:$B,2,FALSE()),""))</f>
        <v/>
      </c>
      <c r="D115" s="31"/>
      <c r="E115" s="31"/>
      <c r="F115" s="14" t="str">
        <f aca="false">IF(OR($B115="",$D115=""),"",IFERROR(INDEX('Fichas y precios'!$P:$S,MATCH($B115,'Fichas y precios'!$A:$A,0),MATCH($D115,'Fichas y precios'!$P$5:$S$5,0)),""))</f>
        <v/>
      </c>
      <c r="G115" s="14" t="str">
        <f aca="false">IFERROR($E115*$F115,"")</f>
        <v/>
      </c>
      <c r="H115" s="14" t="str">
        <f aca="false">IF($B115="","",IF($D115="Batch embotellado",IFERROR(VLOOKUP($B115,'Fichas y precios'!$A:$M,13,FALSE())*'Mi negocio'!$B$13+'Mi negocio'!$B$14,""),IFERROR(VLOOKUP($B115,'Fichas y precios'!$A:$M,13,FALSE()),"")))</f>
        <v/>
      </c>
      <c r="I115" s="14" t="str">
        <f aca="false">IFERROR($E115*$H115,"")</f>
        <v/>
      </c>
      <c r="J115" s="14" t="str">
        <f aca="false">IFERROR($G115-$I115,"")</f>
        <v/>
      </c>
      <c r="K115" s="23" t="str">
        <f aca="false">IFERROR($J115/$G115,"")</f>
        <v/>
      </c>
      <c r="L115" s="31"/>
    </row>
    <row r="116" customFormat="false" ht="15" hidden="false" customHeight="false" outlineLevel="0" collapsed="false">
      <c r="A116" s="30"/>
      <c r="B116" s="31"/>
      <c r="C116" s="9" t="str">
        <f aca="false">IF($B116="","",IFERROR(VLOOKUP($B116,'Fichas y precios'!$A:$B,2,FALSE()),""))</f>
        <v/>
      </c>
      <c r="D116" s="31"/>
      <c r="E116" s="31"/>
      <c r="F116" s="14" t="str">
        <f aca="false">IF(OR($B116="",$D116=""),"",IFERROR(INDEX('Fichas y precios'!$P:$S,MATCH($B116,'Fichas y precios'!$A:$A,0),MATCH($D116,'Fichas y precios'!$P$5:$S$5,0)),""))</f>
        <v/>
      </c>
      <c r="G116" s="14" t="str">
        <f aca="false">IFERROR($E116*$F116,"")</f>
        <v/>
      </c>
      <c r="H116" s="14" t="str">
        <f aca="false">IF($B116="","",IF($D116="Batch embotellado",IFERROR(VLOOKUP($B116,'Fichas y precios'!$A:$M,13,FALSE())*'Mi negocio'!$B$13+'Mi negocio'!$B$14,""),IFERROR(VLOOKUP($B116,'Fichas y precios'!$A:$M,13,FALSE()),"")))</f>
        <v/>
      </c>
      <c r="I116" s="14" t="str">
        <f aca="false">IFERROR($E116*$H116,"")</f>
        <v/>
      </c>
      <c r="J116" s="14" t="str">
        <f aca="false">IFERROR($G116-$I116,"")</f>
        <v/>
      </c>
      <c r="K116" s="23" t="str">
        <f aca="false">IFERROR($J116/$G116,"")</f>
        <v/>
      </c>
      <c r="L116" s="31"/>
    </row>
    <row r="117" customFormat="false" ht="15" hidden="false" customHeight="false" outlineLevel="0" collapsed="false">
      <c r="A117" s="30"/>
      <c r="B117" s="31"/>
      <c r="C117" s="9" t="str">
        <f aca="false">IF($B117="","",IFERROR(VLOOKUP($B117,'Fichas y precios'!$A:$B,2,FALSE()),""))</f>
        <v/>
      </c>
      <c r="D117" s="31"/>
      <c r="E117" s="31"/>
      <c r="F117" s="14" t="str">
        <f aca="false">IF(OR($B117="",$D117=""),"",IFERROR(INDEX('Fichas y precios'!$P:$S,MATCH($B117,'Fichas y precios'!$A:$A,0),MATCH($D117,'Fichas y precios'!$P$5:$S$5,0)),""))</f>
        <v/>
      </c>
      <c r="G117" s="14" t="str">
        <f aca="false">IFERROR($E117*$F117,"")</f>
        <v/>
      </c>
      <c r="H117" s="14" t="str">
        <f aca="false">IF($B117="","",IF($D117="Batch embotellado",IFERROR(VLOOKUP($B117,'Fichas y precios'!$A:$M,13,FALSE())*'Mi negocio'!$B$13+'Mi negocio'!$B$14,""),IFERROR(VLOOKUP($B117,'Fichas y precios'!$A:$M,13,FALSE()),"")))</f>
        <v/>
      </c>
      <c r="I117" s="14" t="str">
        <f aca="false">IFERROR($E117*$H117,"")</f>
        <v/>
      </c>
      <c r="J117" s="14" t="str">
        <f aca="false">IFERROR($G117-$I117,"")</f>
        <v/>
      </c>
      <c r="K117" s="23" t="str">
        <f aca="false">IFERROR($J117/$G117,"")</f>
        <v/>
      </c>
      <c r="L117" s="31"/>
    </row>
    <row r="118" customFormat="false" ht="15" hidden="false" customHeight="false" outlineLevel="0" collapsed="false">
      <c r="A118" s="30"/>
      <c r="B118" s="31"/>
      <c r="C118" s="9" t="str">
        <f aca="false">IF($B118="","",IFERROR(VLOOKUP($B118,'Fichas y precios'!$A:$B,2,FALSE()),""))</f>
        <v/>
      </c>
      <c r="D118" s="31"/>
      <c r="E118" s="31"/>
      <c r="F118" s="14" t="str">
        <f aca="false">IF(OR($B118="",$D118=""),"",IFERROR(INDEX('Fichas y precios'!$P:$S,MATCH($B118,'Fichas y precios'!$A:$A,0),MATCH($D118,'Fichas y precios'!$P$5:$S$5,0)),""))</f>
        <v/>
      </c>
      <c r="G118" s="14" t="str">
        <f aca="false">IFERROR($E118*$F118,"")</f>
        <v/>
      </c>
      <c r="H118" s="14" t="str">
        <f aca="false">IF($B118="","",IF($D118="Batch embotellado",IFERROR(VLOOKUP($B118,'Fichas y precios'!$A:$M,13,FALSE())*'Mi negocio'!$B$13+'Mi negocio'!$B$14,""),IFERROR(VLOOKUP($B118,'Fichas y precios'!$A:$M,13,FALSE()),"")))</f>
        <v/>
      </c>
      <c r="I118" s="14" t="str">
        <f aca="false">IFERROR($E118*$H118,"")</f>
        <v/>
      </c>
      <c r="J118" s="14" t="str">
        <f aca="false">IFERROR($G118-$I118,"")</f>
        <v/>
      </c>
      <c r="K118" s="23" t="str">
        <f aca="false">IFERROR($J118/$G118,"")</f>
        <v/>
      </c>
      <c r="L118" s="31"/>
    </row>
    <row r="119" customFormat="false" ht="15" hidden="false" customHeight="false" outlineLevel="0" collapsed="false">
      <c r="A119" s="30"/>
      <c r="B119" s="31"/>
      <c r="C119" s="9" t="str">
        <f aca="false">IF($B119="","",IFERROR(VLOOKUP($B119,'Fichas y precios'!$A:$B,2,FALSE()),""))</f>
        <v/>
      </c>
      <c r="D119" s="31"/>
      <c r="E119" s="31"/>
      <c r="F119" s="14" t="str">
        <f aca="false">IF(OR($B119="",$D119=""),"",IFERROR(INDEX('Fichas y precios'!$P:$S,MATCH($B119,'Fichas y precios'!$A:$A,0),MATCH($D119,'Fichas y precios'!$P$5:$S$5,0)),""))</f>
        <v/>
      </c>
      <c r="G119" s="14" t="str">
        <f aca="false">IFERROR($E119*$F119,"")</f>
        <v/>
      </c>
      <c r="H119" s="14" t="str">
        <f aca="false">IF($B119="","",IF($D119="Batch embotellado",IFERROR(VLOOKUP($B119,'Fichas y precios'!$A:$M,13,FALSE())*'Mi negocio'!$B$13+'Mi negocio'!$B$14,""),IFERROR(VLOOKUP($B119,'Fichas y precios'!$A:$M,13,FALSE()),"")))</f>
        <v/>
      </c>
      <c r="I119" s="14" t="str">
        <f aca="false">IFERROR($E119*$H119,"")</f>
        <v/>
      </c>
      <c r="J119" s="14" t="str">
        <f aca="false">IFERROR($G119-$I119,"")</f>
        <v/>
      </c>
      <c r="K119" s="23" t="str">
        <f aca="false">IFERROR($J119/$G119,"")</f>
        <v/>
      </c>
      <c r="L119" s="31"/>
    </row>
    <row r="120" customFormat="false" ht="15" hidden="false" customHeight="false" outlineLevel="0" collapsed="false">
      <c r="A120" s="30"/>
      <c r="B120" s="31"/>
      <c r="C120" s="9" t="str">
        <f aca="false">IF($B120="","",IFERROR(VLOOKUP($B120,'Fichas y precios'!$A:$B,2,FALSE()),""))</f>
        <v/>
      </c>
      <c r="D120" s="31"/>
      <c r="E120" s="31"/>
      <c r="F120" s="14" t="str">
        <f aca="false">IF(OR($B120="",$D120=""),"",IFERROR(INDEX('Fichas y precios'!$P:$S,MATCH($B120,'Fichas y precios'!$A:$A,0),MATCH($D120,'Fichas y precios'!$P$5:$S$5,0)),""))</f>
        <v/>
      </c>
      <c r="G120" s="14" t="str">
        <f aca="false">IFERROR($E120*$F120,"")</f>
        <v/>
      </c>
      <c r="H120" s="14" t="str">
        <f aca="false">IF($B120="","",IF($D120="Batch embotellado",IFERROR(VLOOKUP($B120,'Fichas y precios'!$A:$M,13,FALSE())*'Mi negocio'!$B$13+'Mi negocio'!$B$14,""),IFERROR(VLOOKUP($B120,'Fichas y precios'!$A:$M,13,FALSE()),"")))</f>
        <v/>
      </c>
      <c r="I120" s="14" t="str">
        <f aca="false">IFERROR($E120*$H120,"")</f>
        <v/>
      </c>
      <c r="J120" s="14" t="str">
        <f aca="false">IFERROR($G120-$I120,"")</f>
        <v/>
      </c>
      <c r="K120" s="23" t="str">
        <f aca="false">IFERROR($J120/$G120,"")</f>
        <v/>
      </c>
      <c r="L120" s="31"/>
    </row>
    <row r="121" customFormat="false" ht="15" hidden="false" customHeight="false" outlineLevel="0" collapsed="false">
      <c r="A121" s="30"/>
      <c r="B121" s="31"/>
      <c r="C121" s="9" t="str">
        <f aca="false">IF($B121="","",IFERROR(VLOOKUP($B121,'Fichas y precios'!$A:$B,2,FALSE()),""))</f>
        <v/>
      </c>
      <c r="D121" s="31"/>
      <c r="E121" s="31"/>
      <c r="F121" s="14" t="str">
        <f aca="false">IF(OR($B121="",$D121=""),"",IFERROR(INDEX('Fichas y precios'!$P:$S,MATCH($B121,'Fichas y precios'!$A:$A,0),MATCH($D121,'Fichas y precios'!$P$5:$S$5,0)),""))</f>
        <v/>
      </c>
      <c r="G121" s="14" t="str">
        <f aca="false">IFERROR($E121*$F121,"")</f>
        <v/>
      </c>
      <c r="H121" s="14" t="str">
        <f aca="false">IF($B121="","",IF($D121="Batch embotellado",IFERROR(VLOOKUP($B121,'Fichas y precios'!$A:$M,13,FALSE())*'Mi negocio'!$B$13+'Mi negocio'!$B$14,""),IFERROR(VLOOKUP($B121,'Fichas y precios'!$A:$M,13,FALSE()),"")))</f>
        <v/>
      </c>
      <c r="I121" s="14" t="str">
        <f aca="false">IFERROR($E121*$H121,"")</f>
        <v/>
      </c>
      <c r="J121" s="14" t="str">
        <f aca="false">IFERROR($G121-$I121,"")</f>
        <v/>
      </c>
      <c r="K121" s="23" t="str">
        <f aca="false">IFERROR($J121/$G121,"")</f>
        <v/>
      </c>
      <c r="L121" s="31"/>
    </row>
    <row r="122" customFormat="false" ht="15" hidden="false" customHeight="false" outlineLevel="0" collapsed="false">
      <c r="A122" s="30"/>
      <c r="B122" s="31"/>
      <c r="C122" s="9" t="str">
        <f aca="false">IF($B122="","",IFERROR(VLOOKUP($B122,'Fichas y precios'!$A:$B,2,FALSE()),""))</f>
        <v/>
      </c>
      <c r="D122" s="31"/>
      <c r="E122" s="31"/>
      <c r="F122" s="14" t="str">
        <f aca="false">IF(OR($B122="",$D122=""),"",IFERROR(INDEX('Fichas y precios'!$P:$S,MATCH($B122,'Fichas y precios'!$A:$A,0),MATCH($D122,'Fichas y precios'!$P$5:$S$5,0)),""))</f>
        <v/>
      </c>
      <c r="G122" s="14" t="str">
        <f aca="false">IFERROR($E122*$F122,"")</f>
        <v/>
      </c>
      <c r="H122" s="14" t="str">
        <f aca="false">IF($B122="","",IF($D122="Batch embotellado",IFERROR(VLOOKUP($B122,'Fichas y precios'!$A:$M,13,FALSE())*'Mi negocio'!$B$13+'Mi negocio'!$B$14,""),IFERROR(VLOOKUP($B122,'Fichas y precios'!$A:$M,13,FALSE()),"")))</f>
        <v/>
      </c>
      <c r="I122" s="14" t="str">
        <f aca="false">IFERROR($E122*$H122,"")</f>
        <v/>
      </c>
      <c r="J122" s="14" t="str">
        <f aca="false">IFERROR($G122-$I122,"")</f>
        <v/>
      </c>
      <c r="K122" s="23" t="str">
        <f aca="false">IFERROR($J122/$G122,"")</f>
        <v/>
      </c>
      <c r="L122" s="31"/>
    </row>
    <row r="123" customFormat="false" ht="15" hidden="false" customHeight="false" outlineLevel="0" collapsed="false">
      <c r="A123" s="30"/>
      <c r="B123" s="31"/>
      <c r="C123" s="9" t="str">
        <f aca="false">IF($B123="","",IFERROR(VLOOKUP($B123,'Fichas y precios'!$A:$B,2,FALSE()),""))</f>
        <v/>
      </c>
      <c r="D123" s="31"/>
      <c r="E123" s="31"/>
      <c r="F123" s="14" t="str">
        <f aca="false">IF(OR($B123="",$D123=""),"",IFERROR(INDEX('Fichas y precios'!$P:$S,MATCH($B123,'Fichas y precios'!$A:$A,0),MATCH($D123,'Fichas y precios'!$P$5:$S$5,0)),""))</f>
        <v/>
      </c>
      <c r="G123" s="14" t="str">
        <f aca="false">IFERROR($E123*$F123,"")</f>
        <v/>
      </c>
      <c r="H123" s="14" t="str">
        <f aca="false">IF($B123="","",IF($D123="Batch embotellado",IFERROR(VLOOKUP($B123,'Fichas y precios'!$A:$M,13,FALSE())*'Mi negocio'!$B$13+'Mi negocio'!$B$14,""),IFERROR(VLOOKUP($B123,'Fichas y precios'!$A:$M,13,FALSE()),"")))</f>
        <v/>
      </c>
      <c r="I123" s="14" t="str">
        <f aca="false">IFERROR($E123*$H123,"")</f>
        <v/>
      </c>
      <c r="J123" s="14" t="str">
        <f aca="false">IFERROR($G123-$I123,"")</f>
        <v/>
      </c>
      <c r="K123" s="23" t="str">
        <f aca="false">IFERROR($J123/$G123,"")</f>
        <v/>
      </c>
      <c r="L123" s="31"/>
    </row>
    <row r="124" customFormat="false" ht="15" hidden="false" customHeight="false" outlineLevel="0" collapsed="false">
      <c r="A124" s="30"/>
      <c r="B124" s="31"/>
      <c r="C124" s="9" t="str">
        <f aca="false">IF($B124="","",IFERROR(VLOOKUP($B124,'Fichas y precios'!$A:$B,2,FALSE()),""))</f>
        <v/>
      </c>
      <c r="D124" s="31"/>
      <c r="E124" s="31"/>
      <c r="F124" s="14" t="str">
        <f aca="false">IF(OR($B124="",$D124=""),"",IFERROR(INDEX('Fichas y precios'!$P:$S,MATCH($B124,'Fichas y precios'!$A:$A,0),MATCH($D124,'Fichas y precios'!$P$5:$S$5,0)),""))</f>
        <v/>
      </c>
      <c r="G124" s="14" t="str">
        <f aca="false">IFERROR($E124*$F124,"")</f>
        <v/>
      </c>
      <c r="H124" s="14" t="str">
        <f aca="false">IF($B124="","",IF($D124="Batch embotellado",IFERROR(VLOOKUP($B124,'Fichas y precios'!$A:$M,13,FALSE())*'Mi negocio'!$B$13+'Mi negocio'!$B$14,""),IFERROR(VLOOKUP($B124,'Fichas y precios'!$A:$M,13,FALSE()),"")))</f>
        <v/>
      </c>
      <c r="I124" s="14" t="str">
        <f aca="false">IFERROR($E124*$H124,"")</f>
        <v/>
      </c>
      <c r="J124" s="14" t="str">
        <f aca="false">IFERROR($G124-$I124,"")</f>
        <v/>
      </c>
      <c r="K124" s="23" t="str">
        <f aca="false">IFERROR($J124/$G124,"")</f>
        <v/>
      </c>
      <c r="L124" s="31"/>
    </row>
    <row r="125" customFormat="false" ht="15" hidden="false" customHeight="false" outlineLevel="0" collapsed="false">
      <c r="A125" s="30"/>
      <c r="B125" s="31"/>
      <c r="C125" s="9" t="str">
        <f aca="false">IF($B125="","",IFERROR(VLOOKUP($B125,'Fichas y precios'!$A:$B,2,FALSE()),""))</f>
        <v/>
      </c>
      <c r="D125" s="31"/>
      <c r="E125" s="31"/>
      <c r="F125" s="14" t="str">
        <f aca="false">IF(OR($B125="",$D125=""),"",IFERROR(INDEX('Fichas y precios'!$P:$S,MATCH($B125,'Fichas y precios'!$A:$A,0),MATCH($D125,'Fichas y precios'!$P$5:$S$5,0)),""))</f>
        <v/>
      </c>
      <c r="G125" s="14" t="str">
        <f aca="false">IFERROR($E125*$F125,"")</f>
        <v/>
      </c>
      <c r="H125" s="14" t="str">
        <f aca="false">IF($B125="","",IF($D125="Batch embotellado",IFERROR(VLOOKUP($B125,'Fichas y precios'!$A:$M,13,FALSE())*'Mi negocio'!$B$13+'Mi negocio'!$B$14,""),IFERROR(VLOOKUP($B125,'Fichas y precios'!$A:$M,13,FALSE()),"")))</f>
        <v/>
      </c>
      <c r="I125" s="14" t="str">
        <f aca="false">IFERROR($E125*$H125,"")</f>
        <v/>
      </c>
      <c r="J125" s="14" t="str">
        <f aca="false">IFERROR($G125-$I125,"")</f>
        <v/>
      </c>
      <c r="K125" s="23" t="str">
        <f aca="false">IFERROR($J125/$G125,"")</f>
        <v/>
      </c>
      <c r="L125" s="31"/>
    </row>
    <row r="126" customFormat="false" ht="15" hidden="false" customHeight="false" outlineLevel="0" collapsed="false">
      <c r="A126" s="30"/>
      <c r="B126" s="31"/>
      <c r="C126" s="9" t="str">
        <f aca="false">IF($B126="","",IFERROR(VLOOKUP($B126,'Fichas y precios'!$A:$B,2,FALSE()),""))</f>
        <v/>
      </c>
      <c r="D126" s="31"/>
      <c r="E126" s="31"/>
      <c r="F126" s="14" t="str">
        <f aca="false">IF(OR($B126="",$D126=""),"",IFERROR(INDEX('Fichas y precios'!$P:$S,MATCH($B126,'Fichas y precios'!$A:$A,0),MATCH($D126,'Fichas y precios'!$P$5:$S$5,0)),""))</f>
        <v/>
      </c>
      <c r="G126" s="14" t="str">
        <f aca="false">IFERROR($E126*$F126,"")</f>
        <v/>
      </c>
      <c r="H126" s="14" t="str">
        <f aca="false">IF($B126="","",IF($D126="Batch embotellado",IFERROR(VLOOKUP($B126,'Fichas y precios'!$A:$M,13,FALSE())*'Mi negocio'!$B$13+'Mi negocio'!$B$14,""),IFERROR(VLOOKUP($B126,'Fichas y precios'!$A:$M,13,FALSE()),"")))</f>
        <v/>
      </c>
      <c r="I126" s="14" t="str">
        <f aca="false">IFERROR($E126*$H126,"")</f>
        <v/>
      </c>
      <c r="J126" s="14" t="str">
        <f aca="false">IFERROR($G126-$I126,"")</f>
        <v/>
      </c>
      <c r="K126" s="23" t="str">
        <f aca="false">IFERROR($J126/$G126,"")</f>
        <v/>
      </c>
      <c r="L126" s="31"/>
    </row>
    <row r="127" customFormat="false" ht="15" hidden="false" customHeight="false" outlineLevel="0" collapsed="false">
      <c r="A127" s="30"/>
      <c r="B127" s="31"/>
      <c r="C127" s="9" t="str">
        <f aca="false">IF($B127="","",IFERROR(VLOOKUP($B127,'Fichas y precios'!$A:$B,2,FALSE()),""))</f>
        <v/>
      </c>
      <c r="D127" s="31"/>
      <c r="E127" s="31"/>
      <c r="F127" s="14" t="str">
        <f aca="false">IF(OR($B127="",$D127=""),"",IFERROR(INDEX('Fichas y precios'!$P:$S,MATCH($B127,'Fichas y precios'!$A:$A,0),MATCH($D127,'Fichas y precios'!$P$5:$S$5,0)),""))</f>
        <v/>
      </c>
      <c r="G127" s="14" t="str">
        <f aca="false">IFERROR($E127*$F127,"")</f>
        <v/>
      </c>
      <c r="H127" s="14" t="str">
        <f aca="false">IF($B127="","",IF($D127="Batch embotellado",IFERROR(VLOOKUP($B127,'Fichas y precios'!$A:$M,13,FALSE())*'Mi negocio'!$B$13+'Mi negocio'!$B$14,""),IFERROR(VLOOKUP($B127,'Fichas y precios'!$A:$M,13,FALSE()),"")))</f>
        <v/>
      </c>
      <c r="I127" s="14" t="str">
        <f aca="false">IFERROR($E127*$H127,"")</f>
        <v/>
      </c>
      <c r="J127" s="14" t="str">
        <f aca="false">IFERROR($G127-$I127,"")</f>
        <v/>
      </c>
      <c r="K127" s="23" t="str">
        <f aca="false">IFERROR($J127/$G127,"")</f>
        <v/>
      </c>
      <c r="L127" s="31"/>
    </row>
    <row r="128" customFormat="false" ht="15" hidden="false" customHeight="false" outlineLevel="0" collapsed="false">
      <c r="A128" s="30"/>
      <c r="B128" s="31"/>
      <c r="C128" s="9" t="str">
        <f aca="false">IF($B128="","",IFERROR(VLOOKUP($B128,'Fichas y precios'!$A:$B,2,FALSE()),""))</f>
        <v/>
      </c>
      <c r="D128" s="31"/>
      <c r="E128" s="31"/>
      <c r="F128" s="14" t="str">
        <f aca="false">IF(OR($B128="",$D128=""),"",IFERROR(INDEX('Fichas y precios'!$P:$S,MATCH($B128,'Fichas y precios'!$A:$A,0),MATCH($D128,'Fichas y precios'!$P$5:$S$5,0)),""))</f>
        <v/>
      </c>
      <c r="G128" s="14" t="str">
        <f aca="false">IFERROR($E128*$F128,"")</f>
        <v/>
      </c>
      <c r="H128" s="14" t="str">
        <f aca="false">IF($B128="","",IF($D128="Batch embotellado",IFERROR(VLOOKUP($B128,'Fichas y precios'!$A:$M,13,FALSE())*'Mi negocio'!$B$13+'Mi negocio'!$B$14,""),IFERROR(VLOOKUP($B128,'Fichas y precios'!$A:$M,13,FALSE()),"")))</f>
        <v/>
      </c>
      <c r="I128" s="14" t="str">
        <f aca="false">IFERROR($E128*$H128,"")</f>
        <v/>
      </c>
      <c r="J128" s="14" t="str">
        <f aca="false">IFERROR($G128-$I128,"")</f>
        <v/>
      </c>
      <c r="K128" s="23" t="str">
        <f aca="false">IFERROR($J128/$G128,"")</f>
        <v/>
      </c>
      <c r="L128" s="31"/>
    </row>
    <row r="129" customFormat="false" ht="15" hidden="false" customHeight="false" outlineLevel="0" collapsed="false">
      <c r="A129" s="30"/>
      <c r="B129" s="31"/>
      <c r="C129" s="9" t="str">
        <f aca="false">IF($B129="","",IFERROR(VLOOKUP($B129,'Fichas y precios'!$A:$B,2,FALSE()),""))</f>
        <v/>
      </c>
      <c r="D129" s="31"/>
      <c r="E129" s="31"/>
      <c r="F129" s="14" t="str">
        <f aca="false">IF(OR($B129="",$D129=""),"",IFERROR(INDEX('Fichas y precios'!$P:$S,MATCH($B129,'Fichas y precios'!$A:$A,0),MATCH($D129,'Fichas y precios'!$P$5:$S$5,0)),""))</f>
        <v/>
      </c>
      <c r="G129" s="14" t="str">
        <f aca="false">IFERROR($E129*$F129,"")</f>
        <v/>
      </c>
      <c r="H129" s="14" t="str">
        <f aca="false">IF($B129="","",IF($D129="Batch embotellado",IFERROR(VLOOKUP($B129,'Fichas y precios'!$A:$M,13,FALSE())*'Mi negocio'!$B$13+'Mi negocio'!$B$14,""),IFERROR(VLOOKUP($B129,'Fichas y precios'!$A:$M,13,FALSE()),"")))</f>
        <v/>
      </c>
      <c r="I129" s="14" t="str">
        <f aca="false">IFERROR($E129*$H129,"")</f>
        <v/>
      </c>
      <c r="J129" s="14" t="str">
        <f aca="false">IFERROR($G129-$I129,"")</f>
        <v/>
      </c>
      <c r="K129" s="23" t="str">
        <f aca="false">IFERROR($J129/$G129,"")</f>
        <v/>
      </c>
      <c r="L129" s="31"/>
    </row>
    <row r="130" customFormat="false" ht="15" hidden="false" customHeight="false" outlineLevel="0" collapsed="false">
      <c r="A130" s="30"/>
      <c r="B130" s="31"/>
      <c r="C130" s="9" t="str">
        <f aca="false">IF($B130="","",IFERROR(VLOOKUP($B130,'Fichas y precios'!$A:$B,2,FALSE()),""))</f>
        <v/>
      </c>
      <c r="D130" s="31"/>
      <c r="E130" s="31"/>
      <c r="F130" s="14" t="str">
        <f aca="false">IF(OR($B130="",$D130=""),"",IFERROR(INDEX('Fichas y precios'!$P:$S,MATCH($B130,'Fichas y precios'!$A:$A,0),MATCH($D130,'Fichas y precios'!$P$5:$S$5,0)),""))</f>
        <v/>
      </c>
      <c r="G130" s="14" t="str">
        <f aca="false">IFERROR($E130*$F130,"")</f>
        <v/>
      </c>
      <c r="H130" s="14" t="str">
        <f aca="false">IF($B130="","",IF($D130="Batch embotellado",IFERROR(VLOOKUP($B130,'Fichas y precios'!$A:$M,13,FALSE())*'Mi negocio'!$B$13+'Mi negocio'!$B$14,""),IFERROR(VLOOKUP($B130,'Fichas y precios'!$A:$M,13,FALSE()),"")))</f>
        <v/>
      </c>
      <c r="I130" s="14" t="str">
        <f aca="false">IFERROR($E130*$H130,"")</f>
        <v/>
      </c>
      <c r="J130" s="14" t="str">
        <f aca="false">IFERROR($G130-$I130,"")</f>
        <v/>
      </c>
      <c r="K130" s="23" t="str">
        <f aca="false">IFERROR($J130/$G130,"")</f>
        <v/>
      </c>
      <c r="L130" s="31"/>
    </row>
    <row r="131" customFormat="false" ht="15" hidden="false" customHeight="false" outlineLevel="0" collapsed="false">
      <c r="A131" s="30"/>
      <c r="B131" s="31"/>
      <c r="C131" s="9" t="str">
        <f aca="false">IF($B131="","",IFERROR(VLOOKUP($B131,'Fichas y precios'!$A:$B,2,FALSE()),""))</f>
        <v/>
      </c>
      <c r="D131" s="31"/>
      <c r="E131" s="31"/>
      <c r="F131" s="14" t="str">
        <f aca="false">IF(OR($B131="",$D131=""),"",IFERROR(INDEX('Fichas y precios'!$P:$S,MATCH($B131,'Fichas y precios'!$A:$A,0),MATCH($D131,'Fichas y precios'!$P$5:$S$5,0)),""))</f>
        <v/>
      </c>
      <c r="G131" s="14" t="str">
        <f aca="false">IFERROR($E131*$F131,"")</f>
        <v/>
      </c>
      <c r="H131" s="14" t="str">
        <f aca="false">IF($B131="","",IF($D131="Batch embotellado",IFERROR(VLOOKUP($B131,'Fichas y precios'!$A:$M,13,FALSE())*'Mi negocio'!$B$13+'Mi negocio'!$B$14,""),IFERROR(VLOOKUP($B131,'Fichas y precios'!$A:$M,13,FALSE()),"")))</f>
        <v/>
      </c>
      <c r="I131" s="14" t="str">
        <f aca="false">IFERROR($E131*$H131,"")</f>
        <v/>
      </c>
      <c r="J131" s="14" t="str">
        <f aca="false">IFERROR($G131-$I131,"")</f>
        <v/>
      </c>
      <c r="K131" s="23" t="str">
        <f aca="false">IFERROR($J131/$G131,"")</f>
        <v/>
      </c>
      <c r="L131" s="31"/>
    </row>
    <row r="132" customFormat="false" ht="15" hidden="false" customHeight="false" outlineLevel="0" collapsed="false">
      <c r="A132" s="30"/>
      <c r="B132" s="31"/>
      <c r="C132" s="9" t="str">
        <f aca="false">IF($B132="","",IFERROR(VLOOKUP($B132,'Fichas y precios'!$A:$B,2,FALSE()),""))</f>
        <v/>
      </c>
      <c r="D132" s="31"/>
      <c r="E132" s="31"/>
      <c r="F132" s="14" t="str">
        <f aca="false">IF(OR($B132="",$D132=""),"",IFERROR(INDEX('Fichas y precios'!$P:$S,MATCH($B132,'Fichas y precios'!$A:$A,0),MATCH($D132,'Fichas y precios'!$P$5:$S$5,0)),""))</f>
        <v/>
      </c>
      <c r="G132" s="14" t="str">
        <f aca="false">IFERROR($E132*$F132,"")</f>
        <v/>
      </c>
      <c r="H132" s="14" t="str">
        <f aca="false">IF($B132="","",IF($D132="Batch embotellado",IFERROR(VLOOKUP($B132,'Fichas y precios'!$A:$M,13,FALSE())*'Mi negocio'!$B$13+'Mi negocio'!$B$14,""),IFERROR(VLOOKUP($B132,'Fichas y precios'!$A:$M,13,FALSE()),"")))</f>
        <v/>
      </c>
      <c r="I132" s="14" t="str">
        <f aca="false">IFERROR($E132*$H132,"")</f>
        <v/>
      </c>
      <c r="J132" s="14" t="str">
        <f aca="false">IFERROR($G132-$I132,"")</f>
        <v/>
      </c>
      <c r="K132" s="23" t="str">
        <f aca="false">IFERROR($J132/$G132,"")</f>
        <v/>
      </c>
      <c r="L132" s="31"/>
    </row>
    <row r="133" customFormat="false" ht="15" hidden="false" customHeight="false" outlineLevel="0" collapsed="false">
      <c r="A133" s="30"/>
      <c r="B133" s="31"/>
      <c r="C133" s="9" t="str">
        <f aca="false">IF($B133="","",IFERROR(VLOOKUP($B133,'Fichas y precios'!$A:$B,2,FALSE()),""))</f>
        <v/>
      </c>
      <c r="D133" s="31"/>
      <c r="E133" s="31"/>
      <c r="F133" s="14" t="str">
        <f aca="false">IF(OR($B133="",$D133=""),"",IFERROR(INDEX('Fichas y precios'!$P:$S,MATCH($B133,'Fichas y precios'!$A:$A,0),MATCH($D133,'Fichas y precios'!$P$5:$S$5,0)),""))</f>
        <v/>
      </c>
      <c r="G133" s="14" t="str">
        <f aca="false">IFERROR($E133*$F133,"")</f>
        <v/>
      </c>
      <c r="H133" s="14" t="str">
        <f aca="false">IF($B133="","",IF($D133="Batch embotellado",IFERROR(VLOOKUP($B133,'Fichas y precios'!$A:$M,13,FALSE())*'Mi negocio'!$B$13+'Mi negocio'!$B$14,""),IFERROR(VLOOKUP($B133,'Fichas y precios'!$A:$M,13,FALSE()),"")))</f>
        <v/>
      </c>
      <c r="I133" s="14" t="str">
        <f aca="false">IFERROR($E133*$H133,"")</f>
        <v/>
      </c>
      <c r="J133" s="14" t="str">
        <f aca="false">IFERROR($G133-$I133,"")</f>
        <v/>
      </c>
      <c r="K133" s="23" t="str">
        <f aca="false">IFERROR($J133/$G133,"")</f>
        <v/>
      </c>
      <c r="L133" s="31"/>
    </row>
    <row r="134" customFormat="false" ht="15" hidden="false" customHeight="false" outlineLevel="0" collapsed="false">
      <c r="A134" s="30"/>
      <c r="B134" s="31"/>
      <c r="C134" s="9" t="str">
        <f aca="false">IF($B134="","",IFERROR(VLOOKUP($B134,'Fichas y precios'!$A:$B,2,FALSE()),""))</f>
        <v/>
      </c>
      <c r="D134" s="31"/>
      <c r="E134" s="31"/>
      <c r="F134" s="14" t="str">
        <f aca="false">IF(OR($B134="",$D134=""),"",IFERROR(INDEX('Fichas y precios'!$P:$S,MATCH($B134,'Fichas y precios'!$A:$A,0),MATCH($D134,'Fichas y precios'!$P$5:$S$5,0)),""))</f>
        <v/>
      </c>
      <c r="G134" s="14" t="str">
        <f aca="false">IFERROR($E134*$F134,"")</f>
        <v/>
      </c>
      <c r="H134" s="14" t="str">
        <f aca="false">IF($B134="","",IF($D134="Batch embotellado",IFERROR(VLOOKUP($B134,'Fichas y precios'!$A:$M,13,FALSE())*'Mi negocio'!$B$13+'Mi negocio'!$B$14,""),IFERROR(VLOOKUP($B134,'Fichas y precios'!$A:$M,13,FALSE()),"")))</f>
        <v/>
      </c>
      <c r="I134" s="14" t="str">
        <f aca="false">IFERROR($E134*$H134,"")</f>
        <v/>
      </c>
      <c r="J134" s="14" t="str">
        <f aca="false">IFERROR($G134-$I134,"")</f>
        <v/>
      </c>
      <c r="K134" s="23" t="str">
        <f aca="false">IFERROR($J134/$G134,"")</f>
        <v/>
      </c>
      <c r="L134" s="31"/>
    </row>
    <row r="135" customFormat="false" ht="15" hidden="false" customHeight="false" outlineLevel="0" collapsed="false">
      <c r="A135" s="30"/>
      <c r="B135" s="31"/>
      <c r="C135" s="9" t="str">
        <f aca="false">IF($B135="","",IFERROR(VLOOKUP($B135,'Fichas y precios'!$A:$B,2,FALSE()),""))</f>
        <v/>
      </c>
      <c r="D135" s="31"/>
      <c r="E135" s="31"/>
      <c r="F135" s="14" t="str">
        <f aca="false">IF(OR($B135="",$D135=""),"",IFERROR(INDEX('Fichas y precios'!$P:$S,MATCH($B135,'Fichas y precios'!$A:$A,0),MATCH($D135,'Fichas y precios'!$P$5:$S$5,0)),""))</f>
        <v/>
      </c>
      <c r="G135" s="14" t="str">
        <f aca="false">IFERROR($E135*$F135,"")</f>
        <v/>
      </c>
      <c r="H135" s="14" t="str">
        <f aca="false">IF($B135="","",IF($D135="Batch embotellado",IFERROR(VLOOKUP($B135,'Fichas y precios'!$A:$M,13,FALSE())*'Mi negocio'!$B$13+'Mi negocio'!$B$14,""),IFERROR(VLOOKUP($B135,'Fichas y precios'!$A:$M,13,FALSE()),"")))</f>
        <v/>
      </c>
      <c r="I135" s="14" t="str">
        <f aca="false">IFERROR($E135*$H135,"")</f>
        <v/>
      </c>
      <c r="J135" s="14" t="str">
        <f aca="false">IFERROR($G135-$I135,"")</f>
        <v/>
      </c>
      <c r="K135" s="23" t="str">
        <f aca="false">IFERROR($J135/$G135,"")</f>
        <v/>
      </c>
      <c r="L135" s="31"/>
    </row>
    <row r="136" customFormat="false" ht="15" hidden="false" customHeight="false" outlineLevel="0" collapsed="false">
      <c r="A136" s="30"/>
      <c r="B136" s="31"/>
      <c r="C136" s="9" t="str">
        <f aca="false">IF($B136="","",IFERROR(VLOOKUP($B136,'Fichas y precios'!$A:$B,2,FALSE()),""))</f>
        <v/>
      </c>
      <c r="D136" s="31"/>
      <c r="E136" s="31"/>
      <c r="F136" s="14" t="str">
        <f aca="false">IF(OR($B136="",$D136=""),"",IFERROR(INDEX('Fichas y precios'!$P:$S,MATCH($B136,'Fichas y precios'!$A:$A,0),MATCH($D136,'Fichas y precios'!$P$5:$S$5,0)),""))</f>
        <v/>
      </c>
      <c r="G136" s="14" t="str">
        <f aca="false">IFERROR($E136*$F136,"")</f>
        <v/>
      </c>
      <c r="H136" s="14" t="str">
        <f aca="false">IF($B136="","",IF($D136="Batch embotellado",IFERROR(VLOOKUP($B136,'Fichas y precios'!$A:$M,13,FALSE())*'Mi negocio'!$B$13+'Mi negocio'!$B$14,""),IFERROR(VLOOKUP($B136,'Fichas y precios'!$A:$M,13,FALSE()),"")))</f>
        <v/>
      </c>
      <c r="I136" s="14" t="str">
        <f aca="false">IFERROR($E136*$H136,"")</f>
        <v/>
      </c>
      <c r="J136" s="14" t="str">
        <f aca="false">IFERROR($G136-$I136,"")</f>
        <v/>
      </c>
      <c r="K136" s="23" t="str">
        <f aca="false">IFERROR($J136/$G136,"")</f>
        <v/>
      </c>
      <c r="L136" s="31"/>
    </row>
    <row r="137" customFormat="false" ht="15" hidden="false" customHeight="false" outlineLevel="0" collapsed="false">
      <c r="A137" s="30"/>
      <c r="B137" s="31"/>
      <c r="C137" s="9" t="str">
        <f aca="false">IF($B137="","",IFERROR(VLOOKUP($B137,'Fichas y precios'!$A:$B,2,FALSE()),""))</f>
        <v/>
      </c>
      <c r="D137" s="31"/>
      <c r="E137" s="31"/>
      <c r="F137" s="14" t="str">
        <f aca="false">IF(OR($B137="",$D137=""),"",IFERROR(INDEX('Fichas y precios'!$P:$S,MATCH($B137,'Fichas y precios'!$A:$A,0),MATCH($D137,'Fichas y precios'!$P$5:$S$5,0)),""))</f>
        <v/>
      </c>
      <c r="G137" s="14" t="str">
        <f aca="false">IFERROR($E137*$F137,"")</f>
        <v/>
      </c>
      <c r="H137" s="14" t="str">
        <f aca="false">IF($B137="","",IF($D137="Batch embotellado",IFERROR(VLOOKUP($B137,'Fichas y precios'!$A:$M,13,FALSE())*'Mi negocio'!$B$13+'Mi negocio'!$B$14,""),IFERROR(VLOOKUP($B137,'Fichas y precios'!$A:$M,13,FALSE()),"")))</f>
        <v/>
      </c>
      <c r="I137" s="14" t="str">
        <f aca="false">IFERROR($E137*$H137,"")</f>
        <v/>
      </c>
      <c r="J137" s="14" t="str">
        <f aca="false">IFERROR($G137-$I137,"")</f>
        <v/>
      </c>
      <c r="K137" s="23" t="str">
        <f aca="false">IFERROR($J137/$G137,"")</f>
        <v/>
      </c>
      <c r="L137" s="31"/>
    </row>
    <row r="138" customFormat="false" ht="15" hidden="false" customHeight="false" outlineLevel="0" collapsed="false">
      <c r="A138" s="30"/>
      <c r="B138" s="31"/>
      <c r="C138" s="9" t="str">
        <f aca="false">IF($B138="","",IFERROR(VLOOKUP($B138,'Fichas y precios'!$A:$B,2,FALSE()),""))</f>
        <v/>
      </c>
      <c r="D138" s="31"/>
      <c r="E138" s="31"/>
      <c r="F138" s="14" t="str">
        <f aca="false">IF(OR($B138="",$D138=""),"",IFERROR(INDEX('Fichas y precios'!$P:$S,MATCH($B138,'Fichas y precios'!$A:$A,0),MATCH($D138,'Fichas y precios'!$P$5:$S$5,0)),""))</f>
        <v/>
      </c>
      <c r="G138" s="14" t="str">
        <f aca="false">IFERROR($E138*$F138,"")</f>
        <v/>
      </c>
      <c r="H138" s="14" t="str">
        <f aca="false">IF($B138="","",IF($D138="Batch embotellado",IFERROR(VLOOKUP($B138,'Fichas y precios'!$A:$M,13,FALSE())*'Mi negocio'!$B$13+'Mi negocio'!$B$14,""),IFERROR(VLOOKUP($B138,'Fichas y precios'!$A:$M,13,FALSE()),"")))</f>
        <v/>
      </c>
      <c r="I138" s="14" t="str">
        <f aca="false">IFERROR($E138*$H138,"")</f>
        <v/>
      </c>
      <c r="J138" s="14" t="str">
        <f aca="false">IFERROR($G138-$I138,"")</f>
        <v/>
      </c>
      <c r="K138" s="23" t="str">
        <f aca="false">IFERROR($J138/$G138,"")</f>
        <v/>
      </c>
      <c r="L138" s="31"/>
    </row>
    <row r="139" customFormat="false" ht="15" hidden="false" customHeight="false" outlineLevel="0" collapsed="false">
      <c r="A139" s="30"/>
      <c r="B139" s="31"/>
      <c r="C139" s="9" t="str">
        <f aca="false">IF($B139="","",IFERROR(VLOOKUP($B139,'Fichas y precios'!$A:$B,2,FALSE()),""))</f>
        <v/>
      </c>
      <c r="D139" s="31"/>
      <c r="E139" s="31"/>
      <c r="F139" s="14" t="str">
        <f aca="false">IF(OR($B139="",$D139=""),"",IFERROR(INDEX('Fichas y precios'!$P:$S,MATCH($B139,'Fichas y precios'!$A:$A,0),MATCH($D139,'Fichas y precios'!$P$5:$S$5,0)),""))</f>
        <v/>
      </c>
      <c r="G139" s="14" t="str">
        <f aca="false">IFERROR($E139*$F139,"")</f>
        <v/>
      </c>
      <c r="H139" s="14" t="str">
        <f aca="false">IF($B139="","",IF($D139="Batch embotellado",IFERROR(VLOOKUP($B139,'Fichas y precios'!$A:$M,13,FALSE())*'Mi negocio'!$B$13+'Mi negocio'!$B$14,""),IFERROR(VLOOKUP($B139,'Fichas y precios'!$A:$M,13,FALSE()),"")))</f>
        <v/>
      </c>
      <c r="I139" s="14" t="str">
        <f aca="false">IFERROR($E139*$H139,"")</f>
        <v/>
      </c>
      <c r="J139" s="14" t="str">
        <f aca="false">IFERROR($G139-$I139,"")</f>
        <v/>
      </c>
      <c r="K139" s="23" t="str">
        <f aca="false">IFERROR($J139/$G139,"")</f>
        <v/>
      </c>
      <c r="L139" s="31"/>
    </row>
    <row r="140" customFormat="false" ht="15" hidden="false" customHeight="false" outlineLevel="0" collapsed="false">
      <c r="A140" s="30"/>
      <c r="B140" s="31"/>
      <c r="C140" s="9" t="str">
        <f aca="false">IF($B140="","",IFERROR(VLOOKUP($B140,'Fichas y precios'!$A:$B,2,FALSE()),""))</f>
        <v/>
      </c>
      <c r="D140" s="31"/>
      <c r="E140" s="31"/>
      <c r="F140" s="14" t="str">
        <f aca="false">IF(OR($B140="",$D140=""),"",IFERROR(INDEX('Fichas y precios'!$P:$S,MATCH($B140,'Fichas y precios'!$A:$A,0),MATCH($D140,'Fichas y precios'!$P$5:$S$5,0)),""))</f>
        <v/>
      </c>
      <c r="G140" s="14" t="str">
        <f aca="false">IFERROR($E140*$F140,"")</f>
        <v/>
      </c>
      <c r="H140" s="14" t="str">
        <f aca="false">IF($B140="","",IF($D140="Batch embotellado",IFERROR(VLOOKUP($B140,'Fichas y precios'!$A:$M,13,FALSE())*'Mi negocio'!$B$13+'Mi negocio'!$B$14,""),IFERROR(VLOOKUP($B140,'Fichas y precios'!$A:$M,13,FALSE()),"")))</f>
        <v/>
      </c>
      <c r="I140" s="14" t="str">
        <f aca="false">IFERROR($E140*$H140,"")</f>
        <v/>
      </c>
      <c r="J140" s="14" t="str">
        <f aca="false">IFERROR($G140-$I140,"")</f>
        <v/>
      </c>
      <c r="K140" s="23" t="str">
        <f aca="false">IFERROR($J140/$G140,"")</f>
        <v/>
      </c>
      <c r="L140" s="31"/>
    </row>
    <row r="141" customFormat="false" ht="15" hidden="false" customHeight="false" outlineLevel="0" collapsed="false">
      <c r="A141" s="30"/>
      <c r="B141" s="31"/>
      <c r="C141" s="9" t="str">
        <f aca="false">IF($B141="","",IFERROR(VLOOKUP($B141,'Fichas y precios'!$A:$B,2,FALSE()),""))</f>
        <v/>
      </c>
      <c r="D141" s="31"/>
      <c r="E141" s="31"/>
      <c r="F141" s="14" t="str">
        <f aca="false">IF(OR($B141="",$D141=""),"",IFERROR(INDEX('Fichas y precios'!$P:$S,MATCH($B141,'Fichas y precios'!$A:$A,0),MATCH($D141,'Fichas y precios'!$P$5:$S$5,0)),""))</f>
        <v/>
      </c>
      <c r="G141" s="14" t="str">
        <f aca="false">IFERROR($E141*$F141,"")</f>
        <v/>
      </c>
      <c r="H141" s="14" t="str">
        <f aca="false">IF($B141="","",IF($D141="Batch embotellado",IFERROR(VLOOKUP($B141,'Fichas y precios'!$A:$M,13,FALSE())*'Mi negocio'!$B$13+'Mi negocio'!$B$14,""),IFERROR(VLOOKUP($B141,'Fichas y precios'!$A:$M,13,FALSE()),"")))</f>
        <v/>
      </c>
      <c r="I141" s="14" t="str">
        <f aca="false">IFERROR($E141*$H141,"")</f>
        <v/>
      </c>
      <c r="J141" s="14" t="str">
        <f aca="false">IFERROR($G141-$I141,"")</f>
        <v/>
      </c>
      <c r="K141" s="23" t="str">
        <f aca="false">IFERROR($J141/$G141,"")</f>
        <v/>
      </c>
      <c r="L141" s="31"/>
    </row>
    <row r="142" customFormat="false" ht="15" hidden="false" customHeight="false" outlineLevel="0" collapsed="false">
      <c r="A142" s="30"/>
      <c r="B142" s="31"/>
      <c r="C142" s="9" t="str">
        <f aca="false">IF($B142="","",IFERROR(VLOOKUP($B142,'Fichas y precios'!$A:$B,2,FALSE()),""))</f>
        <v/>
      </c>
      <c r="D142" s="31"/>
      <c r="E142" s="31"/>
      <c r="F142" s="14" t="str">
        <f aca="false">IF(OR($B142="",$D142=""),"",IFERROR(INDEX('Fichas y precios'!$P:$S,MATCH($B142,'Fichas y precios'!$A:$A,0),MATCH($D142,'Fichas y precios'!$P$5:$S$5,0)),""))</f>
        <v/>
      </c>
      <c r="G142" s="14" t="str">
        <f aca="false">IFERROR($E142*$F142,"")</f>
        <v/>
      </c>
      <c r="H142" s="14" t="str">
        <f aca="false">IF($B142="","",IF($D142="Batch embotellado",IFERROR(VLOOKUP($B142,'Fichas y precios'!$A:$M,13,FALSE())*'Mi negocio'!$B$13+'Mi negocio'!$B$14,""),IFERROR(VLOOKUP($B142,'Fichas y precios'!$A:$M,13,FALSE()),"")))</f>
        <v/>
      </c>
      <c r="I142" s="14" t="str">
        <f aca="false">IFERROR($E142*$H142,"")</f>
        <v/>
      </c>
      <c r="J142" s="14" t="str">
        <f aca="false">IFERROR($G142-$I142,"")</f>
        <v/>
      </c>
      <c r="K142" s="23" t="str">
        <f aca="false">IFERROR($J142/$G142,"")</f>
        <v/>
      </c>
      <c r="L142" s="31"/>
    </row>
    <row r="143" customFormat="false" ht="15" hidden="false" customHeight="false" outlineLevel="0" collapsed="false">
      <c r="A143" s="30"/>
      <c r="B143" s="31"/>
      <c r="C143" s="9" t="str">
        <f aca="false">IF($B143="","",IFERROR(VLOOKUP($B143,'Fichas y precios'!$A:$B,2,FALSE()),""))</f>
        <v/>
      </c>
      <c r="D143" s="31"/>
      <c r="E143" s="31"/>
      <c r="F143" s="14" t="str">
        <f aca="false">IF(OR($B143="",$D143=""),"",IFERROR(INDEX('Fichas y precios'!$P:$S,MATCH($B143,'Fichas y precios'!$A:$A,0),MATCH($D143,'Fichas y precios'!$P$5:$S$5,0)),""))</f>
        <v/>
      </c>
      <c r="G143" s="14" t="str">
        <f aca="false">IFERROR($E143*$F143,"")</f>
        <v/>
      </c>
      <c r="H143" s="14" t="str">
        <f aca="false">IF($B143="","",IF($D143="Batch embotellado",IFERROR(VLOOKUP($B143,'Fichas y precios'!$A:$M,13,FALSE())*'Mi negocio'!$B$13+'Mi negocio'!$B$14,""),IFERROR(VLOOKUP($B143,'Fichas y precios'!$A:$M,13,FALSE()),"")))</f>
        <v/>
      </c>
      <c r="I143" s="14" t="str">
        <f aca="false">IFERROR($E143*$H143,"")</f>
        <v/>
      </c>
      <c r="J143" s="14" t="str">
        <f aca="false">IFERROR($G143-$I143,"")</f>
        <v/>
      </c>
      <c r="K143" s="23" t="str">
        <f aca="false">IFERROR($J143/$G143,"")</f>
        <v/>
      </c>
      <c r="L143" s="31"/>
    </row>
    <row r="144" customFormat="false" ht="15" hidden="false" customHeight="false" outlineLevel="0" collapsed="false">
      <c r="A144" s="30"/>
      <c r="B144" s="31"/>
      <c r="C144" s="9" t="str">
        <f aca="false">IF($B144="","",IFERROR(VLOOKUP($B144,'Fichas y precios'!$A:$B,2,FALSE()),""))</f>
        <v/>
      </c>
      <c r="D144" s="31"/>
      <c r="E144" s="31"/>
      <c r="F144" s="14" t="str">
        <f aca="false">IF(OR($B144="",$D144=""),"",IFERROR(INDEX('Fichas y precios'!$P:$S,MATCH($B144,'Fichas y precios'!$A:$A,0),MATCH($D144,'Fichas y precios'!$P$5:$S$5,0)),""))</f>
        <v/>
      </c>
      <c r="G144" s="14" t="str">
        <f aca="false">IFERROR($E144*$F144,"")</f>
        <v/>
      </c>
      <c r="H144" s="14" t="str">
        <f aca="false">IF($B144="","",IF($D144="Batch embotellado",IFERROR(VLOOKUP($B144,'Fichas y precios'!$A:$M,13,FALSE())*'Mi negocio'!$B$13+'Mi negocio'!$B$14,""),IFERROR(VLOOKUP($B144,'Fichas y precios'!$A:$M,13,FALSE()),"")))</f>
        <v/>
      </c>
      <c r="I144" s="14" t="str">
        <f aca="false">IFERROR($E144*$H144,"")</f>
        <v/>
      </c>
      <c r="J144" s="14" t="str">
        <f aca="false">IFERROR($G144-$I144,"")</f>
        <v/>
      </c>
      <c r="K144" s="23" t="str">
        <f aca="false">IFERROR($J144/$G144,"")</f>
        <v/>
      </c>
      <c r="L144" s="31"/>
    </row>
    <row r="145" customFormat="false" ht="15" hidden="false" customHeight="false" outlineLevel="0" collapsed="false">
      <c r="A145" s="30"/>
      <c r="B145" s="31"/>
      <c r="C145" s="9" t="str">
        <f aca="false">IF($B145="","",IFERROR(VLOOKUP($B145,'Fichas y precios'!$A:$B,2,FALSE()),""))</f>
        <v/>
      </c>
      <c r="D145" s="31"/>
      <c r="E145" s="31"/>
      <c r="F145" s="14" t="str">
        <f aca="false">IF(OR($B145="",$D145=""),"",IFERROR(INDEX('Fichas y precios'!$P:$S,MATCH($B145,'Fichas y precios'!$A:$A,0),MATCH($D145,'Fichas y precios'!$P$5:$S$5,0)),""))</f>
        <v/>
      </c>
      <c r="G145" s="14" t="str">
        <f aca="false">IFERROR($E145*$F145,"")</f>
        <v/>
      </c>
      <c r="H145" s="14" t="str">
        <f aca="false">IF($B145="","",IF($D145="Batch embotellado",IFERROR(VLOOKUP($B145,'Fichas y precios'!$A:$M,13,FALSE())*'Mi negocio'!$B$13+'Mi negocio'!$B$14,""),IFERROR(VLOOKUP($B145,'Fichas y precios'!$A:$M,13,FALSE()),"")))</f>
        <v/>
      </c>
      <c r="I145" s="14" t="str">
        <f aca="false">IFERROR($E145*$H145,"")</f>
        <v/>
      </c>
      <c r="J145" s="14" t="str">
        <f aca="false">IFERROR($G145-$I145,"")</f>
        <v/>
      </c>
      <c r="K145" s="23" t="str">
        <f aca="false">IFERROR($J145/$G145,"")</f>
        <v/>
      </c>
      <c r="L145" s="31"/>
    </row>
    <row r="146" customFormat="false" ht="15" hidden="false" customHeight="false" outlineLevel="0" collapsed="false">
      <c r="A146" s="30"/>
      <c r="B146" s="31"/>
      <c r="C146" s="9" t="str">
        <f aca="false">IF($B146="","",IFERROR(VLOOKUP($B146,'Fichas y precios'!$A:$B,2,FALSE()),""))</f>
        <v/>
      </c>
      <c r="D146" s="31"/>
      <c r="E146" s="31"/>
      <c r="F146" s="14" t="str">
        <f aca="false">IF(OR($B146="",$D146=""),"",IFERROR(INDEX('Fichas y precios'!$P:$S,MATCH($B146,'Fichas y precios'!$A:$A,0),MATCH($D146,'Fichas y precios'!$P$5:$S$5,0)),""))</f>
        <v/>
      </c>
      <c r="G146" s="14" t="str">
        <f aca="false">IFERROR($E146*$F146,"")</f>
        <v/>
      </c>
      <c r="H146" s="14" t="str">
        <f aca="false">IF($B146="","",IF($D146="Batch embotellado",IFERROR(VLOOKUP($B146,'Fichas y precios'!$A:$M,13,FALSE())*'Mi negocio'!$B$13+'Mi negocio'!$B$14,""),IFERROR(VLOOKUP($B146,'Fichas y precios'!$A:$M,13,FALSE()),"")))</f>
        <v/>
      </c>
      <c r="I146" s="14" t="str">
        <f aca="false">IFERROR($E146*$H146,"")</f>
        <v/>
      </c>
      <c r="J146" s="14" t="str">
        <f aca="false">IFERROR($G146-$I146,"")</f>
        <v/>
      </c>
      <c r="K146" s="23" t="str">
        <f aca="false">IFERROR($J146/$G146,"")</f>
        <v/>
      </c>
      <c r="L146" s="31"/>
    </row>
    <row r="147" customFormat="false" ht="15" hidden="false" customHeight="false" outlineLevel="0" collapsed="false">
      <c r="A147" s="30"/>
      <c r="B147" s="31"/>
      <c r="C147" s="9" t="str">
        <f aca="false">IF($B147="","",IFERROR(VLOOKUP($B147,'Fichas y precios'!$A:$B,2,FALSE()),""))</f>
        <v/>
      </c>
      <c r="D147" s="31"/>
      <c r="E147" s="31"/>
      <c r="F147" s="14" t="str">
        <f aca="false">IF(OR($B147="",$D147=""),"",IFERROR(INDEX('Fichas y precios'!$P:$S,MATCH($B147,'Fichas y precios'!$A:$A,0),MATCH($D147,'Fichas y precios'!$P$5:$S$5,0)),""))</f>
        <v/>
      </c>
      <c r="G147" s="14" t="str">
        <f aca="false">IFERROR($E147*$F147,"")</f>
        <v/>
      </c>
      <c r="H147" s="14" t="str">
        <f aca="false">IF($B147="","",IF($D147="Batch embotellado",IFERROR(VLOOKUP($B147,'Fichas y precios'!$A:$M,13,FALSE())*'Mi negocio'!$B$13+'Mi negocio'!$B$14,""),IFERROR(VLOOKUP($B147,'Fichas y precios'!$A:$M,13,FALSE()),"")))</f>
        <v/>
      </c>
      <c r="I147" s="14" t="str">
        <f aca="false">IFERROR($E147*$H147,"")</f>
        <v/>
      </c>
      <c r="J147" s="14" t="str">
        <f aca="false">IFERROR($G147-$I147,"")</f>
        <v/>
      </c>
      <c r="K147" s="23" t="str">
        <f aca="false">IFERROR($J147/$G147,"")</f>
        <v/>
      </c>
      <c r="L147" s="31"/>
    </row>
    <row r="148" customFormat="false" ht="15" hidden="false" customHeight="false" outlineLevel="0" collapsed="false">
      <c r="A148" s="30"/>
      <c r="B148" s="31"/>
      <c r="C148" s="9" t="str">
        <f aca="false">IF($B148="","",IFERROR(VLOOKUP($B148,'Fichas y precios'!$A:$B,2,FALSE()),""))</f>
        <v/>
      </c>
      <c r="D148" s="31"/>
      <c r="E148" s="31"/>
      <c r="F148" s="14" t="str">
        <f aca="false">IF(OR($B148="",$D148=""),"",IFERROR(INDEX('Fichas y precios'!$P:$S,MATCH($B148,'Fichas y precios'!$A:$A,0),MATCH($D148,'Fichas y precios'!$P$5:$S$5,0)),""))</f>
        <v/>
      </c>
      <c r="G148" s="14" t="str">
        <f aca="false">IFERROR($E148*$F148,"")</f>
        <v/>
      </c>
      <c r="H148" s="14" t="str">
        <f aca="false">IF($B148="","",IF($D148="Batch embotellado",IFERROR(VLOOKUP($B148,'Fichas y precios'!$A:$M,13,FALSE())*'Mi negocio'!$B$13+'Mi negocio'!$B$14,""),IFERROR(VLOOKUP($B148,'Fichas y precios'!$A:$M,13,FALSE()),"")))</f>
        <v/>
      </c>
      <c r="I148" s="14" t="str">
        <f aca="false">IFERROR($E148*$H148,"")</f>
        <v/>
      </c>
      <c r="J148" s="14" t="str">
        <f aca="false">IFERROR($G148-$I148,"")</f>
        <v/>
      </c>
      <c r="K148" s="23" t="str">
        <f aca="false">IFERROR($J148/$G148,"")</f>
        <v/>
      </c>
      <c r="L148" s="31"/>
    </row>
    <row r="149" customFormat="false" ht="15" hidden="false" customHeight="false" outlineLevel="0" collapsed="false">
      <c r="A149" s="30"/>
      <c r="B149" s="31"/>
      <c r="C149" s="9" t="str">
        <f aca="false">IF($B149="","",IFERROR(VLOOKUP($B149,'Fichas y precios'!$A:$B,2,FALSE()),""))</f>
        <v/>
      </c>
      <c r="D149" s="31"/>
      <c r="E149" s="31"/>
      <c r="F149" s="14" t="str">
        <f aca="false">IF(OR($B149="",$D149=""),"",IFERROR(INDEX('Fichas y precios'!$P:$S,MATCH($B149,'Fichas y precios'!$A:$A,0),MATCH($D149,'Fichas y precios'!$P$5:$S$5,0)),""))</f>
        <v/>
      </c>
      <c r="G149" s="14" t="str">
        <f aca="false">IFERROR($E149*$F149,"")</f>
        <v/>
      </c>
      <c r="H149" s="14" t="str">
        <f aca="false">IF($B149="","",IF($D149="Batch embotellado",IFERROR(VLOOKUP($B149,'Fichas y precios'!$A:$M,13,FALSE())*'Mi negocio'!$B$13+'Mi negocio'!$B$14,""),IFERROR(VLOOKUP($B149,'Fichas y precios'!$A:$M,13,FALSE()),"")))</f>
        <v/>
      </c>
      <c r="I149" s="14" t="str">
        <f aca="false">IFERROR($E149*$H149,"")</f>
        <v/>
      </c>
      <c r="J149" s="14" t="str">
        <f aca="false">IFERROR($G149-$I149,"")</f>
        <v/>
      </c>
      <c r="K149" s="23" t="str">
        <f aca="false">IFERROR($J149/$G149,"")</f>
        <v/>
      </c>
      <c r="L149" s="31"/>
    </row>
    <row r="150" customFormat="false" ht="15" hidden="false" customHeight="false" outlineLevel="0" collapsed="false">
      <c r="A150" s="30"/>
      <c r="B150" s="31"/>
      <c r="C150" s="9" t="str">
        <f aca="false">IF($B150="","",IFERROR(VLOOKUP($B150,'Fichas y precios'!$A:$B,2,FALSE()),""))</f>
        <v/>
      </c>
      <c r="D150" s="31"/>
      <c r="E150" s="31"/>
      <c r="F150" s="14" t="str">
        <f aca="false">IF(OR($B150="",$D150=""),"",IFERROR(INDEX('Fichas y precios'!$P:$S,MATCH($B150,'Fichas y precios'!$A:$A,0),MATCH($D150,'Fichas y precios'!$P$5:$S$5,0)),""))</f>
        <v/>
      </c>
      <c r="G150" s="14" t="str">
        <f aca="false">IFERROR($E150*$F150,"")</f>
        <v/>
      </c>
      <c r="H150" s="14" t="str">
        <f aca="false">IF($B150="","",IF($D150="Batch embotellado",IFERROR(VLOOKUP($B150,'Fichas y precios'!$A:$M,13,FALSE())*'Mi negocio'!$B$13+'Mi negocio'!$B$14,""),IFERROR(VLOOKUP($B150,'Fichas y precios'!$A:$M,13,FALSE()),"")))</f>
        <v/>
      </c>
      <c r="I150" s="14" t="str">
        <f aca="false">IFERROR($E150*$H150,"")</f>
        <v/>
      </c>
      <c r="J150" s="14" t="str">
        <f aca="false">IFERROR($G150-$I150,"")</f>
        <v/>
      </c>
      <c r="K150" s="23" t="str">
        <f aca="false">IFERROR($J150/$G150,"")</f>
        <v/>
      </c>
      <c r="L150" s="31"/>
    </row>
    <row r="151" customFormat="false" ht="15" hidden="false" customHeight="false" outlineLevel="0" collapsed="false">
      <c r="A151" s="30"/>
      <c r="B151" s="31"/>
      <c r="C151" s="9" t="str">
        <f aca="false">IF($B151="","",IFERROR(VLOOKUP($B151,'Fichas y precios'!$A:$B,2,FALSE()),""))</f>
        <v/>
      </c>
      <c r="D151" s="31"/>
      <c r="E151" s="31"/>
      <c r="F151" s="14" t="str">
        <f aca="false">IF(OR($B151="",$D151=""),"",IFERROR(INDEX('Fichas y precios'!$P:$S,MATCH($B151,'Fichas y precios'!$A:$A,0),MATCH($D151,'Fichas y precios'!$P$5:$S$5,0)),""))</f>
        <v/>
      </c>
      <c r="G151" s="14" t="str">
        <f aca="false">IFERROR($E151*$F151,"")</f>
        <v/>
      </c>
      <c r="H151" s="14" t="str">
        <f aca="false">IF($B151="","",IF($D151="Batch embotellado",IFERROR(VLOOKUP($B151,'Fichas y precios'!$A:$M,13,FALSE())*'Mi negocio'!$B$13+'Mi negocio'!$B$14,""),IFERROR(VLOOKUP($B151,'Fichas y precios'!$A:$M,13,FALSE()),"")))</f>
        <v/>
      </c>
      <c r="I151" s="14" t="str">
        <f aca="false">IFERROR($E151*$H151,"")</f>
        <v/>
      </c>
      <c r="J151" s="14" t="str">
        <f aca="false">IFERROR($G151-$I151,"")</f>
        <v/>
      </c>
      <c r="K151" s="23" t="str">
        <f aca="false">IFERROR($J151/$G151,"")</f>
        <v/>
      </c>
      <c r="L151" s="31"/>
    </row>
    <row r="152" customFormat="false" ht="15" hidden="false" customHeight="false" outlineLevel="0" collapsed="false">
      <c r="A152" s="30"/>
      <c r="B152" s="31"/>
      <c r="C152" s="9" t="str">
        <f aca="false">IF($B152="","",IFERROR(VLOOKUP($B152,'Fichas y precios'!$A:$B,2,FALSE()),""))</f>
        <v/>
      </c>
      <c r="D152" s="31"/>
      <c r="E152" s="31"/>
      <c r="F152" s="14" t="str">
        <f aca="false">IF(OR($B152="",$D152=""),"",IFERROR(INDEX('Fichas y precios'!$P:$S,MATCH($B152,'Fichas y precios'!$A:$A,0),MATCH($D152,'Fichas y precios'!$P$5:$S$5,0)),""))</f>
        <v/>
      </c>
      <c r="G152" s="14" t="str">
        <f aca="false">IFERROR($E152*$F152,"")</f>
        <v/>
      </c>
      <c r="H152" s="14" t="str">
        <f aca="false">IF($B152="","",IF($D152="Batch embotellado",IFERROR(VLOOKUP($B152,'Fichas y precios'!$A:$M,13,FALSE())*'Mi negocio'!$B$13+'Mi negocio'!$B$14,""),IFERROR(VLOOKUP($B152,'Fichas y precios'!$A:$M,13,FALSE()),"")))</f>
        <v/>
      </c>
      <c r="I152" s="14" t="str">
        <f aca="false">IFERROR($E152*$H152,"")</f>
        <v/>
      </c>
      <c r="J152" s="14" t="str">
        <f aca="false">IFERROR($G152-$I152,"")</f>
        <v/>
      </c>
      <c r="K152" s="23" t="str">
        <f aca="false">IFERROR($J152/$G152,"")</f>
        <v/>
      </c>
      <c r="L152" s="31"/>
    </row>
    <row r="153" customFormat="false" ht="15" hidden="false" customHeight="false" outlineLevel="0" collapsed="false">
      <c r="A153" s="30"/>
      <c r="B153" s="31"/>
      <c r="C153" s="9" t="str">
        <f aca="false">IF($B153="","",IFERROR(VLOOKUP($B153,'Fichas y precios'!$A:$B,2,FALSE()),""))</f>
        <v/>
      </c>
      <c r="D153" s="31"/>
      <c r="E153" s="31"/>
      <c r="F153" s="14" t="str">
        <f aca="false">IF(OR($B153="",$D153=""),"",IFERROR(INDEX('Fichas y precios'!$P:$S,MATCH($B153,'Fichas y precios'!$A:$A,0),MATCH($D153,'Fichas y precios'!$P$5:$S$5,0)),""))</f>
        <v/>
      </c>
      <c r="G153" s="14" t="str">
        <f aca="false">IFERROR($E153*$F153,"")</f>
        <v/>
      </c>
      <c r="H153" s="14" t="str">
        <f aca="false">IF($B153="","",IF($D153="Batch embotellado",IFERROR(VLOOKUP($B153,'Fichas y precios'!$A:$M,13,FALSE())*'Mi negocio'!$B$13+'Mi negocio'!$B$14,""),IFERROR(VLOOKUP($B153,'Fichas y precios'!$A:$M,13,FALSE()),"")))</f>
        <v/>
      </c>
      <c r="I153" s="14" t="str">
        <f aca="false">IFERROR($E153*$H153,"")</f>
        <v/>
      </c>
      <c r="J153" s="14" t="str">
        <f aca="false">IFERROR($G153-$I153,"")</f>
        <v/>
      </c>
      <c r="K153" s="23" t="str">
        <f aca="false">IFERROR($J153/$G153,"")</f>
        <v/>
      </c>
      <c r="L153" s="31"/>
    </row>
    <row r="154" customFormat="false" ht="15" hidden="false" customHeight="false" outlineLevel="0" collapsed="false">
      <c r="A154" s="30"/>
      <c r="B154" s="31"/>
      <c r="C154" s="9" t="str">
        <f aca="false">IF($B154="","",IFERROR(VLOOKUP($B154,'Fichas y precios'!$A:$B,2,FALSE()),""))</f>
        <v/>
      </c>
      <c r="D154" s="31"/>
      <c r="E154" s="31"/>
      <c r="F154" s="14" t="str">
        <f aca="false">IF(OR($B154="",$D154=""),"",IFERROR(INDEX('Fichas y precios'!$P:$S,MATCH($B154,'Fichas y precios'!$A:$A,0),MATCH($D154,'Fichas y precios'!$P$5:$S$5,0)),""))</f>
        <v/>
      </c>
      <c r="G154" s="14" t="str">
        <f aca="false">IFERROR($E154*$F154,"")</f>
        <v/>
      </c>
      <c r="H154" s="14" t="str">
        <f aca="false">IF($B154="","",IF($D154="Batch embotellado",IFERROR(VLOOKUP($B154,'Fichas y precios'!$A:$M,13,FALSE())*'Mi negocio'!$B$13+'Mi negocio'!$B$14,""),IFERROR(VLOOKUP($B154,'Fichas y precios'!$A:$M,13,FALSE()),"")))</f>
        <v/>
      </c>
      <c r="I154" s="14" t="str">
        <f aca="false">IFERROR($E154*$H154,"")</f>
        <v/>
      </c>
      <c r="J154" s="14" t="str">
        <f aca="false">IFERROR($G154-$I154,"")</f>
        <v/>
      </c>
      <c r="K154" s="23" t="str">
        <f aca="false">IFERROR($J154/$G154,"")</f>
        <v/>
      </c>
      <c r="L154" s="31"/>
    </row>
    <row r="155" customFormat="false" ht="15" hidden="false" customHeight="false" outlineLevel="0" collapsed="false">
      <c r="A155" s="30"/>
      <c r="B155" s="31"/>
      <c r="C155" s="9" t="str">
        <f aca="false">IF($B155="","",IFERROR(VLOOKUP($B155,'Fichas y precios'!$A:$B,2,FALSE()),""))</f>
        <v/>
      </c>
      <c r="D155" s="31"/>
      <c r="E155" s="31"/>
      <c r="F155" s="14" t="str">
        <f aca="false">IF(OR($B155="",$D155=""),"",IFERROR(INDEX('Fichas y precios'!$P:$S,MATCH($B155,'Fichas y precios'!$A:$A,0),MATCH($D155,'Fichas y precios'!$P$5:$S$5,0)),""))</f>
        <v/>
      </c>
      <c r="G155" s="14" t="str">
        <f aca="false">IFERROR($E155*$F155,"")</f>
        <v/>
      </c>
      <c r="H155" s="14" t="str">
        <f aca="false">IF($B155="","",IF($D155="Batch embotellado",IFERROR(VLOOKUP($B155,'Fichas y precios'!$A:$M,13,FALSE())*'Mi negocio'!$B$13+'Mi negocio'!$B$14,""),IFERROR(VLOOKUP($B155,'Fichas y precios'!$A:$M,13,FALSE()),"")))</f>
        <v/>
      </c>
      <c r="I155" s="14" t="str">
        <f aca="false">IFERROR($E155*$H155,"")</f>
        <v/>
      </c>
      <c r="J155" s="14" t="str">
        <f aca="false">IFERROR($G155-$I155,"")</f>
        <v/>
      </c>
      <c r="K155" s="23" t="str">
        <f aca="false">IFERROR($J155/$G155,"")</f>
        <v/>
      </c>
      <c r="L155" s="31"/>
    </row>
    <row r="156" customFormat="false" ht="15" hidden="false" customHeight="false" outlineLevel="0" collapsed="false">
      <c r="A156" s="30"/>
      <c r="B156" s="31"/>
      <c r="C156" s="9" t="str">
        <f aca="false">IF($B156="","",IFERROR(VLOOKUP($B156,'Fichas y precios'!$A:$B,2,FALSE()),""))</f>
        <v/>
      </c>
      <c r="D156" s="31"/>
      <c r="E156" s="31"/>
      <c r="F156" s="14" t="str">
        <f aca="false">IF(OR($B156="",$D156=""),"",IFERROR(INDEX('Fichas y precios'!$P:$S,MATCH($B156,'Fichas y precios'!$A:$A,0),MATCH($D156,'Fichas y precios'!$P$5:$S$5,0)),""))</f>
        <v/>
      </c>
      <c r="G156" s="14" t="str">
        <f aca="false">IFERROR($E156*$F156,"")</f>
        <v/>
      </c>
      <c r="H156" s="14" t="str">
        <f aca="false">IF($B156="","",IF($D156="Batch embotellado",IFERROR(VLOOKUP($B156,'Fichas y precios'!$A:$M,13,FALSE())*'Mi negocio'!$B$13+'Mi negocio'!$B$14,""),IFERROR(VLOOKUP($B156,'Fichas y precios'!$A:$M,13,FALSE()),"")))</f>
        <v/>
      </c>
      <c r="I156" s="14" t="str">
        <f aca="false">IFERROR($E156*$H156,"")</f>
        <v/>
      </c>
      <c r="J156" s="14" t="str">
        <f aca="false">IFERROR($G156-$I156,"")</f>
        <v/>
      </c>
      <c r="K156" s="23" t="str">
        <f aca="false">IFERROR($J156/$G156,"")</f>
        <v/>
      </c>
      <c r="L156" s="31"/>
    </row>
    <row r="157" customFormat="false" ht="15" hidden="false" customHeight="false" outlineLevel="0" collapsed="false">
      <c r="A157" s="30"/>
      <c r="B157" s="31"/>
      <c r="C157" s="9" t="str">
        <f aca="false">IF($B157="","",IFERROR(VLOOKUP($B157,'Fichas y precios'!$A:$B,2,FALSE()),""))</f>
        <v/>
      </c>
      <c r="D157" s="31"/>
      <c r="E157" s="31"/>
      <c r="F157" s="14" t="str">
        <f aca="false">IF(OR($B157="",$D157=""),"",IFERROR(INDEX('Fichas y precios'!$P:$S,MATCH($B157,'Fichas y precios'!$A:$A,0),MATCH($D157,'Fichas y precios'!$P$5:$S$5,0)),""))</f>
        <v/>
      </c>
      <c r="G157" s="14" t="str">
        <f aca="false">IFERROR($E157*$F157,"")</f>
        <v/>
      </c>
      <c r="H157" s="14" t="str">
        <f aca="false">IF($B157="","",IF($D157="Batch embotellado",IFERROR(VLOOKUP($B157,'Fichas y precios'!$A:$M,13,FALSE())*'Mi negocio'!$B$13+'Mi negocio'!$B$14,""),IFERROR(VLOOKUP($B157,'Fichas y precios'!$A:$M,13,FALSE()),"")))</f>
        <v/>
      </c>
      <c r="I157" s="14" t="str">
        <f aca="false">IFERROR($E157*$H157,"")</f>
        <v/>
      </c>
      <c r="J157" s="14" t="str">
        <f aca="false">IFERROR($G157-$I157,"")</f>
        <v/>
      </c>
      <c r="K157" s="23" t="str">
        <f aca="false">IFERROR($J157/$G157,"")</f>
        <v/>
      </c>
      <c r="L157" s="31"/>
    </row>
    <row r="158" customFormat="false" ht="15" hidden="false" customHeight="false" outlineLevel="0" collapsed="false">
      <c r="A158" s="30"/>
      <c r="B158" s="31"/>
      <c r="C158" s="9" t="str">
        <f aca="false">IF($B158="","",IFERROR(VLOOKUP($B158,'Fichas y precios'!$A:$B,2,FALSE()),""))</f>
        <v/>
      </c>
      <c r="D158" s="31"/>
      <c r="E158" s="31"/>
      <c r="F158" s="14" t="str">
        <f aca="false">IF(OR($B158="",$D158=""),"",IFERROR(INDEX('Fichas y precios'!$P:$S,MATCH($B158,'Fichas y precios'!$A:$A,0),MATCH($D158,'Fichas y precios'!$P$5:$S$5,0)),""))</f>
        <v/>
      </c>
      <c r="G158" s="14" t="str">
        <f aca="false">IFERROR($E158*$F158,"")</f>
        <v/>
      </c>
      <c r="H158" s="14" t="str">
        <f aca="false">IF($B158="","",IF($D158="Batch embotellado",IFERROR(VLOOKUP($B158,'Fichas y precios'!$A:$M,13,FALSE())*'Mi negocio'!$B$13+'Mi negocio'!$B$14,""),IFERROR(VLOOKUP($B158,'Fichas y precios'!$A:$M,13,FALSE()),"")))</f>
        <v/>
      </c>
      <c r="I158" s="14" t="str">
        <f aca="false">IFERROR($E158*$H158,"")</f>
        <v/>
      </c>
      <c r="J158" s="14" t="str">
        <f aca="false">IFERROR($G158-$I158,"")</f>
        <v/>
      </c>
      <c r="K158" s="23" t="str">
        <f aca="false">IFERROR($J158/$G158,"")</f>
        <v/>
      </c>
      <c r="L158" s="31"/>
    </row>
    <row r="159" customFormat="false" ht="15" hidden="false" customHeight="false" outlineLevel="0" collapsed="false">
      <c r="A159" s="30"/>
      <c r="B159" s="31"/>
      <c r="C159" s="9" t="str">
        <f aca="false">IF($B159="","",IFERROR(VLOOKUP($B159,'Fichas y precios'!$A:$B,2,FALSE()),""))</f>
        <v/>
      </c>
      <c r="D159" s="31"/>
      <c r="E159" s="31"/>
      <c r="F159" s="14" t="str">
        <f aca="false">IF(OR($B159="",$D159=""),"",IFERROR(INDEX('Fichas y precios'!$P:$S,MATCH($B159,'Fichas y precios'!$A:$A,0),MATCH($D159,'Fichas y precios'!$P$5:$S$5,0)),""))</f>
        <v/>
      </c>
      <c r="G159" s="14" t="str">
        <f aca="false">IFERROR($E159*$F159,"")</f>
        <v/>
      </c>
      <c r="H159" s="14" t="str">
        <f aca="false">IF($B159="","",IF($D159="Batch embotellado",IFERROR(VLOOKUP($B159,'Fichas y precios'!$A:$M,13,FALSE())*'Mi negocio'!$B$13+'Mi negocio'!$B$14,""),IFERROR(VLOOKUP($B159,'Fichas y precios'!$A:$M,13,FALSE()),"")))</f>
        <v/>
      </c>
      <c r="I159" s="14" t="str">
        <f aca="false">IFERROR($E159*$H159,"")</f>
        <v/>
      </c>
      <c r="J159" s="14" t="str">
        <f aca="false">IFERROR($G159-$I159,"")</f>
        <v/>
      </c>
      <c r="K159" s="23" t="str">
        <f aca="false">IFERROR($J159/$G159,"")</f>
        <v/>
      </c>
      <c r="L159" s="31"/>
    </row>
    <row r="160" customFormat="false" ht="15" hidden="false" customHeight="false" outlineLevel="0" collapsed="false">
      <c r="A160" s="30"/>
      <c r="B160" s="31"/>
      <c r="C160" s="9" t="str">
        <f aca="false">IF($B160="","",IFERROR(VLOOKUP($B160,'Fichas y precios'!$A:$B,2,FALSE()),""))</f>
        <v/>
      </c>
      <c r="D160" s="31"/>
      <c r="E160" s="31"/>
      <c r="F160" s="14" t="str">
        <f aca="false">IF(OR($B160="",$D160=""),"",IFERROR(INDEX('Fichas y precios'!$P:$S,MATCH($B160,'Fichas y precios'!$A:$A,0),MATCH($D160,'Fichas y precios'!$P$5:$S$5,0)),""))</f>
        <v/>
      </c>
      <c r="G160" s="14" t="str">
        <f aca="false">IFERROR($E160*$F160,"")</f>
        <v/>
      </c>
      <c r="H160" s="14" t="str">
        <f aca="false">IF($B160="","",IF($D160="Batch embotellado",IFERROR(VLOOKUP($B160,'Fichas y precios'!$A:$M,13,FALSE())*'Mi negocio'!$B$13+'Mi negocio'!$B$14,""),IFERROR(VLOOKUP($B160,'Fichas y precios'!$A:$M,13,FALSE()),"")))</f>
        <v/>
      </c>
      <c r="I160" s="14" t="str">
        <f aca="false">IFERROR($E160*$H160,"")</f>
        <v/>
      </c>
      <c r="J160" s="14" t="str">
        <f aca="false">IFERROR($G160-$I160,"")</f>
        <v/>
      </c>
      <c r="K160" s="23" t="str">
        <f aca="false">IFERROR($J160/$G160,"")</f>
        <v/>
      </c>
      <c r="L160" s="31"/>
    </row>
    <row r="161" customFormat="false" ht="15" hidden="false" customHeight="false" outlineLevel="0" collapsed="false">
      <c r="A161" s="30"/>
      <c r="B161" s="31"/>
      <c r="C161" s="9" t="str">
        <f aca="false">IF($B161="","",IFERROR(VLOOKUP($B161,'Fichas y precios'!$A:$B,2,FALSE()),""))</f>
        <v/>
      </c>
      <c r="D161" s="31"/>
      <c r="E161" s="31"/>
      <c r="F161" s="14" t="str">
        <f aca="false">IF(OR($B161="",$D161=""),"",IFERROR(INDEX('Fichas y precios'!$P:$S,MATCH($B161,'Fichas y precios'!$A:$A,0),MATCH($D161,'Fichas y precios'!$P$5:$S$5,0)),""))</f>
        <v/>
      </c>
      <c r="G161" s="14" t="str">
        <f aca="false">IFERROR($E161*$F161,"")</f>
        <v/>
      </c>
      <c r="H161" s="14" t="str">
        <f aca="false">IF($B161="","",IF($D161="Batch embotellado",IFERROR(VLOOKUP($B161,'Fichas y precios'!$A:$M,13,FALSE())*'Mi negocio'!$B$13+'Mi negocio'!$B$14,""),IFERROR(VLOOKUP($B161,'Fichas y precios'!$A:$M,13,FALSE()),"")))</f>
        <v/>
      </c>
      <c r="I161" s="14" t="str">
        <f aca="false">IFERROR($E161*$H161,"")</f>
        <v/>
      </c>
      <c r="J161" s="14" t="str">
        <f aca="false">IFERROR($G161-$I161,"")</f>
        <v/>
      </c>
      <c r="K161" s="23" t="str">
        <f aca="false">IFERROR($J161/$G161,"")</f>
        <v/>
      </c>
      <c r="L161" s="31"/>
    </row>
    <row r="162" customFormat="false" ht="15" hidden="false" customHeight="false" outlineLevel="0" collapsed="false">
      <c r="A162" s="30"/>
      <c r="B162" s="31"/>
      <c r="C162" s="9" t="str">
        <f aca="false">IF($B162="","",IFERROR(VLOOKUP($B162,'Fichas y precios'!$A:$B,2,FALSE()),""))</f>
        <v/>
      </c>
      <c r="D162" s="31"/>
      <c r="E162" s="31"/>
      <c r="F162" s="14" t="str">
        <f aca="false">IF(OR($B162="",$D162=""),"",IFERROR(INDEX('Fichas y precios'!$P:$S,MATCH($B162,'Fichas y precios'!$A:$A,0),MATCH($D162,'Fichas y precios'!$P$5:$S$5,0)),""))</f>
        <v/>
      </c>
      <c r="G162" s="14" t="str">
        <f aca="false">IFERROR($E162*$F162,"")</f>
        <v/>
      </c>
      <c r="H162" s="14" t="str">
        <f aca="false">IF($B162="","",IF($D162="Batch embotellado",IFERROR(VLOOKUP($B162,'Fichas y precios'!$A:$M,13,FALSE())*'Mi negocio'!$B$13+'Mi negocio'!$B$14,""),IFERROR(VLOOKUP($B162,'Fichas y precios'!$A:$M,13,FALSE()),"")))</f>
        <v/>
      </c>
      <c r="I162" s="14" t="str">
        <f aca="false">IFERROR($E162*$H162,"")</f>
        <v/>
      </c>
      <c r="J162" s="14" t="str">
        <f aca="false">IFERROR($G162-$I162,"")</f>
        <v/>
      </c>
      <c r="K162" s="23" t="str">
        <f aca="false">IFERROR($J162/$G162,"")</f>
        <v/>
      </c>
      <c r="L162" s="31"/>
    </row>
    <row r="163" customFormat="false" ht="15" hidden="false" customHeight="false" outlineLevel="0" collapsed="false">
      <c r="A163" s="30"/>
      <c r="B163" s="31"/>
      <c r="C163" s="9" t="str">
        <f aca="false">IF($B163="","",IFERROR(VLOOKUP($B163,'Fichas y precios'!$A:$B,2,FALSE()),""))</f>
        <v/>
      </c>
      <c r="D163" s="31"/>
      <c r="E163" s="31"/>
      <c r="F163" s="14" t="str">
        <f aca="false">IF(OR($B163="",$D163=""),"",IFERROR(INDEX('Fichas y precios'!$P:$S,MATCH($B163,'Fichas y precios'!$A:$A,0),MATCH($D163,'Fichas y precios'!$P$5:$S$5,0)),""))</f>
        <v/>
      </c>
      <c r="G163" s="14" t="str">
        <f aca="false">IFERROR($E163*$F163,"")</f>
        <v/>
      </c>
      <c r="H163" s="14" t="str">
        <f aca="false">IF($B163="","",IF($D163="Batch embotellado",IFERROR(VLOOKUP($B163,'Fichas y precios'!$A:$M,13,FALSE())*'Mi negocio'!$B$13+'Mi negocio'!$B$14,""),IFERROR(VLOOKUP($B163,'Fichas y precios'!$A:$M,13,FALSE()),"")))</f>
        <v/>
      </c>
      <c r="I163" s="14" t="str">
        <f aca="false">IFERROR($E163*$H163,"")</f>
        <v/>
      </c>
      <c r="J163" s="14" t="str">
        <f aca="false">IFERROR($G163-$I163,"")</f>
        <v/>
      </c>
      <c r="K163" s="23" t="str">
        <f aca="false">IFERROR($J163/$G163,"")</f>
        <v/>
      </c>
      <c r="L163" s="31"/>
    </row>
    <row r="164" customFormat="false" ht="15" hidden="false" customHeight="false" outlineLevel="0" collapsed="false">
      <c r="A164" s="30"/>
      <c r="B164" s="31"/>
      <c r="C164" s="9" t="str">
        <f aca="false">IF($B164="","",IFERROR(VLOOKUP($B164,'Fichas y precios'!$A:$B,2,FALSE()),""))</f>
        <v/>
      </c>
      <c r="D164" s="31"/>
      <c r="E164" s="31"/>
      <c r="F164" s="14" t="str">
        <f aca="false">IF(OR($B164="",$D164=""),"",IFERROR(INDEX('Fichas y precios'!$P:$S,MATCH($B164,'Fichas y precios'!$A:$A,0),MATCH($D164,'Fichas y precios'!$P$5:$S$5,0)),""))</f>
        <v/>
      </c>
      <c r="G164" s="14" t="str">
        <f aca="false">IFERROR($E164*$F164,"")</f>
        <v/>
      </c>
      <c r="H164" s="14" t="str">
        <f aca="false">IF($B164="","",IF($D164="Batch embotellado",IFERROR(VLOOKUP($B164,'Fichas y precios'!$A:$M,13,FALSE())*'Mi negocio'!$B$13+'Mi negocio'!$B$14,""),IFERROR(VLOOKUP($B164,'Fichas y precios'!$A:$M,13,FALSE()),"")))</f>
        <v/>
      </c>
      <c r="I164" s="14" t="str">
        <f aca="false">IFERROR($E164*$H164,"")</f>
        <v/>
      </c>
      <c r="J164" s="14" t="str">
        <f aca="false">IFERROR($G164-$I164,"")</f>
        <v/>
      </c>
      <c r="K164" s="23" t="str">
        <f aca="false">IFERROR($J164/$G164,"")</f>
        <v/>
      </c>
      <c r="L164" s="31"/>
    </row>
    <row r="165" customFormat="false" ht="15" hidden="false" customHeight="false" outlineLevel="0" collapsed="false">
      <c r="A165" s="30"/>
      <c r="B165" s="31"/>
      <c r="C165" s="9" t="str">
        <f aca="false">IF($B165="","",IFERROR(VLOOKUP($B165,'Fichas y precios'!$A:$B,2,FALSE()),""))</f>
        <v/>
      </c>
      <c r="D165" s="31"/>
      <c r="E165" s="31"/>
      <c r="F165" s="14" t="str">
        <f aca="false">IF(OR($B165="",$D165=""),"",IFERROR(INDEX('Fichas y precios'!$P:$S,MATCH($B165,'Fichas y precios'!$A:$A,0),MATCH($D165,'Fichas y precios'!$P$5:$S$5,0)),""))</f>
        <v/>
      </c>
      <c r="G165" s="14" t="str">
        <f aca="false">IFERROR($E165*$F165,"")</f>
        <v/>
      </c>
      <c r="H165" s="14" t="str">
        <f aca="false">IF($B165="","",IF($D165="Batch embotellado",IFERROR(VLOOKUP($B165,'Fichas y precios'!$A:$M,13,FALSE())*'Mi negocio'!$B$13+'Mi negocio'!$B$14,""),IFERROR(VLOOKUP($B165,'Fichas y precios'!$A:$M,13,FALSE()),"")))</f>
        <v/>
      </c>
      <c r="I165" s="14" t="str">
        <f aca="false">IFERROR($E165*$H165,"")</f>
        <v/>
      </c>
      <c r="J165" s="14" t="str">
        <f aca="false">IFERROR($G165-$I165,"")</f>
        <v/>
      </c>
      <c r="K165" s="23" t="str">
        <f aca="false">IFERROR($J165/$G165,"")</f>
        <v/>
      </c>
      <c r="L165" s="31"/>
    </row>
    <row r="166" customFormat="false" ht="15" hidden="false" customHeight="false" outlineLevel="0" collapsed="false">
      <c r="A166" s="30"/>
      <c r="B166" s="31"/>
      <c r="C166" s="9" t="str">
        <f aca="false">IF($B166="","",IFERROR(VLOOKUP($B166,'Fichas y precios'!$A:$B,2,FALSE()),""))</f>
        <v/>
      </c>
      <c r="D166" s="31"/>
      <c r="E166" s="31"/>
      <c r="F166" s="14" t="str">
        <f aca="false">IF(OR($B166="",$D166=""),"",IFERROR(INDEX('Fichas y precios'!$P:$S,MATCH($B166,'Fichas y precios'!$A:$A,0),MATCH($D166,'Fichas y precios'!$P$5:$S$5,0)),""))</f>
        <v/>
      </c>
      <c r="G166" s="14" t="str">
        <f aca="false">IFERROR($E166*$F166,"")</f>
        <v/>
      </c>
      <c r="H166" s="14" t="str">
        <f aca="false">IF($B166="","",IF($D166="Batch embotellado",IFERROR(VLOOKUP($B166,'Fichas y precios'!$A:$M,13,FALSE())*'Mi negocio'!$B$13+'Mi negocio'!$B$14,""),IFERROR(VLOOKUP($B166,'Fichas y precios'!$A:$M,13,FALSE()),"")))</f>
        <v/>
      </c>
      <c r="I166" s="14" t="str">
        <f aca="false">IFERROR($E166*$H166,"")</f>
        <v/>
      </c>
      <c r="J166" s="14" t="str">
        <f aca="false">IFERROR($G166-$I166,"")</f>
        <v/>
      </c>
      <c r="K166" s="23" t="str">
        <f aca="false">IFERROR($J166/$G166,"")</f>
        <v/>
      </c>
      <c r="L166" s="31"/>
    </row>
    <row r="167" customFormat="false" ht="15" hidden="false" customHeight="false" outlineLevel="0" collapsed="false">
      <c r="A167" s="30"/>
      <c r="B167" s="31"/>
      <c r="C167" s="9" t="str">
        <f aca="false">IF($B167="","",IFERROR(VLOOKUP($B167,'Fichas y precios'!$A:$B,2,FALSE()),""))</f>
        <v/>
      </c>
      <c r="D167" s="31"/>
      <c r="E167" s="31"/>
      <c r="F167" s="14" t="str">
        <f aca="false">IF(OR($B167="",$D167=""),"",IFERROR(INDEX('Fichas y precios'!$P:$S,MATCH($B167,'Fichas y precios'!$A:$A,0),MATCH($D167,'Fichas y precios'!$P$5:$S$5,0)),""))</f>
        <v/>
      </c>
      <c r="G167" s="14" t="str">
        <f aca="false">IFERROR($E167*$F167,"")</f>
        <v/>
      </c>
      <c r="H167" s="14" t="str">
        <f aca="false">IF($B167="","",IF($D167="Batch embotellado",IFERROR(VLOOKUP($B167,'Fichas y precios'!$A:$M,13,FALSE())*'Mi negocio'!$B$13+'Mi negocio'!$B$14,""),IFERROR(VLOOKUP($B167,'Fichas y precios'!$A:$M,13,FALSE()),"")))</f>
        <v/>
      </c>
      <c r="I167" s="14" t="str">
        <f aca="false">IFERROR($E167*$H167,"")</f>
        <v/>
      </c>
      <c r="J167" s="14" t="str">
        <f aca="false">IFERROR($G167-$I167,"")</f>
        <v/>
      </c>
      <c r="K167" s="23" t="str">
        <f aca="false">IFERROR($J167/$G167,"")</f>
        <v/>
      </c>
      <c r="L167" s="31"/>
    </row>
    <row r="168" customFormat="false" ht="15" hidden="false" customHeight="false" outlineLevel="0" collapsed="false">
      <c r="A168" s="30"/>
      <c r="B168" s="31"/>
      <c r="C168" s="9" t="str">
        <f aca="false">IF($B168="","",IFERROR(VLOOKUP($B168,'Fichas y precios'!$A:$B,2,FALSE()),""))</f>
        <v/>
      </c>
      <c r="D168" s="31"/>
      <c r="E168" s="31"/>
      <c r="F168" s="14" t="str">
        <f aca="false">IF(OR($B168="",$D168=""),"",IFERROR(INDEX('Fichas y precios'!$P:$S,MATCH($B168,'Fichas y precios'!$A:$A,0),MATCH($D168,'Fichas y precios'!$P$5:$S$5,0)),""))</f>
        <v/>
      </c>
      <c r="G168" s="14" t="str">
        <f aca="false">IFERROR($E168*$F168,"")</f>
        <v/>
      </c>
      <c r="H168" s="14" t="str">
        <f aca="false">IF($B168="","",IF($D168="Batch embotellado",IFERROR(VLOOKUP($B168,'Fichas y precios'!$A:$M,13,FALSE())*'Mi negocio'!$B$13+'Mi negocio'!$B$14,""),IFERROR(VLOOKUP($B168,'Fichas y precios'!$A:$M,13,FALSE()),"")))</f>
        <v/>
      </c>
      <c r="I168" s="14" t="str">
        <f aca="false">IFERROR($E168*$H168,"")</f>
        <v/>
      </c>
      <c r="J168" s="14" t="str">
        <f aca="false">IFERROR($G168-$I168,"")</f>
        <v/>
      </c>
      <c r="K168" s="23" t="str">
        <f aca="false">IFERROR($J168/$G168,"")</f>
        <v/>
      </c>
      <c r="L168" s="31"/>
    </row>
    <row r="169" customFormat="false" ht="15" hidden="false" customHeight="false" outlineLevel="0" collapsed="false">
      <c r="A169" s="30"/>
      <c r="B169" s="31"/>
      <c r="C169" s="9" t="str">
        <f aca="false">IF($B169="","",IFERROR(VLOOKUP($B169,'Fichas y precios'!$A:$B,2,FALSE()),""))</f>
        <v/>
      </c>
      <c r="D169" s="31"/>
      <c r="E169" s="31"/>
      <c r="F169" s="14" t="str">
        <f aca="false">IF(OR($B169="",$D169=""),"",IFERROR(INDEX('Fichas y precios'!$P:$S,MATCH($B169,'Fichas y precios'!$A:$A,0),MATCH($D169,'Fichas y precios'!$P$5:$S$5,0)),""))</f>
        <v/>
      </c>
      <c r="G169" s="14" t="str">
        <f aca="false">IFERROR($E169*$F169,"")</f>
        <v/>
      </c>
      <c r="H169" s="14" t="str">
        <f aca="false">IF($B169="","",IF($D169="Batch embotellado",IFERROR(VLOOKUP($B169,'Fichas y precios'!$A:$M,13,FALSE())*'Mi negocio'!$B$13+'Mi negocio'!$B$14,""),IFERROR(VLOOKUP($B169,'Fichas y precios'!$A:$M,13,FALSE()),"")))</f>
        <v/>
      </c>
      <c r="I169" s="14" t="str">
        <f aca="false">IFERROR($E169*$H169,"")</f>
        <v/>
      </c>
      <c r="J169" s="14" t="str">
        <f aca="false">IFERROR($G169-$I169,"")</f>
        <v/>
      </c>
      <c r="K169" s="23" t="str">
        <f aca="false">IFERROR($J169/$G169,"")</f>
        <v/>
      </c>
      <c r="L169" s="31"/>
    </row>
    <row r="170" customFormat="false" ht="15" hidden="false" customHeight="false" outlineLevel="0" collapsed="false">
      <c r="A170" s="30"/>
      <c r="B170" s="31"/>
      <c r="C170" s="9" t="str">
        <f aca="false">IF($B170="","",IFERROR(VLOOKUP($B170,'Fichas y precios'!$A:$B,2,FALSE()),""))</f>
        <v/>
      </c>
      <c r="D170" s="31"/>
      <c r="E170" s="31"/>
      <c r="F170" s="14" t="str">
        <f aca="false">IF(OR($B170="",$D170=""),"",IFERROR(INDEX('Fichas y precios'!$P:$S,MATCH($B170,'Fichas y precios'!$A:$A,0),MATCH($D170,'Fichas y precios'!$P$5:$S$5,0)),""))</f>
        <v/>
      </c>
      <c r="G170" s="14" t="str">
        <f aca="false">IFERROR($E170*$F170,"")</f>
        <v/>
      </c>
      <c r="H170" s="14" t="str">
        <f aca="false">IF($B170="","",IF($D170="Batch embotellado",IFERROR(VLOOKUP($B170,'Fichas y precios'!$A:$M,13,FALSE())*'Mi negocio'!$B$13+'Mi negocio'!$B$14,""),IFERROR(VLOOKUP($B170,'Fichas y precios'!$A:$M,13,FALSE()),"")))</f>
        <v/>
      </c>
      <c r="I170" s="14" t="str">
        <f aca="false">IFERROR($E170*$H170,"")</f>
        <v/>
      </c>
      <c r="J170" s="14" t="str">
        <f aca="false">IFERROR($G170-$I170,"")</f>
        <v/>
      </c>
      <c r="K170" s="23" t="str">
        <f aca="false">IFERROR($J170/$G170,"")</f>
        <v/>
      </c>
      <c r="L170" s="31"/>
    </row>
    <row r="171" customFormat="false" ht="15" hidden="false" customHeight="false" outlineLevel="0" collapsed="false">
      <c r="A171" s="30"/>
      <c r="B171" s="31"/>
      <c r="C171" s="9" t="str">
        <f aca="false">IF($B171="","",IFERROR(VLOOKUP($B171,'Fichas y precios'!$A:$B,2,FALSE()),""))</f>
        <v/>
      </c>
      <c r="D171" s="31"/>
      <c r="E171" s="31"/>
      <c r="F171" s="14" t="str">
        <f aca="false">IF(OR($B171="",$D171=""),"",IFERROR(INDEX('Fichas y precios'!$P:$S,MATCH($B171,'Fichas y precios'!$A:$A,0),MATCH($D171,'Fichas y precios'!$P$5:$S$5,0)),""))</f>
        <v/>
      </c>
      <c r="G171" s="14" t="str">
        <f aca="false">IFERROR($E171*$F171,"")</f>
        <v/>
      </c>
      <c r="H171" s="14" t="str">
        <f aca="false">IF($B171="","",IF($D171="Batch embotellado",IFERROR(VLOOKUP($B171,'Fichas y precios'!$A:$M,13,FALSE())*'Mi negocio'!$B$13+'Mi negocio'!$B$14,""),IFERROR(VLOOKUP($B171,'Fichas y precios'!$A:$M,13,FALSE()),"")))</f>
        <v/>
      </c>
      <c r="I171" s="14" t="str">
        <f aca="false">IFERROR($E171*$H171,"")</f>
        <v/>
      </c>
      <c r="J171" s="14" t="str">
        <f aca="false">IFERROR($G171-$I171,"")</f>
        <v/>
      </c>
      <c r="K171" s="23" t="str">
        <f aca="false">IFERROR($J171/$G171,"")</f>
        <v/>
      </c>
      <c r="L171" s="31"/>
    </row>
    <row r="172" customFormat="false" ht="15" hidden="false" customHeight="false" outlineLevel="0" collapsed="false">
      <c r="A172" s="30"/>
      <c r="B172" s="31"/>
      <c r="C172" s="9" t="str">
        <f aca="false">IF($B172="","",IFERROR(VLOOKUP($B172,'Fichas y precios'!$A:$B,2,FALSE()),""))</f>
        <v/>
      </c>
      <c r="D172" s="31"/>
      <c r="E172" s="31"/>
      <c r="F172" s="14" t="str">
        <f aca="false">IF(OR($B172="",$D172=""),"",IFERROR(INDEX('Fichas y precios'!$P:$S,MATCH($B172,'Fichas y precios'!$A:$A,0),MATCH($D172,'Fichas y precios'!$P$5:$S$5,0)),""))</f>
        <v/>
      </c>
      <c r="G172" s="14" t="str">
        <f aca="false">IFERROR($E172*$F172,"")</f>
        <v/>
      </c>
      <c r="H172" s="14" t="str">
        <f aca="false">IF($B172="","",IF($D172="Batch embotellado",IFERROR(VLOOKUP($B172,'Fichas y precios'!$A:$M,13,FALSE())*'Mi negocio'!$B$13+'Mi negocio'!$B$14,""),IFERROR(VLOOKUP($B172,'Fichas y precios'!$A:$M,13,FALSE()),"")))</f>
        <v/>
      </c>
      <c r="I172" s="14" t="str">
        <f aca="false">IFERROR($E172*$H172,"")</f>
        <v/>
      </c>
      <c r="J172" s="14" t="str">
        <f aca="false">IFERROR($G172-$I172,"")</f>
        <v/>
      </c>
      <c r="K172" s="23" t="str">
        <f aca="false">IFERROR($J172/$G172,"")</f>
        <v/>
      </c>
      <c r="L172" s="31"/>
    </row>
    <row r="173" customFormat="false" ht="15" hidden="false" customHeight="false" outlineLevel="0" collapsed="false">
      <c r="A173" s="30"/>
      <c r="B173" s="31"/>
      <c r="C173" s="9" t="str">
        <f aca="false">IF($B173="","",IFERROR(VLOOKUP($B173,'Fichas y precios'!$A:$B,2,FALSE()),""))</f>
        <v/>
      </c>
      <c r="D173" s="31"/>
      <c r="E173" s="31"/>
      <c r="F173" s="14" t="str">
        <f aca="false">IF(OR($B173="",$D173=""),"",IFERROR(INDEX('Fichas y precios'!$P:$S,MATCH($B173,'Fichas y precios'!$A:$A,0),MATCH($D173,'Fichas y precios'!$P$5:$S$5,0)),""))</f>
        <v/>
      </c>
      <c r="G173" s="14" t="str">
        <f aca="false">IFERROR($E173*$F173,"")</f>
        <v/>
      </c>
      <c r="H173" s="14" t="str">
        <f aca="false">IF($B173="","",IF($D173="Batch embotellado",IFERROR(VLOOKUP($B173,'Fichas y precios'!$A:$M,13,FALSE())*'Mi negocio'!$B$13+'Mi negocio'!$B$14,""),IFERROR(VLOOKUP($B173,'Fichas y precios'!$A:$M,13,FALSE()),"")))</f>
        <v/>
      </c>
      <c r="I173" s="14" t="str">
        <f aca="false">IFERROR($E173*$H173,"")</f>
        <v/>
      </c>
      <c r="J173" s="14" t="str">
        <f aca="false">IFERROR($G173-$I173,"")</f>
        <v/>
      </c>
      <c r="K173" s="23" t="str">
        <f aca="false">IFERROR($J173/$G173,"")</f>
        <v/>
      </c>
      <c r="L173" s="31"/>
    </row>
    <row r="174" customFormat="false" ht="15" hidden="false" customHeight="false" outlineLevel="0" collapsed="false">
      <c r="A174" s="30"/>
      <c r="B174" s="31"/>
      <c r="C174" s="9" t="str">
        <f aca="false">IF($B174="","",IFERROR(VLOOKUP($B174,'Fichas y precios'!$A:$B,2,FALSE()),""))</f>
        <v/>
      </c>
      <c r="D174" s="31"/>
      <c r="E174" s="31"/>
      <c r="F174" s="14" t="str">
        <f aca="false">IF(OR($B174="",$D174=""),"",IFERROR(INDEX('Fichas y precios'!$P:$S,MATCH($B174,'Fichas y precios'!$A:$A,0),MATCH($D174,'Fichas y precios'!$P$5:$S$5,0)),""))</f>
        <v/>
      </c>
      <c r="G174" s="14" t="str">
        <f aca="false">IFERROR($E174*$F174,"")</f>
        <v/>
      </c>
      <c r="H174" s="14" t="str">
        <f aca="false">IF($B174="","",IF($D174="Batch embotellado",IFERROR(VLOOKUP($B174,'Fichas y precios'!$A:$M,13,FALSE())*'Mi negocio'!$B$13+'Mi negocio'!$B$14,""),IFERROR(VLOOKUP($B174,'Fichas y precios'!$A:$M,13,FALSE()),"")))</f>
        <v/>
      </c>
      <c r="I174" s="14" t="str">
        <f aca="false">IFERROR($E174*$H174,"")</f>
        <v/>
      </c>
      <c r="J174" s="14" t="str">
        <f aca="false">IFERROR($G174-$I174,"")</f>
        <v/>
      </c>
      <c r="K174" s="23" t="str">
        <f aca="false">IFERROR($J174/$G174,"")</f>
        <v/>
      </c>
      <c r="L174" s="31"/>
    </row>
    <row r="175" customFormat="false" ht="15" hidden="false" customHeight="false" outlineLevel="0" collapsed="false">
      <c r="A175" s="30"/>
      <c r="B175" s="31"/>
      <c r="C175" s="9" t="str">
        <f aca="false">IF($B175="","",IFERROR(VLOOKUP($B175,'Fichas y precios'!$A:$B,2,FALSE()),""))</f>
        <v/>
      </c>
      <c r="D175" s="31"/>
      <c r="E175" s="31"/>
      <c r="F175" s="14" t="str">
        <f aca="false">IF(OR($B175="",$D175=""),"",IFERROR(INDEX('Fichas y precios'!$P:$S,MATCH($B175,'Fichas y precios'!$A:$A,0),MATCH($D175,'Fichas y precios'!$P$5:$S$5,0)),""))</f>
        <v/>
      </c>
      <c r="G175" s="14" t="str">
        <f aca="false">IFERROR($E175*$F175,"")</f>
        <v/>
      </c>
      <c r="H175" s="14" t="str">
        <f aca="false">IF($B175="","",IF($D175="Batch embotellado",IFERROR(VLOOKUP($B175,'Fichas y precios'!$A:$M,13,FALSE())*'Mi negocio'!$B$13+'Mi negocio'!$B$14,""),IFERROR(VLOOKUP($B175,'Fichas y precios'!$A:$M,13,FALSE()),"")))</f>
        <v/>
      </c>
      <c r="I175" s="14" t="str">
        <f aca="false">IFERROR($E175*$H175,"")</f>
        <v/>
      </c>
      <c r="J175" s="14" t="str">
        <f aca="false">IFERROR($G175-$I175,"")</f>
        <v/>
      </c>
      <c r="K175" s="23" t="str">
        <f aca="false">IFERROR($J175/$G175,"")</f>
        <v/>
      </c>
      <c r="L175" s="31"/>
    </row>
    <row r="176" customFormat="false" ht="15" hidden="false" customHeight="false" outlineLevel="0" collapsed="false">
      <c r="A176" s="30"/>
      <c r="B176" s="31"/>
      <c r="C176" s="9" t="str">
        <f aca="false">IF($B176="","",IFERROR(VLOOKUP($B176,'Fichas y precios'!$A:$B,2,FALSE()),""))</f>
        <v/>
      </c>
      <c r="D176" s="31"/>
      <c r="E176" s="31"/>
      <c r="F176" s="14" t="str">
        <f aca="false">IF(OR($B176="",$D176=""),"",IFERROR(INDEX('Fichas y precios'!$P:$S,MATCH($B176,'Fichas y precios'!$A:$A,0),MATCH($D176,'Fichas y precios'!$P$5:$S$5,0)),""))</f>
        <v/>
      </c>
      <c r="G176" s="14" t="str">
        <f aca="false">IFERROR($E176*$F176,"")</f>
        <v/>
      </c>
      <c r="H176" s="14" t="str">
        <f aca="false">IF($B176="","",IF($D176="Batch embotellado",IFERROR(VLOOKUP($B176,'Fichas y precios'!$A:$M,13,FALSE())*'Mi negocio'!$B$13+'Mi negocio'!$B$14,""),IFERROR(VLOOKUP($B176,'Fichas y precios'!$A:$M,13,FALSE()),"")))</f>
        <v/>
      </c>
      <c r="I176" s="14" t="str">
        <f aca="false">IFERROR($E176*$H176,"")</f>
        <v/>
      </c>
      <c r="J176" s="14" t="str">
        <f aca="false">IFERROR($G176-$I176,"")</f>
        <v/>
      </c>
      <c r="K176" s="23" t="str">
        <f aca="false">IFERROR($J176/$G176,"")</f>
        <v/>
      </c>
      <c r="L176" s="31"/>
    </row>
    <row r="177" customFormat="false" ht="15" hidden="false" customHeight="false" outlineLevel="0" collapsed="false">
      <c r="A177" s="30"/>
      <c r="B177" s="31"/>
      <c r="C177" s="9" t="str">
        <f aca="false">IF($B177="","",IFERROR(VLOOKUP($B177,'Fichas y precios'!$A:$B,2,FALSE()),""))</f>
        <v/>
      </c>
      <c r="D177" s="31"/>
      <c r="E177" s="31"/>
      <c r="F177" s="14" t="str">
        <f aca="false">IF(OR($B177="",$D177=""),"",IFERROR(INDEX('Fichas y precios'!$P:$S,MATCH($B177,'Fichas y precios'!$A:$A,0),MATCH($D177,'Fichas y precios'!$P$5:$S$5,0)),""))</f>
        <v/>
      </c>
      <c r="G177" s="14" t="str">
        <f aca="false">IFERROR($E177*$F177,"")</f>
        <v/>
      </c>
      <c r="H177" s="14" t="str">
        <f aca="false">IF($B177="","",IF($D177="Batch embotellado",IFERROR(VLOOKUP($B177,'Fichas y precios'!$A:$M,13,FALSE())*'Mi negocio'!$B$13+'Mi negocio'!$B$14,""),IFERROR(VLOOKUP($B177,'Fichas y precios'!$A:$M,13,FALSE()),"")))</f>
        <v/>
      </c>
      <c r="I177" s="14" t="str">
        <f aca="false">IFERROR($E177*$H177,"")</f>
        <v/>
      </c>
      <c r="J177" s="14" t="str">
        <f aca="false">IFERROR($G177-$I177,"")</f>
        <v/>
      </c>
      <c r="K177" s="23" t="str">
        <f aca="false">IFERROR($J177/$G177,"")</f>
        <v/>
      </c>
      <c r="L177" s="31"/>
    </row>
    <row r="178" customFormat="false" ht="15" hidden="false" customHeight="false" outlineLevel="0" collapsed="false">
      <c r="A178" s="30"/>
      <c r="B178" s="31"/>
      <c r="C178" s="9" t="str">
        <f aca="false">IF($B178="","",IFERROR(VLOOKUP($B178,'Fichas y precios'!$A:$B,2,FALSE()),""))</f>
        <v/>
      </c>
      <c r="D178" s="31"/>
      <c r="E178" s="31"/>
      <c r="F178" s="14" t="str">
        <f aca="false">IF(OR($B178="",$D178=""),"",IFERROR(INDEX('Fichas y precios'!$P:$S,MATCH($B178,'Fichas y precios'!$A:$A,0),MATCH($D178,'Fichas y precios'!$P$5:$S$5,0)),""))</f>
        <v/>
      </c>
      <c r="G178" s="14" t="str">
        <f aca="false">IFERROR($E178*$F178,"")</f>
        <v/>
      </c>
      <c r="H178" s="14" t="str">
        <f aca="false">IF($B178="","",IF($D178="Batch embotellado",IFERROR(VLOOKUP($B178,'Fichas y precios'!$A:$M,13,FALSE())*'Mi negocio'!$B$13+'Mi negocio'!$B$14,""),IFERROR(VLOOKUP($B178,'Fichas y precios'!$A:$M,13,FALSE()),"")))</f>
        <v/>
      </c>
      <c r="I178" s="14" t="str">
        <f aca="false">IFERROR($E178*$H178,"")</f>
        <v/>
      </c>
      <c r="J178" s="14" t="str">
        <f aca="false">IFERROR($G178-$I178,"")</f>
        <v/>
      </c>
      <c r="K178" s="23" t="str">
        <f aca="false">IFERROR($J178/$G178,"")</f>
        <v/>
      </c>
      <c r="L178" s="31"/>
    </row>
    <row r="179" customFormat="false" ht="15" hidden="false" customHeight="false" outlineLevel="0" collapsed="false">
      <c r="A179" s="30"/>
      <c r="B179" s="31"/>
      <c r="C179" s="9" t="str">
        <f aca="false">IF($B179="","",IFERROR(VLOOKUP($B179,'Fichas y precios'!$A:$B,2,FALSE()),""))</f>
        <v/>
      </c>
      <c r="D179" s="31"/>
      <c r="E179" s="31"/>
      <c r="F179" s="14" t="str">
        <f aca="false">IF(OR($B179="",$D179=""),"",IFERROR(INDEX('Fichas y precios'!$P:$S,MATCH($B179,'Fichas y precios'!$A:$A,0),MATCH($D179,'Fichas y precios'!$P$5:$S$5,0)),""))</f>
        <v/>
      </c>
      <c r="G179" s="14" t="str">
        <f aca="false">IFERROR($E179*$F179,"")</f>
        <v/>
      </c>
      <c r="H179" s="14" t="str">
        <f aca="false">IF($B179="","",IF($D179="Batch embotellado",IFERROR(VLOOKUP($B179,'Fichas y precios'!$A:$M,13,FALSE())*'Mi negocio'!$B$13+'Mi negocio'!$B$14,""),IFERROR(VLOOKUP($B179,'Fichas y precios'!$A:$M,13,FALSE()),"")))</f>
        <v/>
      </c>
      <c r="I179" s="14" t="str">
        <f aca="false">IFERROR($E179*$H179,"")</f>
        <v/>
      </c>
      <c r="J179" s="14" t="str">
        <f aca="false">IFERROR($G179-$I179,"")</f>
        <v/>
      </c>
      <c r="K179" s="23" t="str">
        <f aca="false">IFERROR($J179/$G179,"")</f>
        <v/>
      </c>
      <c r="L179" s="31"/>
    </row>
    <row r="180" customFormat="false" ht="15" hidden="false" customHeight="false" outlineLevel="0" collapsed="false">
      <c r="A180" s="30"/>
      <c r="B180" s="31"/>
      <c r="C180" s="9" t="str">
        <f aca="false">IF($B180="","",IFERROR(VLOOKUP($B180,'Fichas y precios'!$A:$B,2,FALSE()),""))</f>
        <v/>
      </c>
      <c r="D180" s="31"/>
      <c r="E180" s="31"/>
      <c r="F180" s="14" t="str">
        <f aca="false">IF(OR($B180="",$D180=""),"",IFERROR(INDEX('Fichas y precios'!$P:$S,MATCH($B180,'Fichas y precios'!$A:$A,0),MATCH($D180,'Fichas y precios'!$P$5:$S$5,0)),""))</f>
        <v/>
      </c>
      <c r="G180" s="14" t="str">
        <f aca="false">IFERROR($E180*$F180,"")</f>
        <v/>
      </c>
      <c r="H180" s="14" t="str">
        <f aca="false">IF($B180="","",IF($D180="Batch embotellado",IFERROR(VLOOKUP($B180,'Fichas y precios'!$A:$M,13,FALSE())*'Mi negocio'!$B$13+'Mi negocio'!$B$14,""),IFERROR(VLOOKUP($B180,'Fichas y precios'!$A:$M,13,FALSE()),"")))</f>
        <v/>
      </c>
      <c r="I180" s="14" t="str">
        <f aca="false">IFERROR($E180*$H180,"")</f>
        <v/>
      </c>
      <c r="J180" s="14" t="str">
        <f aca="false">IFERROR($G180-$I180,"")</f>
        <v/>
      </c>
      <c r="K180" s="23" t="str">
        <f aca="false">IFERROR($J180/$G180,"")</f>
        <v/>
      </c>
      <c r="L180" s="31"/>
    </row>
    <row r="181" customFormat="false" ht="15" hidden="false" customHeight="false" outlineLevel="0" collapsed="false">
      <c r="A181" s="30"/>
      <c r="B181" s="31"/>
      <c r="C181" s="9" t="str">
        <f aca="false">IF($B181="","",IFERROR(VLOOKUP($B181,'Fichas y precios'!$A:$B,2,FALSE()),""))</f>
        <v/>
      </c>
      <c r="D181" s="31"/>
      <c r="E181" s="31"/>
      <c r="F181" s="14" t="str">
        <f aca="false">IF(OR($B181="",$D181=""),"",IFERROR(INDEX('Fichas y precios'!$P:$S,MATCH($B181,'Fichas y precios'!$A:$A,0),MATCH($D181,'Fichas y precios'!$P$5:$S$5,0)),""))</f>
        <v/>
      </c>
      <c r="G181" s="14" t="str">
        <f aca="false">IFERROR($E181*$F181,"")</f>
        <v/>
      </c>
      <c r="H181" s="14" t="str">
        <f aca="false">IF($B181="","",IF($D181="Batch embotellado",IFERROR(VLOOKUP($B181,'Fichas y precios'!$A:$M,13,FALSE())*'Mi negocio'!$B$13+'Mi negocio'!$B$14,""),IFERROR(VLOOKUP($B181,'Fichas y precios'!$A:$M,13,FALSE()),"")))</f>
        <v/>
      </c>
      <c r="I181" s="14" t="str">
        <f aca="false">IFERROR($E181*$H181,"")</f>
        <v/>
      </c>
      <c r="J181" s="14" t="str">
        <f aca="false">IFERROR($G181-$I181,"")</f>
        <v/>
      </c>
      <c r="K181" s="23" t="str">
        <f aca="false">IFERROR($J181/$G181,"")</f>
        <v/>
      </c>
      <c r="L181" s="31"/>
    </row>
    <row r="182" customFormat="false" ht="15" hidden="false" customHeight="false" outlineLevel="0" collapsed="false">
      <c r="A182" s="30"/>
      <c r="B182" s="31"/>
      <c r="C182" s="9" t="str">
        <f aca="false">IF($B182="","",IFERROR(VLOOKUP($B182,'Fichas y precios'!$A:$B,2,FALSE()),""))</f>
        <v/>
      </c>
      <c r="D182" s="31"/>
      <c r="E182" s="31"/>
      <c r="F182" s="14" t="str">
        <f aca="false">IF(OR($B182="",$D182=""),"",IFERROR(INDEX('Fichas y precios'!$P:$S,MATCH($B182,'Fichas y precios'!$A:$A,0),MATCH($D182,'Fichas y precios'!$P$5:$S$5,0)),""))</f>
        <v/>
      </c>
      <c r="G182" s="14" t="str">
        <f aca="false">IFERROR($E182*$F182,"")</f>
        <v/>
      </c>
      <c r="H182" s="14" t="str">
        <f aca="false">IF($B182="","",IF($D182="Batch embotellado",IFERROR(VLOOKUP($B182,'Fichas y precios'!$A:$M,13,FALSE())*'Mi negocio'!$B$13+'Mi negocio'!$B$14,""),IFERROR(VLOOKUP($B182,'Fichas y precios'!$A:$M,13,FALSE()),"")))</f>
        <v/>
      </c>
      <c r="I182" s="14" t="str">
        <f aca="false">IFERROR($E182*$H182,"")</f>
        <v/>
      </c>
      <c r="J182" s="14" t="str">
        <f aca="false">IFERROR($G182-$I182,"")</f>
        <v/>
      </c>
      <c r="K182" s="23" t="str">
        <f aca="false">IFERROR($J182/$G182,"")</f>
        <v/>
      </c>
      <c r="L182" s="31"/>
    </row>
    <row r="183" customFormat="false" ht="15" hidden="false" customHeight="false" outlineLevel="0" collapsed="false">
      <c r="A183" s="30"/>
      <c r="B183" s="31"/>
      <c r="C183" s="9" t="str">
        <f aca="false">IF($B183="","",IFERROR(VLOOKUP($B183,'Fichas y precios'!$A:$B,2,FALSE()),""))</f>
        <v/>
      </c>
      <c r="D183" s="31"/>
      <c r="E183" s="31"/>
      <c r="F183" s="14" t="str">
        <f aca="false">IF(OR($B183="",$D183=""),"",IFERROR(INDEX('Fichas y precios'!$P:$S,MATCH($B183,'Fichas y precios'!$A:$A,0),MATCH($D183,'Fichas y precios'!$P$5:$S$5,0)),""))</f>
        <v/>
      </c>
      <c r="G183" s="14" t="str">
        <f aca="false">IFERROR($E183*$F183,"")</f>
        <v/>
      </c>
      <c r="H183" s="14" t="str">
        <f aca="false">IF($B183="","",IF($D183="Batch embotellado",IFERROR(VLOOKUP($B183,'Fichas y precios'!$A:$M,13,FALSE())*'Mi negocio'!$B$13+'Mi negocio'!$B$14,""),IFERROR(VLOOKUP($B183,'Fichas y precios'!$A:$M,13,FALSE()),"")))</f>
        <v/>
      </c>
      <c r="I183" s="14" t="str">
        <f aca="false">IFERROR($E183*$H183,"")</f>
        <v/>
      </c>
      <c r="J183" s="14" t="str">
        <f aca="false">IFERROR($G183-$I183,"")</f>
        <v/>
      </c>
      <c r="K183" s="23" t="str">
        <f aca="false">IFERROR($J183/$G183,"")</f>
        <v/>
      </c>
      <c r="L183" s="31"/>
    </row>
    <row r="184" customFormat="false" ht="15" hidden="false" customHeight="false" outlineLevel="0" collapsed="false">
      <c r="A184" s="30"/>
      <c r="B184" s="31"/>
      <c r="C184" s="9" t="str">
        <f aca="false">IF($B184="","",IFERROR(VLOOKUP($B184,'Fichas y precios'!$A:$B,2,FALSE()),""))</f>
        <v/>
      </c>
      <c r="D184" s="31"/>
      <c r="E184" s="31"/>
      <c r="F184" s="14" t="str">
        <f aca="false">IF(OR($B184="",$D184=""),"",IFERROR(INDEX('Fichas y precios'!$P:$S,MATCH($B184,'Fichas y precios'!$A:$A,0),MATCH($D184,'Fichas y precios'!$P$5:$S$5,0)),""))</f>
        <v/>
      </c>
      <c r="G184" s="14" t="str">
        <f aca="false">IFERROR($E184*$F184,"")</f>
        <v/>
      </c>
      <c r="H184" s="14" t="str">
        <f aca="false">IF($B184="","",IF($D184="Batch embotellado",IFERROR(VLOOKUP($B184,'Fichas y precios'!$A:$M,13,FALSE())*'Mi negocio'!$B$13+'Mi negocio'!$B$14,""),IFERROR(VLOOKUP($B184,'Fichas y precios'!$A:$M,13,FALSE()),"")))</f>
        <v/>
      </c>
      <c r="I184" s="14" t="str">
        <f aca="false">IFERROR($E184*$H184,"")</f>
        <v/>
      </c>
      <c r="J184" s="14" t="str">
        <f aca="false">IFERROR($G184-$I184,"")</f>
        <v/>
      </c>
      <c r="K184" s="23" t="str">
        <f aca="false">IFERROR($J184/$G184,"")</f>
        <v/>
      </c>
      <c r="L184" s="31"/>
    </row>
    <row r="185" customFormat="false" ht="15" hidden="false" customHeight="false" outlineLevel="0" collapsed="false">
      <c r="A185" s="30"/>
      <c r="B185" s="31"/>
      <c r="C185" s="9" t="str">
        <f aca="false">IF($B185="","",IFERROR(VLOOKUP($B185,'Fichas y precios'!$A:$B,2,FALSE()),""))</f>
        <v/>
      </c>
      <c r="D185" s="31"/>
      <c r="E185" s="31"/>
      <c r="F185" s="14" t="str">
        <f aca="false">IF(OR($B185="",$D185=""),"",IFERROR(INDEX('Fichas y precios'!$P:$S,MATCH($B185,'Fichas y precios'!$A:$A,0),MATCH($D185,'Fichas y precios'!$P$5:$S$5,0)),""))</f>
        <v/>
      </c>
      <c r="G185" s="14" t="str">
        <f aca="false">IFERROR($E185*$F185,"")</f>
        <v/>
      </c>
      <c r="H185" s="14" t="str">
        <f aca="false">IF($B185="","",IF($D185="Batch embotellado",IFERROR(VLOOKUP($B185,'Fichas y precios'!$A:$M,13,FALSE())*'Mi negocio'!$B$13+'Mi negocio'!$B$14,""),IFERROR(VLOOKUP($B185,'Fichas y precios'!$A:$M,13,FALSE()),"")))</f>
        <v/>
      </c>
      <c r="I185" s="14" t="str">
        <f aca="false">IFERROR($E185*$H185,"")</f>
        <v/>
      </c>
      <c r="J185" s="14" t="str">
        <f aca="false">IFERROR($G185-$I185,"")</f>
        <v/>
      </c>
      <c r="K185" s="23" t="str">
        <f aca="false">IFERROR($J185/$G185,"")</f>
        <v/>
      </c>
      <c r="L185" s="31"/>
    </row>
    <row r="186" customFormat="false" ht="15" hidden="false" customHeight="false" outlineLevel="0" collapsed="false">
      <c r="A186" s="30"/>
      <c r="B186" s="31"/>
      <c r="C186" s="9" t="str">
        <f aca="false">IF($B186="","",IFERROR(VLOOKUP($B186,'Fichas y precios'!$A:$B,2,FALSE()),""))</f>
        <v/>
      </c>
      <c r="D186" s="31"/>
      <c r="E186" s="31"/>
      <c r="F186" s="14" t="str">
        <f aca="false">IF(OR($B186="",$D186=""),"",IFERROR(INDEX('Fichas y precios'!$P:$S,MATCH($B186,'Fichas y precios'!$A:$A,0),MATCH($D186,'Fichas y precios'!$P$5:$S$5,0)),""))</f>
        <v/>
      </c>
      <c r="G186" s="14" t="str">
        <f aca="false">IFERROR($E186*$F186,"")</f>
        <v/>
      </c>
      <c r="H186" s="14" t="str">
        <f aca="false">IF($B186="","",IF($D186="Batch embotellado",IFERROR(VLOOKUP($B186,'Fichas y precios'!$A:$M,13,FALSE())*'Mi negocio'!$B$13+'Mi negocio'!$B$14,""),IFERROR(VLOOKUP($B186,'Fichas y precios'!$A:$M,13,FALSE()),"")))</f>
        <v/>
      </c>
      <c r="I186" s="14" t="str">
        <f aca="false">IFERROR($E186*$H186,"")</f>
        <v/>
      </c>
      <c r="J186" s="14" t="str">
        <f aca="false">IFERROR($G186-$I186,"")</f>
        <v/>
      </c>
      <c r="K186" s="23" t="str">
        <f aca="false">IFERROR($J186/$G186,"")</f>
        <v/>
      </c>
      <c r="L186" s="31"/>
    </row>
    <row r="187" customFormat="false" ht="15" hidden="false" customHeight="false" outlineLevel="0" collapsed="false">
      <c r="A187" s="30"/>
      <c r="B187" s="31"/>
      <c r="C187" s="9" t="str">
        <f aca="false">IF($B187="","",IFERROR(VLOOKUP($B187,'Fichas y precios'!$A:$B,2,FALSE()),""))</f>
        <v/>
      </c>
      <c r="D187" s="31"/>
      <c r="E187" s="31"/>
      <c r="F187" s="14" t="str">
        <f aca="false">IF(OR($B187="",$D187=""),"",IFERROR(INDEX('Fichas y precios'!$P:$S,MATCH($B187,'Fichas y precios'!$A:$A,0),MATCH($D187,'Fichas y precios'!$P$5:$S$5,0)),""))</f>
        <v/>
      </c>
      <c r="G187" s="14" t="str">
        <f aca="false">IFERROR($E187*$F187,"")</f>
        <v/>
      </c>
      <c r="H187" s="14" t="str">
        <f aca="false">IF($B187="","",IF($D187="Batch embotellado",IFERROR(VLOOKUP($B187,'Fichas y precios'!$A:$M,13,FALSE())*'Mi negocio'!$B$13+'Mi negocio'!$B$14,""),IFERROR(VLOOKUP($B187,'Fichas y precios'!$A:$M,13,FALSE()),"")))</f>
        <v/>
      </c>
      <c r="I187" s="14" t="str">
        <f aca="false">IFERROR($E187*$H187,"")</f>
        <v/>
      </c>
      <c r="J187" s="14" t="str">
        <f aca="false">IFERROR($G187-$I187,"")</f>
        <v/>
      </c>
      <c r="K187" s="23" t="str">
        <f aca="false">IFERROR($J187/$G187,"")</f>
        <v/>
      </c>
      <c r="L187" s="31"/>
    </row>
    <row r="188" customFormat="false" ht="15" hidden="false" customHeight="false" outlineLevel="0" collapsed="false">
      <c r="A188" s="30"/>
      <c r="B188" s="31"/>
      <c r="C188" s="9" t="str">
        <f aca="false">IF($B188="","",IFERROR(VLOOKUP($B188,'Fichas y precios'!$A:$B,2,FALSE()),""))</f>
        <v/>
      </c>
      <c r="D188" s="31"/>
      <c r="E188" s="31"/>
      <c r="F188" s="14" t="str">
        <f aca="false">IF(OR($B188="",$D188=""),"",IFERROR(INDEX('Fichas y precios'!$P:$S,MATCH($B188,'Fichas y precios'!$A:$A,0),MATCH($D188,'Fichas y precios'!$P$5:$S$5,0)),""))</f>
        <v/>
      </c>
      <c r="G188" s="14" t="str">
        <f aca="false">IFERROR($E188*$F188,"")</f>
        <v/>
      </c>
      <c r="H188" s="14" t="str">
        <f aca="false">IF($B188="","",IF($D188="Batch embotellado",IFERROR(VLOOKUP($B188,'Fichas y precios'!$A:$M,13,FALSE())*'Mi negocio'!$B$13+'Mi negocio'!$B$14,""),IFERROR(VLOOKUP($B188,'Fichas y precios'!$A:$M,13,FALSE()),"")))</f>
        <v/>
      </c>
      <c r="I188" s="14" t="str">
        <f aca="false">IFERROR($E188*$H188,"")</f>
        <v/>
      </c>
      <c r="J188" s="14" t="str">
        <f aca="false">IFERROR($G188-$I188,"")</f>
        <v/>
      </c>
      <c r="K188" s="23" t="str">
        <f aca="false">IFERROR($J188/$G188,"")</f>
        <v/>
      </c>
      <c r="L188" s="31"/>
    </row>
    <row r="189" customFormat="false" ht="15" hidden="false" customHeight="false" outlineLevel="0" collapsed="false">
      <c r="A189" s="30"/>
      <c r="B189" s="31"/>
      <c r="C189" s="9" t="str">
        <f aca="false">IF($B189="","",IFERROR(VLOOKUP($B189,'Fichas y precios'!$A:$B,2,FALSE()),""))</f>
        <v/>
      </c>
      <c r="D189" s="31"/>
      <c r="E189" s="31"/>
      <c r="F189" s="14" t="str">
        <f aca="false">IF(OR($B189="",$D189=""),"",IFERROR(INDEX('Fichas y precios'!$P:$S,MATCH($B189,'Fichas y precios'!$A:$A,0),MATCH($D189,'Fichas y precios'!$P$5:$S$5,0)),""))</f>
        <v/>
      </c>
      <c r="G189" s="14" t="str">
        <f aca="false">IFERROR($E189*$F189,"")</f>
        <v/>
      </c>
      <c r="H189" s="14" t="str">
        <f aca="false">IF($B189="","",IF($D189="Batch embotellado",IFERROR(VLOOKUP($B189,'Fichas y precios'!$A:$M,13,FALSE())*'Mi negocio'!$B$13+'Mi negocio'!$B$14,""),IFERROR(VLOOKUP($B189,'Fichas y precios'!$A:$M,13,FALSE()),"")))</f>
        <v/>
      </c>
      <c r="I189" s="14" t="str">
        <f aca="false">IFERROR($E189*$H189,"")</f>
        <v/>
      </c>
      <c r="J189" s="14" t="str">
        <f aca="false">IFERROR($G189-$I189,"")</f>
        <v/>
      </c>
      <c r="K189" s="23" t="str">
        <f aca="false">IFERROR($J189/$G189,"")</f>
        <v/>
      </c>
      <c r="L189" s="31"/>
    </row>
    <row r="190" customFormat="false" ht="15" hidden="false" customHeight="false" outlineLevel="0" collapsed="false">
      <c r="A190" s="30"/>
      <c r="B190" s="31"/>
      <c r="C190" s="9" t="str">
        <f aca="false">IF($B190="","",IFERROR(VLOOKUP($B190,'Fichas y precios'!$A:$B,2,FALSE()),""))</f>
        <v/>
      </c>
      <c r="D190" s="31"/>
      <c r="E190" s="31"/>
      <c r="F190" s="14" t="str">
        <f aca="false">IF(OR($B190="",$D190=""),"",IFERROR(INDEX('Fichas y precios'!$P:$S,MATCH($B190,'Fichas y precios'!$A:$A,0),MATCH($D190,'Fichas y precios'!$P$5:$S$5,0)),""))</f>
        <v/>
      </c>
      <c r="G190" s="14" t="str">
        <f aca="false">IFERROR($E190*$F190,"")</f>
        <v/>
      </c>
      <c r="H190" s="14" t="str">
        <f aca="false">IF($B190="","",IF($D190="Batch embotellado",IFERROR(VLOOKUP($B190,'Fichas y precios'!$A:$M,13,FALSE())*'Mi negocio'!$B$13+'Mi negocio'!$B$14,""),IFERROR(VLOOKUP($B190,'Fichas y precios'!$A:$M,13,FALSE()),"")))</f>
        <v/>
      </c>
      <c r="I190" s="14" t="str">
        <f aca="false">IFERROR($E190*$H190,"")</f>
        <v/>
      </c>
      <c r="J190" s="14" t="str">
        <f aca="false">IFERROR($G190-$I190,"")</f>
        <v/>
      </c>
      <c r="K190" s="23" t="str">
        <f aca="false">IFERROR($J190/$G190,"")</f>
        <v/>
      </c>
      <c r="L190" s="31"/>
    </row>
    <row r="191" customFormat="false" ht="15" hidden="false" customHeight="false" outlineLevel="0" collapsed="false">
      <c r="A191" s="30"/>
      <c r="B191" s="31"/>
      <c r="C191" s="9" t="str">
        <f aca="false">IF($B191="","",IFERROR(VLOOKUP($B191,'Fichas y precios'!$A:$B,2,FALSE()),""))</f>
        <v/>
      </c>
      <c r="D191" s="31"/>
      <c r="E191" s="31"/>
      <c r="F191" s="14" t="str">
        <f aca="false">IF(OR($B191="",$D191=""),"",IFERROR(INDEX('Fichas y precios'!$P:$S,MATCH($B191,'Fichas y precios'!$A:$A,0),MATCH($D191,'Fichas y precios'!$P$5:$S$5,0)),""))</f>
        <v/>
      </c>
      <c r="G191" s="14" t="str">
        <f aca="false">IFERROR($E191*$F191,"")</f>
        <v/>
      </c>
      <c r="H191" s="14" t="str">
        <f aca="false">IF($B191="","",IF($D191="Batch embotellado",IFERROR(VLOOKUP($B191,'Fichas y precios'!$A:$M,13,FALSE())*'Mi negocio'!$B$13+'Mi negocio'!$B$14,""),IFERROR(VLOOKUP($B191,'Fichas y precios'!$A:$M,13,FALSE()),"")))</f>
        <v/>
      </c>
      <c r="I191" s="14" t="str">
        <f aca="false">IFERROR($E191*$H191,"")</f>
        <v/>
      </c>
      <c r="J191" s="14" t="str">
        <f aca="false">IFERROR($G191-$I191,"")</f>
        <v/>
      </c>
      <c r="K191" s="23" t="str">
        <f aca="false">IFERROR($J191/$G191,"")</f>
        <v/>
      </c>
      <c r="L191" s="31"/>
    </row>
    <row r="192" customFormat="false" ht="15" hidden="false" customHeight="false" outlineLevel="0" collapsed="false">
      <c r="A192" s="30"/>
      <c r="B192" s="31"/>
      <c r="C192" s="9" t="str">
        <f aca="false">IF($B192="","",IFERROR(VLOOKUP($B192,'Fichas y precios'!$A:$B,2,FALSE()),""))</f>
        <v/>
      </c>
      <c r="D192" s="31"/>
      <c r="E192" s="31"/>
      <c r="F192" s="14" t="str">
        <f aca="false">IF(OR($B192="",$D192=""),"",IFERROR(INDEX('Fichas y precios'!$P:$S,MATCH($B192,'Fichas y precios'!$A:$A,0),MATCH($D192,'Fichas y precios'!$P$5:$S$5,0)),""))</f>
        <v/>
      </c>
      <c r="G192" s="14" t="str">
        <f aca="false">IFERROR($E192*$F192,"")</f>
        <v/>
      </c>
      <c r="H192" s="14" t="str">
        <f aca="false">IF($B192="","",IF($D192="Batch embotellado",IFERROR(VLOOKUP($B192,'Fichas y precios'!$A:$M,13,FALSE())*'Mi negocio'!$B$13+'Mi negocio'!$B$14,""),IFERROR(VLOOKUP($B192,'Fichas y precios'!$A:$M,13,FALSE()),"")))</f>
        <v/>
      </c>
      <c r="I192" s="14" t="str">
        <f aca="false">IFERROR($E192*$H192,"")</f>
        <v/>
      </c>
      <c r="J192" s="14" t="str">
        <f aca="false">IFERROR($G192-$I192,"")</f>
        <v/>
      </c>
      <c r="K192" s="23" t="str">
        <f aca="false">IFERROR($J192/$G192,"")</f>
        <v/>
      </c>
      <c r="L192" s="31"/>
    </row>
    <row r="193" customFormat="false" ht="15" hidden="false" customHeight="false" outlineLevel="0" collapsed="false">
      <c r="A193" s="30"/>
      <c r="B193" s="31"/>
      <c r="C193" s="9" t="str">
        <f aca="false">IF($B193="","",IFERROR(VLOOKUP($B193,'Fichas y precios'!$A:$B,2,FALSE()),""))</f>
        <v/>
      </c>
      <c r="D193" s="31"/>
      <c r="E193" s="31"/>
      <c r="F193" s="14" t="str">
        <f aca="false">IF(OR($B193="",$D193=""),"",IFERROR(INDEX('Fichas y precios'!$P:$S,MATCH($B193,'Fichas y precios'!$A:$A,0),MATCH($D193,'Fichas y precios'!$P$5:$S$5,0)),""))</f>
        <v/>
      </c>
      <c r="G193" s="14" t="str">
        <f aca="false">IFERROR($E193*$F193,"")</f>
        <v/>
      </c>
      <c r="H193" s="14" t="str">
        <f aca="false">IF($B193="","",IF($D193="Batch embotellado",IFERROR(VLOOKUP($B193,'Fichas y precios'!$A:$M,13,FALSE())*'Mi negocio'!$B$13+'Mi negocio'!$B$14,""),IFERROR(VLOOKUP($B193,'Fichas y precios'!$A:$M,13,FALSE()),"")))</f>
        <v/>
      </c>
      <c r="I193" s="14" t="str">
        <f aca="false">IFERROR($E193*$H193,"")</f>
        <v/>
      </c>
      <c r="J193" s="14" t="str">
        <f aca="false">IFERROR($G193-$I193,"")</f>
        <v/>
      </c>
      <c r="K193" s="23" t="str">
        <f aca="false">IFERROR($J193/$G193,"")</f>
        <v/>
      </c>
      <c r="L193" s="31"/>
    </row>
    <row r="194" customFormat="false" ht="15" hidden="false" customHeight="false" outlineLevel="0" collapsed="false">
      <c r="A194" s="30"/>
      <c r="B194" s="31"/>
      <c r="C194" s="9" t="str">
        <f aca="false">IF($B194="","",IFERROR(VLOOKUP($B194,'Fichas y precios'!$A:$B,2,FALSE()),""))</f>
        <v/>
      </c>
      <c r="D194" s="31"/>
      <c r="E194" s="31"/>
      <c r="F194" s="14" t="str">
        <f aca="false">IF(OR($B194="",$D194=""),"",IFERROR(INDEX('Fichas y precios'!$P:$S,MATCH($B194,'Fichas y precios'!$A:$A,0),MATCH($D194,'Fichas y precios'!$P$5:$S$5,0)),""))</f>
        <v/>
      </c>
      <c r="G194" s="14" t="str">
        <f aca="false">IFERROR($E194*$F194,"")</f>
        <v/>
      </c>
      <c r="H194" s="14" t="str">
        <f aca="false">IF($B194="","",IF($D194="Batch embotellado",IFERROR(VLOOKUP($B194,'Fichas y precios'!$A:$M,13,FALSE())*'Mi negocio'!$B$13+'Mi negocio'!$B$14,""),IFERROR(VLOOKUP($B194,'Fichas y precios'!$A:$M,13,FALSE()),"")))</f>
        <v/>
      </c>
      <c r="I194" s="14" t="str">
        <f aca="false">IFERROR($E194*$H194,"")</f>
        <v/>
      </c>
      <c r="J194" s="14" t="str">
        <f aca="false">IFERROR($G194-$I194,"")</f>
        <v/>
      </c>
      <c r="K194" s="23" t="str">
        <f aca="false">IFERROR($J194/$G194,"")</f>
        <v/>
      </c>
      <c r="L194" s="31"/>
    </row>
    <row r="195" customFormat="false" ht="15" hidden="false" customHeight="false" outlineLevel="0" collapsed="false">
      <c r="A195" s="30"/>
      <c r="B195" s="31"/>
      <c r="C195" s="9" t="str">
        <f aca="false">IF($B195="","",IFERROR(VLOOKUP($B195,'Fichas y precios'!$A:$B,2,FALSE()),""))</f>
        <v/>
      </c>
      <c r="D195" s="31"/>
      <c r="E195" s="31"/>
      <c r="F195" s="14" t="str">
        <f aca="false">IF(OR($B195="",$D195=""),"",IFERROR(INDEX('Fichas y precios'!$P:$S,MATCH($B195,'Fichas y precios'!$A:$A,0),MATCH($D195,'Fichas y precios'!$P$5:$S$5,0)),""))</f>
        <v/>
      </c>
      <c r="G195" s="14" t="str">
        <f aca="false">IFERROR($E195*$F195,"")</f>
        <v/>
      </c>
      <c r="H195" s="14" t="str">
        <f aca="false">IF($B195="","",IF($D195="Batch embotellado",IFERROR(VLOOKUP($B195,'Fichas y precios'!$A:$M,13,FALSE())*'Mi negocio'!$B$13+'Mi negocio'!$B$14,""),IFERROR(VLOOKUP($B195,'Fichas y precios'!$A:$M,13,FALSE()),"")))</f>
        <v/>
      </c>
      <c r="I195" s="14" t="str">
        <f aca="false">IFERROR($E195*$H195,"")</f>
        <v/>
      </c>
      <c r="J195" s="14" t="str">
        <f aca="false">IFERROR($G195-$I195,"")</f>
        <v/>
      </c>
      <c r="K195" s="23" t="str">
        <f aca="false">IFERROR($J195/$G195,"")</f>
        <v/>
      </c>
      <c r="L195" s="31"/>
    </row>
    <row r="196" customFormat="false" ht="15" hidden="false" customHeight="false" outlineLevel="0" collapsed="false">
      <c r="A196" s="30"/>
      <c r="B196" s="31"/>
      <c r="C196" s="9" t="str">
        <f aca="false">IF($B196="","",IFERROR(VLOOKUP($B196,'Fichas y precios'!$A:$B,2,FALSE()),""))</f>
        <v/>
      </c>
      <c r="D196" s="31"/>
      <c r="E196" s="31"/>
      <c r="F196" s="14" t="str">
        <f aca="false">IF(OR($B196="",$D196=""),"",IFERROR(INDEX('Fichas y precios'!$P:$S,MATCH($B196,'Fichas y precios'!$A:$A,0),MATCH($D196,'Fichas y precios'!$P$5:$S$5,0)),""))</f>
        <v/>
      </c>
      <c r="G196" s="14" t="str">
        <f aca="false">IFERROR($E196*$F196,"")</f>
        <v/>
      </c>
      <c r="H196" s="14" t="str">
        <f aca="false">IF($B196="","",IF($D196="Batch embotellado",IFERROR(VLOOKUP($B196,'Fichas y precios'!$A:$M,13,FALSE())*'Mi negocio'!$B$13+'Mi negocio'!$B$14,""),IFERROR(VLOOKUP($B196,'Fichas y precios'!$A:$M,13,FALSE()),"")))</f>
        <v/>
      </c>
      <c r="I196" s="14" t="str">
        <f aca="false">IFERROR($E196*$H196,"")</f>
        <v/>
      </c>
      <c r="J196" s="14" t="str">
        <f aca="false">IFERROR($G196-$I196,"")</f>
        <v/>
      </c>
      <c r="K196" s="23" t="str">
        <f aca="false">IFERROR($J196/$G196,"")</f>
        <v/>
      </c>
      <c r="L196" s="31"/>
    </row>
    <row r="197" customFormat="false" ht="15" hidden="false" customHeight="false" outlineLevel="0" collapsed="false">
      <c r="A197" s="30"/>
      <c r="B197" s="31"/>
      <c r="C197" s="9" t="str">
        <f aca="false">IF($B197="","",IFERROR(VLOOKUP($B197,'Fichas y precios'!$A:$B,2,FALSE()),""))</f>
        <v/>
      </c>
      <c r="D197" s="31"/>
      <c r="E197" s="31"/>
      <c r="F197" s="14" t="str">
        <f aca="false">IF(OR($B197="",$D197=""),"",IFERROR(INDEX('Fichas y precios'!$P:$S,MATCH($B197,'Fichas y precios'!$A:$A,0),MATCH($D197,'Fichas y precios'!$P$5:$S$5,0)),""))</f>
        <v/>
      </c>
      <c r="G197" s="14" t="str">
        <f aca="false">IFERROR($E197*$F197,"")</f>
        <v/>
      </c>
      <c r="H197" s="14" t="str">
        <f aca="false">IF($B197="","",IF($D197="Batch embotellado",IFERROR(VLOOKUP($B197,'Fichas y precios'!$A:$M,13,FALSE())*'Mi negocio'!$B$13+'Mi negocio'!$B$14,""),IFERROR(VLOOKUP($B197,'Fichas y precios'!$A:$M,13,FALSE()),"")))</f>
        <v/>
      </c>
      <c r="I197" s="14" t="str">
        <f aca="false">IFERROR($E197*$H197,"")</f>
        <v/>
      </c>
      <c r="J197" s="14" t="str">
        <f aca="false">IFERROR($G197-$I197,"")</f>
        <v/>
      </c>
      <c r="K197" s="23" t="str">
        <f aca="false">IFERROR($J197/$G197,"")</f>
        <v/>
      </c>
      <c r="L197" s="31"/>
    </row>
    <row r="198" customFormat="false" ht="15" hidden="false" customHeight="false" outlineLevel="0" collapsed="false">
      <c r="A198" s="30"/>
      <c r="B198" s="31"/>
      <c r="C198" s="9" t="str">
        <f aca="false">IF($B198="","",IFERROR(VLOOKUP($B198,'Fichas y precios'!$A:$B,2,FALSE()),""))</f>
        <v/>
      </c>
      <c r="D198" s="31"/>
      <c r="E198" s="31"/>
      <c r="F198" s="14" t="str">
        <f aca="false">IF(OR($B198="",$D198=""),"",IFERROR(INDEX('Fichas y precios'!$P:$S,MATCH($B198,'Fichas y precios'!$A:$A,0),MATCH($D198,'Fichas y precios'!$P$5:$S$5,0)),""))</f>
        <v/>
      </c>
      <c r="G198" s="14" t="str">
        <f aca="false">IFERROR($E198*$F198,"")</f>
        <v/>
      </c>
      <c r="H198" s="14" t="str">
        <f aca="false">IF($B198="","",IF($D198="Batch embotellado",IFERROR(VLOOKUP($B198,'Fichas y precios'!$A:$M,13,FALSE())*'Mi negocio'!$B$13+'Mi negocio'!$B$14,""),IFERROR(VLOOKUP($B198,'Fichas y precios'!$A:$M,13,FALSE()),"")))</f>
        <v/>
      </c>
      <c r="I198" s="14" t="str">
        <f aca="false">IFERROR($E198*$H198,"")</f>
        <v/>
      </c>
      <c r="J198" s="14" t="str">
        <f aca="false">IFERROR($G198-$I198,"")</f>
        <v/>
      </c>
      <c r="K198" s="23" t="str">
        <f aca="false">IFERROR($J198/$G198,"")</f>
        <v/>
      </c>
      <c r="L198" s="31"/>
    </row>
    <row r="199" customFormat="false" ht="15" hidden="false" customHeight="false" outlineLevel="0" collapsed="false">
      <c r="A199" s="30"/>
      <c r="B199" s="31"/>
      <c r="C199" s="9" t="str">
        <f aca="false">IF($B199="","",IFERROR(VLOOKUP($B199,'Fichas y precios'!$A:$B,2,FALSE()),""))</f>
        <v/>
      </c>
      <c r="D199" s="31"/>
      <c r="E199" s="31"/>
      <c r="F199" s="14" t="str">
        <f aca="false">IF(OR($B199="",$D199=""),"",IFERROR(INDEX('Fichas y precios'!$P:$S,MATCH($B199,'Fichas y precios'!$A:$A,0),MATCH($D199,'Fichas y precios'!$P$5:$S$5,0)),""))</f>
        <v/>
      </c>
      <c r="G199" s="14" t="str">
        <f aca="false">IFERROR($E199*$F199,"")</f>
        <v/>
      </c>
      <c r="H199" s="14" t="str">
        <f aca="false">IF($B199="","",IF($D199="Batch embotellado",IFERROR(VLOOKUP($B199,'Fichas y precios'!$A:$M,13,FALSE())*'Mi negocio'!$B$13+'Mi negocio'!$B$14,""),IFERROR(VLOOKUP($B199,'Fichas y precios'!$A:$M,13,FALSE()),"")))</f>
        <v/>
      </c>
      <c r="I199" s="14" t="str">
        <f aca="false">IFERROR($E199*$H199,"")</f>
        <v/>
      </c>
      <c r="J199" s="14" t="str">
        <f aca="false">IFERROR($G199-$I199,"")</f>
        <v/>
      </c>
      <c r="K199" s="23" t="str">
        <f aca="false">IFERROR($J199/$G199,"")</f>
        <v/>
      </c>
      <c r="L199" s="31"/>
    </row>
    <row r="200" customFormat="false" ht="15" hidden="false" customHeight="false" outlineLevel="0" collapsed="false">
      <c r="A200" s="30"/>
      <c r="B200" s="31"/>
      <c r="C200" s="9" t="str">
        <f aca="false">IF($B200="","",IFERROR(VLOOKUP($B200,'Fichas y precios'!$A:$B,2,FALSE()),""))</f>
        <v/>
      </c>
      <c r="D200" s="31"/>
      <c r="E200" s="31"/>
      <c r="F200" s="14" t="str">
        <f aca="false">IF(OR($B200="",$D200=""),"",IFERROR(INDEX('Fichas y precios'!$P:$S,MATCH($B200,'Fichas y precios'!$A:$A,0),MATCH($D200,'Fichas y precios'!$P$5:$S$5,0)),""))</f>
        <v/>
      </c>
      <c r="G200" s="14" t="str">
        <f aca="false">IFERROR($E200*$F200,"")</f>
        <v/>
      </c>
      <c r="H200" s="14" t="str">
        <f aca="false">IF($B200="","",IF($D200="Batch embotellado",IFERROR(VLOOKUP($B200,'Fichas y precios'!$A:$M,13,FALSE())*'Mi negocio'!$B$13+'Mi negocio'!$B$14,""),IFERROR(VLOOKUP($B200,'Fichas y precios'!$A:$M,13,FALSE()),"")))</f>
        <v/>
      </c>
      <c r="I200" s="14" t="str">
        <f aca="false">IFERROR($E200*$H200,"")</f>
        <v/>
      </c>
      <c r="J200" s="14" t="str">
        <f aca="false">IFERROR($G200-$I200,"")</f>
        <v/>
      </c>
      <c r="K200" s="23" t="str">
        <f aca="false">IFERROR($J200/$G200,"")</f>
        <v/>
      </c>
      <c r="L200" s="31"/>
    </row>
    <row r="201" customFormat="false" ht="15" hidden="false" customHeight="false" outlineLevel="0" collapsed="false">
      <c r="A201" s="30"/>
      <c r="B201" s="31"/>
      <c r="C201" s="9" t="str">
        <f aca="false">IF($B201="","",IFERROR(VLOOKUP($B201,'Fichas y precios'!$A:$B,2,FALSE()),""))</f>
        <v/>
      </c>
      <c r="D201" s="31"/>
      <c r="E201" s="31"/>
      <c r="F201" s="14" t="str">
        <f aca="false">IF(OR($B201="",$D201=""),"",IFERROR(INDEX('Fichas y precios'!$P:$S,MATCH($B201,'Fichas y precios'!$A:$A,0),MATCH($D201,'Fichas y precios'!$P$5:$S$5,0)),""))</f>
        <v/>
      </c>
      <c r="G201" s="14" t="str">
        <f aca="false">IFERROR($E201*$F201,"")</f>
        <v/>
      </c>
      <c r="H201" s="14" t="str">
        <f aca="false">IF($B201="","",IF($D201="Batch embotellado",IFERROR(VLOOKUP($B201,'Fichas y precios'!$A:$M,13,FALSE())*'Mi negocio'!$B$13+'Mi negocio'!$B$14,""),IFERROR(VLOOKUP($B201,'Fichas y precios'!$A:$M,13,FALSE()),"")))</f>
        <v/>
      </c>
      <c r="I201" s="14" t="str">
        <f aca="false">IFERROR($E201*$H201,"")</f>
        <v/>
      </c>
      <c r="J201" s="14" t="str">
        <f aca="false">IFERROR($G201-$I201,"")</f>
        <v/>
      </c>
      <c r="K201" s="23" t="str">
        <f aca="false">IFERROR($J201/$G201,"")</f>
        <v/>
      </c>
      <c r="L201" s="31"/>
    </row>
    <row r="202" customFormat="false" ht="15" hidden="false" customHeight="false" outlineLevel="0" collapsed="false">
      <c r="A202" s="30"/>
      <c r="B202" s="31"/>
      <c r="C202" s="9" t="str">
        <f aca="false">IF($B202="","",IFERROR(VLOOKUP($B202,'Fichas y precios'!$A:$B,2,FALSE()),""))</f>
        <v/>
      </c>
      <c r="D202" s="31"/>
      <c r="E202" s="31"/>
      <c r="F202" s="14" t="str">
        <f aca="false">IF(OR($B202="",$D202=""),"",IFERROR(INDEX('Fichas y precios'!$P:$S,MATCH($B202,'Fichas y precios'!$A:$A,0),MATCH($D202,'Fichas y precios'!$P$5:$S$5,0)),""))</f>
        <v/>
      </c>
      <c r="G202" s="14" t="str">
        <f aca="false">IFERROR($E202*$F202,"")</f>
        <v/>
      </c>
      <c r="H202" s="14" t="str">
        <f aca="false">IF($B202="","",IF($D202="Batch embotellado",IFERROR(VLOOKUP($B202,'Fichas y precios'!$A:$M,13,FALSE())*'Mi negocio'!$B$13+'Mi negocio'!$B$14,""),IFERROR(VLOOKUP($B202,'Fichas y precios'!$A:$M,13,FALSE()),"")))</f>
        <v/>
      </c>
      <c r="I202" s="14" t="str">
        <f aca="false">IFERROR($E202*$H202,"")</f>
        <v/>
      </c>
      <c r="J202" s="14" t="str">
        <f aca="false">IFERROR($G202-$I202,"")</f>
        <v/>
      </c>
      <c r="K202" s="23" t="str">
        <f aca="false">IFERROR($J202/$G202,"")</f>
        <v/>
      </c>
      <c r="L202" s="31"/>
    </row>
    <row r="203" customFormat="false" ht="15" hidden="false" customHeight="false" outlineLevel="0" collapsed="false">
      <c r="A203" s="30"/>
      <c r="B203" s="31"/>
      <c r="C203" s="9" t="str">
        <f aca="false">IF($B203="","",IFERROR(VLOOKUP($B203,'Fichas y precios'!$A:$B,2,FALSE()),""))</f>
        <v/>
      </c>
      <c r="D203" s="31"/>
      <c r="E203" s="31"/>
      <c r="F203" s="14" t="str">
        <f aca="false">IF(OR($B203="",$D203=""),"",IFERROR(INDEX('Fichas y precios'!$P:$S,MATCH($B203,'Fichas y precios'!$A:$A,0),MATCH($D203,'Fichas y precios'!$P$5:$S$5,0)),""))</f>
        <v/>
      </c>
      <c r="G203" s="14" t="str">
        <f aca="false">IFERROR($E203*$F203,"")</f>
        <v/>
      </c>
      <c r="H203" s="14" t="str">
        <f aca="false">IF($B203="","",IF($D203="Batch embotellado",IFERROR(VLOOKUP($B203,'Fichas y precios'!$A:$M,13,FALSE())*'Mi negocio'!$B$13+'Mi negocio'!$B$14,""),IFERROR(VLOOKUP($B203,'Fichas y precios'!$A:$M,13,FALSE()),"")))</f>
        <v/>
      </c>
      <c r="I203" s="14" t="str">
        <f aca="false">IFERROR($E203*$H203,"")</f>
        <v/>
      </c>
      <c r="J203" s="14" t="str">
        <f aca="false">IFERROR($G203-$I203,"")</f>
        <v/>
      </c>
      <c r="K203" s="23" t="str">
        <f aca="false">IFERROR($J203/$G203,"")</f>
        <v/>
      </c>
      <c r="L203" s="31"/>
    </row>
    <row r="204" customFormat="false" ht="15" hidden="false" customHeight="false" outlineLevel="0" collapsed="false">
      <c r="A204" s="30"/>
      <c r="B204" s="31"/>
      <c r="C204" s="9" t="str">
        <f aca="false">IF($B204="","",IFERROR(VLOOKUP($B204,'Fichas y precios'!$A:$B,2,FALSE()),""))</f>
        <v/>
      </c>
      <c r="D204" s="31"/>
      <c r="E204" s="31"/>
      <c r="F204" s="14" t="str">
        <f aca="false">IF(OR($B204="",$D204=""),"",IFERROR(INDEX('Fichas y precios'!$P:$S,MATCH($B204,'Fichas y precios'!$A:$A,0),MATCH($D204,'Fichas y precios'!$P$5:$S$5,0)),""))</f>
        <v/>
      </c>
      <c r="G204" s="14" t="str">
        <f aca="false">IFERROR($E204*$F204,"")</f>
        <v/>
      </c>
      <c r="H204" s="14" t="str">
        <f aca="false">IF($B204="","",IF($D204="Batch embotellado",IFERROR(VLOOKUP($B204,'Fichas y precios'!$A:$M,13,FALSE())*'Mi negocio'!$B$13+'Mi negocio'!$B$14,""),IFERROR(VLOOKUP($B204,'Fichas y precios'!$A:$M,13,FALSE()),"")))</f>
        <v/>
      </c>
      <c r="I204" s="14" t="str">
        <f aca="false">IFERROR($E204*$H204,"")</f>
        <v/>
      </c>
      <c r="J204" s="14" t="str">
        <f aca="false">IFERROR($G204-$I204,"")</f>
        <v/>
      </c>
      <c r="K204" s="23" t="str">
        <f aca="false">IFERROR($J204/$G204,"")</f>
        <v/>
      </c>
      <c r="L204" s="31"/>
    </row>
    <row r="205" customFormat="false" ht="15" hidden="false" customHeight="false" outlineLevel="0" collapsed="false">
      <c r="A205" s="30"/>
      <c r="B205" s="31"/>
      <c r="C205" s="9" t="str">
        <f aca="false">IF($B205="","",IFERROR(VLOOKUP($B205,'Fichas y precios'!$A:$B,2,FALSE()),""))</f>
        <v/>
      </c>
      <c r="D205" s="31"/>
      <c r="E205" s="31"/>
      <c r="F205" s="14" t="str">
        <f aca="false">IF(OR($B205="",$D205=""),"",IFERROR(INDEX('Fichas y precios'!$P:$S,MATCH($B205,'Fichas y precios'!$A:$A,0),MATCH($D205,'Fichas y precios'!$P$5:$S$5,0)),""))</f>
        <v/>
      </c>
      <c r="G205" s="14" t="str">
        <f aca="false">IFERROR($E205*$F205,"")</f>
        <v/>
      </c>
      <c r="H205" s="14" t="str">
        <f aca="false">IF($B205="","",IF($D205="Batch embotellado",IFERROR(VLOOKUP($B205,'Fichas y precios'!$A:$M,13,FALSE())*'Mi negocio'!$B$13+'Mi negocio'!$B$14,""),IFERROR(VLOOKUP($B205,'Fichas y precios'!$A:$M,13,FALSE()),"")))</f>
        <v/>
      </c>
      <c r="I205" s="14" t="str">
        <f aca="false">IFERROR($E205*$H205,"")</f>
        <v/>
      </c>
      <c r="J205" s="14" t="str">
        <f aca="false">IFERROR($G205-$I205,"")</f>
        <v/>
      </c>
      <c r="K205" s="23" t="str">
        <f aca="false">IFERROR($J205/$G205,"")</f>
        <v/>
      </c>
      <c r="L205" s="31"/>
    </row>
    <row r="206" customFormat="false" ht="15" hidden="false" customHeight="false" outlineLevel="0" collapsed="false">
      <c r="A206" s="30"/>
      <c r="B206" s="31"/>
      <c r="C206" s="9" t="str">
        <f aca="false">IF($B206="","",IFERROR(VLOOKUP($B206,'Fichas y precios'!$A:$B,2,FALSE()),""))</f>
        <v/>
      </c>
      <c r="D206" s="31"/>
      <c r="E206" s="31"/>
      <c r="F206" s="14" t="str">
        <f aca="false">IF(OR($B206="",$D206=""),"",IFERROR(INDEX('Fichas y precios'!$P:$S,MATCH($B206,'Fichas y precios'!$A:$A,0),MATCH($D206,'Fichas y precios'!$P$5:$S$5,0)),""))</f>
        <v/>
      </c>
      <c r="G206" s="14" t="str">
        <f aca="false">IFERROR($E206*$F206,"")</f>
        <v/>
      </c>
      <c r="H206" s="14" t="str">
        <f aca="false">IF($B206="","",IF($D206="Batch embotellado",IFERROR(VLOOKUP($B206,'Fichas y precios'!$A:$M,13,FALSE())*'Mi negocio'!$B$13+'Mi negocio'!$B$14,""),IFERROR(VLOOKUP($B206,'Fichas y precios'!$A:$M,13,FALSE()),"")))</f>
        <v/>
      </c>
      <c r="I206" s="14" t="str">
        <f aca="false">IFERROR($E206*$H206,"")</f>
        <v/>
      </c>
      <c r="J206" s="14" t="str">
        <f aca="false">IFERROR($G206-$I206,"")</f>
        <v/>
      </c>
      <c r="K206" s="23" t="str">
        <f aca="false">IFERROR($J206/$G206,"")</f>
        <v/>
      </c>
      <c r="L206" s="31"/>
    </row>
    <row r="207" customFormat="false" ht="15" hidden="false" customHeight="false" outlineLevel="0" collapsed="false">
      <c r="A207" s="30"/>
      <c r="B207" s="31"/>
      <c r="C207" s="9" t="str">
        <f aca="false">IF($B207="","",IFERROR(VLOOKUP($B207,'Fichas y precios'!$A:$B,2,FALSE()),""))</f>
        <v/>
      </c>
      <c r="D207" s="31"/>
      <c r="E207" s="31"/>
      <c r="F207" s="14" t="str">
        <f aca="false">IF(OR($B207="",$D207=""),"",IFERROR(INDEX('Fichas y precios'!$P:$S,MATCH($B207,'Fichas y precios'!$A:$A,0),MATCH($D207,'Fichas y precios'!$P$5:$S$5,0)),""))</f>
        <v/>
      </c>
      <c r="G207" s="14" t="str">
        <f aca="false">IFERROR($E207*$F207,"")</f>
        <v/>
      </c>
      <c r="H207" s="14" t="str">
        <f aca="false">IF($B207="","",IF($D207="Batch embotellado",IFERROR(VLOOKUP($B207,'Fichas y precios'!$A:$M,13,FALSE())*'Mi negocio'!$B$13+'Mi negocio'!$B$14,""),IFERROR(VLOOKUP($B207,'Fichas y precios'!$A:$M,13,FALSE()),"")))</f>
        <v/>
      </c>
      <c r="I207" s="14" t="str">
        <f aca="false">IFERROR($E207*$H207,"")</f>
        <v/>
      </c>
      <c r="J207" s="14" t="str">
        <f aca="false">IFERROR($G207-$I207,"")</f>
        <v/>
      </c>
      <c r="K207" s="23" t="str">
        <f aca="false">IFERROR($J207/$G207,"")</f>
        <v/>
      </c>
      <c r="L207" s="31"/>
    </row>
    <row r="208" customFormat="false" ht="15" hidden="false" customHeight="false" outlineLevel="0" collapsed="false">
      <c r="A208" s="30"/>
      <c r="B208" s="31"/>
      <c r="C208" s="9" t="str">
        <f aca="false">IF($B208="","",IFERROR(VLOOKUP($B208,'Fichas y precios'!$A:$B,2,FALSE()),""))</f>
        <v/>
      </c>
      <c r="D208" s="31"/>
      <c r="E208" s="31"/>
      <c r="F208" s="14" t="str">
        <f aca="false">IF(OR($B208="",$D208=""),"",IFERROR(INDEX('Fichas y precios'!$P:$S,MATCH($B208,'Fichas y precios'!$A:$A,0),MATCH($D208,'Fichas y precios'!$P$5:$S$5,0)),""))</f>
        <v/>
      </c>
      <c r="G208" s="14" t="str">
        <f aca="false">IFERROR($E208*$F208,"")</f>
        <v/>
      </c>
      <c r="H208" s="14" t="str">
        <f aca="false">IF($B208="","",IF($D208="Batch embotellado",IFERROR(VLOOKUP($B208,'Fichas y precios'!$A:$M,13,FALSE())*'Mi negocio'!$B$13+'Mi negocio'!$B$14,""),IFERROR(VLOOKUP($B208,'Fichas y precios'!$A:$M,13,FALSE()),"")))</f>
        <v/>
      </c>
      <c r="I208" s="14" t="str">
        <f aca="false">IFERROR($E208*$H208,"")</f>
        <v/>
      </c>
      <c r="J208" s="14" t="str">
        <f aca="false">IFERROR($G208-$I208,"")</f>
        <v/>
      </c>
      <c r="K208" s="23" t="str">
        <f aca="false">IFERROR($J208/$G208,"")</f>
        <v/>
      </c>
      <c r="L208" s="31"/>
    </row>
    <row r="209" customFormat="false" ht="15" hidden="false" customHeight="false" outlineLevel="0" collapsed="false">
      <c r="A209" s="30"/>
      <c r="B209" s="31"/>
      <c r="C209" s="9" t="str">
        <f aca="false">IF($B209="","",IFERROR(VLOOKUP($B209,'Fichas y precios'!$A:$B,2,FALSE()),""))</f>
        <v/>
      </c>
      <c r="D209" s="31"/>
      <c r="E209" s="31"/>
      <c r="F209" s="14" t="str">
        <f aca="false">IF(OR($B209="",$D209=""),"",IFERROR(INDEX('Fichas y precios'!$P:$S,MATCH($B209,'Fichas y precios'!$A:$A,0),MATCH($D209,'Fichas y precios'!$P$5:$S$5,0)),""))</f>
        <v/>
      </c>
      <c r="G209" s="14" t="str">
        <f aca="false">IFERROR($E209*$F209,"")</f>
        <v/>
      </c>
      <c r="H209" s="14" t="str">
        <f aca="false">IF($B209="","",IF($D209="Batch embotellado",IFERROR(VLOOKUP($B209,'Fichas y precios'!$A:$M,13,FALSE())*'Mi negocio'!$B$13+'Mi negocio'!$B$14,""),IFERROR(VLOOKUP($B209,'Fichas y precios'!$A:$M,13,FALSE()),"")))</f>
        <v/>
      </c>
      <c r="I209" s="14" t="str">
        <f aca="false">IFERROR($E209*$H209,"")</f>
        <v/>
      </c>
      <c r="J209" s="14" t="str">
        <f aca="false">IFERROR($G209-$I209,"")</f>
        <v/>
      </c>
      <c r="K209" s="23" t="str">
        <f aca="false">IFERROR($J209/$G209,"")</f>
        <v/>
      </c>
      <c r="L209" s="31"/>
    </row>
    <row r="210" customFormat="false" ht="15" hidden="false" customHeight="false" outlineLevel="0" collapsed="false">
      <c r="A210" s="30"/>
      <c r="B210" s="31"/>
      <c r="C210" s="9" t="str">
        <f aca="false">IF($B210="","",IFERROR(VLOOKUP($B210,'Fichas y precios'!$A:$B,2,FALSE()),""))</f>
        <v/>
      </c>
      <c r="D210" s="31"/>
      <c r="E210" s="31"/>
      <c r="F210" s="14" t="str">
        <f aca="false">IF(OR($B210="",$D210=""),"",IFERROR(INDEX('Fichas y precios'!$P:$S,MATCH($B210,'Fichas y precios'!$A:$A,0),MATCH($D210,'Fichas y precios'!$P$5:$S$5,0)),""))</f>
        <v/>
      </c>
      <c r="G210" s="14" t="str">
        <f aca="false">IFERROR($E210*$F210,"")</f>
        <v/>
      </c>
      <c r="H210" s="14" t="str">
        <f aca="false">IF($B210="","",IF($D210="Batch embotellado",IFERROR(VLOOKUP($B210,'Fichas y precios'!$A:$M,13,FALSE())*'Mi negocio'!$B$13+'Mi negocio'!$B$14,""),IFERROR(VLOOKUP($B210,'Fichas y precios'!$A:$M,13,FALSE()),"")))</f>
        <v/>
      </c>
      <c r="I210" s="14" t="str">
        <f aca="false">IFERROR($E210*$H210,"")</f>
        <v/>
      </c>
      <c r="J210" s="14" t="str">
        <f aca="false">IFERROR($G210-$I210,"")</f>
        <v/>
      </c>
      <c r="K210" s="23" t="str">
        <f aca="false">IFERROR($J210/$G210,"")</f>
        <v/>
      </c>
      <c r="L210" s="31"/>
    </row>
    <row r="211" customFormat="false" ht="15" hidden="false" customHeight="false" outlineLevel="0" collapsed="false">
      <c r="A211" s="30"/>
      <c r="B211" s="31"/>
      <c r="C211" s="9" t="str">
        <f aca="false">IF($B211="","",IFERROR(VLOOKUP($B211,'Fichas y precios'!$A:$B,2,FALSE()),""))</f>
        <v/>
      </c>
      <c r="D211" s="31"/>
      <c r="E211" s="31"/>
      <c r="F211" s="14" t="str">
        <f aca="false">IF(OR($B211="",$D211=""),"",IFERROR(INDEX('Fichas y precios'!$P:$S,MATCH($B211,'Fichas y precios'!$A:$A,0),MATCH($D211,'Fichas y precios'!$P$5:$S$5,0)),""))</f>
        <v/>
      </c>
      <c r="G211" s="14" t="str">
        <f aca="false">IFERROR($E211*$F211,"")</f>
        <v/>
      </c>
      <c r="H211" s="14" t="str">
        <f aca="false">IF($B211="","",IF($D211="Batch embotellado",IFERROR(VLOOKUP($B211,'Fichas y precios'!$A:$M,13,FALSE())*'Mi negocio'!$B$13+'Mi negocio'!$B$14,""),IFERROR(VLOOKUP($B211,'Fichas y precios'!$A:$M,13,FALSE()),"")))</f>
        <v/>
      </c>
      <c r="I211" s="14" t="str">
        <f aca="false">IFERROR($E211*$H211,"")</f>
        <v/>
      </c>
      <c r="J211" s="14" t="str">
        <f aca="false">IFERROR($G211-$I211,"")</f>
        <v/>
      </c>
      <c r="K211" s="23" t="str">
        <f aca="false">IFERROR($J211/$G211,"")</f>
        <v/>
      </c>
      <c r="L211" s="31"/>
    </row>
    <row r="212" customFormat="false" ht="15" hidden="false" customHeight="false" outlineLevel="0" collapsed="false">
      <c r="A212" s="30"/>
      <c r="B212" s="31"/>
      <c r="C212" s="9" t="str">
        <f aca="false">IF($B212="","",IFERROR(VLOOKUP($B212,'Fichas y precios'!$A:$B,2,FALSE()),""))</f>
        <v/>
      </c>
      <c r="D212" s="31"/>
      <c r="E212" s="31"/>
      <c r="F212" s="14" t="str">
        <f aca="false">IF(OR($B212="",$D212=""),"",IFERROR(INDEX('Fichas y precios'!$P:$S,MATCH($B212,'Fichas y precios'!$A:$A,0),MATCH($D212,'Fichas y precios'!$P$5:$S$5,0)),""))</f>
        <v/>
      </c>
      <c r="G212" s="14" t="str">
        <f aca="false">IFERROR($E212*$F212,"")</f>
        <v/>
      </c>
      <c r="H212" s="14" t="str">
        <f aca="false">IF($B212="","",IF($D212="Batch embotellado",IFERROR(VLOOKUP($B212,'Fichas y precios'!$A:$M,13,FALSE())*'Mi negocio'!$B$13+'Mi negocio'!$B$14,""),IFERROR(VLOOKUP($B212,'Fichas y precios'!$A:$M,13,FALSE()),"")))</f>
        <v/>
      </c>
      <c r="I212" s="14" t="str">
        <f aca="false">IFERROR($E212*$H212,"")</f>
        <v/>
      </c>
      <c r="J212" s="14" t="str">
        <f aca="false">IFERROR($G212-$I212,"")</f>
        <v/>
      </c>
      <c r="K212" s="23" t="str">
        <f aca="false">IFERROR($J212/$G212,"")</f>
        <v/>
      </c>
      <c r="L212" s="31"/>
    </row>
    <row r="213" customFormat="false" ht="15" hidden="false" customHeight="false" outlineLevel="0" collapsed="false">
      <c r="A213" s="30"/>
      <c r="B213" s="31"/>
      <c r="C213" s="9" t="str">
        <f aca="false">IF($B213="","",IFERROR(VLOOKUP($B213,'Fichas y precios'!$A:$B,2,FALSE()),""))</f>
        <v/>
      </c>
      <c r="D213" s="31"/>
      <c r="E213" s="31"/>
      <c r="F213" s="14" t="str">
        <f aca="false">IF(OR($B213="",$D213=""),"",IFERROR(INDEX('Fichas y precios'!$P:$S,MATCH($B213,'Fichas y precios'!$A:$A,0),MATCH($D213,'Fichas y precios'!$P$5:$S$5,0)),""))</f>
        <v/>
      </c>
      <c r="G213" s="14" t="str">
        <f aca="false">IFERROR($E213*$F213,"")</f>
        <v/>
      </c>
      <c r="H213" s="14" t="str">
        <f aca="false">IF($B213="","",IF($D213="Batch embotellado",IFERROR(VLOOKUP($B213,'Fichas y precios'!$A:$M,13,FALSE())*'Mi negocio'!$B$13+'Mi negocio'!$B$14,""),IFERROR(VLOOKUP($B213,'Fichas y precios'!$A:$M,13,FALSE()),"")))</f>
        <v/>
      </c>
      <c r="I213" s="14" t="str">
        <f aca="false">IFERROR($E213*$H213,"")</f>
        <v/>
      </c>
      <c r="J213" s="14" t="str">
        <f aca="false">IFERROR($G213-$I213,"")</f>
        <v/>
      </c>
      <c r="K213" s="23" t="str">
        <f aca="false">IFERROR($J213/$G213,"")</f>
        <v/>
      </c>
      <c r="L213" s="31"/>
    </row>
    <row r="214" customFormat="false" ht="15" hidden="false" customHeight="false" outlineLevel="0" collapsed="false">
      <c r="A214" s="30"/>
      <c r="B214" s="31"/>
      <c r="C214" s="9" t="str">
        <f aca="false">IF($B214="","",IFERROR(VLOOKUP($B214,'Fichas y precios'!$A:$B,2,FALSE()),""))</f>
        <v/>
      </c>
      <c r="D214" s="31"/>
      <c r="E214" s="31"/>
      <c r="F214" s="14" t="str">
        <f aca="false">IF(OR($B214="",$D214=""),"",IFERROR(INDEX('Fichas y precios'!$P:$S,MATCH($B214,'Fichas y precios'!$A:$A,0),MATCH($D214,'Fichas y precios'!$P$5:$S$5,0)),""))</f>
        <v/>
      </c>
      <c r="G214" s="14" t="str">
        <f aca="false">IFERROR($E214*$F214,"")</f>
        <v/>
      </c>
      <c r="H214" s="14" t="str">
        <f aca="false">IF($B214="","",IF($D214="Batch embotellado",IFERROR(VLOOKUP($B214,'Fichas y precios'!$A:$M,13,FALSE())*'Mi negocio'!$B$13+'Mi negocio'!$B$14,""),IFERROR(VLOOKUP($B214,'Fichas y precios'!$A:$M,13,FALSE()),"")))</f>
        <v/>
      </c>
      <c r="I214" s="14" t="str">
        <f aca="false">IFERROR($E214*$H214,"")</f>
        <v/>
      </c>
      <c r="J214" s="14" t="str">
        <f aca="false">IFERROR($G214-$I214,"")</f>
        <v/>
      </c>
      <c r="K214" s="23" t="str">
        <f aca="false">IFERROR($J214/$G214,"")</f>
        <v/>
      </c>
      <c r="L214" s="31"/>
    </row>
    <row r="215" customFormat="false" ht="15" hidden="false" customHeight="false" outlineLevel="0" collapsed="false">
      <c r="A215" s="30"/>
      <c r="B215" s="31"/>
      <c r="C215" s="9" t="str">
        <f aca="false">IF($B215="","",IFERROR(VLOOKUP($B215,'Fichas y precios'!$A:$B,2,FALSE()),""))</f>
        <v/>
      </c>
      <c r="D215" s="31"/>
      <c r="E215" s="31"/>
      <c r="F215" s="14" t="str">
        <f aca="false">IF(OR($B215="",$D215=""),"",IFERROR(INDEX('Fichas y precios'!$P:$S,MATCH($B215,'Fichas y precios'!$A:$A,0),MATCH($D215,'Fichas y precios'!$P$5:$S$5,0)),""))</f>
        <v/>
      </c>
      <c r="G215" s="14" t="str">
        <f aca="false">IFERROR($E215*$F215,"")</f>
        <v/>
      </c>
      <c r="H215" s="14" t="str">
        <f aca="false">IF($B215="","",IF($D215="Batch embotellado",IFERROR(VLOOKUP($B215,'Fichas y precios'!$A:$M,13,FALSE())*'Mi negocio'!$B$13+'Mi negocio'!$B$14,""),IFERROR(VLOOKUP($B215,'Fichas y precios'!$A:$M,13,FALSE()),"")))</f>
        <v/>
      </c>
      <c r="I215" s="14" t="str">
        <f aca="false">IFERROR($E215*$H215,"")</f>
        <v/>
      </c>
      <c r="J215" s="14" t="str">
        <f aca="false">IFERROR($G215-$I215,"")</f>
        <v/>
      </c>
      <c r="K215" s="23" t="str">
        <f aca="false">IFERROR($J215/$G215,"")</f>
        <v/>
      </c>
      <c r="L215" s="31"/>
    </row>
    <row r="216" customFormat="false" ht="15" hidden="false" customHeight="false" outlineLevel="0" collapsed="false">
      <c r="A216" s="30"/>
      <c r="B216" s="31"/>
      <c r="C216" s="9" t="str">
        <f aca="false">IF($B216="","",IFERROR(VLOOKUP($B216,'Fichas y precios'!$A:$B,2,FALSE()),""))</f>
        <v/>
      </c>
      <c r="D216" s="31"/>
      <c r="E216" s="31"/>
      <c r="F216" s="14" t="str">
        <f aca="false">IF(OR($B216="",$D216=""),"",IFERROR(INDEX('Fichas y precios'!$P:$S,MATCH($B216,'Fichas y precios'!$A:$A,0),MATCH($D216,'Fichas y precios'!$P$5:$S$5,0)),""))</f>
        <v/>
      </c>
      <c r="G216" s="14" t="str">
        <f aca="false">IFERROR($E216*$F216,"")</f>
        <v/>
      </c>
      <c r="H216" s="14" t="str">
        <f aca="false">IF($B216="","",IF($D216="Batch embotellado",IFERROR(VLOOKUP($B216,'Fichas y precios'!$A:$M,13,FALSE())*'Mi negocio'!$B$13+'Mi negocio'!$B$14,""),IFERROR(VLOOKUP($B216,'Fichas y precios'!$A:$M,13,FALSE()),"")))</f>
        <v/>
      </c>
      <c r="I216" s="14" t="str">
        <f aca="false">IFERROR($E216*$H216,"")</f>
        <v/>
      </c>
      <c r="J216" s="14" t="str">
        <f aca="false">IFERROR($G216-$I216,"")</f>
        <v/>
      </c>
      <c r="K216" s="23" t="str">
        <f aca="false">IFERROR($J216/$G216,"")</f>
        <v/>
      </c>
      <c r="L216" s="31"/>
    </row>
    <row r="217" customFormat="false" ht="15" hidden="false" customHeight="false" outlineLevel="0" collapsed="false">
      <c r="A217" s="30"/>
      <c r="B217" s="31"/>
      <c r="C217" s="9" t="str">
        <f aca="false">IF($B217="","",IFERROR(VLOOKUP($B217,'Fichas y precios'!$A:$B,2,FALSE()),""))</f>
        <v/>
      </c>
      <c r="D217" s="31"/>
      <c r="E217" s="31"/>
      <c r="F217" s="14" t="str">
        <f aca="false">IF(OR($B217="",$D217=""),"",IFERROR(INDEX('Fichas y precios'!$P:$S,MATCH($B217,'Fichas y precios'!$A:$A,0),MATCH($D217,'Fichas y precios'!$P$5:$S$5,0)),""))</f>
        <v/>
      </c>
      <c r="G217" s="14" t="str">
        <f aca="false">IFERROR($E217*$F217,"")</f>
        <v/>
      </c>
      <c r="H217" s="14" t="str">
        <f aca="false">IF($B217="","",IF($D217="Batch embotellado",IFERROR(VLOOKUP($B217,'Fichas y precios'!$A:$M,13,FALSE())*'Mi negocio'!$B$13+'Mi negocio'!$B$14,""),IFERROR(VLOOKUP($B217,'Fichas y precios'!$A:$M,13,FALSE()),"")))</f>
        <v/>
      </c>
      <c r="I217" s="14" t="str">
        <f aca="false">IFERROR($E217*$H217,"")</f>
        <v/>
      </c>
      <c r="J217" s="14" t="str">
        <f aca="false">IFERROR($G217-$I217,"")</f>
        <v/>
      </c>
      <c r="K217" s="23" t="str">
        <f aca="false">IFERROR($J217/$G217,"")</f>
        <v/>
      </c>
      <c r="L217" s="31"/>
    </row>
    <row r="218" customFormat="false" ht="15" hidden="false" customHeight="false" outlineLevel="0" collapsed="false">
      <c r="A218" s="30"/>
      <c r="B218" s="31"/>
      <c r="C218" s="9" t="str">
        <f aca="false">IF($B218="","",IFERROR(VLOOKUP($B218,'Fichas y precios'!$A:$B,2,FALSE()),""))</f>
        <v/>
      </c>
      <c r="D218" s="31"/>
      <c r="E218" s="31"/>
      <c r="F218" s="14" t="str">
        <f aca="false">IF(OR($B218="",$D218=""),"",IFERROR(INDEX('Fichas y precios'!$P:$S,MATCH($B218,'Fichas y precios'!$A:$A,0),MATCH($D218,'Fichas y precios'!$P$5:$S$5,0)),""))</f>
        <v/>
      </c>
      <c r="G218" s="14" t="str">
        <f aca="false">IFERROR($E218*$F218,"")</f>
        <v/>
      </c>
      <c r="H218" s="14" t="str">
        <f aca="false">IF($B218="","",IF($D218="Batch embotellado",IFERROR(VLOOKUP($B218,'Fichas y precios'!$A:$M,13,FALSE())*'Mi negocio'!$B$13+'Mi negocio'!$B$14,""),IFERROR(VLOOKUP($B218,'Fichas y precios'!$A:$M,13,FALSE()),"")))</f>
        <v/>
      </c>
      <c r="I218" s="14" t="str">
        <f aca="false">IFERROR($E218*$H218,"")</f>
        <v/>
      </c>
      <c r="J218" s="14" t="str">
        <f aca="false">IFERROR($G218-$I218,"")</f>
        <v/>
      </c>
      <c r="K218" s="23" t="str">
        <f aca="false">IFERROR($J218/$G218,"")</f>
        <v/>
      </c>
      <c r="L218" s="31"/>
    </row>
    <row r="219" customFormat="false" ht="15" hidden="false" customHeight="false" outlineLevel="0" collapsed="false">
      <c r="A219" s="30"/>
      <c r="B219" s="31"/>
      <c r="C219" s="9" t="str">
        <f aca="false">IF($B219="","",IFERROR(VLOOKUP($B219,'Fichas y precios'!$A:$B,2,FALSE()),""))</f>
        <v/>
      </c>
      <c r="D219" s="31"/>
      <c r="E219" s="31"/>
      <c r="F219" s="14" t="str">
        <f aca="false">IF(OR($B219="",$D219=""),"",IFERROR(INDEX('Fichas y precios'!$P:$S,MATCH($B219,'Fichas y precios'!$A:$A,0),MATCH($D219,'Fichas y precios'!$P$5:$S$5,0)),""))</f>
        <v/>
      </c>
      <c r="G219" s="14" t="str">
        <f aca="false">IFERROR($E219*$F219,"")</f>
        <v/>
      </c>
      <c r="H219" s="14" t="str">
        <f aca="false">IF($B219="","",IF($D219="Batch embotellado",IFERROR(VLOOKUP($B219,'Fichas y precios'!$A:$M,13,FALSE())*'Mi negocio'!$B$13+'Mi negocio'!$B$14,""),IFERROR(VLOOKUP($B219,'Fichas y precios'!$A:$M,13,FALSE()),"")))</f>
        <v/>
      </c>
      <c r="I219" s="14" t="str">
        <f aca="false">IFERROR($E219*$H219,"")</f>
        <v/>
      </c>
      <c r="J219" s="14" t="str">
        <f aca="false">IFERROR($G219-$I219,"")</f>
        <v/>
      </c>
      <c r="K219" s="23" t="str">
        <f aca="false">IFERROR($J219/$G219,"")</f>
        <v/>
      </c>
      <c r="L219" s="31"/>
    </row>
    <row r="220" customFormat="false" ht="15" hidden="false" customHeight="false" outlineLevel="0" collapsed="false">
      <c r="A220" s="30"/>
      <c r="B220" s="31"/>
      <c r="C220" s="9" t="str">
        <f aca="false">IF($B220="","",IFERROR(VLOOKUP($B220,'Fichas y precios'!$A:$B,2,FALSE()),""))</f>
        <v/>
      </c>
      <c r="D220" s="31"/>
      <c r="E220" s="31"/>
      <c r="F220" s="14" t="str">
        <f aca="false">IF(OR($B220="",$D220=""),"",IFERROR(INDEX('Fichas y precios'!$P:$S,MATCH($B220,'Fichas y precios'!$A:$A,0),MATCH($D220,'Fichas y precios'!$P$5:$S$5,0)),""))</f>
        <v/>
      </c>
      <c r="G220" s="14" t="str">
        <f aca="false">IFERROR($E220*$F220,"")</f>
        <v/>
      </c>
      <c r="H220" s="14" t="str">
        <f aca="false">IF($B220="","",IF($D220="Batch embotellado",IFERROR(VLOOKUP($B220,'Fichas y precios'!$A:$M,13,FALSE())*'Mi negocio'!$B$13+'Mi negocio'!$B$14,""),IFERROR(VLOOKUP($B220,'Fichas y precios'!$A:$M,13,FALSE()),"")))</f>
        <v/>
      </c>
      <c r="I220" s="14" t="str">
        <f aca="false">IFERROR($E220*$H220,"")</f>
        <v/>
      </c>
      <c r="J220" s="14" t="str">
        <f aca="false">IFERROR($G220-$I220,"")</f>
        <v/>
      </c>
      <c r="K220" s="23" t="str">
        <f aca="false">IFERROR($J220/$G220,"")</f>
        <v/>
      </c>
      <c r="L220" s="31"/>
    </row>
    <row r="221" customFormat="false" ht="15" hidden="false" customHeight="false" outlineLevel="0" collapsed="false">
      <c r="A221" s="30"/>
      <c r="B221" s="31"/>
      <c r="C221" s="9" t="str">
        <f aca="false">IF($B221="","",IFERROR(VLOOKUP($B221,'Fichas y precios'!$A:$B,2,FALSE()),""))</f>
        <v/>
      </c>
      <c r="D221" s="31"/>
      <c r="E221" s="31"/>
      <c r="F221" s="14" t="str">
        <f aca="false">IF(OR($B221="",$D221=""),"",IFERROR(INDEX('Fichas y precios'!$P:$S,MATCH($B221,'Fichas y precios'!$A:$A,0),MATCH($D221,'Fichas y precios'!$P$5:$S$5,0)),""))</f>
        <v/>
      </c>
      <c r="G221" s="14" t="str">
        <f aca="false">IFERROR($E221*$F221,"")</f>
        <v/>
      </c>
      <c r="H221" s="14" t="str">
        <f aca="false">IF($B221="","",IF($D221="Batch embotellado",IFERROR(VLOOKUP($B221,'Fichas y precios'!$A:$M,13,FALSE())*'Mi negocio'!$B$13+'Mi negocio'!$B$14,""),IFERROR(VLOOKUP($B221,'Fichas y precios'!$A:$M,13,FALSE()),"")))</f>
        <v/>
      </c>
      <c r="I221" s="14" t="str">
        <f aca="false">IFERROR($E221*$H221,"")</f>
        <v/>
      </c>
      <c r="J221" s="14" t="str">
        <f aca="false">IFERROR($G221-$I221,"")</f>
        <v/>
      </c>
      <c r="K221" s="23" t="str">
        <f aca="false">IFERROR($J221/$G221,"")</f>
        <v/>
      </c>
      <c r="L221" s="31"/>
    </row>
    <row r="222" customFormat="false" ht="15" hidden="false" customHeight="false" outlineLevel="0" collapsed="false">
      <c r="A222" s="30"/>
      <c r="B222" s="31"/>
      <c r="C222" s="9" t="str">
        <f aca="false">IF($B222="","",IFERROR(VLOOKUP($B222,'Fichas y precios'!$A:$B,2,FALSE()),""))</f>
        <v/>
      </c>
      <c r="D222" s="31"/>
      <c r="E222" s="31"/>
      <c r="F222" s="14" t="str">
        <f aca="false">IF(OR($B222="",$D222=""),"",IFERROR(INDEX('Fichas y precios'!$P:$S,MATCH($B222,'Fichas y precios'!$A:$A,0),MATCH($D222,'Fichas y precios'!$P$5:$S$5,0)),""))</f>
        <v/>
      </c>
      <c r="G222" s="14" t="str">
        <f aca="false">IFERROR($E222*$F222,"")</f>
        <v/>
      </c>
      <c r="H222" s="14" t="str">
        <f aca="false">IF($B222="","",IF($D222="Batch embotellado",IFERROR(VLOOKUP($B222,'Fichas y precios'!$A:$M,13,FALSE())*'Mi negocio'!$B$13+'Mi negocio'!$B$14,""),IFERROR(VLOOKUP($B222,'Fichas y precios'!$A:$M,13,FALSE()),"")))</f>
        <v/>
      </c>
      <c r="I222" s="14" t="str">
        <f aca="false">IFERROR($E222*$H222,"")</f>
        <v/>
      </c>
      <c r="J222" s="14" t="str">
        <f aca="false">IFERROR($G222-$I222,"")</f>
        <v/>
      </c>
      <c r="K222" s="23" t="str">
        <f aca="false">IFERROR($J222/$G222,"")</f>
        <v/>
      </c>
      <c r="L222" s="31"/>
    </row>
    <row r="223" customFormat="false" ht="15" hidden="false" customHeight="false" outlineLevel="0" collapsed="false">
      <c r="A223" s="30"/>
      <c r="B223" s="31"/>
      <c r="C223" s="9" t="str">
        <f aca="false">IF($B223="","",IFERROR(VLOOKUP($B223,'Fichas y precios'!$A:$B,2,FALSE()),""))</f>
        <v/>
      </c>
      <c r="D223" s="31"/>
      <c r="E223" s="31"/>
      <c r="F223" s="14" t="str">
        <f aca="false">IF(OR($B223="",$D223=""),"",IFERROR(INDEX('Fichas y precios'!$P:$S,MATCH($B223,'Fichas y precios'!$A:$A,0),MATCH($D223,'Fichas y precios'!$P$5:$S$5,0)),""))</f>
        <v/>
      </c>
      <c r="G223" s="14" t="str">
        <f aca="false">IFERROR($E223*$F223,"")</f>
        <v/>
      </c>
      <c r="H223" s="14" t="str">
        <f aca="false">IF($B223="","",IF($D223="Batch embotellado",IFERROR(VLOOKUP($B223,'Fichas y precios'!$A:$M,13,FALSE())*'Mi negocio'!$B$13+'Mi negocio'!$B$14,""),IFERROR(VLOOKUP($B223,'Fichas y precios'!$A:$M,13,FALSE()),"")))</f>
        <v/>
      </c>
      <c r="I223" s="14" t="str">
        <f aca="false">IFERROR($E223*$H223,"")</f>
        <v/>
      </c>
      <c r="J223" s="14" t="str">
        <f aca="false">IFERROR($G223-$I223,"")</f>
        <v/>
      </c>
      <c r="K223" s="23" t="str">
        <f aca="false">IFERROR($J223/$G223,"")</f>
        <v/>
      </c>
      <c r="L223" s="31"/>
    </row>
    <row r="224" customFormat="false" ht="15" hidden="false" customHeight="false" outlineLevel="0" collapsed="false">
      <c r="A224" s="30"/>
      <c r="B224" s="31"/>
      <c r="C224" s="9" t="str">
        <f aca="false">IF($B224="","",IFERROR(VLOOKUP($B224,'Fichas y precios'!$A:$B,2,FALSE()),""))</f>
        <v/>
      </c>
      <c r="D224" s="31"/>
      <c r="E224" s="31"/>
      <c r="F224" s="14" t="str">
        <f aca="false">IF(OR($B224="",$D224=""),"",IFERROR(INDEX('Fichas y precios'!$P:$S,MATCH($B224,'Fichas y precios'!$A:$A,0),MATCH($D224,'Fichas y precios'!$P$5:$S$5,0)),""))</f>
        <v/>
      </c>
      <c r="G224" s="14" t="str">
        <f aca="false">IFERROR($E224*$F224,"")</f>
        <v/>
      </c>
      <c r="H224" s="14" t="str">
        <f aca="false">IF($B224="","",IF($D224="Batch embotellado",IFERROR(VLOOKUP($B224,'Fichas y precios'!$A:$M,13,FALSE())*'Mi negocio'!$B$13+'Mi negocio'!$B$14,""),IFERROR(VLOOKUP($B224,'Fichas y precios'!$A:$M,13,FALSE()),"")))</f>
        <v/>
      </c>
      <c r="I224" s="14" t="str">
        <f aca="false">IFERROR($E224*$H224,"")</f>
        <v/>
      </c>
      <c r="J224" s="14" t="str">
        <f aca="false">IFERROR($G224-$I224,"")</f>
        <v/>
      </c>
      <c r="K224" s="23" t="str">
        <f aca="false">IFERROR($J224/$G224,"")</f>
        <v/>
      </c>
      <c r="L224" s="31"/>
    </row>
    <row r="225" customFormat="false" ht="15" hidden="false" customHeight="false" outlineLevel="0" collapsed="false">
      <c r="A225" s="30"/>
      <c r="B225" s="31"/>
      <c r="C225" s="9" t="str">
        <f aca="false">IF($B225="","",IFERROR(VLOOKUP($B225,'Fichas y precios'!$A:$B,2,FALSE()),""))</f>
        <v/>
      </c>
      <c r="D225" s="31"/>
      <c r="E225" s="31"/>
      <c r="F225" s="14" t="str">
        <f aca="false">IF(OR($B225="",$D225=""),"",IFERROR(INDEX('Fichas y precios'!$P:$S,MATCH($B225,'Fichas y precios'!$A:$A,0),MATCH($D225,'Fichas y precios'!$P$5:$S$5,0)),""))</f>
        <v/>
      </c>
      <c r="G225" s="14" t="str">
        <f aca="false">IFERROR($E225*$F225,"")</f>
        <v/>
      </c>
      <c r="H225" s="14" t="str">
        <f aca="false">IF($B225="","",IF($D225="Batch embotellado",IFERROR(VLOOKUP($B225,'Fichas y precios'!$A:$M,13,FALSE())*'Mi negocio'!$B$13+'Mi negocio'!$B$14,""),IFERROR(VLOOKUP($B225,'Fichas y precios'!$A:$M,13,FALSE()),"")))</f>
        <v/>
      </c>
      <c r="I225" s="14" t="str">
        <f aca="false">IFERROR($E225*$H225,"")</f>
        <v/>
      </c>
      <c r="J225" s="14" t="str">
        <f aca="false">IFERROR($G225-$I225,"")</f>
        <v/>
      </c>
      <c r="K225" s="23" t="str">
        <f aca="false">IFERROR($J225/$G225,"")</f>
        <v/>
      </c>
      <c r="L225" s="31"/>
    </row>
    <row r="226" customFormat="false" ht="15" hidden="false" customHeight="false" outlineLevel="0" collapsed="false">
      <c r="A226" s="30"/>
      <c r="B226" s="31"/>
      <c r="C226" s="9" t="str">
        <f aca="false">IF($B226="","",IFERROR(VLOOKUP($B226,'Fichas y precios'!$A:$B,2,FALSE()),""))</f>
        <v/>
      </c>
      <c r="D226" s="31"/>
      <c r="E226" s="31"/>
      <c r="F226" s="14" t="str">
        <f aca="false">IF(OR($B226="",$D226=""),"",IFERROR(INDEX('Fichas y precios'!$P:$S,MATCH($B226,'Fichas y precios'!$A:$A,0),MATCH($D226,'Fichas y precios'!$P$5:$S$5,0)),""))</f>
        <v/>
      </c>
      <c r="G226" s="14" t="str">
        <f aca="false">IFERROR($E226*$F226,"")</f>
        <v/>
      </c>
      <c r="H226" s="14" t="str">
        <f aca="false">IF($B226="","",IF($D226="Batch embotellado",IFERROR(VLOOKUP($B226,'Fichas y precios'!$A:$M,13,FALSE())*'Mi negocio'!$B$13+'Mi negocio'!$B$14,""),IFERROR(VLOOKUP($B226,'Fichas y precios'!$A:$M,13,FALSE()),"")))</f>
        <v/>
      </c>
      <c r="I226" s="14" t="str">
        <f aca="false">IFERROR($E226*$H226,"")</f>
        <v/>
      </c>
      <c r="J226" s="14" t="str">
        <f aca="false">IFERROR($G226-$I226,"")</f>
        <v/>
      </c>
      <c r="K226" s="23" t="str">
        <f aca="false">IFERROR($J226/$G226,"")</f>
        <v/>
      </c>
      <c r="L226" s="31"/>
    </row>
    <row r="227" customFormat="false" ht="15" hidden="false" customHeight="false" outlineLevel="0" collapsed="false">
      <c r="A227" s="30"/>
      <c r="B227" s="31"/>
      <c r="C227" s="9" t="str">
        <f aca="false">IF($B227="","",IFERROR(VLOOKUP($B227,'Fichas y precios'!$A:$B,2,FALSE()),""))</f>
        <v/>
      </c>
      <c r="D227" s="31"/>
      <c r="E227" s="31"/>
      <c r="F227" s="14" t="str">
        <f aca="false">IF(OR($B227="",$D227=""),"",IFERROR(INDEX('Fichas y precios'!$P:$S,MATCH($B227,'Fichas y precios'!$A:$A,0),MATCH($D227,'Fichas y precios'!$P$5:$S$5,0)),""))</f>
        <v/>
      </c>
      <c r="G227" s="14" t="str">
        <f aca="false">IFERROR($E227*$F227,"")</f>
        <v/>
      </c>
      <c r="H227" s="14" t="str">
        <f aca="false">IF($B227="","",IF($D227="Batch embotellado",IFERROR(VLOOKUP($B227,'Fichas y precios'!$A:$M,13,FALSE())*'Mi negocio'!$B$13+'Mi negocio'!$B$14,""),IFERROR(VLOOKUP($B227,'Fichas y precios'!$A:$M,13,FALSE()),"")))</f>
        <v/>
      </c>
      <c r="I227" s="14" t="str">
        <f aca="false">IFERROR($E227*$H227,"")</f>
        <v/>
      </c>
      <c r="J227" s="14" t="str">
        <f aca="false">IFERROR($G227-$I227,"")</f>
        <v/>
      </c>
      <c r="K227" s="23" t="str">
        <f aca="false">IFERROR($J227/$G227,"")</f>
        <v/>
      </c>
      <c r="L227" s="31"/>
    </row>
    <row r="228" customFormat="false" ht="15" hidden="false" customHeight="false" outlineLevel="0" collapsed="false">
      <c r="A228" s="30"/>
      <c r="B228" s="31"/>
      <c r="C228" s="9" t="str">
        <f aca="false">IF($B228="","",IFERROR(VLOOKUP($B228,'Fichas y precios'!$A:$B,2,FALSE()),""))</f>
        <v/>
      </c>
      <c r="D228" s="31"/>
      <c r="E228" s="31"/>
      <c r="F228" s="14" t="str">
        <f aca="false">IF(OR($B228="",$D228=""),"",IFERROR(INDEX('Fichas y precios'!$P:$S,MATCH($B228,'Fichas y precios'!$A:$A,0),MATCH($D228,'Fichas y precios'!$P$5:$S$5,0)),""))</f>
        <v/>
      </c>
      <c r="G228" s="14" t="str">
        <f aca="false">IFERROR($E228*$F228,"")</f>
        <v/>
      </c>
      <c r="H228" s="14" t="str">
        <f aca="false">IF($B228="","",IF($D228="Batch embotellado",IFERROR(VLOOKUP($B228,'Fichas y precios'!$A:$M,13,FALSE())*'Mi negocio'!$B$13+'Mi negocio'!$B$14,""),IFERROR(VLOOKUP($B228,'Fichas y precios'!$A:$M,13,FALSE()),"")))</f>
        <v/>
      </c>
      <c r="I228" s="14" t="str">
        <f aca="false">IFERROR($E228*$H228,"")</f>
        <v/>
      </c>
      <c r="J228" s="14" t="str">
        <f aca="false">IFERROR($G228-$I228,"")</f>
        <v/>
      </c>
      <c r="K228" s="23" t="str">
        <f aca="false">IFERROR($J228/$G228,"")</f>
        <v/>
      </c>
      <c r="L228" s="31"/>
    </row>
    <row r="229" customFormat="false" ht="15" hidden="false" customHeight="false" outlineLevel="0" collapsed="false">
      <c r="A229" s="30"/>
      <c r="B229" s="31"/>
      <c r="C229" s="9" t="str">
        <f aca="false">IF($B229="","",IFERROR(VLOOKUP($B229,'Fichas y precios'!$A:$B,2,FALSE()),""))</f>
        <v/>
      </c>
      <c r="D229" s="31"/>
      <c r="E229" s="31"/>
      <c r="F229" s="14" t="str">
        <f aca="false">IF(OR($B229="",$D229=""),"",IFERROR(INDEX('Fichas y precios'!$P:$S,MATCH($B229,'Fichas y precios'!$A:$A,0),MATCH($D229,'Fichas y precios'!$P$5:$S$5,0)),""))</f>
        <v/>
      </c>
      <c r="G229" s="14" t="str">
        <f aca="false">IFERROR($E229*$F229,"")</f>
        <v/>
      </c>
      <c r="H229" s="14" t="str">
        <f aca="false">IF($B229="","",IF($D229="Batch embotellado",IFERROR(VLOOKUP($B229,'Fichas y precios'!$A:$M,13,FALSE())*'Mi negocio'!$B$13+'Mi negocio'!$B$14,""),IFERROR(VLOOKUP($B229,'Fichas y precios'!$A:$M,13,FALSE()),"")))</f>
        <v/>
      </c>
      <c r="I229" s="14" t="str">
        <f aca="false">IFERROR($E229*$H229,"")</f>
        <v/>
      </c>
      <c r="J229" s="14" t="str">
        <f aca="false">IFERROR($G229-$I229,"")</f>
        <v/>
      </c>
      <c r="K229" s="23" t="str">
        <f aca="false">IFERROR($J229/$G229,"")</f>
        <v/>
      </c>
      <c r="L229" s="31"/>
    </row>
    <row r="230" customFormat="false" ht="15" hidden="false" customHeight="false" outlineLevel="0" collapsed="false">
      <c r="A230" s="30"/>
      <c r="B230" s="31"/>
      <c r="C230" s="9" t="str">
        <f aca="false">IF($B230="","",IFERROR(VLOOKUP($B230,'Fichas y precios'!$A:$B,2,FALSE()),""))</f>
        <v/>
      </c>
      <c r="D230" s="31"/>
      <c r="E230" s="31"/>
      <c r="F230" s="14" t="str">
        <f aca="false">IF(OR($B230="",$D230=""),"",IFERROR(INDEX('Fichas y precios'!$P:$S,MATCH($B230,'Fichas y precios'!$A:$A,0),MATCH($D230,'Fichas y precios'!$P$5:$S$5,0)),""))</f>
        <v/>
      </c>
      <c r="G230" s="14" t="str">
        <f aca="false">IFERROR($E230*$F230,"")</f>
        <v/>
      </c>
      <c r="H230" s="14" t="str">
        <f aca="false">IF($B230="","",IF($D230="Batch embotellado",IFERROR(VLOOKUP($B230,'Fichas y precios'!$A:$M,13,FALSE())*'Mi negocio'!$B$13+'Mi negocio'!$B$14,""),IFERROR(VLOOKUP($B230,'Fichas y precios'!$A:$M,13,FALSE()),"")))</f>
        <v/>
      </c>
      <c r="I230" s="14" t="str">
        <f aca="false">IFERROR($E230*$H230,"")</f>
        <v/>
      </c>
      <c r="J230" s="14" t="str">
        <f aca="false">IFERROR($G230-$I230,"")</f>
        <v/>
      </c>
      <c r="K230" s="23" t="str">
        <f aca="false">IFERROR($J230/$G230,"")</f>
        <v/>
      </c>
      <c r="L230" s="31"/>
    </row>
    <row r="231" customFormat="false" ht="15" hidden="false" customHeight="false" outlineLevel="0" collapsed="false">
      <c r="A231" s="30"/>
      <c r="B231" s="31"/>
      <c r="C231" s="9" t="str">
        <f aca="false">IF($B231="","",IFERROR(VLOOKUP($B231,'Fichas y precios'!$A:$B,2,FALSE()),""))</f>
        <v/>
      </c>
      <c r="D231" s="31"/>
      <c r="E231" s="31"/>
      <c r="F231" s="14" t="str">
        <f aca="false">IF(OR($B231="",$D231=""),"",IFERROR(INDEX('Fichas y precios'!$P:$S,MATCH($B231,'Fichas y precios'!$A:$A,0),MATCH($D231,'Fichas y precios'!$P$5:$S$5,0)),""))</f>
        <v/>
      </c>
      <c r="G231" s="14" t="str">
        <f aca="false">IFERROR($E231*$F231,"")</f>
        <v/>
      </c>
      <c r="H231" s="14" t="str">
        <f aca="false">IF($B231="","",IF($D231="Batch embotellado",IFERROR(VLOOKUP($B231,'Fichas y precios'!$A:$M,13,FALSE())*'Mi negocio'!$B$13+'Mi negocio'!$B$14,""),IFERROR(VLOOKUP($B231,'Fichas y precios'!$A:$M,13,FALSE()),"")))</f>
        <v/>
      </c>
      <c r="I231" s="14" t="str">
        <f aca="false">IFERROR($E231*$H231,"")</f>
        <v/>
      </c>
      <c r="J231" s="14" t="str">
        <f aca="false">IFERROR($G231-$I231,"")</f>
        <v/>
      </c>
      <c r="K231" s="23" t="str">
        <f aca="false">IFERROR($J231/$G231,"")</f>
        <v/>
      </c>
      <c r="L231" s="31"/>
    </row>
    <row r="232" customFormat="false" ht="15" hidden="false" customHeight="false" outlineLevel="0" collapsed="false">
      <c r="A232" s="30"/>
      <c r="B232" s="31"/>
      <c r="C232" s="9" t="str">
        <f aca="false">IF($B232="","",IFERROR(VLOOKUP($B232,'Fichas y precios'!$A:$B,2,FALSE()),""))</f>
        <v/>
      </c>
      <c r="D232" s="31"/>
      <c r="E232" s="31"/>
      <c r="F232" s="14" t="str">
        <f aca="false">IF(OR($B232="",$D232=""),"",IFERROR(INDEX('Fichas y precios'!$P:$S,MATCH($B232,'Fichas y precios'!$A:$A,0),MATCH($D232,'Fichas y precios'!$P$5:$S$5,0)),""))</f>
        <v/>
      </c>
      <c r="G232" s="14" t="str">
        <f aca="false">IFERROR($E232*$F232,"")</f>
        <v/>
      </c>
      <c r="H232" s="14" t="str">
        <f aca="false">IF($B232="","",IF($D232="Batch embotellado",IFERROR(VLOOKUP($B232,'Fichas y precios'!$A:$M,13,FALSE())*'Mi negocio'!$B$13+'Mi negocio'!$B$14,""),IFERROR(VLOOKUP($B232,'Fichas y precios'!$A:$M,13,FALSE()),"")))</f>
        <v/>
      </c>
      <c r="I232" s="14" t="str">
        <f aca="false">IFERROR($E232*$H232,"")</f>
        <v/>
      </c>
      <c r="J232" s="14" t="str">
        <f aca="false">IFERROR($G232-$I232,"")</f>
        <v/>
      </c>
      <c r="K232" s="23" t="str">
        <f aca="false">IFERROR($J232/$G232,"")</f>
        <v/>
      </c>
      <c r="L232" s="31"/>
    </row>
    <row r="233" customFormat="false" ht="15" hidden="false" customHeight="false" outlineLevel="0" collapsed="false">
      <c r="A233" s="30"/>
      <c r="B233" s="31"/>
      <c r="C233" s="9" t="str">
        <f aca="false">IF($B233="","",IFERROR(VLOOKUP($B233,'Fichas y precios'!$A:$B,2,FALSE()),""))</f>
        <v/>
      </c>
      <c r="D233" s="31"/>
      <c r="E233" s="31"/>
      <c r="F233" s="14" t="str">
        <f aca="false">IF(OR($B233="",$D233=""),"",IFERROR(INDEX('Fichas y precios'!$P:$S,MATCH($B233,'Fichas y precios'!$A:$A,0),MATCH($D233,'Fichas y precios'!$P$5:$S$5,0)),""))</f>
        <v/>
      </c>
      <c r="G233" s="14" t="str">
        <f aca="false">IFERROR($E233*$F233,"")</f>
        <v/>
      </c>
      <c r="H233" s="14" t="str">
        <f aca="false">IF($B233="","",IF($D233="Batch embotellado",IFERROR(VLOOKUP($B233,'Fichas y precios'!$A:$M,13,FALSE())*'Mi negocio'!$B$13+'Mi negocio'!$B$14,""),IFERROR(VLOOKUP($B233,'Fichas y precios'!$A:$M,13,FALSE()),"")))</f>
        <v/>
      </c>
      <c r="I233" s="14" t="str">
        <f aca="false">IFERROR($E233*$H233,"")</f>
        <v/>
      </c>
      <c r="J233" s="14" t="str">
        <f aca="false">IFERROR($G233-$I233,"")</f>
        <v/>
      </c>
      <c r="K233" s="23" t="str">
        <f aca="false">IFERROR($J233/$G233,"")</f>
        <v/>
      </c>
      <c r="L233" s="31"/>
    </row>
    <row r="234" customFormat="false" ht="15" hidden="false" customHeight="false" outlineLevel="0" collapsed="false">
      <c r="A234" s="30"/>
      <c r="B234" s="31"/>
      <c r="C234" s="9" t="str">
        <f aca="false">IF($B234="","",IFERROR(VLOOKUP($B234,'Fichas y precios'!$A:$B,2,FALSE()),""))</f>
        <v/>
      </c>
      <c r="D234" s="31"/>
      <c r="E234" s="31"/>
      <c r="F234" s="14" t="str">
        <f aca="false">IF(OR($B234="",$D234=""),"",IFERROR(INDEX('Fichas y precios'!$P:$S,MATCH($B234,'Fichas y precios'!$A:$A,0),MATCH($D234,'Fichas y precios'!$P$5:$S$5,0)),""))</f>
        <v/>
      </c>
      <c r="G234" s="14" t="str">
        <f aca="false">IFERROR($E234*$F234,"")</f>
        <v/>
      </c>
      <c r="H234" s="14" t="str">
        <f aca="false">IF($B234="","",IF($D234="Batch embotellado",IFERROR(VLOOKUP($B234,'Fichas y precios'!$A:$M,13,FALSE())*'Mi negocio'!$B$13+'Mi negocio'!$B$14,""),IFERROR(VLOOKUP($B234,'Fichas y precios'!$A:$M,13,FALSE()),"")))</f>
        <v/>
      </c>
      <c r="I234" s="14" t="str">
        <f aca="false">IFERROR($E234*$H234,"")</f>
        <v/>
      </c>
      <c r="J234" s="14" t="str">
        <f aca="false">IFERROR($G234-$I234,"")</f>
        <v/>
      </c>
      <c r="K234" s="23" t="str">
        <f aca="false">IFERROR($J234/$G234,"")</f>
        <v/>
      </c>
      <c r="L234" s="31"/>
    </row>
    <row r="235" customFormat="false" ht="15" hidden="false" customHeight="false" outlineLevel="0" collapsed="false">
      <c r="A235" s="30"/>
      <c r="B235" s="31"/>
      <c r="C235" s="9" t="str">
        <f aca="false">IF($B235="","",IFERROR(VLOOKUP($B235,'Fichas y precios'!$A:$B,2,FALSE()),""))</f>
        <v/>
      </c>
      <c r="D235" s="31"/>
      <c r="E235" s="31"/>
      <c r="F235" s="14" t="str">
        <f aca="false">IF(OR($B235="",$D235=""),"",IFERROR(INDEX('Fichas y precios'!$P:$S,MATCH($B235,'Fichas y precios'!$A:$A,0),MATCH($D235,'Fichas y precios'!$P$5:$S$5,0)),""))</f>
        <v/>
      </c>
      <c r="G235" s="14" t="str">
        <f aca="false">IFERROR($E235*$F235,"")</f>
        <v/>
      </c>
      <c r="H235" s="14" t="str">
        <f aca="false">IF($B235="","",IF($D235="Batch embotellado",IFERROR(VLOOKUP($B235,'Fichas y precios'!$A:$M,13,FALSE())*'Mi negocio'!$B$13+'Mi negocio'!$B$14,""),IFERROR(VLOOKUP($B235,'Fichas y precios'!$A:$M,13,FALSE()),"")))</f>
        <v/>
      </c>
      <c r="I235" s="14" t="str">
        <f aca="false">IFERROR($E235*$H235,"")</f>
        <v/>
      </c>
      <c r="J235" s="14" t="str">
        <f aca="false">IFERROR($G235-$I235,"")</f>
        <v/>
      </c>
      <c r="K235" s="23" t="str">
        <f aca="false">IFERROR($J235/$G235,"")</f>
        <v/>
      </c>
      <c r="L235" s="31"/>
    </row>
    <row r="236" customFormat="false" ht="15" hidden="false" customHeight="false" outlineLevel="0" collapsed="false">
      <c r="A236" s="30"/>
      <c r="B236" s="31"/>
      <c r="C236" s="9" t="str">
        <f aca="false">IF($B236="","",IFERROR(VLOOKUP($B236,'Fichas y precios'!$A:$B,2,FALSE()),""))</f>
        <v/>
      </c>
      <c r="D236" s="31"/>
      <c r="E236" s="31"/>
      <c r="F236" s="14" t="str">
        <f aca="false">IF(OR($B236="",$D236=""),"",IFERROR(INDEX('Fichas y precios'!$P:$S,MATCH($B236,'Fichas y precios'!$A:$A,0),MATCH($D236,'Fichas y precios'!$P$5:$S$5,0)),""))</f>
        <v/>
      </c>
      <c r="G236" s="14" t="str">
        <f aca="false">IFERROR($E236*$F236,"")</f>
        <v/>
      </c>
      <c r="H236" s="14" t="str">
        <f aca="false">IF($B236="","",IF($D236="Batch embotellado",IFERROR(VLOOKUP($B236,'Fichas y precios'!$A:$M,13,FALSE())*'Mi negocio'!$B$13+'Mi negocio'!$B$14,""),IFERROR(VLOOKUP($B236,'Fichas y precios'!$A:$M,13,FALSE()),"")))</f>
        <v/>
      </c>
      <c r="I236" s="14" t="str">
        <f aca="false">IFERROR($E236*$H236,"")</f>
        <v/>
      </c>
      <c r="J236" s="14" t="str">
        <f aca="false">IFERROR($G236-$I236,"")</f>
        <v/>
      </c>
      <c r="K236" s="23" t="str">
        <f aca="false">IFERROR($J236/$G236,"")</f>
        <v/>
      </c>
      <c r="L236" s="31"/>
    </row>
    <row r="237" customFormat="false" ht="15" hidden="false" customHeight="false" outlineLevel="0" collapsed="false">
      <c r="A237" s="30"/>
      <c r="B237" s="31"/>
      <c r="C237" s="9" t="str">
        <f aca="false">IF($B237="","",IFERROR(VLOOKUP($B237,'Fichas y precios'!$A:$B,2,FALSE()),""))</f>
        <v/>
      </c>
      <c r="D237" s="31"/>
      <c r="E237" s="31"/>
      <c r="F237" s="14" t="str">
        <f aca="false">IF(OR($B237="",$D237=""),"",IFERROR(INDEX('Fichas y precios'!$P:$S,MATCH($B237,'Fichas y precios'!$A:$A,0),MATCH($D237,'Fichas y precios'!$P$5:$S$5,0)),""))</f>
        <v/>
      </c>
      <c r="G237" s="14" t="str">
        <f aca="false">IFERROR($E237*$F237,"")</f>
        <v/>
      </c>
      <c r="H237" s="14" t="str">
        <f aca="false">IF($B237="","",IF($D237="Batch embotellado",IFERROR(VLOOKUP($B237,'Fichas y precios'!$A:$M,13,FALSE())*'Mi negocio'!$B$13+'Mi negocio'!$B$14,""),IFERROR(VLOOKUP($B237,'Fichas y precios'!$A:$M,13,FALSE()),"")))</f>
        <v/>
      </c>
      <c r="I237" s="14" t="str">
        <f aca="false">IFERROR($E237*$H237,"")</f>
        <v/>
      </c>
      <c r="J237" s="14" t="str">
        <f aca="false">IFERROR($G237-$I237,"")</f>
        <v/>
      </c>
      <c r="K237" s="23" t="str">
        <f aca="false">IFERROR($J237/$G237,"")</f>
        <v/>
      </c>
      <c r="L237" s="31"/>
    </row>
    <row r="238" customFormat="false" ht="15" hidden="false" customHeight="false" outlineLevel="0" collapsed="false">
      <c r="A238" s="30"/>
      <c r="B238" s="31"/>
      <c r="C238" s="9" t="str">
        <f aca="false">IF($B238="","",IFERROR(VLOOKUP($B238,'Fichas y precios'!$A:$B,2,FALSE()),""))</f>
        <v/>
      </c>
      <c r="D238" s="31"/>
      <c r="E238" s="31"/>
      <c r="F238" s="14" t="str">
        <f aca="false">IF(OR($B238="",$D238=""),"",IFERROR(INDEX('Fichas y precios'!$P:$S,MATCH($B238,'Fichas y precios'!$A:$A,0),MATCH($D238,'Fichas y precios'!$P$5:$S$5,0)),""))</f>
        <v/>
      </c>
      <c r="G238" s="14" t="str">
        <f aca="false">IFERROR($E238*$F238,"")</f>
        <v/>
      </c>
      <c r="H238" s="14" t="str">
        <f aca="false">IF($B238="","",IF($D238="Batch embotellado",IFERROR(VLOOKUP($B238,'Fichas y precios'!$A:$M,13,FALSE())*'Mi negocio'!$B$13+'Mi negocio'!$B$14,""),IFERROR(VLOOKUP($B238,'Fichas y precios'!$A:$M,13,FALSE()),"")))</f>
        <v/>
      </c>
      <c r="I238" s="14" t="str">
        <f aca="false">IFERROR($E238*$H238,"")</f>
        <v/>
      </c>
      <c r="J238" s="14" t="str">
        <f aca="false">IFERROR($G238-$I238,"")</f>
        <v/>
      </c>
      <c r="K238" s="23" t="str">
        <f aca="false">IFERROR($J238/$G238,"")</f>
        <v/>
      </c>
      <c r="L238" s="31"/>
    </row>
    <row r="239" customFormat="false" ht="15" hidden="false" customHeight="false" outlineLevel="0" collapsed="false">
      <c r="A239" s="30"/>
      <c r="B239" s="31"/>
      <c r="C239" s="9" t="str">
        <f aca="false">IF($B239="","",IFERROR(VLOOKUP($B239,'Fichas y precios'!$A:$B,2,FALSE()),""))</f>
        <v/>
      </c>
      <c r="D239" s="31"/>
      <c r="E239" s="31"/>
      <c r="F239" s="14" t="str">
        <f aca="false">IF(OR($B239="",$D239=""),"",IFERROR(INDEX('Fichas y precios'!$P:$S,MATCH($B239,'Fichas y precios'!$A:$A,0),MATCH($D239,'Fichas y precios'!$P$5:$S$5,0)),""))</f>
        <v/>
      </c>
      <c r="G239" s="14" t="str">
        <f aca="false">IFERROR($E239*$F239,"")</f>
        <v/>
      </c>
      <c r="H239" s="14" t="str">
        <f aca="false">IF($B239="","",IF($D239="Batch embotellado",IFERROR(VLOOKUP($B239,'Fichas y precios'!$A:$M,13,FALSE())*'Mi negocio'!$B$13+'Mi negocio'!$B$14,""),IFERROR(VLOOKUP($B239,'Fichas y precios'!$A:$M,13,FALSE()),"")))</f>
        <v/>
      </c>
      <c r="I239" s="14" t="str">
        <f aca="false">IFERROR($E239*$H239,"")</f>
        <v/>
      </c>
      <c r="J239" s="14" t="str">
        <f aca="false">IFERROR($G239-$I239,"")</f>
        <v/>
      </c>
      <c r="K239" s="23" t="str">
        <f aca="false">IFERROR($J239/$G239,"")</f>
        <v/>
      </c>
      <c r="L239" s="31"/>
    </row>
    <row r="240" customFormat="false" ht="15" hidden="false" customHeight="false" outlineLevel="0" collapsed="false">
      <c r="A240" s="30"/>
      <c r="B240" s="31"/>
      <c r="C240" s="9" t="str">
        <f aca="false">IF($B240="","",IFERROR(VLOOKUP($B240,'Fichas y precios'!$A:$B,2,FALSE()),""))</f>
        <v/>
      </c>
      <c r="D240" s="31"/>
      <c r="E240" s="31"/>
      <c r="F240" s="14" t="str">
        <f aca="false">IF(OR($B240="",$D240=""),"",IFERROR(INDEX('Fichas y precios'!$P:$S,MATCH($B240,'Fichas y precios'!$A:$A,0),MATCH($D240,'Fichas y precios'!$P$5:$S$5,0)),""))</f>
        <v/>
      </c>
      <c r="G240" s="14" t="str">
        <f aca="false">IFERROR($E240*$F240,"")</f>
        <v/>
      </c>
      <c r="H240" s="14" t="str">
        <f aca="false">IF($B240="","",IF($D240="Batch embotellado",IFERROR(VLOOKUP($B240,'Fichas y precios'!$A:$M,13,FALSE())*'Mi negocio'!$B$13+'Mi negocio'!$B$14,""),IFERROR(VLOOKUP($B240,'Fichas y precios'!$A:$M,13,FALSE()),"")))</f>
        <v/>
      </c>
      <c r="I240" s="14" t="str">
        <f aca="false">IFERROR($E240*$H240,"")</f>
        <v/>
      </c>
      <c r="J240" s="14" t="str">
        <f aca="false">IFERROR($G240-$I240,"")</f>
        <v/>
      </c>
      <c r="K240" s="23" t="str">
        <f aca="false">IFERROR($J240/$G240,"")</f>
        <v/>
      </c>
      <c r="L240" s="31"/>
    </row>
    <row r="241" customFormat="false" ht="15" hidden="false" customHeight="false" outlineLevel="0" collapsed="false">
      <c r="A241" s="30"/>
      <c r="B241" s="31"/>
      <c r="C241" s="9" t="str">
        <f aca="false">IF($B241="","",IFERROR(VLOOKUP($B241,'Fichas y precios'!$A:$B,2,FALSE()),""))</f>
        <v/>
      </c>
      <c r="D241" s="31"/>
      <c r="E241" s="31"/>
      <c r="F241" s="14" t="str">
        <f aca="false">IF(OR($B241="",$D241=""),"",IFERROR(INDEX('Fichas y precios'!$P:$S,MATCH($B241,'Fichas y precios'!$A:$A,0),MATCH($D241,'Fichas y precios'!$P$5:$S$5,0)),""))</f>
        <v/>
      </c>
      <c r="G241" s="14" t="str">
        <f aca="false">IFERROR($E241*$F241,"")</f>
        <v/>
      </c>
      <c r="H241" s="14" t="str">
        <f aca="false">IF($B241="","",IF($D241="Batch embotellado",IFERROR(VLOOKUP($B241,'Fichas y precios'!$A:$M,13,FALSE())*'Mi negocio'!$B$13+'Mi negocio'!$B$14,""),IFERROR(VLOOKUP($B241,'Fichas y precios'!$A:$M,13,FALSE()),"")))</f>
        <v/>
      </c>
      <c r="I241" s="14" t="str">
        <f aca="false">IFERROR($E241*$H241,"")</f>
        <v/>
      </c>
      <c r="J241" s="14" t="str">
        <f aca="false">IFERROR($G241-$I241,"")</f>
        <v/>
      </c>
      <c r="K241" s="23" t="str">
        <f aca="false">IFERROR($J241/$G241,"")</f>
        <v/>
      </c>
      <c r="L241" s="31"/>
    </row>
    <row r="242" customFormat="false" ht="15" hidden="false" customHeight="false" outlineLevel="0" collapsed="false">
      <c r="A242" s="30"/>
      <c r="B242" s="31"/>
      <c r="C242" s="9" t="str">
        <f aca="false">IF($B242="","",IFERROR(VLOOKUP($B242,'Fichas y precios'!$A:$B,2,FALSE()),""))</f>
        <v/>
      </c>
      <c r="D242" s="31"/>
      <c r="E242" s="31"/>
      <c r="F242" s="14" t="str">
        <f aca="false">IF(OR($B242="",$D242=""),"",IFERROR(INDEX('Fichas y precios'!$P:$S,MATCH($B242,'Fichas y precios'!$A:$A,0),MATCH($D242,'Fichas y precios'!$P$5:$S$5,0)),""))</f>
        <v/>
      </c>
      <c r="G242" s="14" t="str">
        <f aca="false">IFERROR($E242*$F242,"")</f>
        <v/>
      </c>
      <c r="H242" s="14" t="str">
        <f aca="false">IF($B242="","",IF($D242="Batch embotellado",IFERROR(VLOOKUP($B242,'Fichas y precios'!$A:$M,13,FALSE())*'Mi negocio'!$B$13+'Mi negocio'!$B$14,""),IFERROR(VLOOKUP($B242,'Fichas y precios'!$A:$M,13,FALSE()),"")))</f>
        <v/>
      </c>
      <c r="I242" s="14" t="str">
        <f aca="false">IFERROR($E242*$H242,"")</f>
        <v/>
      </c>
      <c r="J242" s="14" t="str">
        <f aca="false">IFERROR($G242-$I242,"")</f>
        <v/>
      </c>
      <c r="K242" s="23" t="str">
        <f aca="false">IFERROR($J242/$G242,"")</f>
        <v/>
      </c>
      <c r="L242" s="31"/>
    </row>
    <row r="243" customFormat="false" ht="15" hidden="false" customHeight="false" outlineLevel="0" collapsed="false">
      <c r="A243" s="30"/>
      <c r="B243" s="31"/>
      <c r="C243" s="9" t="str">
        <f aca="false">IF($B243="","",IFERROR(VLOOKUP($B243,'Fichas y precios'!$A:$B,2,FALSE()),""))</f>
        <v/>
      </c>
      <c r="D243" s="31"/>
      <c r="E243" s="31"/>
      <c r="F243" s="14" t="str">
        <f aca="false">IF(OR($B243="",$D243=""),"",IFERROR(INDEX('Fichas y precios'!$P:$S,MATCH($B243,'Fichas y precios'!$A:$A,0),MATCH($D243,'Fichas y precios'!$P$5:$S$5,0)),""))</f>
        <v/>
      </c>
      <c r="G243" s="14" t="str">
        <f aca="false">IFERROR($E243*$F243,"")</f>
        <v/>
      </c>
      <c r="H243" s="14" t="str">
        <f aca="false">IF($B243="","",IF($D243="Batch embotellado",IFERROR(VLOOKUP($B243,'Fichas y precios'!$A:$M,13,FALSE())*'Mi negocio'!$B$13+'Mi negocio'!$B$14,""),IFERROR(VLOOKUP($B243,'Fichas y precios'!$A:$M,13,FALSE()),"")))</f>
        <v/>
      </c>
      <c r="I243" s="14" t="str">
        <f aca="false">IFERROR($E243*$H243,"")</f>
        <v/>
      </c>
      <c r="J243" s="14" t="str">
        <f aca="false">IFERROR($G243-$I243,"")</f>
        <v/>
      </c>
      <c r="K243" s="23" t="str">
        <f aca="false">IFERROR($J243/$G243,"")</f>
        <v/>
      </c>
      <c r="L243" s="31"/>
    </row>
    <row r="244" customFormat="false" ht="15" hidden="false" customHeight="false" outlineLevel="0" collapsed="false">
      <c r="A244" s="30"/>
      <c r="B244" s="31"/>
      <c r="C244" s="9" t="str">
        <f aca="false">IF($B244="","",IFERROR(VLOOKUP($B244,'Fichas y precios'!$A:$B,2,FALSE()),""))</f>
        <v/>
      </c>
      <c r="D244" s="31"/>
      <c r="E244" s="31"/>
      <c r="F244" s="14" t="str">
        <f aca="false">IF(OR($B244="",$D244=""),"",IFERROR(INDEX('Fichas y precios'!$P:$S,MATCH($B244,'Fichas y precios'!$A:$A,0),MATCH($D244,'Fichas y precios'!$P$5:$S$5,0)),""))</f>
        <v/>
      </c>
      <c r="G244" s="14" t="str">
        <f aca="false">IFERROR($E244*$F244,"")</f>
        <v/>
      </c>
      <c r="H244" s="14" t="str">
        <f aca="false">IF($B244="","",IF($D244="Batch embotellado",IFERROR(VLOOKUP($B244,'Fichas y precios'!$A:$M,13,FALSE())*'Mi negocio'!$B$13+'Mi negocio'!$B$14,""),IFERROR(VLOOKUP($B244,'Fichas y precios'!$A:$M,13,FALSE()),"")))</f>
        <v/>
      </c>
      <c r="I244" s="14" t="str">
        <f aca="false">IFERROR($E244*$H244,"")</f>
        <v/>
      </c>
      <c r="J244" s="14" t="str">
        <f aca="false">IFERROR($G244-$I244,"")</f>
        <v/>
      </c>
      <c r="K244" s="23" t="str">
        <f aca="false">IFERROR($J244/$G244,"")</f>
        <v/>
      </c>
      <c r="L244" s="31"/>
    </row>
    <row r="245" customFormat="false" ht="15" hidden="false" customHeight="false" outlineLevel="0" collapsed="false">
      <c r="A245" s="30"/>
      <c r="B245" s="31"/>
      <c r="C245" s="9" t="str">
        <f aca="false">IF($B245="","",IFERROR(VLOOKUP($B245,'Fichas y precios'!$A:$B,2,FALSE()),""))</f>
        <v/>
      </c>
      <c r="D245" s="31"/>
      <c r="E245" s="31"/>
      <c r="F245" s="14" t="str">
        <f aca="false">IF(OR($B245="",$D245=""),"",IFERROR(INDEX('Fichas y precios'!$P:$S,MATCH($B245,'Fichas y precios'!$A:$A,0),MATCH($D245,'Fichas y precios'!$P$5:$S$5,0)),""))</f>
        <v/>
      </c>
      <c r="G245" s="14" t="str">
        <f aca="false">IFERROR($E245*$F245,"")</f>
        <v/>
      </c>
      <c r="H245" s="14" t="str">
        <f aca="false">IF($B245="","",IF($D245="Batch embotellado",IFERROR(VLOOKUP($B245,'Fichas y precios'!$A:$M,13,FALSE())*'Mi negocio'!$B$13+'Mi negocio'!$B$14,""),IFERROR(VLOOKUP($B245,'Fichas y precios'!$A:$M,13,FALSE()),"")))</f>
        <v/>
      </c>
      <c r="I245" s="14" t="str">
        <f aca="false">IFERROR($E245*$H245,"")</f>
        <v/>
      </c>
      <c r="J245" s="14" t="str">
        <f aca="false">IFERROR($G245-$I245,"")</f>
        <v/>
      </c>
      <c r="K245" s="23" t="str">
        <f aca="false">IFERROR($J245/$G245,"")</f>
        <v/>
      </c>
      <c r="L245" s="31"/>
    </row>
    <row r="246" customFormat="false" ht="15" hidden="false" customHeight="false" outlineLevel="0" collapsed="false">
      <c r="A246" s="30"/>
      <c r="B246" s="31"/>
      <c r="C246" s="9" t="str">
        <f aca="false">IF($B246="","",IFERROR(VLOOKUP($B246,'Fichas y precios'!$A:$B,2,FALSE()),""))</f>
        <v/>
      </c>
      <c r="D246" s="31"/>
      <c r="E246" s="31"/>
      <c r="F246" s="14" t="str">
        <f aca="false">IF(OR($B246="",$D246=""),"",IFERROR(INDEX('Fichas y precios'!$P:$S,MATCH($B246,'Fichas y precios'!$A:$A,0),MATCH($D246,'Fichas y precios'!$P$5:$S$5,0)),""))</f>
        <v/>
      </c>
      <c r="G246" s="14" t="str">
        <f aca="false">IFERROR($E246*$F246,"")</f>
        <v/>
      </c>
      <c r="H246" s="14" t="str">
        <f aca="false">IF($B246="","",IF($D246="Batch embotellado",IFERROR(VLOOKUP($B246,'Fichas y precios'!$A:$M,13,FALSE())*'Mi negocio'!$B$13+'Mi negocio'!$B$14,""),IFERROR(VLOOKUP($B246,'Fichas y precios'!$A:$M,13,FALSE()),"")))</f>
        <v/>
      </c>
      <c r="I246" s="14" t="str">
        <f aca="false">IFERROR($E246*$H246,"")</f>
        <v/>
      </c>
      <c r="J246" s="14" t="str">
        <f aca="false">IFERROR($G246-$I246,"")</f>
        <v/>
      </c>
      <c r="K246" s="23" t="str">
        <f aca="false">IFERROR($J246/$G246,"")</f>
        <v/>
      </c>
      <c r="L246" s="31"/>
    </row>
    <row r="247" customFormat="false" ht="15" hidden="false" customHeight="false" outlineLevel="0" collapsed="false">
      <c r="A247" s="30"/>
      <c r="B247" s="31"/>
      <c r="C247" s="9" t="str">
        <f aca="false">IF($B247="","",IFERROR(VLOOKUP($B247,'Fichas y precios'!$A:$B,2,FALSE()),""))</f>
        <v/>
      </c>
      <c r="D247" s="31"/>
      <c r="E247" s="31"/>
      <c r="F247" s="14" t="str">
        <f aca="false">IF(OR($B247="",$D247=""),"",IFERROR(INDEX('Fichas y precios'!$P:$S,MATCH($B247,'Fichas y precios'!$A:$A,0),MATCH($D247,'Fichas y precios'!$P$5:$S$5,0)),""))</f>
        <v/>
      </c>
      <c r="G247" s="14" t="str">
        <f aca="false">IFERROR($E247*$F247,"")</f>
        <v/>
      </c>
      <c r="H247" s="14" t="str">
        <f aca="false">IF($B247="","",IF($D247="Batch embotellado",IFERROR(VLOOKUP($B247,'Fichas y precios'!$A:$M,13,FALSE())*'Mi negocio'!$B$13+'Mi negocio'!$B$14,""),IFERROR(VLOOKUP($B247,'Fichas y precios'!$A:$M,13,FALSE()),"")))</f>
        <v/>
      </c>
      <c r="I247" s="14" t="str">
        <f aca="false">IFERROR($E247*$H247,"")</f>
        <v/>
      </c>
      <c r="J247" s="14" t="str">
        <f aca="false">IFERROR($G247-$I247,"")</f>
        <v/>
      </c>
      <c r="K247" s="23" t="str">
        <f aca="false">IFERROR($J247/$G247,"")</f>
        <v/>
      </c>
      <c r="L247" s="31"/>
    </row>
    <row r="248" customFormat="false" ht="15" hidden="false" customHeight="false" outlineLevel="0" collapsed="false">
      <c r="A248" s="30"/>
      <c r="B248" s="31"/>
      <c r="C248" s="9" t="str">
        <f aca="false">IF($B248="","",IFERROR(VLOOKUP($B248,'Fichas y precios'!$A:$B,2,FALSE()),""))</f>
        <v/>
      </c>
      <c r="D248" s="31"/>
      <c r="E248" s="31"/>
      <c r="F248" s="14" t="str">
        <f aca="false">IF(OR($B248="",$D248=""),"",IFERROR(INDEX('Fichas y precios'!$P:$S,MATCH($B248,'Fichas y precios'!$A:$A,0),MATCH($D248,'Fichas y precios'!$P$5:$S$5,0)),""))</f>
        <v/>
      </c>
      <c r="G248" s="14" t="str">
        <f aca="false">IFERROR($E248*$F248,"")</f>
        <v/>
      </c>
      <c r="H248" s="14" t="str">
        <f aca="false">IF($B248="","",IF($D248="Batch embotellado",IFERROR(VLOOKUP($B248,'Fichas y precios'!$A:$M,13,FALSE())*'Mi negocio'!$B$13+'Mi negocio'!$B$14,""),IFERROR(VLOOKUP($B248,'Fichas y precios'!$A:$M,13,FALSE()),"")))</f>
        <v/>
      </c>
      <c r="I248" s="14" t="str">
        <f aca="false">IFERROR($E248*$H248,"")</f>
        <v/>
      </c>
      <c r="J248" s="14" t="str">
        <f aca="false">IFERROR($G248-$I248,"")</f>
        <v/>
      </c>
      <c r="K248" s="23" t="str">
        <f aca="false">IFERROR($J248/$G248,"")</f>
        <v/>
      </c>
      <c r="L248" s="31"/>
    </row>
    <row r="249" customFormat="false" ht="15" hidden="false" customHeight="false" outlineLevel="0" collapsed="false">
      <c r="A249" s="30"/>
      <c r="B249" s="31"/>
      <c r="C249" s="9" t="str">
        <f aca="false">IF($B249="","",IFERROR(VLOOKUP($B249,'Fichas y precios'!$A:$B,2,FALSE()),""))</f>
        <v/>
      </c>
      <c r="D249" s="31"/>
      <c r="E249" s="31"/>
      <c r="F249" s="14" t="str">
        <f aca="false">IF(OR($B249="",$D249=""),"",IFERROR(INDEX('Fichas y precios'!$P:$S,MATCH($B249,'Fichas y precios'!$A:$A,0),MATCH($D249,'Fichas y precios'!$P$5:$S$5,0)),""))</f>
        <v/>
      </c>
      <c r="G249" s="14" t="str">
        <f aca="false">IFERROR($E249*$F249,"")</f>
        <v/>
      </c>
      <c r="H249" s="14" t="str">
        <f aca="false">IF($B249="","",IF($D249="Batch embotellado",IFERROR(VLOOKUP($B249,'Fichas y precios'!$A:$M,13,FALSE())*'Mi negocio'!$B$13+'Mi negocio'!$B$14,""),IFERROR(VLOOKUP($B249,'Fichas y precios'!$A:$M,13,FALSE()),"")))</f>
        <v/>
      </c>
      <c r="I249" s="14" t="str">
        <f aca="false">IFERROR($E249*$H249,"")</f>
        <v/>
      </c>
      <c r="J249" s="14" t="str">
        <f aca="false">IFERROR($G249-$I249,"")</f>
        <v/>
      </c>
      <c r="K249" s="23" t="str">
        <f aca="false">IFERROR($J249/$G249,"")</f>
        <v/>
      </c>
      <c r="L249" s="31"/>
    </row>
    <row r="250" customFormat="false" ht="15" hidden="false" customHeight="false" outlineLevel="0" collapsed="false">
      <c r="A250" s="30"/>
      <c r="B250" s="31"/>
      <c r="C250" s="9" t="str">
        <f aca="false">IF($B250="","",IFERROR(VLOOKUP($B250,'Fichas y precios'!$A:$B,2,FALSE()),""))</f>
        <v/>
      </c>
      <c r="D250" s="31"/>
      <c r="E250" s="31"/>
      <c r="F250" s="14" t="str">
        <f aca="false">IF(OR($B250="",$D250=""),"",IFERROR(INDEX('Fichas y precios'!$P:$S,MATCH($B250,'Fichas y precios'!$A:$A,0),MATCH($D250,'Fichas y precios'!$P$5:$S$5,0)),""))</f>
        <v/>
      </c>
      <c r="G250" s="14" t="str">
        <f aca="false">IFERROR($E250*$F250,"")</f>
        <v/>
      </c>
      <c r="H250" s="14" t="str">
        <f aca="false">IF($B250="","",IF($D250="Batch embotellado",IFERROR(VLOOKUP($B250,'Fichas y precios'!$A:$M,13,FALSE())*'Mi negocio'!$B$13+'Mi negocio'!$B$14,""),IFERROR(VLOOKUP($B250,'Fichas y precios'!$A:$M,13,FALSE()),"")))</f>
        <v/>
      </c>
      <c r="I250" s="14" t="str">
        <f aca="false">IFERROR($E250*$H250,"")</f>
        <v/>
      </c>
      <c r="J250" s="14" t="str">
        <f aca="false">IFERROR($G250-$I250,"")</f>
        <v/>
      </c>
      <c r="K250" s="23" t="str">
        <f aca="false">IFERROR($J250/$G250,"")</f>
        <v/>
      </c>
      <c r="L250" s="31"/>
    </row>
    <row r="251" customFormat="false" ht="15" hidden="false" customHeight="false" outlineLevel="0" collapsed="false">
      <c r="A251" s="30"/>
      <c r="B251" s="31"/>
      <c r="C251" s="9" t="str">
        <f aca="false">IF($B251="","",IFERROR(VLOOKUP($B251,'Fichas y precios'!$A:$B,2,FALSE()),""))</f>
        <v/>
      </c>
      <c r="D251" s="31"/>
      <c r="E251" s="31"/>
      <c r="F251" s="14" t="str">
        <f aca="false">IF(OR($B251="",$D251=""),"",IFERROR(INDEX('Fichas y precios'!$P:$S,MATCH($B251,'Fichas y precios'!$A:$A,0),MATCH($D251,'Fichas y precios'!$P$5:$S$5,0)),""))</f>
        <v/>
      </c>
      <c r="G251" s="14" t="str">
        <f aca="false">IFERROR($E251*$F251,"")</f>
        <v/>
      </c>
      <c r="H251" s="14" t="str">
        <f aca="false">IF($B251="","",IF($D251="Batch embotellado",IFERROR(VLOOKUP($B251,'Fichas y precios'!$A:$M,13,FALSE())*'Mi negocio'!$B$13+'Mi negocio'!$B$14,""),IFERROR(VLOOKUP($B251,'Fichas y precios'!$A:$M,13,FALSE()),"")))</f>
        <v/>
      </c>
      <c r="I251" s="14" t="str">
        <f aca="false">IFERROR($E251*$H251,"")</f>
        <v/>
      </c>
      <c r="J251" s="14" t="str">
        <f aca="false">IFERROR($G251-$I251,"")</f>
        <v/>
      </c>
      <c r="K251" s="23" t="str">
        <f aca="false">IFERROR($J251/$G251,"")</f>
        <v/>
      </c>
      <c r="L251" s="31"/>
    </row>
    <row r="252" customFormat="false" ht="15" hidden="false" customHeight="false" outlineLevel="0" collapsed="false">
      <c r="A252" s="30"/>
      <c r="B252" s="31"/>
      <c r="C252" s="9" t="str">
        <f aca="false">IF($B252="","",IFERROR(VLOOKUP($B252,'Fichas y precios'!$A:$B,2,FALSE()),""))</f>
        <v/>
      </c>
      <c r="D252" s="31"/>
      <c r="E252" s="31"/>
      <c r="F252" s="14" t="str">
        <f aca="false">IF(OR($B252="",$D252=""),"",IFERROR(INDEX('Fichas y precios'!$P:$S,MATCH($B252,'Fichas y precios'!$A:$A,0),MATCH($D252,'Fichas y precios'!$P$5:$S$5,0)),""))</f>
        <v/>
      </c>
      <c r="G252" s="14" t="str">
        <f aca="false">IFERROR($E252*$F252,"")</f>
        <v/>
      </c>
      <c r="H252" s="14" t="str">
        <f aca="false">IF($B252="","",IF($D252="Batch embotellado",IFERROR(VLOOKUP($B252,'Fichas y precios'!$A:$M,13,FALSE())*'Mi negocio'!$B$13+'Mi negocio'!$B$14,""),IFERROR(VLOOKUP($B252,'Fichas y precios'!$A:$M,13,FALSE()),"")))</f>
        <v/>
      </c>
      <c r="I252" s="14" t="str">
        <f aca="false">IFERROR($E252*$H252,"")</f>
        <v/>
      </c>
      <c r="J252" s="14" t="str">
        <f aca="false">IFERROR($G252-$I252,"")</f>
        <v/>
      </c>
      <c r="K252" s="23" t="str">
        <f aca="false">IFERROR($J252/$G252,"")</f>
        <v/>
      </c>
      <c r="L252" s="31"/>
    </row>
    <row r="253" customFormat="false" ht="15" hidden="false" customHeight="false" outlineLevel="0" collapsed="false">
      <c r="A253" s="30"/>
      <c r="B253" s="31"/>
      <c r="C253" s="9" t="str">
        <f aca="false">IF($B253="","",IFERROR(VLOOKUP($B253,'Fichas y precios'!$A:$B,2,FALSE()),""))</f>
        <v/>
      </c>
      <c r="D253" s="31"/>
      <c r="E253" s="31"/>
      <c r="F253" s="14" t="str">
        <f aca="false">IF(OR($B253="",$D253=""),"",IFERROR(INDEX('Fichas y precios'!$P:$S,MATCH($B253,'Fichas y precios'!$A:$A,0),MATCH($D253,'Fichas y precios'!$P$5:$S$5,0)),""))</f>
        <v/>
      </c>
      <c r="G253" s="14" t="str">
        <f aca="false">IFERROR($E253*$F253,"")</f>
        <v/>
      </c>
      <c r="H253" s="14" t="str">
        <f aca="false">IF($B253="","",IF($D253="Batch embotellado",IFERROR(VLOOKUP($B253,'Fichas y precios'!$A:$M,13,FALSE())*'Mi negocio'!$B$13+'Mi negocio'!$B$14,""),IFERROR(VLOOKUP($B253,'Fichas y precios'!$A:$M,13,FALSE()),"")))</f>
        <v/>
      </c>
      <c r="I253" s="14" t="str">
        <f aca="false">IFERROR($E253*$H253,"")</f>
        <v/>
      </c>
      <c r="J253" s="14" t="str">
        <f aca="false">IFERROR($G253-$I253,"")</f>
        <v/>
      </c>
      <c r="K253" s="23" t="str">
        <f aca="false">IFERROR($J253/$G253,"")</f>
        <v/>
      </c>
      <c r="L253" s="31"/>
    </row>
    <row r="254" customFormat="false" ht="15" hidden="false" customHeight="false" outlineLevel="0" collapsed="false">
      <c r="A254" s="30"/>
      <c r="B254" s="31"/>
      <c r="C254" s="9" t="str">
        <f aca="false">IF($B254="","",IFERROR(VLOOKUP($B254,'Fichas y precios'!$A:$B,2,FALSE()),""))</f>
        <v/>
      </c>
      <c r="D254" s="31"/>
      <c r="E254" s="31"/>
      <c r="F254" s="14" t="str">
        <f aca="false">IF(OR($B254="",$D254=""),"",IFERROR(INDEX('Fichas y precios'!$P:$S,MATCH($B254,'Fichas y precios'!$A:$A,0),MATCH($D254,'Fichas y precios'!$P$5:$S$5,0)),""))</f>
        <v/>
      </c>
      <c r="G254" s="14" t="str">
        <f aca="false">IFERROR($E254*$F254,"")</f>
        <v/>
      </c>
      <c r="H254" s="14" t="str">
        <f aca="false">IF($B254="","",IF($D254="Batch embotellado",IFERROR(VLOOKUP($B254,'Fichas y precios'!$A:$M,13,FALSE())*'Mi negocio'!$B$13+'Mi negocio'!$B$14,""),IFERROR(VLOOKUP($B254,'Fichas y precios'!$A:$M,13,FALSE()),"")))</f>
        <v/>
      </c>
      <c r="I254" s="14" t="str">
        <f aca="false">IFERROR($E254*$H254,"")</f>
        <v/>
      </c>
      <c r="J254" s="14" t="str">
        <f aca="false">IFERROR($G254-$I254,"")</f>
        <v/>
      </c>
      <c r="K254" s="23" t="str">
        <f aca="false">IFERROR($J254/$G254,"")</f>
        <v/>
      </c>
      <c r="L254" s="31"/>
    </row>
    <row r="255" customFormat="false" ht="15" hidden="false" customHeight="false" outlineLevel="0" collapsed="false">
      <c r="A255" s="30"/>
      <c r="B255" s="31"/>
      <c r="C255" s="9" t="str">
        <f aca="false">IF($B255="","",IFERROR(VLOOKUP($B255,'Fichas y precios'!$A:$B,2,FALSE()),""))</f>
        <v/>
      </c>
      <c r="D255" s="31"/>
      <c r="E255" s="31"/>
      <c r="F255" s="14" t="str">
        <f aca="false">IF(OR($B255="",$D255=""),"",IFERROR(INDEX('Fichas y precios'!$P:$S,MATCH($B255,'Fichas y precios'!$A:$A,0),MATCH($D255,'Fichas y precios'!$P$5:$S$5,0)),""))</f>
        <v/>
      </c>
      <c r="G255" s="14" t="str">
        <f aca="false">IFERROR($E255*$F255,"")</f>
        <v/>
      </c>
      <c r="H255" s="14" t="str">
        <f aca="false">IF($B255="","",IF($D255="Batch embotellado",IFERROR(VLOOKUP($B255,'Fichas y precios'!$A:$M,13,FALSE())*'Mi negocio'!$B$13+'Mi negocio'!$B$14,""),IFERROR(VLOOKUP($B255,'Fichas y precios'!$A:$M,13,FALSE()),"")))</f>
        <v/>
      </c>
      <c r="I255" s="14" t="str">
        <f aca="false">IFERROR($E255*$H255,"")</f>
        <v/>
      </c>
      <c r="J255" s="14" t="str">
        <f aca="false">IFERROR($G255-$I255,"")</f>
        <v/>
      </c>
      <c r="K255" s="23" t="str">
        <f aca="false">IFERROR($J255/$G255,"")</f>
        <v/>
      </c>
      <c r="L255" s="31"/>
    </row>
    <row r="256" customFormat="false" ht="15" hidden="false" customHeight="false" outlineLevel="0" collapsed="false">
      <c r="A256" s="30"/>
      <c r="B256" s="31"/>
      <c r="C256" s="9" t="str">
        <f aca="false">IF($B256="","",IFERROR(VLOOKUP($B256,'Fichas y precios'!$A:$B,2,FALSE()),""))</f>
        <v/>
      </c>
      <c r="D256" s="31"/>
      <c r="E256" s="31"/>
      <c r="F256" s="14" t="str">
        <f aca="false">IF(OR($B256="",$D256=""),"",IFERROR(INDEX('Fichas y precios'!$P:$S,MATCH($B256,'Fichas y precios'!$A:$A,0),MATCH($D256,'Fichas y precios'!$P$5:$S$5,0)),""))</f>
        <v/>
      </c>
      <c r="G256" s="14" t="str">
        <f aca="false">IFERROR($E256*$F256,"")</f>
        <v/>
      </c>
      <c r="H256" s="14" t="str">
        <f aca="false">IF($B256="","",IF($D256="Batch embotellado",IFERROR(VLOOKUP($B256,'Fichas y precios'!$A:$M,13,FALSE())*'Mi negocio'!$B$13+'Mi negocio'!$B$14,""),IFERROR(VLOOKUP($B256,'Fichas y precios'!$A:$M,13,FALSE()),"")))</f>
        <v/>
      </c>
      <c r="I256" s="14" t="str">
        <f aca="false">IFERROR($E256*$H256,"")</f>
        <v/>
      </c>
      <c r="J256" s="14" t="str">
        <f aca="false">IFERROR($G256-$I256,"")</f>
        <v/>
      </c>
      <c r="K256" s="23" t="str">
        <f aca="false">IFERROR($J256/$G256,"")</f>
        <v/>
      </c>
      <c r="L256" s="31"/>
    </row>
    <row r="257" customFormat="false" ht="15" hidden="false" customHeight="false" outlineLevel="0" collapsed="false">
      <c r="A257" s="30"/>
      <c r="B257" s="31"/>
      <c r="C257" s="9" t="str">
        <f aca="false">IF($B257="","",IFERROR(VLOOKUP($B257,'Fichas y precios'!$A:$B,2,FALSE()),""))</f>
        <v/>
      </c>
      <c r="D257" s="31"/>
      <c r="E257" s="31"/>
      <c r="F257" s="14" t="str">
        <f aca="false">IF(OR($B257="",$D257=""),"",IFERROR(INDEX('Fichas y precios'!$P:$S,MATCH($B257,'Fichas y precios'!$A:$A,0),MATCH($D257,'Fichas y precios'!$P$5:$S$5,0)),""))</f>
        <v/>
      </c>
      <c r="G257" s="14" t="str">
        <f aca="false">IFERROR($E257*$F257,"")</f>
        <v/>
      </c>
      <c r="H257" s="14" t="str">
        <f aca="false">IF($B257="","",IF($D257="Batch embotellado",IFERROR(VLOOKUP($B257,'Fichas y precios'!$A:$M,13,FALSE())*'Mi negocio'!$B$13+'Mi negocio'!$B$14,""),IFERROR(VLOOKUP($B257,'Fichas y precios'!$A:$M,13,FALSE()),"")))</f>
        <v/>
      </c>
      <c r="I257" s="14" t="str">
        <f aca="false">IFERROR($E257*$H257,"")</f>
        <v/>
      </c>
      <c r="J257" s="14" t="str">
        <f aca="false">IFERROR($G257-$I257,"")</f>
        <v/>
      </c>
      <c r="K257" s="23" t="str">
        <f aca="false">IFERROR($J257/$G257,"")</f>
        <v/>
      </c>
      <c r="L257" s="31"/>
    </row>
    <row r="258" customFormat="false" ht="15" hidden="false" customHeight="false" outlineLevel="0" collapsed="false">
      <c r="A258" s="30"/>
      <c r="B258" s="31"/>
      <c r="C258" s="9" t="str">
        <f aca="false">IF($B258="","",IFERROR(VLOOKUP($B258,'Fichas y precios'!$A:$B,2,FALSE()),""))</f>
        <v/>
      </c>
      <c r="D258" s="31"/>
      <c r="E258" s="31"/>
      <c r="F258" s="14" t="str">
        <f aca="false">IF(OR($B258="",$D258=""),"",IFERROR(INDEX('Fichas y precios'!$P:$S,MATCH($B258,'Fichas y precios'!$A:$A,0),MATCH($D258,'Fichas y precios'!$P$5:$S$5,0)),""))</f>
        <v/>
      </c>
      <c r="G258" s="14" t="str">
        <f aca="false">IFERROR($E258*$F258,"")</f>
        <v/>
      </c>
      <c r="H258" s="14" t="str">
        <f aca="false">IF($B258="","",IF($D258="Batch embotellado",IFERROR(VLOOKUP($B258,'Fichas y precios'!$A:$M,13,FALSE())*'Mi negocio'!$B$13+'Mi negocio'!$B$14,""),IFERROR(VLOOKUP($B258,'Fichas y precios'!$A:$M,13,FALSE()),"")))</f>
        <v/>
      </c>
      <c r="I258" s="14" t="str">
        <f aca="false">IFERROR($E258*$H258,"")</f>
        <v/>
      </c>
      <c r="J258" s="14" t="str">
        <f aca="false">IFERROR($G258-$I258,"")</f>
        <v/>
      </c>
      <c r="K258" s="23" t="str">
        <f aca="false">IFERROR($J258/$G258,"")</f>
        <v/>
      </c>
      <c r="L258" s="31"/>
    </row>
    <row r="259" customFormat="false" ht="15" hidden="false" customHeight="false" outlineLevel="0" collapsed="false">
      <c r="A259" s="30"/>
      <c r="B259" s="31"/>
      <c r="C259" s="9" t="str">
        <f aca="false">IF($B259="","",IFERROR(VLOOKUP($B259,'Fichas y precios'!$A:$B,2,FALSE()),""))</f>
        <v/>
      </c>
      <c r="D259" s="31"/>
      <c r="E259" s="31"/>
      <c r="F259" s="14" t="str">
        <f aca="false">IF(OR($B259="",$D259=""),"",IFERROR(INDEX('Fichas y precios'!$P:$S,MATCH($B259,'Fichas y precios'!$A:$A,0),MATCH($D259,'Fichas y precios'!$P$5:$S$5,0)),""))</f>
        <v/>
      </c>
      <c r="G259" s="14" t="str">
        <f aca="false">IFERROR($E259*$F259,"")</f>
        <v/>
      </c>
      <c r="H259" s="14" t="str">
        <f aca="false">IF($B259="","",IF($D259="Batch embotellado",IFERROR(VLOOKUP($B259,'Fichas y precios'!$A:$M,13,FALSE())*'Mi negocio'!$B$13+'Mi negocio'!$B$14,""),IFERROR(VLOOKUP($B259,'Fichas y precios'!$A:$M,13,FALSE()),"")))</f>
        <v/>
      </c>
      <c r="I259" s="14" t="str">
        <f aca="false">IFERROR($E259*$H259,"")</f>
        <v/>
      </c>
      <c r="J259" s="14" t="str">
        <f aca="false">IFERROR($G259-$I259,"")</f>
        <v/>
      </c>
      <c r="K259" s="23" t="str">
        <f aca="false">IFERROR($J259/$G259,"")</f>
        <v/>
      </c>
      <c r="L259" s="31"/>
    </row>
    <row r="260" customFormat="false" ht="15" hidden="false" customHeight="false" outlineLevel="0" collapsed="false">
      <c r="A260" s="30"/>
      <c r="B260" s="31"/>
      <c r="C260" s="9" t="str">
        <f aca="false">IF($B260="","",IFERROR(VLOOKUP($B260,'Fichas y precios'!$A:$B,2,FALSE()),""))</f>
        <v/>
      </c>
      <c r="D260" s="31"/>
      <c r="E260" s="31"/>
      <c r="F260" s="14" t="str">
        <f aca="false">IF(OR($B260="",$D260=""),"",IFERROR(INDEX('Fichas y precios'!$P:$S,MATCH($B260,'Fichas y precios'!$A:$A,0),MATCH($D260,'Fichas y precios'!$P$5:$S$5,0)),""))</f>
        <v/>
      </c>
      <c r="G260" s="14" t="str">
        <f aca="false">IFERROR($E260*$F260,"")</f>
        <v/>
      </c>
      <c r="H260" s="14" t="str">
        <f aca="false">IF($B260="","",IF($D260="Batch embotellado",IFERROR(VLOOKUP($B260,'Fichas y precios'!$A:$M,13,FALSE())*'Mi negocio'!$B$13+'Mi negocio'!$B$14,""),IFERROR(VLOOKUP($B260,'Fichas y precios'!$A:$M,13,FALSE()),"")))</f>
        <v/>
      </c>
      <c r="I260" s="14" t="str">
        <f aca="false">IFERROR($E260*$H260,"")</f>
        <v/>
      </c>
      <c r="J260" s="14" t="str">
        <f aca="false">IFERROR($G260-$I260,"")</f>
        <v/>
      </c>
      <c r="K260" s="23" t="str">
        <f aca="false">IFERROR($J260/$G260,"")</f>
        <v/>
      </c>
      <c r="L260" s="31"/>
    </row>
    <row r="261" customFormat="false" ht="15" hidden="false" customHeight="false" outlineLevel="0" collapsed="false">
      <c r="A261" s="30"/>
      <c r="B261" s="31"/>
      <c r="C261" s="9" t="str">
        <f aca="false">IF($B261="","",IFERROR(VLOOKUP($B261,'Fichas y precios'!$A:$B,2,FALSE()),""))</f>
        <v/>
      </c>
      <c r="D261" s="31"/>
      <c r="E261" s="31"/>
      <c r="F261" s="14" t="str">
        <f aca="false">IF(OR($B261="",$D261=""),"",IFERROR(INDEX('Fichas y precios'!$P:$S,MATCH($B261,'Fichas y precios'!$A:$A,0),MATCH($D261,'Fichas y precios'!$P$5:$S$5,0)),""))</f>
        <v/>
      </c>
      <c r="G261" s="14" t="str">
        <f aca="false">IFERROR($E261*$F261,"")</f>
        <v/>
      </c>
      <c r="H261" s="14" t="str">
        <f aca="false">IF($B261="","",IF($D261="Batch embotellado",IFERROR(VLOOKUP($B261,'Fichas y precios'!$A:$M,13,FALSE())*'Mi negocio'!$B$13+'Mi negocio'!$B$14,""),IFERROR(VLOOKUP($B261,'Fichas y precios'!$A:$M,13,FALSE()),"")))</f>
        <v/>
      </c>
      <c r="I261" s="14" t="str">
        <f aca="false">IFERROR($E261*$H261,"")</f>
        <v/>
      </c>
      <c r="J261" s="14" t="str">
        <f aca="false">IFERROR($G261-$I261,"")</f>
        <v/>
      </c>
      <c r="K261" s="23" t="str">
        <f aca="false">IFERROR($J261/$G261,"")</f>
        <v/>
      </c>
      <c r="L261" s="31"/>
    </row>
    <row r="262" customFormat="false" ht="15" hidden="false" customHeight="false" outlineLevel="0" collapsed="false">
      <c r="A262" s="30"/>
      <c r="B262" s="31"/>
      <c r="C262" s="9" t="str">
        <f aca="false">IF($B262="","",IFERROR(VLOOKUP($B262,'Fichas y precios'!$A:$B,2,FALSE()),""))</f>
        <v/>
      </c>
      <c r="D262" s="31"/>
      <c r="E262" s="31"/>
      <c r="F262" s="14" t="str">
        <f aca="false">IF(OR($B262="",$D262=""),"",IFERROR(INDEX('Fichas y precios'!$P:$S,MATCH($B262,'Fichas y precios'!$A:$A,0),MATCH($D262,'Fichas y precios'!$P$5:$S$5,0)),""))</f>
        <v/>
      </c>
      <c r="G262" s="14" t="str">
        <f aca="false">IFERROR($E262*$F262,"")</f>
        <v/>
      </c>
      <c r="H262" s="14" t="str">
        <f aca="false">IF($B262="","",IF($D262="Batch embotellado",IFERROR(VLOOKUP($B262,'Fichas y precios'!$A:$M,13,FALSE())*'Mi negocio'!$B$13+'Mi negocio'!$B$14,""),IFERROR(VLOOKUP($B262,'Fichas y precios'!$A:$M,13,FALSE()),"")))</f>
        <v/>
      </c>
      <c r="I262" s="14" t="str">
        <f aca="false">IFERROR($E262*$H262,"")</f>
        <v/>
      </c>
      <c r="J262" s="14" t="str">
        <f aca="false">IFERROR($G262-$I262,"")</f>
        <v/>
      </c>
      <c r="K262" s="23" t="str">
        <f aca="false">IFERROR($J262/$G262,"")</f>
        <v/>
      </c>
      <c r="L262" s="31"/>
    </row>
    <row r="263" customFormat="false" ht="15" hidden="false" customHeight="false" outlineLevel="0" collapsed="false">
      <c r="A263" s="30"/>
      <c r="B263" s="31"/>
      <c r="C263" s="9" t="str">
        <f aca="false">IF($B263="","",IFERROR(VLOOKUP($B263,'Fichas y precios'!$A:$B,2,FALSE()),""))</f>
        <v/>
      </c>
      <c r="D263" s="31"/>
      <c r="E263" s="31"/>
      <c r="F263" s="14" t="str">
        <f aca="false">IF(OR($B263="",$D263=""),"",IFERROR(INDEX('Fichas y precios'!$P:$S,MATCH($B263,'Fichas y precios'!$A:$A,0),MATCH($D263,'Fichas y precios'!$P$5:$S$5,0)),""))</f>
        <v/>
      </c>
      <c r="G263" s="14" t="str">
        <f aca="false">IFERROR($E263*$F263,"")</f>
        <v/>
      </c>
      <c r="H263" s="14" t="str">
        <f aca="false">IF($B263="","",IF($D263="Batch embotellado",IFERROR(VLOOKUP($B263,'Fichas y precios'!$A:$M,13,FALSE())*'Mi negocio'!$B$13+'Mi negocio'!$B$14,""),IFERROR(VLOOKUP($B263,'Fichas y precios'!$A:$M,13,FALSE()),"")))</f>
        <v/>
      </c>
      <c r="I263" s="14" t="str">
        <f aca="false">IFERROR($E263*$H263,"")</f>
        <v/>
      </c>
      <c r="J263" s="14" t="str">
        <f aca="false">IFERROR($G263-$I263,"")</f>
        <v/>
      </c>
      <c r="K263" s="23" t="str">
        <f aca="false">IFERROR($J263/$G263,"")</f>
        <v/>
      </c>
      <c r="L263" s="31"/>
    </row>
    <row r="264" customFormat="false" ht="15" hidden="false" customHeight="false" outlineLevel="0" collapsed="false">
      <c r="A264" s="30"/>
      <c r="B264" s="31"/>
      <c r="C264" s="9" t="str">
        <f aca="false">IF($B264="","",IFERROR(VLOOKUP($B264,'Fichas y precios'!$A:$B,2,FALSE()),""))</f>
        <v/>
      </c>
      <c r="D264" s="31"/>
      <c r="E264" s="31"/>
      <c r="F264" s="14" t="str">
        <f aca="false">IF(OR($B264="",$D264=""),"",IFERROR(INDEX('Fichas y precios'!$P:$S,MATCH($B264,'Fichas y precios'!$A:$A,0),MATCH($D264,'Fichas y precios'!$P$5:$S$5,0)),""))</f>
        <v/>
      </c>
      <c r="G264" s="14" t="str">
        <f aca="false">IFERROR($E264*$F264,"")</f>
        <v/>
      </c>
      <c r="H264" s="14" t="str">
        <f aca="false">IF($B264="","",IF($D264="Batch embotellado",IFERROR(VLOOKUP($B264,'Fichas y precios'!$A:$M,13,FALSE())*'Mi negocio'!$B$13+'Mi negocio'!$B$14,""),IFERROR(VLOOKUP($B264,'Fichas y precios'!$A:$M,13,FALSE()),"")))</f>
        <v/>
      </c>
      <c r="I264" s="14" t="str">
        <f aca="false">IFERROR($E264*$H264,"")</f>
        <v/>
      </c>
      <c r="J264" s="14" t="str">
        <f aca="false">IFERROR($G264-$I264,"")</f>
        <v/>
      </c>
      <c r="K264" s="23" t="str">
        <f aca="false">IFERROR($J264/$G264,"")</f>
        <v/>
      </c>
      <c r="L264" s="31"/>
    </row>
    <row r="265" customFormat="false" ht="15" hidden="false" customHeight="false" outlineLevel="0" collapsed="false">
      <c r="A265" s="30"/>
      <c r="B265" s="31"/>
      <c r="C265" s="9" t="str">
        <f aca="false">IF($B265="","",IFERROR(VLOOKUP($B265,'Fichas y precios'!$A:$B,2,FALSE()),""))</f>
        <v/>
      </c>
      <c r="D265" s="31"/>
      <c r="E265" s="31"/>
      <c r="F265" s="14" t="str">
        <f aca="false">IF(OR($B265="",$D265=""),"",IFERROR(INDEX('Fichas y precios'!$P:$S,MATCH($B265,'Fichas y precios'!$A:$A,0),MATCH($D265,'Fichas y precios'!$P$5:$S$5,0)),""))</f>
        <v/>
      </c>
      <c r="G265" s="14" t="str">
        <f aca="false">IFERROR($E265*$F265,"")</f>
        <v/>
      </c>
      <c r="H265" s="14" t="str">
        <f aca="false">IF($B265="","",IF($D265="Batch embotellado",IFERROR(VLOOKUP($B265,'Fichas y precios'!$A:$M,13,FALSE())*'Mi negocio'!$B$13+'Mi negocio'!$B$14,""),IFERROR(VLOOKUP($B265,'Fichas y precios'!$A:$M,13,FALSE()),"")))</f>
        <v/>
      </c>
      <c r="I265" s="14" t="str">
        <f aca="false">IFERROR($E265*$H265,"")</f>
        <v/>
      </c>
      <c r="J265" s="14" t="str">
        <f aca="false">IFERROR($G265-$I265,"")</f>
        <v/>
      </c>
      <c r="K265" s="23" t="str">
        <f aca="false">IFERROR($J265/$G265,"")</f>
        <v/>
      </c>
      <c r="L265" s="31"/>
    </row>
    <row r="266" customFormat="false" ht="15" hidden="false" customHeight="false" outlineLevel="0" collapsed="false">
      <c r="A266" s="30"/>
      <c r="B266" s="31"/>
      <c r="C266" s="9" t="str">
        <f aca="false">IF($B266="","",IFERROR(VLOOKUP($B266,'Fichas y precios'!$A:$B,2,FALSE()),""))</f>
        <v/>
      </c>
      <c r="D266" s="31"/>
      <c r="E266" s="31"/>
      <c r="F266" s="14" t="str">
        <f aca="false">IF(OR($B266="",$D266=""),"",IFERROR(INDEX('Fichas y precios'!$P:$S,MATCH($B266,'Fichas y precios'!$A:$A,0),MATCH($D266,'Fichas y precios'!$P$5:$S$5,0)),""))</f>
        <v/>
      </c>
      <c r="G266" s="14" t="str">
        <f aca="false">IFERROR($E266*$F266,"")</f>
        <v/>
      </c>
      <c r="H266" s="14" t="str">
        <f aca="false">IF($B266="","",IF($D266="Batch embotellado",IFERROR(VLOOKUP($B266,'Fichas y precios'!$A:$M,13,FALSE())*'Mi negocio'!$B$13+'Mi negocio'!$B$14,""),IFERROR(VLOOKUP($B266,'Fichas y precios'!$A:$M,13,FALSE()),"")))</f>
        <v/>
      </c>
      <c r="I266" s="14" t="str">
        <f aca="false">IFERROR($E266*$H266,"")</f>
        <v/>
      </c>
      <c r="J266" s="14" t="str">
        <f aca="false">IFERROR($G266-$I266,"")</f>
        <v/>
      </c>
      <c r="K266" s="23" t="str">
        <f aca="false">IFERROR($J266/$G266,"")</f>
        <v/>
      </c>
      <c r="L266" s="31"/>
    </row>
    <row r="267" customFormat="false" ht="15" hidden="false" customHeight="false" outlineLevel="0" collapsed="false">
      <c r="A267" s="30"/>
      <c r="B267" s="31"/>
      <c r="C267" s="9" t="str">
        <f aca="false">IF($B267="","",IFERROR(VLOOKUP($B267,'Fichas y precios'!$A:$B,2,FALSE()),""))</f>
        <v/>
      </c>
      <c r="D267" s="31"/>
      <c r="E267" s="31"/>
      <c r="F267" s="14" t="str">
        <f aca="false">IF(OR($B267="",$D267=""),"",IFERROR(INDEX('Fichas y precios'!$P:$S,MATCH($B267,'Fichas y precios'!$A:$A,0),MATCH($D267,'Fichas y precios'!$P$5:$S$5,0)),""))</f>
        <v/>
      </c>
      <c r="G267" s="14" t="str">
        <f aca="false">IFERROR($E267*$F267,"")</f>
        <v/>
      </c>
      <c r="H267" s="14" t="str">
        <f aca="false">IF($B267="","",IF($D267="Batch embotellado",IFERROR(VLOOKUP($B267,'Fichas y precios'!$A:$M,13,FALSE())*'Mi negocio'!$B$13+'Mi negocio'!$B$14,""),IFERROR(VLOOKUP($B267,'Fichas y precios'!$A:$M,13,FALSE()),"")))</f>
        <v/>
      </c>
      <c r="I267" s="14" t="str">
        <f aca="false">IFERROR($E267*$H267,"")</f>
        <v/>
      </c>
      <c r="J267" s="14" t="str">
        <f aca="false">IFERROR($G267-$I267,"")</f>
        <v/>
      </c>
      <c r="K267" s="23" t="str">
        <f aca="false">IFERROR($J267/$G267,"")</f>
        <v/>
      </c>
      <c r="L267" s="31"/>
    </row>
    <row r="268" customFormat="false" ht="15" hidden="false" customHeight="false" outlineLevel="0" collapsed="false">
      <c r="A268" s="30"/>
      <c r="B268" s="31"/>
      <c r="C268" s="9" t="str">
        <f aca="false">IF($B268="","",IFERROR(VLOOKUP($B268,'Fichas y precios'!$A:$B,2,FALSE()),""))</f>
        <v/>
      </c>
      <c r="D268" s="31"/>
      <c r="E268" s="31"/>
      <c r="F268" s="14" t="str">
        <f aca="false">IF(OR($B268="",$D268=""),"",IFERROR(INDEX('Fichas y precios'!$P:$S,MATCH($B268,'Fichas y precios'!$A:$A,0),MATCH($D268,'Fichas y precios'!$P$5:$S$5,0)),""))</f>
        <v/>
      </c>
      <c r="G268" s="14" t="str">
        <f aca="false">IFERROR($E268*$F268,"")</f>
        <v/>
      </c>
      <c r="H268" s="14" t="str">
        <f aca="false">IF($B268="","",IF($D268="Batch embotellado",IFERROR(VLOOKUP($B268,'Fichas y precios'!$A:$M,13,FALSE())*'Mi negocio'!$B$13+'Mi negocio'!$B$14,""),IFERROR(VLOOKUP($B268,'Fichas y precios'!$A:$M,13,FALSE()),"")))</f>
        <v/>
      </c>
      <c r="I268" s="14" t="str">
        <f aca="false">IFERROR($E268*$H268,"")</f>
        <v/>
      </c>
      <c r="J268" s="14" t="str">
        <f aca="false">IFERROR($G268-$I268,"")</f>
        <v/>
      </c>
      <c r="K268" s="23" t="str">
        <f aca="false">IFERROR($J268/$G268,"")</f>
        <v/>
      </c>
      <c r="L268" s="31"/>
    </row>
    <row r="269" customFormat="false" ht="15" hidden="false" customHeight="false" outlineLevel="0" collapsed="false">
      <c r="A269" s="30"/>
      <c r="B269" s="31"/>
      <c r="C269" s="9" t="str">
        <f aca="false">IF($B269="","",IFERROR(VLOOKUP($B269,'Fichas y precios'!$A:$B,2,FALSE()),""))</f>
        <v/>
      </c>
      <c r="D269" s="31"/>
      <c r="E269" s="31"/>
      <c r="F269" s="14" t="str">
        <f aca="false">IF(OR($B269="",$D269=""),"",IFERROR(INDEX('Fichas y precios'!$P:$S,MATCH($B269,'Fichas y precios'!$A:$A,0),MATCH($D269,'Fichas y precios'!$P$5:$S$5,0)),""))</f>
        <v/>
      </c>
      <c r="G269" s="14" t="str">
        <f aca="false">IFERROR($E269*$F269,"")</f>
        <v/>
      </c>
      <c r="H269" s="14" t="str">
        <f aca="false">IF($B269="","",IF($D269="Batch embotellado",IFERROR(VLOOKUP($B269,'Fichas y precios'!$A:$M,13,FALSE())*'Mi negocio'!$B$13+'Mi negocio'!$B$14,""),IFERROR(VLOOKUP($B269,'Fichas y precios'!$A:$M,13,FALSE()),"")))</f>
        <v/>
      </c>
      <c r="I269" s="14" t="str">
        <f aca="false">IFERROR($E269*$H269,"")</f>
        <v/>
      </c>
      <c r="J269" s="14" t="str">
        <f aca="false">IFERROR($G269-$I269,"")</f>
        <v/>
      </c>
      <c r="K269" s="23" t="str">
        <f aca="false">IFERROR($J269/$G269,"")</f>
        <v/>
      </c>
      <c r="L269" s="31"/>
    </row>
    <row r="270" customFormat="false" ht="15" hidden="false" customHeight="false" outlineLevel="0" collapsed="false">
      <c r="A270" s="30"/>
      <c r="B270" s="31"/>
      <c r="C270" s="9" t="str">
        <f aca="false">IF($B270="","",IFERROR(VLOOKUP($B270,'Fichas y precios'!$A:$B,2,FALSE()),""))</f>
        <v/>
      </c>
      <c r="D270" s="31"/>
      <c r="E270" s="31"/>
      <c r="F270" s="14" t="str">
        <f aca="false">IF(OR($B270="",$D270=""),"",IFERROR(INDEX('Fichas y precios'!$P:$S,MATCH($B270,'Fichas y precios'!$A:$A,0),MATCH($D270,'Fichas y precios'!$P$5:$S$5,0)),""))</f>
        <v/>
      </c>
      <c r="G270" s="14" t="str">
        <f aca="false">IFERROR($E270*$F270,"")</f>
        <v/>
      </c>
      <c r="H270" s="14" t="str">
        <f aca="false">IF($B270="","",IF($D270="Batch embotellado",IFERROR(VLOOKUP($B270,'Fichas y precios'!$A:$M,13,FALSE())*'Mi negocio'!$B$13+'Mi negocio'!$B$14,""),IFERROR(VLOOKUP($B270,'Fichas y precios'!$A:$M,13,FALSE()),"")))</f>
        <v/>
      </c>
      <c r="I270" s="14" t="str">
        <f aca="false">IFERROR($E270*$H270,"")</f>
        <v/>
      </c>
      <c r="J270" s="14" t="str">
        <f aca="false">IFERROR($G270-$I270,"")</f>
        <v/>
      </c>
      <c r="K270" s="23" t="str">
        <f aca="false">IFERROR($J270/$G270,"")</f>
        <v/>
      </c>
      <c r="L270" s="31"/>
    </row>
    <row r="271" customFormat="false" ht="15" hidden="false" customHeight="false" outlineLevel="0" collapsed="false">
      <c r="A271" s="30"/>
      <c r="B271" s="31"/>
      <c r="C271" s="9" t="str">
        <f aca="false">IF($B271="","",IFERROR(VLOOKUP($B271,'Fichas y precios'!$A:$B,2,FALSE()),""))</f>
        <v/>
      </c>
      <c r="D271" s="31"/>
      <c r="E271" s="31"/>
      <c r="F271" s="14" t="str">
        <f aca="false">IF(OR($B271="",$D271=""),"",IFERROR(INDEX('Fichas y precios'!$P:$S,MATCH($B271,'Fichas y precios'!$A:$A,0),MATCH($D271,'Fichas y precios'!$P$5:$S$5,0)),""))</f>
        <v/>
      </c>
      <c r="G271" s="14" t="str">
        <f aca="false">IFERROR($E271*$F271,"")</f>
        <v/>
      </c>
      <c r="H271" s="14" t="str">
        <f aca="false">IF($B271="","",IF($D271="Batch embotellado",IFERROR(VLOOKUP($B271,'Fichas y precios'!$A:$M,13,FALSE())*'Mi negocio'!$B$13+'Mi negocio'!$B$14,""),IFERROR(VLOOKUP($B271,'Fichas y precios'!$A:$M,13,FALSE()),"")))</f>
        <v/>
      </c>
      <c r="I271" s="14" t="str">
        <f aca="false">IFERROR($E271*$H271,"")</f>
        <v/>
      </c>
      <c r="J271" s="14" t="str">
        <f aca="false">IFERROR($G271-$I271,"")</f>
        <v/>
      </c>
      <c r="K271" s="23" t="str">
        <f aca="false">IFERROR($J271/$G271,"")</f>
        <v/>
      </c>
      <c r="L271" s="31"/>
    </row>
    <row r="272" customFormat="false" ht="15" hidden="false" customHeight="false" outlineLevel="0" collapsed="false">
      <c r="A272" s="30"/>
      <c r="B272" s="31"/>
      <c r="C272" s="9" t="str">
        <f aca="false">IF($B272="","",IFERROR(VLOOKUP($B272,'Fichas y precios'!$A:$B,2,FALSE()),""))</f>
        <v/>
      </c>
      <c r="D272" s="31"/>
      <c r="E272" s="31"/>
      <c r="F272" s="14" t="str">
        <f aca="false">IF(OR($B272="",$D272=""),"",IFERROR(INDEX('Fichas y precios'!$P:$S,MATCH($B272,'Fichas y precios'!$A:$A,0),MATCH($D272,'Fichas y precios'!$P$5:$S$5,0)),""))</f>
        <v/>
      </c>
      <c r="G272" s="14" t="str">
        <f aca="false">IFERROR($E272*$F272,"")</f>
        <v/>
      </c>
      <c r="H272" s="14" t="str">
        <f aca="false">IF($B272="","",IF($D272="Batch embotellado",IFERROR(VLOOKUP($B272,'Fichas y precios'!$A:$M,13,FALSE())*'Mi negocio'!$B$13+'Mi negocio'!$B$14,""),IFERROR(VLOOKUP($B272,'Fichas y precios'!$A:$M,13,FALSE()),"")))</f>
        <v/>
      </c>
      <c r="I272" s="14" t="str">
        <f aca="false">IFERROR($E272*$H272,"")</f>
        <v/>
      </c>
      <c r="J272" s="14" t="str">
        <f aca="false">IFERROR($G272-$I272,"")</f>
        <v/>
      </c>
      <c r="K272" s="23" t="str">
        <f aca="false">IFERROR($J272/$G272,"")</f>
        <v/>
      </c>
      <c r="L272" s="31"/>
    </row>
    <row r="273" customFormat="false" ht="15" hidden="false" customHeight="false" outlineLevel="0" collapsed="false">
      <c r="A273" s="30"/>
      <c r="B273" s="31"/>
      <c r="C273" s="9" t="str">
        <f aca="false">IF($B273="","",IFERROR(VLOOKUP($B273,'Fichas y precios'!$A:$B,2,FALSE()),""))</f>
        <v/>
      </c>
      <c r="D273" s="31"/>
      <c r="E273" s="31"/>
      <c r="F273" s="14" t="str">
        <f aca="false">IF(OR($B273="",$D273=""),"",IFERROR(INDEX('Fichas y precios'!$P:$S,MATCH($B273,'Fichas y precios'!$A:$A,0),MATCH($D273,'Fichas y precios'!$P$5:$S$5,0)),""))</f>
        <v/>
      </c>
      <c r="G273" s="14" t="str">
        <f aca="false">IFERROR($E273*$F273,"")</f>
        <v/>
      </c>
      <c r="H273" s="14" t="str">
        <f aca="false">IF($B273="","",IF($D273="Batch embotellado",IFERROR(VLOOKUP($B273,'Fichas y precios'!$A:$M,13,FALSE())*'Mi negocio'!$B$13+'Mi negocio'!$B$14,""),IFERROR(VLOOKUP($B273,'Fichas y precios'!$A:$M,13,FALSE()),"")))</f>
        <v/>
      </c>
      <c r="I273" s="14" t="str">
        <f aca="false">IFERROR($E273*$H273,"")</f>
        <v/>
      </c>
      <c r="J273" s="14" t="str">
        <f aca="false">IFERROR($G273-$I273,"")</f>
        <v/>
      </c>
      <c r="K273" s="23" t="str">
        <f aca="false">IFERROR($J273/$G273,"")</f>
        <v/>
      </c>
      <c r="L273" s="31"/>
    </row>
    <row r="274" customFormat="false" ht="15" hidden="false" customHeight="false" outlineLevel="0" collapsed="false">
      <c r="A274" s="30"/>
      <c r="B274" s="31"/>
      <c r="C274" s="9" t="str">
        <f aca="false">IF($B274="","",IFERROR(VLOOKUP($B274,'Fichas y precios'!$A:$B,2,FALSE()),""))</f>
        <v/>
      </c>
      <c r="D274" s="31"/>
      <c r="E274" s="31"/>
      <c r="F274" s="14" t="str">
        <f aca="false">IF(OR($B274="",$D274=""),"",IFERROR(INDEX('Fichas y precios'!$P:$S,MATCH($B274,'Fichas y precios'!$A:$A,0),MATCH($D274,'Fichas y precios'!$P$5:$S$5,0)),""))</f>
        <v/>
      </c>
      <c r="G274" s="14" t="str">
        <f aca="false">IFERROR($E274*$F274,"")</f>
        <v/>
      </c>
      <c r="H274" s="14" t="str">
        <f aca="false">IF($B274="","",IF($D274="Batch embotellado",IFERROR(VLOOKUP($B274,'Fichas y precios'!$A:$M,13,FALSE())*'Mi negocio'!$B$13+'Mi negocio'!$B$14,""),IFERROR(VLOOKUP($B274,'Fichas y precios'!$A:$M,13,FALSE()),"")))</f>
        <v/>
      </c>
      <c r="I274" s="14" t="str">
        <f aca="false">IFERROR($E274*$H274,"")</f>
        <v/>
      </c>
      <c r="J274" s="14" t="str">
        <f aca="false">IFERROR($G274-$I274,"")</f>
        <v/>
      </c>
      <c r="K274" s="23" t="str">
        <f aca="false">IFERROR($J274/$G274,"")</f>
        <v/>
      </c>
      <c r="L274" s="31"/>
    </row>
    <row r="275" customFormat="false" ht="15" hidden="false" customHeight="false" outlineLevel="0" collapsed="false">
      <c r="A275" s="30"/>
      <c r="B275" s="31"/>
      <c r="C275" s="9" t="str">
        <f aca="false">IF($B275="","",IFERROR(VLOOKUP($B275,'Fichas y precios'!$A:$B,2,FALSE()),""))</f>
        <v/>
      </c>
      <c r="D275" s="31"/>
      <c r="E275" s="31"/>
      <c r="F275" s="14" t="str">
        <f aca="false">IF(OR($B275="",$D275=""),"",IFERROR(INDEX('Fichas y precios'!$P:$S,MATCH($B275,'Fichas y precios'!$A:$A,0),MATCH($D275,'Fichas y precios'!$P$5:$S$5,0)),""))</f>
        <v/>
      </c>
      <c r="G275" s="14" t="str">
        <f aca="false">IFERROR($E275*$F275,"")</f>
        <v/>
      </c>
      <c r="H275" s="14" t="str">
        <f aca="false">IF($B275="","",IF($D275="Batch embotellado",IFERROR(VLOOKUP($B275,'Fichas y precios'!$A:$M,13,FALSE())*'Mi negocio'!$B$13+'Mi negocio'!$B$14,""),IFERROR(VLOOKUP($B275,'Fichas y precios'!$A:$M,13,FALSE()),"")))</f>
        <v/>
      </c>
      <c r="I275" s="14" t="str">
        <f aca="false">IFERROR($E275*$H275,"")</f>
        <v/>
      </c>
      <c r="J275" s="14" t="str">
        <f aca="false">IFERROR($G275-$I275,"")</f>
        <v/>
      </c>
      <c r="K275" s="23" t="str">
        <f aca="false">IFERROR($J275/$G275,"")</f>
        <v/>
      </c>
      <c r="L275" s="31"/>
    </row>
    <row r="276" customFormat="false" ht="15" hidden="false" customHeight="false" outlineLevel="0" collapsed="false">
      <c r="A276" s="30"/>
      <c r="B276" s="31"/>
      <c r="C276" s="9" t="str">
        <f aca="false">IF($B276="","",IFERROR(VLOOKUP($B276,'Fichas y precios'!$A:$B,2,FALSE()),""))</f>
        <v/>
      </c>
      <c r="D276" s="31"/>
      <c r="E276" s="31"/>
      <c r="F276" s="14" t="str">
        <f aca="false">IF(OR($B276="",$D276=""),"",IFERROR(INDEX('Fichas y precios'!$P:$S,MATCH($B276,'Fichas y precios'!$A:$A,0),MATCH($D276,'Fichas y precios'!$P$5:$S$5,0)),""))</f>
        <v/>
      </c>
      <c r="G276" s="14" t="str">
        <f aca="false">IFERROR($E276*$F276,"")</f>
        <v/>
      </c>
      <c r="H276" s="14" t="str">
        <f aca="false">IF($B276="","",IF($D276="Batch embotellado",IFERROR(VLOOKUP($B276,'Fichas y precios'!$A:$M,13,FALSE())*'Mi negocio'!$B$13+'Mi negocio'!$B$14,""),IFERROR(VLOOKUP($B276,'Fichas y precios'!$A:$M,13,FALSE()),"")))</f>
        <v/>
      </c>
      <c r="I276" s="14" t="str">
        <f aca="false">IFERROR($E276*$H276,"")</f>
        <v/>
      </c>
      <c r="J276" s="14" t="str">
        <f aca="false">IFERROR($G276-$I276,"")</f>
        <v/>
      </c>
      <c r="K276" s="23" t="str">
        <f aca="false">IFERROR($J276/$G276,"")</f>
        <v/>
      </c>
      <c r="L276" s="31"/>
    </row>
    <row r="277" customFormat="false" ht="15" hidden="false" customHeight="false" outlineLevel="0" collapsed="false">
      <c r="A277" s="30"/>
      <c r="B277" s="31"/>
      <c r="C277" s="9" t="str">
        <f aca="false">IF($B277="","",IFERROR(VLOOKUP($B277,'Fichas y precios'!$A:$B,2,FALSE()),""))</f>
        <v/>
      </c>
      <c r="D277" s="31"/>
      <c r="E277" s="31"/>
      <c r="F277" s="14" t="str">
        <f aca="false">IF(OR($B277="",$D277=""),"",IFERROR(INDEX('Fichas y precios'!$P:$S,MATCH($B277,'Fichas y precios'!$A:$A,0),MATCH($D277,'Fichas y precios'!$P$5:$S$5,0)),""))</f>
        <v/>
      </c>
      <c r="G277" s="14" t="str">
        <f aca="false">IFERROR($E277*$F277,"")</f>
        <v/>
      </c>
      <c r="H277" s="14" t="str">
        <f aca="false">IF($B277="","",IF($D277="Batch embotellado",IFERROR(VLOOKUP($B277,'Fichas y precios'!$A:$M,13,FALSE())*'Mi negocio'!$B$13+'Mi negocio'!$B$14,""),IFERROR(VLOOKUP($B277,'Fichas y precios'!$A:$M,13,FALSE()),"")))</f>
        <v/>
      </c>
      <c r="I277" s="14" t="str">
        <f aca="false">IFERROR($E277*$H277,"")</f>
        <v/>
      </c>
      <c r="J277" s="14" t="str">
        <f aca="false">IFERROR($G277-$I277,"")</f>
        <v/>
      </c>
      <c r="K277" s="23" t="str">
        <f aca="false">IFERROR($J277/$G277,"")</f>
        <v/>
      </c>
      <c r="L277" s="31"/>
    </row>
    <row r="278" customFormat="false" ht="15" hidden="false" customHeight="false" outlineLevel="0" collapsed="false">
      <c r="A278" s="30"/>
      <c r="B278" s="31"/>
      <c r="C278" s="9" t="str">
        <f aca="false">IF($B278="","",IFERROR(VLOOKUP($B278,'Fichas y precios'!$A:$B,2,FALSE()),""))</f>
        <v/>
      </c>
      <c r="D278" s="31"/>
      <c r="E278" s="31"/>
      <c r="F278" s="14" t="str">
        <f aca="false">IF(OR($B278="",$D278=""),"",IFERROR(INDEX('Fichas y precios'!$P:$S,MATCH($B278,'Fichas y precios'!$A:$A,0),MATCH($D278,'Fichas y precios'!$P$5:$S$5,0)),""))</f>
        <v/>
      </c>
      <c r="G278" s="14" t="str">
        <f aca="false">IFERROR($E278*$F278,"")</f>
        <v/>
      </c>
      <c r="H278" s="14" t="str">
        <f aca="false">IF($B278="","",IF($D278="Batch embotellado",IFERROR(VLOOKUP($B278,'Fichas y precios'!$A:$M,13,FALSE())*'Mi negocio'!$B$13+'Mi negocio'!$B$14,""),IFERROR(VLOOKUP($B278,'Fichas y precios'!$A:$M,13,FALSE()),"")))</f>
        <v/>
      </c>
      <c r="I278" s="14" t="str">
        <f aca="false">IFERROR($E278*$H278,"")</f>
        <v/>
      </c>
      <c r="J278" s="14" t="str">
        <f aca="false">IFERROR($G278-$I278,"")</f>
        <v/>
      </c>
      <c r="K278" s="23" t="str">
        <f aca="false">IFERROR($J278/$G278,"")</f>
        <v/>
      </c>
      <c r="L278" s="31"/>
    </row>
    <row r="279" customFormat="false" ht="15" hidden="false" customHeight="false" outlineLevel="0" collapsed="false">
      <c r="A279" s="30"/>
      <c r="B279" s="31"/>
      <c r="C279" s="9" t="str">
        <f aca="false">IF($B279="","",IFERROR(VLOOKUP($B279,'Fichas y precios'!$A:$B,2,FALSE()),""))</f>
        <v/>
      </c>
      <c r="D279" s="31"/>
      <c r="E279" s="31"/>
      <c r="F279" s="14" t="str">
        <f aca="false">IF(OR($B279="",$D279=""),"",IFERROR(INDEX('Fichas y precios'!$P:$S,MATCH($B279,'Fichas y precios'!$A:$A,0),MATCH($D279,'Fichas y precios'!$P$5:$S$5,0)),""))</f>
        <v/>
      </c>
      <c r="G279" s="14" t="str">
        <f aca="false">IFERROR($E279*$F279,"")</f>
        <v/>
      </c>
      <c r="H279" s="14" t="str">
        <f aca="false">IF($B279="","",IF($D279="Batch embotellado",IFERROR(VLOOKUP($B279,'Fichas y precios'!$A:$M,13,FALSE())*'Mi negocio'!$B$13+'Mi negocio'!$B$14,""),IFERROR(VLOOKUP($B279,'Fichas y precios'!$A:$M,13,FALSE()),"")))</f>
        <v/>
      </c>
      <c r="I279" s="14" t="str">
        <f aca="false">IFERROR($E279*$H279,"")</f>
        <v/>
      </c>
      <c r="J279" s="14" t="str">
        <f aca="false">IFERROR($G279-$I279,"")</f>
        <v/>
      </c>
      <c r="K279" s="23" t="str">
        <f aca="false">IFERROR($J279/$G279,"")</f>
        <v/>
      </c>
      <c r="L279" s="31"/>
    </row>
    <row r="280" customFormat="false" ht="15" hidden="false" customHeight="false" outlineLevel="0" collapsed="false">
      <c r="A280" s="30"/>
      <c r="B280" s="31"/>
      <c r="C280" s="9" t="str">
        <f aca="false">IF($B280="","",IFERROR(VLOOKUP($B280,'Fichas y precios'!$A:$B,2,FALSE()),""))</f>
        <v/>
      </c>
      <c r="D280" s="31"/>
      <c r="E280" s="31"/>
      <c r="F280" s="14" t="str">
        <f aca="false">IF(OR($B280="",$D280=""),"",IFERROR(INDEX('Fichas y precios'!$P:$S,MATCH($B280,'Fichas y precios'!$A:$A,0),MATCH($D280,'Fichas y precios'!$P$5:$S$5,0)),""))</f>
        <v/>
      </c>
      <c r="G280" s="14" t="str">
        <f aca="false">IFERROR($E280*$F280,"")</f>
        <v/>
      </c>
      <c r="H280" s="14" t="str">
        <f aca="false">IF($B280="","",IF($D280="Batch embotellado",IFERROR(VLOOKUP($B280,'Fichas y precios'!$A:$M,13,FALSE())*'Mi negocio'!$B$13+'Mi negocio'!$B$14,""),IFERROR(VLOOKUP($B280,'Fichas y precios'!$A:$M,13,FALSE()),"")))</f>
        <v/>
      </c>
      <c r="I280" s="14" t="str">
        <f aca="false">IFERROR($E280*$H280,"")</f>
        <v/>
      </c>
      <c r="J280" s="14" t="str">
        <f aca="false">IFERROR($G280-$I280,"")</f>
        <v/>
      </c>
      <c r="K280" s="23" t="str">
        <f aca="false">IFERROR($J280/$G280,"")</f>
        <v/>
      </c>
      <c r="L280" s="31"/>
    </row>
    <row r="281" customFormat="false" ht="15" hidden="false" customHeight="false" outlineLevel="0" collapsed="false">
      <c r="A281" s="30"/>
      <c r="B281" s="31"/>
      <c r="C281" s="9" t="str">
        <f aca="false">IF($B281="","",IFERROR(VLOOKUP($B281,'Fichas y precios'!$A:$B,2,FALSE()),""))</f>
        <v/>
      </c>
      <c r="D281" s="31"/>
      <c r="E281" s="31"/>
      <c r="F281" s="14" t="str">
        <f aca="false">IF(OR($B281="",$D281=""),"",IFERROR(INDEX('Fichas y precios'!$P:$S,MATCH($B281,'Fichas y precios'!$A:$A,0),MATCH($D281,'Fichas y precios'!$P$5:$S$5,0)),""))</f>
        <v/>
      </c>
      <c r="G281" s="14" t="str">
        <f aca="false">IFERROR($E281*$F281,"")</f>
        <v/>
      </c>
      <c r="H281" s="14" t="str">
        <f aca="false">IF($B281="","",IF($D281="Batch embotellado",IFERROR(VLOOKUP($B281,'Fichas y precios'!$A:$M,13,FALSE())*'Mi negocio'!$B$13+'Mi negocio'!$B$14,""),IFERROR(VLOOKUP($B281,'Fichas y precios'!$A:$M,13,FALSE()),"")))</f>
        <v/>
      </c>
      <c r="I281" s="14" t="str">
        <f aca="false">IFERROR($E281*$H281,"")</f>
        <v/>
      </c>
      <c r="J281" s="14" t="str">
        <f aca="false">IFERROR($G281-$I281,"")</f>
        <v/>
      </c>
      <c r="K281" s="23" t="str">
        <f aca="false">IFERROR($J281/$G281,"")</f>
        <v/>
      </c>
      <c r="L281" s="31"/>
    </row>
    <row r="282" customFormat="false" ht="15" hidden="false" customHeight="false" outlineLevel="0" collapsed="false">
      <c r="A282" s="30"/>
      <c r="B282" s="31"/>
      <c r="C282" s="9" t="str">
        <f aca="false">IF($B282="","",IFERROR(VLOOKUP($B282,'Fichas y precios'!$A:$B,2,FALSE()),""))</f>
        <v/>
      </c>
      <c r="D282" s="31"/>
      <c r="E282" s="31"/>
      <c r="F282" s="14" t="str">
        <f aca="false">IF(OR($B282="",$D282=""),"",IFERROR(INDEX('Fichas y precios'!$P:$S,MATCH($B282,'Fichas y precios'!$A:$A,0),MATCH($D282,'Fichas y precios'!$P$5:$S$5,0)),""))</f>
        <v/>
      </c>
      <c r="G282" s="14" t="str">
        <f aca="false">IFERROR($E282*$F282,"")</f>
        <v/>
      </c>
      <c r="H282" s="14" t="str">
        <f aca="false">IF($B282="","",IF($D282="Batch embotellado",IFERROR(VLOOKUP($B282,'Fichas y precios'!$A:$M,13,FALSE())*'Mi negocio'!$B$13+'Mi negocio'!$B$14,""),IFERROR(VLOOKUP($B282,'Fichas y precios'!$A:$M,13,FALSE()),"")))</f>
        <v/>
      </c>
      <c r="I282" s="14" t="str">
        <f aca="false">IFERROR($E282*$H282,"")</f>
        <v/>
      </c>
      <c r="J282" s="14" t="str">
        <f aca="false">IFERROR($G282-$I282,"")</f>
        <v/>
      </c>
      <c r="K282" s="23" t="str">
        <f aca="false">IFERROR($J282/$G282,"")</f>
        <v/>
      </c>
      <c r="L282" s="31"/>
    </row>
    <row r="283" customFormat="false" ht="15" hidden="false" customHeight="false" outlineLevel="0" collapsed="false">
      <c r="A283" s="30"/>
      <c r="B283" s="31"/>
      <c r="C283" s="9" t="str">
        <f aca="false">IF($B283="","",IFERROR(VLOOKUP($B283,'Fichas y precios'!$A:$B,2,FALSE()),""))</f>
        <v/>
      </c>
      <c r="D283" s="31"/>
      <c r="E283" s="31"/>
      <c r="F283" s="14" t="str">
        <f aca="false">IF(OR($B283="",$D283=""),"",IFERROR(INDEX('Fichas y precios'!$P:$S,MATCH($B283,'Fichas y precios'!$A:$A,0),MATCH($D283,'Fichas y precios'!$P$5:$S$5,0)),""))</f>
        <v/>
      </c>
      <c r="G283" s="14" t="str">
        <f aca="false">IFERROR($E283*$F283,"")</f>
        <v/>
      </c>
      <c r="H283" s="14" t="str">
        <f aca="false">IF($B283="","",IF($D283="Batch embotellado",IFERROR(VLOOKUP($B283,'Fichas y precios'!$A:$M,13,FALSE())*'Mi negocio'!$B$13+'Mi negocio'!$B$14,""),IFERROR(VLOOKUP($B283,'Fichas y precios'!$A:$M,13,FALSE()),"")))</f>
        <v/>
      </c>
      <c r="I283" s="14" t="str">
        <f aca="false">IFERROR($E283*$H283,"")</f>
        <v/>
      </c>
      <c r="J283" s="14" t="str">
        <f aca="false">IFERROR($G283-$I283,"")</f>
        <v/>
      </c>
      <c r="K283" s="23" t="str">
        <f aca="false">IFERROR($J283/$G283,"")</f>
        <v/>
      </c>
      <c r="L283" s="31"/>
    </row>
    <row r="284" customFormat="false" ht="15" hidden="false" customHeight="false" outlineLevel="0" collapsed="false">
      <c r="A284" s="30"/>
      <c r="B284" s="31"/>
      <c r="C284" s="9" t="str">
        <f aca="false">IF($B284="","",IFERROR(VLOOKUP($B284,'Fichas y precios'!$A:$B,2,FALSE()),""))</f>
        <v/>
      </c>
      <c r="D284" s="31"/>
      <c r="E284" s="31"/>
      <c r="F284" s="14" t="str">
        <f aca="false">IF(OR($B284="",$D284=""),"",IFERROR(INDEX('Fichas y precios'!$P:$S,MATCH($B284,'Fichas y precios'!$A:$A,0),MATCH($D284,'Fichas y precios'!$P$5:$S$5,0)),""))</f>
        <v/>
      </c>
      <c r="G284" s="14" t="str">
        <f aca="false">IFERROR($E284*$F284,"")</f>
        <v/>
      </c>
      <c r="H284" s="14" t="str">
        <f aca="false">IF($B284="","",IF($D284="Batch embotellado",IFERROR(VLOOKUP($B284,'Fichas y precios'!$A:$M,13,FALSE())*'Mi negocio'!$B$13+'Mi negocio'!$B$14,""),IFERROR(VLOOKUP($B284,'Fichas y precios'!$A:$M,13,FALSE()),"")))</f>
        <v/>
      </c>
      <c r="I284" s="14" t="str">
        <f aca="false">IFERROR($E284*$H284,"")</f>
        <v/>
      </c>
      <c r="J284" s="14" t="str">
        <f aca="false">IFERROR($G284-$I284,"")</f>
        <v/>
      </c>
      <c r="K284" s="23" t="str">
        <f aca="false">IFERROR($J284/$G284,"")</f>
        <v/>
      </c>
      <c r="L284" s="31"/>
    </row>
    <row r="285" customFormat="false" ht="15" hidden="false" customHeight="false" outlineLevel="0" collapsed="false">
      <c r="A285" s="30"/>
      <c r="B285" s="31"/>
      <c r="C285" s="9" t="str">
        <f aca="false">IF($B285="","",IFERROR(VLOOKUP($B285,'Fichas y precios'!$A:$B,2,FALSE()),""))</f>
        <v/>
      </c>
      <c r="D285" s="31"/>
      <c r="E285" s="31"/>
      <c r="F285" s="14" t="str">
        <f aca="false">IF(OR($B285="",$D285=""),"",IFERROR(INDEX('Fichas y precios'!$P:$S,MATCH($B285,'Fichas y precios'!$A:$A,0),MATCH($D285,'Fichas y precios'!$P$5:$S$5,0)),""))</f>
        <v/>
      </c>
      <c r="G285" s="14" t="str">
        <f aca="false">IFERROR($E285*$F285,"")</f>
        <v/>
      </c>
      <c r="H285" s="14" t="str">
        <f aca="false">IF($B285="","",IF($D285="Batch embotellado",IFERROR(VLOOKUP($B285,'Fichas y precios'!$A:$M,13,FALSE())*'Mi negocio'!$B$13+'Mi negocio'!$B$14,""),IFERROR(VLOOKUP($B285,'Fichas y precios'!$A:$M,13,FALSE()),"")))</f>
        <v/>
      </c>
      <c r="I285" s="14" t="str">
        <f aca="false">IFERROR($E285*$H285,"")</f>
        <v/>
      </c>
      <c r="J285" s="14" t="str">
        <f aca="false">IFERROR($G285-$I285,"")</f>
        <v/>
      </c>
      <c r="K285" s="23" t="str">
        <f aca="false">IFERROR($J285/$G285,"")</f>
        <v/>
      </c>
      <c r="L285" s="31"/>
    </row>
    <row r="286" customFormat="false" ht="15" hidden="false" customHeight="false" outlineLevel="0" collapsed="false">
      <c r="A286" s="30"/>
      <c r="B286" s="31"/>
      <c r="C286" s="9" t="str">
        <f aca="false">IF($B286="","",IFERROR(VLOOKUP($B286,'Fichas y precios'!$A:$B,2,FALSE()),""))</f>
        <v/>
      </c>
      <c r="D286" s="31"/>
      <c r="E286" s="31"/>
      <c r="F286" s="14" t="str">
        <f aca="false">IF(OR($B286="",$D286=""),"",IFERROR(INDEX('Fichas y precios'!$P:$S,MATCH($B286,'Fichas y precios'!$A:$A,0),MATCH($D286,'Fichas y precios'!$P$5:$S$5,0)),""))</f>
        <v/>
      </c>
      <c r="G286" s="14" t="str">
        <f aca="false">IFERROR($E286*$F286,"")</f>
        <v/>
      </c>
      <c r="H286" s="14" t="str">
        <f aca="false">IF($B286="","",IF($D286="Batch embotellado",IFERROR(VLOOKUP($B286,'Fichas y precios'!$A:$M,13,FALSE())*'Mi negocio'!$B$13+'Mi negocio'!$B$14,""),IFERROR(VLOOKUP($B286,'Fichas y precios'!$A:$M,13,FALSE()),"")))</f>
        <v/>
      </c>
      <c r="I286" s="14" t="str">
        <f aca="false">IFERROR($E286*$H286,"")</f>
        <v/>
      </c>
      <c r="J286" s="14" t="str">
        <f aca="false">IFERROR($G286-$I286,"")</f>
        <v/>
      </c>
      <c r="K286" s="23" t="str">
        <f aca="false">IFERROR($J286/$G286,"")</f>
        <v/>
      </c>
      <c r="L286" s="31"/>
    </row>
    <row r="287" customFormat="false" ht="15" hidden="false" customHeight="false" outlineLevel="0" collapsed="false">
      <c r="A287" s="30"/>
      <c r="B287" s="31"/>
      <c r="C287" s="9" t="str">
        <f aca="false">IF($B287="","",IFERROR(VLOOKUP($B287,'Fichas y precios'!$A:$B,2,FALSE()),""))</f>
        <v/>
      </c>
      <c r="D287" s="31"/>
      <c r="E287" s="31"/>
      <c r="F287" s="14" t="str">
        <f aca="false">IF(OR($B287="",$D287=""),"",IFERROR(INDEX('Fichas y precios'!$P:$S,MATCH($B287,'Fichas y precios'!$A:$A,0),MATCH($D287,'Fichas y precios'!$P$5:$S$5,0)),""))</f>
        <v/>
      </c>
      <c r="G287" s="14" t="str">
        <f aca="false">IFERROR($E287*$F287,"")</f>
        <v/>
      </c>
      <c r="H287" s="14" t="str">
        <f aca="false">IF($B287="","",IF($D287="Batch embotellado",IFERROR(VLOOKUP($B287,'Fichas y precios'!$A:$M,13,FALSE())*'Mi negocio'!$B$13+'Mi negocio'!$B$14,""),IFERROR(VLOOKUP($B287,'Fichas y precios'!$A:$M,13,FALSE()),"")))</f>
        <v/>
      </c>
      <c r="I287" s="14" t="str">
        <f aca="false">IFERROR($E287*$H287,"")</f>
        <v/>
      </c>
      <c r="J287" s="14" t="str">
        <f aca="false">IFERROR($G287-$I287,"")</f>
        <v/>
      </c>
      <c r="K287" s="23" t="str">
        <f aca="false">IFERROR($J287/$G287,"")</f>
        <v/>
      </c>
      <c r="L287" s="31"/>
    </row>
    <row r="288" customFormat="false" ht="15" hidden="false" customHeight="false" outlineLevel="0" collapsed="false">
      <c r="A288" s="30"/>
      <c r="B288" s="31"/>
      <c r="C288" s="9" t="str">
        <f aca="false">IF($B288="","",IFERROR(VLOOKUP($B288,'Fichas y precios'!$A:$B,2,FALSE()),""))</f>
        <v/>
      </c>
      <c r="D288" s="31"/>
      <c r="E288" s="31"/>
      <c r="F288" s="14" t="str">
        <f aca="false">IF(OR($B288="",$D288=""),"",IFERROR(INDEX('Fichas y precios'!$P:$S,MATCH($B288,'Fichas y precios'!$A:$A,0),MATCH($D288,'Fichas y precios'!$P$5:$S$5,0)),""))</f>
        <v/>
      </c>
      <c r="G288" s="14" t="str">
        <f aca="false">IFERROR($E288*$F288,"")</f>
        <v/>
      </c>
      <c r="H288" s="14" t="str">
        <f aca="false">IF($B288="","",IF($D288="Batch embotellado",IFERROR(VLOOKUP($B288,'Fichas y precios'!$A:$M,13,FALSE())*'Mi negocio'!$B$13+'Mi negocio'!$B$14,""),IFERROR(VLOOKUP($B288,'Fichas y precios'!$A:$M,13,FALSE()),"")))</f>
        <v/>
      </c>
      <c r="I288" s="14" t="str">
        <f aca="false">IFERROR($E288*$H288,"")</f>
        <v/>
      </c>
      <c r="J288" s="14" t="str">
        <f aca="false">IFERROR($G288-$I288,"")</f>
        <v/>
      </c>
      <c r="K288" s="23" t="str">
        <f aca="false">IFERROR($J288/$G288,"")</f>
        <v/>
      </c>
      <c r="L288" s="31"/>
    </row>
    <row r="289" customFormat="false" ht="15" hidden="false" customHeight="false" outlineLevel="0" collapsed="false">
      <c r="A289" s="30"/>
      <c r="B289" s="31"/>
      <c r="C289" s="9" t="str">
        <f aca="false">IF($B289="","",IFERROR(VLOOKUP($B289,'Fichas y precios'!$A:$B,2,FALSE()),""))</f>
        <v/>
      </c>
      <c r="D289" s="31"/>
      <c r="E289" s="31"/>
      <c r="F289" s="14" t="str">
        <f aca="false">IF(OR($B289="",$D289=""),"",IFERROR(INDEX('Fichas y precios'!$P:$S,MATCH($B289,'Fichas y precios'!$A:$A,0),MATCH($D289,'Fichas y precios'!$P$5:$S$5,0)),""))</f>
        <v/>
      </c>
      <c r="G289" s="14" t="str">
        <f aca="false">IFERROR($E289*$F289,"")</f>
        <v/>
      </c>
      <c r="H289" s="14" t="str">
        <f aca="false">IF($B289="","",IF($D289="Batch embotellado",IFERROR(VLOOKUP($B289,'Fichas y precios'!$A:$M,13,FALSE())*'Mi negocio'!$B$13+'Mi negocio'!$B$14,""),IFERROR(VLOOKUP($B289,'Fichas y precios'!$A:$M,13,FALSE()),"")))</f>
        <v/>
      </c>
      <c r="I289" s="14" t="str">
        <f aca="false">IFERROR($E289*$H289,"")</f>
        <v/>
      </c>
      <c r="J289" s="14" t="str">
        <f aca="false">IFERROR($G289-$I289,"")</f>
        <v/>
      </c>
      <c r="K289" s="23" t="str">
        <f aca="false">IFERROR($J289/$G289,"")</f>
        <v/>
      </c>
      <c r="L289" s="31"/>
    </row>
    <row r="290" customFormat="false" ht="15" hidden="false" customHeight="false" outlineLevel="0" collapsed="false">
      <c r="A290" s="30"/>
      <c r="B290" s="31"/>
      <c r="C290" s="9" t="str">
        <f aca="false">IF($B290="","",IFERROR(VLOOKUP($B290,'Fichas y precios'!$A:$B,2,FALSE()),""))</f>
        <v/>
      </c>
      <c r="D290" s="31"/>
      <c r="E290" s="31"/>
      <c r="F290" s="14" t="str">
        <f aca="false">IF(OR($B290="",$D290=""),"",IFERROR(INDEX('Fichas y precios'!$P:$S,MATCH($B290,'Fichas y precios'!$A:$A,0),MATCH($D290,'Fichas y precios'!$P$5:$S$5,0)),""))</f>
        <v/>
      </c>
      <c r="G290" s="14" t="str">
        <f aca="false">IFERROR($E290*$F290,"")</f>
        <v/>
      </c>
      <c r="H290" s="14" t="str">
        <f aca="false">IF($B290="","",IF($D290="Batch embotellado",IFERROR(VLOOKUP($B290,'Fichas y precios'!$A:$M,13,FALSE())*'Mi negocio'!$B$13+'Mi negocio'!$B$14,""),IFERROR(VLOOKUP($B290,'Fichas y precios'!$A:$M,13,FALSE()),"")))</f>
        <v/>
      </c>
      <c r="I290" s="14" t="str">
        <f aca="false">IFERROR($E290*$H290,"")</f>
        <v/>
      </c>
      <c r="J290" s="14" t="str">
        <f aca="false">IFERROR($G290-$I290,"")</f>
        <v/>
      </c>
      <c r="K290" s="23" t="str">
        <f aca="false">IFERROR($J290/$G290,"")</f>
        <v/>
      </c>
      <c r="L290" s="31"/>
    </row>
    <row r="291" customFormat="false" ht="15" hidden="false" customHeight="false" outlineLevel="0" collapsed="false">
      <c r="A291" s="30"/>
      <c r="B291" s="31"/>
      <c r="C291" s="9" t="str">
        <f aca="false">IF($B291="","",IFERROR(VLOOKUP($B291,'Fichas y precios'!$A:$B,2,FALSE()),""))</f>
        <v/>
      </c>
      <c r="D291" s="31"/>
      <c r="E291" s="31"/>
      <c r="F291" s="14" t="str">
        <f aca="false">IF(OR($B291="",$D291=""),"",IFERROR(INDEX('Fichas y precios'!$P:$S,MATCH($B291,'Fichas y precios'!$A:$A,0),MATCH($D291,'Fichas y precios'!$P$5:$S$5,0)),""))</f>
        <v/>
      </c>
      <c r="G291" s="14" t="str">
        <f aca="false">IFERROR($E291*$F291,"")</f>
        <v/>
      </c>
      <c r="H291" s="14" t="str">
        <f aca="false">IF($B291="","",IF($D291="Batch embotellado",IFERROR(VLOOKUP($B291,'Fichas y precios'!$A:$M,13,FALSE())*'Mi negocio'!$B$13+'Mi negocio'!$B$14,""),IFERROR(VLOOKUP($B291,'Fichas y precios'!$A:$M,13,FALSE()),"")))</f>
        <v/>
      </c>
      <c r="I291" s="14" t="str">
        <f aca="false">IFERROR($E291*$H291,"")</f>
        <v/>
      </c>
      <c r="J291" s="14" t="str">
        <f aca="false">IFERROR($G291-$I291,"")</f>
        <v/>
      </c>
      <c r="K291" s="23" t="str">
        <f aca="false">IFERROR($J291/$G291,"")</f>
        <v/>
      </c>
      <c r="L291" s="31"/>
    </row>
    <row r="292" customFormat="false" ht="15" hidden="false" customHeight="false" outlineLevel="0" collapsed="false">
      <c r="A292" s="30"/>
      <c r="B292" s="31"/>
      <c r="C292" s="9" t="str">
        <f aca="false">IF($B292="","",IFERROR(VLOOKUP($B292,'Fichas y precios'!$A:$B,2,FALSE()),""))</f>
        <v/>
      </c>
      <c r="D292" s="31"/>
      <c r="E292" s="31"/>
      <c r="F292" s="14" t="str">
        <f aca="false">IF(OR($B292="",$D292=""),"",IFERROR(INDEX('Fichas y precios'!$P:$S,MATCH($B292,'Fichas y precios'!$A:$A,0),MATCH($D292,'Fichas y precios'!$P$5:$S$5,0)),""))</f>
        <v/>
      </c>
      <c r="G292" s="14" t="str">
        <f aca="false">IFERROR($E292*$F292,"")</f>
        <v/>
      </c>
      <c r="H292" s="14" t="str">
        <f aca="false">IF($B292="","",IF($D292="Batch embotellado",IFERROR(VLOOKUP($B292,'Fichas y precios'!$A:$M,13,FALSE())*'Mi negocio'!$B$13+'Mi negocio'!$B$14,""),IFERROR(VLOOKUP($B292,'Fichas y precios'!$A:$M,13,FALSE()),"")))</f>
        <v/>
      </c>
      <c r="I292" s="14" t="str">
        <f aca="false">IFERROR($E292*$H292,"")</f>
        <v/>
      </c>
      <c r="J292" s="14" t="str">
        <f aca="false">IFERROR($G292-$I292,"")</f>
        <v/>
      </c>
      <c r="K292" s="23" t="str">
        <f aca="false">IFERROR($J292/$G292,"")</f>
        <v/>
      </c>
      <c r="L292" s="31"/>
    </row>
    <row r="293" customFormat="false" ht="15" hidden="false" customHeight="false" outlineLevel="0" collapsed="false">
      <c r="A293" s="30"/>
      <c r="B293" s="31"/>
      <c r="C293" s="9" t="str">
        <f aca="false">IF($B293="","",IFERROR(VLOOKUP($B293,'Fichas y precios'!$A:$B,2,FALSE()),""))</f>
        <v/>
      </c>
      <c r="D293" s="31"/>
      <c r="E293" s="31"/>
      <c r="F293" s="14" t="str">
        <f aca="false">IF(OR($B293="",$D293=""),"",IFERROR(INDEX('Fichas y precios'!$P:$S,MATCH($B293,'Fichas y precios'!$A:$A,0),MATCH($D293,'Fichas y precios'!$P$5:$S$5,0)),""))</f>
        <v/>
      </c>
      <c r="G293" s="14" t="str">
        <f aca="false">IFERROR($E293*$F293,"")</f>
        <v/>
      </c>
      <c r="H293" s="14" t="str">
        <f aca="false">IF($B293="","",IF($D293="Batch embotellado",IFERROR(VLOOKUP($B293,'Fichas y precios'!$A:$M,13,FALSE())*'Mi negocio'!$B$13+'Mi negocio'!$B$14,""),IFERROR(VLOOKUP($B293,'Fichas y precios'!$A:$M,13,FALSE()),"")))</f>
        <v/>
      </c>
      <c r="I293" s="14" t="str">
        <f aca="false">IFERROR($E293*$H293,"")</f>
        <v/>
      </c>
      <c r="J293" s="14" t="str">
        <f aca="false">IFERROR($G293-$I293,"")</f>
        <v/>
      </c>
      <c r="K293" s="23" t="str">
        <f aca="false">IFERROR($J293/$G293,"")</f>
        <v/>
      </c>
      <c r="L293" s="31"/>
    </row>
    <row r="294" customFormat="false" ht="15" hidden="false" customHeight="false" outlineLevel="0" collapsed="false">
      <c r="A294" s="30"/>
      <c r="B294" s="31"/>
      <c r="C294" s="9" t="str">
        <f aca="false">IF($B294="","",IFERROR(VLOOKUP($B294,'Fichas y precios'!$A:$B,2,FALSE()),""))</f>
        <v/>
      </c>
      <c r="D294" s="31"/>
      <c r="E294" s="31"/>
      <c r="F294" s="14" t="str">
        <f aca="false">IF(OR($B294="",$D294=""),"",IFERROR(INDEX('Fichas y precios'!$P:$S,MATCH($B294,'Fichas y precios'!$A:$A,0),MATCH($D294,'Fichas y precios'!$P$5:$S$5,0)),""))</f>
        <v/>
      </c>
      <c r="G294" s="14" t="str">
        <f aca="false">IFERROR($E294*$F294,"")</f>
        <v/>
      </c>
      <c r="H294" s="14" t="str">
        <f aca="false">IF($B294="","",IF($D294="Batch embotellado",IFERROR(VLOOKUP($B294,'Fichas y precios'!$A:$M,13,FALSE())*'Mi negocio'!$B$13+'Mi negocio'!$B$14,""),IFERROR(VLOOKUP($B294,'Fichas y precios'!$A:$M,13,FALSE()),"")))</f>
        <v/>
      </c>
      <c r="I294" s="14" t="str">
        <f aca="false">IFERROR($E294*$H294,"")</f>
        <v/>
      </c>
      <c r="J294" s="14" t="str">
        <f aca="false">IFERROR($G294-$I294,"")</f>
        <v/>
      </c>
      <c r="K294" s="23" t="str">
        <f aca="false">IFERROR($J294/$G294,"")</f>
        <v/>
      </c>
      <c r="L294" s="31"/>
    </row>
    <row r="295" customFormat="false" ht="15" hidden="false" customHeight="false" outlineLevel="0" collapsed="false">
      <c r="A295" s="30"/>
      <c r="B295" s="31"/>
      <c r="C295" s="9" t="str">
        <f aca="false">IF($B295="","",IFERROR(VLOOKUP($B295,'Fichas y precios'!$A:$B,2,FALSE()),""))</f>
        <v/>
      </c>
      <c r="D295" s="31"/>
      <c r="E295" s="31"/>
      <c r="F295" s="14" t="str">
        <f aca="false">IF(OR($B295="",$D295=""),"",IFERROR(INDEX('Fichas y precios'!$P:$S,MATCH($B295,'Fichas y precios'!$A:$A,0),MATCH($D295,'Fichas y precios'!$P$5:$S$5,0)),""))</f>
        <v/>
      </c>
      <c r="G295" s="14" t="str">
        <f aca="false">IFERROR($E295*$F295,"")</f>
        <v/>
      </c>
      <c r="H295" s="14" t="str">
        <f aca="false">IF($B295="","",IF($D295="Batch embotellado",IFERROR(VLOOKUP($B295,'Fichas y precios'!$A:$M,13,FALSE())*'Mi negocio'!$B$13+'Mi negocio'!$B$14,""),IFERROR(VLOOKUP($B295,'Fichas y precios'!$A:$M,13,FALSE()),"")))</f>
        <v/>
      </c>
      <c r="I295" s="14" t="str">
        <f aca="false">IFERROR($E295*$H295,"")</f>
        <v/>
      </c>
      <c r="J295" s="14" t="str">
        <f aca="false">IFERROR($G295-$I295,"")</f>
        <v/>
      </c>
      <c r="K295" s="23" t="str">
        <f aca="false">IFERROR($J295/$G295,"")</f>
        <v/>
      </c>
      <c r="L295" s="31"/>
    </row>
    <row r="296" customFormat="false" ht="15" hidden="false" customHeight="false" outlineLevel="0" collapsed="false">
      <c r="A296" s="30"/>
      <c r="B296" s="31"/>
      <c r="C296" s="9" t="str">
        <f aca="false">IF($B296="","",IFERROR(VLOOKUP($B296,'Fichas y precios'!$A:$B,2,FALSE()),""))</f>
        <v/>
      </c>
      <c r="D296" s="31"/>
      <c r="E296" s="31"/>
      <c r="F296" s="14" t="str">
        <f aca="false">IF(OR($B296="",$D296=""),"",IFERROR(INDEX('Fichas y precios'!$P:$S,MATCH($B296,'Fichas y precios'!$A:$A,0),MATCH($D296,'Fichas y precios'!$P$5:$S$5,0)),""))</f>
        <v/>
      </c>
      <c r="G296" s="14" t="str">
        <f aca="false">IFERROR($E296*$F296,"")</f>
        <v/>
      </c>
      <c r="H296" s="14" t="str">
        <f aca="false">IF($B296="","",IF($D296="Batch embotellado",IFERROR(VLOOKUP($B296,'Fichas y precios'!$A:$M,13,FALSE())*'Mi negocio'!$B$13+'Mi negocio'!$B$14,""),IFERROR(VLOOKUP($B296,'Fichas y precios'!$A:$M,13,FALSE()),"")))</f>
        <v/>
      </c>
      <c r="I296" s="14" t="str">
        <f aca="false">IFERROR($E296*$H296,"")</f>
        <v/>
      </c>
      <c r="J296" s="14" t="str">
        <f aca="false">IFERROR($G296-$I296,"")</f>
        <v/>
      </c>
      <c r="K296" s="23" t="str">
        <f aca="false">IFERROR($J296/$G296,"")</f>
        <v/>
      </c>
      <c r="L296" s="31"/>
    </row>
    <row r="297" customFormat="false" ht="15" hidden="false" customHeight="false" outlineLevel="0" collapsed="false">
      <c r="A297" s="30"/>
      <c r="B297" s="31"/>
      <c r="C297" s="9" t="str">
        <f aca="false">IF($B297="","",IFERROR(VLOOKUP($B297,'Fichas y precios'!$A:$B,2,FALSE()),""))</f>
        <v/>
      </c>
      <c r="D297" s="31"/>
      <c r="E297" s="31"/>
      <c r="F297" s="14" t="str">
        <f aca="false">IF(OR($B297="",$D297=""),"",IFERROR(INDEX('Fichas y precios'!$P:$S,MATCH($B297,'Fichas y precios'!$A:$A,0),MATCH($D297,'Fichas y precios'!$P$5:$S$5,0)),""))</f>
        <v/>
      </c>
      <c r="G297" s="14" t="str">
        <f aca="false">IFERROR($E297*$F297,"")</f>
        <v/>
      </c>
      <c r="H297" s="14" t="str">
        <f aca="false">IF($B297="","",IF($D297="Batch embotellado",IFERROR(VLOOKUP($B297,'Fichas y precios'!$A:$M,13,FALSE())*'Mi negocio'!$B$13+'Mi negocio'!$B$14,""),IFERROR(VLOOKUP($B297,'Fichas y precios'!$A:$M,13,FALSE()),"")))</f>
        <v/>
      </c>
      <c r="I297" s="14" t="str">
        <f aca="false">IFERROR($E297*$H297,"")</f>
        <v/>
      </c>
      <c r="J297" s="14" t="str">
        <f aca="false">IFERROR($G297-$I297,"")</f>
        <v/>
      </c>
      <c r="K297" s="23" t="str">
        <f aca="false">IFERROR($J297/$G297,"")</f>
        <v/>
      </c>
      <c r="L297" s="31"/>
    </row>
    <row r="298" customFormat="false" ht="15" hidden="false" customHeight="false" outlineLevel="0" collapsed="false">
      <c r="A298" s="30"/>
      <c r="B298" s="31"/>
      <c r="C298" s="9" t="str">
        <f aca="false">IF($B298="","",IFERROR(VLOOKUP($B298,'Fichas y precios'!$A:$B,2,FALSE()),""))</f>
        <v/>
      </c>
      <c r="D298" s="31"/>
      <c r="E298" s="31"/>
      <c r="F298" s="14" t="str">
        <f aca="false">IF(OR($B298="",$D298=""),"",IFERROR(INDEX('Fichas y precios'!$P:$S,MATCH($B298,'Fichas y precios'!$A:$A,0),MATCH($D298,'Fichas y precios'!$P$5:$S$5,0)),""))</f>
        <v/>
      </c>
      <c r="G298" s="14" t="str">
        <f aca="false">IFERROR($E298*$F298,"")</f>
        <v/>
      </c>
      <c r="H298" s="14" t="str">
        <f aca="false">IF($B298="","",IF($D298="Batch embotellado",IFERROR(VLOOKUP($B298,'Fichas y precios'!$A:$M,13,FALSE())*'Mi negocio'!$B$13+'Mi negocio'!$B$14,""),IFERROR(VLOOKUP($B298,'Fichas y precios'!$A:$M,13,FALSE()),"")))</f>
        <v/>
      </c>
      <c r="I298" s="14" t="str">
        <f aca="false">IFERROR($E298*$H298,"")</f>
        <v/>
      </c>
      <c r="J298" s="14" t="str">
        <f aca="false">IFERROR($G298-$I298,"")</f>
        <v/>
      </c>
      <c r="K298" s="23" t="str">
        <f aca="false">IFERROR($J298/$G298,"")</f>
        <v/>
      </c>
      <c r="L298" s="31"/>
    </row>
    <row r="299" customFormat="false" ht="15" hidden="false" customHeight="false" outlineLevel="0" collapsed="false">
      <c r="A299" s="30"/>
      <c r="B299" s="31"/>
      <c r="C299" s="9" t="str">
        <f aca="false">IF($B299="","",IFERROR(VLOOKUP($B299,'Fichas y precios'!$A:$B,2,FALSE()),""))</f>
        <v/>
      </c>
      <c r="D299" s="31"/>
      <c r="E299" s="31"/>
      <c r="F299" s="14" t="str">
        <f aca="false">IF(OR($B299="",$D299=""),"",IFERROR(INDEX('Fichas y precios'!$P:$S,MATCH($B299,'Fichas y precios'!$A:$A,0),MATCH($D299,'Fichas y precios'!$P$5:$S$5,0)),""))</f>
        <v/>
      </c>
      <c r="G299" s="14" t="str">
        <f aca="false">IFERROR($E299*$F299,"")</f>
        <v/>
      </c>
      <c r="H299" s="14" t="str">
        <f aca="false">IF($B299="","",IF($D299="Batch embotellado",IFERROR(VLOOKUP($B299,'Fichas y precios'!$A:$M,13,FALSE())*'Mi negocio'!$B$13+'Mi negocio'!$B$14,""),IFERROR(VLOOKUP($B299,'Fichas y precios'!$A:$M,13,FALSE()),"")))</f>
        <v/>
      </c>
      <c r="I299" s="14" t="str">
        <f aca="false">IFERROR($E299*$H299,"")</f>
        <v/>
      </c>
      <c r="J299" s="14" t="str">
        <f aca="false">IFERROR($G299-$I299,"")</f>
        <v/>
      </c>
      <c r="K299" s="23" t="str">
        <f aca="false">IFERROR($J299/$G299,"")</f>
        <v/>
      </c>
      <c r="L299" s="31"/>
    </row>
    <row r="300" customFormat="false" ht="15" hidden="false" customHeight="false" outlineLevel="0" collapsed="false">
      <c r="A300" s="30"/>
      <c r="B300" s="31"/>
      <c r="C300" s="9" t="str">
        <f aca="false">IF($B300="","",IFERROR(VLOOKUP($B300,'Fichas y precios'!$A:$B,2,FALSE()),""))</f>
        <v/>
      </c>
      <c r="D300" s="31"/>
      <c r="E300" s="31"/>
      <c r="F300" s="14" t="str">
        <f aca="false">IF(OR($B300="",$D300=""),"",IFERROR(INDEX('Fichas y precios'!$P:$S,MATCH($B300,'Fichas y precios'!$A:$A,0),MATCH($D300,'Fichas y precios'!$P$5:$S$5,0)),""))</f>
        <v/>
      </c>
      <c r="G300" s="14" t="str">
        <f aca="false">IFERROR($E300*$F300,"")</f>
        <v/>
      </c>
      <c r="H300" s="14" t="str">
        <f aca="false">IF($B300="","",IF($D300="Batch embotellado",IFERROR(VLOOKUP($B300,'Fichas y precios'!$A:$M,13,FALSE())*'Mi negocio'!$B$13+'Mi negocio'!$B$14,""),IFERROR(VLOOKUP($B300,'Fichas y precios'!$A:$M,13,FALSE()),"")))</f>
        <v/>
      </c>
      <c r="I300" s="14" t="str">
        <f aca="false">IFERROR($E300*$H300,"")</f>
        <v/>
      </c>
      <c r="J300" s="14" t="str">
        <f aca="false">IFERROR($G300-$I300,"")</f>
        <v/>
      </c>
      <c r="K300" s="23" t="str">
        <f aca="false">IFERROR($J300/$G300,"")</f>
        <v/>
      </c>
      <c r="L300" s="31"/>
    </row>
    <row r="301" customFormat="false" ht="15" hidden="false" customHeight="false" outlineLevel="0" collapsed="false">
      <c r="A301" s="30"/>
      <c r="B301" s="31"/>
      <c r="C301" s="9" t="str">
        <f aca="false">IF($B301="","",IFERROR(VLOOKUP($B301,'Fichas y precios'!$A:$B,2,FALSE()),""))</f>
        <v/>
      </c>
      <c r="D301" s="31"/>
      <c r="E301" s="31"/>
      <c r="F301" s="14" t="str">
        <f aca="false">IF(OR($B301="",$D301=""),"",IFERROR(INDEX('Fichas y precios'!$P:$S,MATCH($B301,'Fichas y precios'!$A:$A,0),MATCH($D301,'Fichas y precios'!$P$5:$S$5,0)),""))</f>
        <v/>
      </c>
      <c r="G301" s="14" t="str">
        <f aca="false">IFERROR($E301*$F301,"")</f>
        <v/>
      </c>
      <c r="H301" s="14" t="str">
        <f aca="false">IF($B301="","",IF($D301="Batch embotellado",IFERROR(VLOOKUP($B301,'Fichas y precios'!$A:$M,13,FALSE())*'Mi negocio'!$B$13+'Mi negocio'!$B$14,""),IFERROR(VLOOKUP($B301,'Fichas y precios'!$A:$M,13,FALSE()),"")))</f>
        <v/>
      </c>
      <c r="I301" s="14" t="str">
        <f aca="false">IFERROR($E301*$H301,"")</f>
        <v/>
      </c>
      <c r="J301" s="14" t="str">
        <f aca="false">IFERROR($G301-$I301,"")</f>
        <v/>
      </c>
      <c r="K301" s="23" t="str">
        <f aca="false">IFERROR($J301/$G301,"")</f>
        <v/>
      </c>
      <c r="L301" s="31"/>
    </row>
    <row r="302" customFormat="false" ht="15" hidden="false" customHeight="false" outlineLevel="0" collapsed="false">
      <c r="A302" s="30"/>
      <c r="B302" s="31"/>
      <c r="C302" s="9" t="str">
        <f aca="false">IF($B302="","",IFERROR(VLOOKUP($B302,'Fichas y precios'!$A:$B,2,FALSE()),""))</f>
        <v/>
      </c>
      <c r="D302" s="31"/>
      <c r="E302" s="31"/>
      <c r="F302" s="14" t="str">
        <f aca="false">IF(OR($B302="",$D302=""),"",IFERROR(INDEX('Fichas y precios'!$P:$S,MATCH($B302,'Fichas y precios'!$A:$A,0),MATCH($D302,'Fichas y precios'!$P$5:$S$5,0)),""))</f>
        <v/>
      </c>
      <c r="G302" s="14" t="str">
        <f aca="false">IFERROR($E302*$F302,"")</f>
        <v/>
      </c>
      <c r="H302" s="14" t="str">
        <f aca="false">IF($B302="","",IF($D302="Batch embotellado",IFERROR(VLOOKUP($B302,'Fichas y precios'!$A:$M,13,FALSE())*'Mi negocio'!$B$13+'Mi negocio'!$B$14,""),IFERROR(VLOOKUP($B302,'Fichas y precios'!$A:$M,13,FALSE()),"")))</f>
        <v/>
      </c>
      <c r="I302" s="14" t="str">
        <f aca="false">IFERROR($E302*$H302,"")</f>
        <v/>
      </c>
      <c r="J302" s="14" t="str">
        <f aca="false">IFERROR($G302-$I302,"")</f>
        <v/>
      </c>
      <c r="K302" s="23" t="str">
        <f aca="false">IFERROR($J302/$G302,"")</f>
        <v/>
      </c>
      <c r="L302" s="31"/>
    </row>
    <row r="303" customFormat="false" ht="15" hidden="false" customHeight="false" outlineLevel="0" collapsed="false">
      <c r="A303" s="30"/>
      <c r="B303" s="31"/>
      <c r="C303" s="9" t="str">
        <f aca="false">IF($B303="","",IFERROR(VLOOKUP($B303,'Fichas y precios'!$A:$B,2,FALSE()),""))</f>
        <v/>
      </c>
      <c r="D303" s="31"/>
      <c r="E303" s="31"/>
      <c r="F303" s="14" t="str">
        <f aca="false">IF(OR($B303="",$D303=""),"",IFERROR(INDEX('Fichas y precios'!$P:$S,MATCH($B303,'Fichas y precios'!$A:$A,0),MATCH($D303,'Fichas y precios'!$P$5:$S$5,0)),""))</f>
        <v/>
      </c>
      <c r="G303" s="14" t="str">
        <f aca="false">IFERROR($E303*$F303,"")</f>
        <v/>
      </c>
      <c r="H303" s="14" t="str">
        <f aca="false">IF($B303="","",IF($D303="Batch embotellado",IFERROR(VLOOKUP($B303,'Fichas y precios'!$A:$M,13,FALSE())*'Mi negocio'!$B$13+'Mi negocio'!$B$14,""),IFERROR(VLOOKUP($B303,'Fichas y precios'!$A:$M,13,FALSE()),"")))</f>
        <v/>
      </c>
      <c r="I303" s="14" t="str">
        <f aca="false">IFERROR($E303*$H303,"")</f>
        <v/>
      </c>
      <c r="J303" s="14" t="str">
        <f aca="false">IFERROR($G303-$I303,"")</f>
        <v/>
      </c>
      <c r="K303" s="23" t="str">
        <f aca="false">IFERROR($J303/$G303,"")</f>
        <v/>
      </c>
      <c r="L303" s="31"/>
    </row>
    <row r="304" customFormat="false" ht="15" hidden="false" customHeight="false" outlineLevel="0" collapsed="false">
      <c r="A304" s="30"/>
      <c r="B304" s="31"/>
      <c r="C304" s="9" t="str">
        <f aca="false">IF($B304="","",IFERROR(VLOOKUP($B304,'Fichas y precios'!$A:$B,2,FALSE()),""))</f>
        <v/>
      </c>
      <c r="D304" s="31"/>
      <c r="E304" s="31"/>
      <c r="F304" s="14" t="str">
        <f aca="false">IF(OR($B304="",$D304=""),"",IFERROR(INDEX('Fichas y precios'!$P:$S,MATCH($B304,'Fichas y precios'!$A:$A,0),MATCH($D304,'Fichas y precios'!$P$5:$S$5,0)),""))</f>
        <v/>
      </c>
      <c r="G304" s="14" t="str">
        <f aca="false">IFERROR($E304*$F304,"")</f>
        <v/>
      </c>
      <c r="H304" s="14" t="str">
        <f aca="false">IF($B304="","",IF($D304="Batch embotellado",IFERROR(VLOOKUP($B304,'Fichas y precios'!$A:$M,13,FALSE())*'Mi negocio'!$B$13+'Mi negocio'!$B$14,""),IFERROR(VLOOKUP($B304,'Fichas y precios'!$A:$M,13,FALSE()),"")))</f>
        <v/>
      </c>
      <c r="I304" s="14" t="str">
        <f aca="false">IFERROR($E304*$H304,"")</f>
        <v/>
      </c>
      <c r="J304" s="14" t="str">
        <f aca="false">IFERROR($G304-$I304,"")</f>
        <v/>
      </c>
      <c r="K304" s="23" t="str">
        <f aca="false">IFERROR($J304/$G304,"")</f>
        <v/>
      </c>
      <c r="L304" s="31"/>
    </row>
    <row r="305" customFormat="false" ht="15" hidden="false" customHeight="false" outlineLevel="0" collapsed="false">
      <c r="A305" s="30"/>
      <c r="B305" s="31"/>
      <c r="C305" s="9" t="str">
        <f aca="false">IF($B305="","",IFERROR(VLOOKUP($B305,'Fichas y precios'!$A:$B,2,FALSE()),""))</f>
        <v/>
      </c>
      <c r="D305" s="31"/>
      <c r="E305" s="31"/>
      <c r="F305" s="14" t="str">
        <f aca="false">IF(OR($B305="",$D305=""),"",IFERROR(INDEX('Fichas y precios'!$P:$S,MATCH($B305,'Fichas y precios'!$A:$A,0),MATCH($D305,'Fichas y precios'!$P$5:$S$5,0)),""))</f>
        <v/>
      </c>
      <c r="G305" s="14" t="str">
        <f aca="false">IFERROR($E305*$F305,"")</f>
        <v/>
      </c>
      <c r="H305" s="14" t="str">
        <f aca="false">IF($B305="","",IF($D305="Batch embotellado",IFERROR(VLOOKUP($B305,'Fichas y precios'!$A:$M,13,FALSE())*'Mi negocio'!$B$13+'Mi negocio'!$B$14,""),IFERROR(VLOOKUP($B305,'Fichas y precios'!$A:$M,13,FALSE()),"")))</f>
        <v/>
      </c>
      <c r="I305" s="14" t="str">
        <f aca="false">IFERROR($E305*$H305,"")</f>
        <v/>
      </c>
      <c r="J305" s="14" t="str">
        <f aca="false">IFERROR($G305-$I305,"")</f>
        <v/>
      </c>
      <c r="K305" s="23" t="str">
        <f aca="false">IFERROR($J305/$G305,"")</f>
        <v/>
      </c>
      <c r="L305" s="31"/>
    </row>
  </sheetData>
  <dataValidations count="2">
    <dataValidation allowBlank="true" errorStyle="stop" operator="between" showDropDown="false" showErrorMessage="false" showInputMessage="false" sqref="D6:D305" type="list">
      <formula1>"Barra propia,Carta de restaurante,Evento y banquete,Batch embotellado"</formula1>
      <formula2>0</formula2>
    </dataValidation>
    <dataValidation allowBlank="true" errorStyle="stop" operator="between" showDropDown="false" showErrorMessage="false" showInputMessage="false" sqref="B6:B305" type="whole">
      <formula1>1</formula1>
      <formula2>51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4" style="0" width="6"/>
    <col collapsed="false" customWidth="true" hidden="false" outlineLevel="0" max="5" min="5" style="0" width="44"/>
    <col collapsed="false" customWidth="true" hidden="false" outlineLevel="0" max="8" min="6" style="0" width="14"/>
  </cols>
  <sheetData>
    <row r="1" customFormat="false" ht="19.7" hidden="false" customHeight="false" outlineLevel="0" collapsed="false">
      <c r="A1" s="1" t="s">
        <v>831</v>
      </c>
    </row>
    <row r="2" customFormat="false" ht="15" hidden="false" customHeight="false" outlineLevel="0" collapsed="false">
      <c r="A2" s="2" t="s">
        <v>832</v>
      </c>
    </row>
    <row r="3" customFormat="false" ht="15" hidden="false" customHeight="false" outlineLevel="0" collapsed="false">
      <c r="A3" s="3" t="s">
        <v>2</v>
      </c>
      <c r="D3" s="6" t="s">
        <v>833</v>
      </c>
    </row>
    <row r="5" customFormat="false" ht="15" hidden="false" customHeight="false" outlineLevel="0" collapsed="false">
      <c r="A5" s="4" t="s">
        <v>834</v>
      </c>
      <c r="B5" s="32" t="n">
        <f aca="false">COUNT('Fichas y precios'!$A$6:$A$56)</f>
        <v>51</v>
      </c>
    </row>
    <row r="6" customFormat="false" ht="25.5" hidden="false" customHeight="true" outlineLevel="0" collapsed="false">
      <c r="A6" s="4" t="s">
        <v>835</v>
      </c>
      <c r="B6" s="32" t="n">
        <f aca="false">COUNTA(Insumos!$A$6:$A$126)</f>
        <v>121</v>
      </c>
      <c r="D6" s="8" t="s">
        <v>363</v>
      </c>
      <c r="E6" s="8" t="s">
        <v>364</v>
      </c>
      <c r="F6" s="8" t="s">
        <v>792</v>
      </c>
      <c r="G6" s="8" t="s">
        <v>811</v>
      </c>
      <c r="H6" s="8" t="s">
        <v>836</v>
      </c>
    </row>
    <row r="7" customFormat="false" ht="15" hidden="false" customHeight="false" outlineLevel="0" collapsed="false">
      <c r="A7" s="4" t="s">
        <v>837</v>
      </c>
      <c r="B7" s="32" t="n">
        <f aca="false">COUNTA(Ingredientes!$A$6:$A$328)</f>
        <v>323</v>
      </c>
      <c r="D7" s="9" t="n">
        <v>18</v>
      </c>
      <c r="E7" s="9" t="s">
        <v>498</v>
      </c>
      <c r="F7" s="14" t="n">
        <f aca="false">'Fichas y precios'!E23</f>
        <v>128.55</v>
      </c>
      <c r="G7" s="14" t="n">
        <f aca="false">'Fichas y precios'!M23</f>
        <v>168.858695652174</v>
      </c>
      <c r="H7" s="14" t="n">
        <f aca="false">'Fichas y precios'!P23</f>
        <v>445</v>
      </c>
    </row>
    <row r="8" customFormat="false" ht="15" hidden="false" customHeight="false" outlineLevel="0" collapsed="false">
      <c r="D8" s="9" t="n">
        <v>51</v>
      </c>
      <c r="E8" s="9" t="s">
        <v>739</v>
      </c>
      <c r="F8" s="14" t="n">
        <f aca="false">'Fichas y precios'!E56</f>
        <v>126.318</v>
      </c>
      <c r="G8" s="14" t="n">
        <f aca="false">'Fichas y precios'!M56</f>
        <v>166.432608695652</v>
      </c>
      <c r="H8" s="14" t="n">
        <f aca="false">'Fichas y precios'!P56</f>
        <v>440</v>
      </c>
    </row>
    <row r="9" customFormat="false" ht="15" hidden="false" customHeight="false" outlineLevel="0" collapsed="false">
      <c r="A9" s="4" t="s">
        <v>838</v>
      </c>
      <c r="B9" s="33" t="n">
        <f aca="false">AVERAGE('Fichas y precios'!$E$6:$E$56)</f>
        <v>56.6519638175005</v>
      </c>
      <c r="D9" s="9" t="n">
        <v>10</v>
      </c>
      <c r="E9" s="9" t="s">
        <v>438</v>
      </c>
      <c r="F9" s="14" t="n">
        <f aca="false">'Fichas y precios'!E15</f>
        <v>90.0207142857143</v>
      </c>
      <c r="G9" s="14" t="n">
        <f aca="false">'Fichas y precios'!M15</f>
        <v>122.902950310559</v>
      </c>
      <c r="H9" s="14" t="n">
        <f aca="false">'Fichas y precios'!P15</f>
        <v>325</v>
      </c>
    </row>
    <row r="10" customFormat="false" ht="15" hidden="false" customHeight="false" outlineLevel="0" collapsed="false">
      <c r="A10" s="4" t="s">
        <v>839</v>
      </c>
      <c r="B10" s="33" t="n">
        <f aca="false">AVERAGE('Fichas y precios'!$M$6:$M$56)</f>
        <v>87.4850842858594</v>
      </c>
      <c r="D10" s="9" t="n">
        <v>24</v>
      </c>
      <c r="E10" s="9" t="s">
        <v>540</v>
      </c>
      <c r="F10" s="14" t="n">
        <f aca="false">'Fichas y precios'!E29</f>
        <v>84.295</v>
      </c>
      <c r="G10" s="14" t="n">
        <f aca="false">'Fichas y precios'!M29</f>
        <v>120.755434782609</v>
      </c>
      <c r="H10" s="14" t="n">
        <f aca="false">'Fichas y precios'!P29</f>
        <v>320</v>
      </c>
    </row>
    <row r="11" customFormat="false" ht="15" hidden="false" customHeight="false" outlineLevel="0" collapsed="false">
      <c r="A11" s="4" t="s">
        <v>840</v>
      </c>
      <c r="B11" s="33" t="n">
        <f aca="false">AVERAGE('Fichas y precios'!$P$6:$P$56)</f>
        <v>232.843137254902</v>
      </c>
      <c r="D11" s="9" t="n">
        <v>25</v>
      </c>
      <c r="E11" s="9" t="s">
        <v>545</v>
      </c>
      <c r="F11" s="14" t="n">
        <f aca="false">'Fichas y precios'!E30</f>
        <v>81.83</v>
      </c>
      <c r="G11" s="14" t="n">
        <f aca="false">'Fichas y precios'!M30</f>
        <v>114</v>
      </c>
      <c r="H11" s="14" t="n">
        <f aca="false">'Fichas y precios'!P30</f>
        <v>300</v>
      </c>
    </row>
    <row r="12" customFormat="false" ht="15" hidden="false" customHeight="false" outlineLevel="0" collapsed="false">
      <c r="A12" s="4" t="s">
        <v>841</v>
      </c>
      <c r="B12" s="33" t="n">
        <f aca="false">AVERAGE('Fichas y precios'!$Q$6:$Q$56)</f>
        <v>276.078431372549</v>
      </c>
      <c r="D12" s="9" t="n">
        <v>12</v>
      </c>
      <c r="E12" s="9" t="s">
        <v>453</v>
      </c>
      <c r="F12" s="14" t="n">
        <f aca="false">'Fichas y precios'!E17</f>
        <v>81.6035714285714</v>
      </c>
      <c r="G12" s="14" t="n">
        <f aca="false">'Fichas y precios'!M17</f>
        <v>113.753881987578</v>
      </c>
      <c r="H12" s="14" t="n">
        <f aca="false">'Fichas y precios'!P17</f>
        <v>300</v>
      </c>
    </row>
    <row r="13" customFormat="false" ht="15" hidden="false" customHeight="false" outlineLevel="0" collapsed="false">
      <c r="A13" s="4" t="s">
        <v>842</v>
      </c>
      <c r="B13" s="33" t="n">
        <f aca="false">AVERAGE('Fichas y precios'!$T$6:$T$56)</f>
        <v>145.358052969043</v>
      </c>
      <c r="D13" s="9" t="n">
        <v>16</v>
      </c>
      <c r="E13" s="9" t="s">
        <v>483</v>
      </c>
      <c r="F13" s="14" t="n">
        <f aca="false">'Fichas y precios'!E21</f>
        <v>77.560985915493</v>
      </c>
      <c r="G13" s="14" t="n">
        <f aca="false">'Fichas y precios'!M21</f>
        <v>108.001071647275</v>
      </c>
      <c r="H13" s="14" t="n">
        <f aca="false">'Fichas y precios'!P21</f>
        <v>285</v>
      </c>
    </row>
    <row r="14" customFormat="false" ht="15" hidden="false" customHeight="false" outlineLevel="0" collapsed="false">
      <c r="A14" s="34" t="s">
        <v>843</v>
      </c>
      <c r="B14" s="35" t="n">
        <f aca="false">IFERROR(AVERAGE('Fichas y precios'!$E$6:$E$56)/AVERAGE('Fichas y precios'!$P$6:$P$56),0)</f>
        <v>0.243305276184634</v>
      </c>
      <c r="D14" s="9" t="n">
        <v>1</v>
      </c>
      <c r="E14" s="9" t="s">
        <v>370</v>
      </c>
      <c r="F14" s="14" t="n">
        <f aca="false">'Fichas y precios'!E6</f>
        <v>76.2228571428572</v>
      </c>
      <c r="G14" s="14" t="n">
        <f aca="false">'Fichas y precios'!M6</f>
        <v>107.905279503106</v>
      </c>
      <c r="H14" s="14" t="n">
        <f aca="false">'Fichas y precios'!P6</f>
        <v>285</v>
      </c>
    </row>
    <row r="15" customFormat="false" ht="15" hidden="false" customHeight="false" outlineLevel="0" collapsed="false">
      <c r="D15" s="9" t="n">
        <v>28</v>
      </c>
      <c r="E15" s="9" t="s">
        <v>565</v>
      </c>
      <c r="F15" s="14" t="n">
        <f aca="false">'Fichas y precios'!E33</f>
        <v>74.6166666666667</v>
      </c>
      <c r="G15" s="14" t="n">
        <f aca="false">'Fichas y precios'!M33</f>
        <v>104.800724637681</v>
      </c>
      <c r="H15" s="14" t="n">
        <f aca="false">'Fichas y precios'!P33</f>
        <v>280</v>
      </c>
    </row>
    <row r="16" customFormat="false" ht="15" hidden="false" customHeight="false" outlineLevel="0" collapsed="false">
      <c r="A16" s="4" t="s">
        <v>844</v>
      </c>
      <c r="B16" s="36" t="n">
        <f aca="false">AVERAGE('Fichas y precios'!$N$6:$N$56)</f>
        <v>22.8750980392157</v>
      </c>
      <c r="D16" s="9" t="n">
        <v>45</v>
      </c>
      <c r="E16" s="9" t="s">
        <v>694</v>
      </c>
      <c r="F16" s="14" t="n">
        <f aca="false">'Fichas y precios'!E50</f>
        <v>72.0933333333333</v>
      </c>
      <c r="G16" s="14" t="n">
        <f aca="false">'Fichas y precios'!M50</f>
        <v>103.416666666667</v>
      </c>
      <c r="H16" s="14" t="n">
        <f aca="false">'Fichas y precios'!P50</f>
        <v>275</v>
      </c>
    </row>
    <row r="17" customFormat="false" ht="15" hidden="false" customHeight="false" outlineLevel="0" collapsed="false">
      <c r="A17" s="4" t="s">
        <v>845</v>
      </c>
      <c r="B17" s="36" t="n">
        <f aca="false">AVERAGE('Fichas y precios'!$O$6:$O$56)</f>
        <v>1.38636957813428</v>
      </c>
      <c r="D17" s="9" t="n">
        <v>32</v>
      </c>
      <c r="E17" s="9" t="s">
        <v>595</v>
      </c>
      <c r="F17" s="14" t="n">
        <f aca="false">'Fichas y precios'!E37</f>
        <v>72.0273333333333</v>
      </c>
      <c r="G17" s="14" t="n">
        <f aca="false">'Fichas y precios'!M37</f>
        <v>101.986231884058</v>
      </c>
      <c r="H17" s="14" t="n">
        <f aca="false">'Fichas y precios'!P37</f>
        <v>270</v>
      </c>
    </row>
    <row r="18" customFormat="false" ht="15" hidden="false" customHeight="false" outlineLevel="0" collapsed="false">
      <c r="A18" s="4" t="s">
        <v>846</v>
      </c>
      <c r="B18" s="36" t="n">
        <f aca="false">MAX('Fichas y precios'!$O$6:$O$56)</f>
        <v>2.4230303030303</v>
      </c>
      <c r="D18" s="9" t="n">
        <v>15</v>
      </c>
      <c r="E18" s="9" t="s">
        <v>476</v>
      </c>
      <c r="F18" s="14" t="n">
        <f aca="false">'Fichas y precios'!E20</f>
        <v>71.545</v>
      </c>
      <c r="G18" s="14" t="n">
        <f aca="false">'Fichas y precios'!M20</f>
        <v>102.820652173913</v>
      </c>
      <c r="H18" s="14" t="n">
        <f aca="false">'Fichas y precios'!P20</f>
        <v>275</v>
      </c>
    </row>
    <row r="19" customFormat="false" ht="15" hidden="false" customHeight="false" outlineLevel="0" collapsed="false">
      <c r="A19" s="4" t="s">
        <v>847</v>
      </c>
      <c r="B19" s="32" t="n">
        <f aca="false">COUNTIF('Fichas y precios'!$O$6:$O$56,"&gt;2")</f>
        <v>3</v>
      </c>
      <c r="D19" s="9" t="n">
        <v>47</v>
      </c>
      <c r="E19" s="9" t="s">
        <v>707</v>
      </c>
      <c r="F19" s="14" t="n">
        <f aca="false">'Fichas y precios'!E52</f>
        <v>69.2971428571429</v>
      </c>
      <c r="G19" s="14" t="n">
        <f aca="false">'Fichas y precios'!M52</f>
        <v>101.73602484472</v>
      </c>
      <c r="H19" s="14" t="n">
        <f aca="false">'Fichas y precios'!P52</f>
        <v>270</v>
      </c>
    </row>
    <row r="20" customFormat="false" ht="15" hidden="false" customHeight="false" outlineLevel="0" collapsed="false">
      <c r="D20" s="9" t="n">
        <v>13</v>
      </c>
      <c r="E20" s="9" t="s">
        <v>459</v>
      </c>
      <c r="F20" s="14" t="n">
        <f aca="false">'Fichas y precios'!E18</f>
        <v>68.7254929577465</v>
      </c>
      <c r="G20" s="14" t="n">
        <f aca="false">'Fichas y precios'!M18</f>
        <v>101.11466625842</v>
      </c>
      <c r="H20" s="14" t="n">
        <f aca="false">'Fichas y precios'!P18</f>
        <v>270</v>
      </c>
    </row>
    <row r="21" customFormat="false" ht="15" hidden="false" customHeight="false" outlineLevel="0" collapsed="false">
      <c r="A21" s="4" t="s">
        <v>848</v>
      </c>
      <c r="B21" s="33" t="n">
        <f aca="false">AVERAGE('Fichas y precios'!$E$6:$E$56)+'Mi negocio'!$B$10+'Mi negocio'!$B$11</f>
        <v>60.9519638175005</v>
      </c>
      <c r="D21" s="9" t="n">
        <v>23</v>
      </c>
      <c r="E21" s="9" t="s">
        <v>533</v>
      </c>
      <c r="F21" s="14" t="n">
        <f aca="false">'Fichas y precios'!E28</f>
        <v>68.3697619047619</v>
      </c>
      <c r="G21" s="14" t="n">
        <f aca="false">'Fichas y precios'!M28</f>
        <v>99.3693064182195</v>
      </c>
      <c r="H21" s="14" t="n">
        <f aca="false">'Fichas y precios'!P28</f>
        <v>265</v>
      </c>
    </row>
    <row r="22" customFormat="false" ht="15" hidden="false" customHeight="false" outlineLevel="0" collapsed="false">
      <c r="A22" s="4" t="s">
        <v>849</v>
      </c>
      <c r="B22" s="33" t="n">
        <f aca="false">B11-B21</f>
        <v>171.891173437402</v>
      </c>
      <c r="D22" s="9" t="n">
        <v>21</v>
      </c>
      <c r="E22" s="9" t="s">
        <v>518</v>
      </c>
      <c r="F22" s="14" t="n">
        <f aca="false">'Fichas y precios'!E26</f>
        <v>62.21</v>
      </c>
      <c r="G22" s="14" t="n">
        <f aca="false">'Fichas y precios'!M26</f>
        <v>94.0326086956522</v>
      </c>
      <c r="H22" s="14" t="n">
        <f aca="false">'Fichas y precios'!P26</f>
        <v>250</v>
      </c>
    </row>
    <row r="23" customFormat="false" ht="15" hidden="false" customHeight="false" outlineLevel="0" collapsed="false">
      <c r="A23" s="4" t="s">
        <v>850</v>
      </c>
      <c r="B23" s="32" t="n">
        <f aca="false">IFERROR(CEILING('Mi negocio'!$B$6/B22,1),0)</f>
        <v>105</v>
      </c>
      <c r="D23" s="9" t="n">
        <v>46</v>
      </c>
      <c r="E23" s="9" t="s">
        <v>700</v>
      </c>
      <c r="F23" s="14" t="n">
        <f aca="false">'Fichas y precios'!E51</f>
        <v>61.485619047619</v>
      </c>
      <c r="G23" s="14" t="n">
        <f aca="false">'Fichas y precios'!M51</f>
        <v>93.2452380952381</v>
      </c>
      <c r="H23" s="14" t="n">
        <f aca="false">'Fichas y precios'!P51</f>
        <v>250</v>
      </c>
    </row>
    <row r="24" customFormat="false" ht="15" hidden="false" customHeight="false" outlineLevel="0" collapsed="false">
      <c r="A24" s="4" t="s">
        <v>851</v>
      </c>
      <c r="B24" s="32" t="n">
        <f aca="false">IFERROR(CEILING(B23/26,1),0)</f>
        <v>5</v>
      </c>
      <c r="D24" s="9" t="n">
        <v>41</v>
      </c>
      <c r="E24" s="9" t="s">
        <v>667</v>
      </c>
      <c r="F24" s="14" t="n">
        <f aca="false">'Fichas y precios'!E46</f>
        <v>60.136</v>
      </c>
      <c r="G24" s="14" t="n">
        <f aca="false">'Fichas y precios'!M46</f>
        <v>94.495652173913</v>
      </c>
      <c r="H24" s="14" t="n">
        <f aca="false">'Fichas y precios'!P46</f>
        <v>250</v>
      </c>
    </row>
    <row r="25" customFormat="false" ht="15" hidden="false" customHeight="false" outlineLevel="0" collapsed="false">
      <c r="D25" s="9" t="n">
        <v>40</v>
      </c>
      <c r="E25" s="9" t="s">
        <v>656</v>
      </c>
      <c r="F25" s="14" t="n">
        <f aca="false">'Fichas y precios'!E45</f>
        <v>59.9683158953722</v>
      </c>
      <c r="G25" s="14" t="n">
        <f aca="false">'Fichas y precios'!M45</f>
        <v>94.3133868427959</v>
      </c>
      <c r="H25" s="14" t="n">
        <f aca="false">'Fichas y precios'!P45</f>
        <v>250</v>
      </c>
    </row>
    <row r="26" customFormat="false" ht="15" hidden="false" customHeight="false" outlineLevel="0" collapsed="false">
      <c r="A26" s="4" t="s">
        <v>852</v>
      </c>
      <c r="B26" s="32" t="n">
        <f aca="false">Producción!C57</f>
        <v>0</v>
      </c>
      <c r="D26" s="9" t="n">
        <v>14</v>
      </c>
      <c r="E26" s="9" t="s">
        <v>467</v>
      </c>
      <c r="F26" s="14" t="n">
        <f aca="false">'Fichas y precios'!E19</f>
        <v>58.411</v>
      </c>
      <c r="G26" s="14" t="n">
        <f aca="false">'Fichas y precios'!M19</f>
        <v>89.9032608695652</v>
      </c>
      <c r="H26" s="14" t="n">
        <f aca="false">'Fichas y precios'!P19</f>
        <v>240</v>
      </c>
    </row>
    <row r="27" customFormat="false" ht="15" hidden="false" customHeight="false" outlineLevel="0" collapsed="false">
      <c r="A27" s="4" t="s">
        <v>853</v>
      </c>
      <c r="B27" s="33" t="n">
        <f aca="false">Producción!E57</f>
        <v>0</v>
      </c>
      <c r="D27" s="9" t="n">
        <v>50</v>
      </c>
      <c r="E27" s="9" t="s">
        <v>732</v>
      </c>
      <c r="F27" s="14" t="n">
        <f aca="false">'Fichas y precios'!E55</f>
        <v>58.1275</v>
      </c>
      <c r="G27" s="14" t="n">
        <f aca="false">'Fichas y precios'!M55</f>
        <v>89.5951086956522</v>
      </c>
      <c r="H27" s="14" t="n">
        <f aca="false">'Fichas y precios'!P55</f>
        <v>240</v>
      </c>
    </row>
    <row r="28" customFormat="false" ht="15" hidden="false" customHeight="false" outlineLevel="0" collapsed="false">
      <c r="A28" s="4" t="s">
        <v>854</v>
      </c>
      <c r="B28" s="33" t="n">
        <f aca="false">Producción!H57</f>
        <v>0</v>
      </c>
      <c r="D28" s="9" t="n">
        <v>7</v>
      </c>
      <c r="E28" s="9" t="s">
        <v>412</v>
      </c>
      <c r="F28" s="14" t="n">
        <f aca="false">'Fichas y precios'!E12</f>
        <v>56.6724162214667</v>
      </c>
      <c r="G28" s="14" t="n">
        <f aca="false">'Fichas y precios'!M12</f>
        <v>85.2961045885508</v>
      </c>
      <c r="H28" s="14" t="n">
        <f aca="false">'Fichas y precios'!P12</f>
        <v>225</v>
      </c>
    </row>
    <row r="29" customFormat="false" ht="15" hidden="false" customHeight="false" outlineLevel="0" collapsed="false">
      <c r="A29" s="4" t="s">
        <v>855</v>
      </c>
      <c r="B29" s="33" t="n">
        <f aca="false">Producción!J57</f>
        <v>0</v>
      </c>
      <c r="D29" s="9" t="n">
        <v>22</v>
      </c>
      <c r="E29" s="9" t="s">
        <v>525</v>
      </c>
      <c r="F29" s="14" t="n">
        <f aca="false">'Fichas y precios'!E27</f>
        <v>55.2608333333333</v>
      </c>
      <c r="G29" s="14" t="n">
        <f aca="false">'Fichas y precios'!M27</f>
        <v>85.1204710144928</v>
      </c>
      <c r="H29" s="14" t="n">
        <f aca="false">'Fichas y precios'!P27</f>
        <v>225</v>
      </c>
    </row>
    <row r="30" customFormat="false" ht="15" hidden="false" customHeight="false" outlineLevel="0" collapsed="false">
      <c r="A30" s="4" t="s">
        <v>856</v>
      </c>
      <c r="B30" s="36" t="n">
        <f aca="false">Producción!K57</f>
        <v>0</v>
      </c>
      <c r="D30" s="9" t="n">
        <v>26</v>
      </c>
      <c r="E30" s="9" t="s">
        <v>550</v>
      </c>
      <c r="F30" s="14" t="n">
        <f aca="false">'Fichas y precios'!E31</f>
        <v>55.088</v>
      </c>
      <c r="G30" s="14" t="n">
        <f aca="false">'Fichas y precios'!M31</f>
        <v>84.9326086956522</v>
      </c>
      <c r="H30" s="14" t="n">
        <f aca="false">'Fichas y precios'!P31</f>
        <v>225</v>
      </c>
    </row>
    <row r="31" customFormat="false" ht="15" hidden="false" customHeight="false" outlineLevel="0" collapsed="false">
      <c r="D31" s="9" t="n">
        <v>3</v>
      </c>
      <c r="E31" s="9" t="s">
        <v>386</v>
      </c>
      <c r="F31" s="14" t="n">
        <f aca="false">'Fichas y precios'!E8</f>
        <v>54.71</v>
      </c>
      <c r="G31" s="14" t="n">
        <f aca="false">'Fichas y precios'!M8</f>
        <v>88.5978260869565</v>
      </c>
      <c r="H31" s="14" t="n">
        <f aca="false">'Fichas y precios'!P8</f>
        <v>235</v>
      </c>
    </row>
    <row r="32" customFormat="false" ht="15" hidden="false" customHeight="false" outlineLevel="0" collapsed="false">
      <c r="A32" s="4" t="s">
        <v>857</v>
      </c>
      <c r="B32" s="33" t="n">
        <f aca="false">Ventas!G4</f>
        <v>0</v>
      </c>
      <c r="D32" s="9" t="n">
        <v>5</v>
      </c>
      <c r="E32" s="9" t="s">
        <v>398</v>
      </c>
      <c r="F32" s="14" t="n">
        <f aca="false">'Fichas y precios'!E10</f>
        <v>53.3750563380282</v>
      </c>
      <c r="G32" s="14" t="n">
        <f aca="false">'Fichas y precios'!M10</f>
        <v>83.0707134109002</v>
      </c>
      <c r="H32" s="14" t="n">
        <f aca="false">'Fichas y precios'!P10</f>
        <v>220</v>
      </c>
    </row>
    <row r="33" customFormat="false" ht="15" hidden="false" customHeight="false" outlineLevel="0" collapsed="false">
      <c r="A33" s="4" t="s">
        <v>858</v>
      </c>
      <c r="B33" s="33" t="n">
        <f aca="false">Ventas!J4</f>
        <v>0</v>
      </c>
      <c r="D33" s="9" t="n">
        <v>44</v>
      </c>
      <c r="E33" s="9" t="s">
        <v>688</v>
      </c>
      <c r="F33" s="14" t="n">
        <f aca="false">'Fichas y precios'!E49</f>
        <v>53.175</v>
      </c>
      <c r="G33" s="14" t="n">
        <f aca="false">'Fichas y precios'!M49</f>
        <v>84.2119565217391</v>
      </c>
      <c r="H33" s="14" t="n">
        <f aca="false">'Fichas y precios'!P49</f>
        <v>225</v>
      </c>
    </row>
    <row r="34" customFormat="false" ht="15" hidden="false" customHeight="false" outlineLevel="0" collapsed="false">
      <c r="D34" s="9" t="n">
        <v>6</v>
      </c>
      <c r="E34" s="9" t="s">
        <v>406</v>
      </c>
      <c r="F34" s="14" t="n">
        <f aca="false">'Fichas y precios'!E11</f>
        <v>51.617338028169</v>
      </c>
      <c r="G34" s="14" t="n">
        <f aca="false">'Fichas y precios'!M11</f>
        <v>79.8014543784446</v>
      </c>
      <c r="H34" s="14" t="n">
        <f aca="false">'Fichas y precios'!P11</f>
        <v>215</v>
      </c>
    </row>
    <row r="35" customFormat="false" ht="15" hidden="false" customHeight="false" outlineLevel="0" collapsed="false">
      <c r="D35" s="9" t="n">
        <v>27</v>
      </c>
      <c r="E35" s="9" t="s">
        <v>556</v>
      </c>
      <c r="F35" s="14" t="n">
        <f aca="false">'Fichas y precios'!E32</f>
        <v>50.435</v>
      </c>
      <c r="G35" s="14" t="n">
        <f aca="false">'Fichas y precios'!M32</f>
        <v>83.9510869565217</v>
      </c>
      <c r="H35" s="14" t="n">
        <f aca="false">'Fichas y precios'!P32</f>
        <v>225</v>
      </c>
    </row>
    <row r="36" customFormat="false" ht="15" hidden="false" customHeight="false" outlineLevel="0" collapsed="false">
      <c r="D36" s="9" t="n">
        <v>2</v>
      </c>
      <c r="E36" s="9" t="s">
        <v>378</v>
      </c>
      <c r="F36" s="14" t="n">
        <f aca="false">'Fichas y precios'!E7</f>
        <v>48.9539014084507</v>
      </c>
      <c r="G36" s="14" t="n">
        <f aca="false">'Fichas y precios'!M7</f>
        <v>76.9064145744029</v>
      </c>
      <c r="H36" s="14" t="n">
        <f aca="false">'Fichas y precios'!P7</f>
        <v>205</v>
      </c>
    </row>
    <row r="37" customFormat="false" ht="15" hidden="false" customHeight="false" outlineLevel="0" collapsed="false">
      <c r="D37" s="9" t="n">
        <v>11</v>
      </c>
      <c r="E37" s="9" t="s">
        <v>445</v>
      </c>
      <c r="F37" s="14" t="n">
        <f aca="false">'Fichas y precios'!E16</f>
        <v>48.6505</v>
      </c>
      <c r="G37" s="14" t="n">
        <f aca="false">'Fichas y precios'!M16</f>
        <v>77.9353260869565</v>
      </c>
      <c r="H37" s="14" t="n">
        <f aca="false">'Fichas y precios'!P16</f>
        <v>210</v>
      </c>
    </row>
    <row r="38" customFormat="false" ht="15" hidden="false" customHeight="false" outlineLevel="0" collapsed="false">
      <c r="D38" s="9" t="n">
        <v>9</v>
      </c>
      <c r="E38" s="9" t="s">
        <v>431</v>
      </c>
      <c r="F38" s="14" t="n">
        <f aca="false">'Fichas y precios'!E14</f>
        <v>47.96</v>
      </c>
      <c r="G38" s="14" t="n">
        <f aca="false">'Fichas y precios'!M14</f>
        <v>78.5434782608696</v>
      </c>
      <c r="H38" s="14" t="n">
        <f aca="false">'Fichas y precios'!P14</f>
        <v>210</v>
      </c>
    </row>
    <row r="39" customFormat="false" ht="15" hidden="false" customHeight="false" outlineLevel="0" collapsed="false">
      <c r="D39" s="9" t="n">
        <v>17</v>
      </c>
      <c r="E39" s="9" t="s">
        <v>490</v>
      </c>
      <c r="F39" s="14" t="n">
        <f aca="false">'Fichas y precios'!E22</f>
        <v>47.7663333333333</v>
      </c>
      <c r="G39" s="14" t="n">
        <f aca="false">'Fichas y precios'!M22</f>
        <v>76.9742753623188</v>
      </c>
      <c r="H39" s="14" t="n">
        <f aca="false">'Fichas y precios'!P22</f>
        <v>205</v>
      </c>
    </row>
    <row r="40" customFormat="false" ht="15" hidden="false" customHeight="false" outlineLevel="0" collapsed="false">
      <c r="D40" s="9" t="n">
        <v>33</v>
      </c>
      <c r="E40" s="9" t="s">
        <v>601</v>
      </c>
      <c r="F40" s="14" t="n">
        <f aca="false">'Fichas y precios'!E38</f>
        <v>46.811</v>
      </c>
      <c r="G40" s="14" t="n">
        <f aca="false">'Fichas y precios'!M38</f>
        <v>77.2945652173913</v>
      </c>
      <c r="H40" s="14" t="n">
        <f aca="false">'Fichas y precios'!P38</f>
        <v>205</v>
      </c>
    </row>
    <row r="41" customFormat="false" ht="15" hidden="false" customHeight="false" outlineLevel="0" collapsed="false">
      <c r="D41" s="9" t="n">
        <v>4</v>
      </c>
      <c r="E41" s="9" t="s">
        <v>392</v>
      </c>
      <c r="F41" s="14" t="n">
        <f aca="false">'Fichas y precios'!E9</f>
        <v>45.43775</v>
      </c>
      <c r="G41" s="14" t="n">
        <f aca="false">'Fichas y precios'!M9</f>
        <v>74.4432065217391</v>
      </c>
      <c r="H41" s="14" t="n">
        <f aca="false">'Fichas y precios'!P9</f>
        <v>200</v>
      </c>
    </row>
    <row r="42" customFormat="false" ht="15" hidden="false" customHeight="false" outlineLevel="0" collapsed="false">
      <c r="D42" s="9" t="n">
        <v>38</v>
      </c>
      <c r="E42" s="9" t="s">
        <v>638</v>
      </c>
      <c r="F42" s="14" t="n">
        <f aca="false">'Fichas y precios'!E43</f>
        <v>44.1948309859155</v>
      </c>
      <c r="G42" s="14" t="n">
        <f aca="false">'Fichas y precios'!M43</f>
        <v>77.1682945499081</v>
      </c>
      <c r="H42" s="14" t="n">
        <f aca="false">'Fichas y precios'!P43</f>
        <v>205</v>
      </c>
    </row>
    <row r="43" customFormat="false" ht="15" hidden="false" customHeight="false" outlineLevel="0" collapsed="false">
      <c r="D43" s="9" t="n">
        <v>49</v>
      </c>
      <c r="E43" s="9" t="s">
        <v>724</v>
      </c>
      <c r="F43" s="14" t="n">
        <f aca="false">'Fichas y precios'!E54</f>
        <v>42.68</v>
      </c>
      <c r="G43" s="14" t="n">
        <f aca="false">'Fichas y precios'!M54</f>
        <v>71.445652173913</v>
      </c>
      <c r="H43" s="14" t="n">
        <f aca="false">'Fichas y precios'!P54</f>
        <v>190</v>
      </c>
    </row>
    <row r="44" customFormat="false" ht="15" hidden="false" customHeight="false" outlineLevel="0" collapsed="false">
      <c r="D44" s="9" t="n">
        <v>48</v>
      </c>
      <c r="E44" s="9" t="s">
        <v>717</v>
      </c>
      <c r="F44" s="14" t="n">
        <f aca="false">'Fichas y precios'!E53</f>
        <v>42.18</v>
      </c>
      <c r="G44" s="14" t="n">
        <f aca="false">'Fichas y precios'!M53</f>
        <v>74.9782608695652</v>
      </c>
      <c r="H44" s="14" t="n">
        <f aca="false">'Fichas y precios'!P53</f>
        <v>200</v>
      </c>
    </row>
    <row r="45" customFormat="false" ht="15" hidden="false" customHeight="false" outlineLevel="0" collapsed="false">
      <c r="D45" s="9" t="n">
        <v>34</v>
      </c>
      <c r="E45" s="9" t="s">
        <v>608</v>
      </c>
      <c r="F45" s="14" t="n">
        <f aca="false">'Fichas y precios'!E39</f>
        <v>41.4833333333333</v>
      </c>
      <c r="G45" s="14" t="n">
        <f aca="false">'Fichas y precios'!M39</f>
        <v>71.5036231884058</v>
      </c>
      <c r="H45" s="14" t="n">
        <f aca="false">'Fichas y precios'!P39</f>
        <v>190</v>
      </c>
    </row>
    <row r="46" customFormat="false" ht="15" hidden="false" customHeight="false" outlineLevel="0" collapsed="false">
      <c r="D46" s="9" t="n">
        <v>19</v>
      </c>
      <c r="E46" s="9" t="s">
        <v>506</v>
      </c>
      <c r="F46" s="14" t="n">
        <f aca="false">'Fichas y precios'!E24</f>
        <v>40.5772535211268</v>
      </c>
      <c r="G46" s="14" t="n">
        <f aca="false">'Fichas y precios'!M24</f>
        <v>70.5187538273117</v>
      </c>
      <c r="H46" s="14" t="n">
        <f aca="false">'Fichas y precios'!P24</f>
        <v>190</v>
      </c>
    </row>
    <row r="47" customFormat="false" ht="15" hidden="false" customHeight="false" outlineLevel="0" collapsed="false">
      <c r="D47" s="9" t="n">
        <v>8</v>
      </c>
      <c r="E47" s="9" t="s">
        <v>424</v>
      </c>
      <c r="F47" s="14" t="n">
        <f aca="false">'Fichas y precios'!E13</f>
        <v>38.53</v>
      </c>
      <c r="G47" s="14" t="n">
        <f aca="false">'Fichas y precios'!M13</f>
        <v>66.9347826086956</v>
      </c>
      <c r="H47" s="14" t="n">
        <f aca="false">'Fichas y precios'!P13</f>
        <v>180</v>
      </c>
    </row>
    <row r="48" customFormat="false" ht="15" hidden="false" customHeight="false" outlineLevel="0" collapsed="false">
      <c r="D48" s="9" t="n">
        <v>31</v>
      </c>
      <c r="E48" s="9" t="s">
        <v>587</v>
      </c>
      <c r="F48" s="14" t="n">
        <f aca="false">'Fichas y precios'!E36</f>
        <v>38.36</v>
      </c>
      <c r="G48" s="14" t="n">
        <f aca="false">'Fichas y precios'!M36</f>
        <v>68.1086956521739</v>
      </c>
      <c r="H48" s="14" t="n">
        <f aca="false">'Fichas y precios'!P36</f>
        <v>180</v>
      </c>
    </row>
    <row r="49" customFormat="false" ht="15" hidden="false" customHeight="false" outlineLevel="0" collapsed="false">
      <c r="D49" s="9" t="n">
        <v>35</v>
      </c>
      <c r="E49" s="9" t="s">
        <v>616</v>
      </c>
      <c r="F49" s="14" t="n">
        <f aca="false">'Fichas y precios'!E40</f>
        <v>36.5433333333333</v>
      </c>
      <c r="G49" s="14" t="n">
        <f aca="false">'Fichas y precios'!M40</f>
        <v>64.7753623188406</v>
      </c>
      <c r="H49" s="14" t="n">
        <f aca="false">'Fichas y precios'!P40</f>
        <v>175</v>
      </c>
    </row>
    <row r="50" customFormat="false" ht="15" hidden="false" customHeight="false" outlineLevel="0" collapsed="false">
      <c r="D50" s="9" t="n">
        <v>42</v>
      </c>
      <c r="E50" s="9" t="s">
        <v>672</v>
      </c>
      <c r="F50" s="14" t="n">
        <f aca="false">'Fichas y precios'!E47</f>
        <v>36.442691597863</v>
      </c>
      <c r="G50" s="14" t="n">
        <f aca="false">'Fichas y precios'!M47</f>
        <v>63.3072734759381</v>
      </c>
      <c r="H50" s="14" t="n">
        <f aca="false">'Fichas y precios'!P47</f>
        <v>170</v>
      </c>
    </row>
    <row r="51" customFormat="false" ht="15" hidden="false" customHeight="false" outlineLevel="0" collapsed="false">
      <c r="D51" s="9" t="n">
        <v>43</v>
      </c>
      <c r="E51" s="9" t="s">
        <v>682</v>
      </c>
      <c r="F51" s="14" t="n">
        <f aca="false">'Fichas y precios'!E48</f>
        <v>36.034</v>
      </c>
      <c r="G51" s="14" t="n">
        <f aca="false">'Fichas y precios'!M48</f>
        <v>62.8630434782609</v>
      </c>
      <c r="H51" s="14" t="n">
        <f aca="false">'Fichas y precios'!P48</f>
        <v>170</v>
      </c>
    </row>
    <row r="52" customFormat="false" ht="15" hidden="false" customHeight="false" outlineLevel="0" collapsed="false">
      <c r="D52" s="9" t="n">
        <v>20</v>
      </c>
      <c r="E52" s="9" t="s">
        <v>513</v>
      </c>
      <c r="F52" s="14" t="n">
        <f aca="false">'Fichas y precios'!E25</f>
        <v>35.394</v>
      </c>
      <c r="G52" s="14" t="n">
        <f aca="false">'Fichas y precios'!M25</f>
        <v>63.5260869565217</v>
      </c>
      <c r="H52" s="14" t="n">
        <f aca="false">'Fichas y precios'!P25</f>
        <v>170</v>
      </c>
    </row>
    <row r="53" customFormat="false" ht="15" hidden="false" customHeight="false" outlineLevel="0" collapsed="false">
      <c r="D53" s="9" t="n">
        <v>37</v>
      </c>
      <c r="E53" s="9" t="s">
        <v>628</v>
      </c>
      <c r="F53" s="14" t="n">
        <f aca="false">'Fichas y precios'!E42</f>
        <v>33.8502039825158</v>
      </c>
      <c r="G53" s="14" t="n">
        <f aca="false">'Fichas y precios'!M42</f>
        <v>60.4893521549085</v>
      </c>
      <c r="H53" s="14" t="n">
        <f aca="false">'Fichas y precios'!P42</f>
        <v>160</v>
      </c>
    </row>
    <row r="54" customFormat="false" ht="15" hidden="false" customHeight="false" outlineLevel="0" collapsed="false">
      <c r="D54" s="9" t="n">
        <v>36</v>
      </c>
      <c r="E54" s="9" t="s">
        <v>623</v>
      </c>
      <c r="F54" s="14" t="n">
        <f aca="false">'Fichas y precios'!E41</f>
        <v>29.418</v>
      </c>
      <c r="G54" s="14" t="n">
        <f aca="false">'Fichas y precios'!M41</f>
        <v>55.6717391304348</v>
      </c>
      <c r="H54" s="14" t="n">
        <f aca="false">'Fichas y precios'!P41</f>
        <v>150</v>
      </c>
    </row>
    <row r="55" customFormat="false" ht="15" hidden="false" customHeight="false" outlineLevel="0" collapsed="false">
      <c r="D55" s="9" t="n">
        <v>30</v>
      </c>
      <c r="E55" s="9" t="s">
        <v>580</v>
      </c>
      <c r="F55" s="14" t="n">
        <f aca="false">'Fichas y precios'!E35</f>
        <v>29.3489154929577</v>
      </c>
      <c r="G55" s="14" t="n">
        <f aca="false">'Fichas y precios'!M35</f>
        <v>61.0314298836497</v>
      </c>
      <c r="H55" s="14" t="n">
        <f aca="false">'Fichas y precios'!P35</f>
        <v>165</v>
      </c>
    </row>
    <row r="56" customFormat="false" ht="15" hidden="false" customHeight="false" outlineLevel="0" collapsed="false">
      <c r="D56" s="9" t="n">
        <v>39</v>
      </c>
      <c r="E56" s="9" t="s">
        <v>647</v>
      </c>
      <c r="F56" s="14" t="n">
        <f aca="false">'Fichas y precios'!E44</f>
        <v>25.6261690140845</v>
      </c>
      <c r="G56" s="14" t="n">
        <f aca="false">'Fichas y precios'!M44</f>
        <v>51.5501837109614</v>
      </c>
      <c r="H56" s="14" t="n">
        <f aca="false">'Fichas y precios'!P44</f>
        <v>140</v>
      </c>
    </row>
    <row r="57" customFormat="false" ht="15" hidden="false" customHeight="false" outlineLevel="0" collapsed="false">
      <c r="D57" s="9" t="n">
        <v>29</v>
      </c>
      <c r="E57" s="9" t="s">
        <v>573</v>
      </c>
      <c r="F57" s="14" t="n">
        <f aca="false">'Fichas y precios'!E34</f>
        <v>19.26</v>
      </c>
      <c r="G57" s="14" t="n">
        <f aca="false">'Fichas y precios'!M34</f>
        <v>47.3478260869565</v>
      </c>
      <c r="H57" s="14" t="n">
        <f aca="false">'Fichas y precios'!P34</f>
        <v>125</v>
      </c>
    </row>
    <row r="59" customFormat="false" ht="15" hidden="false" customHeight="false" outlineLevel="0" collapsed="false">
      <c r="D59" s="37" t="s">
        <v>2</v>
      </c>
    </row>
    <row r="60" customFormat="false" ht="15" hidden="false" customHeight="false" outlineLevel="0" collapsed="false">
      <c r="D60" s="2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2026-09-05T19:19:52Z</dcterms:created>
  <dc:creator>openpyxl</dc:creator>
  <dc:description/>
  <dc:language>en-US</dc:language>
  <cp:lastModifiedBy/>
  <dcterms:modified xsi:type="dcterms:W3CDTF">2026-09-05T19:19:52Z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