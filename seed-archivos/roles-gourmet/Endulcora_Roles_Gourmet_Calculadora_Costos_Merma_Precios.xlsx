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ame" sheetId="1" state="visible" r:id="rId3"/>
    <sheet name="1. Insumos" sheetId="2" state="visible" r:id="rId4"/>
    <sheet name="2. Masas Base" sheetId="3" state="visible" r:id="rId5"/>
    <sheet name="3. Rellenos y Cubiertas" sheetId="4" state="visible" r:id="rId6"/>
    <sheet name="4. Costeo y Precios" sheetId="5" state="visible" r:id="rId7"/>
    <sheet name="5. Producción y Merma" sheetId="6" state="visible" r:id="rId8"/>
    <sheet name="6. Ventas" sheetId="7" state="visible" r:id="rId9"/>
    <sheet name="7. Gastos Fijos" sheetId="8" state="visible" r:id="rId10"/>
    <sheet name="8. Tablero" sheetId="9" state="visible" r:id="rId11"/>
  </sheets>
  <definedNames>
    <definedName function="false" hidden="true" localSheetId="1" name="_xlnm._FilterDatabase" vbProcedure="false">'1. Insumos'!$A$4:$I$137</definedName>
    <definedName function="false" hidden="true" localSheetId="2" name="_xlnm._FilterDatabase" vbProcedure="false">'2. Masas Base'!$A$4:$H$51</definedName>
    <definedName function="false" hidden="true" localSheetId="3" name="_xlnm._FilterDatabase" vbProcedure="false">'3. Rellenos y Cubiertas'!$A$4:$I$345</definedName>
    <definedName function="false" hidden="true" localSheetId="4" name="_xlnm._FilterDatabase" vbProcedure="false">'4. Costeo y Precios'!$A$13:$Z$64</definedName>
    <definedName function="false" hidden="true" localSheetId="5" name="_xlnm._FilterDatabase" vbProcedure="false">'5. Producción y Merma'!$A$7:$L$207</definedName>
    <definedName function="false" hidden="true" localSheetId="6" name="_xlnm._FilterDatabase" vbProcedure="false">'6. Ventas'!$A$7:$N$407</definedName>
    <definedName function="false" hidden="true" localSheetId="8" name="_xlnm._FilterDatabase" vbProcedure="false">'8. Tablero'!$A$29:$F$80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<sst xmlns="http://schemas.openxmlformats.org/spreadsheetml/2006/main" count="2788" uniqueCount="757">
  <si>
    <t xml:space="preserve">ROLES GOURMET · Calculadora de Costos, Merma y Precios</t>
  </si>
  <si>
    <t xml:space="preserve">Endulcora · Estudio Gastronómico — herramienta complementaria del eBook «Roles Gourmet: El Arte de la Masa Enriquecida»</t>
  </si>
  <si>
    <t xml:space="preserve">CÓMO USAR ESTE ARCHIVO</t>
  </si>
  <si>
    <t xml:space="preserve">Orden de trabajo</t>
  </si>
  <si>
    <t xml:space="preserve">1) Actualiza precios en «1. Insumos» → 2) Revisa las cuatro masas en «2. Masas Base» → 3) Revisa «4. Costeo y Precios» → 4) Registra cada horneada en «5. Producción y Merma» → 5) Registra cada venta en «6. Ventas» → 6) Lee resultados en «8. Tablero».</t>
  </si>
  <si>
    <t xml:space="preserve">1. Insumos</t>
  </si>
  <si>
    <t xml:space="preserve">Catálogo con los 133 insumos que aparecen en las 51 recetas y las 4 masas del libro. Escribe la presentación que compras y su precio; el costo por gramo, mililitro o pieza se calcula solo. Los precios vienen precargados como REFERENCIA (CDMX 2026) y debes reemplazarlos por los tuyos.</t>
  </si>
  <si>
    <t xml:space="preserve">2. Masas Base</t>
  </si>
  <si>
    <t xml:space="preserve">Las cuatro fórmulas madre: 00A Masa Maestra Universal, 00B Masa Negra de Cacao, 00C Masa Salada y Umami, 00D Masa Madre. Cada lote rinde 12 roles. Aquí se calcula el costo de la masa, que después se suma a cada receta. Es la particularidad de este negocio: el rol se cotiza en dos capas, masa y relleno.</t>
  </si>
  <si>
    <t xml:space="preserve">3. Rellenos y Cubiertas</t>
  </si>
  <si>
    <t xml:space="preserve">Las 341 líneas de relleno, glaseado y decoración de las 51 recetas, con su costo por lote.</t>
  </si>
  <si>
    <t xml:space="preserve">4. Costeo y Precios</t>
  </si>
  <si>
    <t xml:space="preserve">El corazón del archivo. Suma masa + relleno, lo divide entre 12 roles, agrega empaque, energía, mano de obra y overhead, aplica la merma y calcula el precio sugerido para los cuatro canales del libro. Edita solo las columnas azules.</t>
  </si>
  <si>
    <t xml:space="preserve">5. Producción y Merma</t>
  </si>
  <si>
    <t xml:space="preserve">Bitácora de cada horneada: roles buenos, roles fallidos, causa y costo real de lo perdido. En masa enriquecida y fermentada la merma se concentra en la fermentación y el armado.</t>
  </si>
  <si>
    <t xml:space="preserve">6. Ventas</t>
  </si>
  <si>
    <t xml:space="preserve">Bitácora de ventas por pieza y canal, con comisiones de plataforma y utilidad neta automática.</t>
  </si>
  <si>
    <t xml:space="preserve">7. Gastos Fijos</t>
  </si>
  <si>
    <t xml:space="preserve">Renta, servicios, publicidad y tu sueldo. De aquí salen el overhead por rol, el costo por hora y el punto de equilibrio.</t>
  </si>
  <si>
    <t xml:space="preserve">8. Tablero</t>
  </si>
  <si>
    <t xml:space="preserve">Resumen del mes que elijas: ingresos, utilidad, margen, merma, ranking de recetas y avance hacia el punto de equilibrio.</t>
  </si>
  <si>
    <t xml:space="preserve">CÓDIGO DE COLORES</t>
  </si>
  <si>
    <t xml:space="preserve">Texto azul sobre fondo crema</t>
  </si>
  <si>
    <t xml:space="preserve">Celda que TÚ editas (dato de entrada). Es lo único que debes escribir.</t>
  </si>
  <si>
    <t xml:space="preserve">Texto azul sobre fondo amarillo</t>
  </si>
  <si>
    <t xml:space="preserve">Parámetro global o de mes. Cámbialo y todo el archivo se recalcula.</t>
  </si>
  <si>
    <t xml:space="preserve">Texto negro</t>
  </si>
  <si>
    <t xml:space="preserve">Resultado calculado por fórmula. No lo escribas a mano.</t>
  </si>
  <si>
    <t xml:space="preserve">Texto verde</t>
  </si>
  <si>
    <t xml:space="preserve">Resultado que viene de otra hoja del mismo archivo.</t>
  </si>
  <si>
    <t xml:space="preserve">Fondo crema claro</t>
  </si>
  <si>
    <t xml:space="preserve">Resultado destacado: costo unitario, precios sugeridos y KPI del tablero.</t>
  </si>
  <si>
    <t xml:space="preserve">LA LÓGICA DE COSTEO DE UN ROL</t>
  </si>
  <si>
    <t xml:space="preserve">Dos capas</t>
  </si>
  <si>
    <t xml:space="preserve">A diferencia de un pastel, un rol se costea en dos capas: (1) el lote de masa base, que rinde 12 roles y cuesta lo mismo para muchas recetas, y (2) el relleno y la cubierta, que es lo que cambia y lo que dispara el precio. Un Rol de Canela y un Rol Volcán de Pistache comparten exactamente la misma masa; lo que los separa es el relleno.</t>
  </si>
  <si>
    <t xml:space="preserve">AVISO IMPORTANTE</t>
  </si>
  <si>
    <t xml:space="preserve">Los precios precargados son de REFERENCIA (Ciudad de México, 2026). Cotiza con tus proveedores y sustitúyelos antes de fijar cualquier precio de venta.</t>
  </si>
  <si>
    <t xml:space="preserve">Seis recetas del Capítulo 9 son saladas (ajo y parmesano, pesto, queso azul, trufa, tocino y maple, stout y cheddar). Llevan queso, hongos o cárnicos y tienen vida útil más corta y requisitos de refrigeración distintos: revísalos en el capítulo de conservación del eBook antes de venderlos.</t>
  </si>
  <si>
    <t xml:space="preserve">Este archivo es una herramienta de costeo. Verifica los requisitos sanitarios y fiscales vigentes en tu localidad antes de comercializar.</t>
  </si>
  <si>
    <t xml:space="preserve">Endulcora · Estudio Gastronómico  ·  Contacto e inscripciones a talleres: 5665271901</t>
  </si>
  <si>
    <t xml:space="preserve">1 · CATÁLOGO DE INSUMOS</t>
  </si>
  <si>
    <t xml:space="preserve">Escribe la presentación que compras y su precio. El costo por unidad se recalcula solo y actualiza masas y recetas.</t>
  </si>
  <si>
    <t xml:space="preserve">Categoría</t>
  </si>
  <si>
    <t xml:space="preserve">Insumo</t>
  </si>
  <si>
    <t xml:space="preserve">Unidad base</t>
  </si>
  <si>
    <t xml:space="preserve">Cantidad de la presentación</t>
  </si>
  <si>
    <t xml:space="preserve">Precio de compra (MXN)</t>
  </si>
  <si>
    <t xml:space="preserve">Costo por unidad (MXN)</t>
  </si>
  <si>
    <t xml:space="preserve">Proveedor</t>
  </si>
  <si>
    <t xml:space="preserve">Última actualización</t>
  </si>
  <si>
    <t xml:space="preserve">Notas</t>
  </si>
  <si>
    <t xml:space="preserve">Harinas y secos</t>
  </si>
  <si>
    <t xml:space="preserve">Harina de fuerza (alto gluten)</t>
  </si>
  <si>
    <t xml:space="preserve">g</t>
  </si>
  <si>
    <t xml:space="preserve">Precio de referencia — actualízalo</t>
  </si>
  <si>
    <t xml:space="preserve">Harina de trigo todo uso</t>
  </si>
  <si>
    <t xml:space="preserve">Harina de almendra</t>
  </si>
  <si>
    <t xml:space="preserve">Fécula de maíz</t>
  </si>
  <si>
    <t xml:space="preserve">Masa madre activa (cultivo propio)</t>
  </si>
  <si>
    <t xml:space="preserve">Galleta María o Graham</t>
  </si>
  <si>
    <t xml:space="preserve">Galleta Lotus Biscoff</t>
  </si>
  <si>
    <t xml:space="preserve">Galleta de barquillo</t>
  </si>
  <si>
    <t xml:space="preserve">Azúcares</t>
  </si>
  <si>
    <t xml:space="preserve">Azúcar refinada</t>
  </si>
  <si>
    <t xml:space="preserve">Azúcar glass</t>
  </si>
  <si>
    <t xml:space="preserve">Azúcar mascabado</t>
  </si>
  <si>
    <t xml:space="preserve">Piloncillo</t>
  </si>
  <si>
    <t xml:space="preserve">Miel de abeja</t>
  </si>
  <si>
    <t xml:space="preserve">Jarabe de maple puro</t>
  </si>
  <si>
    <t xml:space="preserve">ml</t>
  </si>
  <si>
    <t xml:space="preserve">Glucosa líquida</t>
  </si>
  <si>
    <t xml:space="preserve">Lácteos y huevo</t>
  </si>
  <si>
    <t xml:space="preserve">Mantequilla sin sal</t>
  </si>
  <si>
    <t xml:space="preserve">Leche entera</t>
  </si>
  <si>
    <t xml:space="preserve">Crema para batir (Nata 35% M.G.)</t>
  </si>
  <si>
    <t xml:space="preserve">Queso crema original</t>
  </si>
  <si>
    <t xml:space="preserve">Queso mascarpone</t>
  </si>
  <si>
    <t xml:space="preserve">Leche condensada</t>
  </si>
  <si>
    <t xml:space="preserve">Leche evaporada</t>
  </si>
  <si>
    <t xml:space="preserve">Media crema</t>
  </si>
  <si>
    <t xml:space="preserve">Huevo entero</t>
  </si>
  <si>
    <t xml:space="preserve">pza</t>
  </si>
  <si>
    <t xml:space="preserve">Yema de huevo</t>
  </si>
  <si>
    <t xml:space="preserve">Clara de huevo</t>
  </si>
  <si>
    <t xml:space="preserve">Manteca vegetal</t>
  </si>
  <si>
    <t xml:space="preserve">Quesos de autor</t>
  </si>
  <si>
    <t xml:space="preserve">Queso parmigiano reggiano</t>
  </si>
  <si>
    <t xml:space="preserve">Queso cotija genuino</t>
  </si>
  <si>
    <t xml:space="preserve">Queso brie</t>
  </si>
  <si>
    <t xml:space="preserve">Queso azul</t>
  </si>
  <si>
    <t xml:space="preserve">Queso gruyère</t>
  </si>
  <si>
    <t xml:space="preserve">Queso cheddar añejado</t>
  </si>
  <si>
    <t xml:space="preserve">Queso provolone o mozzarella baja humedad</t>
  </si>
  <si>
    <t xml:space="preserve">Chocolate y cacao</t>
  </si>
  <si>
    <t xml:space="preserve">Chocolate semi-amargo (54-70%)</t>
  </si>
  <si>
    <t xml:space="preserve">Chispas de chocolate semi-amargo</t>
  </si>
  <si>
    <t xml:space="preserve">Chocolate con leche</t>
  </si>
  <si>
    <t xml:space="preserve">Chocolate blanco de cobertura</t>
  </si>
  <si>
    <t xml:space="preserve">Chispas de chocolate blanco</t>
  </si>
  <si>
    <t xml:space="preserve">Chocolate rubí en callets</t>
  </si>
  <si>
    <t xml:space="preserve">Chocolate Gold (rubio)</t>
  </si>
  <si>
    <t xml:space="preserve">Chocolate mexicano de mesa</t>
  </si>
  <si>
    <t xml:space="preserve">Cocoa alcalina en polvo</t>
  </si>
  <si>
    <t xml:space="preserve">Cocoa natural en polvo</t>
  </si>
  <si>
    <t xml:space="preserve">Manteca de cacao pura</t>
  </si>
  <si>
    <t xml:space="preserve">Crema de cacao y avellana</t>
  </si>
  <si>
    <t xml:space="preserve">Crema dulce de pistache</t>
  </si>
  <si>
    <t xml:space="preserve">Crema Lotus Biscoff</t>
  </si>
  <si>
    <t xml:space="preserve">Crema de cacahuate</t>
  </si>
  <si>
    <t xml:space="preserve">Frutos secos</t>
  </si>
  <si>
    <t xml:space="preserve">Nuez pecana</t>
  </si>
  <si>
    <t xml:space="preserve">Nuez de Castilla</t>
  </si>
  <si>
    <t xml:space="preserve">Nuez macadamia</t>
  </si>
  <si>
    <t xml:space="preserve">Almendra entera</t>
  </si>
  <si>
    <t xml:space="preserve">Almendra fileteada</t>
  </si>
  <si>
    <t xml:space="preserve">Avellana</t>
  </si>
  <si>
    <t xml:space="preserve">Pistache sin sal</t>
  </si>
  <si>
    <t xml:space="preserve">Cacahuate</t>
  </si>
  <si>
    <t xml:space="preserve">Piñón blanco</t>
  </si>
  <si>
    <t xml:space="preserve">Semillas de amapola</t>
  </si>
  <si>
    <t xml:space="preserve">Semillas de sésamo</t>
  </si>
  <si>
    <t xml:space="preserve">Frutas y compotas</t>
  </si>
  <si>
    <t xml:space="preserve">Manzana Granny Smith</t>
  </si>
  <si>
    <t xml:space="preserve">Plátano</t>
  </si>
  <si>
    <t xml:space="preserve">Zanahoria</t>
  </si>
  <si>
    <t xml:space="preserve">Camote</t>
  </si>
  <si>
    <t xml:space="preserve">Frutos rojos mixtos</t>
  </si>
  <si>
    <t xml:space="preserve">Frambuesa liofilizada</t>
  </si>
  <si>
    <t xml:space="preserve">Cereza tipo amarena</t>
  </si>
  <si>
    <t xml:space="preserve">Pulpa de maracuyá</t>
  </si>
  <si>
    <t xml:space="preserve">Pulpa de tamarindo</t>
  </si>
  <si>
    <t xml:space="preserve">Limón amarillo</t>
  </si>
  <si>
    <t xml:space="preserve">Naranja</t>
  </si>
  <si>
    <t xml:space="preserve">Uvas pasas</t>
  </si>
  <si>
    <t xml:space="preserve">Ate de frutas</t>
  </si>
  <si>
    <t xml:space="preserve">Higo cristalizado</t>
  </si>
  <si>
    <t xml:space="preserve">Cáscara de naranja confitada</t>
  </si>
  <si>
    <t xml:space="preserve">Mango deshidratado</t>
  </si>
  <si>
    <t xml:space="preserve">Pétalos de rosa deshidratados</t>
  </si>
  <si>
    <t xml:space="preserve">Champiñón y hongo cremini</t>
  </si>
  <si>
    <t xml:space="preserve">Chalota</t>
  </si>
  <si>
    <t xml:space="preserve">Ajo</t>
  </si>
  <si>
    <t xml:space="preserve">Dulces y untables</t>
  </si>
  <si>
    <t xml:space="preserve">Dulce de leche repostero</t>
  </si>
  <si>
    <t xml:space="preserve">Cajeta horneable</t>
  </si>
  <si>
    <t xml:space="preserve">Mermelada de higo</t>
  </si>
  <si>
    <t xml:space="preserve">Mermelada de guayaba</t>
  </si>
  <si>
    <t xml:space="preserve">Mermelada de naranja</t>
  </si>
  <si>
    <t xml:space="preserve">Jalea de uva o fresa</t>
  </si>
  <si>
    <t xml:space="preserve">Jalea de chabacano</t>
  </si>
  <si>
    <t xml:space="preserve">Compota de higo</t>
  </si>
  <si>
    <t xml:space="preserve">Chamoy líquido</t>
  </si>
  <si>
    <t xml:space="preserve">Malvavisco</t>
  </si>
  <si>
    <t xml:space="preserve">Mazapán de cacahuate</t>
  </si>
  <si>
    <t xml:space="preserve">Crema pastelera de vainilla (elaboración propia)</t>
  </si>
  <si>
    <t xml:space="preserve">Arroz con leche (elaboración propia)</t>
  </si>
  <si>
    <t xml:space="preserve">Ganache oscuro (elaboración propia)</t>
  </si>
  <si>
    <t xml:space="preserve">Pesto genovés</t>
  </si>
  <si>
    <t xml:space="preserve">Aromáticos</t>
  </si>
  <si>
    <t xml:space="preserve">Extracto de vainilla de Papantla</t>
  </si>
  <si>
    <t xml:space="preserve">Pasta de vainilla</t>
  </si>
  <si>
    <t xml:space="preserve">Extracto de almendra</t>
  </si>
  <si>
    <t xml:space="preserve">Canela en polvo (Ceilán)</t>
  </si>
  <si>
    <t xml:space="preserve">Raja de canela</t>
  </si>
  <si>
    <t xml:space="preserve">Jengibre en polvo</t>
  </si>
  <si>
    <t xml:space="preserve">Nuez moscada</t>
  </si>
  <si>
    <t xml:space="preserve">Clavo de olor molido</t>
  </si>
  <si>
    <t xml:space="preserve">Anís estrella</t>
  </si>
  <si>
    <t xml:space="preserve">Cardamomo</t>
  </si>
  <si>
    <t xml:space="preserve">Azafrán</t>
  </si>
  <si>
    <t xml:space="preserve">Lavanda culinaria seca</t>
  </si>
  <si>
    <t xml:space="preserve">Té Earl Grey</t>
  </si>
  <si>
    <t xml:space="preserve">Té matcha grado culinario</t>
  </si>
  <si>
    <t xml:space="preserve">Café espresso preparado</t>
  </si>
  <si>
    <t xml:space="preserve">Café soluble</t>
  </si>
  <si>
    <t xml:space="preserve">Agua de azahar</t>
  </si>
  <si>
    <t xml:space="preserve">Agua de rosas</t>
  </si>
  <si>
    <t xml:space="preserve">Pimienta negra</t>
  </si>
  <si>
    <t xml:space="preserve">Chile en polvo</t>
  </si>
  <si>
    <t xml:space="preserve">Romero fresco</t>
  </si>
  <si>
    <t xml:space="preserve">Albahaca fresca</t>
  </si>
  <si>
    <t xml:space="preserve">Aceite de trufa negra</t>
  </si>
  <si>
    <t xml:space="preserve">Colorante en gel</t>
  </si>
  <si>
    <t xml:space="preserve">Licores</t>
  </si>
  <si>
    <t xml:space="preserve">Ron oscuro</t>
  </si>
  <si>
    <t xml:space="preserve">Kirsch o brandy</t>
  </si>
  <si>
    <t xml:space="preserve">Licor de café o amaretto</t>
  </si>
  <si>
    <t xml:space="preserve">Rompope</t>
  </si>
  <si>
    <t xml:space="preserve">Cerveza negra (stout)</t>
  </si>
  <si>
    <t xml:space="preserve">Cárnicos</t>
  </si>
  <si>
    <t xml:space="preserve">Tocino ahumado de corte grueso</t>
  </si>
  <si>
    <t xml:space="preserve">Aditivos</t>
  </si>
  <si>
    <t xml:space="preserve">Levadura seca instantánea</t>
  </si>
  <si>
    <t xml:space="preserve">Sal fina</t>
  </si>
  <si>
    <t xml:space="preserve">Sal de mar en escamas</t>
  </si>
  <si>
    <t xml:space="preserve">Vinagre blanco</t>
  </si>
  <si>
    <t xml:space="preserve">Aceite vegetal</t>
  </si>
  <si>
    <t xml:space="preserve">Aceite de oliva</t>
  </si>
  <si>
    <t xml:space="preserve">Agua purificada</t>
  </si>
  <si>
    <t xml:space="preserve">Pasta de miso blanco</t>
  </si>
  <si>
    <t xml:space="preserve">Fuente: promedio de mayoristas, tiendas de insumos de repostería y tiendas en línea de la Ciudad de México (referencia 2026, IVA incluido). Punto de partida, no cotización.</t>
  </si>
  <si>
    <t xml:space="preserve">2 · LAS CUATRO MASAS BASE</t>
  </si>
  <si>
    <t xml:space="preserve">Cada lote rinde 12 roles. El costo de la masa se suma automáticamente a cada receta de la hoja 4.</t>
  </si>
  <si>
    <t xml:space="preserve">Fórmula</t>
  </si>
  <si>
    <t xml:space="preserve">Masa</t>
  </si>
  <si>
    <t xml:space="preserve">Cantidad</t>
  </si>
  <si>
    <t xml:space="preserve">Unidad</t>
  </si>
  <si>
    <t xml:space="preserve">Costo del ingrediente (MXN)</t>
  </si>
  <si>
    <t xml:space="preserve">Descripción original del libro</t>
  </si>
  <si>
    <t xml:space="preserve">00A</t>
  </si>
  <si>
    <t xml:space="preserve">Masa Maestra Universal (Estilo Brioche Ligero)</t>
  </si>
  <si>
    <t xml:space="preserve">500 g Harina de fuerza (mínimo 12% a 14% de proteína)</t>
  </si>
  <si>
    <t xml:space="preserve">80 g Azúcar refinada</t>
  </si>
  <si>
    <t xml:space="preserve">10 g Sal fina</t>
  </si>
  <si>
    <t xml:space="preserve">15 g Levadura seca instantánea (o 45 g de levadura fresca)</t>
  </si>
  <si>
    <t xml:space="preserve">200 ml Leche entera (tibia, a no más de 35 °C)</t>
  </si>
  <si>
    <t xml:space="preserve">2 pzas Huevo entero (a temperatura ambiente, aprox. 100 g)</t>
  </si>
  <si>
    <t xml:space="preserve">120 g Mantequilla sin sal (fría, cortada en cubos pequeños)</t>
  </si>
  <si>
    <t xml:space="preserve">5 ml Extracto puro de vainilla</t>
  </si>
  <si>
    <t xml:space="preserve">00D</t>
  </si>
  <si>
    <t xml:space="preserve">Variación Técnica: Masa Madre y Fermentación Salvaje</t>
  </si>
  <si>
    <t xml:space="preserve">450 g Harina de fuerza</t>
  </si>
  <si>
    <t xml:space="preserve">150 g Masa Madre activa (alimentada 4 horas antes, al 100% de hidratación)</t>
  </si>
  <si>
    <t xml:space="preserve">60 g Azúcar refinada</t>
  </si>
  <si>
    <t xml:space="preserve">160 ml Leche entera (a temperatura ambiente, no tibia)</t>
  </si>
  <si>
    <t xml:space="preserve">2 pzas Huevo entero</t>
  </si>
  <si>
    <t xml:space="preserve">120 g Mantequilla sin sal (fría en cubos)</t>
  </si>
  <si>
    <t xml:space="preserve">00B</t>
  </si>
  <si>
    <t xml:space="preserve">Variación Técnica: Masa Negra de Cacao Alcalino</t>
  </si>
  <si>
    <t xml:space="preserve">450 g Harina de fuerza (alto gluten) (ajuste sobre Fórmula 00A)</t>
  </si>
  <si>
    <t xml:space="preserve">100 g Azúcar refinada (ajuste sobre Fórmula 00A)</t>
  </si>
  <si>
    <t xml:space="preserve">220 ml Leche entera (ajuste sobre Fórmula 00A)</t>
  </si>
  <si>
    <t xml:space="preserve">50 g Cocoa alcalina en polvo (sustituye 50 g de harina de fuerza)</t>
  </si>
  <si>
    <t xml:space="preserve">00C</t>
  </si>
  <si>
    <t xml:space="preserve">Variación Técnica: Masa Salada y Umami</t>
  </si>
  <si>
    <t xml:space="preserve">25 g Azúcar refinada (ajuste sobre Fórmula 00A)</t>
  </si>
  <si>
    <t xml:space="preserve">14 g Sal fina (ajuste sobre Fórmula 00A)</t>
  </si>
  <si>
    <t xml:space="preserve">COSTO POR LOTE DE MASA (12 roles)</t>
  </si>
  <si>
    <t xml:space="preserve">Costo del lote</t>
  </si>
  <si>
    <t xml:space="preserve">Costo por rol</t>
  </si>
  <si>
    <t xml:space="preserve">Las masas 00B y 00C son ajustes sobre la 00A descritos en el libro; aquí se desglosan completas para poder costearlas. La 00D lleva masa madre y cero levadura comercial.</t>
  </si>
  <si>
    <t xml:space="preserve">3 · RELLENOS, GLASEADOS Y CUBIERTAS POR RECETA</t>
  </si>
  <si>
    <t xml:space="preserve">Todo lo que va sobre la masa. Ajusta la columna «Cantidad» solo si modificas la receta original.</t>
  </si>
  <si>
    <t xml:space="preserve">Nº</t>
  </si>
  <si>
    <t xml:space="preserve">Receta</t>
  </si>
  <si>
    <t xml:space="preserve">Componente de la receta</t>
  </si>
  <si>
    <t xml:space="preserve">Rol de Canela Clásico con Glaseado de Vainilla de Papantla</t>
  </si>
  <si>
    <t xml:space="preserve">Para el Relleno de Canela</t>
  </si>
  <si>
    <t xml:space="preserve">120 g Mantequilla sin sal (textura pomada, muy suave pero no derretida)</t>
  </si>
  <si>
    <t xml:space="preserve">180 g Azúcar mascabado o morena (aporta humedad)</t>
  </si>
  <si>
    <t xml:space="preserve">25 g Canela en polvo (preferentemente variedad Ceilán)</t>
  </si>
  <si>
    <t xml:space="preserve">2 g Sal fina</t>
  </si>
  <si>
    <t xml:space="preserve">Para el Glaseado de Vainilla de Papantla</t>
  </si>
  <si>
    <t xml:space="preserve">150 g Queso crema original (a temperatura ambiente)</t>
  </si>
  <si>
    <t xml:space="preserve">60 g Mantequilla sin sal (pomada)</t>
  </si>
  <si>
    <t xml:space="preserve">120 g Azúcar glass (cernida)</t>
  </si>
  <si>
    <t xml:space="preserve">10 ml Extracto puro de vainilla de Papantla</t>
  </si>
  <si>
    <t xml:space="preserve">15 ml Crema para batir o leche entera (solo para ajustar textura)</t>
  </si>
  <si>
    <t xml:space="preserve">Rol de Doble Chocolate y Cocoa Alcalina</t>
  </si>
  <si>
    <t xml:space="preserve">Para el Relleno de Doble Chocolate</t>
  </si>
  <si>
    <t xml:space="preserve">100 g Mantequilla sin sal (pomada)</t>
  </si>
  <si>
    <t xml:space="preserve">120 g Azúcar refinada</t>
  </si>
  <si>
    <t xml:space="preserve">40 g Cocoa alcalina en polvo (procesada en holandés)</t>
  </si>
  <si>
    <t xml:space="preserve">150 g Chispas de chocolate semi-amargo (54% a 70% cacao)</t>
  </si>
  <si>
    <t xml:space="preserve">Para el Ganache de Cubierta</t>
  </si>
  <si>
    <t xml:space="preserve">150 g Chocolate semi-amargo picado finamente</t>
  </si>
  <si>
    <t xml:space="preserve">150 ml Crema para batir (Nata 35% M.G.)</t>
  </si>
  <si>
    <t xml:space="preserve">15 g Mantequilla sin sal</t>
  </si>
  <si>
    <t xml:space="preserve">Rol de Nuez Pecana y Caramelo Salado</t>
  </si>
  <si>
    <t xml:space="preserve">Para el Relleno</t>
  </si>
  <si>
    <t xml:space="preserve">150 g Azúcar mascabado</t>
  </si>
  <si>
    <t xml:space="preserve">150 g Nuez pecana (tostada y troceada rústicamente)</t>
  </si>
  <si>
    <t xml:space="preserve">Para la Salsa de Caramelo Salado</t>
  </si>
  <si>
    <t xml:space="preserve">200 g Azúcar refinada</t>
  </si>
  <si>
    <t xml:space="preserve">90 g Mantequilla sin sal (en cubos, fría)</t>
  </si>
  <si>
    <t xml:space="preserve">120 ml Crema para batir (Nata 35% M.G., tibia)</t>
  </si>
  <si>
    <t xml:space="preserve">5 g Sal de mar en escamas (tipo Maldon)</t>
  </si>
  <si>
    <t xml:space="preserve">Rol de Manzana Canela y Streusel Crujiente</t>
  </si>
  <si>
    <t xml:space="preserve">Para la Compota de Manzana (Relleno)</t>
  </si>
  <si>
    <t xml:space="preserve">3 Manzanas Granny Smith (verdes, peladas y en cubos pequeños)</t>
  </si>
  <si>
    <t xml:space="preserve">30 g Mantequilla sin sal</t>
  </si>
  <si>
    <t xml:space="preserve">50 g Azúcar mascabado</t>
  </si>
  <si>
    <t xml:space="preserve">5 g Canela en polvo</t>
  </si>
  <si>
    <t xml:space="preserve">10 g Fécula de maíz (Maicena) diluida en 15 ml de agua fría</t>
  </si>
  <si>
    <t xml:space="preserve">Para el Streusel Crujiente (Cubierta)</t>
  </si>
  <si>
    <t xml:space="preserve">80 g Harina de trigo</t>
  </si>
  <si>
    <t xml:space="preserve">50 g Azúcar estándar o mascabado</t>
  </si>
  <si>
    <t xml:space="preserve">50 g Mantequilla sin sal (muy fría, en cubos)</t>
  </si>
  <si>
    <t xml:space="preserve">2 g Canela en polvo</t>
  </si>
  <si>
    <t xml:space="preserve">Rol de Frutos Rojos y Queso Crema</t>
  </si>
  <si>
    <t xml:space="preserve">Para el Relleno de Frutos Rojos</t>
  </si>
  <si>
    <t xml:space="preserve">300 g Frutos rojos mixtos (frescos o congelados)</t>
  </si>
  <si>
    <t xml:space="preserve">15 ml Jugo de limón amarillo</t>
  </si>
  <si>
    <t xml:space="preserve">15 g Fécula de maíz diluida en 20 ml de agua</t>
  </si>
  <si>
    <t xml:space="preserve">Para la Cubierta (Frosting Ligero de Limón)</t>
  </si>
  <si>
    <t xml:space="preserve">120 g Queso crema original</t>
  </si>
  <si>
    <t xml:space="preserve">40 g Mantequilla sin sal</t>
  </si>
  <si>
    <t xml:space="preserve">60 g Azúcar glass</t>
  </si>
  <si>
    <t xml:space="preserve">Zumo y ralladura fina de 1 limón amarillo (Eureka)</t>
  </si>
  <si>
    <t xml:space="preserve">Rol de Almendra y Frangipane Clásico</t>
  </si>
  <si>
    <t xml:space="preserve">Para el Relleno (Frangipane Clásico)</t>
  </si>
  <si>
    <t xml:space="preserve">100 g Harina de almendra (finamente molida)</t>
  </si>
  <si>
    <t xml:space="preserve">100 g Azúcar glass</t>
  </si>
  <si>
    <t xml:space="preserve">1 pza Huevo entero (a temperatura ambiente)</t>
  </si>
  <si>
    <t xml:space="preserve">5 ml Extracto de almendra</t>
  </si>
  <si>
    <t xml:space="preserve">20 g Harina de trigo</t>
  </si>
  <si>
    <t xml:space="preserve">60 g Almendras fileteadas (para espolvorear dentro)</t>
  </si>
  <si>
    <t xml:space="preserve">Para el Brillo Final</t>
  </si>
  <si>
    <t xml:space="preserve">50 g Jalea de chabacano o albaricoque</t>
  </si>
  <si>
    <t xml:space="preserve">15 ml Agua caliente</t>
  </si>
  <si>
    <t xml:space="preserve">Almendras fileteadas tostadas (para decorar)</t>
  </si>
  <si>
    <t xml:space="preserve">Rol de Limón y Semillas de Amapola</t>
  </si>
  <si>
    <t xml:space="preserve">Para el Relleno Cítrico</t>
  </si>
  <si>
    <t xml:space="preserve">150 g Azúcar refinada</t>
  </si>
  <si>
    <t xml:space="preserve">Ralladura fina de 2 limones amarillos (Eureka)</t>
  </si>
  <si>
    <t xml:space="preserve">20 g Semillas de amapola (poppy seeds)</t>
  </si>
  <si>
    <t xml:space="preserve">Para el Glaseado Ligero</t>
  </si>
  <si>
    <t xml:space="preserve">150 g Azúcar glass</t>
  </si>
  <si>
    <t xml:space="preserve">30 ml Jugo de limón amarillo fresco</t>
  </si>
  <si>
    <t xml:space="preserve">10 ml Leche entera</t>
  </si>
  <si>
    <t xml:space="preserve">Rol de Zanahoria (Estilo Carrot Cake)</t>
  </si>
  <si>
    <t xml:space="preserve">Para el Relleno Especiado</t>
  </si>
  <si>
    <t xml:space="preserve">120 g Azúcar mascabado</t>
  </si>
  <si>
    <t xml:space="preserve">4 g Canela en polvo</t>
  </si>
  <si>
    <t xml:space="preserve">2 g Jengibre en polvo</t>
  </si>
  <si>
    <t xml:space="preserve">1 g Nuez moscada en polvo</t>
  </si>
  <si>
    <t xml:space="preserve">120 g Zanahoria rallada finamente</t>
  </si>
  <si>
    <t xml:space="preserve">60 g Nuez pecana finamente picada</t>
  </si>
  <si>
    <t xml:space="preserve">Para el Frosting (Betún Clásico)</t>
  </si>
  <si>
    <t xml:space="preserve">190 g Queso crema original (frío)</t>
  </si>
  <si>
    <t xml:space="preserve">5 ml Extracto de vainilla</t>
  </si>
  <si>
    <t xml:space="preserve">Rol de Dulce de Leche y Nuez Macadamia</t>
  </si>
  <si>
    <t xml:space="preserve">250 g Dulce de leche repostero o de horneo (denso)</t>
  </si>
  <si>
    <t xml:space="preserve">120 g Nuez macadamia (tostada y troceada gruesa)</t>
  </si>
  <si>
    <t xml:space="preserve">Para la Cubierta</t>
  </si>
  <si>
    <t xml:space="preserve">100 g Dulce de leche (suavizado con 10 ml de crema para batir tibia)</t>
  </si>
  <si>
    <t xml:space="preserve">Sal de mar en escamas (opcional, para contraste)</t>
  </si>
  <si>
    <t xml:space="preserve">Rol de Plátano Caramelizado y Nuez de Castilla</t>
  </si>
  <si>
    <t xml:space="preserve">Para el Relleno de Plátano</t>
  </si>
  <si>
    <t xml:space="preserve">150 g Puré de plátano muy maduro</t>
  </si>
  <si>
    <t xml:space="preserve">120 g Azúcar mascabado oscuro</t>
  </si>
  <si>
    <t xml:space="preserve">100 g Nuez de Castilla (troceada y tostada)</t>
  </si>
  <si>
    <t xml:space="preserve">Para el Glaseado (Toffee de Plátano)</t>
  </si>
  <si>
    <t xml:space="preserve">100 g Azúcar mascabado</t>
  </si>
  <si>
    <t xml:space="preserve">50 g Mantequilla</t>
  </si>
  <si>
    <t xml:space="preserve">60 ml Crema para batir</t>
  </si>
  <si>
    <t xml:space="preserve">Rol Volcán de Crema de Avellana (Estilo Nutella)</t>
  </si>
  <si>
    <t xml:space="preserve">Para el Núcleo Volcánico</t>
  </si>
  <si>
    <t xml:space="preserve">180 g Crema de cacao y avellana (tipo Nutella)</t>
  </si>
  <si>
    <t xml:space="preserve">Para el Relleno del Rollo</t>
  </si>
  <si>
    <t xml:space="preserve">80 g Mantequilla sin sal (pomada)</t>
  </si>
  <si>
    <t xml:space="preserve">30 g Cocoa en polvo</t>
  </si>
  <si>
    <t xml:space="preserve">50 g Avellanas tostadas y trituradas</t>
  </si>
  <si>
    <t xml:space="preserve">Rol Volcán de Pistache y Chocolate Blanco</t>
  </si>
  <si>
    <t xml:space="preserve">180 g Crema dulce de pistache (untable, estilo italiana)</t>
  </si>
  <si>
    <t xml:space="preserve">100 g Azúcar refinada</t>
  </si>
  <si>
    <t xml:space="preserve">80 g Pistaches sin sal (troceados rústicamente)</t>
  </si>
  <si>
    <t xml:space="preserve">80 g Chispas de chocolate blanco</t>
  </si>
  <si>
    <t xml:space="preserve">Rol Volcán de Lotus Biscoff</t>
  </si>
  <si>
    <t xml:space="preserve">180 g Crema Lotus Biscoff (Smooth)</t>
  </si>
  <si>
    <t xml:space="preserve">100 g Galletas Lotus Biscoff (troceadas gruesas)</t>
  </si>
  <si>
    <t xml:space="preserve">Rol Volcán de Queso Brie y Mermelada de Higo</t>
  </si>
  <si>
    <t xml:space="preserve">180 g Queso Brie (frío, cortado en cubos de 15 g, conservando su corteza)</t>
  </si>
  <si>
    <t xml:space="preserve">120 g Mermelada de higo artesanal</t>
  </si>
  <si>
    <t xml:space="preserve">80 g Azúcar mascabado</t>
  </si>
  <si>
    <t xml:space="preserve">60 g Nuez de Castilla finamente picada</t>
  </si>
  <si>
    <t xml:space="preserve">Rol Volcán de Matcha y Ganache Blanco</t>
  </si>
  <si>
    <t xml:space="preserve">Para el Núcleo Volcánico (Ganache Blanco)</t>
  </si>
  <si>
    <t xml:space="preserve">150 g Chocolate blanco de cobertura (mín. 28 % manteca de cacao, troceado fino)</t>
  </si>
  <si>
    <t xml:space="preserve">60 ml Crema para batir (Nata 35% M.G.)</t>
  </si>
  <si>
    <t xml:space="preserve">10 g Mantequilla sin sal</t>
  </si>
  <si>
    <t xml:space="preserve">Para el Relleno de Matcha</t>
  </si>
  <si>
    <t xml:space="preserve">15 g Té Matcha grado culinario de alta calidad</t>
  </si>
  <si>
    <t xml:space="preserve">Rol Volcán de Chocolate Rubí y Frambuesa</t>
  </si>
  <si>
    <t xml:space="preserve">Para el Núcleo Volcánico (Ganache Rubí)</t>
  </si>
  <si>
    <t xml:space="preserve">180 g Chocolate Rubí en callets (gotas)</t>
  </si>
  <si>
    <t xml:space="preserve">10 g Manteca de cacao pura</t>
  </si>
  <si>
    <t xml:space="preserve">80 g Frambuesas liofilizadas (trituradas en polvo grueso)</t>
  </si>
  <si>
    <t xml:space="preserve">Rol Volcán de Crema Pastelera</t>
  </si>
  <si>
    <t xml:space="preserve">Para el Núcleo Volcánico (Pastelera Estructural)</t>
  </si>
  <si>
    <t xml:space="preserve">250 ml Leche entera</t>
  </si>
  <si>
    <t xml:space="preserve">3 Yemas de huevo</t>
  </si>
  <si>
    <t xml:space="preserve">25 g Fécula de maíz (Maicena)</t>
  </si>
  <si>
    <t xml:space="preserve">10 ml Extracto de vainilla o pasta de vainilla</t>
  </si>
  <si>
    <t xml:space="preserve">100 g Azúcar estándar</t>
  </si>
  <si>
    <t xml:space="preserve">1 pza Huevo (para barnizar)</t>
  </si>
  <si>
    <t xml:space="preserve">Rol Volcán de Peanut Butter y Jalea</t>
  </si>
  <si>
    <t xml:space="preserve">180 g Crema de cacahuate (Peanut Butter) cremosa, sin azúcar añadida.</t>
  </si>
  <si>
    <t xml:space="preserve">150 g Mermelada o jalea de uva o fresa (densa)</t>
  </si>
  <si>
    <t xml:space="preserve">80 g Cacahuates tostados (sin sal, picados)</t>
  </si>
  <si>
    <t xml:space="preserve">Rol Volcán de Cajeta Quemada</t>
  </si>
  <si>
    <t xml:space="preserve">120 g de cajeta horneable o dulce de leche repostero</t>
  </si>
  <si>
    <t xml:space="preserve">Rol Volcán S'mores (Malvavisco Fundido y Ganache Oscuro)</t>
  </si>
  <si>
    <t xml:space="preserve">12 Malvaviscos grandes (bombones)</t>
  </si>
  <si>
    <t xml:space="preserve">100 g Ganache oscuro (crema para batir y chocolate semiamargo al 50/50, frío)</t>
  </si>
  <si>
    <t xml:space="preserve">120 g Galleta Graham (o galleta María) molida finamente</t>
  </si>
  <si>
    <t xml:space="preserve">Rol Tiramisú (Mascarpone, Espresso y Cocoa)</t>
  </si>
  <si>
    <t xml:space="preserve">Para el Relleno y Embebido</t>
  </si>
  <si>
    <t xml:space="preserve">15 g Cocoa alcalina</t>
  </si>
  <si>
    <t xml:space="preserve">60 ml Carga de café espresso muy fuerte (para el jarabe de remojo)</t>
  </si>
  <si>
    <t xml:space="preserve">30 g Azúcar refinada (para el jarabe de remojo)</t>
  </si>
  <si>
    <t xml:space="preserve">15 ml Licor de café o Amaretto (opcional)</t>
  </si>
  <si>
    <t xml:space="preserve">Para la Crema de Mascarpone</t>
  </si>
  <si>
    <t xml:space="preserve">150 g Queso Mascarpone (frío)</t>
  </si>
  <si>
    <t xml:space="preserve">100 ml Crema para batir (Nata 35% M.G., muy fría)</t>
  </si>
  <si>
    <t xml:space="preserve">Cocoa extra para espolvorear</t>
  </si>
  <si>
    <t xml:space="preserve">Rol Crème Brûlée (Con Cubierta Caramelizada a Fuego)</t>
  </si>
  <si>
    <t xml:space="preserve">Para el Relleno de Vainilla</t>
  </si>
  <si>
    <t xml:space="preserve">10 ml Pasta de vainilla (con semillas visibles)</t>
  </si>
  <si>
    <t xml:space="preserve">Para la Cubierta Crème Brûlée</t>
  </si>
  <si>
    <t xml:space="preserve">200 g Crema pastelera de vainilla (densa y fría - puedes usar la base de la Receta 17)</t>
  </si>
  <si>
    <t xml:space="preserve">Azúcar refinada cantidad necesaria (para caramelizar)</t>
  </si>
  <si>
    <t xml:space="preserve">Rol Cheesecake de Maracuyá</t>
  </si>
  <si>
    <t xml:space="preserve">100 g Galleta Graham o María (molida rústicamente)</t>
  </si>
  <si>
    <t xml:space="preserve">Para el Curd (Crema) de Maracuyá</t>
  </si>
  <si>
    <t xml:space="preserve">100 ml Pulpa de maracuyá pura (sin semillas)</t>
  </si>
  <si>
    <t xml:space="preserve">40 g Mantequilla sin sal (fría en cubos)</t>
  </si>
  <si>
    <t xml:space="preserve">Para el Frosting de Cheesecake</t>
  </si>
  <si>
    <t xml:space="preserve">150 g Queso crema original (frío)</t>
  </si>
  <si>
    <t xml:space="preserve">50 g Azúcar glass</t>
  </si>
  <si>
    <t xml:space="preserve">Rol Red Velvet con Glaseado de Queso Ácido</t>
  </si>
  <si>
    <t xml:space="preserve">Para la Adaptación de la Masa (Durante el amasado de la Fórmula 00A)</t>
  </si>
  <si>
    <t xml:space="preserve">15 g Cocoa natural (no alcalina)</t>
  </si>
  <si>
    <t xml:space="preserve">5 ml Vinagre blanco</t>
  </si>
  <si>
    <t xml:space="preserve">Colorante en gel rojo intenso (cantidad necesaria)</t>
  </si>
  <si>
    <t xml:space="preserve">120 g Azúcar estándar</t>
  </si>
  <si>
    <t xml:space="preserve">100 g Chispas de chocolate blanco</t>
  </si>
  <si>
    <t xml:space="preserve">Para el Glaseado de Queso Ácido</t>
  </si>
  <si>
    <t xml:space="preserve">5 ml Jugo de limón (para el toque ácido)</t>
  </si>
  <si>
    <t xml:space="preserve">Rol Selva Negra (Cereza Amarena y Kirsch)</t>
  </si>
  <si>
    <t xml:space="preserve">150 g Cerezas tipo Amarena (o cerezas negras en almíbar), bien escurridas y picadas</t>
  </si>
  <si>
    <t xml:space="preserve">80 g Chispas de chocolate semiamargo</t>
  </si>
  <si>
    <t xml:space="preserve">Para el Almíbar de Kirsch (Licor de Cereza)</t>
  </si>
  <si>
    <t xml:space="preserve">40 ml Almíbar de las cerezas</t>
  </si>
  <si>
    <t xml:space="preserve">20 ml Kirsch (licor de cereza) o brandy</t>
  </si>
  <si>
    <t xml:space="preserve">Para la Cubierta Chantilly</t>
  </si>
  <si>
    <t xml:space="preserve">150 ml Crema para batir (Nata 35% M.G., muy fría)</t>
  </si>
  <si>
    <t xml:space="preserve">20 g Azúcar glass</t>
  </si>
  <si>
    <t xml:space="preserve">Virutas de chocolate oscuro y cerezas enteras para decorar</t>
  </si>
  <si>
    <t xml:space="preserve">Rol Ferrero (Avellana Tostada, Cacao y Barquillo)</t>
  </si>
  <si>
    <t xml:space="preserve">150 g Crema de cacao y avellanas (estilo Nutella)</t>
  </si>
  <si>
    <t xml:space="preserve">60 g Galleta de barquillo (troceada)</t>
  </si>
  <si>
    <t xml:space="preserve">50 g Avellana tostada y picada</t>
  </si>
  <si>
    <t xml:space="preserve">Para la Cubierta (Glaseado Rocher)</t>
  </si>
  <si>
    <t xml:space="preserve">150 g Chocolate con leche (de buena calidad)</t>
  </si>
  <si>
    <t xml:space="preserve">30 ml Aceite vegetal (girasol o canola)</t>
  </si>
  <si>
    <t xml:space="preserve">60 g Avellana tostada (picada finamente)</t>
  </si>
  <si>
    <t xml:space="preserve">Rol Ópera (Jarabe de Café, Almendra y Ganache)</t>
  </si>
  <si>
    <t xml:space="preserve">Para el Relleno (Frangipane Ligero)</t>
  </si>
  <si>
    <t xml:space="preserve">80 g Harina de almendra</t>
  </si>
  <si>
    <t xml:space="preserve">80 g Azúcar glass</t>
  </si>
  <si>
    <t xml:space="preserve">1 pza Huevo entero</t>
  </si>
  <si>
    <t xml:space="preserve">Para el Jarabe de Café</t>
  </si>
  <si>
    <t xml:space="preserve">100 ml Agua</t>
  </si>
  <si>
    <t xml:space="preserve">15 g Café soluble de alta intensidad (o espresso en polvo)</t>
  </si>
  <si>
    <t xml:space="preserve">Para la Cubierta (Ganache Ópera)</t>
  </si>
  <si>
    <t xml:space="preserve">150 g Chocolate semi-amargo (54% a 70%)</t>
  </si>
  <si>
    <t xml:space="preserve">Rol Lemon Pie (Curd de Limón y Merengue Suizo Tostado)</t>
  </si>
  <si>
    <t xml:space="preserve">60 g Galleta María o Graham (molida)</t>
  </si>
  <si>
    <t xml:space="preserve">Para el Núcleo (Centro de Pay de Limón)</t>
  </si>
  <si>
    <t xml:space="preserve">100 g Leche condensada</t>
  </si>
  <si>
    <t xml:space="preserve">30 ml Jugo de limón recién exprimido</t>
  </si>
  <si>
    <t xml:space="preserve">Ralladura de 1 limón</t>
  </si>
  <si>
    <t xml:space="preserve">Para el Merengue Suizo</t>
  </si>
  <si>
    <t xml:space="preserve">100 g Claras de huevo (aprox. 3 claras grandes)</t>
  </si>
  <si>
    <t xml:space="preserve">200 g Azúcar refinada (el doble del peso de las claras)</t>
  </si>
  <si>
    <t xml:space="preserve">Rol de Tres Leches (Masa Embebida y Crema Montada)</t>
  </si>
  <si>
    <t xml:space="preserve">100 g Azúcar refinada (no uses mascabado para no oscurecer la masa)</t>
  </si>
  <si>
    <t xml:space="preserve">Para el Baño de Tres Leches</t>
  </si>
  <si>
    <t xml:space="preserve">150 ml Leche evaporada</t>
  </si>
  <si>
    <t xml:space="preserve">150 ml Leche condensada</t>
  </si>
  <si>
    <t xml:space="preserve">100 ml Leche entera o media crema</t>
  </si>
  <si>
    <t xml:space="preserve">200 ml Crema para batir (Nata 35% M.G., muy fría)</t>
  </si>
  <si>
    <t xml:space="preserve">30 g Azúcar glass</t>
  </si>
  <si>
    <t xml:space="preserve">Canela en polvo para espolvorear</t>
  </si>
  <si>
    <t xml:space="preserve">Rol Banoffee (Plátano Fresco, Toffee y Crema)</t>
  </si>
  <si>
    <t xml:space="preserve">Para el Relleno y Costra</t>
  </si>
  <si>
    <t xml:space="preserve">100 g Galleta María (triturada en polvo)</t>
  </si>
  <si>
    <t xml:space="preserve">Para el Centro Banoffee</t>
  </si>
  <si>
    <t xml:space="preserve">150 g Dulce de leche repostero (o Toffee espeso)</t>
  </si>
  <si>
    <t xml:space="preserve">2 Plátanos maduros (en rodajas)</t>
  </si>
  <si>
    <t xml:space="preserve">150 ml Crema para batir (sin azúcar o muy baja en azúcar)</t>
  </si>
  <si>
    <t xml:space="preserve">Rizos de chocolate oscuro</t>
  </si>
  <si>
    <t xml:space="preserve">Rol de Pan de Muerto (Toque de Azahar y Naranja)</t>
  </si>
  <si>
    <t xml:space="preserve">Para el Relleno Aromático</t>
  </si>
  <si>
    <t xml:space="preserve">Ralladura fina de 2 naranjas dulces</t>
  </si>
  <si>
    <t xml:space="preserve">10 ml Agua de azahar (esencia de flor de naranjo)</t>
  </si>
  <si>
    <t xml:space="preserve">Para la Cubierta Clásica</t>
  </si>
  <si>
    <t xml:space="preserve">60 g Mantequilla sin sal (fundida)</t>
  </si>
  <si>
    <t xml:space="preserve">150 g Azúcar refinada (para espolvorear)</t>
  </si>
  <si>
    <t xml:space="preserve">Rol de Rosca de Reyes con Costra de Azúcar</t>
  </si>
  <si>
    <t xml:space="preserve">80 g Azúcar estándar</t>
  </si>
  <si>
    <t xml:space="preserve">100 g Ate de frutas (membrillo, guayaba, perón) cortado en cubos pequeños</t>
  </si>
  <si>
    <t xml:space="preserve">50 g Almendras fileteadas tostadas</t>
  </si>
  <si>
    <t xml:space="preserve">Para la Costra de Azúcar (Tipo Concha/Rosca)</t>
  </si>
  <si>
    <t xml:space="preserve">50 g Manteca vegetal (o mantequilla pomada)</t>
  </si>
  <si>
    <t xml:space="preserve">50 g Harina de trigo</t>
  </si>
  <si>
    <t xml:space="preserve">Higo cristalizado o cerezas (para decorar)</t>
  </si>
  <si>
    <t xml:space="preserve">Rol de Guayaba y Queso Cotija</t>
  </si>
  <si>
    <t xml:space="preserve">200 g Mermelada rústica de guayaba (densa, tipo ate suave)</t>
  </si>
  <si>
    <t xml:space="preserve">120 g Queso Cotija genuino (seco y añejo, rallado finamente)</t>
  </si>
  <si>
    <t xml:space="preserve">Para el Glaseado (Opcional)</t>
  </si>
  <si>
    <t xml:space="preserve">100 g Queso crema</t>
  </si>
  <si>
    <t xml:space="preserve">Un toque extra de Cotija rallado</t>
  </si>
  <si>
    <t xml:space="preserve">Rol de Café de Olla y Piloncillo</t>
  </si>
  <si>
    <t xml:space="preserve">150 g Piloncillo granulado (o panela rallada)</t>
  </si>
  <si>
    <t xml:space="preserve">10 g Café soluble de grano oscuro (pulverizado)</t>
  </si>
  <si>
    <t xml:space="preserve">1 g Clavo de olor en polvo</t>
  </si>
  <si>
    <t xml:space="preserve">1 g Anís estrella en polvo (opcional pero recomendado)</t>
  </si>
  <si>
    <t xml:space="preserve">Para el Jarabe de Piloncillo (Cubierta)</t>
  </si>
  <si>
    <t xml:space="preserve">100 g Piloncillo (en trozos o rallado)</t>
  </si>
  <si>
    <t xml:space="preserve">50 ml Agua</t>
  </si>
  <si>
    <t xml:space="preserve">1 raja de Canela</t>
  </si>
  <si>
    <t xml:space="preserve">Rol de Chocolate Oaxaqueño y Almendras</t>
  </si>
  <si>
    <t xml:space="preserve">2 Tabletas (180 g total) de Chocolate mexicano de mesa (tipo Mayordomo, Abuelita o Ibarra), rallado grueso.</t>
  </si>
  <si>
    <t xml:space="preserve">60 g Almendras enteras (tostadas y picadas rústicamente)</t>
  </si>
  <si>
    <t xml:space="preserve">Para el Glaseado (Opcional, ligero)</t>
  </si>
  <si>
    <t xml:space="preserve">20 ml Leche entera</t>
  </si>
  <si>
    <t xml:space="preserve">Una pizca de canela</t>
  </si>
  <si>
    <t xml:space="preserve">Rol de Mazapán de Cacahuate</t>
  </si>
  <si>
    <t xml:space="preserve">180 g Mazapán de cacahuate tradicional (aprox. 6 piezas grandes, desmoronadas)</t>
  </si>
  <si>
    <t xml:space="preserve">40 g Azúcar glass (para dar estructura al mazapán)</t>
  </si>
  <si>
    <t xml:space="preserve">60 g Cacahuate tostado sin sal (troceado)</t>
  </si>
  <si>
    <t xml:space="preserve">100 g Queso crema original</t>
  </si>
  <si>
    <t xml:space="preserve">1 pieza (30 g) de Mazapán</t>
  </si>
  <si>
    <t xml:space="preserve">30 ml Leche entera</t>
  </si>
  <si>
    <t xml:space="preserve">Rol de Tamarindo y Chamoy Suave (Contraste Dulce/Ácido)</t>
  </si>
  <si>
    <t xml:space="preserve">150 g Pulpa natural de tamarindo (espesa, endulzada y sin semillas)</t>
  </si>
  <si>
    <t xml:space="preserve">60 g Chamoy líquido de buena calidad (espeso, tipo artesanal)</t>
  </si>
  <si>
    <t xml:space="preserve">10 g Chile en polvo (tipo Tajín o mezcla dulce/salada)</t>
  </si>
  <si>
    <t xml:space="preserve">100 g Mango deshidratado (picado finamente) o gomitas de tamarindo para decorar.</t>
  </si>
  <si>
    <t xml:space="preserve">Rol de Rompope y Nuez</t>
  </si>
  <si>
    <t xml:space="preserve">Para el Relleno (Pastelera de Rompope)</t>
  </si>
  <si>
    <t xml:space="preserve">200 ml Rompope (licor de yema tradicional)</t>
  </si>
  <si>
    <t xml:space="preserve">50 ml Leche entera</t>
  </si>
  <si>
    <t xml:space="preserve">40 g Azúcar refinada</t>
  </si>
  <si>
    <t xml:space="preserve">30 g Fécula de maíz (Maicena)</t>
  </si>
  <si>
    <t xml:space="preserve">Para el Armado</t>
  </si>
  <si>
    <t xml:space="preserve">100 g Nuez pecana (tostada y troceada)</t>
  </si>
  <si>
    <t xml:space="preserve">20 ml Rompope</t>
  </si>
  <si>
    <t xml:space="preserve">Rol de Arroz con Leche y Pasas al Ron</t>
  </si>
  <si>
    <t xml:space="preserve">Para la Maceración</t>
  </si>
  <si>
    <t xml:space="preserve">80 g Uvas pasas</t>
  </si>
  <si>
    <t xml:space="preserve">40 ml Ron oscuro (macerar por 2 horas o toda la noche)</t>
  </si>
  <si>
    <t xml:space="preserve">Para el Relleno de Arroz</t>
  </si>
  <si>
    <t xml:space="preserve">150 g Arroz con leche clásico (muy espeso, pre-elaborado)</t>
  </si>
  <si>
    <t xml:space="preserve">15 g Fécula de maíz</t>
  </si>
  <si>
    <t xml:space="preserve">Rol de Camote Enmielado y Especias Cálidas</t>
  </si>
  <si>
    <t xml:space="preserve">Para el Relleno de Camote</t>
  </si>
  <si>
    <t xml:space="preserve">200 g Puré de camote amarillo o naranja (rostizado, no hervido)</t>
  </si>
  <si>
    <t xml:space="preserve">100 g Piloncillo rallado fino (o azúcar mascabado)</t>
  </si>
  <si>
    <t xml:space="preserve">4 g Canela en polvo, 1 g Clavo molido, 1 g Anís en polvo</t>
  </si>
  <si>
    <t xml:space="preserve">Para el Brillo de Piloncillo</t>
  </si>
  <si>
    <t xml:space="preserve">50 g Piloncillo fundido con 20 ml de agua</t>
  </si>
  <si>
    <t xml:space="preserve">Rol de Miso Blanco, Chocolate Gold (Rubio) y Sésamo Tostado</t>
  </si>
  <si>
    <t xml:space="preserve">Para el Relleno Umami-Dulce</t>
  </si>
  <si>
    <t xml:space="preserve">40 g Pasta de Miso Blanco (Shiro Miso)</t>
  </si>
  <si>
    <t xml:space="preserve">120 g Chocolate Gold (chocolate blanco caramelizado, en callets)</t>
  </si>
  <si>
    <t xml:space="preserve">30 g Semillas de sésamo (ajonjolí) blanco y negro, ligeramente tostadas</t>
  </si>
  <si>
    <t xml:space="preserve">Rol de Ajo Rostizado, Romero y Parmesano</t>
  </si>
  <si>
    <t xml:space="preserve">Para el Relleno Salado</t>
  </si>
  <si>
    <t xml:space="preserve">2 Cabezas de ajo enteras (rostizadas)</t>
  </si>
  <si>
    <t xml:space="preserve">150 g Queso Parmigiano Reggiano (rallado finamente)</t>
  </si>
  <si>
    <t xml:space="preserve">10 g Hojas frescas de romero (picadas muy fino)</t>
  </si>
  <si>
    <t xml:space="preserve">2 g Pimienta negra recién molida</t>
  </si>
  <si>
    <t xml:space="preserve">Rol de Pesto de Albahaca y Piñones</t>
  </si>
  <si>
    <t xml:space="preserve">180 g Pesto genovés clásico (muy espeso, bajo en aceite)</t>
  </si>
  <si>
    <t xml:space="preserve">60 g Piñones blancos (ligeramente tostados)</t>
  </si>
  <si>
    <t xml:space="preserve">120 g Queso Provolone o Mozzarella de baja humedad (rallado)</t>
  </si>
  <si>
    <t xml:space="preserve">Rol de Queso Azul, Compota de Higo y Nuez Caramelizada</t>
  </si>
  <si>
    <t xml:space="preserve">150 g Compota rústica de higo (densa, estilo mermelada reducida)</t>
  </si>
  <si>
    <t xml:space="preserve">100 g Queso Azul (Gorgonzola o Roquefort, desmoronado)</t>
  </si>
  <si>
    <t xml:space="preserve">80 g Nueces pecanas caramelizadas (troceadas)</t>
  </si>
  <si>
    <t xml:space="preserve">Rol de Trufa Negra y Hongos Silvestres</t>
  </si>
  <si>
    <t xml:space="preserve">Para la Duxelles de Hongos</t>
  </si>
  <si>
    <t xml:space="preserve">300 g Champiñones frescos y hongos cremini (picados extremadamente finos o procesados en pulsos)</t>
  </si>
  <si>
    <t xml:space="preserve">1 Chalota finamente picada</t>
  </si>
  <si>
    <t xml:space="preserve">10 ml Aceite de trufa negra (o 15 g de pasta tartufata)</t>
  </si>
  <si>
    <t xml:space="preserve">120 g Queso Gruyère (rallado)</t>
  </si>
  <si>
    <t xml:space="preserve">Rol de Tocino Glaseado con Maple</t>
  </si>
  <si>
    <t xml:space="preserve">250 g Tocino ahumado de corte grueso</t>
  </si>
  <si>
    <t xml:space="preserve">40 ml Jarabe de maple puro (Grado A, ámbar oscuro)</t>
  </si>
  <si>
    <t xml:space="preserve">Para el Glaseado de Maple</t>
  </si>
  <si>
    <t xml:space="preserve">120 g Azúcar glass</t>
  </si>
  <si>
    <t xml:space="preserve">30 ml Jarabe de maple puro</t>
  </si>
  <si>
    <t xml:space="preserve">10 ml Leche entera (o crema)</t>
  </si>
  <si>
    <t xml:space="preserve">Rol de Cerveza Stout y Cheddar Añejo</t>
  </si>
  <si>
    <t xml:space="preserve">Para la Reducción de Cerveza</t>
  </si>
  <si>
    <t xml:space="preserve">350 ml Cerveza negra (tipo Stout o Porter)</t>
  </si>
  <si>
    <t xml:space="preserve">150 g Queso Cheddar añejado (rallado grueso)</t>
  </si>
  <si>
    <t xml:space="preserve">1 g Pimienta negra molida</t>
  </si>
  <si>
    <t xml:space="preserve">Rol de Cardamomo, Naranja Confitada y Pistache</t>
  </si>
  <si>
    <t xml:space="preserve">8 g Cardamomo recién molido (solo las semillas internas)</t>
  </si>
  <si>
    <t xml:space="preserve">80 g Cáscara de naranja confitada (en cubitos muy pequeños)</t>
  </si>
  <si>
    <t xml:space="preserve">60 g Pistaches tostados (troceados rústicamente)</t>
  </si>
  <si>
    <t xml:space="preserve">Para el Brillo</t>
  </si>
  <si>
    <t xml:space="preserve">30 g Mermelada de naranja fundida con 10 ml de agua</t>
  </si>
  <si>
    <t xml:space="preserve">Rol de Azafrán y Agua de Rosas</t>
  </si>
  <si>
    <t xml:space="preserve">Para el Relleno de Azafrán</t>
  </si>
  <si>
    <t xml:space="preserve">80 g Mantequilla sin sal (fundida)</t>
  </si>
  <si>
    <t xml:space="preserve">0.5 g Hebras de azafrán puro</t>
  </si>
  <si>
    <t xml:space="preserve">10 ml Leche caliente (para activar el azafrán)</t>
  </si>
  <si>
    <t xml:space="preserve">50 g Harina de almendra</t>
  </si>
  <si>
    <t xml:space="preserve">Para el Glaseado de Rosas</t>
  </si>
  <si>
    <t xml:space="preserve">15 ml Leche entera</t>
  </si>
  <si>
    <t xml:space="preserve">2 a 3 gotas de Agua de rosas pura</t>
  </si>
  <si>
    <t xml:space="preserve">Pétalos de rosa deshidratados (comestibles, para decorar)</t>
  </si>
  <si>
    <t xml:space="preserve">Rol de Masa Madre, Mantequilla Avellanada y Sal en Escamas</t>
  </si>
  <si>
    <t xml:space="preserve">Para el Relleno (Beurre Noisette)</t>
  </si>
  <si>
    <t xml:space="preserve">120 g Mantequilla sin sal</t>
  </si>
  <si>
    <t xml:space="preserve">100 g Azúcar mascabado oscuro</t>
  </si>
  <si>
    <t xml:space="preserve">Rol de Earl Grey y Lavanda</t>
  </si>
  <si>
    <t xml:space="preserve">Para el Relleno Botánico</t>
  </si>
  <si>
    <t xml:space="preserve">8 g Té Earl Grey (hojas secas molidas finamente)</t>
  </si>
  <si>
    <t xml:space="preserve">2 g Lavanda culinaria seca (pulverizada)</t>
  </si>
  <si>
    <t xml:space="preserve">Para el Glaseado de Bergamota o Limón</t>
  </si>
  <si>
    <t xml:space="preserve">Zumo de medio limón o esencia de bergamota</t>
  </si>
  <si>
    <t xml:space="preserve">4 · COSTEO Y PRECIO DE VENTA POR ROL</t>
  </si>
  <si>
    <t xml:space="preserve">Edita solo las columnas azules: roles por lote, empaque, energía, minutos y % de merma. Todo lo demás se calcula.</t>
  </si>
  <si>
    <t xml:space="preserve">PARÁMETROS GLOBALES  ·  márgenes recomendados por canal (Cap. 11 del eBook)</t>
  </si>
  <si>
    <t xml:space="preserve">Margen objetivo — Mostrador / pieza individual</t>
  </si>
  <si>
    <t xml:space="preserve">Rango del libro: 55 % – 70 %</t>
  </si>
  <si>
    <t xml:space="preserve">Margen objetivo — Caja o charola de regalo</t>
  </si>
  <si>
    <t xml:space="preserve">Rango del libro: 60 % – 75 %</t>
  </si>
  <si>
    <t xml:space="preserve">Margen objetivo — Cafetería y restaurante</t>
  </si>
  <si>
    <t xml:space="preserve">Rango del libro: 45 % – 60 %</t>
  </si>
  <si>
    <t xml:space="preserve">Margen objetivo — Mayoreo / suscripción</t>
  </si>
  <si>
    <t xml:space="preserve">Rango del libro: 35 % – 50 %</t>
  </si>
  <si>
    <t xml:space="preserve">Costo de mano de obra por hora (viene de Gastos Fijos)</t>
  </si>
  <si>
    <t xml:space="preserve">Overhead por rol (viene de Gastos Fijos)</t>
  </si>
  <si>
    <t xml:space="preserve">% de merma por defecto</t>
  </si>
  <si>
    <t xml:space="preserve">Principiante 15–25 % · Intermedio 8–15 % · Avanzado 3–8 %</t>
  </si>
  <si>
    <t xml:space="preserve">Roles por lote</t>
  </si>
  <si>
    <t xml:space="preserve">Costo de la masa (lote)</t>
  </si>
  <si>
    <t xml:space="preserve">Costo del relleno (lote)</t>
  </si>
  <si>
    <t xml:space="preserve">Costo de insumos (lote)</t>
  </si>
  <si>
    <t xml:space="preserve">Insumos por rol</t>
  </si>
  <si>
    <t xml:space="preserve">Empaque</t>
  </si>
  <si>
    <t xml:space="preserve">Energía y consumibles</t>
  </si>
  <si>
    <t xml:space="preserve">Minutos por rol</t>
  </si>
  <si>
    <t xml:space="preserve">Mano de obra</t>
  </si>
  <si>
    <t xml:space="preserve">Overhead</t>
  </si>
  <si>
    <t xml:space="preserve">COSTO BASE</t>
  </si>
  <si>
    <t xml:space="preserve">% Merma</t>
  </si>
  <si>
    <t xml:space="preserve">COSTO TOTAL UNITARIO</t>
  </si>
  <si>
    <t xml:space="preserve">PVP Mostrador</t>
  </si>
  <si>
    <t xml:space="preserve">Utilidad Mostrador</t>
  </si>
  <si>
    <t xml:space="preserve">PVP Caja regalo</t>
  </si>
  <si>
    <t xml:space="preserve">Utilidad Caja</t>
  </si>
  <si>
    <t xml:space="preserve">PVP Cafetería</t>
  </si>
  <si>
    <t xml:space="preserve">Utilidad Cafetería</t>
  </si>
  <si>
    <t xml:space="preserve">PVP Mayoreo</t>
  </si>
  <si>
    <t xml:space="preserve">Utilidad Mayoreo</t>
  </si>
  <si>
    <t xml:space="preserve">Margen real Mostrador</t>
  </si>
  <si>
    <t xml:space="preserve">Nivel y perfil</t>
  </si>
  <si>
    <t xml:space="preserve">Fácil · Dulce</t>
  </si>
  <si>
    <t xml:space="preserve">Intermedio · Dulce</t>
  </si>
  <si>
    <t xml:space="preserve">Avanzado · Dulce</t>
  </si>
  <si>
    <t xml:space="preserve">Intermedio · Salado</t>
  </si>
  <si>
    <t xml:space="preserve">Fácil · Salado</t>
  </si>
  <si>
    <t xml:space="preserve">Avanzado · Salado</t>
  </si>
  <si>
    <t xml:space="preserve">PROMEDIO DE LAS 51 RECETAS</t>
  </si>
  <si>
    <t xml:space="preserve">Supuestos de arranque escalados por dificultad: receta fácil → empaque $9, energía $3, 5 min por rol; intermedia → $11, $4, 7 min; avanzada → $14, $5, 10 min. Merma 12 % (nivel intermedio). Ajusta todo a tu operación real.</t>
  </si>
  <si>
    <t xml:space="preserve">La columna «Costo de la masa» viene de la hoja 2 según la fórmula base que pide cada receta; la columna «Costo del relleno» suma la hoja 3.</t>
  </si>
  <si>
    <t xml:space="preserve">5 · BITÁCORA DE PRODUCCIÓN Y MERMA</t>
  </si>
  <si>
    <t xml:space="preserve">Registra cada horneada. La hoja calcula tu merma real y cuánto dinero se fue a la basura.</t>
  </si>
  <si>
    <t xml:space="preserve">Roles buenos acumulados</t>
  </si>
  <si>
    <t xml:space="preserve">Roles fallidos acumulados</t>
  </si>
  <si>
    <t xml:space="preserve">% de merma real acumulada</t>
  </si>
  <si>
    <t xml:space="preserve">Costo acumulado de la merma</t>
  </si>
  <si>
    <t xml:space="preserve">Fecha</t>
  </si>
  <si>
    <t xml:space="preserve">Lote</t>
  </si>
  <si>
    <t xml:space="preserve">Nº receta</t>
  </si>
  <si>
    <t xml:space="preserve">Roles planeados</t>
  </si>
  <si>
    <t xml:space="preserve">Roles buenos</t>
  </si>
  <si>
    <t xml:space="preserve">Roles fallidos</t>
  </si>
  <si>
    <t xml:space="preserve">% merma real</t>
  </si>
  <si>
    <t xml:space="preserve">Causa principal</t>
  </si>
  <si>
    <t xml:space="preserve">Costo unitario</t>
  </si>
  <si>
    <t xml:space="preserve">Costo de la merma</t>
  </si>
  <si>
    <t xml:space="preserve">L-2608-01</t>
  </si>
  <si>
    <t xml:space="preserve">Fuga de relleno en el horneado</t>
  </si>
  <si>
    <t xml:space="preserve">← Fila de ejemplo: puedes borrarla</t>
  </si>
  <si>
    <t xml:space="preserve">6 · BITÁCORA DE VENTAS</t>
  </si>
  <si>
    <t xml:space="preserve">Una línea por venta. La utilidad neta descuenta el costo real y la comisión de plataforma.</t>
  </si>
  <si>
    <t xml:space="preserve">Roles vendidos acumulados</t>
  </si>
  <si>
    <t xml:space="preserve">Ingreso total acumulado</t>
  </si>
  <si>
    <t xml:space="preserve">Utilidad neta total acumulada</t>
  </si>
  <si>
    <t xml:space="preserve">Margen neto promedio</t>
  </si>
  <si>
    <t xml:space="preserve">Canal</t>
  </si>
  <si>
    <t xml:space="preserve">Roles</t>
  </si>
  <si>
    <t xml:space="preserve">Precio unitario</t>
  </si>
  <si>
    <t xml:space="preserve">Ingreso</t>
  </si>
  <si>
    <t xml:space="preserve">Costo total</t>
  </si>
  <si>
    <t xml:space="preserve">Comisión %</t>
  </si>
  <si>
    <t xml:space="preserve">Comisión $</t>
  </si>
  <si>
    <t xml:space="preserve">Utilidad neta</t>
  </si>
  <si>
    <t xml:space="preserve">Margen %</t>
  </si>
  <si>
    <t xml:space="preserve">Cliente / Notas</t>
  </si>
  <si>
    <t xml:space="preserve">Mostrador</t>
  </si>
  <si>
    <t xml:space="preserve">Caja de regalo</t>
  </si>
  <si>
    <t xml:space="preserve">Venta en línea</t>
  </si>
  <si>
    <t xml:space="preserve">7 · GASTOS FIJOS, MANO DE OBRA Y PUNTO DE EQUILIBRIO</t>
  </si>
  <si>
    <t xml:space="preserve">De aquí salen el overhead por rol y el costo por hora que usa la hoja de costeo.</t>
  </si>
  <si>
    <t xml:space="preserve">A · GASTOS FIJOS MENSUALES (MXN)</t>
  </si>
  <si>
    <t xml:space="preserve">Renta del espacio de producción</t>
  </si>
  <si>
    <t xml:space="preserve">Luz, gas y agua</t>
  </si>
  <si>
    <t xml:space="preserve">Internet y telefonía</t>
  </si>
  <si>
    <t xml:space="preserve">Publicidad y anuncios pagados</t>
  </si>
  <si>
    <t xml:space="preserve">Papelería, limpieza y consumibles generales</t>
  </si>
  <si>
    <t xml:space="preserve">Suscripciones y software (diseño, facturación)</t>
  </si>
  <si>
    <t xml:space="preserve">Transporte y repartos</t>
  </si>
  <si>
    <t xml:space="preserve">Depreciación de equipo (batidora, horno, cámara)</t>
  </si>
  <si>
    <t xml:space="preserve">Sueldos fijos de terceros</t>
  </si>
  <si>
    <t xml:space="preserve">Otros gastos fijos</t>
  </si>
  <si>
    <t xml:space="preserve">TOTAL DE GASTOS FIJOS MENSUALES</t>
  </si>
  <si>
    <t xml:space="preserve">Supuesto de arranque: obrador rentado de medio tiempo con cámara de fermentación. Si horneas desde casa, pon 0 en renta.</t>
  </si>
  <si>
    <t xml:space="preserve">B · OVERHEAD POR ROL</t>
  </si>
  <si>
    <t xml:space="preserve">Roles que produces al mes (estimado)</t>
  </si>
  <si>
    <t xml:space="preserve">Overhead prorrateado por rol</t>
  </si>
  <si>
    <t xml:space="preserve">Se enlaza automáticamente a la hoja «4. Costeo y Precios». 900 roles al mes son 75 lotes de masa.</t>
  </si>
  <si>
    <t xml:space="preserve">C · COSTO DE TU MANO DE OBRA</t>
  </si>
  <si>
    <t xml:space="preserve">Sueldo mensual que quieres cobrarte (MXN)</t>
  </si>
  <si>
    <t xml:space="preserve">Horas de trabajo al mes</t>
  </si>
  <si>
    <t xml:space="preserve">Costo de mano de obra por hora</t>
  </si>
  <si>
    <t xml:space="preserve">Ojo: la masa enriquecida tiene fermentación retardada de 8 a 12 horas, pero esas horas no son de trabajo activo. Cuenta solo el tiempo en que tus manos están ocupadas.</t>
  </si>
  <si>
    <t xml:space="preserve">D · PUNTO DE EQUILIBRIO</t>
  </si>
  <si>
    <t xml:space="preserve">Precio de venta promedio por rol</t>
  </si>
  <si>
    <t xml:space="preserve">Costo total unitario promedio</t>
  </si>
  <si>
    <t xml:space="preserve">Margen de contribución por rol</t>
  </si>
  <si>
    <t xml:space="preserve">ROLES QUE DEBES VENDER AL MES PARA NO PERDER</t>
  </si>
  <si>
    <t xml:space="preserve">Ingreso mensual de equilibrio</t>
  </si>
  <si>
    <t xml:space="preserve">Lotes de masa equivalentes</t>
  </si>
  <si>
    <t xml:space="preserve">8 · TABLERO DEL MES</t>
  </si>
  <si>
    <t xml:space="preserve">Escribe cualquier día del mes que quieras analizar y todo el tablero se actualiza.</t>
  </si>
  <si>
    <t xml:space="preserve">Mes a analizar (escribe cualquier fecha de ese mes)</t>
  </si>
  <si>
    <t xml:space="preserve">Inicio del periodo</t>
  </si>
  <si>
    <t xml:space="preserve">Fin del periodo (exclusivo)</t>
  </si>
  <si>
    <t xml:space="preserve">RESULTADOS DEL MES</t>
  </si>
  <si>
    <t xml:space="preserve">Roles vendidos</t>
  </si>
  <si>
    <t xml:space="preserve">Roles buenos producidos</t>
  </si>
  <si>
    <t xml:space="preserve">Ingreso del mes</t>
  </si>
  <si>
    <t xml:space="preserve">Costo de producto vendido</t>
  </si>
  <si>
    <t xml:space="preserve">% de merma del mes</t>
  </si>
  <si>
    <t xml:space="preserve">Utilidad neta del mes</t>
  </si>
  <si>
    <t xml:space="preserve">Dinero perdido en merma</t>
  </si>
  <si>
    <t xml:space="preserve">Margen neto</t>
  </si>
  <si>
    <t xml:space="preserve">Merma como % del ingreso</t>
  </si>
  <si>
    <t xml:space="preserve">Ticket promedio por rol</t>
  </si>
  <si>
    <t xml:space="preserve">Punto de equilibrio (roles)</t>
  </si>
  <si>
    <t xml:space="preserve">Utilidad después de gastos fijos</t>
  </si>
  <si>
    <t xml:space="preserve">Avance hacia el equilibrio</t>
  </si>
  <si>
    <t xml:space="preserve">VENTAS POR CANAL</t>
  </si>
  <si>
    <t xml:space="preserve">Cafetería / restaurante</t>
  </si>
  <si>
    <t xml:space="preserve">Mayoreo / suscripción</t>
  </si>
  <si>
    <t xml:space="preserve">Taller</t>
  </si>
  <si>
    <t xml:space="preserve">DESEMPEÑO POR RECETA (usa el filtro para ordenar)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</si>
</sst>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$#,##0.00"/>
    <numFmt numFmtId="167" formatCode="\$#,##0.0000"/>
    <numFmt numFmtId="168" formatCode="dd/mm/yyyy"/>
    <numFmt numFmtId="169" formatCode="#,##0.0"/>
    <numFmt numFmtId="170" formatCode="0.0%"/>
    <numFmt numFmtId="171" formatCode="\$#,##0"/>
    <numFmt numFmtId="172" formatCode="mmmm\ 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7A2E7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9"/>
      <color rgb="FF7A2E7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9C9C9C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7A2E7E"/>
      <name val="Arial"/>
      <family val="0"/>
      <charset val="1"/>
    </font>
    <font>
      <i val="true"/>
      <sz val="9"/>
      <color rgb="FF9C9C9C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E1454"/>
        <bgColor rgb="FF333333"/>
      </patternFill>
    </fill>
    <fill>
      <patternFill patternType="solid">
        <fgColor rgb="FFFBF4E9"/>
        <bgColor rgb="FFFFF9E3"/>
      </patternFill>
    </fill>
    <fill>
      <patternFill patternType="solid">
        <fgColor rgb="FFB4A7D6"/>
        <bgColor rgb="FFCC99FF"/>
      </patternFill>
    </fill>
    <fill>
      <patternFill patternType="solid">
        <fgColor rgb="FFFFF9E3"/>
        <bgColor rgb="FFFBF4E9"/>
      </patternFill>
    </fill>
    <fill>
      <patternFill patternType="solid">
        <fgColor rgb="FFF8B818"/>
        <bgColor rgb="FFFF9900"/>
      </patternFill>
    </fill>
    <fill>
      <patternFill patternType="solid">
        <fgColor rgb="FFFFFFFF"/>
        <bgColor rgb="FFFFF9E3"/>
      </patternFill>
    </fill>
    <fill>
      <patternFill patternType="solid">
        <fgColor rgb="FF7A2E7E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7A2E7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E3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BF4E9"/>
          <bgColor rgb="FF000000"/>
        </patternFill>
      </fill>
    </dxf>
    <dxf>
      <fill>
        <patternFill patternType="solid">
          <fgColor rgb="FF9C9C9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A7D6"/>
      <rgbColor rgb="FF808080"/>
      <rgbColor rgb="FF9999FF"/>
      <rgbColor rgb="FF7A2E7E"/>
      <rgbColor rgb="FFFFF9E3"/>
      <rgbColor rgb="FFCCFFFF"/>
      <rgbColor rgb="FF4E1454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4E9"/>
      <rgbColor rgb="FF99CCFF"/>
      <rgbColor rgb="FFFF99CC"/>
      <rgbColor rgb="FFCC99FF"/>
      <rgbColor rgb="FFFFCC99"/>
      <rgbColor rgb="FF3366FF"/>
      <rgbColor rgb="FF33CCCC"/>
      <rgbColor rgb="FF99CC00"/>
      <rgbColor rgb="FFF8B818"/>
      <rgbColor rgb="FFFF9900"/>
      <rgbColor rgb="FFFF6600"/>
      <rgbColor rgb="FF595959"/>
      <rgbColor rgb="FF9C9C9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  <c r="C5" s="5" t="s">
        <v>4</v>
      </c>
    </row>
    <row r="6" customFormat="false" ht="30" hidden="false" customHeight="true" outlineLevel="0" collapsed="false">
      <c r="B6" s="4" t="s">
        <v>5</v>
      </c>
      <c r="C6" s="5" t="s">
        <v>6</v>
      </c>
    </row>
    <row r="7" customFormat="false" ht="30" hidden="false" customHeight="true" outlineLevel="0" collapsed="false">
      <c r="B7" s="4" t="s">
        <v>7</v>
      </c>
      <c r="C7" s="5" t="s">
        <v>8</v>
      </c>
    </row>
    <row r="8" customFormat="false" ht="30" hidden="false" customHeight="true" outlineLevel="0" collapsed="false">
      <c r="B8" s="4" t="s">
        <v>9</v>
      </c>
      <c r="C8" s="5" t="s">
        <v>10</v>
      </c>
    </row>
    <row r="9" customFormat="false" ht="30" hidden="false" customHeight="true" outlineLevel="0" collapsed="false">
      <c r="B9" s="4" t="s">
        <v>11</v>
      </c>
      <c r="C9" s="5" t="s">
        <v>12</v>
      </c>
    </row>
    <row r="10" customFormat="false" ht="30" hidden="false" customHeight="true" outlineLevel="0" collapsed="false">
      <c r="B10" s="4" t="s">
        <v>13</v>
      </c>
      <c r="C10" s="5" t="s">
        <v>14</v>
      </c>
    </row>
    <row r="11" customFormat="false" ht="30" hidden="false" customHeight="true" outlineLevel="0" collapsed="false">
      <c r="B11" s="4" t="s">
        <v>15</v>
      </c>
      <c r="C11" s="5" t="s">
        <v>16</v>
      </c>
    </row>
    <row r="12" customFormat="false" ht="30" hidden="false" customHeight="true" outlineLevel="0" collapsed="false">
      <c r="B12" s="4" t="s">
        <v>17</v>
      </c>
      <c r="C12" s="5" t="s">
        <v>18</v>
      </c>
    </row>
    <row r="13" customFormat="false" ht="30" hidden="false" customHeight="true" outlineLevel="0" collapsed="false">
      <c r="B13" s="4" t="s">
        <v>19</v>
      </c>
      <c r="C13" s="5" t="s">
        <v>20</v>
      </c>
    </row>
    <row r="15" customFormat="false" ht="15" hidden="false" customHeight="false" outlineLevel="0" collapsed="false">
      <c r="B15" s="3" t="s">
        <v>21</v>
      </c>
    </row>
    <row r="16" customFormat="false" ht="21.75" hidden="false" customHeight="true" outlineLevel="0" collapsed="false">
      <c r="B16" s="6" t="s">
        <v>22</v>
      </c>
      <c r="C16" s="7" t="s">
        <v>23</v>
      </c>
    </row>
    <row r="17" customFormat="false" ht="21.75" hidden="false" customHeight="true" outlineLevel="0" collapsed="false">
      <c r="B17" s="8" t="s">
        <v>24</v>
      </c>
      <c r="C17" s="9" t="s">
        <v>25</v>
      </c>
    </row>
    <row r="18" customFormat="false" ht="21.75" hidden="false" customHeight="true" outlineLevel="0" collapsed="false">
      <c r="B18" s="10" t="s">
        <v>26</v>
      </c>
      <c r="C18" s="11" t="s">
        <v>27</v>
      </c>
    </row>
    <row r="19" customFormat="false" ht="21.75" hidden="false" customHeight="true" outlineLevel="0" collapsed="false">
      <c r="B19" s="12" t="s">
        <v>28</v>
      </c>
      <c r="C19" s="11" t="s">
        <v>29</v>
      </c>
    </row>
    <row r="20" customFormat="false" ht="21.75" hidden="false" customHeight="true" outlineLevel="0" collapsed="false">
      <c r="B20" s="13" t="s">
        <v>30</v>
      </c>
      <c r="C20" s="14" t="s">
        <v>31</v>
      </c>
    </row>
    <row r="22" customFormat="false" ht="15" hidden="false" customHeight="false" outlineLevel="0" collapsed="false">
      <c r="B22" s="3" t="s">
        <v>32</v>
      </c>
    </row>
    <row r="23" customFormat="false" ht="42" hidden="false" customHeight="true" outlineLevel="0" collapsed="false">
      <c r="B23" s="15" t="s">
        <v>33</v>
      </c>
      <c r="C23" s="16" t="s">
        <v>34</v>
      </c>
    </row>
    <row r="25" customFormat="false" ht="15" hidden="false" customHeight="false" outlineLevel="0" collapsed="false">
      <c r="B25" s="3" t="s">
        <v>35</v>
      </c>
    </row>
    <row r="26" customFormat="false" ht="25.5" hidden="false" customHeight="true" outlineLevel="0" collapsed="false">
      <c r="B26" s="17" t="s">
        <v>36</v>
      </c>
      <c r="C26" s="17"/>
    </row>
    <row r="27" customFormat="false" ht="25.5" hidden="false" customHeight="true" outlineLevel="0" collapsed="false">
      <c r="B27" s="17" t="s">
        <v>37</v>
      </c>
      <c r="C27" s="17"/>
    </row>
    <row r="28" customFormat="false" ht="25.5" hidden="false" customHeight="true" outlineLevel="0" collapsed="false">
      <c r="B28" s="17" t="s">
        <v>38</v>
      </c>
      <c r="C28" s="17"/>
    </row>
    <row r="30" customFormat="false" ht="15" hidden="false" customHeight="false" outlineLevel="0" collapsed="false">
      <c r="B30" s="18" t="s">
        <v>39</v>
      </c>
    </row>
  </sheetData>
  <mergeCells count="4">
    <mergeCell ref="A1:F1"/>
    <mergeCell ref="B26:C26"/>
    <mergeCell ref="B27:C27"/>
    <mergeCell ref="B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30" hidden="false" customHeight="tru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41</v>
      </c>
    </row>
    <row r="4" customFormat="false" ht="30" hidden="false" customHeight="true" outlineLevel="0" collapsed="false">
      <c r="A4" s="19" t="s">
        <v>42</v>
      </c>
      <c r="B4" s="19" t="s">
        <v>43</v>
      </c>
      <c r="C4" s="19" t="s">
        <v>44</v>
      </c>
      <c r="D4" s="19" t="s">
        <v>45</v>
      </c>
      <c r="E4" s="19" t="s">
        <v>46</v>
      </c>
      <c r="F4" s="19" t="s">
        <v>47</v>
      </c>
      <c r="G4" s="19" t="s">
        <v>48</v>
      </c>
      <c r="H4" s="19" t="s">
        <v>49</v>
      </c>
      <c r="I4" s="19" t="s">
        <v>50</v>
      </c>
    </row>
    <row r="5" customFormat="false" ht="15" hidden="false" customHeight="false" outlineLevel="0" collapsed="false">
      <c r="A5" s="20" t="s">
        <v>51</v>
      </c>
      <c r="B5" s="20" t="s">
        <v>52</v>
      </c>
      <c r="C5" s="20" t="s">
        <v>53</v>
      </c>
      <c r="D5" s="21" t="n">
        <v>1000</v>
      </c>
      <c r="E5" s="22" t="n">
        <v>32</v>
      </c>
      <c r="F5" s="23" t="n">
        <f aca="false">IFERROR(E5/D5,0)</f>
        <v>0.032</v>
      </c>
      <c r="G5" s="24"/>
      <c r="H5" s="25"/>
      <c r="I5" s="24" t="s">
        <v>54</v>
      </c>
    </row>
    <row r="6" customFormat="false" ht="15" hidden="false" customHeight="false" outlineLevel="0" collapsed="false">
      <c r="A6" s="20" t="s">
        <v>51</v>
      </c>
      <c r="B6" s="20" t="s">
        <v>55</v>
      </c>
      <c r="C6" s="20" t="s">
        <v>53</v>
      </c>
      <c r="D6" s="21" t="n">
        <v>1000</v>
      </c>
      <c r="E6" s="22" t="n">
        <v>26</v>
      </c>
      <c r="F6" s="23" t="n">
        <f aca="false">IFERROR(E6/D6,0)</f>
        <v>0.026</v>
      </c>
      <c r="G6" s="24"/>
      <c r="H6" s="25"/>
      <c r="I6" s="24"/>
    </row>
    <row r="7" customFormat="false" ht="15" hidden="false" customHeight="false" outlineLevel="0" collapsed="false">
      <c r="A7" s="20" t="s">
        <v>51</v>
      </c>
      <c r="B7" s="20" t="s">
        <v>56</v>
      </c>
      <c r="C7" s="20" t="s">
        <v>53</v>
      </c>
      <c r="D7" s="21" t="n">
        <v>1000</v>
      </c>
      <c r="E7" s="22" t="n">
        <v>420</v>
      </c>
      <c r="F7" s="23" t="n">
        <f aca="false">IFERROR(E7/D7,0)</f>
        <v>0.42</v>
      </c>
      <c r="G7" s="24"/>
      <c r="H7" s="25"/>
      <c r="I7" s="24"/>
    </row>
    <row r="8" customFormat="false" ht="15" hidden="false" customHeight="false" outlineLevel="0" collapsed="false">
      <c r="A8" s="20" t="s">
        <v>51</v>
      </c>
      <c r="B8" s="20" t="s">
        <v>57</v>
      </c>
      <c r="C8" s="20" t="s">
        <v>53</v>
      </c>
      <c r="D8" s="21" t="n">
        <v>500</v>
      </c>
      <c r="E8" s="22" t="n">
        <v>32</v>
      </c>
      <c r="F8" s="23" t="n">
        <f aca="false">IFERROR(E8/D8,0)</f>
        <v>0.064</v>
      </c>
      <c r="G8" s="24"/>
      <c r="H8" s="25"/>
      <c r="I8" s="24"/>
    </row>
    <row r="9" customFormat="false" ht="15" hidden="false" customHeight="false" outlineLevel="0" collapsed="false">
      <c r="A9" s="20" t="s">
        <v>51</v>
      </c>
      <c r="B9" s="20" t="s">
        <v>58</v>
      </c>
      <c r="C9" s="20" t="s">
        <v>53</v>
      </c>
      <c r="D9" s="21" t="n">
        <v>1000</v>
      </c>
      <c r="E9" s="22" t="n">
        <v>45</v>
      </c>
      <c r="F9" s="23" t="n">
        <f aca="false">IFERROR(E9/D9,0)</f>
        <v>0.045</v>
      </c>
      <c r="G9" s="24"/>
      <c r="H9" s="25"/>
      <c r="I9" s="24"/>
    </row>
    <row r="10" customFormat="false" ht="15" hidden="false" customHeight="false" outlineLevel="0" collapsed="false">
      <c r="A10" s="20" t="s">
        <v>51</v>
      </c>
      <c r="B10" s="20" t="s">
        <v>59</v>
      </c>
      <c r="C10" s="20" t="s">
        <v>53</v>
      </c>
      <c r="D10" s="21" t="n">
        <v>500</v>
      </c>
      <c r="E10" s="22" t="n">
        <v>58</v>
      </c>
      <c r="F10" s="23" t="n">
        <f aca="false">IFERROR(E10/D10,0)</f>
        <v>0.116</v>
      </c>
      <c r="G10" s="24"/>
      <c r="H10" s="25"/>
      <c r="I10" s="24"/>
    </row>
    <row r="11" customFormat="false" ht="15" hidden="false" customHeight="false" outlineLevel="0" collapsed="false">
      <c r="A11" s="20" t="s">
        <v>51</v>
      </c>
      <c r="B11" s="20" t="s">
        <v>60</v>
      </c>
      <c r="C11" s="20" t="s">
        <v>53</v>
      </c>
      <c r="D11" s="21" t="n">
        <v>250</v>
      </c>
      <c r="E11" s="22" t="n">
        <v>95</v>
      </c>
      <c r="F11" s="23" t="n">
        <f aca="false">IFERROR(E11/D11,0)</f>
        <v>0.38</v>
      </c>
      <c r="G11" s="24"/>
      <c r="H11" s="25"/>
      <c r="I11" s="24"/>
    </row>
    <row r="12" customFormat="false" ht="15" hidden="false" customHeight="false" outlineLevel="0" collapsed="false">
      <c r="A12" s="20" t="s">
        <v>51</v>
      </c>
      <c r="B12" s="20" t="s">
        <v>61</v>
      </c>
      <c r="C12" s="20" t="s">
        <v>53</v>
      </c>
      <c r="D12" s="21" t="n">
        <v>250</v>
      </c>
      <c r="E12" s="22" t="n">
        <v>75</v>
      </c>
      <c r="F12" s="23" t="n">
        <f aca="false">IFERROR(E12/D12,0)</f>
        <v>0.3</v>
      </c>
      <c r="G12" s="24"/>
      <c r="H12" s="25"/>
      <c r="I12" s="24"/>
    </row>
    <row r="13" customFormat="false" ht="15" hidden="false" customHeight="false" outlineLevel="0" collapsed="false">
      <c r="A13" s="20" t="s">
        <v>62</v>
      </c>
      <c r="B13" s="20" t="s">
        <v>63</v>
      </c>
      <c r="C13" s="20" t="s">
        <v>53</v>
      </c>
      <c r="D13" s="21" t="n">
        <v>1000</v>
      </c>
      <c r="E13" s="22" t="n">
        <v>32</v>
      </c>
      <c r="F13" s="23" t="n">
        <f aca="false">IFERROR(E13/D13,0)</f>
        <v>0.032</v>
      </c>
      <c r="G13" s="24"/>
      <c r="H13" s="25"/>
      <c r="I13" s="24"/>
    </row>
    <row r="14" customFormat="false" ht="15" hidden="false" customHeight="false" outlineLevel="0" collapsed="false">
      <c r="A14" s="20" t="s">
        <v>62</v>
      </c>
      <c r="B14" s="20" t="s">
        <v>64</v>
      </c>
      <c r="C14" s="20" t="s">
        <v>53</v>
      </c>
      <c r="D14" s="21" t="n">
        <v>1000</v>
      </c>
      <c r="E14" s="22" t="n">
        <v>45</v>
      </c>
      <c r="F14" s="23" t="n">
        <f aca="false">IFERROR(E14/D14,0)</f>
        <v>0.045</v>
      </c>
      <c r="G14" s="24"/>
      <c r="H14" s="25"/>
      <c r="I14" s="24"/>
    </row>
    <row r="15" customFormat="false" ht="15" hidden="false" customHeight="false" outlineLevel="0" collapsed="false">
      <c r="A15" s="20" t="s">
        <v>62</v>
      </c>
      <c r="B15" s="20" t="s">
        <v>65</v>
      </c>
      <c r="C15" s="20" t="s">
        <v>53</v>
      </c>
      <c r="D15" s="21" t="n">
        <v>1000</v>
      </c>
      <c r="E15" s="22" t="n">
        <v>52</v>
      </c>
      <c r="F15" s="23" t="n">
        <f aca="false">IFERROR(E15/D15,0)</f>
        <v>0.052</v>
      </c>
      <c r="G15" s="24"/>
      <c r="H15" s="25"/>
      <c r="I15" s="24"/>
    </row>
    <row r="16" customFormat="false" ht="15" hidden="false" customHeight="false" outlineLevel="0" collapsed="false">
      <c r="A16" s="20" t="s">
        <v>62</v>
      </c>
      <c r="B16" s="20" t="s">
        <v>66</v>
      </c>
      <c r="C16" s="20" t="s">
        <v>53</v>
      </c>
      <c r="D16" s="21" t="n">
        <v>1000</v>
      </c>
      <c r="E16" s="22" t="n">
        <v>48</v>
      </c>
      <c r="F16" s="23" t="n">
        <f aca="false">IFERROR(E16/D16,0)</f>
        <v>0.048</v>
      </c>
      <c r="G16" s="24"/>
      <c r="H16" s="25"/>
      <c r="I16" s="24"/>
    </row>
    <row r="17" customFormat="false" ht="15" hidden="false" customHeight="false" outlineLevel="0" collapsed="false">
      <c r="A17" s="20" t="s">
        <v>62</v>
      </c>
      <c r="B17" s="20" t="s">
        <v>67</v>
      </c>
      <c r="C17" s="20" t="s">
        <v>53</v>
      </c>
      <c r="D17" s="21" t="n">
        <v>500</v>
      </c>
      <c r="E17" s="22" t="n">
        <v>110</v>
      </c>
      <c r="F17" s="23" t="n">
        <f aca="false">IFERROR(E17/D17,0)</f>
        <v>0.22</v>
      </c>
      <c r="G17" s="24"/>
      <c r="H17" s="25"/>
      <c r="I17" s="24"/>
    </row>
    <row r="18" customFormat="false" ht="15" hidden="false" customHeight="false" outlineLevel="0" collapsed="false">
      <c r="A18" s="20" t="s">
        <v>62</v>
      </c>
      <c r="B18" s="20" t="s">
        <v>68</v>
      </c>
      <c r="C18" s="20" t="s">
        <v>69</v>
      </c>
      <c r="D18" s="21" t="n">
        <v>250</v>
      </c>
      <c r="E18" s="22" t="n">
        <v>190</v>
      </c>
      <c r="F18" s="23" t="n">
        <f aca="false">IFERROR(E18/D18,0)</f>
        <v>0.76</v>
      </c>
      <c r="G18" s="24"/>
      <c r="H18" s="25"/>
      <c r="I18" s="24"/>
    </row>
    <row r="19" customFormat="false" ht="15" hidden="false" customHeight="false" outlineLevel="0" collapsed="false">
      <c r="A19" s="20" t="s">
        <v>62</v>
      </c>
      <c r="B19" s="20" t="s">
        <v>70</v>
      </c>
      <c r="C19" s="20" t="s">
        <v>53</v>
      </c>
      <c r="D19" s="21" t="n">
        <v>500</v>
      </c>
      <c r="E19" s="22" t="n">
        <v>75</v>
      </c>
      <c r="F19" s="23" t="n">
        <f aca="false">IFERROR(E19/D19,0)</f>
        <v>0.15</v>
      </c>
      <c r="G19" s="24"/>
      <c r="H19" s="25"/>
      <c r="I19" s="24"/>
    </row>
    <row r="20" customFormat="false" ht="15" hidden="false" customHeight="false" outlineLevel="0" collapsed="false">
      <c r="A20" s="20" t="s">
        <v>71</v>
      </c>
      <c r="B20" s="20" t="s">
        <v>72</v>
      </c>
      <c r="C20" s="20" t="s">
        <v>53</v>
      </c>
      <c r="D20" s="21" t="n">
        <v>1000</v>
      </c>
      <c r="E20" s="22" t="n">
        <v>260</v>
      </c>
      <c r="F20" s="23" t="n">
        <f aca="false">IFERROR(E20/D20,0)</f>
        <v>0.26</v>
      </c>
      <c r="G20" s="24"/>
      <c r="H20" s="25"/>
      <c r="I20" s="24"/>
    </row>
    <row r="21" customFormat="false" ht="15" hidden="false" customHeight="false" outlineLevel="0" collapsed="false">
      <c r="A21" s="20" t="s">
        <v>71</v>
      </c>
      <c r="B21" s="20" t="s">
        <v>73</v>
      </c>
      <c r="C21" s="20" t="s">
        <v>69</v>
      </c>
      <c r="D21" s="21" t="n">
        <v>1000</v>
      </c>
      <c r="E21" s="22" t="n">
        <v>28</v>
      </c>
      <c r="F21" s="23" t="n">
        <f aca="false">IFERROR(E21/D21,0)</f>
        <v>0.028</v>
      </c>
      <c r="G21" s="24"/>
      <c r="H21" s="25"/>
      <c r="I21" s="24"/>
    </row>
    <row r="22" customFormat="false" ht="15" hidden="false" customHeight="false" outlineLevel="0" collapsed="false">
      <c r="A22" s="20" t="s">
        <v>71</v>
      </c>
      <c r="B22" s="20" t="s">
        <v>74</v>
      </c>
      <c r="C22" s="20" t="s">
        <v>69</v>
      </c>
      <c r="D22" s="21" t="n">
        <v>1000</v>
      </c>
      <c r="E22" s="22" t="n">
        <v>130</v>
      </c>
      <c r="F22" s="23" t="n">
        <f aca="false">IFERROR(E22/D22,0)</f>
        <v>0.13</v>
      </c>
      <c r="G22" s="24"/>
      <c r="H22" s="25"/>
      <c r="I22" s="24"/>
    </row>
    <row r="23" customFormat="false" ht="15" hidden="false" customHeight="false" outlineLevel="0" collapsed="false">
      <c r="A23" s="20" t="s">
        <v>71</v>
      </c>
      <c r="B23" s="20" t="s">
        <v>75</v>
      </c>
      <c r="C23" s="20" t="s">
        <v>53</v>
      </c>
      <c r="D23" s="21" t="n">
        <v>1000</v>
      </c>
      <c r="E23" s="22" t="n">
        <v>190</v>
      </c>
      <c r="F23" s="23" t="n">
        <f aca="false">IFERROR(E23/D23,0)</f>
        <v>0.19</v>
      </c>
      <c r="G23" s="24"/>
      <c r="H23" s="25"/>
      <c r="I23" s="24"/>
    </row>
    <row r="24" customFormat="false" ht="15" hidden="false" customHeight="false" outlineLevel="0" collapsed="false">
      <c r="A24" s="20" t="s">
        <v>71</v>
      </c>
      <c r="B24" s="20" t="s">
        <v>76</v>
      </c>
      <c r="C24" s="20" t="s">
        <v>53</v>
      </c>
      <c r="D24" s="21" t="n">
        <v>500</v>
      </c>
      <c r="E24" s="22" t="n">
        <v>220</v>
      </c>
      <c r="F24" s="23" t="n">
        <f aca="false">IFERROR(E24/D24,0)</f>
        <v>0.44</v>
      </c>
      <c r="G24" s="24"/>
      <c r="H24" s="25"/>
      <c r="I24" s="24"/>
    </row>
    <row r="25" customFormat="false" ht="15" hidden="false" customHeight="false" outlineLevel="0" collapsed="false">
      <c r="A25" s="20" t="s">
        <v>71</v>
      </c>
      <c r="B25" s="20" t="s">
        <v>77</v>
      </c>
      <c r="C25" s="20" t="s">
        <v>53</v>
      </c>
      <c r="D25" s="21" t="n">
        <v>397</v>
      </c>
      <c r="E25" s="22" t="n">
        <v>42</v>
      </c>
      <c r="F25" s="23" t="n">
        <f aca="false">IFERROR(E25/D25,0)</f>
        <v>0.105793450881612</v>
      </c>
      <c r="G25" s="24"/>
      <c r="H25" s="25"/>
      <c r="I25" s="24"/>
    </row>
    <row r="26" customFormat="false" ht="15" hidden="false" customHeight="false" outlineLevel="0" collapsed="false">
      <c r="A26" s="20" t="s">
        <v>71</v>
      </c>
      <c r="B26" s="20" t="s">
        <v>78</v>
      </c>
      <c r="C26" s="20" t="s">
        <v>69</v>
      </c>
      <c r="D26" s="21" t="n">
        <v>360</v>
      </c>
      <c r="E26" s="22" t="n">
        <v>26</v>
      </c>
      <c r="F26" s="23" t="n">
        <f aca="false">IFERROR(E26/D26,0)</f>
        <v>0.0722222222222222</v>
      </c>
      <c r="G26" s="24"/>
      <c r="H26" s="25"/>
      <c r="I26" s="24"/>
    </row>
    <row r="27" customFormat="false" ht="15" hidden="false" customHeight="false" outlineLevel="0" collapsed="false">
      <c r="A27" s="20" t="s">
        <v>71</v>
      </c>
      <c r="B27" s="20" t="s">
        <v>79</v>
      </c>
      <c r="C27" s="20" t="s">
        <v>69</v>
      </c>
      <c r="D27" s="21" t="n">
        <v>250</v>
      </c>
      <c r="E27" s="22" t="n">
        <v>25</v>
      </c>
      <c r="F27" s="23" t="n">
        <f aca="false">IFERROR(E27/D27,0)</f>
        <v>0.1</v>
      </c>
      <c r="G27" s="24"/>
      <c r="H27" s="25"/>
      <c r="I27" s="24"/>
    </row>
    <row r="28" customFormat="false" ht="15" hidden="false" customHeight="false" outlineLevel="0" collapsed="false">
      <c r="A28" s="20" t="s">
        <v>71</v>
      </c>
      <c r="B28" s="20" t="s">
        <v>80</v>
      </c>
      <c r="C28" s="20" t="s">
        <v>81</v>
      </c>
      <c r="D28" s="21" t="n">
        <v>30</v>
      </c>
      <c r="E28" s="22" t="n">
        <v>105</v>
      </c>
      <c r="F28" s="23" t="n">
        <f aca="false">IFERROR(E28/D28,0)</f>
        <v>3.5</v>
      </c>
      <c r="G28" s="24"/>
      <c r="H28" s="25"/>
      <c r="I28" s="24"/>
    </row>
    <row r="29" customFormat="false" ht="15" hidden="false" customHeight="false" outlineLevel="0" collapsed="false">
      <c r="A29" s="20" t="s">
        <v>71</v>
      </c>
      <c r="B29" s="20" t="s">
        <v>82</v>
      </c>
      <c r="C29" s="20" t="s">
        <v>81</v>
      </c>
      <c r="D29" s="21" t="n">
        <v>30</v>
      </c>
      <c r="E29" s="22" t="n">
        <v>105</v>
      </c>
      <c r="F29" s="23" t="n">
        <f aca="false">IFERROR(E29/D29,0)</f>
        <v>3.5</v>
      </c>
      <c r="G29" s="24"/>
      <c r="H29" s="25"/>
      <c r="I29" s="24"/>
    </row>
    <row r="30" customFormat="false" ht="15" hidden="false" customHeight="false" outlineLevel="0" collapsed="false">
      <c r="A30" s="20" t="s">
        <v>71</v>
      </c>
      <c r="B30" s="20" t="s">
        <v>83</v>
      </c>
      <c r="C30" s="20" t="s">
        <v>81</v>
      </c>
      <c r="D30" s="21" t="n">
        <v>30</v>
      </c>
      <c r="E30" s="22" t="n">
        <v>105</v>
      </c>
      <c r="F30" s="23" t="n">
        <f aca="false">IFERROR(E30/D30,0)</f>
        <v>3.5</v>
      </c>
      <c r="G30" s="24"/>
      <c r="H30" s="25"/>
      <c r="I30" s="24"/>
    </row>
    <row r="31" customFormat="false" ht="15" hidden="false" customHeight="false" outlineLevel="0" collapsed="false">
      <c r="A31" s="20" t="s">
        <v>71</v>
      </c>
      <c r="B31" s="20" t="s">
        <v>84</v>
      </c>
      <c r="C31" s="20" t="s">
        <v>53</v>
      </c>
      <c r="D31" s="21" t="n">
        <v>500</v>
      </c>
      <c r="E31" s="22" t="n">
        <v>60</v>
      </c>
      <c r="F31" s="23" t="n">
        <f aca="false">IFERROR(E31/D31,0)</f>
        <v>0.12</v>
      </c>
      <c r="G31" s="24"/>
      <c r="H31" s="25"/>
      <c r="I31" s="24"/>
    </row>
    <row r="32" customFormat="false" ht="15" hidden="false" customHeight="false" outlineLevel="0" collapsed="false">
      <c r="A32" s="20" t="s">
        <v>85</v>
      </c>
      <c r="B32" s="20" t="s">
        <v>86</v>
      </c>
      <c r="C32" s="20" t="s">
        <v>53</v>
      </c>
      <c r="D32" s="21" t="n">
        <v>500</v>
      </c>
      <c r="E32" s="22" t="n">
        <v>480</v>
      </c>
      <c r="F32" s="23" t="n">
        <f aca="false">IFERROR(E32/D32,0)</f>
        <v>0.96</v>
      </c>
      <c r="G32" s="24"/>
      <c r="H32" s="25"/>
      <c r="I32" s="24"/>
    </row>
    <row r="33" customFormat="false" ht="15" hidden="false" customHeight="false" outlineLevel="0" collapsed="false">
      <c r="A33" s="20" t="s">
        <v>85</v>
      </c>
      <c r="B33" s="20" t="s">
        <v>87</v>
      </c>
      <c r="C33" s="20" t="s">
        <v>53</v>
      </c>
      <c r="D33" s="21" t="n">
        <v>500</v>
      </c>
      <c r="E33" s="22" t="n">
        <v>150</v>
      </c>
      <c r="F33" s="23" t="n">
        <f aca="false">IFERROR(E33/D33,0)</f>
        <v>0.3</v>
      </c>
      <c r="G33" s="24"/>
      <c r="H33" s="25"/>
      <c r="I33" s="24"/>
    </row>
    <row r="34" customFormat="false" ht="15" hidden="false" customHeight="false" outlineLevel="0" collapsed="false">
      <c r="A34" s="20" t="s">
        <v>85</v>
      </c>
      <c r="B34" s="20" t="s">
        <v>88</v>
      </c>
      <c r="C34" s="20" t="s">
        <v>53</v>
      </c>
      <c r="D34" s="21" t="n">
        <v>500</v>
      </c>
      <c r="E34" s="22" t="n">
        <v>320</v>
      </c>
      <c r="F34" s="23" t="n">
        <f aca="false">IFERROR(E34/D34,0)</f>
        <v>0.64</v>
      </c>
      <c r="G34" s="24"/>
      <c r="H34" s="25"/>
      <c r="I34" s="24"/>
    </row>
    <row r="35" customFormat="false" ht="15" hidden="false" customHeight="false" outlineLevel="0" collapsed="false">
      <c r="A35" s="20" t="s">
        <v>85</v>
      </c>
      <c r="B35" s="20" t="s">
        <v>89</v>
      </c>
      <c r="C35" s="20" t="s">
        <v>53</v>
      </c>
      <c r="D35" s="21" t="n">
        <v>250</v>
      </c>
      <c r="E35" s="22" t="n">
        <v>220</v>
      </c>
      <c r="F35" s="23" t="n">
        <f aca="false">IFERROR(E35/D35,0)</f>
        <v>0.88</v>
      </c>
      <c r="G35" s="24"/>
      <c r="H35" s="25"/>
      <c r="I35" s="24"/>
    </row>
    <row r="36" customFormat="false" ht="15" hidden="false" customHeight="false" outlineLevel="0" collapsed="false">
      <c r="A36" s="20" t="s">
        <v>85</v>
      </c>
      <c r="B36" s="20" t="s">
        <v>90</v>
      </c>
      <c r="C36" s="20" t="s">
        <v>53</v>
      </c>
      <c r="D36" s="21" t="n">
        <v>500</v>
      </c>
      <c r="E36" s="22" t="n">
        <v>420</v>
      </c>
      <c r="F36" s="23" t="n">
        <f aca="false">IFERROR(E36/D36,0)</f>
        <v>0.84</v>
      </c>
      <c r="G36" s="24"/>
      <c r="H36" s="25"/>
      <c r="I36" s="24"/>
    </row>
    <row r="37" customFormat="false" ht="15" hidden="false" customHeight="false" outlineLevel="0" collapsed="false">
      <c r="A37" s="20" t="s">
        <v>85</v>
      </c>
      <c r="B37" s="20" t="s">
        <v>91</v>
      </c>
      <c r="C37" s="20" t="s">
        <v>53</v>
      </c>
      <c r="D37" s="21" t="n">
        <v>500</v>
      </c>
      <c r="E37" s="22" t="n">
        <v>260</v>
      </c>
      <c r="F37" s="23" t="n">
        <f aca="false">IFERROR(E37/D37,0)</f>
        <v>0.52</v>
      </c>
      <c r="G37" s="24"/>
      <c r="H37" s="25"/>
      <c r="I37" s="24"/>
    </row>
    <row r="38" customFormat="false" ht="15" hidden="false" customHeight="false" outlineLevel="0" collapsed="false">
      <c r="A38" s="20" t="s">
        <v>85</v>
      </c>
      <c r="B38" s="20" t="s">
        <v>92</v>
      </c>
      <c r="C38" s="20" t="s">
        <v>53</v>
      </c>
      <c r="D38" s="21" t="n">
        <v>500</v>
      </c>
      <c r="E38" s="22" t="n">
        <v>140</v>
      </c>
      <c r="F38" s="23" t="n">
        <f aca="false">IFERROR(E38/D38,0)</f>
        <v>0.28</v>
      </c>
      <c r="G38" s="24"/>
      <c r="H38" s="25"/>
      <c r="I38" s="24"/>
    </row>
    <row r="39" customFormat="false" ht="15" hidden="false" customHeight="false" outlineLevel="0" collapsed="false">
      <c r="A39" s="20" t="s">
        <v>93</v>
      </c>
      <c r="B39" s="20" t="s">
        <v>94</v>
      </c>
      <c r="C39" s="20" t="s">
        <v>53</v>
      </c>
      <c r="D39" s="21" t="n">
        <v>1000</v>
      </c>
      <c r="E39" s="22" t="n">
        <v>320</v>
      </c>
      <c r="F39" s="23" t="n">
        <f aca="false">IFERROR(E39/D39,0)</f>
        <v>0.32</v>
      </c>
      <c r="G39" s="24"/>
      <c r="H39" s="25"/>
      <c r="I39" s="24"/>
    </row>
    <row r="40" customFormat="false" ht="15" hidden="false" customHeight="false" outlineLevel="0" collapsed="false">
      <c r="A40" s="20" t="s">
        <v>93</v>
      </c>
      <c r="B40" s="20" t="s">
        <v>95</v>
      </c>
      <c r="C40" s="20" t="s">
        <v>53</v>
      </c>
      <c r="D40" s="21" t="n">
        <v>1000</v>
      </c>
      <c r="E40" s="22" t="n">
        <v>290</v>
      </c>
      <c r="F40" s="23" t="n">
        <f aca="false">IFERROR(E40/D40,0)</f>
        <v>0.29</v>
      </c>
      <c r="G40" s="24"/>
      <c r="H40" s="25"/>
      <c r="I40" s="24"/>
    </row>
    <row r="41" customFormat="false" ht="15" hidden="false" customHeight="false" outlineLevel="0" collapsed="false">
      <c r="A41" s="20" t="s">
        <v>93</v>
      </c>
      <c r="B41" s="20" t="s">
        <v>96</v>
      </c>
      <c r="C41" s="20" t="s">
        <v>53</v>
      </c>
      <c r="D41" s="21" t="n">
        <v>1000</v>
      </c>
      <c r="E41" s="22" t="n">
        <v>300</v>
      </c>
      <c r="F41" s="23" t="n">
        <f aca="false">IFERROR(E41/D41,0)</f>
        <v>0.3</v>
      </c>
      <c r="G41" s="24"/>
      <c r="H41" s="25"/>
      <c r="I41" s="24"/>
    </row>
    <row r="42" customFormat="false" ht="15" hidden="false" customHeight="false" outlineLevel="0" collapsed="false">
      <c r="A42" s="20" t="s">
        <v>93</v>
      </c>
      <c r="B42" s="20" t="s">
        <v>97</v>
      </c>
      <c r="C42" s="20" t="s">
        <v>53</v>
      </c>
      <c r="D42" s="21" t="n">
        <v>1000</v>
      </c>
      <c r="E42" s="22" t="n">
        <v>340</v>
      </c>
      <c r="F42" s="23" t="n">
        <f aca="false">IFERROR(E42/D42,0)</f>
        <v>0.34</v>
      </c>
      <c r="G42" s="24"/>
      <c r="H42" s="25"/>
      <c r="I42" s="24"/>
    </row>
    <row r="43" customFormat="false" ht="15" hidden="false" customHeight="false" outlineLevel="0" collapsed="false">
      <c r="A43" s="20" t="s">
        <v>93</v>
      </c>
      <c r="B43" s="20" t="s">
        <v>98</v>
      </c>
      <c r="C43" s="20" t="s">
        <v>53</v>
      </c>
      <c r="D43" s="21" t="n">
        <v>1000</v>
      </c>
      <c r="E43" s="22" t="n">
        <v>320</v>
      </c>
      <c r="F43" s="23" t="n">
        <f aca="false">IFERROR(E43/D43,0)</f>
        <v>0.32</v>
      </c>
      <c r="G43" s="24"/>
      <c r="H43" s="25"/>
      <c r="I43" s="24"/>
    </row>
    <row r="44" customFormat="false" ht="15" hidden="false" customHeight="false" outlineLevel="0" collapsed="false">
      <c r="A44" s="20" t="s">
        <v>93</v>
      </c>
      <c r="B44" s="20" t="s">
        <v>99</v>
      </c>
      <c r="C44" s="20" t="s">
        <v>53</v>
      </c>
      <c r="D44" s="21" t="n">
        <v>1000</v>
      </c>
      <c r="E44" s="22" t="n">
        <v>690</v>
      </c>
      <c r="F44" s="23" t="n">
        <f aca="false">IFERROR(E44/D44,0)</f>
        <v>0.69</v>
      </c>
      <c r="G44" s="24"/>
      <c r="H44" s="25"/>
      <c r="I44" s="24"/>
    </row>
    <row r="45" customFormat="false" ht="15" hidden="false" customHeight="false" outlineLevel="0" collapsed="false">
      <c r="A45" s="20" t="s">
        <v>93</v>
      </c>
      <c r="B45" s="20" t="s">
        <v>100</v>
      </c>
      <c r="C45" s="20" t="s">
        <v>53</v>
      </c>
      <c r="D45" s="21" t="n">
        <v>1000</v>
      </c>
      <c r="E45" s="22" t="n">
        <v>650</v>
      </c>
      <c r="F45" s="23" t="n">
        <f aca="false">IFERROR(E45/D45,0)</f>
        <v>0.65</v>
      </c>
      <c r="G45" s="24"/>
      <c r="H45" s="25"/>
      <c r="I45" s="24"/>
    </row>
    <row r="46" customFormat="false" ht="15" hidden="false" customHeight="false" outlineLevel="0" collapsed="false">
      <c r="A46" s="20" t="s">
        <v>93</v>
      </c>
      <c r="B46" s="20" t="s">
        <v>101</v>
      </c>
      <c r="C46" s="20" t="s">
        <v>53</v>
      </c>
      <c r="D46" s="21" t="n">
        <v>1000</v>
      </c>
      <c r="E46" s="22" t="n">
        <v>145</v>
      </c>
      <c r="F46" s="23" t="n">
        <f aca="false">IFERROR(E46/D46,0)</f>
        <v>0.145</v>
      </c>
      <c r="G46" s="24"/>
      <c r="H46" s="25"/>
      <c r="I46" s="24"/>
    </row>
    <row r="47" customFormat="false" ht="15" hidden="false" customHeight="false" outlineLevel="0" collapsed="false">
      <c r="A47" s="20" t="s">
        <v>93</v>
      </c>
      <c r="B47" s="20" t="s">
        <v>102</v>
      </c>
      <c r="C47" s="20" t="s">
        <v>53</v>
      </c>
      <c r="D47" s="21" t="n">
        <v>1000</v>
      </c>
      <c r="E47" s="22" t="n">
        <v>290</v>
      </c>
      <c r="F47" s="23" t="n">
        <f aca="false">IFERROR(E47/D47,0)</f>
        <v>0.29</v>
      </c>
      <c r="G47" s="24"/>
      <c r="H47" s="25"/>
      <c r="I47" s="24"/>
    </row>
    <row r="48" customFormat="false" ht="15" hidden="false" customHeight="false" outlineLevel="0" collapsed="false">
      <c r="A48" s="20" t="s">
        <v>93</v>
      </c>
      <c r="B48" s="20" t="s">
        <v>103</v>
      </c>
      <c r="C48" s="20" t="s">
        <v>53</v>
      </c>
      <c r="D48" s="21" t="n">
        <v>1000</v>
      </c>
      <c r="E48" s="22" t="n">
        <v>260</v>
      </c>
      <c r="F48" s="23" t="n">
        <f aca="false">IFERROR(E48/D48,0)</f>
        <v>0.26</v>
      </c>
      <c r="G48" s="24"/>
      <c r="H48" s="25"/>
      <c r="I48" s="24"/>
    </row>
    <row r="49" customFormat="false" ht="15" hidden="false" customHeight="false" outlineLevel="0" collapsed="false">
      <c r="A49" s="20" t="s">
        <v>93</v>
      </c>
      <c r="B49" s="20" t="s">
        <v>104</v>
      </c>
      <c r="C49" s="20" t="s">
        <v>53</v>
      </c>
      <c r="D49" s="21" t="n">
        <v>500</v>
      </c>
      <c r="E49" s="22" t="n">
        <v>320</v>
      </c>
      <c r="F49" s="23" t="n">
        <f aca="false">IFERROR(E49/D49,0)</f>
        <v>0.64</v>
      </c>
      <c r="G49" s="24"/>
      <c r="H49" s="25"/>
      <c r="I49" s="24"/>
    </row>
    <row r="50" customFormat="false" ht="15" hidden="false" customHeight="false" outlineLevel="0" collapsed="false">
      <c r="A50" s="20" t="s">
        <v>93</v>
      </c>
      <c r="B50" s="20" t="s">
        <v>105</v>
      </c>
      <c r="C50" s="20" t="s">
        <v>53</v>
      </c>
      <c r="D50" s="21" t="n">
        <v>1000</v>
      </c>
      <c r="E50" s="22" t="n">
        <v>290</v>
      </c>
      <c r="F50" s="23" t="n">
        <f aca="false">IFERROR(E50/D50,0)</f>
        <v>0.29</v>
      </c>
      <c r="G50" s="24"/>
      <c r="H50" s="25"/>
      <c r="I50" s="24"/>
    </row>
    <row r="51" customFormat="false" ht="15" hidden="false" customHeight="false" outlineLevel="0" collapsed="false">
      <c r="A51" s="20" t="s">
        <v>93</v>
      </c>
      <c r="B51" s="20" t="s">
        <v>106</v>
      </c>
      <c r="C51" s="20" t="s">
        <v>53</v>
      </c>
      <c r="D51" s="21" t="n">
        <v>500</v>
      </c>
      <c r="E51" s="22" t="n">
        <v>420</v>
      </c>
      <c r="F51" s="23" t="n">
        <f aca="false">IFERROR(E51/D51,0)</f>
        <v>0.84</v>
      </c>
      <c r="G51" s="24"/>
      <c r="H51" s="25"/>
      <c r="I51" s="24"/>
    </row>
    <row r="52" customFormat="false" ht="15" hidden="false" customHeight="false" outlineLevel="0" collapsed="false">
      <c r="A52" s="20" t="s">
        <v>93</v>
      </c>
      <c r="B52" s="20" t="s">
        <v>107</v>
      </c>
      <c r="C52" s="20" t="s">
        <v>53</v>
      </c>
      <c r="D52" s="21" t="n">
        <v>400</v>
      </c>
      <c r="E52" s="22" t="n">
        <v>140</v>
      </c>
      <c r="F52" s="23" t="n">
        <f aca="false">IFERROR(E52/D52,0)</f>
        <v>0.35</v>
      </c>
      <c r="G52" s="24"/>
      <c r="H52" s="25"/>
      <c r="I52" s="24"/>
    </row>
    <row r="53" customFormat="false" ht="15" hidden="false" customHeight="false" outlineLevel="0" collapsed="false">
      <c r="A53" s="20" t="s">
        <v>93</v>
      </c>
      <c r="B53" s="20" t="s">
        <v>108</v>
      </c>
      <c r="C53" s="20" t="s">
        <v>53</v>
      </c>
      <c r="D53" s="21" t="n">
        <v>500</v>
      </c>
      <c r="E53" s="22" t="n">
        <v>110</v>
      </c>
      <c r="F53" s="23" t="n">
        <f aca="false">IFERROR(E53/D53,0)</f>
        <v>0.22</v>
      </c>
      <c r="G53" s="24"/>
      <c r="H53" s="25"/>
      <c r="I53" s="24"/>
    </row>
    <row r="54" customFormat="false" ht="15" hidden="false" customHeight="false" outlineLevel="0" collapsed="false">
      <c r="A54" s="20" t="s">
        <v>109</v>
      </c>
      <c r="B54" s="20" t="s">
        <v>110</v>
      </c>
      <c r="C54" s="20" t="s">
        <v>53</v>
      </c>
      <c r="D54" s="21" t="n">
        <v>1000</v>
      </c>
      <c r="E54" s="22" t="n">
        <v>480</v>
      </c>
      <c r="F54" s="23" t="n">
        <f aca="false">IFERROR(E54/D54,0)</f>
        <v>0.48</v>
      </c>
      <c r="G54" s="24"/>
      <c r="H54" s="25"/>
      <c r="I54" s="24"/>
    </row>
    <row r="55" customFormat="false" ht="15" hidden="false" customHeight="false" outlineLevel="0" collapsed="false">
      <c r="A55" s="20" t="s">
        <v>109</v>
      </c>
      <c r="B55" s="20" t="s">
        <v>111</v>
      </c>
      <c r="C55" s="20" t="s">
        <v>53</v>
      </c>
      <c r="D55" s="21" t="n">
        <v>1000</v>
      </c>
      <c r="E55" s="22" t="n">
        <v>420</v>
      </c>
      <c r="F55" s="23" t="n">
        <f aca="false">IFERROR(E55/D55,0)</f>
        <v>0.42</v>
      </c>
      <c r="G55" s="24"/>
      <c r="H55" s="25"/>
      <c r="I55" s="24"/>
    </row>
    <row r="56" customFormat="false" ht="15" hidden="false" customHeight="false" outlineLevel="0" collapsed="false">
      <c r="A56" s="20" t="s">
        <v>109</v>
      </c>
      <c r="B56" s="20" t="s">
        <v>112</v>
      </c>
      <c r="C56" s="20" t="s">
        <v>53</v>
      </c>
      <c r="D56" s="21" t="n">
        <v>250</v>
      </c>
      <c r="E56" s="22" t="n">
        <v>290</v>
      </c>
      <c r="F56" s="23" t="n">
        <f aca="false">IFERROR(E56/D56,0)</f>
        <v>1.16</v>
      </c>
      <c r="G56" s="24"/>
      <c r="H56" s="25"/>
      <c r="I56" s="24"/>
    </row>
    <row r="57" customFormat="false" ht="15" hidden="false" customHeight="false" outlineLevel="0" collapsed="false">
      <c r="A57" s="20" t="s">
        <v>109</v>
      </c>
      <c r="B57" s="20" t="s">
        <v>113</v>
      </c>
      <c r="C57" s="20" t="s">
        <v>53</v>
      </c>
      <c r="D57" s="21" t="n">
        <v>1000</v>
      </c>
      <c r="E57" s="22" t="n">
        <v>320</v>
      </c>
      <c r="F57" s="23" t="n">
        <f aca="false">IFERROR(E57/D57,0)</f>
        <v>0.32</v>
      </c>
      <c r="G57" s="24"/>
      <c r="H57" s="25"/>
      <c r="I57" s="24"/>
    </row>
    <row r="58" customFormat="false" ht="15" hidden="false" customHeight="false" outlineLevel="0" collapsed="false">
      <c r="A58" s="20" t="s">
        <v>109</v>
      </c>
      <c r="B58" s="20" t="s">
        <v>114</v>
      </c>
      <c r="C58" s="20" t="s">
        <v>53</v>
      </c>
      <c r="D58" s="21" t="n">
        <v>500</v>
      </c>
      <c r="E58" s="22" t="n">
        <v>190</v>
      </c>
      <c r="F58" s="23" t="n">
        <f aca="false">IFERROR(E58/D58,0)</f>
        <v>0.38</v>
      </c>
      <c r="G58" s="24"/>
      <c r="H58" s="25"/>
      <c r="I58" s="24"/>
    </row>
    <row r="59" customFormat="false" ht="15" hidden="false" customHeight="false" outlineLevel="0" collapsed="false">
      <c r="A59" s="20" t="s">
        <v>109</v>
      </c>
      <c r="B59" s="20" t="s">
        <v>115</v>
      </c>
      <c r="C59" s="20" t="s">
        <v>53</v>
      </c>
      <c r="D59" s="21" t="n">
        <v>500</v>
      </c>
      <c r="E59" s="22" t="n">
        <v>340</v>
      </c>
      <c r="F59" s="23" t="n">
        <f aca="false">IFERROR(E59/D59,0)</f>
        <v>0.68</v>
      </c>
      <c r="G59" s="24"/>
      <c r="H59" s="25"/>
      <c r="I59" s="24"/>
    </row>
    <row r="60" customFormat="false" ht="15" hidden="false" customHeight="false" outlineLevel="0" collapsed="false">
      <c r="A60" s="20" t="s">
        <v>109</v>
      </c>
      <c r="B60" s="20" t="s">
        <v>116</v>
      </c>
      <c r="C60" s="20" t="s">
        <v>53</v>
      </c>
      <c r="D60" s="21" t="n">
        <v>250</v>
      </c>
      <c r="E60" s="22" t="n">
        <v>300</v>
      </c>
      <c r="F60" s="23" t="n">
        <f aca="false">IFERROR(E60/D60,0)</f>
        <v>1.2</v>
      </c>
      <c r="G60" s="24"/>
      <c r="H60" s="25"/>
      <c r="I60" s="24"/>
    </row>
    <row r="61" customFormat="false" ht="15" hidden="false" customHeight="false" outlineLevel="0" collapsed="false">
      <c r="A61" s="20" t="s">
        <v>109</v>
      </c>
      <c r="B61" s="20" t="s">
        <v>117</v>
      </c>
      <c r="C61" s="20" t="s">
        <v>53</v>
      </c>
      <c r="D61" s="21" t="n">
        <v>500</v>
      </c>
      <c r="E61" s="22" t="n">
        <v>70</v>
      </c>
      <c r="F61" s="23" t="n">
        <f aca="false">IFERROR(E61/D61,0)</f>
        <v>0.14</v>
      </c>
      <c r="G61" s="24"/>
      <c r="H61" s="25"/>
      <c r="I61" s="24"/>
    </row>
    <row r="62" customFormat="false" ht="15" hidden="false" customHeight="false" outlineLevel="0" collapsed="false">
      <c r="A62" s="20" t="s">
        <v>109</v>
      </c>
      <c r="B62" s="20" t="s">
        <v>118</v>
      </c>
      <c r="C62" s="20" t="s">
        <v>53</v>
      </c>
      <c r="D62" s="21" t="n">
        <v>100</v>
      </c>
      <c r="E62" s="22" t="n">
        <v>220</v>
      </c>
      <c r="F62" s="23" t="n">
        <f aca="false">IFERROR(E62/D62,0)</f>
        <v>2.2</v>
      </c>
      <c r="G62" s="24"/>
      <c r="H62" s="25"/>
      <c r="I62" s="24"/>
    </row>
    <row r="63" customFormat="false" ht="15" hidden="false" customHeight="false" outlineLevel="0" collapsed="false">
      <c r="A63" s="20" t="s">
        <v>109</v>
      </c>
      <c r="B63" s="20" t="s">
        <v>119</v>
      </c>
      <c r="C63" s="20" t="s">
        <v>53</v>
      </c>
      <c r="D63" s="21" t="n">
        <v>100</v>
      </c>
      <c r="E63" s="22" t="n">
        <v>90</v>
      </c>
      <c r="F63" s="23" t="n">
        <f aca="false">IFERROR(E63/D63,0)</f>
        <v>0.9</v>
      </c>
      <c r="G63" s="24"/>
      <c r="H63" s="25"/>
      <c r="I63" s="24"/>
    </row>
    <row r="64" customFormat="false" ht="15" hidden="false" customHeight="false" outlineLevel="0" collapsed="false">
      <c r="A64" s="20" t="s">
        <v>109</v>
      </c>
      <c r="B64" s="20" t="s">
        <v>120</v>
      </c>
      <c r="C64" s="20" t="s">
        <v>53</v>
      </c>
      <c r="D64" s="21" t="n">
        <v>250</v>
      </c>
      <c r="E64" s="22" t="n">
        <v>55</v>
      </c>
      <c r="F64" s="23" t="n">
        <f aca="false">IFERROR(E64/D64,0)</f>
        <v>0.22</v>
      </c>
      <c r="G64" s="24"/>
      <c r="H64" s="25"/>
      <c r="I64" s="24"/>
    </row>
    <row r="65" customFormat="false" ht="15" hidden="false" customHeight="false" outlineLevel="0" collapsed="false">
      <c r="A65" s="20" t="s">
        <v>121</v>
      </c>
      <c r="B65" s="20" t="s">
        <v>122</v>
      </c>
      <c r="C65" s="20" t="s">
        <v>53</v>
      </c>
      <c r="D65" s="21" t="n">
        <v>1000</v>
      </c>
      <c r="E65" s="22" t="n">
        <v>55</v>
      </c>
      <c r="F65" s="23" t="n">
        <f aca="false">IFERROR(E65/D65,0)</f>
        <v>0.055</v>
      </c>
      <c r="G65" s="24"/>
      <c r="H65" s="25"/>
      <c r="I65" s="24"/>
    </row>
    <row r="66" customFormat="false" ht="15" hidden="false" customHeight="false" outlineLevel="0" collapsed="false">
      <c r="A66" s="20" t="s">
        <v>121</v>
      </c>
      <c r="B66" s="20" t="s">
        <v>123</v>
      </c>
      <c r="C66" s="20" t="s">
        <v>53</v>
      </c>
      <c r="D66" s="21" t="n">
        <v>1000</v>
      </c>
      <c r="E66" s="22" t="n">
        <v>30</v>
      </c>
      <c r="F66" s="23" t="n">
        <f aca="false">IFERROR(E66/D66,0)</f>
        <v>0.03</v>
      </c>
      <c r="G66" s="24"/>
      <c r="H66" s="25"/>
      <c r="I66" s="24"/>
    </row>
    <row r="67" customFormat="false" ht="15" hidden="false" customHeight="false" outlineLevel="0" collapsed="false">
      <c r="A67" s="20" t="s">
        <v>121</v>
      </c>
      <c r="B67" s="20" t="s">
        <v>124</v>
      </c>
      <c r="C67" s="20" t="s">
        <v>53</v>
      </c>
      <c r="D67" s="21" t="n">
        <v>1000</v>
      </c>
      <c r="E67" s="22" t="n">
        <v>25</v>
      </c>
      <c r="F67" s="23" t="n">
        <f aca="false">IFERROR(E67/D67,0)</f>
        <v>0.025</v>
      </c>
      <c r="G67" s="24"/>
      <c r="H67" s="25"/>
      <c r="I67" s="24"/>
    </row>
    <row r="68" customFormat="false" ht="15" hidden="false" customHeight="false" outlineLevel="0" collapsed="false">
      <c r="A68" s="20" t="s">
        <v>121</v>
      </c>
      <c r="B68" s="20" t="s">
        <v>125</v>
      </c>
      <c r="C68" s="20" t="s">
        <v>53</v>
      </c>
      <c r="D68" s="21" t="n">
        <v>1000</v>
      </c>
      <c r="E68" s="22" t="n">
        <v>35</v>
      </c>
      <c r="F68" s="23" t="n">
        <f aca="false">IFERROR(E68/D68,0)</f>
        <v>0.035</v>
      </c>
      <c r="G68" s="24"/>
      <c r="H68" s="25"/>
      <c r="I68" s="24"/>
    </row>
    <row r="69" customFormat="false" ht="15" hidden="false" customHeight="false" outlineLevel="0" collapsed="false">
      <c r="A69" s="20" t="s">
        <v>121</v>
      </c>
      <c r="B69" s="20" t="s">
        <v>126</v>
      </c>
      <c r="C69" s="20" t="s">
        <v>53</v>
      </c>
      <c r="D69" s="21" t="n">
        <v>500</v>
      </c>
      <c r="E69" s="22" t="n">
        <v>170</v>
      </c>
      <c r="F69" s="23" t="n">
        <f aca="false">IFERROR(E69/D69,0)</f>
        <v>0.34</v>
      </c>
      <c r="G69" s="24"/>
      <c r="H69" s="25"/>
      <c r="I69" s="24"/>
    </row>
    <row r="70" customFormat="false" ht="15" hidden="false" customHeight="false" outlineLevel="0" collapsed="false">
      <c r="A70" s="20" t="s">
        <v>121</v>
      </c>
      <c r="B70" s="20" t="s">
        <v>127</v>
      </c>
      <c r="C70" s="20" t="s">
        <v>53</v>
      </c>
      <c r="D70" s="21" t="n">
        <v>100</v>
      </c>
      <c r="E70" s="22" t="n">
        <v>190</v>
      </c>
      <c r="F70" s="23" t="n">
        <f aca="false">IFERROR(E70/D70,0)</f>
        <v>1.9</v>
      </c>
      <c r="G70" s="24"/>
      <c r="H70" s="25"/>
      <c r="I70" s="24"/>
    </row>
    <row r="71" customFormat="false" ht="15" hidden="false" customHeight="false" outlineLevel="0" collapsed="false">
      <c r="A71" s="20" t="s">
        <v>121</v>
      </c>
      <c r="B71" s="20" t="s">
        <v>128</v>
      </c>
      <c r="C71" s="20" t="s">
        <v>53</v>
      </c>
      <c r="D71" s="21" t="n">
        <v>500</v>
      </c>
      <c r="E71" s="22" t="n">
        <v>280</v>
      </c>
      <c r="F71" s="23" t="n">
        <f aca="false">IFERROR(E71/D71,0)</f>
        <v>0.56</v>
      </c>
      <c r="G71" s="24"/>
      <c r="H71" s="25"/>
      <c r="I71" s="24"/>
    </row>
    <row r="72" customFormat="false" ht="15" hidden="false" customHeight="false" outlineLevel="0" collapsed="false">
      <c r="A72" s="20" t="s">
        <v>121</v>
      </c>
      <c r="B72" s="20" t="s">
        <v>129</v>
      </c>
      <c r="C72" s="20" t="s">
        <v>53</v>
      </c>
      <c r="D72" s="21" t="n">
        <v>500</v>
      </c>
      <c r="E72" s="22" t="n">
        <v>140</v>
      </c>
      <c r="F72" s="23" t="n">
        <f aca="false">IFERROR(E72/D72,0)</f>
        <v>0.28</v>
      </c>
      <c r="G72" s="24"/>
      <c r="H72" s="25"/>
      <c r="I72" s="24"/>
    </row>
    <row r="73" customFormat="false" ht="15" hidden="false" customHeight="false" outlineLevel="0" collapsed="false">
      <c r="A73" s="20" t="s">
        <v>121</v>
      </c>
      <c r="B73" s="20" t="s">
        <v>130</v>
      </c>
      <c r="C73" s="20" t="s">
        <v>53</v>
      </c>
      <c r="D73" s="21" t="n">
        <v>500</v>
      </c>
      <c r="E73" s="22" t="n">
        <v>75</v>
      </c>
      <c r="F73" s="23" t="n">
        <f aca="false">IFERROR(E73/D73,0)</f>
        <v>0.15</v>
      </c>
      <c r="G73" s="24"/>
      <c r="H73" s="25"/>
      <c r="I73" s="24"/>
    </row>
    <row r="74" customFormat="false" ht="15" hidden="false" customHeight="false" outlineLevel="0" collapsed="false">
      <c r="A74" s="20" t="s">
        <v>121</v>
      </c>
      <c r="B74" s="20" t="s">
        <v>131</v>
      </c>
      <c r="C74" s="20" t="s">
        <v>81</v>
      </c>
      <c r="D74" s="21" t="n">
        <v>10</v>
      </c>
      <c r="E74" s="22" t="n">
        <v>60</v>
      </c>
      <c r="F74" s="23" t="n">
        <f aca="false">IFERROR(E74/D74,0)</f>
        <v>6</v>
      </c>
      <c r="G74" s="24"/>
      <c r="H74" s="25"/>
      <c r="I74" s="24"/>
    </row>
    <row r="75" customFormat="false" ht="15" hidden="false" customHeight="false" outlineLevel="0" collapsed="false">
      <c r="A75" s="20" t="s">
        <v>121</v>
      </c>
      <c r="B75" s="20" t="s">
        <v>132</v>
      </c>
      <c r="C75" s="20" t="s">
        <v>81</v>
      </c>
      <c r="D75" s="21" t="n">
        <v>10</v>
      </c>
      <c r="E75" s="22" t="n">
        <v>45</v>
      </c>
      <c r="F75" s="23" t="n">
        <f aca="false">IFERROR(E75/D75,0)</f>
        <v>4.5</v>
      </c>
      <c r="G75" s="24"/>
      <c r="H75" s="25"/>
      <c r="I75" s="24"/>
    </row>
    <row r="76" customFormat="false" ht="15" hidden="false" customHeight="false" outlineLevel="0" collapsed="false">
      <c r="A76" s="20" t="s">
        <v>121</v>
      </c>
      <c r="B76" s="20" t="s">
        <v>133</v>
      </c>
      <c r="C76" s="20" t="s">
        <v>53</v>
      </c>
      <c r="D76" s="21" t="n">
        <v>500</v>
      </c>
      <c r="E76" s="22" t="n">
        <v>75</v>
      </c>
      <c r="F76" s="23" t="n">
        <f aca="false">IFERROR(E76/D76,0)</f>
        <v>0.15</v>
      </c>
      <c r="G76" s="24"/>
      <c r="H76" s="25"/>
      <c r="I76" s="24"/>
    </row>
    <row r="77" customFormat="false" ht="15" hidden="false" customHeight="false" outlineLevel="0" collapsed="false">
      <c r="A77" s="20" t="s">
        <v>121</v>
      </c>
      <c r="B77" s="20" t="s">
        <v>134</v>
      </c>
      <c r="C77" s="20" t="s">
        <v>53</v>
      </c>
      <c r="D77" s="21" t="n">
        <v>500</v>
      </c>
      <c r="E77" s="22" t="n">
        <v>85</v>
      </c>
      <c r="F77" s="23" t="n">
        <f aca="false">IFERROR(E77/D77,0)</f>
        <v>0.17</v>
      </c>
      <c r="G77" s="24"/>
      <c r="H77" s="25"/>
      <c r="I77" s="24"/>
    </row>
    <row r="78" customFormat="false" ht="15" hidden="false" customHeight="false" outlineLevel="0" collapsed="false">
      <c r="A78" s="20" t="s">
        <v>121</v>
      </c>
      <c r="B78" s="20" t="s">
        <v>135</v>
      </c>
      <c r="C78" s="20" t="s">
        <v>53</v>
      </c>
      <c r="D78" s="21" t="n">
        <v>250</v>
      </c>
      <c r="E78" s="22" t="n">
        <v>120</v>
      </c>
      <c r="F78" s="23" t="n">
        <f aca="false">IFERROR(E78/D78,0)</f>
        <v>0.48</v>
      </c>
      <c r="G78" s="24"/>
      <c r="H78" s="25"/>
      <c r="I78" s="24"/>
    </row>
    <row r="79" customFormat="false" ht="15" hidden="false" customHeight="false" outlineLevel="0" collapsed="false">
      <c r="A79" s="20" t="s">
        <v>121</v>
      </c>
      <c r="B79" s="20" t="s">
        <v>136</v>
      </c>
      <c r="C79" s="20" t="s">
        <v>53</v>
      </c>
      <c r="D79" s="21" t="n">
        <v>250</v>
      </c>
      <c r="E79" s="22" t="n">
        <v>140</v>
      </c>
      <c r="F79" s="23" t="n">
        <f aca="false">IFERROR(E79/D79,0)</f>
        <v>0.56</v>
      </c>
      <c r="G79" s="24"/>
      <c r="H79" s="25"/>
      <c r="I79" s="24"/>
    </row>
    <row r="80" customFormat="false" ht="15" hidden="false" customHeight="false" outlineLevel="0" collapsed="false">
      <c r="A80" s="20" t="s">
        <v>121</v>
      </c>
      <c r="B80" s="20" t="s">
        <v>137</v>
      </c>
      <c r="C80" s="20" t="s">
        <v>53</v>
      </c>
      <c r="D80" s="21" t="n">
        <v>250</v>
      </c>
      <c r="E80" s="22" t="n">
        <v>110</v>
      </c>
      <c r="F80" s="23" t="n">
        <f aca="false">IFERROR(E80/D80,0)</f>
        <v>0.44</v>
      </c>
      <c r="G80" s="24"/>
      <c r="H80" s="25"/>
      <c r="I80" s="24"/>
    </row>
    <row r="81" customFormat="false" ht="15" hidden="false" customHeight="false" outlineLevel="0" collapsed="false">
      <c r="A81" s="20" t="s">
        <v>121</v>
      </c>
      <c r="B81" s="20" t="s">
        <v>138</v>
      </c>
      <c r="C81" s="20" t="s">
        <v>53</v>
      </c>
      <c r="D81" s="21" t="n">
        <v>50</v>
      </c>
      <c r="E81" s="22" t="n">
        <v>180</v>
      </c>
      <c r="F81" s="23" t="n">
        <f aca="false">IFERROR(E81/D81,0)</f>
        <v>3.6</v>
      </c>
      <c r="G81" s="24"/>
      <c r="H81" s="25"/>
      <c r="I81" s="24"/>
    </row>
    <row r="82" customFormat="false" ht="15" hidden="false" customHeight="false" outlineLevel="0" collapsed="false">
      <c r="A82" s="20" t="s">
        <v>121</v>
      </c>
      <c r="B82" s="20" t="s">
        <v>139</v>
      </c>
      <c r="C82" s="20" t="s">
        <v>53</v>
      </c>
      <c r="D82" s="21" t="n">
        <v>500</v>
      </c>
      <c r="E82" s="22" t="n">
        <v>90</v>
      </c>
      <c r="F82" s="23" t="n">
        <f aca="false">IFERROR(E82/D82,0)</f>
        <v>0.18</v>
      </c>
      <c r="G82" s="24"/>
      <c r="H82" s="25"/>
      <c r="I82" s="24"/>
    </row>
    <row r="83" customFormat="false" ht="15" hidden="false" customHeight="false" outlineLevel="0" collapsed="false">
      <c r="A83" s="20" t="s">
        <v>121</v>
      </c>
      <c r="B83" s="20" t="s">
        <v>140</v>
      </c>
      <c r="C83" s="20" t="s">
        <v>53</v>
      </c>
      <c r="D83" s="21" t="n">
        <v>500</v>
      </c>
      <c r="E83" s="22" t="n">
        <v>80</v>
      </c>
      <c r="F83" s="23" t="n">
        <f aca="false">IFERROR(E83/D83,0)</f>
        <v>0.16</v>
      </c>
      <c r="G83" s="24"/>
      <c r="H83" s="25"/>
      <c r="I83" s="24"/>
    </row>
    <row r="84" customFormat="false" ht="15" hidden="false" customHeight="false" outlineLevel="0" collapsed="false">
      <c r="A84" s="20" t="s">
        <v>121</v>
      </c>
      <c r="B84" s="20" t="s">
        <v>141</v>
      </c>
      <c r="C84" s="20" t="s">
        <v>53</v>
      </c>
      <c r="D84" s="21" t="n">
        <v>500</v>
      </c>
      <c r="E84" s="22" t="n">
        <v>60</v>
      </c>
      <c r="F84" s="23" t="n">
        <f aca="false">IFERROR(E84/D84,0)</f>
        <v>0.12</v>
      </c>
      <c r="G84" s="24"/>
      <c r="H84" s="25"/>
      <c r="I84" s="24"/>
    </row>
    <row r="85" customFormat="false" ht="15" hidden="false" customHeight="false" outlineLevel="0" collapsed="false">
      <c r="A85" s="20" t="s">
        <v>142</v>
      </c>
      <c r="B85" s="20" t="s">
        <v>143</v>
      </c>
      <c r="C85" s="20" t="s">
        <v>53</v>
      </c>
      <c r="D85" s="21" t="n">
        <v>1000</v>
      </c>
      <c r="E85" s="22" t="n">
        <v>180</v>
      </c>
      <c r="F85" s="23" t="n">
        <f aca="false">IFERROR(E85/D85,0)</f>
        <v>0.18</v>
      </c>
      <c r="G85" s="24"/>
      <c r="H85" s="25"/>
      <c r="I85" s="24"/>
    </row>
    <row r="86" customFormat="false" ht="15" hidden="false" customHeight="false" outlineLevel="0" collapsed="false">
      <c r="A86" s="20" t="s">
        <v>142</v>
      </c>
      <c r="B86" s="20" t="s">
        <v>144</v>
      </c>
      <c r="C86" s="20" t="s">
        <v>53</v>
      </c>
      <c r="D86" s="21" t="n">
        <v>1000</v>
      </c>
      <c r="E86" s="22" t="n">
        <v>190</v>
      </c>
      <c r="F86" s="23" t="n">
        <f aca="false">IFERROR(E86/D86,0)</f>
        <v>0.19</v>
      </c>
      <c r="G86" s="24"/>
      <c r="H86" s="25"/>
      <c r="I86" s="24"/>
    </row>
    <row r="87" customFormat="false" ht="15" hidden="false" customHeight="false" outlineLevel="0" collapsed="false">
      <c r="A87" s="20" t="s">
        <v>142</v>
      </c>
      <c r="B87" s="20" t="s">
        <v>145</v>
      </c>
      <c r="C87" s="20" t="s">
        <v>53</v>
      </c>
      <c r="D87" s="21" t="n">
        <v>300</v>
      </c>
      <c r="E87" s="22" t="n">
        <v>120</v>
      </c>
      <c r="F87" s="23" t="n">
        <f aca="false">IFERROR(E87/D87,0)</f>
        <v>0.4</v>
      </c>
      <c r="G87" s="24"/>
      <c r="H87" s="25"/>
      <c r="I87" s="24"/>
    </row>
    <row r="88" customFormat="false" ht="15" hidden="false" customHeight="false" outlineLevel="0" collapsed="false">
      <c r="A88" s="20" t="s">
        <v>142</v>
      </c>
      <c r="B88" s="20" t="s">
        <v>146</v>
      </c>
      <c r="C88" s="20" t="s">
        <v>53</v>
      </c>
      <c r="D88" s="21" t="n">
        <v>500</v>
      </c>
      <c r="E88" s="22" t="n">
        <v>75</v>
      </c>
      <c r="F88" s="23" t="n">
        <f aca="false">IFERROR(E88/D88,0)</f>
        <v>0.15</v>
      </c>
      <c r="G88" s="24"/>
      <c r="H88" s="25"/>
      <c r="I88" s="24"/>
    </row>
    <row r="89" customFormat="false" ht="15" hidden="false" customHeight="false" outlineLevel="0" collapsed="false">
      <c r="A89" s="20" t="s">
        <v>142</v>
      </c>
      <c r="B89" s="20" t="s">
        <v>147</v>
      </c>
      <c r="C89" s="20" t="s">
        <v>53</v>
      </c>
      <c r="D89" s="21" t="n">
        <v>500</v>
      </c>
      <c r="E89" s="22" t="n">
        <v>85</v>
      </c>
      <c r="F89" s="23" t="n">
        <f aca="false">IFERROR(E89/D89,0)</f>
        <v>0.17</v>
      </c>
      <c r="G89" s="24"/>
      <c r="H89" s="25"/>
      <c r="I89" s="24"/>
    </row>
    <row r="90" customFormat="false" ht="15" hidden="false" customHeight="false" outlineLevel="0" collapsed="false">
      <c r="A90" s="20" t="s">
        <v>142</v>
      </c>
      <c r="B90" s="20" t="s">
        <v>148</v>
      </c>
      <c r="C90" s="20" t="s">
        <v>53</v>
      </c>
      <c r="D90" s="21" t="n">
        <v>500</v>
      </c>
      <c r="E90" s="22" t="n">
        <v>65</v>
      </c>
      <c r="F90" s="23" t="n">
        <f aca="false">IFERROR(E90/D90,0)</f>
        <v>0.13</v>
      </c>
      <c r="G90" s="24"/>
      <c r="H90" s="25"/>
      <c r="I90" s="24"/>
    </row>
    <row r="91" customFormat="false" ht="15" hidden="false" customHeight="false" outlineLevel="0" collapsed="false">
      <c r="A91" s="20" t="s">
        <v>142</v>
      </c>
      <c r="B91" s="20" t="s">
        <v>149</v>
      </c>
      <c r="C91" s="20" t="s">
        <v>53</v>
      </c>
      <c r="D91" s="21" t="n">
        <v>500</v>
      </c>
      <c r="E91" s="22" t="n">
        <v>80</v>
      </c>
      <c r="F91" s="23" t="n">
        <f aca="false">IFERROR(E91/D91,0)</f>
        <v>0.16</v>
      </c>
      <c r="G91" s="24"/>
      <c r="H91" s="25"/>
      <c r="I91" s="24"/>
    </row>
    <row r="92" customFormat="false" ht="15" hidden="false" customHeight="false" outlineLevel="0" collapsed="false">
      <c r="A92" s="20" t="s">
        <v>142</v>
      </c>
      <c r="B92" s="20" t="s">
        <v>150</v>
      </c>
      <c r="C92" s="20" t="s">
        <v>53</v>
      </c>
      <c r="D92" s="21" t="n">
        <v>300</v>
      </c>
      <c r="E92" s="22" t="n">
        <v>130</v>
      </c>
      <c r="F92" s="23" t="n">
        <f aca="false">IFERROR(E92/D92,0)</f>
        <v>0.433333333333333</v>
      </c>
      <c r="G92" s="24"/>
      <c r="H92" s="25"/>
      <c r="I92" s="24"/>
    </row>
    <row r="93" customFormat="false" ht="15" hidden="false" customHeight="false" outlineLevel="0" collapsed="false">
      <c r="A93" s="20" t="s">
        <v>142</v>
      </c>
      <c r="B93" s="20" t="s">
        <v>151</v>
      </c>
      <c r="C93" s="20" t="s">
        <v>69</v>
      </c>
      <c r="D93" s="21" t="n">
        <v>500</v>
      </c>
      <c r="E93" s="22" t="n">
        <v>60</v>
      </c>
      <c r="F93" s="23" t="n">
        <f aca="false">IFERROR(E93/D93,0)</f>
        <v>0.12</v>
      </c>
      <c r="G93" s="24"/>
      <c r="H93" s="25"/>
      <c r="I93" s="24"/>
    </row>
    <row r="94" customFormat="false" ht="15" hidden="false" customHeight="false" outlineLevel="0" collapsed="false">
      <c r="A94" s="20" t="s">
        <v>142</v>
      </c>
      <c r="B94" s="20" t="s">
        <v>152</v>
      </c>
      <c r="C94" s="20" t="s">
        <v>53</v>
      </c>
      <c r="D94" s="21" t="n">
        <v>500</v>
      </c>
      <c r="E94" s="22" t="n">
        <v>60</v>
      </c>
      <c r="F94" s="23" t="n">
        <f aca="false">IFERROR(E94/D94,0)</f>
        <v>0.12</v>
      </c>
      <c r="G94" s="24"/>
      <c r="H94" s="25"/>
      <c r="I94" s="24"/>
    </row>
    <row r="95" customFormat="false" ht="15" hidden="false" customHeight="false" outlineLevel="0" collapsed="false">
      <c r="A95" s="20" t="s">
        <v>142</v>
      </c>
      <c r="B95" s="20" t="s">
        <v>153</v>
      </c>
      <c r="C95" s="20" t="s">
        <v>53</v>
      </c>
      <c r="D95" s="21" t="n">
        <v>500</v>
      </c>
      <c r="E95" s="22" t="n">
        <v>90</v>
      </c>
      <c r="F95" s="23" t="n">
        <f aca="false">IFERROR(E95/D95,0)</f>
        <v>0.18</v>
      </c>
      <c r="G95" s="24"/>
      <c r="H95" s="25"/>
      <c r="I95" s="24"/>
    </row>
    <row r="96" customFormat="false" ht="15" hidden="false" customHeight="false" outlineLevel="0" collapsed="false">
      <c r="A96" s="20" t="s">
        <v>142</v>
      </c>
      <c r="B96" s="20" t="s">
        <v>154</v>
      </c>
      <c r="C96" s="20" t="s">
        <v>53</v>
      </c>
      <c r="D96" s="21" t="n">
        <v>1000</v>
      </c>
      <c r="E96" s="22" t="n">
        <v>95</v>
      </c>
      <c r="F96" s="23" t="n">
        <f aca="false">IFERROR(E96/D96,0)</f>
        <v>0.095</v>
      </c>
      <c r="G96" s="24"/>
      <c r="H96" s="25"/>
      <c r="I96" s="24"/>
    </row>
    <row r="97" customFormat="false" ht="15" hidden="false" customHeight="false" outlineLevel="0" collapsed="false">
      <c r="A97" s="20" t="s">
        <v>142</v>
      </c>
      <c r="B97" s="20" t="s">
        <v>155</v>
      </c>
      <c r="C97" s="20" t="s">
        <v>53</v>
      </c>
      <c r="D97" s="21" t="n">
        <v>1000</v>
      </c>
      <c r="E97" s="22" t="n">
        <v>60</v>
      </c>
      <c r="F97" s="23" t="n">
        <f aca="false">IFERROR(E97/D97,0)</f>
        <v>0.06</v>
      </c>
      <c r="G97" s="24"/>
      <c r="H97" s="25"/>
      <c r="I97" s="24"/>
    </row>
    <row r="98" customFormat="false" ht="15" hidden="false" customHeight="false" outlineLevel="0" collapsed="false">
      <c r="A98" s="20" t="s">
        <v>142</v>
      </c>
      <c r="B98" s="20" t="s">
        <v>156</v>
      </c>
      <c r="C98" s="20" t="s">
        <v>53</v>
      </c>
      <c r="D98" s="21" t="n">
        <v>1000</v>
      </c>
      <c r="E98" s="22" t="n">
        <v>240</v>
      </c>
      <c r="F98" s="23" t="n">
        <f aca="false">IFERROR(E98/D98,0)</f>
        <v>0.24</v>
      </c>
      <c r="G98" s="24"/>
      <c r="H98" s="25"/>
      <c r="I98" s="24"/>
    </row>
    <row r="99" customFormat="false" ht="15" hidden="false" customHeight="false" outlineLevel="0" collapsed="false">
      <c r="A99" s="20" t="s">
        <v>142</v>
      </c>
      <c r="B99" s="20" t="s">
        <v>157</v>
      </c>
      <c r="C99" s="20" t="s">
        <v>53</v>
      </c>
      <c r="D99" s="21" t="n">
        <v>250</v>
      </c>
      <c r="E99" s="22" t="n">
        <v>140</v>
      </c>
      <c r="F99" s="23" t="n">
        <f aca="false">IFERROR(E99/D99,0)</f>
        <v>0.56</v>
      </c>
      <c r="G99" s="24"/>
      <c r="H99" s="25"/>
      <c r="I99" s="24"/>
    </row>
    <row r="100" customFormat="false" ht="15" hidden="false" customHeight="false" outlineLevel="0" collapsed="false">
      <c r="A100" s="20" t="s">
        <v>158</v>
      </c>
      <c r="B100" s="20" t="s">
        <v>159</v>
      </c>
      <c r="C100" s="20" t="s">
        <v>69</v>
      </c>
      <c r="D100" s="21" t="n">
        <v>250</v>
      </c>
      <c r="E100" s="22" t="n">
        <v>320</v>
      </c>
      <c r="F100" s="23" t="n">
        <f aca="false">IFERROR(E100/D100,0)</f>
        <v>1.28</v>
      </c>
      <c r="G100" s="24"/>
      <c r="H100" s="25"/>
      <c r="I100" s="24"/>
    </row>
    <row r="101" customFormat="false" ht="15" hidden="false" customHeight="false" outlineLevel="0" collapsed="false">
      <c r="A101" s="20" t="s">
        <v>158</v>
      </c>
      <c r="B101" s="20" t="s">
        <v>160</v>
      </c>
      <c r="C101" s="20" t="s">
        <v>53</v>
      </c>
      <c r="D101" s="21" t="n">
        <v>100</v>
      </c>
      <c r="E101" s="22" t="n">
        <v>290</v>
      </c>
      <c r="F101" s="23" t="n">
        <f aca="false">IFERROR(E101/D101,0)</f>
        <v>2.9</v>
      </c>
      <c r="G101" s="24"/>
      <c r="H101" s="25"/>
      <c r="I101" s="24"/>
    </row>
    <row r="102" customFormat="false" ht="15" hidden="false" customHeight="false" outlineLevel="0" collapsed="false">
      <c r="A102" s="20" t="s">
        <v>158</v>
      </c>
      <c r="B102" s="20" t="s">
        <v>161</v>
      </c>
      <c r="C102" s="20" t="s">
        <v>69</v>
      </c>
      <c r="D102" s="21" t="n">
        <v>60</v>
      </c>
      <c r="E102" s="22" t="n">
        <v>110</v>
      </c>
      <c r="F102" s="23" t="n">
        <f aca="false">IFERROR(E102/D102,0)</f>
        <v>1.83333333333333</v>
      </c>
      <c r="G102" s="24"/>
      <c r="H102" s="25"/>
      <c r="I102" s="24"/>
    </row>
    <row r="103" customFormat="false" ht="15" hidden="false" customHeight="false" outlineLevel="0" collapsed="false">
      <c r="A103" s="20" t="s">
        <v>158</v>
      </c>
      <c r="B103" s="20" t="s">
        <v>162</v>
      </c>
      <c r="C103" s="20" t="s">
        <v>53</v>
      </c>
      <c r="D103" s="21" t="n">
        <v>250</v>
      </c>
      <c r="E103" s="22" t="n">
        <v>180</v>
      </c>
      <c r="F103" s="23" t="n">
        <f aca="false">IFERROR(E103/D103,0)</f>
        <v>0.72</v>
      </c>
      <c r="G103" s="24"/>
      <c r="H103" s="25"/>
      <c r="I103" s="24"/>
    </row>
    <row r="104" customFormat="false" ht="15" hidden="false" customHeight="false" outlineLevel="0" collapsed="false">
      <c r="A104" s="20" t="s">
        <v>158</v>
      </c>
      <c r="B104" s="20" t="s">
        <v>163</v>
      </c>
      <c r="C104" s="20" t="s">
        <v>53</v>
      </c>
      <c r="D104" s="21" t="n">
        <v>100</v>
      </c>
      <c r="E104" s="22" t="n">
        <v>55</v>
      </c>
      <c r="F104" s="23" t="n">
        <f aca="false">IFERROR(E104/D104,0)</f>
        <v>0.55</v>
      </c>
      <c r="G104" s="24"/>
      <c r="H104" s="25"/>
      <c r="I104" s="24"/>
    </row>
    <row r="105" customFormat="false" ht="15" hidden="false" customHeight="false" outlineLevel="0" collapsed="false">
      <c r="A105" s="20" t="s">
        <v>158</v>
      </c>
      <c r="B105" s="20" t="s">
        <v>164</v>
      </c>
      <c r="C105" s="20" t="s">
        <v>53</v>
      </c>
      <c r="D105" s="21" t="n">
        <v>100</v>
      </c>
      <c r="E105" s="22" t="n">
        <v>55</v>
      </c>
      <c r="F105" s="23" t="n">
        <f aca="false">IFERROR(E105/D105,0)</f>
        <v>0.55</v>
      </c>
      <c r="G105" s="24"/>
      <c r="H105" s="25"/>
      <c r="I105" s="24"/>
    </row>
    <row r="106" customFormat="false" ht="15" hidden="false" customHeight="false" outlineLevel="0" collapsed="false">
      <c r="A106" s="20" t="s">
        <v>158</v>
      </c>
      <c r="B106" s="20" t="s">
        <v>165</v>
      </c>
      <c r="C106" s="20" t="s">
        <v>53</v>
      </c>
      <c r="D106" s="21" t="n">
        <v>50</v>
      </c>
      <c r="E106" s="22" t="n">
        <v>85</v>
      </c>
      <c r="F106" s="23" t="n">
        <f aca="false">IFERROR(E106/D106,0)</f>
        <v>1.7</v>
      </c>
      <c r="G106" s="24"/>
      <c r="H106" s="25"/>
      <c r="I106" s="24"/>
    </row>
    <row r="107" customFormat="false" ht="15" hidden="false" customHeight="false" outlineLevel="0" collapsed="false">
      <c r="A107" s="20" t="s">
        <v>158</v>
      </c>
      <c r="B107" s="20" t="s">
        <v>166</v>
      </c>
      <c r="C107" s="20" t="s">
        <v>53</v>
      </c>
      <c r="D107" s="21" t="n">
        <v>50</v>
      </c>
      <c r="E107" s="22" t="n">
        <v>55</v>
      </c>
      <c r="F107" s="23" t="n">
        <f aca="false">IFERROR(E107/D107,0)</f>
        <v>1.1</v>
      </c>
      <c r="G107" s="24"/>
      <c r="H107" s="25"/>
      <c r="I107" s="24"/>
    </row>
    <row r="108" customFormat="false" ht="15" hidden="false" customHeight="false" outlineLevel="0" collapsed="false">
      <c r="A108" s="20" t="s">
        <v>158</v>
      </c>
      <c r="B108" s="20" t="s">
        <v>167</v>
      </c>
      <c r="C108" s="20" t="s">
        <v>53</v>
      </c>
      <c r="D108" s="21" t="n">
        <v>50</v>
      </c>
      <c r="E108" s="22" t="n">
        <v>70</v>
      </c>
      <c r="F108" s="23" t="n">
        <f aca="false">IFERROR(E108/D108,0)</f>
        <v>1.4</v>
      </c>
      <c r="G108" s="24"/>
      <c r="H108" s="25"/>
      <c r="I108" s="24"/>
    </row>
    <row r="109" customFormat="false" ht="15" hidden="false" customHeight="false" outlineLevel="0" collapsed="false">
      <c r="A109" s="20" t="s">
        <v>158</v>
      </c>
      <c r="B109" s="20" t="s">
        <v>168</v>
      </c>
      <c r="C109" s="20" t="s">
        <v>53</v>
      </c>
      <c r="D109" s="21" t="n">
        <v>50</v>
      </c>
      <c r="E109" s="22" t="n">
        <v>140</v>
      </c>
      <c r="F109" s="23" t="n">
        <f aca="false">IFERROR(E109/D109,0)</f>
        <v>2.8</v>
      </c>
      <c r="G109" s="24"/>
      <c r="H109" s="25"/>
      <c r="I109" s="24"/>
    </row>
    <row r="110" customFormat="false" ht="15" hidden="false" customHeight="false" outlineLevel="0" collapsed="false">
      <c r="A110" s="20" t="s">
        <v>158</v>
      </c>
      <c r="B110" s="20" t="s">
        <v>169</v>
      </c>
      <c r="C110" s="20" t="s">
        <v>53</v>
      </c>
      <c r="D110" s="21" t="n">
        <v>1</v>
      </c>
      <c r="E110" s="22" t="n">
        <v>180</v>
      </c>
      <c r="F110" s="23" t="n">
        <f aca="false">IFERROR(E110/D110,0)</f>
        <v>180</v>
      </c>
      <c r="G110" s="24"/>
      <c r="H110" s="25"/>
      <c r="I110" s="24"/>
    </row>
    <row r="111" customFormat="false" ht="15" hidden="false" customHeight="false" outlineLevel="0" collapsed="false">
      <c r="A111" s="20" t="s">
        <v>158</v>
      </c>
      <c r="B111" s="20" t="s">
        <v>170</v>
      </c>
      <c r="C111" s="20" t="s">
        <v>53</v>
      </c>
      <c r="D111" s="21" t="n">
        <v>50</v>
      </c>
      <c r="E111" s="22" t="n">
        <v>120</v>
      </c>
      <c r="F111" s="23" t="n">
        <f aca="false">IFERROR(E111/D111,0)</f>
        <v>2.4</v>
      </c>
      <c r="G111" s="24"/>
      <c r="H111" s="25"/>
      <c r="I111" s="24"/>
    </row>
    <row r="112" customFormat="false" ht="15" hidden="false" customHeight="false" outlineLevel="0" collapsed="false">
      <c r="A112" s="20" t="s">
        <v>158</v>
      </c>
      <c r="B112" s="20" t="s">
        <v>171</v>
      </c>
      <c r="C112" s="20" t="s">
        <v>53</v>
      </c>
      <c r="D112" s="21" t="n">
        <v>100</v>
      </c>
      <c r="E112" s="22" t="n">
        <v>130</v>
      </c>
      <c r="F112" s="23" t="n">
        <f aca="false">IFERROR(E112/D112,0)</f>
        <v>1.3</v>
      </c>
      <c r="G112" s="24"/>
      <c r="H112" s="25"/>
      <c r="I112" s="24"/>
    </row>
    <row r="113" customFormat="false" ht="15" hidden="false" customHeight="false" outlineLevel="0" collapsed="false">
      <c r="A113" s="20" t="s">
        <v>158</v>
      </c>
      <c r="B113" s="20" t="s">
        <v>172</v>
      </c>
      <c r="C113" s="20" t="s">
        <v>53</v>
      </c>
      <c r="D113" s="21" t="n">
        <v>100</v>
      </c>
      <c r="E113" s="22" t="n">
        <v>320</v>
      </c>
      <c r="F113" s="23" t="n">
        <f aca="false">IFERROR(E113/D113,0)</f>
        <v>3.2</v>
      </c>
      <c r="G113" s="24"/>
      <c r="H113" s="25"/>
      <c r="I113" s="24"/>
    </row>
    <row r="114" customFormat="false" ht="15" hidden="false" customHeight="false" outlineLevel="0" collapsed="false">
      <c r="A114" s="20" t="s">
        <v>158</v>
      </c>
      <c r="B114" s="20" t="s">
        <v>173</v>
      </c>
      <c r="C114" s="20" t="s">
        <v>69</v>
      </c>
      <c r="D114" s="21" t="n">
        <v>1000</v>
      </c>
      <c r="E114" s="22" t="n">
        <v>90</v>
      </c>
      <c r="F114" s="23" t="n">
        <f aca="false">IFERROR(E114/D114,0)</f>
        <v>0.09</v>
      </c>
      <c r="G114" s="24"/>
      <c r="H114" s="25"/>
      <c r="I114" s="24"/>
    </row>
    <row r="115" customFormat="false" ht="15" hidden="false" customHeight="false" outlineLevel="0" collapsed="false">
      <c r="A115" s="20" t="s">
        <v>158</v>
      </c>
      <c r="B115" s="20" t="s">
        <v>174</v>
      </c>
      <c r="C115" s="20" t="s">
        <v>53</v>
      </c>
      <c r="D115" s="21" t="n">
        <v>200</v>
      </c>
      <c r="E115" s="22" t="n">
        <v>140</v>
      </c>
      <c r="F115" s="23" t="n">
        <f aca="false">IFERROR(E115/D115,0)</f>
        <v>0.7</v>
      </c>
      <c r="G115" s="24"/>
      <c r="H115" s="25"/>
      <c r="I115" s="24"/>
    </row>
    <row r="116" customFormat="false" ht="15" hidden="false" customHeight="false" outlineLevel="0" collapsed="false">
      <c r="A116" s="20" t="s">
        <v>158</v>
      </c>
      <c r="B116" s="20" t="s">
        <v>175</v>
      </c>
      <c r="C116" s="20" t="s">
        <v>69</v>
      </c>
      <c r="D116" s="21" t="n">
        <v>250</v>
      </c>
      <c r="E116" s="22" t="n">
        <v>120</v>
      </c>
      <c r="F116" s="23" t="n">
        <f aca="false">IFERROR(E116/D116,0)</f>
        <v>0.48</v>
      </c>
      <c r="G116" s="24"/>
      <c r="H116" s="25"/>
      <c r="I116" s="24"/>
    </row>
    <row r="117" customFormat="false" ht="15" hidden="false" customHeight="false" outlineLevel="0" collapsed="false">
      <c r="A117" s="20" t="s">
        <v>158</v>
      </c>
      <c r="B117" s="20" t="s">
        <v>176</v>
      </c>
      <c r="C117" s="20" t="s">
        <v>69</v>
      </c>
      <c r="D117" s="21" t="n">
        <v>250</v>
      </c>
      <c r="E117" s="22" t="n">
        <v>130</v>
      </c>
      <c r="F117" s="23" t="n">
        <f aca="false">IFERROR(E117/D117,0)</f>
        <v>0.52</v>
      </c>
      <c r="G117" s="24"/>
      <c r="H117" s="25"/>
      <c r="I117" s="24"/>
    </row>
    <row r="118" customFormat="false" ht="15" hidden="false" customHeight="false" outlineLevel="0" collapsed="false">
      <c r="A118" s="20" t="s">
        <v>158</v>
      </c>
      <c r="B118" s="20" t="s">
        <v>177</v>
      </c>
      <c r="C118" s="20" t="s">
        <v>53</v>
      </c>
      <c r="D118" s="21" t="n">
        <v>100</v>
      </c>
      <c r="E118" s="22" t="n">
        <v>60</v>
      </c>
      <c r="F118" s="23" t="n">
        <f aca="false">IFERROR(E118/D118,0)</f>
        <v>0.6</v>
      </c>
      <c r="G118" s="24"/>
      <c r="H118" s="25"/>
      <c r="I118" s="24"/>
    </row>
    <row r="119" customFormat="false" ht="15" hidden="false" customHeight="false" outlineLevel="0" collapsed="false">
      <c r="A119" s="20" t="s">
        <v>158</v>
      </c>
      <c r="B119" s="20" t="s">
        <v>178</v>
      </c>
      <c r="C119" s="20" t="s">
        <v>53</v>
      </c>
      <c r="D119" s="21" t="n">
        <v>100</v>
      </c>
      <c r="E119" s="22" t="n">
        <v>45</v>
      </c>
      <c r="F119" s="23" t="n">
        <f aca="false">IFERROR(E119/D119,0)</f>
        <v>0.45</v>
      </c>
      <c r="G119" s="24"/>
      <c r="H119" s="25"/>
      <c r="I119" s="24"/>
    </row>
    <row r="120" customFormat="false" ht="15" hidden="false" customHeight="false" outlineLevel="0" collapsed="false">
      <c r="A120" s="20" t="s">
        <v>158</v>
      </c>
      <c r="B120" s="20" t="s">
        <v>179</v>
      </c>
      <c r="C120" s="20" t="s">
        <v>53</v>
      </c>
      <c r="D120" s="21" t="n">
        <v>50</v>
      </c>
      <c r="E120" s="22" t="n">
        <v>35</v>
      </c>
      <c r="F120" s="23" t="n">
        <f aca="false">IFERROR(E120/D120,0)</f>
        <v>0.7</v>
      </c>
      <c r="G120" s="24"/>
      <c r="H120" s="25"/>
      <c r="I120" s="24"/>
    </row>
    <row r="121" customFormat="false" ht="15" hidden="false" customHeight="false" outlineLevel="0" collapsed="false">
      <c r="A121" s="20" t="s">
        <v>158</v>
      </c>
      <c r="B121" s="20" t="s">
        <v>180</v>
      </c>
      <c r="C121" s="20" t="s">
        <v>53</v>
      </c>
      <c r="D121" s="21" t="n">
        <v>50</v>
      </c>
      <c r="E121" s="22" t="n">
        <v>35</v>
      </c>
      <c r="F121" s="23" t="n">
        <f aca="false">IFERROR(E121/D121,0)</f>
        <v>0.7</v>
      </c>
      <c r="G121" s="24"/>
      <c r="H121" s="25"/>
      <c r="I121" s="24"/>
    </row>
    <row r="122" customFormat="false" ht="15" hidden="false" customHeight="false" outlineLevel="0" collapsed="false">
      <c r="A122" s="20" t="s">
        <v>158</v>
      </c>
      <c r="B122" s="20" t="s">
        <v>181</v>
      </c>
      <c r="C122" s="20" t="s">
        <v>69</v>
      </c>
      <c r="D122" s="21" t="n">
        <v>100</v>
      </c>
      <c r="E122" s="22" t="n">
        <v>320</v>
      </c>
      <c r="F122" s="23" t="n">
        <f aca="false">IFERROR(E122/D122,0)</f>
        <v>3.2</v>
      </c>
      <c r="G122" s="24"/>
      <c r="H122" s="25"/>
      <c r="I122" s="24"/>
    </row>
    <row r="123" customFormat="false" ht="15" hidden="false" customHeight="false" outlineLevel="0" collapsed="false">
      <c r="A123" s="20" t="s">
        <v>158</v>
      </c>
      <c r="B123" s="20" t="s">
        <v>182</v>
      </c>
      <c r="C123" s="20" t="s">
        <v>53</v>
      </c>
      <c r="D123" s="21" t="n">
        <v>30</v>
      </c>
      <c r="E123" s="22" t="n">
        <v>75</v>
      </c>
      <c r="F123" s="23" t="n">
        <f aca="false">IFERROR(E123/D123,0)</f>
        <v>2.5</v>
      </c>
      <c r="G123" s="24"/>
      <c r="H123" s="25"/>
      <c r="I123" s="24"/>
    </row>
    <row r="124" customFormat="false" ht="15" hidden="false" customHeight="false" outlineLevel="0" collapsed="false">
      <c r="A124" s="20" t="s">
        <v>183</v>
      </c>
      <c r="B124" s="20" t="s">
        <v>184</v>
      </c>
      <c r="C124" s="20" t="s">
        <v>69</v>
      </c>
      <c r="D124" s="21" t="n">
        <v>750</v>
      </c>
      <c r="E124" s="22" t="n">
        <v>320</v>
      </c>
      <c r="F124" s="23" t="n">
        <f aca="false">IFERROR(E124/D124,0)</f>
        <v>0.426666666666667</v>
      </c>
      <c r="G124" s="24"/>
      <c r="H124" s="25"/>
      <c r="I124" s="24"/>
    </row>
    <row r="125" customFormat="false" ht="15" hidden="false" customHeight="false" outlineLevel="0" collapsed="false">
      <c r="A125" s="20" t="s">
        <v>183</v>
      </c>
      <c r="B125" s="20" t="s">
        <v>185</v>
      </c>
      <c r="C125" s="20" t="s">
        <v>69</v>
      </c>
      <c r="D125" s="21" t="n">
        <v>750</v>
      </c>
      <c r="E125" s="22" t="n">
        <v>420</v>
      </c>
      <c r="F125" s="23" t="n">
        <f aca="false">IFERROR(E125/D125,0)</f>
        <v>0.56</v>
      </c>
      <c r="G125" s="24"/>
      <c r="H125" s="25"/>
      <c r="I125" s="24"/>
    </row>
    <row r="126" customFormat="false" ht="15" hidden="false" customHeight="false" outlineLevel="0" collapsed="false">
      <c r="A126" s="20" t="s">
        <v>183</v>
      </c>
      <c r="B126" s="20" t="s">
        <v>186</v>
      </c>
      <c r="C126" s="20" t="s">
        <v>69</v>
      </c>
      <c r="D126" s="21" t="n">
        <v>750</v>
      </c>
      <c r="E126" s="22" t="n">
        <v>380</v>
      </c>
      <c r="F126" s="23" t="n">
        <f aca="false">IFERROR(E126/D126,0)</f>
        <v>0.506666666666667</v>
      </c>
      <c r="G126" s="24"/>
      <c r="H126" s="25"/>
      <c r="I126" s="24"/>
    </row>
    <row r="127" customFormat="false" ht="15" hidden="false" customHeight="false" outlineLevel="0" collapsed="false">
      <c r="A127" s="20" t="s">
        <v>183</v>
      </c>
      <c r="B127" s="20" t="s">
        <v>187</v>
      </c>
      <c r="C127" s="20" t="s">
        <v>69</v>
      </c>
      <c r="D127" s="21" t="n">
        <v>1000</v>
      </c>
      <c r="E127" s="22" t="n">
        <v>180</v>
      </c>
      <c r="F127" s="23" t="n">
        <f aca="false">IFERROR(E127/D127,0)</f>
        <v>0.18</v>
      </c>
      <c r="G127" s="24"/>
      <c r="H127" s="25"/>
      <c r="I127" s="24"/>
    </row>
    <row r="128" customFormat="false" ht="15" hidden="false" customHeight="false" outlineLevel="0" collapsed="false">
      <c r="A128" s="20" t="s">
        <v>183</v>
      </c>
      <c r="B128" s="20" t="s">
        <v>188</v>
      </c>
      <c r="C128" s="20" t="s">
        <v>69</v>
      </c>
      <c r="D128" s="21" t="n">
        <v>355</v>
      </c>
      <c r="E128" s="22" t="n">
        <v>45</v>
      </c>
      <c r="F128" s="23" t="n">
        <f aca="false">IFERROR(E128/D128,0)</f>
        <v>0.126760563380282</v>
      </c>
      <c r="G128" s="24"/>
      <c r="H128" s="25"/>
      <c r="I128" s="24"/>
    </row>
    <row r="129" customFormat="false" ht="15" hidden="false" customHeight="false" outlineLevel="0" collapsed="false">
      <c r="A129" s="20" t="s">
        <v>189</v>
      </c>
      <c r="B129" s="20" t="s">
        <v>190</v>
      </c>
      <c r="C129" s="20" t="s">
        <v>53</v>
      </c>
      <c r="D129" s="21" t="n">
        <v>500</v>
      </c>
      <c r="E129" s="22" t="n">
        <v>180</v>
      </c>
      <c r="F129" s="23" t="n">
        <f aca="false">IFERROR(E129/D129,0)</f>
        <v>0.36</v>
      </c>
      <c r="G129" s="24"/>
      <c r="H129" s="25"/>
      <c r="I129" s="24"/>
    </row>
    <row r="130" customFormat="false" ht="15" hidden="false" customHeight="false" outlineLevel="0" collapsed="false">
      <c r="A130" s="20" t="s">
        <v>191</v>
      </c>
      <c r="B130" s="20" t="s">
        <v>192</v>
      </c>
      <c r="C130" s="20" t="s">
        <v>53</v>
      </c>
      <c r="D130" s="21" t="n">
        <v>500</v>
      </c>
      <c r="E130" s="22" t="n">
        <v>150</v>
      </c>
      <c r="F130" s="23" t="n">
        <f aca="false">IFERROR(E130/D130,0)</f>
        <v>0.3</v>
      </c>
      <c r="G130" s="24"/>
      <c r="H130" s="25"/>
      <c r="I130" s="24"/>
    </row>
    <row r="131" customFormat="false" ht="15" hidden="false" customHeight="false" outlineLevel="0" collapsed="false">
      <c r="A131" s="20" t="s">
        <v>191</v>
      </c>
      <c r="B131" s="20" t="s">
        <v>193</v>
      </c>
      <c r="C131" s="20" t="s">
        <v>53</v>
      </c>
      <c r="D131" s="21" t="n">
        <v>1000</v>
      </c>
      <c r="E131" s="22" t="n">
        <v>22</v>
      </c>
      <c r="F131" s="23" t="n">
        <f aca="false">IFERROR(E131/D131,0)</f>
        <v>0.022</v>
      </c>
      <c r="G131" s="24"/>
      <c r="H131" s="25"/>
      <c r="I131" s="24"/>
    </row>
    <row r="132" customFormat="false" ht="15" hidden="false" customHeight="false" outlineLevel="0" collapsed="false">
      <c r="A132" s="20" t="s">
        <v>191</v>
      </c>
      <c r="B132" s="20" t="s">
        <v>194</v>
      </c>
      <c r="C132" s="20" t="s">
        <v>53</v>
      </c>
      <c r="D132" s="21" t="n">
        <v>250</v>
      </c>
      <c r="E132" s="22" t="n">
        <v>120</v>
      </c>
      <c r="F132" s="23" t="n">
        <f aca="false">IFERROR(E132/D132,0)</f>
        <v>0.48</v>
      </c>
      <c r="G132" s="24"/>
      <c r="H132" s="25"/>
      <c r="I132" s="24"/>
    </row>
    <row r="133" customFormat="false" ht="15" hidden="false" customHeight="false" outlineLevel="0" collapsed="false">
      <c r="A133" s="20" t="s">
        <v>191</v>
      </c>
      <c r="B133" s="20" t="s">
        <v>195</v>
      </c>
      <c r="C133" s="20" t="s">
        <v>69</v>
      </c>
      <c r="D133" s="21" t="n">
        <v>1000</v>
      </c>
      <c r="E133" s="22" t="n">
        <v>28</v>
      </c>
      <c r="F133" s="23" t="n">
        <f aca="false">IFERROR(E133/D133,0)</f>
        <v>0.028</v>
      </c>
      <c r="G133" s="24"/>
      <c r="H133" s="25"/>
      <c r="I133" s="24"/>
    </row>
    <row r="134" customFormat="false" ht="15" hidden="false" customHeight="false" outlineLevel="0" collapsed="false">
      <c r="A134" s="20" t="s">
        <v>191</v>
      </c>
      <c r="B134" s="20" t="s">
        <v>196</v>
      </c>
      <c r="C134" s="20" t="s">
        <v>69</v>
      </c>
      <c r="D134" s="21" t="n">
        <v>1000</v>
      </c>
      <c r="E134" s="22" t="n">
        <v>45</v>
      </c>
      <c r="F134" s="23" t="n">
        <f aca="false">IFERROR(E134/D134,0)</f>
        <v>0.045</v>
      </c>
      <c r="G134" s="24"/>
      <c r="H134" s="25"/>
      <c r="I134" s="24"/>
    </row>
    <row r="135" customFormat="false" ht="15" hidden="false" customHeight="false" outlineLevel="0" collapsed="false">
      <c r="A135" s="20" t="s">
        <v>191</v>
      </c>
      <c r="B135" s="20" t="s">
        <v>197</v>
      </c>
      <c r="C135" s="20" t="s">
        <v>69</v>
      </c>
      <c r="D135" s="21" t="n">
        <v>500</v>
      </c>
      <c r="E135" s="22" t="n">
        <v>120</v>
      </c>
      <c r="F135" s="23" t="n">
        <f aca="false">IFERROR(E135/D135,0)</f>
        <v>0.24</v>
      </c>
      <c r="G135" s="24"/>
      <c r="H135" s="25"/>
      <c r="I135" s="24"/>
    </row>
    <row r="136" customFormat="false" ht="15" hidden="false" customHeight="false" outlineLevel="0" collapsed="false">
      <c r="A136" s="20" t="s">
        <v>191</v>
      </c>
      <c r="B136" s="20" t="s">
        <v>198</v>
      </c>
      <c r="C136" s="20" t="s">
        <v>69</v>
      </c>
      <c r="D136" s="21" t="n">
        <v>20000</v>
      </c>
      <c r="E136" s="22" t="n">
        <v>35</v>
      </c>
      <c r="F136" s="23" t="n">
        <f aca="false">IFERROR(E136/D136,0)</f>
        <v>0.00175</v>
      </c>
      <c r="G136" s="24"/>
      <c r="H136" s="25"/>
      <c r="I136" s="24"/>
    </row>
    <row r="137" customFormat="false" ht="15" hidden="false" customHeight="false" outlineLevel="0" collapsed="false">
      <c r="A137" s="20" t="s">
        <v>158</v>
      </c>
      <c r="B137" s="20" t="s">
        <v>199</v>
      </c>
      <c r="C137" s="20" t="s">
        <v>53</v>
      </c>
      <c r="D137" s="21" t="n">
        <v>250</v>
      </c>
      <c r="E137" s="22" t="n">
        <v>190</v>
      </c>
      <c r="F137" s="23" t="n">
        <f aca="false">IFERROR(E137/D137,0)</f>
        <v>0.76</v>
      </c>
      <c r="G137" s="24"/>
      <c r="H137" s="25"/>
      <c r="I137" s="24"/>
    </row>
    <row r="139" customFormat="false" ht="15" hidden="false" customHeight="false" outlineLevel="0" collapsed="false">
      <c r="A139" s="26" t="s">
        <v>200</v>
      </c>
    </row>
  </sheetData>
  <autoFilter ref="A4:I137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40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46"/>
  </cols>
  <sheetData>
    <row r="1" customFormat="false" ht="30" hidden="false" customHeight="true" outlineLevel="0" collapsed="false">
      <c r="A1" s="1" t="s">
        <v>201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202</v>
      </c>
    </row>
    <row r="4" customFormat="false" ht="30" hidden="false" customHeight="true" outlineLevel="0" collapsed="false">
      <c r="A4" s="19" t="s">
        <v>203</v>
      </c>
      <c r="B4" s="19" t="s">
        <v>204</v>
      </c>
      <c r="C4" s="19" t="s">
        <v>43</v>
      </c>
      <c r="D4" s="19" t="s">
        <v>205</v>
      </c>
      <c r="E4" s="19" t="s">
        <v>206</v>
      </c>
      <c r="F4" s="19" t="s">
        <v>47</v>
      </c>
      <c r="G4" s="19" t="s">
        <v>207</v>
      </c>
      <c r="H4" s="19" t="s">
        <v>208</v>
      </c>
    </row>
    <row r="5" customFormat="false" ht="15" hidden="false" customHeight="false" outlineLevel="0" collapsed="false">
      <c r="A5" s="27" t="s">
        <v>209</v>
      </c>
      <c r="B5" s="28" t="s">
        <v>210</v>
      </c>
      <c r="C5" s="28" t="s">
        <v>52</v>
      </c>
      <c r="D5" s="29" t="n">
        <v>500</v>
      </c>
      <c r="E5" s="28" t="s">
        <v>53</v>
      </c>
      <c r="F5" s="30" t="n">
        <f aca="false">IFERROR(INDEX('1. Insumos'!$F$5:$F$137,MATCH($C5,'1. Insumos'!$B$5:$B$137,0)),0)</f>
        <v>0.032</v>
      </c>
      <c r="G5" s="31" t="n">
        <f aca="false">D5*F5</f>
        <v>16</v>
      </c>
      <c r="H5" s="20" t="s">
        <v>211</v>
      </c>
    </row>
    <row r="6" customFormat="false" ht="15" hidden="false" customHeight="false" outlineLevel="0" collapsed="false">
      <c r="A6" s="27" t="s">
        <v>209</v>
      </c>
      <c r="B6" s="28" t="s">
        <v>210</v>
      </c>
      <c r="C6" s="28" t="s">
        <v>63</v>
      </c>
      <c r="D6" s="29" t="n">
        <v>80</v>
      </c>
      <c r="E6" s="28" t="s">
        <v>53</v>
      </c>
      <c r="F6" s="30" t="n">
        <f aca="false">IFERROR(INDEX('1. Insumos'!$F$5:$F$137,MATCH($C6,'1. Insumos'!$B$5:$B$137,0)),0)</f>
        <v>0.032</v>
      </c>
      <c r="G6" s="31" t="n">
        <f aca="false">D6*F6</f>
        <v>2.56</v>
      </c>
      <c r="H6" s="20" t="s">
        <v>212</v>
      </c>
    </row>
    <row r="7" customFormat="false" ht="15" hidden="false" customHeight="false" outlineLevel="0" collapsed="false">
      <c r="A7" s="27" t="s">
        <v>209</v>
      </c>
      <c r="B7" s="28" t="s">
        <v>210</v>
      </c>
      <c r="C7" s="28" t="s">
        <v>193</v>
      </c>
      <c r="D7" s="29" t="n">
        <v>10</v>
      </c>
      <c r="E7" s="28" t="s">
        <v>53</v>
      </c>
      <c r="F7" s="30" t="n">
        <f aca="false">IFERROR(INDEX('1. Insumos'!$F$5:$F$137,MATCH($C7,'1. Insumos'!$B$5:$B$137,0)),0)</f>
        <v>0.022</v>
      </c>
      <c r="G7" s="31" t="n">
        <f aca="false">D7*F7</f>
        <v>0.22</v>
      </c>
      <c r="H7" s="20" t="s">
        <v>213</v>
      </c>
    </row>
    <row r="8" customFormat="false" ht="15" hidden="false" customHeight="false" outlineLevel="0" collapsed="false">
      <c r="A8" s="27" t="s">
        <v>209</v>
      </c>
      <c r="B8" s="28" t="s">
        <v>210</v>
      </c>
      <c r="C8" s="28" t="s">
        <v>192</v>
      </c>
      <c r="D8" s="29" t="n">
        <v>15</v>
      </c>
      <c r="E8" s="28" t="s">
        <v>53</v>
      </c>
      <c r="F8" s="30" t="n">
        <f aca="false">IFERROR(INDEX('1. Insumos'!$F$5:$F$137,MATCH($C8,'1. Insumos'!$B$5:$B$137,0)),0)</f>
        <v>0.3</v>
      </c>
      <c r="G8" s="31" t="n">
        <f aca="false">D8*F8</f>
        <v>4.5</v>
      </c>
      <c r="H8" s="20" t="s">
        <v>214</v>
      </c>
    </row>
    <row r="9" customFormat="false" ht="15" hidden="false" customHeight="false" outlineLevel="0" collapsed="false">
      <c r="A9" s="27" t="s">
        <v>209</v>
      </c>
      <c r="B9" s="28" t="s">
        <v>210</v>
      </c>
      <c r="C9" s="28" t="s">
        <v>73</v>
      </c>
      <c r="D9" s="29" t="n">
        <v>200</v>
      </c>
      <c r="E9" s="28" t="s">
        <v>69</v>
      </c>
      <c r="F9" s="30" t="n">
        <f aca="false">IFERROR(INDEX('1. Insumos'!$F$5:$F$137,MATCH($C9,'1. Insumos'!$B$5:$B$137,0)),0)</f>
        <v>0.028</v>
      </c>
      <c r="G9" s="31" t="n">
        <f aca="false">D9*F9</f>
        <v>5.6</v>
      </c>
      <c r="H9" s="20" t="s">
        <v>215</v>
      </c>
    </row>
    <row r="10" customFormat="false" ht="15" hidden="false" customHeight="false" outlineLevel="0" collapsed="false">
      <c r="A10" s="27" t="s">
        <v>209</v>
      </c>
      <c r="B10" s="28" t="s">
        <v>210</v>
      </c>
      <c r="C10" s="28" t="s">
        <v>80</v>
      </c>
      <c r="D10" s="29" t="n">
        <v>2</v>
      </c>
      <c r="E10" s="28" t="s">
        <v>81</v>
      </c>
      <c r="F10" s="30" t="n">
        <f aca="false">IFERROR(INDEX('1. Insumos'!$F$5:$F$137,MATCH($C10,'1. Insumos'!$B$5:$B$137,0)),0)</f>
        <v>3.5</v>
      </c>
      <c r="G10" s="31" t="n">
        <f aca="false">D10*F10</f>
        <v>7</v>
      </c>
      <c r="H10" s="20" t="s">
        <v>216</v>
      </c>
    </row>
    <row r="11" customFormat="false" ht="15" hidden="false" customHeight="false" outlineLevel="0" collapsed="false">
      <c r="A11" s="27" t="s">
        <v>209</v>
      </c>
      <c r="B11" s="28" t="s">
        <v>210</v>
      </c>
      <c r="C11" s="28" t="s">
        <v>72</v>
      </c>
      <c r="D11" s="29" t="n">
        <v>120</v>
      </c>
      <c r="E11" s="28" t="s">
        <v>53</v>
      </c>
      <c r="F11" s="30" t="n">
        <f aca="false">IFERROR(INDEX('1. Insumos'!$F$5:$F$137,MATCH($C11,'1. Insumos'!$B$5:$B$137,0)),0)</f>
        <v>0.26</v>
      </c>
      <c r="G11" s="31" t="n">
        <f aca="false">D11*F11</f>
        <v>31.2</v>
      </c>
      <c r="H11" s="20" t="s">
        <v>217</v>
      </c>
    </row>
    <row r="12" customFormat="false" ht="15" hidden="false" customHeight="false" outlineLevel="0" collapsed="false">
      <c r="A12" s="27" t="s">
        <v>209</v>
      </c>
      <c r="B12" s="28" t="s">
        <v>210</v>
      </c>
      <c r="C12" s="28" t="s">
        <v>159</v>
      </c>
      <c r="D12" s="29" t="n">
        <v>5</v>
      </c>
      <c r="E12" s="28" t="s">
        <v>69</v>
      </c>
      <c r="F12" s="30" t="n">
        <f aca="false">IFERROR(INDEX('1. Insumos'!$F$5:$F$137,MATCH($C12,'1. Insumos'!$B$5:$B$137,0)),0)</f>
        <v>1.28</v>
      </c>
      <c r="G12" s="31" t="n">
        <f aca="false">D12*F12</f>
        <v>6.4</v>
      </c>
      <c r="H12" s="20" t="s">
        <v>218</v>
      </c>
    </row>
    <row r="13" customFormat="false" ht="15" hidden="false" customHeight="false" outlineLevel="0" collapsed="false">
      <c r="A13" s="27" t="s">
        <v>219</v>
      </c>
      <c r="B13" s="28" t="s">
        <v>220</v>
      </c>
      <c r="C13" s="28" t="s">
        <v>52</v>
      </c>
      <c r="D13" s="29" t="n">
        <v>450</v>
      </c>
      <c r="E13" s="28" t="s">
        <v>53</v>
      </c>
      <c r="F13" s="30" t="n">
        <f aca="false">IFERROR(INDEX('1. Insumos'!$F$5:$F$137,MATCH($C13,'1. Insumos'!$B$5:$B$137,0)),0)</f>
        <v>0.032</v>
      </c>
      <c r="G13" s="31" t="n">
        <f aca="false">D13*F13</f>
        <v>14.4</v>
      </c>
      <c r="H13" s="20" t="s">
        <v>221</v>
      </c>
    </row>
    <row r="14" customFormat="false" ht="15" hidden="false" customHeight="false" outlineLevel="0" collapsed="false">
      <c r="A14" s="27" t="s">
        <v>219</v>
      </c>
      <c r="B14" s="28" t="s">
        <v>220</v>
      </c>
      <c r="C14" s="28" t="s">
        <v>58</v>
      </c>
      <c r="D14" s="29" t="n">
        <v>150</v>
      </c>
      <c r="E14" s="28" t="s">
        <v>53</v>
      </c>
      <c r="F14" s="30" t="n">
        <f aca="false">IFERROR(INDEX('1. Insumos'!$F$5:$F$137,MATCH($C14,'1. Insumos'!$B$5:$B$137,0)),0)</f>
        <v>0.045</v>
      </c>
      <c r="G14" s="31" t="n">
        <f aca="false">D14*F14</f>
        <v>6.75</v>
      </c>
      <c r="H14" s="20" t="s">
        <v>222</v>
      </c>
    </row>
    <row r="15" customFormat="false" ht="15" hidden="false" customHeight="false" outlineLevel="0" collapsed="false">
      <c r="A15" s="27" t="s">
        <v>219</v>
      </c>
      <c r="B15" s="28" t="s">
        <v>220</v>
      </c>
      <c r="C15" s="28" t="s">
        <v>63</v>
      </c>
      <c r="D15" s="29" t="n">
        <v>60</v>
      </c>
      <c r="E15" s="28" t="s">
        <v>53</v>
      </c>
      <c r="F15" s="30" t="n">
        <f aca="false">IFERROR(INDEX('1. Insumos'!$F$5:$F$137,MATCH($C15,'1. Insumos'!$B$5:$B$137,0)),0)</f>
        <v>0.032</v>
      </c>
      <c r="G15" s="31" t="n">
        <f aca="false">D15*F15</f>
        <v>1.92</v>
      </c>
      <c r="H15" s="20" t="s">
        <v>223</v>
      </c>
    </row>
    <row r="16" customFormat="false" ht="15" hidden="false" customHeight="false" outlineLevel="0" collapsed="false">
      <c r="A16" s="27" t="s">
        <v>219</v>
      </c>
      <c r="B16" s="28" t="s">
        <v>220</v>
      </c>
      <c r="C16" s="28" t="s">
        <v>193</v>
      </c>
      <c r="D16" s="29" t="n">
        <v>10</v>
      </c>
      <c r="E16" s="28" t="s">
        <v>53</v>
      </c>
      <c r="F16" s="30" t="n">
        <f aca="false">IFERROR(INDEX('1. Insumos'!$F$5:$F$137,MATCH($C16,'1. Insumos'!$B$5:$B$137,0)),0)</f>
        <v>0.022</v>
      </c>
      <c r="G16" s="31" t="n">
        <f aca="false">D16*F16</f>
        <v>0.22</v>
      </c>
      <c r="H16" s="20" t="s">
        <v>213</v>
      </c>
    </row>
    <row r="17" customFormat="false" ht="15" hidden="false" customHeight="false" outlineLevel="0" collapsed="false">
      <c r="A17" s="27" t="s">
        <v>219</v>
      </c>
      <c r="B17" s="28" t="s">
        <v>220</v>
      </c>
      <c r="C17" s="28" t="s">
        <v>73</v>
      </c>
      <c r="D17" s="29" t="n">
        <v>160</v>
      </c>
      <c r="E17" s="28" t="s">
        <v>69</v>
      </c>
      <c r="F17" s="30" t="n">
        <f aca="false">IFERROR(INDEX('1. Insumos'!$F$5:$F$137,MATCH($C17,'1. Insumos'!$B$5:$B$137,0)),0)</f>
        <v>0.028</v>
      </c>
      <c r="G17" s="31" t="n">
        <f aca="false">D17*F17</f>
        <v>4.48</v>
      </c>
      <c r="H17" s="20" t="s">
        <v>224</v>
      </c>
    </row>
    <row r="18" customFormat="false" ht="15" hidden="false" customHeight="false" outlineLevel="0" collapsed="false">
      <c r="A18" s="27" t="s">
        <v>219</v>
      </c>
      <c r="B18" s="28" t="s">
        <v>220</v>
      </c>
      <c r="C18" s="28" t="s">
        <v>80</v>
      </c>
      <c r="D18" s="29" t="n">
        <v>2</v>
      </c>
      <c r="E18" s="28" t="s">
        <v>81</v>
      </c>
      <c r="F18" s="30" t="n">
        <f aca="false">IFERROR(INDEX('1. Insumos'!$F$5:$F$137,MATCH($C18,'1. Insumos'!$B$5:$B$137,0)),0)</f>
        <v>3.5</v>
      </c>
      <c r="G18" s="31" t="n">
        <f aca="false">D18*F18</f>
        <v>7</v>
      </c>
      <c r="H18" s="20" t="s">
        <v>225</v>
      </c>
    </row>
    <row r="19" customFormat="false" ht="15" hidden="false" customHeight="false" outlineLevel="0" collapsed="false">
      <c r="A19" s="27" t="s">
        <v>219</v>
      </c>
      <c r="B19" s="28" t="s">
        <v>220</v>
      </c>
      <c r="C19" s="28" t="s">
        <v>72</v>
      </c>
      <c r="D19" s="29" t="n">
        <v>120</v>
      </c>
      <c r="E19" s="28" t="s">
        <v>53</v>
      </c>
      <c r="F19" s="30" t="n">
        <f aca="false">IFERROR(INDEX('1. Insumos'!$F$5:$F$137,MATCH($C19,'1. Insumos'!$B$5:$B$137,0)),0)</f>
        <v>0.26</v>
      </c>
      <c r="G19" s="31" t="n">
        <f aca="false">D19*F19</f>
        <v>31.2</v>
      </c>
      <c r="H19" s="20" t="s">
        <v>226</v>
      </c>
    </row>
    <row r="20" customFormat="false" ht="15" hidden="false" customHeight="false" outlineLevel="0" collapsed="false">
      <c r="A20" s="27" t="s">
        <v>227</v>
      </c>
      <c r="B20" s="28" t="s">
        <v>228</v>
      </c>
      <c r="C20" s="28" t="s">
        <v>52</v>
      </c>
      <c r="D20" s="29" t="n">
        <v>450</v>
      </c>
      <c r="E20" s="28" t="s">
        <v>53</v>
      </c>
      <c r="F20" s="30" t="n">
        <f aca="false">IFERROR(INDEX('1. Insumos'!$F$5:$F$137,MATCH($C20,'1. Insumos'!$B$5:$B$137,0)),0)</f>
        <v>0.032</v>
      </c>
      <c r="G20" s="31" t="n">
        <f aca="false">D20*F20</f>
        <v>14.4</v>
      </c>
      <c r="H20" s="20" t="s">
        <v>229</v>
      </c>
    </row>
    <row r="21" customFormat="false" ht="15" hidden="false" customHeight="false" outlineLevel="0" collapsed="false">
      <c r="A21" s="27" t="s">
        <v>227</v>
      </c>
      <c r="B21" s="28" t="s">
        <v>228</v>
      </c>
      <c r="C21" s="28" t="s">
        <v>63</v>
      </c>
      <c r="D21" s="29" t="n">
        <v>100</v>
      </c>
      <c r="E21" s="28" t="s">
        <v>53</v>
      </c>
      <c r="F21" s="30" t="n">
        <f aca="false">IFERROR(INDEX('1. Insumos'!$F$5:$F$137,MATCH($C21,'1. Insumos'!$B$5:$B$137,0)),0)</f>
        <v>0.032</v>
      </c>
      <c r="G21" s="31" t="n">
        <f aca="false">D21*F21</f>
        <v>3.2</v>
      </c>
      <c r="H21" s="20" t="s">
        <v>230</v>
      </c>
    </row>
    <row r="22" customFormat="false" ht="15" hidden="false" customHeight="false" outlineLevel="0" collapsed="false">
      <c r="A22" s="27" t="s">
        <v>227</v>
      </c>
      <c r="B22" s="28" t="s">
        <v>228</v>
      </c>
      <c r="C22" s="28" t="s">
        <v>193</v>
      </c>
      <c r="D22" s="29" t="n">
        <v>10</v>
      </c>
      <c r="E22" s="28" t="s">
        <v>53</v>
      </c>
      <c r="F22" s="30" t="n">
        <f aca="false">IFERROR(INDEX('1. Insumos'!$F$5:$F$137,MATCH($C22,'1. Insumos'!$B$5:$B$137,0)),0)</f>
        <v>0.022</v>
      </c>
      <c r="G22" s="31" t="n">
        <f aca="false">D22*F22</f>
        <v>0.22</v>
      </c>
      <c r="H22" s="20" t="s">
        <v>213</v>
      </c>
    </row>
    <row r="23" customFormat="false" ht="15" hidden="false" customHeight="false" outlineLevel="0" collapsed="false">
      <c r="A23" s="27" t="s">
        <v>227</v>
      </c>
      <c r="B23" s="28" t="s">
        <v>228</v>
      </c>
      <c r="C23" s="28" t="s">
        <v>192</v>
      </c>
      <c r="D23" s="29" t="n">
        <v>15</v>
      </c>
      <c r="E23" s="28" t="s">
        <v>53</v>
      </c>
      <c r="F23" s="30" t="n">
        <f aca="false">IFERROR(INDEX('1. Insumos'!$F$5:$F$137,MATCH($C23,'1. Insumos'!$B$5:$B$137,0)),0)</f>
        <v>0.3</v>
      </c>
      <c r="G23" s="31" t="n">
        <f aca="false">D23*F23</f>
        <v>4.5</v>
      </c>
      <c r="H23" s="20" t="s">
        <v>214</v>
      </c>
    </row>
    <row r="24" customFormat="false" ht="15" hidden="false" customHeight="false" outlineLevel="0" collapsed="false">
      <c r="A24" s="27" t="s">
        <v>227</v>
      </c>
      <c r="B24" s="28" t="s">
        <v>228</v>
      </c>
      <c r="C24" s="28" t="s">
        <v>73</v>
      </c>
      <c r="D24" s="29" t="n">
        <v>220</v>
      </c>
      <c r="E24" s="28" t="s">
        <v>69</v>
      </c>
      <c r="F24" s="30" t="n">
        <f aca="false">IFERROR(INDEX('1. Insumos'!$F$5:$F$137,MATCH($C24,'1. Insumos'!$B$5:$B$137,0)),0)</f>
        <v>0.028</v>
      </c>
      <c r="G24" s="31" t="n">
        <f aca="false">D24*F24</f>
        <v>6.16</v>
      </c>
      <c r="H24" s="20" t="s">
        <v>231</v>
      </c>
    </row>
    <row r="25" customFormat="false" ht="15" hidden="false" customHeight="false" outlineLevel="0" collapsed="false">
      <c r="A25" s="27" t="s">
        <v>227</v>
      </c>
      <c r="B25" s="28" t="s">
        <v>228</v>
      </c>
      <c r="C25" s="28" t="s">
        <v>80</v>
      </c>
      <c r="D25" s="29" t="n">
        <v>2</v>
      </c>
      <c r="E25" s="28" t="s">
        <v>81</v>
      </c>
      <c r="F25" s="30" t="n">
        <f aca="false">IFERROR(INDEX('1. Insumos'!$F$5:$F$137,MATCH($C25,'1. Insumos'!$B$5:$B$137,0)),0)</f>
        <v>3.5</v>
      </c>
      <c r="G25" s="31" t="n">
        <f aca="false">D25*F25</f>
        <v>7</v>
      </c>
      <c r="H25" s="20" t="s">
        <v>216</v>
      </c>
    </row>
    <row r="26" customFormat="false" ht="15" hidden="false" customHeight="false" outlineLevel="0" collapsed="false">
      <c r="A26" s="27" t="s">
        <v>227</v>
      </c>
      <c r="B26" s="28" t="s">
        <v>228</v>
      </c>
      <c r="C26" s="28" t="s">
        <v>72</v>
      </c>
      <c r="D26" s="29" t="n">
        <v>120</v>
      </c>
      <c r="E26" s="28" t="s">
        <v>53</v>
      </c>
      <c r="F26" s="30" t="n">
        <f aca="false">IFERROR(INDEX('1. Insumos'!$F$5:$F$137,MATCH($C26,'1. Insumos'!$B$5:$B$137,0)),0)</f>
        <v>0.26</v>
      </c>
      <c r="G26" s="31" t="n">
        <f aca="false">D26*F26</f>
        <v>31.2</v>
      </c>
      <c r="H26" s="20" t="s">
        <v>217</v>
      </c>
    </row>
    <row r="27" customFormat="false" ht="15" hidden="false" customHeight="false" outlineLevel="0" collapsed="false">
      <c r="A27" s="27" t="s">
        <v>227</v>
      </c>
      <c r="B27" s="28" t="s">
        <v>228</v>
      </c>
      <c r="C27" s="28" t="s">
        <v>159</v>
      </c>
      <c r="D27" s="29" t="n">
        <v>5</v>
      </c>
      <c r="E27" s="28" t="s">
        <v>69</v>
      </c>
      <c r="F27" s="30" t="n">
        <f aca="false">IFERROR(INDEX('1. Insumos'!$F$5:$F$137,MATCH($C27,'1. Insumos'!$B$5:$B$137,0)),0)</f>
        <v>1.28</v>
      </c>
      <c r="G27" s="31" t="n">
        <f aca="false">D27*F27</f>
        <v>6.4</v>
      </c>
      <c r="H27" s="20" t="s">
        <v>218</v>
      </c>
    </row>
    <row r="28" customFormat="false" ht="15" hidden="false" customHeight="false" outlineLevel="0" collapsed="false">
      <c r="A28" s="27" t="s">
        <v>227</v>
      </c>
      <c r="B28" s="28" t="s">
        <v>228</v>
      </c>
      <c r="C28" s="28" t="s">
        <v>102</v>
      </c>
      <c r="D28" s="29" t="n">
        <v>50</v>
      </c>
      <c r="E28" s="28" t="s">
        <v>53</v>
      </c>
      <c r="F28" s="30" t="n">
        <f aca="false">IFERROR(INDEX('1. Insumos'!$F$5:$F$137,MATCH($C28,'1. Insumos'!$B$5:$B$137,0)),0)</f>
        <v>0.29</v>
      </c>
      <c r="G28" s="31" t="n">
        <f aca="false">D28*F28</f>
        <v>14.5</v>
      </c>
      <c r="H28" s="20" t="s">
        <v>232</v>
      </c>
    </row>
    <row r="29" customFormat="false" ht="15" hidden="false" customHeight="false" outlineLevel="0" collapsed="false">
      <c r="A29" s="27" t="s">
        <v>233</v>
      </c>
      <c r="B29" s="28" t="s">
        <v>234</v>
      </c>
      <c r="C29" s="28" t="s">
        <v>52</v>
      </c>
      <c r="D29" s="29" t="n">
        <v>500</v>
      </c>
      <c r="E29" s="28" t="s">
        <v>53</v>
      </c>
      <c r="F29" s="30" t="n">
        <f aca="false">IFERROR(INDEX('1. Insumos'!$F$5:$F$137,MATCH($C29,'1. Insumos'!$B$5:$B$137,0)),0)</f>
        <v>0.032</v>
      </c>
      <c r="G29" s="31" t="n">
        <f aca="false">D29*F29</f>
        <v>16</v>
      </c>
      <c r="H29" s="20" t="s">
        <v>211</v>
      </c>
    </row>
    <row r="30" customFormat="false" ht="15" hidden="false" customHeight="false" outlineLevel="0" collapsed="false">
      <c r="A30" s="27" t="s">
        <v>233</v>
      </c>
      <c r="B30" s="28" t="s">
        <v>234</v>
      </c>
      <c r="C30" s="28" t="s">
        <v>63</v>
      </c>
      <c r="D30" s="29" t="n">
        <v>25</v>
      </c>
      <c r="E30" s="28" t="s">
        <v>53</v>
      </c>
      <c r="F30" s="30" t="n">
        <f aca="false">IFERROR(INDEX('1. Insumos'!$F$5:$F$137,MATCH($C30,'1. Insumos'!$B$5:$B$137,0)),0)</f>
        <v>0.032</v>
      </c>
      <c r="G30" s="31" t="n">
        <f aca="false">D30*F30</f>
        <v>0.8</v>
      </c>
      <c r="H30" s="20" t="s">
        <v>235</v>
      </c>
    </row>
    <row r="31" customFormat="false" ht="15" hidden="false" customHeight="false" outlineLevel="0" collapsed="false">
      <c r="A31" s="27" t="s">
        <v>233</v>
      </c>
      <c r="B31" s="28" t="s">
        <v>234</v>
      </c>
      <c r="C31" s="28" t="s">
        <v>193</v>
      </c>
      <c r="D31" s="29" t="n">
        <v>14</v>
      </c>
      <c r="E31" s="28" t="s">
        <v>53</v>
      </c>
      <c r="F31" s="30" t="n">
        <f aca="false">IFERROR(INDEX('1. Insumos'!$F$5:$F$137,MATCH($C31,'1. Insumos'!$B$5:$B$137,0)),0)</f>
        <v>0.022</v>
      </c>
      <c r="G31" s="31" t="n">
        <f aca="false">D31*F31</f>
        <v>0.308</v>
      </c>
      <c r="H31" s="20" t="s">
        <v>236</v>
      </c>
    </row>
    <row r="32" customFormat="false" ht="15" hidden="false" customHeight="false" outlineLevel="0" collapsed="false">
      <c r="A32" s="27" t="s">
        <v>233</v>
      </c>
      <c r="B32" s="28" t="s">
        <v>234</v>
      </c>
      <c r="C32" s="28" t="s">
        <v>192</v>
      </c>
      <c r="D32" s="29" t="n">
        <v>15</v>
      </c>
      <c r="E32" s="28" t="s">
        <v>53</v>
      </c>
      <c r="F32" s="30" t="n">
        <f aca="false">IFERROR(INDEX('1. Insumos'!$F$5:$F$137,MATCH($C32,'1. Insumos'!$B$5:$B$137,0)),0)</f>
        <v>0.3</v>
      </c>
      <c r="G32" s="31" t="n">
        <f aca="false">D32*F32</f>
        <v>4.5</v>
      </c>
      <c r="H32" s="20" t="s">
        <v>214</v>
      </c>
    </row>
    <row r="33" customFormat="false" ht="15" hidden="false" customHeight="false" outlineLevel="0" collapsed="false">
      <c r="A33" s="27" t="s">
        <v>233</v>
      </c>
      <c r="B33" s="28" t="s">
        <v>234</v>
      </c>
      <c r="C33" s="28" t="s">
        <v>73</v>
      </c>
      <c r="D33" s="29" t="n">
        <v>200</v>
      </c>
      <c r="E33" s="28" t="s">
        <v>69</v>
      </c>
      <c r="F33" s="30" t="n">
        <f aca="false">IFERROR(INDEX('1. Insumos'!$F$5:$F$137,MATCH($C33,'1. Insumos'!$B$5:$B$137,0)),0)</f>
        <v>0.028</v>
      </c>
      <c r="G33" s="31" t="n">
        <f aca="false">D33*F33</f>
        <v>5.6</v>
      </c>
      <c r="H33" s="20" t="s">
        <v>215</v>
      </c>
    </row>
    <row r="34" customFormat="false" ht="15" hidden="false" customHeight="false" outlineLevel="0" collapsed="false">
      <c r="A34" s="27" t="s">
        <v>233</v>
      </c>
      <c r="B34" s="28" t="s">
        <v>234</v>
      </c>
      <c r="C34" s="28" t="s">
        <v>80</v>
      </c>
      <c r="D34" s="29" t="n">
        <v>2</v>
      </c>
      <c r="E34" s="28" t="s">
        <v>81</v>
      </c>
      <c r="F34" s="30" t="n">
        <f aca="false">IFERROR(INDEX('1. Insumos'!$F$5:$F$137,MATCH($C34,'1. Insumos'!$B$5:$B$137,0)),0)</f>
        <v>3.5</v>
      </c>
      <c r="G34" s="31" t="n">
        <f aca="false">D34*F34</f>
        <v>7</v>
      </c>
      <c r="H34" s="20" t="s">
        <v>216</v>
      </c>
    </row>
    <row r="35" customFormat="false" ht="15" hidden="false" customHeight="false" outlineLevel="0" collapsed="false">
      <c r="A35" s="27" t="s">
        <v>233</v>
      </c>
      <c r="B35" s="28" t="s">
        <v>234</v>
      </c>
      <c r="C35" s="28" t="s">
        <v>72</v>
      </c>
      <c r="D35" s="29" t="n">
        <v>120</v>
      </c>
      <c r="E35" s="28" t="s">
        <v>53</v>
      </c>
      <c r="F35" s="30" t="n">
        <f aca="false">IFERROR(INDEX('1. Insumos'!$F$5:$F$137,MATCH($C35,'1. Insumos'!$B$5:$B$137,0)),0)</f>
        <v>0.26</v>
      </c>
      <c r="G35" s="31" t="n">
        <f aca="false">D35*F35</f>
        <v>31.2</v>
      </c>
      <c r="H35" s="20" t="s">
        <v>217</v>
      </c>
    </row>
    <row r="36" customFormat="false" ht="15" hidden="false" customHeight="false" outlineLevel="0" collapsed="false">
      <c r="A36" s="27" t="s">
        <v>227</v>
      </c>
      <c r="B36" s="28" t="s">
        <v>228</v>
      </c>
      <c r="C36" s="28" t="s">
        <v>52</v>
      </c>
      <c r="D36" s="29" t="n">
        <v>450</v>
      </c>
      <c r="E36" s="28" t="s">
        <v>53</v>
      </c>
      <c r="F36" s="30" t="n">
        <f aca="false">IFERROR(INDEX('1. Insumos'!$F$5:$F$137,MATCH($C36,'1. Insumos'!$B$5:$B$137,0)),0)</f>
        <v>0.032</v>
      </c>
      <c r="G36" s="31" t="n">
        <f aca="false">D36*F36</f>
        <v>14.4</v>
      </c>
      <c r="H36" s="20" t="s">
        <v>229</v>
      </c>
    </row>
    <row r="37" customFormat="false" ht="15" hidden="false" customHeight="false" outlineLevel="0" collapsed="false">
      <c r="A37" s="27" t="s">
        <v>227</v>
      </c>
      <c r="B37" s="28" t="s">
        <v>228</v>
      </c>
      <c r="C37" s="28" t="s">
        <v>63</v>
      </c>
      <c r="D37" s="29" t="n">
        <v>100</v>
      </c>
      <c r="E37" s="28" t="s">
        <v>53</v>
      </c>
      <c r="F37" s="30" t="n">
        <f aca="false">IFERROR(INDEX('1. Insumos'!$F$5:$F$137,MATCH($C37,'1. Insumos'!$B$5:$B$137,0)),0)</f>
        <v>0.032</v>
      </c>
      <c r="G37" s="31" t="n">
        <f aca="false">D37*F37</f>
        <v>3.2</v>
      </c>
      <c r="H37" s="20" t="s">
        <v>230</v>
      </c>
    </row>
    <row r="38" customFormat="false" ht="15" hidden="false" customHeight="false" outlineLevel="0" collapsed="false">
      <c r="A38" s="27" t="s">
        <v>227</v>
      </c>
      <c r="B38" s="28" t="s">
        <v>228</v>
      </c>
      <c r="C38" s="28" t="s">
        <v>193</v>
      </c>
      <c r="D38" s="29" t="n">
        <v>10</v>
      </c>
      <c r="E38" s="28" t="s">
        <v>53</v>
      </c>
      <c r="F38" s="30" t="n">
        <f aca="false">IFERROR(INDEX('1. Insumos'!$F$5:$F$137,MATCH($C38,'1. Insumos'!$B$5:$B$137,0)),0)</f>
        <v>0.022</v>
      </c>
      <c r="G38" s="31" t="n">
        <f aca="false">D38*F38</f>
        <v>0.22</v>
      </c>
      <c r="H38" s="20" t="s">
        <v>213</v>
      </c>
    </row>
    <row r="39" customFormat="false" ht="15" hidden="false" customHeight="false" outlineLevel="0" collapsed="false">
      <c r="A39" s="27" t="s">
        <v>227</v>
      </c>
      <c r="B39" s="28" t="s">
        <v>228</v>
      </c>
      <c r="C39" s="28" t="s">
        <v>192</v>
      </c>
      <c r="D39" s="29" t="n">
        <v>15</v>
      </c>
      <c r="E39" s="28" t="s">
        <v>53</v>
      </c>
      <c r="F39" s="30" t="n">
        <f aca="false">IFERROR(INDEX('1. Insumos'!$F$5:$F$137,MATCH($C39,'1. Insumos'!$B$5:$B$137,0)),0)</f>
        <v>0.3</v>
      </c>
      <c r="G39" s="31" t="n">
        <f aca="false">D39*F39</f>
        <v>4.5</v>
      </c>
      <c r="H39" s="20" t="s">
        <v>214</v>
      </c>
    </row>
    <row r="40" customFormat="false" ht="15" hidden="false" customHeight="false" outlineLevel="0" collapsed="false">
      <c r="A40" s="27" t="s">
        <v>227</v>
      </c>
      <c r="B40" s="28" t="s">
        <v>228</v>
      </c>
      <c r="C40" s="28" t="s">
        <v>73</v>
      </c>
      <c r="D40" s="29" t="n">
        <v>220</v>
      </c>
      <c r="E40" s="28" t="s">
        <v>69</v>
      </c>
      <c r="F40" s="30" t="n">
        <f aca="false">IFERROR(INDEX('1. Insumos'!$F$5:$F$137,MATCH($C40,'1. Insumos'!$B$5:$B$137,0)),0)</f>
        <v>0.028</v>
      </c>
      <c r="G40" s="31" t="n">
        <f aca="false">D40*F40</f>
        <v>6.16</v>
      </c>
      <c r="H40" s="20" t="s">
        <v>231</v>
      </c>
    </row>
    <row r="41" customFormat="false" ht="15" hidden="false" customHeight="false" outlineLevel="0" collapsed="false">
      <c r="A41" s="27" t="s">
        <v>227</v>
      </c>
      <c r="B41" s="28" t="s">
        <v>228</v>
      </c>
      <c r="C41" s="28" t="s">
        <v>80</v>
      </c>
      <c r="D41" s="29" t="n">
        <v>2</v>
      </c>
      <c r="E41" s="28" t="s">
        <v>81</v>
      </c>
      <c r="F41" s="30" t="n">
        <f aca="false">IFERROR(INDEX('1. Insumos'!$F$5:$F$137,MATCH($C41,'1. Insumos'!$B$5:$B$137,0)),0)</f>
        <v>3.5</v>
      </c>
      <c r="G41" s="31" t="n">
        <f aca="false">D41*F41</f>
        <v>7</v>
      </c>
      <c r="H41" s="20" t="s">
        <v>216</v>
      </c>
    </row>
    <row r="42" customFormat="false" ht="15" hidden="false" customHeight="false" outlineLevel="0" collapsed="false">
      <c r="A42" s="27" t="s">
        <v>227</v>
      </c>
      <c r="B42" s="28" t="s">
        <v>228</v>
      </c>
      <c r="C42" s="28" t="s">
        <v>72</v>
      </c>
      <c r="D42" s="29" t="n">
        <v>120</v>
      </c>
      <c r="E42" s="28" t="s">
        <v>53</v>
      </c>
      <c r="F42" s="30" t="n">
        <f aca="false">IFERROR(INDEX('1. Insumos'!$F$5:$F$137,MATCH($C42,'1. Insumos'!$B$5:$B$137,0)),0)</f>
        <v>0.26</v>
      </c>
      <c r="G42" s="31" t="n">
        <f aca="false">D42*F42</f>
        <v>31.2</v>
      </c>
      <c r="H42" s="20" t="s">
        <v>217</v>
      </c>
    </row>
    <row r="43" customFormat="false" ht="15" hidden="false" customHeight="false" outlineLevel="0" collapsed="false">
      <c r="A43" s="27" t="s">
        <v>227</v>
      </c>
      <c r="B43" s="28" t="s">
        <v>228</v>
      </c>
      <c r="C43" s="28" t="s">
        <v>159</v>
      </c>
      <c r="D43" s="29" t="n">
        <v>5</v>
      </c>
      <c r="E43" s="28" t="s">
        <v>69</v>
      </c>
      <c r="F43" s="30" t="n">
        <f aca="false">IFERROR(INDEX('1. Insumos'!$F$5:$F$137,MATCH($C43,'1. Insumos'!$B$5:$B$137,0)),0)</f>
        <v>1.28</v>
      </c>
      <c r="G43" s="31" t="n">
        <f aca="false">D43*F43</f>
        <v>6.4</v>
      </c>
      <c r="H43" s="20" t="s">
        <v>218</v>
      </c>
    </row>
    <row r="44" customFormat="false" ht="15" hidden="false" customHeight="false" outlineLevel="0" collapsed="false">
      <c r="A44" s="27" t="s">
        <v>227</v>
      </c>
      <c r="B44" s="28" t="s">
        <v>228</v>
      </c>
      <c r="C44" s="28" t="s">
        <v>102</v>
      </c>
      <c r="D44" s="29" t="n">
        <v>50</v>
      </c>
      <c r="E44" s="28" t="s">
        <v>53</v>
      </c>
      <c r="F44" s="30" t="n">
        <f aca="false">IFERROR(INDEX('1. Insumos'!$F$5:$F$137,MATCH($C44,'1. Insumos'!$B$5:$B$137,0)),0)</f>
        <v>0.29</v>
      </c>
      <c r="G44" s="31" t="n">
        <f aca="false">D44*F44</f>
        <v>14.5</v>
      </c>
      <c r="H44" s="20" t="s">
        <v>232</v>
      </c>
    </row>
    <row r="45" customFormat="false" ht="15" hidden="false" customHeight="false" outlineLevel="0" collapsed="false">
      <c r="A45" s="27" t="s">
        <v>233</v>
      </c>
      <c r="B45" s="28" t="s">
        <v>234</v>
      </c>
      <c r="C45" s="28" t="s">
        <v>52</v>
      </c>
      <c r="D45" s="29" t="n">
        <v>500</v>
      </c>
      <c r="E45" s="28" t="s">
        <v>53</v>
      </c>
      <c r="F45" s="30" t="n">
        <f aca="false">IFERROR(INDEX('1. Insumos'!$F$5:$F$137,MATCH($C45,'1. Insumos'!$B$5:$B$137,0)),0)</f>
        <v>0.032</v>
      </c>
      <c r="G45" s="31" t="n">
        <f aca="false">D45*F45</f>
        <v>16</v>
      </c>
      <c r="H45" s="20" t="s">
        <v>211</v>
      </c>
    </row>
    <row r="46" customFormat="false" ht="15" hidden="false" customHeight="false" outlineLevel="0" collapsed="false">
      <c r="A46" s="27" t="s">
        <v>233</v>
      </c>
      <c r="B46" s="28" t="s">
        <v>234</v>
      </c>
      <c r="C46" s="28" t="s">
        <v>63</v>
      </c>
      <c r="D46" s="29" t="n">
        <v>25</v>
      </c>
      <c r="E46" s="28" t="s">
        <v>53</v>
      </c>
      <c r="F46" s="30" t="n">
        <f aca="false">IFERROR(INDEX('1. Insumos'!$F$5:$F$137,MATCH($C46,'1. Insumos'!$B$5:$B$137,0)),0)</f>
        <v>0.032</v>
      </c>
      <c r="G46" s="31" t="n">
        <f aca="false">D46*F46</f>
        <v>0.8</v>
      </c>
      <c r="H46" s="20" t="s">
        <v>235</v>
      </c>
    </row>
    <row r="47" customFormat="false" ht="15" hidden="false" customHeight="false" outlineLevel="0" collapsed="false">
      <c r="A47" s="27" t="s">
        <v>233</v>
      </c>
      <c r="B47" s="28" t="s">
        <v>234</v>
      </c>
      <c r="C47" s="28" t="s">
        <v>193</v>
      </c>
      <c r="D47" s="29" t="n">
        <v>14</v>
      </c>
      <c r="E47" s="28" t="s">
        <v>53</v>
      </c>
      <c r="F47" s="30" t="n">
        <f aca="false">IFERROR(INDEX('1. Insumos'!$F$5:$F$137,MATCH($C47,'1. Insumos'!$B$5:$B$137,0)),0)</f>
        <v>0.022</v>
      </c>
      <c r="G47" s="31" t="n">
        <f aca="false">D47*F47</f>
        <v>0.308</v>
      </c>
      <c r="H47" s="20" t="s">
        <v>236</v>
      </c>
    </row>
    <row r="48" customFormat="false" ht="15" hidden="false" customHeight="false" outlineLevel="0" collapsed="false">
      <c r="A48" s="27" t="s">
        <v>233</v>
      </c>
      <c r="B48" s="28" t="s">
        <v>234</v>
      </c>
      <c r="C48" s="28" t="s">
        <v>192</v>
      </c>
      <c r="D48" s="29" t="n">
        <v>15</v>
      </c>
      <c r="E48" s="28" t="s">
        <v>53</v>
      </c>
      <c r="F48" s="30" t="n">
        <f aca="false">IFERROR(INDEX('1. Insumos'!$F$5:$F$137,MATCH($C48,'1. Insumos'!$B$5:$B$137,0)),0)</f>
        <v>0.3</v>
      </c>
      <c r="G48" s="31" t="n">
        <f aca="false">D48*F48</f>
        <v>4.5</v>
      </c>
      <c r="H48" s="20" t="s">
        <v>214</v>
      </c>
    </row>
    <row r="49" customFormat="false" ht="15" hidden="false" customHeight="false" outlineLevel="0" collapsed="false">
      <c r="A49" s="27" t="s">
        <v>233</v>
      </c>
      <c r="B49" s="28" t="s">
        <v>234</v>
      </c>
      <c r="C49" s="28" t="s">
        <v>73</v>
      </c>
      <c r="D49" s="29" t="n">
        <v>200</v>
      </c>
      <c r="E49" s="28" t="s">
        <v>69</v>
      </c>
      <c r="F49" s="30" t="n">
        <f aca="false">IFERROR(INDEX('1. Insumos'!$F$5:$F$137,MATCH($C49,'1. Insumos'!$B$5:$B$137,0)),0)</f>
        <v>0.028</v>
      </c>
      <c r="G49" s="31" t="n">
        <f aca="false">D49*F49</f>
        <v>5.6</v>
      </c>
      <c r="H49" s="20" t="s">
        <v>215</v>
      </c>
    </row>
    <row r="50" customFormat="false" ht="15" hidden="false" customHeight="false" outlineLevel="0" collapsed="false">
      <c r="A50" s="27" t="s">
        <v>233</v>
      </c>
      <c r="B50" s="28" t="s">
        <v>234</v>
      </c>
      <c r="C50" s="28" t="s">
        <v>80</v>
      </c>
      <c r="D50" s="29" t="n">
        <v>2</v>
      </c>
      <c r="E50" s="28" t="s">
        <v>81</v>
      </c>
      <c r="F50" s="30" t="n">
        <f aca="false">IFERROR(INDEX('1. Insumos'!$F$5:$F$137,MATCH($C50,'1. Insumos'!$B$5:$B$137,0)),0)</f>
        <v>3.5</v>
      </c>
      <c r="G50" s="31" t="n">
        <f aca="false">D50*F50</f>
        <v>7</v>
      </c>
      <c r="H50" s="20" t="s">
        <v>216</v>
      </c>
    </row>
    <row r="51" customFormat="false" ht="15" hidden="false" customHeight="false" outlineLevel="0" collapsed="false">
      <c r="A51" s="27" t="s">
        <v>233</v>
      </c>
      <c r="B51" s="28" t="s">
        <v>234</v>
      </c>
      <c r="C51" s="28" t="s">
        <v>72</v>
      </c>
      <c r="D51" s="29" t="n">
        <v>120</v>
      </c>
      <c r="E51" s="28" t="s">
        <v>53</v>
      </c>
      <c r="F51" s="30" t="n">
        <f aca="false">IFERROR(INDEX('1. Insumos'!$F$5:$F$137,MATCH($C51,'1. Insumos'!$B$5:$B$137,0)),0)</f>
        <v>0.26</v>
      </c>
      <c r="G51" s="31" t="n">
        <f aca="false">D51*F51</f>
        <v>31.2</v>
      </c>
      <c r="H51" s="20" t="s">
        <v>217</v>
      </c>
    </row>
    <row r="53" customFormat="false" ht="15" hidden="false" customHeight="false" outlineLevel="0" collapsed="false">
      <c r="B53" s="32" t="s">
        <v>237</v>
      </c>
    </row>
    <row r="54" customFormat="false" ht="30" hidden="false" customHeight="true" outlineLevel="0" collapsed="false">
      <c r="B54" s="19" t="s">
        <v>203</v>
      </c>
      <c r="C54" s="19" t="s">
        <v>204</v>
      </c>
      <c r="D54" s="19" t="s">
        <v>238</v>
      </c>
      <c r="E54" s="19" t="s">
        <v>239</v>
      </c>
    </row>
    <row r="55" customFormat="false" ht="15" hidden="false" customHeight="false" outlineLevel="0" collapsed="false">
      <c r="B55" s="33" t="s">
        <v>209</v>
      </c>
      <c r="C55" s="28" t="s">
        <v>210</v>
      </c>
      <c r="D55" s="34" t="n">
        <f aca="false">SUMIFS($G$5:$G$51,$A$5:$A$51,$B55)</f>
        <v>73.48</v>
      </c>
      <c r="E55" s="31" t="n">
        <f aca="false">D55/12</f>
        <v>6.12333333333333</v>
      </c>
    </row>
    <row r="56" customFormat="false" ht="15" hidden="false" customHeight="false" outlineLevel="0" collapsed="false">
      <c r="B56" s="33" t="s">
        <v>227</v>
      </c>
      <c r="C56" s="28" t="s">
        <v>228</v>
      </c>
      <c r="D56" s="34" t="n">
        <f aca="false">SUMIFS($G$5:$G$51,$A$5:$A$51,$B56)</f>
        <v>175.16</v>
      </c>
      <c r="E56" s="31" t="n">
        <f aca="false">D56/12</f>
        <v>14.5966666666667</v>
      </c>
    </row>
    <row r="57" customFormat="false" ht="15" hidden="false" customHeight="false" outlineLevel="0" collapsed="false">
      <c r="B57" s="33" t="s">
        <v>233</v>
      </c>
      <c r="C57" s="28" t="s">
        <v>234</v>
      </c>
      <c r="D57" s="34" t="n">
        <f aca="false">SUMIFS($G$5:$G$51,$A$5:$A$51,$B57)</f>
        <v>130.816</v>
      </c>
      <c r="E57" s="31" t="n">
        <f aca="false">D57/12</f>
        <v>10.9013333333333</v>
      </c>
    </row>
    <row r="58" customFormat="false" ht="15" hidden="false" customHeight="false" outlineLevel="0" collapsed="false">
      <c r="B58" s="33" t="s">
        <v>219</v>
      </c>
      <c r="C58" s="28" t="s">
        <v>220</v>
      </c>
      <c r="D58" s="34" t="n">
        <f aca="false">SUMIFS($G$5:$G$51,$A$5:$A$51,$B58)</f>
        <v>65.97</v>
      </c>
      <c r="E58" s="31" t="n">
        <f aca="false">D58/12</f>
        <v>5.4975</v>
      </c>
    </row>
    <row r="60" customFormat="false" ht="15" hidden="false" customHeight="false" outlineLevel="0" collapsed="false">
      <c r="B60" s="26" t="s">
        <v>240</v>
      </c>
    </row>
  </sheetData>
  <autoFilter ref="A4:H51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52"/>
  </cols>
  <sheetData>
    <row r="1" customFormat="false" ht="30" hidden="false" customHeight="true" outlineLevel="0" collapsed="false">
      <c r="A1" s="1" t="s">
        <v>241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242</v>
      </c>
    </row>
    <row r="4" customFormat="false" ht="30" hidden="false" customHeight="true" outlineLevel="0" collapsed="false">
      <c r="A4" s="19" t="s">
        <v>243</v>
      </c>
      <c r="B4" s="19" t="s">
        <v>244</v>
      </c>
      <c r="C4" s="19" t="s">
        <v>43</v>
      </c>
      <c r="D4" s="19" t="s">
        <v>205</v>
      </c>
      <c r="E4" s="19" t="s">
        <v>206</v>
      </c>
      <c r="F4" s="19" t="s">
        <v>47</v>
      </c>
      <c r="G4" s="19" t="s">
        <v>207</v>
      </c>
      <c r="H4" s="19" t="s">
        <v>245</v>
      </c>
      <c r="I4" s="19" t="s">
        <v>208</v>
      </c>
    </row>
    <row r="5" customFormat="false" ht="15" hidden="false" customHeight="false" outlineLevel="0" collapsed="false">
      <c r="A5" s="35" t="n">
        <v>1</v>
      </c>
      <c r="B5" s="28" t="s">
        <v>246</v>
      </c>
      <c r="C5" s="28" t="s">
        <v>72</v>
      </c>
      <c r="D5" s="29" t="n">
        <v>120</v>
      </c>
      <c r="E5" s="28" t="s">
        <v>53</v>
      </c>
      <c r="F5" s="30" t="n">
        <f aca="false">IFERROR(INDEX('1. Insumos'!$F$5:$F$137,MATCH($C5,'1. Insumos'!$B$5:$B$137,0)),0)</f>
        <v>0.26</v>
      </c>
      <c r="G5" s="31" t="n">
        <f aca="false">D5*F5</f>
        <v>31.2</v>
      </c>
      <c r="H5" s="20" t="s">
        <v>247</v>
      </c>
      <c r="I5" s="20" t="s">
        <v>248</v>
      </c>
    </row>
    <row r="6" customFormat="false" ht="15" hidden="false" customHeight="false" outlineLevel="0" collapsed="false">
      <c r="A6" s="35" t="n">
        <v>1</v>
      </c>
      <c r="B6" s="28" t="s">
        <v>246</v>
      </c>
      <c r="C6" s="28" t="s">
        <v>65</v>
      </c>
      <c r="D6" s="29" t="n">
        <v>180</v>
      </c>
      <c r="E6" s="28" t="s">
        <v>53</v>
      </c>
      <c r="F6" s="30" t="n">
        <f aca="false">IFERROR(INDEX('1. Insumos'!$F$5:$F$137,MATCH($C6,'1. Insumos'!$B$5:$B$137,0)),0)</f>
        <v>0.052</v>
      </c>
      <c r="G6" s="31" t="n">
        <f aca="false">D6*F6</f>
        <v>9.36</v>
      </c>
      <c r="H6" s="20" t="s">
        <v>247</v>
      </c>
      <c r="I6" s="20" t="s">
        <v>249</v>
      </c>
    </row>
    <row r="7" customFormat="false" ht="15" hidden="false" customHeight="false" outlineLevel="0" collapsed="false">
      <c r="A7" s="35" t="n">
        <v>1</v>
      </c>
      <c r="B7" s="28" t="s">
        <v>246</v>
      </c>
      <c r="C7" s="28" t="s">
        <v>162</v>
      </c>
      <c r="D7" s="29" t="n">
        <v>25</v>
      </c>
      <c r="E7" s="28" t="s">
        <v>53</v>
      </c>
      <c r="F7" s="30" t="n">
        <f aca="false">IFERROR(INDEX('1. Insumos'!$F$5:$F$137,MATCH($C7,'1. Insumos'!$B$5:$B$137,0)),0)</f>
        <v>0.72</v>
      </c>
      <c r="G7" s="31" t="n">
        <f aca="false">D7*F7</f>
        <v>18</v>
      </c>
      <c r="H7" s="20" t="s">
        <v>247</v>
      </c>
      <c r="I7" s="20" t="s">
        <v>250</v>
      </c>
    </row>
    <row r="8" customFormat="false" ht="15" hidden="false" customHeight="false" outlineLevel="0" collapsed="false">
      <c r="A8" s="35" t="n">
        <v>1</v>
      </c>
      <c r="B8" s="28" t="s">
        <v>246</v>
      </c>
      <c r="C8" s="28" t="s">
        <v>193</v>
      </c>
      <c r="D8" s="29" t="n">
        <v>2</v>
      </c>
      <c r="E8" s="28" t="s">
        <v>53</v>
      </c>
      <c r="F8" s="30" t="n">
        <f aca="false">IFERROR(INDEX('1. Insumos'!$F$5:$F$137,MATCH($C8,'1. Insumos'!$B$5:$B$137,0)),0)</f>
        <v>0.022</v>
      </c>
      <c r="G8" s="31" t="n">
        <f aca="false">D8*F8</f>
        <v>0.044</v>
      </c>
      <c r="H8" s="20" t="s">
        <v>247</v>
      </c>
      <c r="I8" s="20" t="s">
        <v>251</v>
      </c>
    </row>
    <row r="9" customFormat="false" ht="15" hidden="false" customHeight="false" outlineLevel="0" collapsed="false">
      <c r="A9" s="35" t="n">
        <v>1</v>
      </c>
      <c r="B9" s="28" t="s">
        <v>246</v>
      </c>
      <c r="C9" s="28" t="s">
        <v>75</v>
      </c>
      <c r="D9" s="29" t="n">
        <v>150</v>
      </c>
      <c r="E9" s="28" t="s">
        <v>53</v>
      </c>
      <c r="F9" s="30" t="n">
        <f aca="false">IFERROR(INDEX('1. Insumos'!$F$5:$F$137,MATCH($C9,'1. Insumos'!$B$5:$B$137,0)),0)</f>
        <v>0.19</v>
      </c>
      <c r="G9" s="31" t="n">
        <f aca="false">D9*F9</f>
        <v>28.5</v>
      </c>
      <c r="H9" s="20" t="s">
        <v>252</v>
      </c>
      <c r="I9" s="20" t="s">
        <v>253</v>
      </c>
    </row>
    <row r="10" customFormat="false" ht="15" hidden="false" customHeight="false" outlineLevel="0" collapsed="false">
      <c r="A10" s="35" t="n">
        <v>1</v>
      </c>
      <c r="B10" s="28" t="s">
        <v>246</v>
      </c>
      <c r="C10" s="28" t="s">
        <v>72</v>
      </c>
      <c r="D10" s="29" t="n">
        <v>60</v>
      </c>
      <c r="E10" s="28" t="s">
        <v>53</v>
      </c>
      <c r="F10" s="30" t="n">
        <f aca="false">IFERROR(INDEX('1. Insumos'!$F$5:$F$137,MATCH($C10,'1. Insumos'!$B$5:$B$137,0)),0)</f>
        <v>0.26</v>
      </c>
      <c r="G10" s="31" t="n">
        <f aca="false">D10*F10</f>
        <v>15.6</v>
      </c>
      <c r="H10" s="20" t="s">
        <v>252</v>
      </c>
      <c r="I10" s="20" t="s">
        <v>254</v>
      </c>
    </row>
    <row r="11" customFormat="false" ht="15" hidden="false" customHeight="false" outlineLevel="0" collapsed="false">
      <c r="A11" s="35" t="n">
        <v>1</v>
      </c>
      <c r="B11" s="28" t="s">
        <v>246</v>
      </c>
      <c r="C11" s="28" t="s">
        <v>64</v>
      </c>
      <c r="D11" s="29" t="n">
        <v>120</v>
      </c>
      <c r="E11" s="28" t="s">
        <v>53</v>
      </c>
      <c r="F11" s="30" t="n">
        <f aca="false">IFERROR(INDEX('1. Insumos'!$F$5:$F$137,MATCH($C11,'1. Insumos'!$B$5:$B$137,0)),0)</f>
        <v>0.045</v>
      </c>
      <c r="G11" s="31" t="n">
        <f aca="false">D11*F11</f>
        <v>5.4</v>
      </c>
      <c r="H11" s="20" t="s">
        <v>252</v>
      </c>
      <c r="I11" s="20" t="s">
        <v>255</v>
      </c>
    </row>
    <row r="12" customFormat="false" ht="15" hidden="false" customHeight="false" outlineLevel="0" collapsed="false">
      <c r="A12" s="35" t="n">
        <v>1</v>
      </c>
      <c r="B12" s="28" t="s">
        <v>246</v>
      </c>
      <c r="C12" s="28" t="s">
        <v>159</v>
      </c>
      <c r="D12" s="29" t="n">
        <v>10</v>
      </c>
      <c r="E12" s="28" t="s">
        <v>69</v>
      </c>
      <c r="F12" s="30" t="n">
        <f aca="false">IFERROR(INDEX('1. Insumos'!$F$5:$F$137,MATCH($C12,'1. Insumos'!$B$5:$B$137,0)),0)</f>
        <v>1.28</v>
      </c>
      <c r="G12" s="31" t="n">
        <f aca="false">D12*F12</f>
        <v>12.8</v>
      </c>
      <c r="H12" s="20" t="s">
        <v>252</v>
      </c>
      <c r="I12" s="20" t="s">
        <v>256</v>
      </c>
    </row>
    <row r="13" customFormat="false" ht="15" hidden="false" customHeight="false" outlineLevel="0" collapsed="false">
      <c r="A13" s="35" t="n">
        <v>1</v>
      </c>
      <c r="B13" s="28" t="s">
        <v>246</v>
      </c>
      <c r="C13" s="28" t="s">
        <v>74</v>
      </c>
      <c r="D13" s="29" t="n">
        <v>15</v>
      </c>
      <c r="E13" s="28" t="s">
        <v>69</v>
      </c>
      <c r="F13" s="30" t="n">
        <f aca="false">IFERROR(INDEX('1. Insumos'!$F$5:$F$137,MATCH($C13,'1. Insumos'!$B$5:$B$137,0)),0)</f>
        <v>0.13</v>
      </c>
      <c r="G13" s="31" t="n">
        <f aca="false">D13*F13</f>
        <v>1.95</v>
      </c>
      <c r="H13" s="20" t="s">
        <v>252</v>
      </c>
      <c r="I13" s="20" t="s">
        <v>257</v>
      </c>
    </row>
    <row r="14" customFormat="false" ht="15" hidden="false" customHeight="false" outlineLevel="0" collapsed="false">
      <c r="A14" s="35" t="n">
        <v>2</v>
      </c>
      <c r="B14" s="28" t="s">
        <v>258</v>
      </c>
      <c r="C14" s="28" t="s">
        <v>72</v>
      </c>
      <c r="D14" s="29" t="n">
        <v>100</v>
      </c>
      <c r="E14" s="28" t="s">
        <v>53</v>
      </c>
      <c r="F14" s="30" t="n">
        <f aca="false">IFERROR(INDEX('1. Insumos'!$F$5:$F$137,MATCH($C14,'1. Insumos'!$B$5:$B$137,0)),0)</f>
        <v>0.26</v>
      </c>
      <c r="G14" s="31" t="n">
        <f aca="false">D14*F14</f>
        <v>26</v>
      </c>
      <c r="H14" s="20" t="s">
        <v>259</v>
      </c>
      <c r="I14" s="20" t="s">
        <v>260</v>
      </c>
    </row>
    <row r="15" customFormat="false" ht="15" hidden="false" customHeight="false" outlineLevel="0" collapsed="false">
      <c r="A15" s="35" t="n">
        <v>2</v>
      </c>
      <c r="B15" s="28" t="s">
        <v>258</v>
      </c>
      <c r="C15" s="28" t="s">
        <v>63</v>
      </c>
      <c r="D15" s="29" t="n">
        <v>120</v>
      </c>
      <c r="E15" s="28" t="s">
        <v>53</v>
      </c>
      <c r="F15" s="30" t="n">
        <f aca="false">IFERROR(INDEX('1. Insumos'!$F$5:$F$137,MATCH($C15,'1. Insumos'!$B$5:$B$137,0)),0)</f>
        <v>0.032</v>
      </c>
      <c r="G15" s="31" t="n">
        <f aca="false">D15*F15</f>
        <v>3.84</v>
      </c>
      <c r="H15" s="20" t="s">
        <v>259</v>
      </c>
      <c r="I15" s="20" t="s">
        <v>261</v>
      </c>
    </row>
    <row r="16" customFormat="false" ht="15" hidden="false" customHeight="false" outlineLevel="0" collapsed="false">
      <c r="A16" s="35" t="n">
        <v>2</v>
      </c>
      <c r="B16" s="28" t="s">
        <v>258</v>
      </c>
      <c r="C16" s="28" t="s">
        <v>102</v>
      </c>
      <c r="D16" s="29" t="n">
        <v>40</v>
      </c>
      <c r="E16" s="28" t="s">
        <v>53</v>
      </c>
      <c r="F16" s="30" t="n">
        <f aca="false">IFERROR(INDEX('1. Insumos'!$F$5:$F$137,MATCH($C16,'1. Insumos'!$B$5:$B$137,0)),0)</f>
        <v>0.29</v>
      </c>
      <c r="G16" s="31" t="n">
        <f aca="false">D16*F16</f>
        <v>11.6</v>
      </c>
      <c r="H16" s="20" t="s">
        <v>259</v>
      </c>
      <c r="I16" s="20" t="s">
        <v>262</v>
      </c>
    </row>
    <row r="17" customFormat="false" ht="15" hidden="false" customHeight="false" outlineLevel="0" collapsed="false">
      <c r="A17" s="35" t="n">
        <v>2</v>
      </c>
      <c r="B17" s="28" t="s">
        <v>258</v>
      </c>
      <c r="C17" s="28" t="s">
        <v>95</v>
      </c>
      <c r="D17" s="29" t="n">
        <v>150</v>
      </c>
      <c r="E17" s="28" t="s">
        <v>53</v>
      </c>
      <c r="F17" s="30" t="n">
        <f aca="false">IFERROR(INDEX('1. Insumos'!$F$5:$F$137,MATCH($C17,'1. Insumos'!$B$5:$B$137,0)),0)</f>
        <v>0.29</v>
      </c>
      <c r="G17" s="31" t="n">
        <f aca="false">D17*F17</f>
        <v>43.5</v>
      </c>
      <c r="H17" s="20" t="s">
        <v>259</v>
      </c>
      <c r="I17" s="20" t="s">
        <v>263</v>
      </c>
    </row>
    <row r="18" customFormat="false" ht="15" hidden="false" customHeight="false" outlineLevel="0" collapsed="false">
      <c r="A18" s="35" t="n">
        <v>2</v>
      </c>
      <c r="B18" s="28" t="s">
        <v>258</v>
      </c>
      <c r="C18" s="28" t="s">
        <v>94</v>
      </c>
      <c r="D18" s="29" t="n">
        <v>150</v>
      </c>
      <c r="E18" s="28" t="s">
        <v>53</v>
      </c>
      <c r="F18" s="30" t="n">
        <f aca="false">IFERROR(INDEX('1. Insumos'!$F$5:$F$137,MATCH($C18,'1. Insumos'!$B$5:$B$137,0)),0)</f>
        <v>0.32</v>
      </c>
      <c r="G18" s="31" t="n">
        <f aca="false">D18*F18</f>
        <v>48</v>
      </c>
      <c r="H18" s="20" t="s">
        <v>264</v>
      </c>
      <c r="I18" s="20" t="s">
        <v>265</v>
      </c>
    </row>
    <row r="19" customFormat="false" ht="15" hidden="false" customHeight="false" outlineLevel="0" collapsed="false">
      <c r="A19" s="35" t="n">
        <v>2</v>
      </c>
      <c r="B19" s="28" t="s">
        <v>258</v>
      </c>
      <c r="C19" s="28" t="s">
        <v>74</v>
      </c>
      <c r="D19" s="29" t="n">
        <v>150</v>
      </c>
      <c r="E19" s="28" t="s">
        <v>69</v>
      </c>
      <c r="F19" s="30" t="n">
        <f aca="false">IFERROR(INDEX('1. Insumos'!$F$5:$F$137,MATCH($C19,'1. Insumos'!$B$5:$B$137,0)),0)</f>
        <v>0.13</v>
      </c>
      <c r="G19" s="31" t="n">
        <f aca="false">D19*F19</f>
        <v>19.5</v>
      </c>
      <c r="H19" s="20" t="s">
        <v>264</v>
      </c>
      <c r="I19" s="20" t="s">
        <v>266</v>
      </c>
    </row>
    <row r="20" customFormat="false" ht="15" hidden="false" customHeight="false" outlineLevel="0" collapsed="false">
      <c r="A20" s="35" t="n">
        <v>2</v>
      </c>
      <c r="B20" s="28" t="s">
        <v>258</v>
      </c>
      <c r="C20" s="28" t="s">
        <v>72</v>
      </c>
      <c r="D20" s="29" t="n">
        <v>15</v>
      </c>
      <c r="E20" s="28" t="s">
        <v>53</v>
      </c>
      <c r="F20" s="30" t="n">
        <f aca="false">IFERROR(INDEX('1. Insumos'!$F$5:$F$137,MATCH($C20,'1. Insumos'!$B$5:$B$137,0)),0)</f>
        <v>0.26</v>
      </c>
      <c r="G20" s="31" t="n">
        <f aca="false">D20*F20</f>
        <v>3.9</v>
      </c>
      <c r="H20" s="20" t="s">
        <v>264</v>
      </c>
      <c r="I20" s="20" t="s">
        <v>267</v>
      </c>
    </row>
    <row r="21" customFormat="false" ht="15" hidden="false" customHeight="false" outlineLevel="0" collapsed="false">
      <c r="A21" s="35" t="n">
        <v>3</v>
      </c>
      <c r="B21" s="28" t="s">
        <v>268</v>
      </c>
      <c r="C21" s="28" t="s">
        <v>72</v>
      </c>
      <c r="D21" s="29" t="n">
        <v>100</v>
      </c>
      <c r="E21" s="28" t="s">
        <v>53</v>
      </c>
      <c r="F21" s="30" t="n">
        <f aca="false">IFERROR(INDEX('1. Insumos'!$F$5:$F$137,MATCH($C21,'1. Insumos'!$B$5:$B$137,0)),0)</f>
        <v>0.26</v>
      </c>
      <c r="G21" s="31" t="n">
        <f aca="false">D21*F21</f>
        <v>26</v>
      </c>
      <c r="H21" s="20" t="s">
        <v>269</v>
      </c>
      <c r="I21" s="20" t="s">
        <v>260</v>
      </c>
    </row>
    <row r="22" customFormat="false" ht="15" hidden="false" customHeight="false" outlineLevel="0" collapsed="false">
      <c r="A22" s="35" t="n">
        <v>3</v>
      </c>
      <c r="B22" s="28" t="s">
        <v>268</v>
      </c>
      <c r="C22" s="28" t="s">
        <v>65</v>
      </c>
      <c r="D22" s="29" t="n">
        <v>150</v>
      </c>
      <c r="E22" s="28" t="s">
        <v>53</v>
      </c>
      <c r="F22" s="30" t="n">
        <f aca="false">IFERROR(INDEX('1. Insumos'!$F$5:$F$137,MATCH($C22,'1. Insumos'!$B$5:$B$137,0)),0)</f>
        <v>0.052</v>
      </c>
      <c r="G22" s="31" t="n">
        <f aca="false">D22*F22</f>
        <v>7.8</v>
      </c>
      <c r="H22" s="20" t="s">
        <v>269</v>
      </c>
      <c r="I22" s="20" t="s">
        <v>270</v>
      </c>
    </row>
    <row r="23" customFormat="false" ht="15" hidden="false" customHeight="false" outlineLevel="0" collapsed="false">
      <c r="A23" s="35" t="n">
        <v>3</v>
      </c>
      <c r="B23" s="28" t="s">
        <v>268</v>
      </c>
      <c r="C23" s="28" t="s">
        <v>110</v>
      </c>
      <c r="D23" s="29" t="n">
        <v>150</v>
      </c>
      <c r="E23" s="28" t="s">
        <v>53</v>
      </c>
      <c r="F23" s="30" t="n">
        <f aca="false">IFERROR(INDEX('1. Insumos'!$F$5:$F$137,MATCH($C23,'1. Insumos'!$B$5:$B$137,0)),0)</f>
        <v>0.48</v>
      </c>
      <c r="G23" s="31" t="n">
        <f aca="false">D23*F23</f>
        <v>72</v>
      </c>
      <c r="H23" s="20" t="s">
        <v>269</v>
      </c>
      <c r="I23" s="20" t="s">
        <v>271</v>
      </c>
    </row>
    <row r="24" customFormat="false" ht="15" hidden="false" customHeight="false" outlineLevel="0" collapsed="false">
      <c r="A24" s="35" t="n">
        <v>3</v>
      </c>
      <c r="B24" s="28" t="s">
        <v>268</v>
      </c>
      <c r="C24" s="28" t="s">
        <v>63</v>
      </c>
      <c r="D24" s="29" t="n">
        <v>200</v>
      </c>
      <c r="E24" s="28" t="s">
        <v>53</v>
      </c>
      <c r="F24" s="30" t="n">
        <f aca="false">IFERROR(INDEX('1. Insumos'!$F$5:$F$137,MATCH($C24,'1. Insumos'!$B$5:$B$137,0)),0)</f>
        <v>0.032</v>
      </c>
      <c r="G24" s="31" t="n">
        <f aca="false">D24*F24</f>
        <v>6.4</v>
      </c>
      <c r="H24" s="20" t="s">
        <v>272</v>
      </c>
      <c r="I24" s="20" t="s">
        <v>273</v>
      </c>
    </row>
    <row r="25" customFormat="false" ht="15" hidden="false" customHeight="false" outlineLevel="0" collapsed="false">
      <c r="A25" s="35" t="n">
        <v>3</v>
      </c>
      <c r="B25" s="28" t="s">
        <v>268</v>
      </c>
      <c r="C25" s="28" t="s">
        <v>72</v>
      </c>
      <c r="D25" s="29" t="n">
        <v>90</v>
      </c>
      <c r="E25" s="28" t="s">
        <v>53</v>
      </c>
      <c r="F25" s="30" t="n">
        <f aca="false">IFERROR(INDEX('1. Insumos'!$F$5:$F$137,MATCH($C25,'1. Insumos'!$B$5:$B$137,0)),0)</f>
        <v>0.26</v>
      </c>
      <c r="G25" s="31" t="n">
        <f aca="false">D25*F25</f>
        <v>23.4</v>
      </c>
      <c r="H25" s="20" t="s">
        <v>272</v>
      </c>
      <c r="I25" s="20" t="s">
        <v>274</v>
      </c>
    </row>
    <row r="26" customFormat="false" ht="15" hidden="false" customHeight="false" outlineLevel="0" collapsed="false">
      <c r="A26" s="35" t="n">
        <v>3</v>
      </c>
      <c r="B26" s="28" t="s">
        <v>268</v>
      </c>
      <c r="C26" s="28" t="s">
        <v>74</v>
      </c>
      <c r="D26" s="29" t="n">
        <v>120</v>
      </c>
      <c r="E26" s="28" t="s">
        <v>69</v>
      </c>
      <c r="F26" s="30" t="n">
        <f aca="false">IFERROR(INDEX('1. Insumos'!$F$5:$F$137,MATCH($C26,'1. Insumos'!$B$5:$B$137,0)),0)</f>
        <v>0.13</v>
      </c>
      <c r="G26" s="31" t="n">
        <f aca="false">D26*F26</f>
        <v>15.6</v>
      </c>
      <c r="H26" s="20" t="s">
        <v>272</v>
      </c>
      <c r="I26" s="20" t="s">
        <v>275</v>
      </c>
    </row>
    <row r="27" customFormat="false" ht="15" hidden="false" customHeight="false" outlineLevel="0" collapsed="false">
      <c r="A27" s="35" t="n">
        <v>3</v>
      </c>
      <c r="B27" s="28" t="s">
        <v>268</v>
      </c>
      <c r="C27" s="28" t="s">
        <v>194</v>
      </c>
      <c r="D27" s="29" t="n">
        <v>5</v>
      </c>
      <c r="E27" s="28" t="s">
        <v>53</v>
      </c>
      <c r="F27" s="30" t="n">
        <f aca="false">IFERROR(INDEX('1. Insumos'!$F$5:$F$137,MATCH($C27,'1. Insumos'!$B$5:$B$137,0)),0)</f>
        <v>0.48</v>
      </c>
      <c r="G27" s="31" t="n">
        <f aca="false">D27*F27</f>
        <v>2.4</v>
      </c>
      <c r="H27" s="20" t="s">
        <v>272</v>
      </c>
      <c r="I27" s="20" t="s">
        <v>276</v>
      </c>
    </row>
    <row r="28" customFormat="false" ht="15" hidden="false" customHeight="false" outlineLevel="0" collapsed="false">
      <c r="A28" s="35" t="n">
        <v>4</v>
      </c>
      <c r="B28" s="28" t="s">
        <v>277</v>
      </c>
      <c r="C28" s="28" t="s">
        <v>122</v>
      </c>
      <c r="D28" s="29" t="n">
        <v>480</v>
      </c>
      <c r="E28" s="28" t="s">
        <v>53</v>
      </c>
      <c r="F28" s="30" t="n">
        <f aca="false">IFERROR(INDEX('1. Insumos'!$F$5:$F$137,MATCH($C28,'1. Insumos'!$B$5:$B$137,0)),0)</f>
        <v>0.055</v>
      </c>
      <c r="G28" s="31" t="n">
        <f aca="false">D28*F28</f>
        <v>26.4</v>
      </c>
      <c r="H28" s="20" t="s">
        <v>278</v>
      </c>
      <c r="I28" s="20" t="s">
        <v>279</v>
      </c>
    </row>
    <row r="29" customFormat="false" ht="15" hidden="false" customHeight="false" outlineLevel="0" collapsed="false">
      <c r="A29" s="35" t="n">
        <v>4</v>
      </c>
      <c r="B29" s="28" t="s">
        <v>277</v>
      </c>
      <c r="C29" s="28" t="s">
        <v>72</v>
      </c>
      <c r="D29" s="29" t="n">
        <v>30</v>
      </c>
      <c r="E29" s="28" t="s">
        <v>53</v>
      </c>
      <c r="F29" s="30" t="n">
        <f aca="false">IFERROR(INDEX('1. Insumos'!$F$5:$F$137,MATCH($C29,'1. Insumos'!$B$5:$B$137,0)),0)</f>
        <v>0.26</v>
      </c>
      <c r="G29" s="31" t="n">
        <f aca="false">D29*F29</f>
        <v>7.8</v>
      </c>
      <c r="H29" s="20" t="s">
        <v>278</v>
      </c>
      <c r="I29" s="20" t="s">
        <v>280</v>
      </c>
    </row>
    <row r="30" customFormat="false" ht="15" hidden="false" customHeight="false" outlineLevel="0" collapsed="false">
      <c r="A30" s="35" t="n">
        <v>4</v>
      </c>
      <c r="B30" s="28" t="s">
        <v>277</v>
      </c>
      <c r="C30" s="28" t="s">
        <v>65</v>
      </c>
      <c r="D30" s="29" t="n">
        <v>50</v>
      </c>
      <c r="E30" s="28" t="s">
        <v>53</v>
      </c>
      <c r="F30" s="30" t="n">
        <f aca="false">IFERROR(INDEX('1. Insumos'!$F$5:$F$137,MATCH($C30,'1. Insumos'!$B$5:$B$137,0)),0)</f>
        <v>0.052</v>
      </c>
      <c r="G30" s="31" t="n">
        <f aca="false">D30*F30</f>
        <v>2.6</v>
      </c>
      <c r="H30" s="20" t="s">
        <v>278</v>
      </c>
      <c r="I30" s="20" t="s">
        <v>281</v>
      </c>
    </row>
    <row r="31" customFormat="false" ht="15" hidden="false" customHeight="false" outlineLevel="0" collapsed="false">
      <c r="A31" s="35" t="n">
        <v>4</v>
      </c>
      <c r="B31" s="28" t="s">
        <v>277</v>
      </c>
      <c r="C31" s="28" t="s">
        <v>162</v>
      </c>
      <c r="D31" s="29" t="n">
        <v>5</v>
      </c>
      <c r="E31" s="28" t="s">
        <v>53</v>
      </c>
      <c r="F31" s="30" t="n">
        <f aca="false">IFERROR(INDEX('1. Insumos'!$F$5:$F$137,MATCH($C31,'1. Insumos'!$B$5:$B$137,0)),0)</f>
        <v>0.72</v>
      </c>
      <c r="G31" s="31" t="n">
        <f aca="false">D31*F31</f>
        <v>3.6</v>
      </c>
      <c r="H31" s="20" t="s">
        <v>278</v>
      </c>
      <c r="I31" s="20" t="s">
        <v>282</v>
      </c>
    </row>
    <row r="32" customFormat="false" ht="15" hidden="false" customHeight="false" outlineLevel="0" collapsed="false">
      <c r="A32" s="35" t="n">
        <v>4</v>
      </c>
      <c r="B32" s="28" t="s">
        <v>277</v>
      </c>
      <c r="C32" s="28" t="s">
        <v>57</v>
      </c>
      <c r="D32" s="29" t="n">
        <v>10</v>
      </c>
      <c r="E32" s="28" t="s">
        <v>53</v>
      </c>
      <c r="F32" s="30" t="n">
        <f aca="false">IFERROR(INDEX('1. Insumos'!$F$5:$F$137,MATCH($C32,'1. Insumos'!$B$5:$B$137,0)),0)</f>
        <v>0.064</v>
      </c>
      <c r="G32" s="31" t="n">
        <f aca="false">D32*F32</f>
        <v>0.64</v>
      </c>
      <c r="H32" s="20" t="s">
        <v>278</v>
      </c>
      <c r="I32" s="20" t="s">
        <v>283</v>
      </c>
    </row>
    <row r="33" customFormat="false" ht="15" hidden="false" customHeight="false" outlineLevel="0" collapsed="false">
      <c r="A33" s="35" t="n">
        <v>4</v>
      </c>
      <c r="B33" s="28" t="s">
        <v>277</v>
      </c>
      <c r="C33" s="28" t="s">
        <v>55</v>
      </c>
      <c r="D33" s="29" t="n">
        <v>80</v>
      </c>
      <c r="E33" s="28" t="s">
        <v>53</v>
      </c>
      <c r="F33" s="30" t="n">
        <f aca="false">IFERROR(INDEX('1. Insumos'!$F$5:$F$137,MATCH($C33,'1. Insumos'!$B$5:$B$137,0)),0)</f>
        <v>0.026</v>
      </c>
      <c r="G33" s="31" t="n">
        <f aca="false">D33*F33</f>
        <v>2.08</v>
      </c>
      <c r="H33" s="20" t="s">
        <v>284</v>
      </c>
      <c r="I33" s="20" t="s">
        <v>285</v>
      </c>
    </row>
    <row r="34" customFormat="false" ht="15" hidden="false" customHeight="false" outlineLevel="0" collapsed="false">
      <c r="A34" s="35" t="n">
        <v>4</v>
      </c>
      <c r="B34" s="28" t="s">
        <v>277</v>
      </c>
      <c r="C34" s="28" t="s">
        <v>63</v>
      </c>
      <c r="D34" s="29" t="n">
        <v>50</v>
      </c>
      <c r="E34" s="28" t="s">
        <v>53</v>
      </c>
      <c r="F34" s="30" t="n">
        <f aca="false">IFERROR(INDEX('1. Insumos'!$F$5:$F$137,MATCH($C34,'1. Insumos'!$B$5:$B$137,0)),0)</f>
        <v>0.032</v>
      </c>
      <c r="G34" s="31" t="n">
        <f aca="false">D34*F34</f>
        <v>1.6</v>
      </c>
      <c r="H34" s="20" t="s">
        <v>284</v>
      </c>
      <c r="I34" s="20" t="s">
        <v>286</v>
      </c>
    </row>
    <row r="35" customFormat="false" ht="15" hidden="false" customHeight="false" outlineLevel="0" collapsed="false">
      <c r="A35" s="35" t="n">
        <v>4</v>
      </c>
      <c r="B35" s="28" t="s">
        <v>277</v>
      </c>
      <c r="C35" s="28" t="s">
        <v>72</v>
      </c>
      <c r="D35" s="29" t="n">
        <v>50</v>
      </c>
      <c r="E35" s="28" t="s">
        <v>53</v>
      </c>
      <c r="F35" s="30" t="n">
        <f aca="false">IFERROR(INDEX('1. Insumos'!$F$5:$F$137,MATCH($C35,'1. Insumos'!$B$5:$B$137,0)),0)</f>
        <v>0.26</v>
      </c>
      <c r="G35" s="31" t="n">
        <f aca="false">D35*F35</f>
        <v>13</v>
      </c>
      <c r="H35" s="20" t="s">
        <v>284</v>
      </c>
      <c r="I35" s="20" t="s">
        <v>287</v>
      </c>
    </row>
    <row r="36" customFormat="false" ht="15" hidden="false" customHeight="false" outlineLevel="0" collapsed="false">
      <c r="A36" s="35" t="n">
        <v>4</v>
      </c>
      <c r="B36" s="28" t="s">
        <v>277</v>
      </c>
      <c r="C36" s="28" t="s">
        <v>162</v>
      </c>
      <c r="D36" s="29" t="n">
        <v>2</v>
      </c>
      <c r="E36" s="28" t="s">
        <v>53</v>
      </c>
      <c r="F36" s="30" t="n">
        <f aca="false">IFERROR(INDEX('1. Insumos'!$F$5:$F$137,MATCH($C36,'1. Insumos'!$B$5:$B$137,0)),0)</f>
        <v>0.72</v>
      </c>
      <c r="G36" s="31" t="n">
        <f aca="false">D36*F36</f>
        <v>1.44</v>
      </c>
      <c r="H36" s="20" t="s">
        <v>284</v>
      </c>
      <c r="I36" s="20" t="s">
        <v>288</v>
      </c>
    </row>
    <row r="37" customFormat="false" ht="15" hidden="false" customHeight="false" outlineLevel="0" collapsed="false">
      <c r="A37" s="35" t="n">
        <v>5</v>
      </c>
      <c r="B37" s="28" t="s">
        <v>289</v>
      </c>
      <c r="C37" s="28" t="s">
        <v>126</v>
      </c>
      <c r="D37" s="29" t="n">
        <v>300</v>
      </c>
      <c r="E37" s="28" t="s">
        <v>53</v>
      </c>
      <c r="F37" s="30" t="n">
        <f aca="false">IFERROR(INDEX('1. Insumos'!$F$5:$F$137,MATCH($C37,'1. Insumos'!$B$5:$B$137,0)),0)</f>
        <v>0.34</v>
      </c>
      <c r="G37" s="31" t="n">
        <f aca="false">D37*F37</f>
        <v>102</v>
      </c>
      <c r="H37" s="20" t="s">
        <v>290</v>
      </c>
      <c r="I37" s="20" t="s">
        <v>291</v>
      </c>
    </row>
    <row r="38" customFormat="false" ht="15" hidden="false" customHeight="false" outlineLevel="0" collapsed="false">
      <c r="A38" s="35" t="n">
        <v>5</v>
      </c>
      <c r="B38" s="28" t="s">
        <v>289</v>
      </c>
      <c r="C38" s="28" t="s">
        <v>63</v>
      </c>
      <c r="D38" s="29" t="n">
        <v>80</v>
      </c>
      <c r="E38" s="28" t="s">
        <v>53</v>
      </c>
      <c r="F38" s="30" t="n">
        <f aca="false">IFERROR(INDEX('1. Insumos'!$F$5:$F$137,MATCH($C38,'1. Insumos'!$B$5:$B$137,0)),0)</f>
        <v>0.032</v>
      </c>
      <c r="G38" s="31" t="n">
        <f aca="false">D38*F38</f>
        <v>2.56</v>
      </c>
      <c r="H38" s="20" t="s">
        <v>290</v>
      </c>
      <c r="I38" s="20" t="s">
        <v>212</v>
      </c>
    </row>
    <row r="39" customFormat="false" ht="15" hidden="false" customHeight="false" outlineLevel="0" collapsed="false">
      <c r="A39" s="35" t="n">
        <v>5</v>
      </c>
      <c r="B39" s="28" t="s">
        <v>289</v>
      </c>
      <c r="C39" s="28" t="s">
        <v>131</v>
      </c>
      <c r="D39" s="29" t="n">
        <v>0.5</v>
      </c>
      <c r="E39" s="28" t="s">
        <v>81</v>
      </c>
      <c r="F39" s="30" t="n">
        <f aca="false">IFERROR(INDEX('1. Insumos'!$F$5:$F$137,MATCH($C39,'1. Insumos'!$B$5:$B$137,0)),0)</f>
        <v>6</v>
      </c>
      <c r="G39" s="31" t="n">
        <f aca="false">D39*F39</f>
        <v>3</v>
      </c>
      <c r="H39" s="20" t="s">
        <v>290</v>
      </c>
      <c r="I39" s="20" t="s">
        <v>292</v>
      </c>
    </row>
    <row r="40" customFormat="false" ht="15" hidden="false" customHeight="false" outlineLevel="0" collapsed="false">
      <c r="A40" s="35" t="n">
        <v>5</v>
      </c>
      <c r="B40" s="28" t="s">
        <v>289</v>
      </c>
      <c r="C40" s="28" t="s">
        <v>57</v>
      </c>
      <c r="D40" s="29" t="n">
        <v>15</v>
      </c>
      <c r="E40" s="28" t="s">
        <v>53</v>
      </c>
      <c r="F40" s="30" t="n">
        <f aca="false">IFERROR(INDEX('1. Insumos'!$F$5:$F$137,MATCH($C40,'1. Insumos'!$B$5:$B$137,0)),0)</f>
        <v>0.064</v>
      </c>
      <c r="G40" s="31" t="n">
        <f aca="false">D40*F40</f>
        <v>0.96</v>
      </c>
      <c r="H40" s="20" t="s">
        <v>290</v>
      </c>
      <c r="I40" s="20" t="s">
        <v>293</v>
      </c>
    </row>
    <row r="41" customFormat="false" ht="15" hidden="false" customHeight="false" outlineLevel="0" collapsed="false">
      <c r="A41" s="35" t="n">
        <v>5</v>
      </c>
      <c r="B41" s="28" t="s">
        <v>289</v>
      </c>
      <c r="C41" s="28" t="s">
        <v>75</v>
      </c>
      <c r="D41" s="29" t="n">
        <v>120</v>
      </c>
      <c r="E41" s="28" t="s">
        <v>53</v>
      </c>
      <c r="F41" s="30" t="n">
        <f aca="false">IFERROR(INDEX('1. Insumos'!$F$5:$F$137,MATCH($C41,'1. Insumos'!$B$5:$B$137,0)),0)</f>
        <v>0.19</v>
      </c>
      <c r="G41" s="31" t="n">
        <f aca="false">D41*F41</f>
        <v>22.8</v>
      </c>
      <c r="H41" s="20" t="s">
        <v>294</v>
      </c>
      <c r="I41" s="20" t="s">
        <v>295</v>
      </c>
    </row>
    <row r="42" customFormat="false" ht="15" hidden="false" customHeight="false" outlineLevel="0" collapsed="false">
      <c r="A42" s="35" t="n">
        <v>5</v>
      </c>
      <c r="B42" s="28" t="s">
        <v>289</v>
      </c>
      <c r="C42" s="28" t="s">
        <v>72</v>
      </c>
      <c r="D42" s="29" t="n">
        <v>40</v>
      </c>
      <c r="E42" s="28" t="s">
        <v>53</v>
      </c>
      <c r="F42" s="30" t="n">
        <f aca="false">IFERROR(INDEX('1. Insumos'!$F$5:$F$137,MATCH($C42,'1. Insumos'!$B$5:$B$137,0)),0)</f>
        <v>0.26</v>
      </c>
      <c r="G42" s="31" t="n">
        <f aca="false">D42*F42</f>
        <v>10.4</v>
      </c>
      <c r="H42" s="20" t="s">
        <v>294</v>
      </c>
      <c r="I42" s="20" t="s">
        <v>296</v>
      </c>
    </row>
    <row r="43" customFormat="false" ht="15" hidden="false" customHeight="false" outlineLevel="0" collapsed="false">
      <c r="A43" s="35" t="n">
        <v>5</v>
      </c>
      <c r="B43" s="28" t="s">
        <v>289</v>
      </c>
      <c r="C43" s="28" t="s">
        <v>64</v>
      </c>
      <c r="D43" s="29" t="n">
        <v>60</v>
      </c>
      <c r="E43" s="28" t="s">
        <v>53</v>
      </c>
      <c r="F43" s="30" t="n">
        <f aca="false">IFERROR(INDEX('1. Insumos'!$F$5:$F$137,MATCH($C43,'1. Insumos'!$B$5:$B$137,0)),0)</f>
        <v>0.045</v>
      </c>
      <c r="G43" s="31" t="n">
        <f aca="false">D43*F43</f>
        <v>2.7</v>
      </c>
      <c r="H43" s="20" t="s">
        <v>294</v>
      </c>
      <c r="I43" s="20" t="s">
        <v>297</v>
      </c>
    </row>
    <row r="44" customFormat="false" ht="15" hidden="false" customHeight="false" outlineLevel="0" collapsed="false">
      <c r="A44" s="35" t="n">
        <v>5</v>
      </c>
      <c r="B44" s="28" t="s">
        <v>289</v>
      </c>
      <c r="C44" s="28" t="s">
        <v>131</v>
      </c>
      <c r="D44" s="29" t="n">
        <v>30</v>
      </c>
      <c r="E44" s="28" t="s">
        <v>81</v>
      </c>
      <c r="F44" s="30" t="n">
        <f aca="false">IFERROR(INDEX('1. Insumos'!$F$5:$F$137,MATCH($C44,'1. Insumos'!$B$5:$B$137,0)),0)</f>
        <v>6</v>
      </c>
      <c r="G44" s="31" t="n">
        <f aca="false">D44*F44</f>
        <v>180</v>
      </c>
      <c r="H44" s="20" t="s">
        <v>294</v>
      </c>
      <c r="I44" s="20" t="s">
        <v>298</v>
      </c>
    </row>
    <row r="45" customFormat="false" ht="15" hidden="false" customHeight="false" outlineLevel="0" collapsed="false">
      <c r="A45" s="35" t="n">
        <v>6</v>
      </c>
      <c r="B45" s="28" t="s">
        <v>299</v>
      </c>
      <c r="C45" s="28" t="s">
        <v>56</v>
      </c>
      <c r="D45" s="29" t="n">
        <v>100</v>
      </c>
      <c r="E45" s="28" t="s">
        <v>53</v>
      </c>
      <c r="F45" s="30" t="n">
        <f aca="false">IFERROR(INDEX('1. Insumos'!$F$5:$F$137,MATCH($C45,'1. Insumos'!$B$5:$B$137,0)),0)</f>
        <v>0.42</v>
      </c>
      <c r="G45" s="31" t="n">
        <f aca="false">D45*F45</f>
        <v>42</v>
      </c>
      <c r="H45" s="20" t="s">
        <v>300</v>
      </c>
      <c r="I45" s="20" t="s">
        <v>301</v>
      </c>
    </row>
    <row r="46" customFormat="false" ht="15" hidden="false" customHeight="false" outlineLevel="0" collapsed="false">
      <c r="A46" s="35" t="n">
        <v>6</v>
      </c>
      <c r="B46" s="28" t="s">
        <v>299</v>
      </c>
      <c r="C46" s="28" t="s">
        <v>72</v>
      </c>
      <c r="D46" s="29" t="n">
        <v>100</v>
      </c>
      <c r="E46" s="28" t="s">
        <v>53</v>
      </c>
      <c r="F46" s="30" t="n">
        <f aca="false">IFERROR(INDEX('1. Insumos'!$F$5:$F$137,MATCH($C46,'1. Insumos'!$B$5:$B$137,0)),0)</f>
        <v>0.26</v>
      </c>
      <c r="G46" s="31" t="n">
        <f aca="false">D46*F46</f>
        <v>26</v>
      </c>
      <c r="H46" s="20" t="s">
        <v>300</v>
      </c>
      <c r="I46" s="20" t="s">
        <v>260</v>
      </c>
    </row>
    <row r="47" customFormat="false" ht="15" hidden="false" customHeight="false" outlineLevel="0" collapsed="false">
      <c r="A47" s="35" t="n">
        <v>6</v>
      </c>
      <c r="B47" s="28" t="s">
        <v>299</v>
      </c>
      <c r="C47" s="28" t="s">
        <v>64</v>
      </c>
      <c r="D47" s="29" t="n">
        <v>100</v>
      </c>
      <c r="E47" s="28" t="s">
        <v>53</v>
      </c>
      <c r="F47" s="30" t="n">
        <f aca="false">IFERROR(INDEX('1. Insumos'!$F$5:$F$137,MATCH($C47,'1. Insumos'!$B$5:$B$137,0)),0)</f>
        <v>0.045</v>
      </c>
      <c r="G47" s="31" t="n">
        <f aca="false">D47*F47</f>
        <v>4.5</v>
      </c>
      <c r="H47" s="20" t="s">
        <v>300</v>
      </c>
      <c r="I47" s="20" t="s">
        <v>302</v>
      </c>
    </row>
    <row r="48" customFormat="false" ht="15" hidden="false" customHeight="false" outlineLevel="0" collapsed="false">
      <c r="A48" s="35" t="n">
        <v>6</v>
      </c>
      <c r="B48" s="28" t="s">
        <v>299</v>
      </c>
      <c r="C48" s="28" t="s">
        <v>80</v>
      </c>
      <c r="D48" s="29" t="n">
        <v>1</v>
      </c>
      <c r="E48" s="28" t="s">
        <v>81</v>
      </c>
      <c r="F48" s="30" t="n">
        <f aca="false">IFERROR(INDEX('1. Insumos'!$F$5:$F$137,MATCH($C48,'1. Insumos'!$B$5:$B$137,0)),0)</f>
        <v>3.5</v>
      </c>
      <c r="G48" s="31" t="n">
        <f aca="false">D48*F48</f>
        <v>3.5</v>
      </c>
      <c r="H48" s="20" t="s">
        <v>300</v>
      </c>
      <c r="I48" s="20" t="s">
        <v>303</v>
      </c>
    </row>
    <row r="49" customFormat="false" ht="15" hidden="false" customHeight="false" outlineLevel="0" collapsed="false">
      <c r="A49" s="35" t="n">
        <v>6</v>
      </c>
      <c r="B49" s="28" t="s">
        <v>299</v>
      </c>
      <c r="C49" s="28" t="s">
        <v>161</v>
      </c>
      <c r="D49" s="29" t="n">
        <v>5</v>
      </c>
      <c r="E49" s="28" t="s">
        <v>69</v>
      </c>
      <c r="F49" s="30" t="n">
        <f aca="false">IFERROR(INDEX('1. Insumos'!$F$5:$F$137,MATCH($C49,'1. Insumos'!$B$5:$B$137,0)),0)</f>
        <v>1.83333333333333</v>
      </c>
      <c r="G49" s="31" t="n">
        <f aca="false">D49*F49</f>
        <v>9.16666666666667</v>
      </c>
      <c r="H49" s="20" t="s">
        <v>300</v>
      </c>
      <c r="I49" s="20" t="s">
        <v>304</v>
      </c>
    </row>
    <row r="50" customFormat="false" ht="15" hidden="false" customHeight="false" outlineLevel="0" collapsed="false">
      <c r="A50" s="35" t="n">
        <v>6</v>
      </c>
      <c r="B50" s="28" t="s">
        <v>299</v>
      </c>
      <c r="C50" s="28" t="s">
        <v>55</v>
      </c>
      <c r="D50" s="29" t="n">
        <v>20</v>
      </c>
      <c r="E50" s="28" t="s">
        <v>53</v>
      </c>
      <c r="F50" s="30" t="n">
        <f aca="false">IFERROR(INDEX('1. Insumos'!$F$5:$F$137,MATCH($C50,'1. Insumos'!$B$5:$B$137,0)),0)</f>
        <v>0.026</v>
      </c>
      <c r="G50" s="31" t="n">
        <f aca="false">D50*F50</f>
        <v>0.52</v>
      </c>
      <c r="H50" s="20" t="s">
        <v>300</v>
      </c>
      <c r="I50" s="20" t="s">
        <v>305</v>
      </c>
    </row>
    <row r="51" customFormat="false" ht="15" hidden="false" customHeight="false" outlineLevel="0" collapsed="false">
      <c r="A51" s="35" t="n">
        <v>6</v>
      </c>
      <c r="B51" s="28" t="s">
        <v>299</v>
      </c>
      <c r="C51" s="28" t="s">
        <v>114</v>
      </c>
      <c r="D51" s="29" t="n">
        <v>60</v>
      </c>
      <c r="E51" s="28" t="s">
        <v>53</v>
      </c>
      <c r="F51" s="30" t="n">
        <f aca="false">IFERROR(INDEX('1. Insumos'!$F$5:$F$137,MATCH($C51,'1. Insumos'!$B$5:$B$137,0)),0)</f>
        <v>0.38</v>
      </c>
      <c r="G51" s="31" t="n">
        <f aca="false">D51*F51</f>
        <v>22.8</v>
      </c>
      <c r="H51" s="20" t="s">
        <v>300</v>
      </c>
      <c r="I51" s="20" t="s">
        <v>306</v>
      </c>
    </row>
    <row r="52" customFormat="false" ht="15" hidden="false" customHeight="false" outlineLevel="0" collapsed="false">
      <c r="A52" s="35" t="n">
        <v>6</v>
      </c>
      <c r="B52" s="28" t="s">
        <v>299</v>
      </c>
      <c r="C52" s="28" t="s">
        <v>149</v>
      </c>
      <c r="D52" s="29" t="n">
        <v>50</v>
      </c>
      <c r="E52" s="28" t="s">
        <v>53</v>
      </c>
      <c r="F52" s="30" t="n">
        <f aca="false">IFERROR(INDEX('1. Insumos'!$F$5:$F$137,MATCH($C52,'1. Insumos'!$B$5:$B$137,0)),0)</f>
        <v>0.16</v>
      </c>
      <c r="G52" s="31" t="n">
        <f aca="false">D52*F52</f>
        <v>8</v>
      </c>
      <c r="H52" s="20" t="s">
        <v>307</v>
      </c>
      <c r="I52" s="20" t="s">
        <v>308</v>
      </c>
    </row>
    <row r="53" customFormat="false" ht="15" hidden="false" customHeight="false" outlineLevel="0" collapsed="false">
      <c r="A53" s="35" t="n">
        <v>6</v>
      </c>
      <c r="B53" s="28" t="s">
        <v>299</v>
      </c>
      <c r="C53" s="28" t="s">
        <v>198</v>
      </c>
      <c r="D53" s="29" t="n">
        <v>15</v>
      </c>
      <c r="E53" s="28" t="s">
        <v>69</v>
      </c>
      <c r="F53" s="30" t="n">
        <f aca="false">IFERROR(INDEX('1. Insumos'!$F$5:$F$137,MATCH($C53,'1. Insumos'!$B$5:$B$137,0)),0)</f>
        <v>0.00175</v>
      </c>
      <c r="G53" s="31" t="n">
        <f aca="false">D53*F53</f>
        <v>0.02625</v>
      </c>
      <c r="H53" s="20" t="s">
        <v>307</v>
      </c>
      <c r="I53" s="20" t="s">
        <v>309</v>
      </c>
    </row>
    <row r="54" customFormat="false" ht="15" hidden="false" customHeight="false" outlineLevel="0" collapsed="false">
      <c r="A54" s="35" t="n">
        <v>6</v>
      </c>
      <c r="B54" s="28" t="s">
        <v>299</v>
      </c>
      <c r="C54" s="28" t="s">
        <v>114</v>
      </c>
      <c r="D54" s="29" t="n">
        <v>25</v>
      </c>
      <c r="E54" s="28" t="s">
        <v>53</v>
      </c>
      <c r="F54" s="30" t="n">
        <f aca="false">IFERROR(INDEX('1. Insumos'!$F$5:$F$137,MATCH($C54,'1. Insumos'!$B$5:$B$137,0)),0)</f>
        <v>0.38</v>
      </c>
      <c r="G54" s="31" t="n">
        <f aca="false">D54*F54</f>
        <v>9.5</v>
      </c>
      <c r="H54" s="20" t="s">
        <v>307</v>
      </c>
      <c r="I54" s="20" t="s">
        <v>310</v>
      </c>
    </row>
    <row r="55" customFormat="false" ht="15" hidden="false" customHeight="false" outlineLevel="0" collapsed="false">
      <c r="A55" s="35" t="n">
        <v>7</v>
      </c>
      <c r="B55" s="28" t="s">
        <v>311</v>
      </c>
      <c r="C55" s="28" t="s">
        <v>63</v>
      </c>
      <c r="D55" s="29" t="n">
        <v>150</v>
      </c>
      <c r="E55" s="28" t="s">
        <v>53</v>
      </c>
      <c r="F55" s="30" t="n">
        <f aca="false">IFERROR(INDEX('1. Insumos'!$F$5:$F$137,MATCH($C55,'1. Insumos'!$B$5:$B$137,0)),0)</f>
        <v>0.032</v>
      </c>
      <c r="G55" s="31" t="n">
        <f aca="false">D55*F55</f>
        <v>4.8</v>
      </c>
      <c r="H55" s="20" t="s">
        <v>312</v>
      </c>
      <c r="I55" s="20" t="s">
        <v>313</v>
      </c>
    </row>
    <row r="56" customFormat="false" ht="15" hidden="false" customHeight="false" outlineLevel="0" collapsed="false">
      <c r="A56" s="35" t="n">
        <v>7</v>
      </c>
      <c r="B56" s="28" t="s">
        <v>311</v>
      </c>
      <c r="C56" s="28" t="s">
        <v>131</v>
      </c>
      <c r="D56" s="29" t="n">
        <v>2</v>
      </c>
      <c r="E56" s="28" t="s">
        <v>81</v>
      </c>
      <c r="F56" s="30" t="n">
        <f aca="false">IFERROR(INDEX('1. Insumos'!$F$5:$F$137,MATCH($C56,'1. Insumos'!$B$5:$B$137,0)),0)</f>
        <v>6</v>
      </c>
      <c r="G56" s="31" t="n">
        <f aca="false">D56*F56</f>
        <v>12</v>
      </c>
      <c r="H56" s="20" t="s">
        <v>312</v>
      </c>
      <c r="I56" s="20" t="s">
        <v>314</v>
      </c>
    </row>
    <row r="57" customFormat="false" ht="15" hidden="false" customHeight="false" outlineLevel="0" collapsed="false">
      <c r="A57" s="35" t="n">
        <v>7</v>
      </c>
      <c r="B57" s="28" t="s">
        <v>311</v>
      </c>
      <c r="C57" s="28" t="s">
        <v>72</v>
      </c>
      <c r="D57" s="29" t="n">
        <v>100</v>
      </c>
      <c r="E57" s="28" t="s">
        <v>53</v>
      </c>
      <c r="F57" s="30" t="n">
        <f aca="false">IFERROR(INDEX('1. Insumos'!$F$5:$F$137,MATCH($C57,'1. Insumos'!$B$5:$B$137,0)),0)</f>
        <v>0.26</v>
      </c>
      <c r="G57" s="31" t="n">
        <f aca="false">D57*F57</f>
        <v>26</v>
      </c>
      <c r="H57" s="20" t="s">
        <v>312</v>
      </c>
      <c r="I57" s="20" t="s">
        <v>260</v>
      </c>
    </row>
    <row r="58" customFormat="false" ht="15" hidden="false" customHeight="false" outlineLevel="0" collapsed="false">
      <c r="A58" s="35" t="n">
        <v>7</v>
      </c>
      <c r="B58" s="28" t="s">
        <v>311</v>
      </c>
      <c r="C58" s="28" t="s">
        <v>119</v>
      </c>
      <c r="D58" s="29" t="n">
        <v>20</v>
      </c>
      <c r="E58" s="28" t="s">
        <v>53</v>
      </c>
      <c r="F58" s="30" t="n">
        <f aca="false">IFERROR(INDEX('1. Insumos'!$F$5:$F$137,MATCH($C58,'1. Insumos'!$B$5:$B$137,0)),0)</f>
        <v>0.9</v>
      </c>
      <c r="G58" s="31" t="n">
        <f aca="false">D58*F58</f>
        <v>18</v>
      </c>
      <c r="H58" s="20" t="s">
        <v>312</v>
      </c>
      <c r="I58" s="20" t="s">
        <v>315</v>
      </c>
    </row>
    <row r="59" customFormat="false" ht="15" hidden="false" customHeight="false" outlineLevel="0" collapsed="false">
      <c r="A59" s="35" t="n">
        <v>7</v>
      </c>
      <c r="B59" s="28" t="s">
        <v>311</v>
      </c>
      <c r="C59" s="28" t="s">
        <v>64</v>
      </c>
      <c r="D59" s="29" t="n">
        <v>150</v>
      </c>
      <c r="E59" s="28" t="s">
        <v>53</v>
      </c>
      <c r="F59" s="30" t="n">
        <f aca="false">IFERROR(INDEX('1. Insumos'!$F$5:$F$137,MATCH($C59,'1. Insumos'!$B$5:$B$137,0)),0)</f>
        <v>0.045</v>
      </c>
      <c r="G59" s="31" t="n">
        <f aca="false">D59*F59</f>
        <v>6.75</v>
      </c>
      <c r="H59" s="20" t="s">
        <v>316</v>
      </c>
      <c r="I59" s="20" t="s">
        <v>317</v>
      </c>
    </row>
    <row r="60" customFormat="false" ht="15" hidden="false" customHeight="false" outlineLevel="0" collapsed="false">
      <c r="A60" s="35" t="n">
        <v>7</v>
      </c>
      <c r="B60" s="28" t="s">
        <v>311</v>
      </c>
      <c r="C60" s="28" t="s">
        <v>131</v>
      </c>
      <c r="D60" s="29" t="n">
        <v>1</v>
      </c>
      <c r="E60" s="28" t="s">
        <v>81</v>
      </c>
      <c r="F60" s="30" t="n">
        <f aca="false">IFERROR(INDEX('1. Insumos'!$F$5:$F$137,MATCH($C60,'1. Insumos'!$B$5:$B$137,0)),0)</f>
        <v>6</v>
      </c>
      <c r="G60" s="31" t="n">
        <f aca="false">D60*F60</f>
        <v>6</v>
      </c>
      <c r="H60" s="20" t="s">
        <v>316</v>
      </c>
      <c r="I60" s="20" t="s">
        <v>318</v>
      </c>
    </row>
    <row r="61" customFormat="false" ht="15" hidden="false" customHeight="false" outlineLevel="0" collapsed="false">
      <c r="A61" s="35" t="n">
        <v>7</v>
      </c>
      <c r="B61" s="28" t="s">
        <v>311</v>
      </c>
      <c r="C61" s="28" t="s">
        <v>73</v>
      </c>
      <c r="D61" s="29" t="n">
        <v>10</v>
      </c>
      <c r="E61" s="28" t="s">
        <v>69</v>
      </c>
      <c r="F61" s="30" t="n">
        <f aca="false">IFERROR(INDEX('1. Insumos'!$F$5:$F$137,MATCH($C61,'1. Insumos'!$B$5:$B$137,0)),0)</f>
        <v>0.028</v>
      </c>
      <c r="G61" s="31" t="n">
        <f aca="false">D61*F61</f>
        <v>0.28</v>
      </c>
      <c r="H61" s="20" t="s">
        <v>316</v>
      </c>
      <c r="I61" s="20" t="s">
        <v>319</v>
      </c>
    </row>
    <row r="62" customFormat="false" ht="15" hidden="false" customHeight="false" outlineLevel="0" collapsed="false">
      <c r="A62" s="35" t="n">
        <v>8</v>
      </c>
      <c r="B62" s="28" t="s">
        <v>320</v>
      </c>
      <c r="C62" s="28" t="s">
        <v>72</v>
      </c>
      <c r="D62" s="29" t="n">
        <v>100</v>
      </c>
      <c r="E62" s="28" t="s">
        <v>53</v>
      </c>
      <c r="F62" s="30" t="n">
        <f aca="false">IFERROR(INDEX('1. Insumos'!$F$5:$F$137,MATCH($C62,'1. Insumos'!$B$5:$B$137,0)),0)</f>
        <v>0.26</v>
      </c>
      <c r="G62" s="31" t="n">
        <f aca="false">D62*F62</f>
        <v>26</v>
      </c>
      <c r="H62" s="20" t="s">
        <v>321</v>
      </c>
      <c r="I62" s="20" t="s">
        <v>260</v>
      </c>
    </row>
    <row r="63" customFormat="false" ht="15" hidden="false" customHeight="false" outlineLevel="0" collapsed="false">
      <c r="A63" s="35" t="n">
        <v>8</v>
      </c>
      <c r="B63" s="28" t="s">
        <v>320</v>
      </c>
      <c r="C63" s="28" t="s">
        <v>65</v>
      </c>
      <c r="D63" s="29" t="n">
        <v>120</v>
      </c>
      <c r="E63" s="28" t="s">
        <v>53</v>
      </c>
      <c r="F63" s="30" t="n">
        <f aca="false">IFERROR(INDEX('1. Insumos'!$F$5:$F$137,MATCH($C63,'1. Insumos'!$B$5:$B$137,0)),0)</f>
        <v>0.052</v>
      </c>
      <c r="G63" s="31" t="n">
        <f aca="false">D63*F63</f>
        <v>6.24</v>
      </c>
      <c r="H63" s="20" t="s">
        <v>321</v>
      </c>
      <c r="I63" s="20" t="s">
        <v>322</v>
      </c>
    </row>
    <row r="64" customFormat="false" ht="15" hidden="false" customHeight="false" outlineLevel="0" collapsed="false">
      <c r="A64" s="35" t="n">
        <v>8</v>
      </c>
      <c r="B64" s="28" t="s">
        <v>320</v>
      </c>
      <c r="C64" s="28" t="s">
        <v>162</v>
      </c>
      <c r="D64" s="29" t="n">
        <v>4</v>
      </c>
      <c r="E64" s="28" t="s">
        <v>53</v>
      </c>
      <c r="F64" s="30" t="n">
        <f aca="false">IFERROR(INDEX('1. Insumos'!$F$5:$F$137,MATCH($C64,'1. Insumos'!$B$5:$B$137,0)),0)</f>
        <v>0.72</v>
      </c>
      <c r="G64" s="31" t="n">
        <f aca="false">D64*F64</f>
        <v>2.88</v>
      </c>
      <c r="H64" s="20" t="s">
        <v>321</v>
      </c>
      <c r="I64" s="20" t="s">
        <v>323</v>
      </c>
    </row>
    <row r="65" customFormat="false" ht="15" hidden="false" customHeight="false" outlineLevel="0" collapsed="false">
      <c r="A65" s="35" t="n">
        <v>8</v>
      </c>
      <c r="B65" s="28" t="s">
        <v>320</v>
      </c>
      <c r="C65" s="28" t="s">
        <v>164</v>
      </c>
      <c r="D65" s="29" t="n">
        <v>2</v>
      </c>
      <c r="E65" s="28" t="s">
        <v>53</v>
      </c>
      <c r="F65" s="30" t="n">
        <f aca="false">IFERROR(INDEX('1. Insumos'!$F$5:$F$137,MATCH($C65,'1. Insumos'!$B$5:$B$137,0)),0)</f>
        <v>0.55</v>
      </c>
      <c r="G65" s="31" t="n">
        <f aca="false">D65*F65</f>
        <v>1.1</v>
      </c>
      <c r="H65" s="20" t="s">
        <v>321</v>
      </c>
      <c r="I65" s="20" t="s">
        <v>324</v>
      </c>
    </row>
    <row r="66" customFormat="false" ht="15" hidden="false" customHeight="false" outlineLevel="0" collapsed="false">
      <c r="A66" s="35" t="n">
        <v>8</v>
      </c>
      <c r="B66" s="28" t="s">
        <v>320</v>
      </c>
      <c r="C66" s="28" t="s">
        <v>165</v>
      </c>
      <c r="D66" s="29" t="n">
        <v>1</v>
      </c>
      <c r="E66" s="28" t="s">
        <v>53</v>
      </c>
      <c r="F66" s="30" t="n">
        <f aca="false">IFERROR(INDEX('1. Insumos'!$F$5:$F$137,MATCH($C66,'1. Insumos'!$B$5:$B$137,0)),0)</f>
        <v>1.7</v>
      </c>
      <c r="G66" s="31" t="n">
        <f aca="false">D66*F66</f>
        <v>1.7</v>
      </c>
      <c r="H66" s="20" t="s">
        <v>321</v>
      </c>
      <c r="I66" s="20" t="s">
        <v>325</v>
      </c>
    </row>
    <row r="67" customFormat="false" ht="15" hidden="false" customHeight="false" outlineLevel="0" collapsed="false">
      <c r="A67" s="35" t="n">
        <v>8</v>
      </c>
      <c r="B67" s="28" t="s">
        <v>320</v>
      </c>
      <c r="C67" s="28" t="s">
        <v>124</v>
      </c>
      <c r="D67" s="29" t="n">
        <v>120</v>
      </c>
      <c r="E67" s="28" t="s">
        <v>53</v>
      </c>
      <c r="F67" s="30" t="n">
        <f aca="false">IFERROR(INDEX('1. Insumos'!$F$5:$F$137,MATCH($C67,'1. Insumos'!$B$5:$B$137,0)),0)</f>
        <v>0.025</v>
      </c>
      <c r="G67" s="31" t="n">
        <f aca="false">D67*F67</f>
        <v>3</v>
      </c>
      <c r="H67" s="20" t="s">
        <v>321</v>
      </c>
      <c r="I67" s="20" t="s">
        <v>326</v>
      </c>
    </row>
    <row r="68" customFormat="false" ht="15" hidden="false" customHeight="false" outlineLevel="0" collapsed="false">
      <c r="A68" s="35" t="n">
        <v>8</v>
      </c>
      <c r="B68" s="28" t="s">
        <v>320</v>
      </c>
      <c r="C68" s="28" t="s">
        <v>110</v>
      </c>
      <c r="D68" s="29" t="n">
        <v>60</v>
      </c>
      <c r="E68" s="28" t="s">
        <v>53</v>
      </c>
      <c r="F68" s="30" t="n">
        <f aca="false">IFERROR(INDEX('1. Insumos'!$F$5:$F$137,MATCH($C68,'1. Insumos'!$B$5:$B$137,0)),0)</f>
        <v>0.48</v>
      </c>
      <c r="G68" s="31" t="n">
        <f aca="false">D68*F68</f>
        <v>28.8</v>
      </c>
      <c r="H68" s="20" t="s">
        <v>321</v>
      </c>
      <c r="I68" s="20" t="s">
        <v>327</v>
      </c>
    </row>
    <row r="69" customFormat="false" ht="15" hidden="false" customHeight="false" outlineLevel="0" collapsed="false">
      <c r="A69" s="35" t="n">
        <v>8</v>
      </c>
      <c r="B69" s="28" t="s">
        <v>320</v>
      </c>
      <c r="C69" s="28" t="s">
        <v>75</v>
      </c>
      <c r="D69" s="29" t="n">
        <v>190</v>
      </c>
      <c r="E69" s="28" t="s">
        <v>53</v>
      </c>
      <c r="F69" s="30" t="n">
        <f aca="false">IFERROR(INDEX('1. Insumos'!$F$5:$F$137,MATCH($C69,'1. Insumos'!$B$5:$B$137,0)),0)</f>
        <v>0.19</v>
      </c>
      <c r="G69" s="31" t="n">
        <f aca="false">D69*F69</f>
        <v>36.1</v>
      </c>
      <c r="H69" s="20" t="s">
        <v>328</v>
      </c>
      <c r="I69" s="20" t="s">
        <v>329</v>
      </c>
    </row>
    <row r="70" customFormat="false" ht="15" hidden="false" customHeight="false" outlineLevel="0" collapsed="false">
      <c r="A70" s="35" t="n">
        <v>8</v>
      </c>
      <c r="B70" s="28" t="s">
        <v>320</v>
      </c>
      <c r="C70" s="28" t="s">
        <v>72</v>
      </c>
      <c r="D70" s="29" t="n">
        <v>60</v>
      </c>
      <c r="E70" s="28" t="s">
        <v>53</v>
      </c>
      <c r="F70" s="30" t="n">
        <f aca="false">IFERROR(INDEX('1. Insumos'!$F$5:$F$137,MATCH($C70,'1. Insumos'!$B$5:$B$137,0)),0)</f>
        <v>0.26</v>
      </c>
      <c r="G70" s="31" t="n">
        <f aca="false">D70*F70</f>
        <v>15.6</v>
      </c>
      <c r="H70" s="20" t="s">
        <v>328</v>
      </c>
      <c r="I70" s="20" t="s">
        <v>254</v>
      </c>
    </row>
    <row r="71" customFormat="false" ht="15" hidden="false" customHeight="false" outlineLevel="0" collapsed="false">
      <c r="A71" s="35" t="n">
        <v>8</v>
      </c>
      <c r="B71" s="28" t="s">
        <v>320</v>
      </c>
      <c r="C71" s="28" t="s">
        <v>64</v>
      </c>
      <c r="D71" s="29" t="n">
        <v>120</v>
      </c>
      <c r="E71" s="28" t="s">
        <v>53</v>
      </c>
      <c r="F71" s="30" t="n">
        <f aca="false">IFERROR(INDEX('1. Insumos'!$F$5:$F$137,MATCH($C71,'1. Insumos'!$B$5:$B$137,0)),0)</f>
        <v>0.045</v>
      </c>
      <c r="G71" s="31" t="n">
        <f aca="false">D71*F71</f>
        <v>5.4</v>
      </c>
      <c r="H71" s="20" t="s">
        <v>328</v>
      </c>
      <c r="I71" s="20" t="s">
        <v>255</v>
      </c>
    </row>
    <row r="72" customFormat="false" ht="15" hidden="false" customHeight="false" outlineLevel="0" collapsed="false">
      <c r="A72" s="35" t="n">
        <v>8</v>
      </c>
      <c r="B72" s="28" t="s">
        <v>320</v>
      </c>
      <c r="C72" s="28" t="s">
        <v>159</v>
      </c>
      <c r="D72" s="29" t="n">
        <v>5</v>
      </c>
      <c r="E72" s="28" t="s">
        <v>69</v>
      </c>
      <c r="F72" s="30" t="n">
        <f aca="false">IFERROR(INDEX('1. Insumos'!$F$5:$F$137,MATCH($C72,'1. Insumos'!$B$5:$B$137,0)),0)</f>
        <v>1.28</v>
      </c>
      <c r="G72" s="31" t="n">
        <f aca="false">D72*F72</f>
        <v>6.4</v>
      </c>
      <c r="H72" s="20" t="s">
        <v>328</v>
      </c>
      <c r="I72" s="20" t="s">
        <v>330</v>
      </c>
    </row>
    <row r="73" customFormat="false" ht="15" hidden="false" customHeight="false" outlineLevel="0" collapsed="false">
      <c r="A73" s="35" t="n">
        <v>9</v>
      </c>
      <c r="B73" s="28" t="s">
        <v>331</v>
      </c>
      <c r="C73" s="28" t="s">
        <v>143</v>
      </c>
      <c r="D73" s="29" t="n">
        <v>250</v>
      </c>
      <c r="E73" s="28" t="s">
        <v>53</v>
      </c>
      <c r="F73" s="30" t="n">
        <f aca="false">IFERROR(INDEX('1. Insumos'!$F$5:$F$137,MATCH($C73,'1. Insumos'!$B$5:$B$137,0)),0)</f>
        <v>0.18</v>
      </c>
      <c r="G73" s="31" t="n">
        <f aca="false">D73*F73</f>
        <v>45</v>
      </c>
      <c r="H73" s="20" t="s">
        <v>269</v>
      </c>
      <c r="I73" s="20" t="s">
        <v>332</v>
      </c>
    </row>
    <row r="74" customFormat="false" ht="15" hidden="false" customHeight="false" outlineLevel="0" collapsed="false">
      <c r="A74" s="35" t="n">
        <v>9</v>
      </c>
      <c r="B74" s="28" t="s">
        <v>331</v>
      </c>
      <c r="C74" s="28" t="s">
        <v>112</v>
      </c>
      <c r="D74" s="29" t="n">
        <v>120</v>
      </c>
      <c r="E74" s="28" t="s">
        <v>53</v>
      </c>
      <c r="F74" s="30" t="n">
        <f aca="false">IFERROR(INDEX('1. Insumos'!$F$5:$F$137,MATCH($C74,'1. Insumos'!$B$5:$B$137,0)),0)</f>
        <v>1.16</v>
      </c>
      <c r="G74" s="31" t="n">
        <f aca="false">D74*F74</f>
        <v>139.2</v>
      </c>
      <c r="H74" s="20" t="s">
        <v>269</v>
      </c>
      <c r="I74" s="20" t="s">
        <v>333</v>
      </c>
    </row>
    <row r="75" customFormat="false" ht="15" hidden="false" customHeight="false" outlineLevel="0" collapsed="false">
      <c r="A75" s="35" t="n">
        <v>9</v>
      </c>
      <c r="B75" s="28" t="s">
        <v>331</v>
      </c>
      <c r="C75" s="28" t="s">
        <v>143</v>
      </c>
      <c r="D75" s="29" t="n">
        <v>100</v>
      </c>
      <c r="E75" s="28" t="s">
        <v>53</v>
      </c>
      <c r="F75" s="30" t="n">
        <f aca="false">IFERROR(INDEX('1. Insumos'!$F$5:$F$137,MATCH($C75,'1. Insumos'!$B$5:$B$137,0)),0)</f>
        <v>0.18</v>
      </c>
      <c r="G75" s="31" t="n">
        <f aca="false">D75*F75</f>
        <v>18</v>
      </c>
      <c r="H75" s="20" t="s">
        <v>334</v>
      </c>
      <c r="I75" s="20" t="s">
        <v>335</v>
      </c>
    </row>
    <row r="76" customFormat="false" ht="15" hidden="false" customHeight="false" outlineLevel="0" collapsed="false">
      <c r="A76" s="35" t="n">
        <v>9</v>
      </c>
      <c r="B76" s="28" t="s">
        <v>331</v>
      </c>
      <c r="C76" s="28" t="s">
        <v>194</v>
      </c>
      <c r="D76" s="29" t="n">
        <v>3</v>
      </c>
      <c r="E76" s="28" t="s">
        <v>53</v>
      </c>
      <c r="F76" s="30" t="n">
        <f aca="false">IFERROR(INDEX('1. Insumos'!$F$5:$F$137,MATCH($C76,'1. Insumos'!$B$5:$B$137,0)),0)</f>
        <v>0.48</v>
      </c>
      <c r="G76" s="31" t="n">
        <f aca="false">D76*F76</f>
        <v>1.44</v>
      </c>
      <c r="H76" s="20" t="s">
        <v>334</v>
      </c>
      <c r="I76" s="20" t="s">
        <v>336</v>
      </c>
    </row>
    <row r="77" customFormat="false" ht="15" hidden="false" customHeight="false" outlineLevel="0" collapsed="false">
      <c r="A77" s="35" t="n">
        <v>10</v>
      </c>
      <c r="B77" s="28" t="s">
        <v>337</v>
      </c>
      <c r="C77" s="28" t="s">
        <v>123</v>
      </c>
      <c r="D77" s="29" t="n">
        <v>150</v>
      </c>
      <c r="E77" s="28" t="s">
        <v>53</v>
      </c>
      <c r="F77" s="30" t="n">
        <f aca="false">IFERROR(INDEX('1. Insumos'!$F$5:$F$137,MATCH($C77,'1. Insumos'!$B$5:$B$137,0)),0)</f>
        <v>0.03</v>
      </c>
      <c r="G77" s="31" t="n">
        <f aca="false">D77*F77</f>
        <v>4.5</v>
      </c>
      <c r="H77" s="20" t="s">
        <v>338</v>
      </c>
      <c r="I77" s="20" t="s">
        <v>339</v>
      </c>
    </row>
    <row r="78" customFormat="false" ht="15" hidden="false" customHeight="false" outlineLevel="0" collapsed="false">
      <c r="A78" s="35" t="n">
        <v>10</v>
      </c>
      <c r="B78" s="28" t="s">
        <v>337</v>
      </c>
      <c r="C78" s="28" t="s">
        <v>72</v>
      </c>
      <c r="D78" s="29" t="n">
        <v>60</v>
      </c>
      <c r="E78" s="28" t="s">
        <v>53</v>
      </c>
      <c r="F78" s="30" t="n">
        <f aca="false">IFERROR(INDEX('1. Insumos'!$F$5:$F$137,MATCH($C78,'1. Insumos'!$B$5:$B$137,0)),0)</f>
        <v>0.26</v>
      </c>
      <c r="G78" s="31" t="n">
        <f aca="false">D78*F78</f>
        <v>15.6</v>
      </c>
      <c r="H78" s="20" t="s">
        <v>338</v>
      </c>
      <c r="I78" s="20" t="s">
        <v>254</v>
      </c>
    </row>
    <row r="79" customFormat="false" ht="15" hidden="false" customHeight="false" outlineLevel="0" collapsed="false">
      <c r="A79" s="35" t="n">
        <v>10</v>
      </c>
      <c r="B79" s="28" t="s">
        <v>337</v>
      </c>
      <c r="C79" s="28" t="s">
        <v>65</v>
      </c>
      <c r="D79" s="29" t="n">
        <v>120</v>
      </c>
      <c r="E79" s="28" t="s">
        <v>53</v>
      </c>
      <c r="F79" s="30" t="n">
        <f aca="false">IFERROR(INDEX('1. Insumos'!$F$5:$F$137,MATCH($C79,'1. Insumos'!$B$5:$B$137,0)),0)</f>
        <v>0.052</v>
      </c>
      <c r="G79" s="31" t="n">
        <f aca="false">D79*F79</f>
        <v>6.24</v>
      </c>
      <c r="H79" s="20" t="s">
        <v>338</v>
      </c>
      <c r="I79" s="20" t="s">
        <v>340</v>
      </c>
    </row>
    <row r="80" customFormat="false" ht="15" hidden="false" customHeight="false" outlineLevel="0" collapsed="false">
      <c r="A80" s="35" t="n">
        <v>10</v>
      </c>
      <c r="B80" s="28" t="s">
        <v>337</v>
      </c>
      <c r="C80" s="28" t="s">
        <v>162</v>
      </c>
      <c r="D80" s="29" t="n">
        <v>5</v>
      </c>
      <c r="E80" s="28" t="s">
        <v>53</v>
      </c>
      <c r="F80" s="30" t="n">
        <f aca="false">IFERROR(INDEX('1. Insumos'!$F$5:$F$137,MATCH($C80,'1. Insumos'!$B$5:$B$137,0)),0)</f>
        <v>0.72</v>
      </c>
      <c r="G80" s="31" t="n">
        <f aca="false">D80*F80</f>
        <v>3.6</v>
      </c>
      <c r="H80" s="20" t="s">
        <v>338</v>
      </c>
      <c r="I80" s="20" t="s">
        <v>282</v>
      </c>
    </row>
    <row r="81" customFormat="false" ht="15" hidden="false" customHeight="false" outlineLevel="0" collapsed="false">
      <c r="A81" s="35" t="n">
        <v>10</v>
      </c>
      <c r="B81" s="28" t="s">
        <v>337</v>
      </c>
      <c r="C81" s="28" t="s">
        <v>111</v>
      </c>
      <c r="D81" s="29" t="n">
        <v>100</v>
      </c>
      <c r="E81" s="28" t="s">
        <v>53</v>
      </c>
      <c r="F81" s="30" t="n">
        <f aca="false">IFERROR(INDEX('1. Insumos'!$F$5:$F$137,MATCH($C81,'1. Insumos'!$B$5:$B$137,0)),0)</f>
        <v>0.42</v>
      </c>
      <c r="G81" s="31" t="n">
        <f aca="false">D81*F81</f>
        <v>42</v>
      </c>
      <c r="H81" s="20" t="s">
        <v>338</v>
      </c>
      <c r="I81" s="20" t="s">
        <v>341</v>
      </c>
    </row>
    <row r="82" customFormat="false" ht="15" hidden="false" customHeight="false" outlineLevel="0" collapsed="false">
      <c r="A82" s="35" t="n">
        <v>10</v>
      </c>
      <c r="B82" s="28" t="s">
        <v>337</v>
      </c>
      <c r="C82" s="28" t="s">
        <v>65</v>
      </c>
      <c r="D82" s="29" t="n">
        <v>100</v>
      </c>
      <c r="E82" s="28" t="s">
        <v>53</v>
      </c>
      <c r="F82" s="30" t="n">
        <f aca="false">IFERROR(INDEX('1. Insumos'!$F$5:$F$137,MATCH($C82,'1. Insumos'!$B$5:$B$137,0)),0)</f>
        <v>0.052</v>
      </c>
      <c r="G82" s="31" t="n">
        <f aca="false">D82*F82</f>
        <v>5.2</v>
      </c>
      <c r="H82" s="20" t="s">
        <v>342</v>
      </c>
      <c r="I82" s="20" t="s">
        <v>343</v>
      </c>
    </row>
    <row r="83" customFormat="false" ht="15" hidden="false" customHeight="false" outlineLevel="0" collapsed="false">
      <c r="A83" s="35" t="n">
        <v>10</v>
      </c>
      <c r="B83" s="28" t="s">
        <v>337</v>
      </c>
      <c r="C83" s="28" t="s">
        <v>72</v>
      </c>
      <c r="D83" s="29" t="n">
        <v>50</v>
      </c>
      <c r="E83" s="28" t="s">
        <v>53</v>
      </c>
      <c r="F83" s="30" t="n">
        <f aca="false">IFERROR(INDEX('1. Insumos'!$F$5:$F$137,MATCH($C83,'1. Insumos'!$B$5:$B$137,0)),0)</f>
        <v>0.26</v>
      </c>
      <c r="G83" s="31" t="n">
        <f aca="false">D83*F83</f>
        <v>13</v>
      </c>
      <c r="H83" s="20" t="s">
        <v>342</v>
      </c>
      <c r="I83" s="20" t="s">
        <v>344</v>
      </c>
    </row>
    <row r="84" customFormat="false" ht="15" hidden="false" customHeight="false" outlineLevel="0" collapsed="false">
      <c r="A84" s="35" t="n">
        <v>10</v>
      </c>
      <c r="B84" s="28" t="s">
        <v>337</v>
      </c>
      <c r="C84" s="28" t="s">
        <v>74</v>
      </c>
      <c r="D84" s="29" t="n">
        <v>60</v>
      </c>
      <c r="E84" s="28" t="s">
        <v>69</v>
      </c>
      <c r="F84" s="30" t="n">
        <f aca="false">IFERROR(INDEX('1. Insumos'!$F$5:$F$137,MATCH($C84,'1. Insumos'!$B$5:$B$137,0)),0)</f>
        <v>0.13</v>
      </c>
      <c r="G84" s="31" t="n">
        <f aca="false">D84*F84</f>
        <v>7.8</v>
      </c>
      <c r="H84" s="20" t="s">
        <v>342</v>
      </c>
      <c r="I84" s="20" t="s">
        <v>345</v>
      </c>
    </row>
    <row r="85" customFormat="false" ht="15" hidden="false" customHeight="false" outlineLevel="0" collapsed="false">
      <c r="A85" s="35" t="n">
        <v>11</v>
      </c>
      <c r="B85" s="28" t="s">
        <v>346</v>
      </c>
      <c r="C85" s="28" t="s">
        <v>105</v>
      </c>
      <c r="D85" s="29" t="n">
        <v>180</v>
      </c>
      <c r="E85" s="28" t="s">
        <v>53</v>
      </c>
      <c r="F85" s="30" t="n">
        <f aca="false">IFERROR(INDEX('1. Insumos'!$F$5:$F$137,MATCH($C85,'1. Insumos'!$B$5:$B$137,0)),0)</f>
        <v>0.29</v>
      </c>
      <c r="G85" s="31" t="n">
        <f aca="false">D85*F85</f>
        <v>52.2</v>
      </c>
      <c r="H85" s="20" t="s">
        <v>347</v>
      </c>
      <c r="I85" s="20" t="s">
        <v>348</v>
      </c>
    </row>
    <row r="86" customFormat="false" ht="15" hidden="false" customHeight="false" outlineLevel="0" collapsed="false">
      <c r="A86" s="35" t="n">
        <v>11</v>
      </c>
      <c r="B86" s="28" t="s">
        <v>346</v>
      </c>
      <c r="C86" s="28" t="s">
        <v>72</v>
      </c>
      <c r="D86" s="29" t="n">
        <v>80</v>
      </c>
      <c r="E86" s="28" t="s">
        <v>53</v>
      </c>
      <c r="F86" s="30" t="n">
        <f aca="false">IFERROR(INDEX('1. Insumos'!$F$5:$F$137,MATCH($C86,'1. Insumos'!$B$5:$B$137,0)),0)</f>
        <v>0.26</v>
      </c>
      <c r="G86" s="31" t="n">
        <f aca="false">D86*F86</f>
        <v>20.8</v>
      </c>
      <c r="H86" s="20" t="s">
        <v>349</v>
      </c>
      <c r="I86" s="20" t="s">
        <v>350</v>
      </c>
    </row>
    <row r="87" customFormat="false" ht="15" hidden="false" customHeight="false" outlineLevel="0" collapsed="false">
      <c r="A87" s="35" t="n">
        <v>11</v>
      </c>
      <c r="B87" s="28" t="s">
        <v>346</v>
      </c>
      <c r="C87" s="28" t="s">
        <v>65</v>
      </c>
      <c r="D87" s="29" t="n">
        <v>100</v>
      </c>
      <c r="E87" s="28" t="s">
        <v>53</v>
      </c>
      <c r="F87" s="30" t="n">
        <f aca="false">IFERROR(INDEX('1. Insumos'!$F$5:$F$137,MATCH($C87,'1. Insumos'!$B$5:$B$137,0)),0)</f>
        <v>0.052</v>
      </c>
      <c r="G87" s="31" t="n">
        <f aca="false">D87*F87</f>
        <v>5.2</v>
      </c>
      <c r="H87" s="20" t="s">
        <v>349</v>
      </c>
      <c r="I87" s="20" t="s">
        <v>343</v>
      </c>
    </row>
    <row r="88" customFormat="false" ht="15" hidden="false" customHeight="false" outlineLevel="0" collapsed="false">
      <c r="A88" s="35" t="n">
        <v>11</v>
      </c>
      <c r="B88" s="28" t="s">
        <v>346</v>
      </c>
      <c r="C88" s="28" t="s">
        <v>103</v>
      </c>
      <c r="D88" s="29" t="n">
        <v>30</v>
      </c>
      <c r="E88" s="28" t="s">
        <v>53</v>
      </c>
      <c r="F88" s="30" t="n">
        <f aca="false">IFERROR(INDEX('1. Insumos'!$F$5:$F$137,MATCH($C88,'1. Insumos'!$B$5:$B$137,0)),0)</f>
        <v>0.26</v>
      </c>
      <c r="G88" s="31" t="n">
        <f aca="false">D88*F88</f>
        <v>7.8</v>
      </c>
      <c r="H88" s="20" t="s">
        <v>349</v>
      </c>
      <c r="I88" s="20" t="s">
        <v>351</v>
      </c>
    </row>
    <row r="89" customFormat="false" ht="15" hidden="false" customHeight="false" outlineLevel="0" collapsed="false">
      <c r="A89" s="35" t="n">
        <v>11</v>
      </c>
      <c r="B89" s="28" t="s">
        <v>346</v>
      </c>
      <c r="C89" s="28" t="s">
        <v>115</v>
      </c>
      <c r="D89" s="29" t="n">
        <v>50</v>
      </c>
      <c r="E89" s="28" t="s">
        <v>53</v>
      </c>
      <c r="F89" s="30" t="n">
        <f aca="false">IFERROR(INDEX('1. Insumos'!$F$5:$F$137,MATCH($C89,'1. Insumos'!$B$5:$B$137,0)),0)</f>
        <v>0.68</v>
      </c>
      <c r="G89" s="31" t="n">
        <f aca="false">D89*F89</f>
        <v>34</v>
      </c>
      <c r="H89" s="20" t="s">
        <v>349</v>
      </c>
      <c r="I89" s="20" t="s">
        <v>352</v>
      </c>
    </row>
    <row r="90" customFormat="false" ht="15" hidden="false" customHeight="false" outlineLevel="0" collapsed="false">
      <c r="A90" s="35" t="n">
        <v>12</v>
      </c>
      <c r="B90" s="28" t="s">
        <v>353</v>
      </c>
      <c r="C90" s="28" t="s">
        <v>106</v>
      </c>
      <c r="D90" s="29" t="n">
        <v>180</v>
      </c>
      <c r="E90" s="28" t="s">
        <v>53</v>
      </c>
      <c r="F90" s="30" t="n">
        <f aca="false">IFERROR(INDEX('1. Insumos'!$F$5:$F$137,MATCH($C90,'1. Insumos'!$B$5:$B$137,0)),0)</f>
        <v>0.84</v>
      </c>
      <c r="G90" s="31" t="n">
        <f aca="false">D90*F90</f>
        <v>151.2</v>
      </c>
      <c r="H90" s="20" t="s">
        <v>347</v>
      </c>
      <c r="I90" s="20" t="s">
        <v>354</v>
      </c>
    </row>
    <row r="91" customFormat="false" ht="15" hidden="false" customHeight="false" outlineLevel="0" collapsed="false">
      <c r="A91" s="35" t="n">
        <v>12</v>
      </c>
      <c r="B91" s="28" t="s">
        <v>353</v>
      </c>
      <c r="C91" s="28" t="s">
        <v>72</v>
      </c>
      <c r="D91" s="29" t="n">
        <v>80</v>
      </c>
      <c r="E91" s="28" t="s">
        <v>53</v>
      </c>
      <c r="F91" s="30" t="n">
        <f aca="false">IFERROR(INDEX('1. Insumos'!$F$5:$F$137,MATCH($C91,'1. Insumos'!$B$5:$B$137,0)),0)</f>
        <v>0.26</v>
      </c>
      <c r="G91" s="31" t="n">
        <f aca="false">D91*F91</f>
        <v>20.8</v>
      </c>
      <c r="H91" s="20" t="s">
        <v>349</v>
      </c>
      <c r="I91" s="20" t="s">
        <v>350</v>
      </c>
    </row>
    <row r="92" customFormat="false" ht="15" hidden="false" customHeight="false" outlineLevel="0" collapsed="false">
      <c r="A92" s="35" t="n">
        <v>12</v>
      </c>
      <c r="B92" s="28" t="s">
        <v>353</v>
      </c>
      <c r="C92" s="28" t="s">
        <v>63</v>
      </c>
      <c r="D92" s="29" t="n">
        <v>100</v>
      </c>
      <c r="E92" s="28" t="s">
        <v>53</v>
      </c>
      <c r="F92" s="30" t="n">
        <f aca="false">IFERROR(INDEX('1. Insumos'!$F$5:$F$137,MATCH($C92,'1. Insumos'!$B$5:$B$137,0)),0)</f>
        <v>0.032</v>
      </c>
      <c r="G92" s="31" t="n">
        <f aca="false">D92*F92</f>
        <v>3.2</v>
      </c>
      <c r="H92" s="20" t="s">
        <v>349</v>
      </c>
      <c r="I92" s="20" t="s">
        <v>355</v>
      </c>
    </row>
    <row r="93" customFormat="false" ht="15" hidden="false" customHeight="false" outlineLevel="0" collapsed="false">
      <c r="A93" s="35" t="n">
        <v>12</v>
      </c>
      <c r="B93" s="28" t="s">
        <v>353</v>
      </c>
      <c r="C93" s="28" t="s">
        <v>116</v>
      </c>
      <c r="D93" s="29" t="n">
        <v>80</v>
      </c>
      <c r="E93" s="28" t="s">
        <v>53</v>
      </c>
      <c r="F93" s="30" t="n">
        <f aca="false">IFERROR(INDEX('1. Insumos'!$F$5:$F$137,MATCH($C93,'1. Insumos'!$B$5:$B$137,0)),0)</f>
        <v>1.2</v>
      </c>
      <c r="G93" s="31" t="n">
        <f aca="false">D93*F93</f>
        <v>96</v>
      </c>
      <c r="H93" s="20" t="s">
        <v>349</v>
      </c>
      <c r="I93" s="20" t="s">
        <v>356</v>
      </c>
    </row>
    <row r="94" customFormat="false" ht="15" hidden="false" customHeight="false" outlineLevel="0" collapsed="false">
      <c r="A94" s="35" t="n">
        <v>12</v>
      </c>
      <c r="B94" s="28" t="s">
        <v>353</v>
      </c>
      <c r="C94" s="28" t="s">
        <v>98</v>
      </c>
      <c r="D94" s="29" t="n">
        <v>80</v>
      </c>
      <c r="E94" s="28" t="s">
        <v>53</v>
      </c>
      <c r="F94" s="30" t="n">
        <f aca="false">IFERROR(INDEX('1. Insumos'!$F$5:$F$137,MATCH($C94,'1. Insumos'!$B$5:$B$137,0)),0)</f>
        <v>0.32</v>
      </c>
      <c r="G94" s="31" t="n">
        <f aca="false">D94*F94</f>
        <v>25.6</v>
      </c>
      <c r="H94" s="20" t="s">
        <v>349</v>
      </c>
      <c r="I94" s="20" t="s">
        <v>357</v>
      </c>
    </row>
    <row r="95" customFormat="false" ht="15" hidden="false" customHeight="false" outlineLevel="0" collapsed="false">
      <c r="A95" s="35" t="n">
        <v>13</v>
      </c>
      <c r="B95" s="28" t="s">
        <v>358</v>
      </c>
      <c r="C95" s="28" t="s">
        <v>107</v>
      </c>
      <c r="D95" s="29" t="n">
        <v>180</v>
      </c>
      <c r="E95" s="28" t="s">
        <v>53</v>
      </c>
      <c r="F95" s="30" t="n">
        <f aca="false">IFERROR(INDEX('1. Insumos'!$F$5:$F$137,MATCH($C95,'1. Insumos'!$B$5:$B$137,0)),0)</f>
        <v>0.35</v>
      </c>
      <c r="G95" s="31" t="n">
        <f aca="false">D95*F95</f>
        <v>63</v>
      </c>
      <c r="H95" s="20" t="s">
        <v>347</v>
      </c>
      <c r="I95" s="20" t="s">
        <v>359</v>
      </c>
    </row>
    <row r="96" customFormat="false" ht="15" hidden="false" customHeight="false" outlineLevel="0" collapsed="false">
      <c r="A96" s="35" t="n">
        <v>13</v>
      </c>
      <c r="B96" s="28" t="s">
        <v>358</v>
      </c>
      <c r="C96" s="28" t="s">
        <v>72</v>
      </c>
      <c r="D96" s="29" t="n">
        <v>80</v>
      </c>
      <c r="E96" s="28" t="s">
        <v>53</v>
      </c>
      <c r="F96" s="30" t="n">
        <f aca="false">IFERROR(INDEX('1. Insumos'!$F$5:$F$137,MATCH($C96,'1. Insumos'!$B$5:$B$137,0)),0)</f>
        <v>0.26</v>
      </c>
      <c r="G96" s="31" t="n">
        <f aca="false">D96*F96</f>
        <v>20.8</v>
      </c>
      <c r="H96" s="20" t="s">
        <v>349</v>
      </c>
      <c r="I96" s="20" t="s">
        <v>350</v>
      </c>
    </row>
    <row r="97" customFormat="false" ht="15" hidden="false" customHeight="false" outlineLevel="0" collapsed="false">
      <c r="A97" s="35" t="n">
        <v>13</v>
      </c>
      <c r="B97" s="28" t="s">
        <v>358</v>
      </c>
      <c r="C97" s="28" t="s">
        <v>65</v>
      </c>
      <c r="D97" s="29" t="n">
        <v>100</v>
      </c>
      <c r="E97" s="28" t="s">
        <v>53</v>
      </c>
      <c r="F97" s="30" t="n">
        <f aca="false">IFERROR(INDEX('1. Insumos'!$F$5:$F$137,MATCH($C97,'1. Insumos'!$B$5:$B$137,0)),0)</f>
        <v>0.052</v>
      </c>
      <c r="G97" s="31" t="n">
        <f aca="false">D97*F97</f>
        <v>5.2</v>
      </c>
      <c r="H97" s="20" t="s">
        <v>349</v>
      </c>
      <c r="I97" s="20" t="s">
        <v>343</v>
      </c>
    </row>
    <row r="98" customFormat="false" ht="15" hidden="false" customHeight="false" outlineLevel="0" collapsed="false">
      <c r="A98" s="35" t="n">
        <v>13</v>
      </c>
      <c r="B98" s="28" t="s">
        <v>358</v>
      </c>
      <c r="C98" s="28" t="s">
        <v>162</v>
      </c>
      <c r="D98" s="29" t="n">
        <v>5</v>
      </c>
      <c r="E98" s="28" t="s">
        <v>53</v>
      </c>
      <c r="F98" s="30" t="n">
        <f aca="false">IFERROR(INDEX('1. Insumos'!$F$5:$F$137,MATCH($C98,'1. Insumos'!$B$5:$B$137,0)),0)</f>
        <v>0.72</v>
      </c>
      <c r="G98" s="31" t="n">
        <f aca="false">D98*F98</f>
        <v>3.6</v>
      </c>
      <c r="H98" s="20" t="s">
        <v>349</v>
      </c>
      <c r="I98" s="20" t="s">
        <v>282</v>
      </c>
    </row>
    <row r="99" customFormat="false" ht="15" hidden="false" customHeight="false" outlineLevel="0" collapsed="false">
      <c r="A99" s="35" t="n">
        <v>13</v>
      </c>
      <c r="B99" s="28" t="s">
        <v>358</v>
      </c>
      <c r="C99" s="28" t="s">
        <v>60</v>
      </c>
      <c r="D99" s="29" t="n">
        <v>100</v>
      </c>
      <c r="E99" s="28" t="s">
        <v>53</v>
      </c>
      <c r="F99" s="30" t="n">
        <f aca="false">IFERROR(INDEX('1. Insumos'!$F$5:$F$137,MATCH($C99,'1. Insumos'!$B$5:$B$137,0)),0)</f>
        <v>0.38</v>
      </c>
      <c r="G99" s="31" t="n">
        <f aca="false">D99*F99</f>
        <v>38</v>
      </c>
      <c r="H99" s="20" t="s">
        <v>349</v>
      </c>
      <c r="I99" s="20" t="s">
        <v>360</v>
      </c>
    </row>
    <row r="100" customFormat="false" ht="15" hidden="false" customHeight="false" outlineLevel="0" collapsed="false">
      <c r="A100" s="35" t="n">
        <v>14</v>
      </c>
      <c r="B100" s="28" t="s">
        <v>361</v>
      </c>
      <c r="C100" s="28" t="s">
        <v>88</v>
      </c>
      <c r="D100" s="29" t="n">
        <v>180</v>
      </c>
      <c r="E100" s="28" t="s">
        <v>53</v>
      </c>
      <c r="F100" s="30" t="n">
        <f aca="false">IFERROR(INDEX('1. Insumos'!$F$5:$F$137,MATCH($C100,'1. Insumos'!$B$5:$B$137,0)),0)</f>
        <v>0.64</v>
      </c>
      <c r="G100" s="31" t="n">
        <f aca="false">D100*F100</f>
        <v>115.2</v>
      </c>
      <c r="H100" s="20" t="s">
        <v>347</v>
      </c>
      <c r="I100" s="20" t="s">
        <v>362</v>
      </c>
    </row>
    <row r="101" customFormat="false" ht="15" hidden="false" customHeight="false" outlineLevel="0" collapsed="false">
      <c r="A101" s="35" t="n">
        <v>14</v>
      </c>
      <c r="B101" s="28" t="s">
        <v>361</v>
      </c>
      <c r="C101" s="28" t="s">
        <v>145</v>
      </c>
      <c r="D101" s="29" t="n">
        <v>120</v>
      </c>
      <c r="E101" s="28" t="s">
        <v>53</v>
      </c>
      <c r="F101" s="30" t="n">
        <f aca="false">IFERROR(INDEX('1. Insumos'!$F$5:$F$137,MATCH($C101,'1. Insumos'!$B$5:$B$137,0)),0)</f>
        <v>0.4</v>
      </c>
      <c r="G101" s="31" t="n">
        <f aca="false">D101*F101</f>
        <v>48</v>
      </c>
      <c r="H101" s="20" t="s">
        <v>347</v>
      </c>
      <c r="I101" s="20" t="s">
        <v>363</v>
      </c>
    </row>
    <row r="102" customFormat="false" ht="15" hidden="false" customHeight="false" outlineLevel="0" collapsed="false">
      <c r="A102" s="35" t="n">
        <v>14</v>
      </c>
      <c r="B102" s="28" t="s">
        <v>361</v>
      </c>
      <c r="C102" s="28" t="s">
        <v>72</v>
      </c>
      <c r="D102" s="29" t="n">
        <v>60</v>
      </c>
      <c r="E102" s="28" t="s">
        <v>53</v>
      </c>
      <c r="F102" s="30" t="n">
        <f aca="false">IFERROR(INDEX('1. Insumos'!$F$5:$F$137,MATCH($C102,'1. Insumos'!$B$5:$B$137,0)),0)</f>
        <v>0.26</v>
      </c>
      <c r="G102" s="31" t="n">
        <f aca="false">D102*F102</f>
        <v>15.6</v>
      </c>
      <c r="H102" s="20" t="s">
        <v>349</v>
      </c>
      <c r="I102" s="20" t="s">
        <v>254</v>
      </c>
    </row>
    <row r="103" customFormat="false" ht="15" hidden="false" customHeight="false" outlineLevel="0" collapsed="false">
      <c r="A103" s="35" t="n">
        <v>14</v>
      </c>
      <c r="B103" s="28" t="s">
        <v>361</v>
      </c>
      <c r="C103" s="28" t="s">
        <v>65</v>
      </c>
      <c r="D103" s="29" t="n">
        <v>80</v>
      </c>
      <c r="E103" s="28" t="s">
        <v>53</v>
      </c>
      <c r="F103" s="30" t="n">
        <f aca="false">IFERROR(INDEX('1. Insumos'!$F$5:$F$137,MATCH($C103,'1. Insumos'!$B$5:$B$137,0)),0)</f>
        <v>0.052</v>
      </c>
      <c r="G103" s="31" t="n">
        <f aca="false">D103*F103</f>
        <v>4.16</v>
      </c>
      <c r="H103" s="20" t="s">
        <v>349</v>
      </c>
      <c r="I103" s="20" t="s">
        <v>364</v>
      </c>
    </row>
    <row r="104" customFormat="false" ht="15" hidden="false" customHeight="false" outlineLevel="0" collapsed="false">
      <c r="A104" s="35" t="n">
        <v>14</v>
      </c>
      <c r="B104" s="28" t="s">
        <v>361</v>
      </c>
      <c r="C104" s="28" t="s">
        <v>111</v>
      </c>
      <c r="D104" s="29" t="n">
        <v>60</v>
      </c>
      <c r="E104" s="28" t="s">
        <v>53</v>
      </c>
      <c r="F104" s="30" t="n">
        <f aca="false">IFERROR(INDEX('1. Insumos'!$F$5:$F$137,MATCH($C104,'1. Insumos'!$B$5:$B$137,0)),0)</f>
        <v>0.42</v>
      </c>
      <c r="G104" s="31" t="n">
        <f aca="false">D104*F104</f>
        <v>25.2</v>
      </c>
      <c r="H104" s="20" t="s">
        <v>349</v>
      </c>
      <c r="I104" s="20" t="s">
        <v>365</v>
      </c>
    </row>
    <row r="105" customFormat="false" ht="15" hidden="false" customHeight="false" outlineLevel="0" collapsed="false">
      <c r="A105" s="35" t="n">
        <v>15</v>
      </c>
      <c r="B105" s="28" t="s">
        <v>366</v>
      </c>
      <c r="C105" s="28" t="s">
        <v>97</v>
      </c>
      <c r="D105" s="29" t="n">
        <v>150</v>
      </c>
      <c r="E105" s="28" t="s">
        <v>53</v>
      </c>
      <c r="F105" s="30" t="n">
        <f aca="false">IFERROR(INDEX('1. Insumos'!$F$5:$F$137,MATCH($C105,'1. Insumos'!$B$5:$B$137,0)),0)</f>
        <v>0.34</v>
      </c>
      <c r="G105" s="31" t="n">
        <f aca="false">D105*F105</f>
        <v>51</v>
      </c>
      <c r="H105" s="20" t="s">
        <v>367</v>
      </c>
      <c r="I105" s="20" t="s">
        <v>368</v>
      </c>
    </row>
    <row r="106" customFormat="false" ht="15" hidden="false" customHeight="false" outlineLevel="0" collapsed="false">
      <c r="A106" s="35" t="n">
        <v>15</v>
      </c>
      <c r="B106" s="28" t="s">
        <v>366</v>
      </c>
      <c r="C106" s="28" t="s">
        <v>74</v>
      </c>
      <c r="D106" s="29" t="n">
        <v>60</v>
      </c>
      <c r="E106" s="28" t="s">
        <v>69</v>
      </c>
      <c r="F106" s="30" t="n">
        <f aca="false">IFERROR(INDEX('1. Insumos'!$F$5:$F$137,MATCH($C106,'1. Insumos'!$B$5:$B$137,0)),0)</f>
        <v>0.13</v>
      </c>
      <c r="G106" s="31" t="n">
        <f aca="false">D106*F106</f>
        <v>7.8</v>
      </c>
      <c r="H106" s="20" t="s">
        <v>367</v>
      </c>
      <c r="I106" s="20" t="s">
        <v>369</v>
      </c>
    </row>
    <row r="107" customFormat="false" ht="15" hidden="false" customHeight="false" outlineLevel="0" collapsed="false">
      <c r="A107" s="35" t="n">
        <v>15</v>
      </c>
      <c r="B107" s="28" t="s">
        <v>366</v>
      </c>
      <c r="C107" s="28" t="s">
        <v>72</v>
      </c>
      <c r="D107" s="29" t="n">
        <v>10</v>
      </c>
      <c r="E107" s="28" t="s">
        <v>53</v>
      </c>
      <c r="F107" s="30" t="n">
        <f aca="false">IFERROR(INDEX('1. Insumos'!$F$5:$F$137,MATCH($C107,'1. Insumos'!$B$5:$B$137,0)),0)</f>
        <v>0.26</v>
      </c>
      <c r="G107" s="31" t="n">
        <f aca="false">D107*F107</f>
        <v>2.6</v>
      </c>
      <c r="H107" s="20" t="s">
        <v>367</v>
      </c>
      <c r="I107" s="20" t="s">
        <v>370</v>
      </c>
    </row>
    <row r="108" customFormat="false" ht="15" hidden="false" customHeight="false" outlineLevel="0" collapsed="false">
      <c r="A108" s="35" t="n">
        <v>15</v>
      </c>
      <c r="B108" s="28" t="s">
        <v>366</v>
      </c>
      <c r="C108" s="28" t="s">
        <v>72</v>
      </c>
      <c r="D108" s="29" t="n">
        <v>80</v>
      </c>
      <c r="E108" s="28" t="s">
        <v>53</v>
      </c>
      <c r="F108" s="30" t="n">
        <f aca="false">IFERROR(INDEX('1. Insumos'!$F$5:$F$137,MATCH($C108,'1. Insumos'!$B$5:$B$137,0)),0)</f>
        <v>0.26</v>
      </c>
      <c r="G108" s="31" t="n">
        <f aca="false">D108*F108</f>
        <v>20.8</v>
      </c>
      <c r="H108" s="20" t="s">
        <v>371</v>
      </c>
      <c r="I108" s="20" t="s">
        <v>350</v>
      </c>
    </row>
    <row r="109" customFormat="false" ht="15" hidden="false" customHeight="false" outlineLevel="0" collapsed="false">
      <c r="A109" s="35" t="n">
        <v>15</v>
      </c>
      <c r="B109" s="28" t="s">
        <v>366</v>
      </c>
      <c r="C109" s="28" t="s">
        <v>63</v>
      </c>
      <c r="D109" s="29" t="n">
        <v>120</v>
      </c>
      <c r="E109" s="28" t="s">
        <v>53</v>
      </c>
      <c r="F109" s="30" t="n">
        <f aca="false">IFERROR(INDEX('1. Insumos'!$F$5:$F$137,MATCH($C109,'1. Insumos'!$B$5:$B$137,0)),0)</f>
        <v>0.032</v>
      </c>
      <c r="G109" s="31" t="n">
        <f aca="false">D109*F109</f>
        <v>3.84</v>
      </c>
      <c r="H109" s="20" t="s">
        <v>371</v>
      </c>
      <c r="I109" s="20" t="s">
        <v>261</v>
      </c>
    </row>
    <row r="110" customFormat="false" ht="15" hidden="false" customHeight="false" outlineLevel="0" collapsed="false">
      <c r="A110" s="35" t="n">
        <v>15</v>
      </c>
      <c r="B110" s="28" t="s">
        <v>366</v>
      </c>
      <c r="C110" s="28" t="s">
        <v>172</v>
      </c>
      <c r="D110" s="29" t="n">
        <v>15</v>
      </c>
      <c r="E110" s="28" t="s">
        <v>53</v>
      </c>
      <c r="F110" s="30" t="n">
        <f aca="false">IFERROR(INDEX('1. Insumos'!$F$5:$F$137,MATCH($C110,'1. Insumos'!$B$5:$B$137,0)),0)</f>
        <v>3.2</v>
      </c>
      <c r="G110" s="31" t="n">
        <f aca="false">D110*F110</f>
        <v>48</v>
      </c>
      <c r="H110" s="20" t="s">
        <v>371</v>
      </c>
      <c r="I110" s="20" t="s">
        <v>372</v>
      </c>
    </row>
    <row r="111" customFormat="false" ht="15" hidden="false" customHeight="false" outlineLevel="0" collapsed="false">
      <c r="A111" s="35" t="n">
        <v>16</v>
      </c>
      <c r="B111" s="28" t="s">
        <v>373</v>
      </c>
      <c r="C111" s="28" t="s">
        <v>99</v>
      </c>
      <c r="D111" s="29" t="n">
        <v>180</v>
      </c>
      <c r="E111" s="28" t="s">
        <v>53</v>
      </c>
      <c r="F111" s="30" t="n">
        <f aca="false">IFERROR(INDEX('1. Insumos'!$F$5:$F$137,MATCH($C111,'1. Insumos'!$B$5:$B$137,0)),0)</f>
        <v>0.69</v>
      </c>
      <c r="G111" s="31" t="n">
        <f aca="false">D111*F111</f>
        <v>124.2</v>
      </c>
      <c r="H111" s="20" t="s">
        <v>374</v>
      </c>
      <c r="I111" s="20" t="s">
        <v>375</v>
      </c>
    </row>
    <row r="112" customFormat="false" ht="15" hidden="false" customHeight="false" outlineLevel="0" collapsed="false">
      <c r="A112" s="35" t="n">
        <v>16</v>
      </c>
      <c r="B112" s="28" t="s">
        <v>373</v>
      </c>
      <c r="C112" s="28" t="s">
        <v>74</v>
      </c>
      <c r="D112" s="29" t="n">
        <v>60</v>
      </c>
      <c r="E112" s="28" t="s">
        <v>69</v>
      </c>
      <c r="F112" s="30" t="n">
        <f aca="false">IFERROR(INDEX('1. Insumos'!$F$5:$F$137,MATCH($C112,'1. Insumos'!$B$5:$B$137,0)),0)</f>
        <v>0.13</v>
      </c>
      <c r="G112" s="31" t="n">
        <f aca="false">D112*F112</f>
        <v>7.8</v>
      </c>
      <c r="H112" s="20" t="s">
        <v>374</v>
      </c>
      <c r="I112" s="20" t="s">
        <v>369</v>
      </c>
    </row>
    <row r="113" customFormat="false" ht="15" hidden="false" customHeight="false" outlineLevel="0" collapsed="false">
      <c r="A113" s="35" t="n">
        <v>16</v>
      </c>
      <c r="B113" s="28" t="s">
        <v>373</v>
      </c>
      <c r="C113" s="28" t="s">
        <v>104</v>
      </c>
      <c r="D113" s="29" t="n">
        <v>10</v>
      </c>
      <c r="E113" s="28" t="s">
        <v>53</v>
      </c>
      <c r="F113" s="30" t="n">
        <f aca="false">IFERROR(INDEX('1. Insumos'!$F$5:$F$137,MATCH($C113,'1. Insumos'!$B$5:$B$137,0)),0)</f>
        <v>0.64</v>
      </c>
      <c r="G113" s="31" t="n">
        <f aca="false">D113*F113</f>
        <v>6.4</v>
      </c>
      <c r="H113" s="20" t="s">
        <v>374</v>
      </c>
      <c r="I113" s="20" t="s">
        <v>376</v>
      </c>
    </row>
    <row r="114" customFormat="false" ht="15" hidden="false" customHeight="false" outlineLevel="0" collapsed="false">
      <c r="A114" s="35" t="n">
        <v>16</v>
      </c>
      <c r="B114" s="28" t="s">
        <v>373</v>
      </c>
      <c r="C114" s="28" t="s">
        <v>72</v>
      </c>
      <c r="D114" s="29" t="n">
        <v>60</v>
      </c>
      <c r="E114" s="28" t="s">
        <v>53</v>
      </c>
      <c r="F114" s="30" t="n">
        <f aca="false">IFERROR(INDEX('1. Insumos'!$F$5:$F$137,MATCH($C114,'1. Insumos'!$B$5:$B$137,0)),0)</f>
        <v>0.26</v>
      </c>
      <c r="G114" s="31" t="n">
        <f aca="false">D114*F114</f>
        <v>15.6</v>
      </c>
      <c r="H114" s="20" t="s">
        <v>349</v>
      </c>
      <c r="I114" s="20" t="s">
        <v>254</v>
      </c>
    </row>
    <row r="115" customFormat="false" ht="15" hidden="false" customHeight="false" outlineLevel="0" collapsed="false">
      <c r="A115" s="35" t="n">
        <v>16</v>
      </c>
      <c r="B115" s="28" t="s">
        <v>373</v>
      </c>
      <c r="C115" s="28" t="s">
        <v>63</v>
      </c>
      <c r="D115" s="29" t="n">
        <v>100</v>
      </c>
      <c r="E115" s="28" t="s">
        <v>53</v>
      </c>
      <c r="F115" s="30" t="n">
        <f aca="false">IFERROR(INDEX('1. Insumos'!$F$5:$F$137,MATCH($C115,'1. Insumos'!$B$5:$B$137,0)),0)</f>
        <v>0.032</v>
      </c>
      <c r="G115" s="31" t="n">
        <f aca="false">D115*F115</f>
        <v>3.2</v>
      </c>
      <c r="H115" s="20" t="s">
        <v>349</v>
      </c>
      <c r="I115" s="20" t="s">
        <v>355</v>
      </c>
    </row>
    <row r="116" customFormat="false" ht="15" hidden="false" customHeight="false" outlineLevel="0" collapsed="false">
      <c r="A116" s="35" t="n">
        <v>16</v>
      </c>
      <c r="B116" s="28" t="s">
        <v>373</v>
      </c>
      <c r="C116" s="28" t="s">
        <v>127</v>
      </c>
      <c r="D116" s="29" t="n">
        <v>80</v>
      </c>
      <c r="E116" s="28" t="s">
        <v>53</v>
      </c>
      <c r="F116" s="30" t="n">
        <f aca="false">IFERROR(INDEX('1. Insumos'!$F$5:$F$137,MATCH($C116,'1. Insumos'!$B$5:$B$137,0)),0)</f>
        <v>1.9</v>
      </c>
      <c r="G116" s="31" t="n">
        <f aca="false">D116*F116</f>
        <v>152</v>
      </c>
      <c r="H116" s="20" t="s">
        <v>349</v>
      </c>
      <c r="I116" s="20" t="s">
        <v>377</v>
      </c>
    </row>
    <row r="117" customFormat="false" ht="15" hidden="false" customHeight="false" outlineLevel="0" collapsed="false">
      <c r="A117" s="35" t="n">
        <v>17</v>
      </c>
      <c r="B117" s="28" t="s">
        <v>378</v>
      </c>
      <c r="C117" s="28" t="s">
        <v>73</v>
      </c>
      <c r="D117" s="29" t="n">
        <v>250</v>
      </c>
      <c r="E117" s="28" t="s">
        <v>69</v>
      </c>
      <c r="F117" s="30" t="n">
        <f aca="false">IFERROR(INDEX('1. Insumos'!$F$5:$F$137,MATCH($C117,'1. Insumos'!$B$5:$B$137,0)),0)</f>
        <v>0.028</v>
      </c>
      <c r="G117" s="31" t="n">
        <f aca="false">D117*F117</f>
        <v>7</v>
      </c>
      <c r="H117" s="20" t="s">
        <v>379</v>
      </c>
      <c r="I117" s="20" t="s">
        <v>380</v>
      </c>
    </row>
    <row r="118" customFormat="false" ht="15" hidden="false" customHeight="false" outlineLevel="0" collapsed="false">
      <c r="A118" s="35" t="n">
        <v>17</v>
      </c>
      <c r="B118" s="28" t="s">
        <v>378</v>
      </c>
      <c r="C118" s="28" t="s">
        <v>82</v>
      </c>
      <c r="D118" s="29" t="n">
        <v>3</v>
      </c>
      <c r="E118" s="28" t="s">
        <v>81</v>
      </c>
      <c r="F118" s="30" t="n">
        <f aca="false">IFERROR(INDEX('1. Insumos'!$F$5:$F$137,MATCH($C118,'1. Insumos'!$B$5:$B$137,0)),0)</f>
        <v>3.5</v>
      </c>
      <c r="G118" s="31" t="n">
        <f aca="false">D118*F118</f>
        <v>10.5</v>
      </c>
      <c r="H118" s="20" t="s">
        <v>379</v>
      </c>
      <c r="I118" s="20" t="s">
        <v>381</v>
      </c>
    </row>
    <row r="119" customFormat="false" ht="15" hidden="false" customHeight="false" outlineLevel="0" collapsed="false">
      <c r="A119" s="35" t="n">
        <v>17</v>
      </c>
      <c r="B119" s="28" t="s">
        <v>378</v>
      </c>
      <c r="C119" s="28" t="s">
        <v>63</v>
      </c>
      <c r="D119" s="29" t="n">
        <v>60</v>
      </c>
      <c r="E119" s="28" t="s">
        <v>53</v>
      </c>
      <c r="F119" s="30" t="n">
        <f aca="false">IFERROR(INDEX('1. Insumos'!$F$5:$F$137,MATCH($C119,'1. Insumos'!$B$5:$B$137,0)),0)</f>
        <v>0.032</v>
      </c>
      <c r="G119" s="31" t="n">
        <f aca="false">D119*F119</f>
        <v>1.92</v>
      </c>
      <c r="H119" s="20" t="s">
        <v>379</v>
      </c>
      <c r="I119" s="20" t="s">
        <v>223</v>
      </c>
    </row>
    <row r="120" customFormat="false" ht="15" hidden="false" customHeight="false" outlineLevel="0" collapsed="false">
      <c r="A120" s="35" t="n">
        <v>17</v>
      </c>
      <c r="B120" s="28" t="s">
        <v>378</v>
      </c>
      <c r="C120" s="28" t="s">
        <v>57</v>
      </c>
      <c r="D120" s="29" t="n">
        <v>25</v>
      </c>
      <c r="E120" s="28" t="s">
        <v>53</v>
      </c>
      <c r="F120" s="30" t="n">
        <f aca="false">IFERROR(INDEX('1. Insumos'!$F$5:$F$137,MATCH($C120,'1. Insumos'!$B$5:$B$137,0)),0)</f>
        <v>0.064</v>
      </c>
      <c r="G120" s="31" t="n">
        <f aca="false">D120*F120</f>
        <v>1.6</v>
      </c>
      <c r="H120" s="20" t="s">
        <v>379</v>
      </c>
      <c r="I120" s="20" t="s">
        <v>382</v>
      </c>
    </row>
    <row r="121" customFormat="false" ht="15" hidden="false" customHeight="false" outlineLevel="0" collapsed="false">
      <c r="A121" s="35" t="n">
        <v>17</v>
      </c>
      <c r="B121" s="28" t="s">
        <v>378</v>
      </c>
      <c r="C121" s="28" t="s">
        <v>159</v>
      </c>
      <c r="D121" s="29" t="n">
        <v>10</v>
      </c>
      <c r="E121" s="28" t="s">
        <v>69</v>
      </c>
      <c r="F121" s="30" t="n">
        <f aca="false">IFERROR(INDEX('1. Insumos'!$F$5:$F$137,MATCH($C121,'1. Insumos'!$B$5:$B$137,0)),0)</f>
        <v>1.28</v>
      </c>
      <c r="G121" s="31" t="n">
        <f aca="false">D121*F121</f>
        <v>12.8</v>
      </c>
      <c r="H121" s="20" t="s">
        <v>379</v>
      </c>
      <c r="I121" s="20" t="s">
        <v>383</v>
      </c>
    </row>
    <row r="122" customFormat="false" ht="15" hidden="false" customHeight="false" outlineLevel="0" collapsed="false">
      <c r="A122" s="35" t="n">
        <v>17</v>
      </c>
      <c r="B122" s="28" t="s">
        <v>378</v>
      </c>
      <c r="C122" s="28" t="s">
        <v>72</v>
      </c>
      <c r="D122" s="29" t="n">
        <v>80</v>
      </c>
      <c r="E122" s="28" t="s">
        <v>53</v>
      </c>
      <c r="F122" s="30" t="n">
        <f aca="false">IFERROR(INDEX('1. Insumos'!$F$5:$F$137,MATCH($C122,'1. Insumos'!$B$5:$B$137,0)),0)</f>
        <v>0.26</v>
      </c>
      <c r="G122" s="31" t="n">
        <f aca="false">D122*F122</f>
        <v>20.8</v>
      </c>
      <c r="H122" s="20" t="s">
        <v>349</v>
      </c>
      <c r="I122" s="20" t="s">
        <v>350</v>
      </c>
    </row>
    <row r="123" customFormat="false" ht="15" hidden="false" customHeight="false" outlineLevel="0" collapsed="false">
      <c r="A123" s="35" t="n">
        <v>17</v>
      </c>
      <c r="B123" s="28" t="s">
        <v>378</v>
      </c>
      <c r="C123" s="28" t="s">
        <v>63</v>
      </c>
      <c r="D123" s="29" t="n">
        <v>100</v>
      </c>
      <c r="E123" s="28" t="s">
        <v>53</v>
      </c>
      <c r="F123" s="30" t="n">
        <f aca="false">IFERROR(INDEX('1. Insumos'!$F$5:$F$137,MATCH($C123,'1. Insumos'!$B$5:$B$137,0)),0)</f>
        <v>0.032</v>
      </c>
      <c r="G123" s="31" t="n">
        <f aca="false">D123*F123</f>
        <v>3.2</v>
      </c>
      <c r="H123" s="20" t="s">
        <v>349</v>
      </c>
      <c r="I123" s="20" t="s">
        <v>384</v>
      </c>
    </row>
    <row r="124" customFormat="false" ht="15" hidden="false" customHeight="false" outlineLevel="0" collapsed="false">
      <c r="A124" s="35" t="n">
        <v>17</v>
      </c>
      <c r="B124" s="28" t="s">
        <v>378</v>
      </c>
      <c r="C124" s="28" t="s">
        <v>80</v>
      </c>
      <c r="D124" s="29" t="n">
        <v>1</v>
      </c>
      <c r="E124" s="28" t="s">
        <v>81</v>
      </c>
      <c r="F124" s="30" t="n">
        <f aca="false">IFERROR(INDEX('1. Insumos'!$F$5:$F$137,MATCH($C124,'1. Insumos'!$B$5:$B$137,0)),0)</f>
        <v>3.5</v>
      </c>
      <c r="G124" s="31" t="n">
        <f aca="false">D124*F124</f>
        <v>3.5</v>
      </c>
      <c r="H124" s="20" t="s">
        <v>349</v>
      </c>
      <c r="I124" s="20" t="s">
        <v>385</v>
      </c>
    </row>
    <row r="125" customFormat="false" ht="15" hidden="false" customHeight="false" outlineLevel="0" collapsed="false">
      <c r="A125" s="35" t="n">
        <v>18</v>
      </c>
      <c r="B125" s="28" t="s">
        <v>386</v>
      </c>
      <c r="C125" s="28" t="s">
        <v>108</v>
      </c>
      <c r="D125" s="29" t="n">
        <v>180</v>
      </c>
      <c r="E125" s="28" t="s">
        <v>53</v>
      </c>
      <c r="F125" s="30" t="n">
        <f aca="false">IFERROR(INDEX('1. Insumos'!$F$5:$F$137,MATCH($C125,'1. Insumos'!$B$5:$B$137,0)),0)</f>
        <v>0.22</v>
      </c>
      <c r="G125" s="31" t="n">
        <f aca="false">D125*F125</f>
        <v>39.6</v>
      </c>
      <c r="H125" s="20" t="s">
        <v>347</v>
      </c>
      <c r="I125" s="20" t="s">
        <v>387</v>
      </c>
    </row>
    <row r="126" customFormat="false" ht="15" hidden="false" customHeight="false" outlineLevel="0" collapsed="false">
      <c r="A126" s="35" t="n">
        <v>18</v>
      </c>
      <c r="B126" s="28" t="s">
        <v>386</v>
      </c>
      <c r="C126" s="28" t="s">
        <v>72</v>
      </c>
      <c r="D126" s="29" t="n">
        <v>60</v>
      </c>
      <c r="E126" s="28" t="s">
        <v>53</v>
      </c>
      <c r="F126" s="30" t="n">
        <f aca="false">IFERROR(INDEX('1. Insumos'!$F$5:$F$137,MATCH($C126,'1. Insumos'!$B$5:$B$137,0)),0)</f>
        <v>0.26</v>
      </c>
      <c r="G126" s="31" t="n">
        <f aca="false">D126*F126</f>
        <v>15.6</v>
      </c>
      <c r="H126" s="20" t="s">
        <v>349</v>
      </c>
      <c r="I126" s="20" t="s">
        <v>254</v>
      </c>
    </row>
    <row r="127" customFormat="false" ht="15" hidden="false" customHeight="false" outlineLevel="0" collapsed="false">
      <c r="A127" s="35" t="n">
        <v>18</v>
      </c>
      <c r="B127" s="28" t="s">
        <v>386</v>
      </c>
      <c r="C127" s="28" t="s">
        <v>148</v>
      </c>
      <c r="D127" s="29" t="n">
        <v>150</v>
      </c>
      <c r="E127" s="28" t="s">
        <v>53</v>
      </c>
      <c r="F127" s="30" t="n">
        <f aca="false">IFERROR(INDEX('1. Insumos'!$F$5:$F$137,MATCH($C127,'1. Insumos'!$B$5:$B$137,0)),0)</f>
        <v>0.13</v>
      </c>
      <c r="G127" s="31" t="n">
        <f aca="false">D127*F127</f>
        <v>19.5</v>
      </c>
      <c r="H127" s="20" t="s">
        <v>349</v>
      </c>
      <c r="I127" s="20" t="s">
        <v>388</v>
      </c>
    </row>
    <row r="128" customFormat="false" ht="15" hidden="false" customHeight="false" outlineLevel="0" collapsed="false">
      <c r="A128" s="35" t="n">
        <v>18</v>
      </c>
      <c r="B128" s="28" t="s">
        <v>386</v>
      </c>
      <c r="C128" s="28" t="s">
        <v>117</v>
      </c>
      <c r="D128" s="29" t="n">
        <v>80</v>
      </c>
      <c r="E128" s="28" t="s">
        <v>53</v>
      </c>
      <c r="F128" s="30" t="n">
        <f aca="false">IFERROR(INDEX('1. Insumos'!$F$5:$F$137,MATCH($C128,'1. Insumos'!$B$5:$B$137,0)),0)</f>
        <v>0.14</v>
      </c>
      <c r="G128" s="31" t="n">
        <f aca="false">D128*F128</f>
        <v>11.2</v>
      </c>
      <c r="H128" s="20" t="s">
        <v>349</v>
      </c>
      <c r="I128" s="20" t="s">
        <v>389</v>
      </c>
    </row>
    <row r="129" customFormat="false" ht="15" hidden="false" customHeight="false" outlineLevel="0" collapsed="false">
      <c r="A129" s="35" t="n">
        <v>19</v>
      </c>
      <c r="B129" s="28" t="s">
        <v>390</v>
      </c>
      <c r="C129" s="28" t="s">
        <v>144</v>
      </c>
      <c r="D129" s="29" t="n">
        <v>120</v>
      </c>
      <c r="E129" s="28" t="s">
        <v>53</v>
      </c>
      <c r="F129" s="30" t="n">
        <f aca="false">IFERROR(INDEX('1. Insumos'!$F$5:$F$137,MATCH($C129,'1. Insumos'!$B$5:$B$137,0)),0)</f>
        <v>0.19</v>
      </c>
      <c r="G129" s="31" t="n">
        <f aca="false">D129*F129</f>
        <v>22.8</v>
      </c>
      <c r="H129" s="20" t="s">
        <v>347</v>
      </c>
      <c r="I129" s="20" t="s">
        <v>391</v>
      </c>
    </row>
    <row r="130" customFormat="false" ht="15" hidden="false" customHeight="false" outlineLevel="0" collapsed="false">
      <c r="A130" s="35" t="n">
        <v>19</v>
      </c>
      <c r="B130" s="28" t="s">
        <v>390</v>
      </c>
      <c r="C130" s="28" t="s">
        <v>72</v>
      </c>
      <c r="D130" s="29" t="n">
        <v>80</v>
      </c>
      <c r="E130" s="28" t="s">
        <v>53</v>
      </c>
      <c r="F130" s="30" t="n">
        <f aca="false">IFERROR(INDEX('1. Insumos'!$F$5:$F$137,MATCH($C130,'1. Insumos'!$B$5:$B$137,0)),0)</f>
        <v>0.26</v>
      </c>
      <c r="G130" s="31" t="n">
        <f aca="false">D130*F130</f>
        <v>20.8</v>
      </c>
      <c r="H130" s="20" t="s">
        <v>349</v>
      </c>
      <c r="I130" s="20" t="s">
        <v>350</v>
      </c>
    </row>
    <row r="131" customFormat="false" ht="15" hidden="false" customHeight="false" outlineLevel="0" collapsed="false">
      <c r="A131" s="35" t="n">
        <v>19</v>
      </c>
      <c r="B131" s="28" t="s">
        <v>390</v>
      </c>
      <c r="C131" s="28" t="s">
        <v>65</v>
      </c>
      <c r="D131" s="29" t="n">
        <v>100</v>
      </c>
      <c r="E131" s="28" t="s">
        <v>53</v>
      </c>
      <c r="F131" s="30" t="n">
        <f aca="false">IFERROR(INDEX('1. Insumos'!$F$5:$F$137,MATCH($C131,'1. Insumos'!$B$5:$B$137,0)),0)</f>
        <v>0.052</v>
      </c>
      <c r="G131" s="31" t="n">
        <f aca="false">D131*F131</f>
        <v>5.2</v>
      </c>
      <c r="H131" s="20" t="s">
        <v>349</v>
      </c>
      <c r="I131" s="20" t="s">
        <v>343</v>
      </c>
    </row>
    <row r="132" customFormat="false" ht="15" hidden="false" customHeight="false" outlineLevel="0" collapsed="false">
      <c r="A132" s="35" t="n">
        <v>19</v>
      </c>
      <c r="B132" s="28" t="s">
        <v>390</v>
      </c>
      <c r="C132" s="28" t="s">
        <v>110</v>
      </c>
      <c r="D132" s="29" t="n">
        <v>60</v>
      </c>
      <c r="E132" s="28" t="s">
        <v>53</v>
      </c>
      <c r="F132" s="30" t="n">
        <f aca="false">IFERROR(INDEX('1. Insumos'!$F$5:$F$137,MATCH($C132,'1. Insumos'!$B$5:$B$137,0)),0)</f>
        <v>0.48</v>
      </c>
      <c r="G132" s="31" t="n">
        <f aca="false">D132*F132</f>
        <v>28.8</v>
      </c>
      <c r="H132" s="20" t="s">
        <v>349</v>
      </c>
      <c r="I132" s="20" t="s">
        <v>327</v>
      </c>
    </row>
    <row r="133" customFormat="false" ht="15" hidden="false" customHeight="false" outlineLevel="0" collapsed="false">
      <c r="A133" s="35" t="n">
        <v>20</v>
      </c>
      <c r="B133" s="28" t="s">
        <v>392</v>
      </c>
      <c r="C133" s="28" t="s">
        <v>152</v>
      </c>
      <c r="D133" s="29" t="n">
        <v>84</v>
      </c>
      <c r="E133" s="28" t="s">
        <v>53</v>
      </c>
      <c r="F133" s="30" t="n">
        <f aca="false">IFERROR(INDEX('1. Insumos'!$F$5:$F$137,MATCH($C133,'1. Insumos'!$B$5:$B$137,0)),0)</f>
        <v>0.12</v>
      </c>
      <c r="G133" s="31" t="n">
        <f aca="false">D133*F133</f>
        <v>10.08</v>
      </c>
      <c r="H133" s="20" t="s">
        <v>347</v>
      </c>
      <c r="I133" s="20" t="s">
        <v>393</v>
      </c>
    </row>
    <row r="134" customFormat="false" ht="15" hidden="false" customHeight="false" outlineLevel="0" collapsed="false">
      <c r="A134" s="35" t="n">
        <v>20</v>
      </c>
      <c r="B134" s="28" t="s">
        <v>392</v>
      </c>
      <c r="C134" s="28" t="s">
        <v>156</v>
      </c>
      <c r="D134" s="29" t="n">
        <v>100</v>
      </c>
      <c r="E134" s="28" t="s">
        <v>53</v>
      </c>
      <c r="F134" s="30" t="n">
        <f aca="false">IFERROR(INDEX('1. Insumos'!$F$5:$F$137,MATCH($C134,'1. Insumos'!$B$5:$B$137,0)),0)</f>
        <v>0.24</v>
      </c>
      <c r="G134" s="31" t="n">
        <f aca="false">D134*F134</f>
        <v>24</v>
      </c>
      <c r="H134" s="20" t="s">
        <v>347</v>
      </c>
      <c r="I134" s="20" t="s">
        <v>394</v>
      </c>
    </row>
    <row r="135" customFormat="false" ht="15" hidden="false" customHeight="false" outlineLevel="0" collapsed="false">
      <c r="A135" s="35" t="n">
        <v>20</v>
      </c>
      <c r="B135" s="28" t="s">
        <v>392</v>
      </c>
      <c r="C135" s="28" t="s">
        <v>72</v>
      </c>
      <c r="D135" s="29" t="n">
        <v>80</v>
      </c>
      <c r="E135" s="28" t="s">
        <v>53</v>
      </c>
      <c r="F135" s="30" t="n">
        <f aca="false">IFERROR(INDEX('1. Insumos'!$F$5:$F$137,MATCH($C135,'1. Insumos'!$B$5:$B$137,0)),0)</f>
        <v>0.26</v>
      </c>
      <c r="G135" s="31" t="n">
        <f aca="false">D135*F135</f>
        <v>20.8</v>
      </c>
      <c r="H135" s="20" t="s">
        <v>349</v>
      </c>
      <c r="I135" s="20" t="s">
        <v>350</v>
      </c>
    </row>
    <row r="136" customFormat="false" ht="15" hidden="false" customHeight="false" outlineLevel="0" collapsed="false">
      <c r="A136" s="35" t="n">
        <v>20</v>
      </c>
      <c r="B136" s="28" t="s">
        <v>392</v>
      </c>
      <c r="C136" s="28" t="s">
        <v>65</v>
      </c>
      <c r="D136" s="29" t="n">
        <v>100</v>
      </c>
      <c r="E136" s="28" t="s">
        <v>53</v>
      </c>
      <c r="F136" s="30" t="n">
        <f aca="false">IFERROR(INDEX('1. Insumos'!$F$5:$F$137,MATCH($C136,'1. Insumos'!$B$5:$B$137,0)),0)</f>
        <v>0.052</v>
      </c>
      <c r="G136" s="31" t="n">
        <f aca="false">D136*F136</f>
        <v>5.2</v>
      </c>
      <c r="H136" s="20" t="s">
        <v>349</v>
      </c>
      <c r="I136" s="20" t="s">
        <v>343</v>
      </c>
    </row>
    <row r="137" customFormat="false" ht="15" hidden="false" customHeight="false" outlineLevel="0" collapsed="false">
      <c r="A137" s="35" t="n">
        <v>20</v>
      </c>
      <c r="B137" s="28" t="s">
        <v>392</v>
      </c>
      <c r="C137" s="28" t="s">
        <v>59</v>
      </c>
      <c r="D137" s="29" t="n">
        <v>120</v>
      </c>
      <c r="E137" s="28" t="s">
        <v>53</v>
      </c>
      <c r="F137" s="30" t="n">
        <f aca="false">IFERROR(INDEX('1. Insumos'!$F$5:$F$137,MATCH($C137,'1. Insumos'!$B$5:$B$137,0)),0)</f>
        <v>0.116</v>
      </c>
      <c r="G137" s="31" t="n">
        <f aca="false">D137*F137</f>
        <v>13.92</v>
      </c>
      <c r="H137" s="20" t="s">
        <v>349</v>
      </c>
      <c r="I137" s="20" t="s">
        <v>395</v>
      </c>
    </row>
    <row r="138" customFormat="false" ht="15" hidden="false" customHeight="false" outlineLevel="0" collapsed="false">
      <c r="A138" s="35" t="n">
        <v>21</v>
      </c>
      <c r="B138" s="28" t="s">
        <v>396</v>
      </c>
      <c r="C138" s="28" t="s">
        <v>72</v>
      </c>
      <c r="D138" s="29" t="n">
        <v>80</v>
      </c>
      <c r="E138" s="28" t="s">
        <v>53</v>
      </c>
      <c r="F138" s="30" t="n">
        <f aca="false">IFERROR(INDEX('1. Insumos'!$F$5:$F$137,MATCH($C138,'1. Insumos'!$B$5:$B$137,0)),0)</f>
        <v>0.26</v>
      </c>
      <c r="G138" s="31" t="n">
        <f aca="false">D138*F138</f>
        <v>20.8</v>
      </c>
      <c r="H138" s="20" t="s">
        <v>397</v>
      </c>
      <c r="I138" s="20" t="s">
        <v>350</v>
      </c>
    </row>
    <row r="139" customFormat="false" ht="15" hidden="false" customHeight="false" outlineLevel="0" collapsed="false">
      <c r="A139" s="35" t="n">
        <v>21</v>
      </c>
      <c r="B139" s="28" t="s">
        <v>396</v>
      </c>
      <c r="C139" s="28" t="s">
        <v>65</v>
      </c>
      <c r="D139" s="29" t="n">
        <v>100</v>
      </c>
      <c r="E139" s="28" t="s">
        <v>53</v>
      </c>
      <c r="F139" s="30" t="n">
        <f aca="false">IFERROR(INDEX('1. Insumos'!$F$5:$F$137,MATCH($C139,'1. Insumos'!$B$5:$B$137,0)),0)</f>
        <v>0.052</v>
      </c>
      <c r="G139" s="31" t="n">
        <f aca="false">D139*F139</f>
        <v>5.2</v>
      </c>
      <c r="H139" s="20" t="s">
        <v>397</v>
      </c>
      <c r="I139" s="20" t="s">
        <v>343</v>
      </c>
    </row>
    <row r="140" customFormat="false" ht="15" hidden="false" customHeight="false" outlineLevel="0" collapsed="false">
      <c r="A140" s="35" t="n">
        <v>21</v>
      </c>
      <c r="B140" s="28" t="s">
        <v>396</v>
      </c>
      <c r="C140" s="28" t="s">
        <v>102</v>
      </c>
      <c r="D140" s="29" t="n">
        <v>15</v>
      </c>
      <c r="E140" s="28" t="s">
        <v>53</v>
      </c>
      <c r="F140" s="30" t="n">
        <f aca="false">IFERROR(INDEX('1. Insumos'!$F$5:$F$137,MATCH($C140,'1. Insumos'!$B$5:$B$137,0)),0)</f>
        <v>0.29</v>
      </c>
      <c r="G140" s="31" t="n">
        <f aca="false">D140*F140</f>
        <v>4.35</v>
      </c>
      <c r="H140" s="20" t="s">
        <v>397</v>
      </c>
      <c r="I140" s="20" t="s">
        <v>398</v>
      </c>
    </row>
    <row r="141" customFormat="false" ht="15" hidden="false" customHeight="false" outlineLevel="0" collapsed="false">
      <c r="A141" s="35" t="n">
        <v>21</v>
      </c>
      <c r="B141" s="28" t="s">
        <v>396</v>
      </c>
      <c r="C141" s="28" t="s">
        <v>173</v>
      </c>
      <c r="D141" s="29" t="n">
        <v>60</v>
      </c>
      <c r="E141" s="28" t="s">
        <v>69</v>
      </c>
      <c r="F141" s="30" t="n">
        <f aca="false">IFERROR(INDEX('1. Insumos'!$F$5:$F$137,MATCH($C141,'1. Insumos'!$B$5:$B$137,0)),0)</f>
        <v>0.09</v>
      </c>
      <c r="G141" s="31" t="n">
        <f aca="false">D141*F141</f>
        <v>5.4</v>
      </c>
      <c r="H141" s="20" t="s">
        <v>397</v>
      </c>
      <c r="I141" s="20" t="s">
        <v>399</v>
      </c>
    </row>
    <row r="142" customFormat="false" ht="15" hidden="false" customHeight="false" outlineLevel="0" collapsed="false">
      <c r="A142" s="35" t="n">
        <v>21</v>
      </c>
      <c r="B142" s="28" t="s">
        <v>396</v>
      </c>
      <c r="C142" s="28" t="s">
        <v>63</v>
      </c>
      <c r="D142" s="29" t="n">
        <v>30</v>
      </c>
      <c r="E142" s="28" t="s">
        <v>53</v>
      </c>
      <c r="F142" s="30" t="n">
        <f aca="false">IFERROR(INDEX('1. Insumos'!$F$5:$F$137,MATCH($C142,'1. Insumos'!$B$5:$B$137,0)),0)</f>
        <v>0.032</v>
      </c>
      <c r="G142" s="31" t="n">
        <f aca="false">D142*F142</f>
        <v>0.96</v>
      </c>
      <c r="H142" s="20" t="s">
        <v>397</v>
      </c>
      <c r="I142" s="20" t="s">
        <v>400</v>
      </c>
    </row>
    <row r="143" customFormat="false" ht="15" hidden="false" customHeight="false" outlineLevel="0" collapsed="false">
      <c r="A143" s="35" t="n">
        <v>21</v>
      </c>
      <c r="B143" s="28" t="s">
        <v>396</v>
      </c>
      <c r="C143" s="28" t="s">
        <v>186</v>
      </c>
      <c r="D143" s="29" t="n">
        <v>15</v>
      </c>
      <c r="E143" s="28" t="s">
        <v>69</v>
      </c>
      <c r="F143" s="30" t="n">
        <f aca="false">IFERROR(INDEX('1. Insumos'!$F$5:$F$137,MATCH($C143,'1. Insumos'!$B$5:$B$137,0)),0)</f>
        <v>0.506666666666667</v>
      </c>
      <c r="G143" s="31" t="n">
        <f aca="false">D143*F143</f>
        <v>7.6</v>
      </c>
      <c r="H143" s="20" t="s">
        <v>397</v>
      </c>
      <c r="I143" s="20" t="s">
        <v>401</v>
      </c>
    </row>
    <row r="144" customFormat="false" ht="15" hidden="false" customHeight="false" outlineLevel="0" collapsed="false">
      <c r="A144" s="35" t="n">
        <v>21</v>
      </c>
      <c r="B144" s="28" t="s">
        <v>396</v>
      </c>
      <c r="C144" s="28" t="s">
        <v>76</v>
      </c>
      <c r="D144" s="29" t="n">
        <v>150</v>
      </c>
      <c r="E144" s="28" t="s">
        <v>53</v>
      </c>
      <c r="F144" s="30" t="n">
        <f aca="false">IFERROR(INDEX('1. Insumos'!$F$5:$F$137,MATCH($C144,'1. Insumos'!$B$5:$B$137,0)),0)</f>
        <v>0.44</v>
      </c>
      <c r="G144" s="31" t="n">
        <f aca="false">D144*F144</f>
        <v>66</v>
      </c>
      <c r="H144" s="20" t="s">
        <v>402</v>
      </c>
      <c r="I144" s="20" t="s">
        <v>403</v>
      </c>
    </row>
    <row r="145" customFormat="false" ht="15" hidden="false" customHeight="false" outlineLevel="0" collapsed="false">
      <c r="A145" s="35" t="n">
        <v>21</v>
      </c>
      <c r="B145" s="28" t="s">
        <v>396</v>
      </c>
      <c r="C145" s="28" t="s">
        <v>74</v>
      </c>
      <c r="D145" s="29" t="n">
        <v>100</v>
      </c>
      <c r="E145" s="28" t="s">
        <v>69</v>
      </c>
      <c r="F145" s="30" t="n">
        <f aca="false">IFERROR(INDEX('1. Insumos'!$F$5:$F$137,MATCH($C145,'1. Insumos'!$B$5:$B$137,0)),0)</f>
        <v>0.13</v>
      </c>
      <c r="G145" s="31" t="n">
        <f aca="false">D145*F145</f>
        <v>13</v>
      </c>
      <c r="H145" s="20" t="s">
        <v>402</v>
      </c>
      <c r="I145" s="20" t="s">
        <v>404</v>
      </c>
    </row>
    <row r="146" customFormat="false" ht="15" hidden="false" customHeight="false" outlineLevel="0" collapsed="false">
      <c r="A146" s="35" t="n">
        <v>21</v>
      </c>
      <c r="B146" s="28" t="s">
        <v>396</v>
      </c>
      <c r="C146" s="28" t="s">
        <v>64</v>
      </c>
      <c r="D146" s="29" t="n">
        <v>60</v>
      </c>
      <c r="E146" s="28" t="s">
        <v>53</v>
      </c>
      <c r="F146" s="30" t="n">
        <f aca="false">IFERROR(INDEX('1. Insumos'!$F$5:$F$137,MATCH($C146,'1. Insumos'!$B$5:$B$137,0)),0)</f>
        <v>0.045</v>
      </c>
      <c r="G146" s="31" t="n">
        <f aca="false">D146*F146</f>
        <v>2.7</v>
      </c>
      <c r="H146" s="20" t="s">
        <v>402</v>
      </c>
      <c r="I146" s="20" t="s">
        <v>297</v>
      </c>
    </row>
    <row r="147" customFormat="false" ht="15" hidden="false" customHeight="false" outlineLevel="0" collapsed="false">
      <c r="A147" s="35" t="n">
        <v>21</v>
      </c>
      <c r="B147" s="28" t="s">
        <v>396</v>
      </c>
      <c r="C147" s="28" t="s">
        <v>103</v>
      </c>
      <c r="D147" s="29" t="n">
        <v>8</v>
      </c>
      <c r="E147" s="28" t="s">
        <v>53</v>
      </c>
      <c r="F147" s="30" t="n">
        <f aca="false">IFERROR(INDEX('1. Insumos'!$F$5:$F$137,MATCH($C147,'1. Insumos'!$B$5:$B$137,0)),0)</f>
        <v>0.26</v>
      </c>
      <c r="G147" s="31" t="n">
        <f aca="false">D147*F147</f>
        <v>2.08</v>
      </c>
      <c r="H147" s="20" t="s">
        <v>402</v>
      </c>
      <c r="I147" s="20" t="s">
        <v>405</v>
      </c>
    </row>
    <row r="148" customFormat="false" ht="15" hidden="false" customHeight="false" outlineLevel="0" collapsed="false">
      <c r="A148" s="35" t="n">
        <v>22</v>
      </c>
      <c r="B148" s="28" t="s">
        <v>406</v>
      </c>
      <c r="C148" s="28" t="s">
        <v>72</v>
      </c>
      <c r="D148" s="29" t="n">
        <v>80</v>
      </c>
      <c r="E148" s="28" t="s">
        <v>53</v>
      </c>
      <c r="F148" s="30" t="n">
        <f aca="false">IFERROR(INDEX('1. Insumos'!$F$5:$F$137,MATCH($C148,'1. Insumos'!$B$5:$B$137,0)),0)</f>
        <v>0.26</v>
      </c>
      <c r="G148" s="31" t="n">
        <f aca="false">D148*F148</f>
        <v>20.8</v>
      </c>
      <c r="H148" s="20" t="s">
        <v>407</v>
      </c>
      <c r="I148" s="20" t="s">
        <v>350</v>
      </c>
    </row>
    <row r="149" customFormat="false" ht="15" hidden="false" customHeight="false" outlineLevel="0" collapsed="false">
      <c r="A149" s="35" t="n">
        <v>22</v>
      </c>
      <c r="B149" s="28" t="s">
        <v>406</v>
      </c>
      <c r="C149" s="28" t="s">
        <v>63</v>
      </c>
      <c r="D149" s="29" t="n">
        <v>100</v>
      </c>
      <c r="E149" s="28" t="s">
        <v>53</v>
      </c>
      <c r="F149" s="30" t="n">
        <f aca="false">IFERROR(INDEX('1. Insumos'!$F$5:$F$137,MATCH($C149,'1. Insumos'!$B$5:$B$137,0)),0)</f>
        <v>0.032</v>
      </c>
      <c r="G149" s="31" t="n">
        <f aca="false">D149*F149</f>
        <v>3.2</v>
      </c>
      <c r="H149" s="20" t="s">
        <v>407</v>
      </c>
      <c r="I149" s="20" t="s">
        <v>384</v>
      </c>
    </row>
    <row r="150" customFormat="false" ht="15" hidden="false" customHeight="false" outlineLevel="0" collapsed="false">
      <c r="A150" s="35" t="n">
        <v>22</v>
      </c>
      <c r="B150" s="28" t="s">
        <v>406</v>
      </c>
      <c r="C150" s="28" t="s">
        <v>160</v>
      </c>
      <c r="D150" s="29" t="n">
        <v>10</v>
      </c>
      <c r="E150" s="28" t="s">
        <v>53</v>
      </c>
      <c r="F150" s="30" t="n">
        <f aca="false">IFERROR(INDEX('1. Insumos'!$F$5:$F$137,MATCH($C150,'1. Insumos'!$B$5:$B$137,0)),0)</f>
        <v>2.9</v>
      </c>
      <c r="G150" s="31" t="n">
        <f aca="false">D150*F150</f>
        <v>29</v>
      </c>
      <c r="H150" s="20" t="s">
        <v>407</v>
      </c>
      <c r="I150" s="20" t="s">
        <v>408</v>
      </c>
    </row>
    <row r="151" customFormat="false" ht="15" hidden="false" customHeight="false" outlineLevel="0" collapsed="false">
      <c r="A151" s="35" t="n">
        <v>22</v>
      </c>
      <c r="B151" s="28" t="s">
        <v>406</v>
      </c>
      <c r="C151" s="28" t="s">
        <v>154</v>
      </c>
      <c r="D151" s="29" t="n">
        <v>200</v>
      </c>
      <c r="E151" s="28" t="s">
        <v>53</v>
      </c>
      <c r="F151" s="30" t="n">
        <f aca="false">IFERROR(INDEX('1. Insumos'!$F$5:$F$137,MATCH($C151,'1. Insumos'!$B$5:$B$137,0)),0)</f>
        <v>0.095</v>
      </c>
      <c r="G151" s="31" t="n">
        <f aca="false">D151*F151</f>
        <v>19</v>
      </c>
      <c r="H151" s="20" t="s">
        <v>409</v>
      </c>
      <c r="I151" s="20" t="s">
        <v>410</v>
      </c>
    </row>
    <row r="152" customFormat="false" ht="15" hidden="false" customHeight="false" outlineLevel="0" collapsed="false">
      <c r="A152" s="35" t="n">
        <v>22</v>
      </c>
      <c r="B152" s="28" t="s">
        <v>406</v>
      </c>
      <c r="C152" s="28" t="s">
        <v>63</v>
      </c>
      <c r="D152" s="29" t="n">
        <v>40</v>
      </c>
      <c r="E152" s="28" t="s">
        <v>53</v>
      </c>
      <c r="F152" s="30" t="n">
        <f aca="false">IFERROR(INDEX('1. Insumos'!$F$5:$F$137,MATCH($C152,'1. Insumos'!$B$5:$B$137,0)),0)</f>
        <v>0.032</v>
      </c>
      <c r="G152" s="31" t="n">
        <f aca="false">D152*F152</f>
        <v>1.28</v>
      </c>
      <c r="H152" s="20" t="s">
        <v>409</v>
      </c>
      <c r="I152" s="20" t="s">
        <v>411</v>
      </c>
    </row>
    <row r="153" customFormat="false" ht="15" hidden="false" customHeight="false" outlineLevel="0" collapsed="false">
      <c r="A153" s="35" t="n">
        <v>23</v>
      </c>
      <c r="B153" s="28" t="s">
        <v>412</v>
      </c>
      <c r="C153" s="28" t="s">
        <v>72</v>
      </c>
      <c r="D153" s="29" t="n">
        <v>60</v>
      </c>
      <c r="E153" s="28" t="s">
        <v>53</v>
      </c>
      <c r="F153" s="30" t="n">
        <f aca="false">IFERROR(INDEX('1. Insumos'!$F$5:$F$137,MATCH($C153,'1. Insumos'!$B$5:$B$137,0)),0)</f>
        <v>0.26</v>
      </c>
      <c r="G153" s="31" t="n">
        <f aca="false">D153*F153</f>
        <v>15.6</v>
      </c>
      <c r="H153" s="20" t="s">
        <v>349</v>
      </c>
      <c r="I153" s="20" t="s">
        <v>254</v>
      </c>
    </row>
    <row r="154" customFormat="false" ht="15" hidden="false" customHeight="false" outlineLevel="0" collapsed="false">
      <c r="A154" s="35" t="n">
        <v>23</v>
      </c>
      <c r="B154" s="28" t="s">
        <v>412</v>
      </c>
      <c r="C154" s="28" t="s">
        <v>63</v>
      </c>
      <c r="D154" s="29" t="n">
        <v>80</v>
      </c>
      <c r="E154" s="28" t="s">
        <v>53</v>
      </c>
      <c r="F154" s="30" t="n">
        <f aca="false">IFERROR(INDEX('1. Insumos'!$F$5:$F$137,MATCH($C154,'1. Insumos'!$B$5:$B$137,0)),0)</f>
        <v>0.032</v>
      </c>
      <c r="G154" s="31" t="n">
        <f aca="false">D154*F154</f>
        <v>2.56</v>
      </c>
      <c r="H154" s="20" t="s">
        <v>349</v>
      </c>
      <c r="I154" s="20" t="s">
        <v>212</v>
      </c>
    </row>
    <row r="155" customFormat="false" ht="15" hidden="false" customHeight="false" outlineLevel="0" collapsed="false">
      <c r="A155" s="35" t="n">
        <v>23</v>
      </c>
      <c r="B155" s="28" t="s">
        <v>412</v>
      </c>
      <c r="C155" s="28" t="s">
        <v>59</v>
      </c>
      <c r="D155" s="29" t="n">
        <v>100</v>
      </c>
      <c r="E155" s="28" t="s">
        <v>53</v>
      </c>
      <c r="F155" s="30" t="n">
        <f aca="false">IFERROR(INDEX('1. Insumos'!$F$5:$F$137,MATCH($C155,'1. Insumos'!$B$5:$B$137,0)),0)</f>
        <v>0.116</v>
      </c>
      <c r="G155" s="31" t="n">
        <f aca="false">D155*F155</f>
        <v>11.6</v>
      </c>
      <c r="H155" s="20" t="s">
        <v>349</v>
      </c>
      <c r="I155" s="20" t="s">
        <v>413</v>
      </c>
    </row>
    <row r="156" customFormat="false" ht="15" hidden="false" customHeight="false" outlineLevel="0" collapsed="false">
      <c r="A156" s="35" t="n">
        <v>23</v>
      </c>
      <c r="B156" s="28" t="s">
        <v>412</v>
      </c>
      <c r="C156" s="28" t="s">
        <v>129</v>
      </c>
      <c r="D156" s="29" t="n">
        <v>100</v>
      </c>
      <c r="E156" s="28" t="s">
        <v>53</v>
      </c>
      <c r="F156" s="30" t="n">
        <f aca="false">IFERROR(INDEX('1. Insumos'!$F$5:$F$137,MATCH($C156,'1. Insumos'!$B$5:$B$137,0)),0)</f>
        <v>0.28</v>
      </c>
      <c r="G156" s="31" t="n">
        <f aca="false">D156*F156</f>
        <v>28</v>
      </c>
      <c r="H156" s="20" t="s">
        <v>414</v>
      </c>
      <c r="I156" s="20" t="s">
        <v>415</v>
      </c>
    </row>
    <row r="157" customFormat="false" ht="15" hidden="false" customHeight="false" outlineLevel="0" collapsed="false">
      <c r="A157" s="35" t="n">
        <v>23</v>
      </c>
      <c r="B157" s="28" t="s">
        <v>412</v>
      </c>
      <c r="C157" s="28" t="s">
        <v>82</v>
      </c>
      <c r="D157" s="29" t="n">
        <v>3</v>
      </c>
      <c r="E157" s="28" t="s">
        <v>81</v>
      </c>
      <c r="F157" s="30" t="n">
        <f aca="false">IFERROR(INDEX('1. Insumos'!$F$5:$F$137,MATCH($C157,'1. Insumos'!$B$5:$B$137,0)),0)</f>
        <v>3.5</v>
      </c>
      <c r="G157" s="31" t="n">
        <f aca="false">D157*F157</f>
        <v>10.5</v>
      </c>
      <c r="H157" s="20" t="s">
        <v>414</v>
      </c>
      <c r="I157" s="20" t="s">
        <v>381</v>
      </c>
    </row>
    <row r="158" customFormat="false" ht="15" hidden="false" customHeight="false" outlineLevel="0" collapsed="false">
      <c r="A158" s="35" t="n">
        <v>23</v>
      </c>
      <c r="B158" s="28" t="s">
        <v>412</v>
      </c>
      <c r="C158" s="28" t="s">
        <v>63</v>
      </c>
      <c r="D158" s="29" t="n">
        <v>80</v>
      </c>
      <c r="E158" s="28" t="s">
        <v>53</v>
      </c>
      <c r="F158" s="30" t="n">
        <f aca="false">IFERROR(INDEX('1. Insumos'!$F$5:$F$137,MATCH($C158,'1. Insumos'!$B$5:$B$137,0)),0)</f>
        <v>0.032</v>
      </c>
      <c r="G158" s="31" t="n">
        <f aca="false">D158*F158</f>
        <v>2.56</v>
      </c>
      <c r="H158" s="20" t="s">
        <v>414</v>
      </c>
      <c r="I158" s="20" t="s">
        <v>212</v>
      </c>
    </row>
    <row r="159" customFormat="false" ht="15" hidden="false" customHeight="false" outlineLevel="0" collapsed="false">
      <c r="A159" s="35" t="n">
        <v>23</v>
      </c>
      <c r="B159" s="28" t="s">
        <v>412</v>
      </c>
      <c r="C159" s="28" t="s">
        <v>72</v>
      </c>
      <c r="D159" s="29" t="n">
        <v>40</v>
      </c>
      <c r="E159" s="28" t="s">
        <v>53</v>
      </c>
      <c r="F159" s="30" t="n">
        <f aca="false">IFERROR(INDEX('1. Insumos'!$F$5:$F$137,MATCH($C159,'1. Insumos'!$B$5:$B$137,0)),0)</f>
        <v>0.26</v>
      </c>
      <c r="G159" s="31" t="n">
        <f aca="false">D159*F159</f>
        <v>10.4</v>
      </c>
      <c r="H159" s="20" t="s">
        <v>414</v>
      </c>
      <c r="I159" s="20" t="s">
        <v>416</v>
      </c>
    </row>
    <row r="160" customFormat="false" ht="15" hidden="false" customHeight="false" outlineLevel="0" collapsed="false">
      <c r="A160" s="35" t="n">
        <v>23</v>
      </c>
      <c r="B160" s="28" t="s">
        <v>412</v>
      </c>
      <c r="C160" s="28" t="s">
        <v>75</v>
      </c>
      <c r="D160" s="29" t="n">
        <v>150</v>
      </c>
      <c r="E160" s="28" t="s">
        <v>53</v>
      </c>
      <c r="F160" s="30" t="n">
        <f aca="false">IFERROR(INDEX('1. Insumos'!$F$5:$F$137,MATCH($C160,'1. Insumos'!$B$5:$B$137,0)),0)</f>
        <v>0.19</v>
      </c>
      <c r="G160" s="31" t="n">
        <f aca="false">D160*F160</f>
        <v>28.5</v>
      </c>
      <c r="H160" s="20" t="s">
        <v>417</v>
      </c>
      <c r="I160" s="20" t="s">
        <v>418</v>
      </c>
    </row>
    <row r="161" customFormat="false" ht="15" hidden="false" customHeight="false" outlineLevel="0" collapsed="false">
      <c r="A161" s="35" t="n">
        <v>23</v>
      </c>
      <c r="B161" s="28" t="s">
        <v>412</v>
      </c>
      <c r="C161" s="28" t="s">
        <v>64</v>
      </c>
      <c r="D161" s="29" t="n">
        <v>50</v>
      </c>
      <c r="E161" s="28" t="s">
        <v>53</v>
      </c>
      <c r="F161" s="30" t="n">
        <f aca="false">IFERROR(INDEX('1. Insumos'!$F$5:$F$137,MATCH($C161,'1. Insumos'!$B$5:$B$137,0)),0)</f>
        <v>0.045</v>
      </c>
      <c r="G161" s="31" t="n">
        <f aca="false">D161*F161</f>
        <v>2.25</v>
      </c>
      <c r="H161" s="20" t="s">
        <v>417</v>
      </c>
      <c r="I161" s="20" t="s">
        <v>419</v>
      </c>
    </row>
    <row r="162" customFormat="false" ht="15" hidden="false" customHeight="false" outlineLevel="0" collapsed="false">
      <c r="A162" s="35" t="n">
        <v>24</v>
      </c>
      <c r="B162" s="28" t="s">
        <v>420</v>
      </c>
      <c r="C162" s="28" t="s">
        <v>103</v>
      </c>
      <c r="D162" s="29" t="n">
        <v>15</v>
      </c>
      <c r="E162" s="28" t="s">
        <v>53</v>
      </c>
      <c r="F162" s="30" t="n">
        <f aca="false">IFERROR(INDEX('1. Insumos'!$F$5:$F$137,MATCH($C162,'1. Insumos'!$B$5:$B$137,0)),0)</f>
        <v>0.26</v>
      </c>
      <c r="G162" s="31" t="n">
        <f aca="false">D162*F162</f>
        <v>3.9</v>
      </c>
      <c r="H162" s="20" t="s">
        <v>421</v>
      </c>
      <c r="I162" s="20" t="s">
        <v>422</v>
      </c>
    </row>
    <row r="163" customFormat="false" ht="15" hidden="false" customHeight="false" outlineLevel="0" collapsed="false">
      <c r="A163" s="35" t="n">
        <v>24</v>
      </c>
      <c r="B163" s="28" t="s">
        <v>420</v>
      </c>
      <c r="C163" s="28" t="s">
        <v>195</v>
      </c>
      <c r="D163" s="29" t="n">
        <v>5</v>
      </c>
      <c r="E163" s="28" t="s">
        <v>69</v>
      </c>
      <c r="F163" s="30" t="n">
        <f aca="false">IFERROR(INDEX('1. Insumos'!$F$5:$F$137,MATCH($C163,'1. Insumos'!$B$5:$B$137,0)),0)</f>
        <v>0.028</v>
      </c>
      <c r="G163" s="31" t="n">
        <f aca="false">D163*F163</f>
        <v>0.14</v>
      </c>
      <c r="H163" s="20" t="s">
        <v>421</v>
      </c>
      <c r="I163" s="20" t="s">
        <v>423</v>
      </c>
    </row>
    <row r="164" customFormat="false" ht="15" hidden="false" customHeight="false" outlineLevel="0" collapsed="false">
      <c r="A164" s="35" t="n">
        <v>24</v>
      </c>
      <c r="B164" s="28" t="s">
        <v>420</v>
      </c>
      <c r="C164" s="28" t="s">
        <v>182</v>
      </c>
      <c r="D164" s="29" t="n">
        <v>3</v>
      </c>
      <c r="E164" s="28" t="s">
        <v>53</v>
      </c>
      <c r="F164" s="30" t="n">
        <f aca="false">IFERROR(INDEX('1. Insumos'!$F$5:$F$137,MATCH($C164,'1. Insumos'!$B$5:$B$137,0)),0)</f>
        <v>2.5</v>
      </c>
      <c r="G164" s="31" t="n">
        <f aca="false">D164*F164</f>
        <v>7.5</v>
      </c>
      <c r="H164" s="20" t="s">
        <v>421</v>
      </c>
      <c r="I164" s="20" t="s">
        <v>424</v>
      </c>
    </row>
    <row r="165" customFormat="false" ht="15" hidden="false" customHeight="false" outlineLevel="0" collapsed="false">
      <c r="A165" s="35" t="n">
        <v>24</v>
      </c>
      <c r="B165" s="28" t="s">
        <v>420</v>
      </c>
      <c r="C165" s="28" t="s">
        <v>72</v>
      </c>
      <c r="D165" s="29" t="n">
        <v>80</v>
      </c>
      <c r="E165" s="28" t="s">
        <v>53</v>
      </c>
      <c r="F165" s="30" t="n">
        <f aca="false">IFERROR(INDEX('1. Insumos'!$F$5:$F$137,MATCH($C165,'1. Insumos'!$B$5:$B$137,0)),0)</f>
        <v>0.26</v>
      </c>
      <c r="G165" s="31" t="n">
        <f aca="false">D165*F165</f>
        <v>20.8</v>
      </c>
      <c r="H165" s="20" t="s">
        <v>269</v>
      </c>
      <c r="I165" s="20" t="s">
        <v>350</v>
      </c>
    </row>
    <row r="166" customFormat="false" ht="15" hidden="false" customHeight="false" outlineLevel="0" collapsed="false">
      <c r="A166" s="35" t="n">
        <v>24</v>
      </c>
      <c r="B166" s="28" t="s">
        <v>420</v>
      </c>
      <c r="C166" s="28" t="s">
        <v>63</v>
      </c>
      <c r="D166" s="29" t="n">
        <v>120</v>
      </c>
      <c r="E166" s="28" t="s">
        <v>53</v>
      </c>
      <c r="F166" s="30" t="n">
        <f aca="false">IFERROR(INDEX('1. Insumos'!$F$5:$F$137,MATCH($C166,'1. Insumos'!$B$5:$B$137,0)),0)</f>
        <v>0.032</v>
      </c>
      <c r="G166" s="31" t="n">
        <f aca="false">D166*F166</f>
        <v>3.84</v>
      </c>
      <c r="H166" s="20" t="s">
        <v>269</v>
      </c>
      <c r="I166" s="20" t="s">
        <v>425</v>
      </c>
    </row>
    <row r="167" customFormat="false" ht="15" hidden="false" customHeight="false" outlineLevel="0" collapsed="false">
      <c r="A167" s="35" t="n">
        <v>24</v>
      </c>
      <c r="B167" s="28" t="s">
        <v>420</v>
      </c>
      <c r="C167" s="28" t="s">
        <v>98</v>
      </c>
      <c r="D167" s="29" t="n">
        <v>100</v>
      </c>
      <c r="E167" s="28" t="s">
        <v>53</v>
      </c>
      <c r="F167" s="30" t="n">
        <f aca="false">IFERROR(INDEX('1. Insumos'!$F$5:$F$137,MATCH($C167,'1. Insumos'!$B$5:$B$137,0)),0)</f>
        <v>0.32</v>
      </c>
      <c r="G167" s="31" t="n">
        <f aca="false">D167*F167</f>
        <v>32</v>
      </c>
      <c r="H167" s="20" t="s">
        <v>269</v>
      </c>
      <c r="I167" s="20" t="s">
        <v>426</v>
      </c>
    </row>
    <row r="168" customFormat="false" ht="15" hidden="false" customHeight="false" outlineLevel="0" collapsed="false">
      <c r="A168" s="35" t="n">
        <v>24</v>
      </c>
      <c r="B168" s="28" t="s">
        <v>420</v>
      </c>
      <c r="C168" s="28" t="s">
        <v>75</v>
      </c>
      <c r="D168" s="29" t="n">
        <v>150</v>
      </c>
      <c r="E168" s="28" t="s">
        <v>53</v>
      </c>
      <c r="F168" s="30" t="n">
        <f aca="false">IFERROR(INDEX('1. Insumos'!$F$5:$F$137,MATCH($C168,'1. Insumos'!$B$5:$B$137,0)),0)</f>
        <v>0.19</v>
      </c>
      <c r="G168" s="31" t="n">
        <f aca="false">D168*F168</f>
        <v>28.5</v>
      </c>
      <c r="H168" s="20" t="s">
        <v>427</v>
      </c>
      <c r="I168" s="20" t="s">
        <v>418</v>
      </c>
    </row>
    <row r="169" customFormat="false" ht="15" hidden="false" customHeight="false" outlineLevel="0" collapsed="false">
      <c r="A169" s="35" t="n">
        <v>24</v>
      </c>
      <c r="B169" s="28" t="s">
        <v>420</v>
      </c>
      <c r="C169" s="28" t="s">
        <v>72</v>
      </c>
      <c r="D169" s="29" t="n">
        <v>60</v>
      </c>
      <c r="E169" s="28" t="s">
        <v>53</v>
      </c>
      <c r="F169" s="30" t="n">
        <f aca="false">IFERROR(INDEX('1. Insumos'!$F$5:$F$137,MATCH($C169,'1. Insumos'!$B$5:$B$137,0)),0)</f>
        <v>0.26</v>
      </c>
      <c r="G169" s="31" t="n">
        <f aca="false">D169*F169</f>
        <v>15.6</v>
      </c>
      <c r="H169" s="20" t="s">
        <v>427</v>
      </c>
      <c r="I169" s="20" t="s">
        <v>254</v>
      </c>
    </row>
    <row r="170" customFormat="false" ht="15" hidden="false" customHeight="false" outlineLevel="0" collapsed="false">
      <c r="A170" s="35" t="n">
        <v>24</v>
      </c>
      <c r="B170" s="28" t="s">
        <v>420</v>
      </c>
      <c r="C170" s="28" t="s">
        <v>64</v>
      </c>
      <c r="D170" s="29" t="n">
        <v>100</v>
      </c>
      <c r="E170" s="28" t="s">
        <v>53</v>
      </c>
      <c r="F170" s="30" t="n">
        <f aca="false">IFERROR(INDEX('1. Insumos'!$F$5:$F$137,MATCH($C170,'1. Insumos'!$B$5:$B$137,0)),0)</f>
        <v>0.045</v>
      </c>
      <c r="G170" s="31" t="n">
        <f aca="false">D170*F170</f>
        <v>4.5</v>
      </c>
      <c r="H170" s="20" t="s">
        <v>427</v>
      </c>
      <c r="I170" s="20" t="s">
        <v>302</v>
      </c>
    </row>
    <row r="171" customFormat="false" ht="15" hidden="false" customHeight="false" outlineLevel="0" collapsed="false">
      <c r="A171" s="35" t="n">
        <v>24</v>
      </c>
      <c r="B171" s="28" t="s">
        <v>420</v>
      </c>
      <c r="C171" s="28" t="s">
        <v>131</v>
      </c>
      <c r="D171" s="29" t="n">
        <v>0.2</v>
      </c>
      <c r="E171" s="28" t="s">
        <v>81</v>
      </c>
      <c r="F171" s="30" t="n">
        <f aca="false">IFERROR(INDEX('1. Insumos'!$F$5:$F$137,MATCH($C171,'1. Insumos'!$B$5:$B$137,0)),0)</f>
        <v>6</v>
      </c>
      <c r="G171" s="31" t="n">
        <f aca="false">D171*F171</f>
        <v>1.2</v>
      </c>
      <c r="H171" s="20" t="s">
        <v>427</v>
      </c>
      <c r="I171" s="20" t="s">
        <v>428</v>
      </c>
    </row>
    <row r="172" customFormat="false" ht="15" hidden="false" customHeight="false" outlineLevel="0" collapsed="false">
      <c r="A172" s="35" t="n">
        <v>25</v>
      </c>
      <c r="B172" s="28" t="s">
        <v>429</v>
      </c>
      <c r="C172" s="28" t="s">
        <v>72</v>
      </c>
      <c r="D172" s="29" t="n">
        <v>80</v>
      </c>
      <c r="E172" s="28" t="s">
        <v>53</v>
      </c>
      <c r="F172" s="30" t="n">
        <f aca="false">IFERROR(INDEX('1. Insumos'!$F$5:$F$137,MATCH($C172,'1. Insumos'!$B$5:$B$137,0)),0)</f>
        <v>0.26</v>
      </c>
      <c r="G172" s="31" t="n">
        <f aca="false">D172*F172</f>
        <v>20.8</v>
      </c>
      <c r="H172" s="20" t="s">
        <v>269</v>
      </c>
      <c r="I172" s="20" t="s">
        <v>350</v>
      </c>
    </row>
    <row r="173" customFormat="false" ht="15" hidden="false" customHeight="false" outlineLevel="0" collapsed="false">
      <c r="A173" s="35" t="n">
        <v>25</v>
      </c>
      <c r="B173" s="28" t="s">
        <v>429</v>
      </c>
      <c r="C173" s="28" t="s">
        <v>63</v>
      </c>
      <c r="D173" s="29" t="n">
        <v>100</v>
      </c>
      <c r="E173" s="28" t="s">
        <v>53</v>
      </c>
      <c r="F173" s="30" t="n">
        <f aca="false">IFERROR(INDEX('1. Insumos'!$F$5:$F$137,MATCH($C173,'1. Insumos'!$B$5:$B$137,0)),0)</f>
        <v>0.032</v>
      </c>
      <c r="G173" s="31" t="n">
        <f aca="false">D173*F173</f>
        <v>3.2</v>
      </c>
      <c r="H173" s="20" t="s">
        <v>269</v>
      </c>
      <c r="I173" s="20" t="s">
        <v>355</v>
      </c>
    </row>
    <row r="174" customFormat="false" ht="15" hidden="false" customHeight="false" outlineLevel="0" collapsed="false">
      <c r="A174" s="35" t="n">
        <v>25</v>
      </c>
      <c r="B174" s="28" t="s">
        <v>429</v>
      </c>
      <c r="C174" s="28" t="s">
        <v>128</v>
      </c>
      <c r="D174" s="29" t="n">
        <v>150</v>
      </c>
      <c r="E174" s="28" t="s">
        <v>53</v>
      </c>
      <c r="F174" s="30" t="n">
        <f aca="false">IFERROR(INDEX('1. Insumos'!$F$5:$F$137,MATCH($C174,'1. Insumos'!$B$5:$B$137,0)),0)</f>
        <v>0.56</v>
      </c>
      <c r="G174" s="31" t="n">
        <f aca="false">D174*F174</f>
        <v>84</v>
      </c>
      <c r="H174" s="20" t="s">
        <v>269</v>
      </c>
      <c r="I174" s="20" t="s">
        <v>430</v>
      </c>
    </row>
    <row r="175" customFormat="false" ht="15" hidden="false" customHeight="false" outlineLevel="0" collapsed="false">
      <c r="A175" s="35" t="n">
        <v>25</v>
      </c>
      <c r="B175" s="28" t="s">
        <v>429</v>
      </c>
      <c r="C175" s="28" t="s">
        <v>95</v>
      </c>
      <c r="D175" s="29" t="n">
        <v>80</v>
      </c>
      <c r="E175" s="28" t="s">
        <v>53</v>
      </c>
      <c r="F175" s="30" t="n">
        <f aca="false">IFERROR(INDEX('1. Insumos'!$F$5:$F$137,MATCH($C175,'1. Insumos'!$B$5:$B$137,0)),0)</f>
        <v>0.29</v>
      </c>
      <c r="G175" s="31" t="n">
        <f aca="false">D175*F175</f>
        <v>23.2</v>
      </c>
      <c r="H175" s="20" t="s">
        <v>269</v>
      </c>
      <c r="I175" s="20" t="s">
        <v>431</v>
      </c>
    </row>
    <row r="176" customFormat="false" ht="15" hidden="false" customHeight="false" outlineLevel="0" collapsed="false">
      <c r="A176" s="35" t="n">
        <v>25</v>
      </c>
      <c r="B176" s="28" t="s">
        <v>429</v>
      </c>
      <c r="C176" s="28" t="s">
        <v>128</v>
      </c>
      <c r="D176" s="29" t="n">
        <v>40</v>
      </c>
      <c r="E176" s="28" t="s">
        <v>53</v>
      </c>
      <c r="F176" s="30" t="n">
        <f aca="false">IFERROR(INDEX('1. Insumos'!$F$5:$F$137,MATCH($C176,'1. Insumos'!$B$5:$B$137,0)),0)</f>
        <v>0.56</v>
      </c>
      <c r="G176" s="31" t="n">
        <f aca="false">D176*F176</f>
        <v>22.4</v>
      </c>
      <c r="H176" s="20" t="s">
        <v>432</v>
      </c>
      <c r="I176" s="20" t="s">
        <v>433</v>
      </c>
    </row>
    <row r="177" customFormat="false" ht="15" hidden="false" customHeight="false" outlineLevel="0" collapsed="false">
      <c r="A177" s="35" t="n">
        <v>25</v>
      </c>
      <c r="B177" s="28" t="s">
        <v>429</v>
      </c>
      <c r="C177" s="28" t="s">
        <v>185</v>
      </c>
      <c r="D177" s="29" t="n">
        <v>20</v>
      </c>
      <c r="E177" s="28" t="s">
        <v>69</v>
      </c>
      <c r="F177" s="30" t="n">
        <f aca="false">IFERROR(INDEX('1. Insumos'!$F$5:$F$137,MATCH($C177,'1. Insumos'!$B$5:$B$137,0)),0)</f>
        <v>0.56</v>
      </c>
      <c r="G177" s="31" t="n">
        <f aca="false">D177*F177</f>
        <v>11.2</v>
      </c>
      <c r="H177" s="20" t="s">
        <v>432</v>
      </c>
      <c r="I177" s="20" t="s">
        <v>434</v>
      </c>
    </row>
    <row r="178" customFormat="false" ht="15" hidden="false" customHeight="false" outlineLevel="0" collapsed="false">
      <c r="A178" s="35" t="n">
        <v>25</v>
      </c>
      <c r="B178" s="28" t="s">
        <v>429</v>
      </c>
      <c r="C178" s="28" t="s">
        <v>74</v>
      </c>
      <c r="D178" s="29" t="n">
        <v>150</v>
      </c>
      <c r="E178" s="28" t="s">
        <v>69</v>
      </c>
      <c r="F178" s="30" t="n">
        <f aca="false">IFERROR(INDEX('1. Insumos'!$F$5:$F$137,MATCH($C178,'1. Insumos'!$B$5:$B$137,0)),0)</f>
        <v>0.13</v>
      </c>
      <c r="G178" s="31" t="n">
        <f aca="false">D178*F178</f>
        <v>19.5</v>
      </c>
      <c r="H178" s="20" t="s">
        <v>435</v>
      </c>
      <c r="I178" s="20" t="s">
        <v>436</v>
      </c>
    </row>
    <row r="179" customFormat="false" ht="15" hidden="false" customHeight="false" outlineLevel="0" collapsed="false">
      <c r="A179" s="35" t="n">
        <v>25</v>
      </c>
      <c r="B179" s="28" t="s">
        <v>429</v>
      </c>
      <c r="C179" s="28" t="s">
        <v>64</v>
      </c>
      <c r="D179" s="29" t="n">
        <v>20</v>
      </c>
      <c r="E179" s="28" t="s">
        <v>53</v>
      </c>
      <c r="F179" s="30" t="n">
        <f aca="false">IFERROR(INDEX('1. Insumos'!$F$5:$F$137,MATCH($C179,'1. Insumos'!$B$5:$B$137,0)),0)</f>
        <v>0.045</v>
      </c>
      <c r="G179" s="31" t="n">
        <f aca="false">D179*F179</f>
        <v>0.9</v>
      </c>
      <c r="H179" s="20" t="s">
        <v>435</v>
      </c>
      <c r="I179" s="20" t="s">
        <v>437</v>
      </c>
    </row>
    <row r="180" customFormat="false" ht="15" hidden="false" customHeight="false" outlineLevel="0" collapsed="false">
      <c r="A180" s="35" t="n">
        <v>25</v>
      </c>
      <c r="B180" s="28" t="s">
        <v>429</v>
      </c>
      <c r="C180" s="28" t="s">
        <v>94</v>
      </c>
      <c r="D180" s="29" t="n">
        <v>40</v>
      </c>
      <c r="E180" s="28" t="s">
        <v>53</v>
      </c>
      <c r="F180" s="30" t="n">
        <f aca="false">IFERROR(INDEX('1. Insumos'!$F$5:$F$137,MATCH($C180,'1. Insumos'!$B$5:$B$137,0)),0)</f>
        <v>0.32</v>
      </c>
      <c r="G180" s="31" t="n">
        <f aca="false">D180*F180</f>
        <v>12.8</v>
      </c>
      <c r="H180" s="20" t="s">
        <v>435</v>
      </c>
      <c r="I180" s="20" t="s">
        <v>438</v>
      </c>
    </row>
    <row r="181" customFormat="false" ht="15" hidden="false" customHeight="false" outlineLevel="0" collapsed="false">
      <c r="A181" s="35" t="n">
        <v>26</v>
      </c>
      <c r="B181" s="28" t="s">
        <v>439</v>
      </c>
      <c r="C181" s="28" t="s">
        <v>72</v>
      </c>
      <c r="D181" s="29" t="n">
        <v>80</v>
      </c>
      <c r="E181" s="28" t="s">
        <v>53</v>
      </c>
      <c r="F181" s="30" t="n">
        <f aca="false">IFERROR(INDEX('1. Insumos'!$F$5:$F$137,MATCH($C181,'1. Insumos'!$B$5:$B$137,0)),0)</f>
        <v>0.26</v>
      </c>
      <c r="G181" s="31" t="n">
        <f aca="false">D181*F181</f>
        <v>20.8</v>
      </c>
      <c r="H181" s="20" t="s">
        <v>269</v>
      </c>
      <c r="I181" s="20" t="s">
        <v>350</v>
      </c>
    </row>
    <row r="182" customFormat="false" ht="15" hidden="false" customHeight="false" outlineLevel="0" collapsed="false">
      <c r="A182" s="35" t="n">
        <v>26</v>
      </c>
      <c r="B182" s="28" t="s">
        <v>439</v>
      </c>
      <c r="C182" s="28" t="s">
        <v>65</v>
      </c>
      <c r="D182" s="29" t="n">
        <v>100</v>
      </c>
      <c r="E182" s="28" t="s">
        <v>53</v>
      </c>
      <c r="F182" s="30" t="n">
        <f aca="false">IFERROR(INDEX('1. Insumos'!$F$5:$F$137,MATCH($C182,'1. Insumos'!$B$5:$B$137,0)),0)</f>
        <v>0.052</v>
      </c>
      <c r="G182" s="31" t="n">
        <f aca="false">D182*F182</f>
        <v>5.2</v>
      </c>
      <c r="H182" s="20" t="s">
        <v>269</v>
      </c>
      <c r="I182" s="20" t="s">
        <v>343</v>
      </c>
    </row>
    <row r="183" customFormat="false" ht="15" hidden="false" customHeight="false" outlineLevel="0" collapsed="false">
      <c r="A183" s="35" t="n">
        <v>26</v>
      </c>
      <c r="B183" s="28" t="s">
        <v>439</v>
      </c>
      <c r="C183" s="28" t="s">
        <v>105</v>
      </c>
      <c r="D183" s="29" t="n">
        <v>150</v>
      </c>
      <c r="E183" s="28" t="s">
        <v>53</v>
      </c>
      <c r="F183" s="30" t="n">
        <f aca="false">IFERROR(INDEX('1. Insumos'!$F$5:$F$137,MATCH($C183,'1. Insumos'!$B$5:$B$137,0)),0)</f>
        <v>0.29</v>
      </c>
      <c r="G183" s="31" t="n">
        <f aca="false">D183*F183</f>
        <v>43.5</v>
      </c>
      <c r="H183" s="20" t="s">
        <v>269</v>
      </c>
      <c r="I183" s="20" t="s">
        <v>440</v>
      </c>
    </row>
    <row r="184" customFormat="false" ht="15" hidden="false" customHeight="false" outlineLevel="0" collapsed="false">
      <c r="A184" s="35" t="n">
        <v>26</v>
      </c>
      <c r="B184" s="28" t="s">
        <v>439</v>
      </c>
      <c r="C184" s="28" t="s">
        <v>61</v>
      </c>
      <c r="D184" s="29" t="n">
        <v>60</v>
      </c>
      <c r="E184" s="28" t="s">
        <v>53</v>
      </c>
      <c r="F184" s="30" t="n">
        <f aca="false">IFERROR(INDEX('1. Insumos'!$F$5:$F$137,MATCH($C184,'1. Insumos'!$B$5:$B$137,0)),0)</f>
        <v>0.3</v>
      </c>
      <c r="G184" s="31" t="n">
        <f aca="false">D184*F184</f>
        <v>18</v>
      </c>
      <c r="H184" s="20" t="s">
        <v>269</v>
      </c>
      <c r="I184" s="20" t="s">
        <v>441</v>
      </c>
    </row>
    <row r="185" customFormat="false" ht="15" hidden="false" customHeight="false" outlineLevel="0" collapsed="false">
      <c r="A185" s="35" t="n">
        <v>26</v>
      </c>
      <c r="B185" s="28" t="s">
        <v>439</v>
      </c>
      <c r="C185" s="28" t="s">
        <v>115</v>
      </c>
      <c r="D185" s="29" t="n">
        <v>50</v>
      </c>
      <c r="E185" s="28" t="s">
        <v>53</v>
      </c>
      <c r="F185" s="30" t="n">
        <f aca="false">IFERROR(INDEX('1. Insumos'!$F$5:$F$137,MATCH($C185,'1. Insumos'!$B$5:$B$137,0)),0)</f>
        <v>0.68</v>
      </c>
      <c r="G185" s="31" t="n">
        <f aca="false">D185*F185</f>
        <v>34</v>
      </c>
      <c r="H185" s="20" t="s">
        <v>269</v>
      </c>
      <c r="I185" s="20" t="s">
        <v>442</v>
      </c>
    </row>
    <row r="186" customFormat="false" ht="15" hidden="false" customHeight="false" outlineLevel="0" collapsed="false">
      <c r="A186" s="35" t="n">
        <v>26</v>
      </c>
      <c r="B186" s="28" t="s">
        <v>439</v>
      </c>
      <c r="C186" s="28" t="s">
        <v>96</v>
      </c>
      <c r="D186" s="29" t="n">
        <v>150</v>
      </c>
      <c r="E186" s="28" t="s">
        <v>53</v>
      </c>
      <c r="F186" s="30" t="n">
        <f aca="false">IFERROR(INDEX('1. Insumos'!$F$5:$F$137,MATCH($C186,'1. Insumos'!$B$5:$B$137,0)),0)</f>
        <v>0.3</v>
      </c>
      <c r="G186" s="31" t="n">
        <f aca="false">D186*F186</f>
        <v>45</v>
      </c>
      <c r="H186" s="20" t="s">
        <v>443</v>
      </c>
      <c r="I186" s="20" t="s">
        <v>444</v>
      </c>
    </row>
    <row r="187" customFormat="false" ht="15" hidden="false" customHeight="false" outlineLevel="0" collapsed="false">
      <c r="A187" s="35" t="n">
        <v>26</v>
      </c>
      <c r="B187" s="28" t="s">
        <v>439</v>
      </c>
      <c r="C187" s="28" t="s">
        <v>196</v>
      </c>
      <c r="D187" s="29" t="n">
        <v>30</v>
      </c>
      <c r="E187" s="28" t="s">
        <v>69</v>
      </c>
      <c r="F187" s="30" t="n">
        <f aca="false">IFERROR(INDEX('1. Insumos'!$F$5:$F$137,MATCH($C187,'1. Insumos'!$B$5:$B$137,0)),0)</f>
        <v>0.045</v>
      </c>
      <c r="G187" s="31" t="n">
        <f aca="false">D187*F187</f>
        <v>1.35</v>
      </c>
      <c r="H187" s="20" t="s">
        <v>443</v>
      </c>
      <c r="I187" s="20" t="s">
        <v>445</v>
      </c>
    </row>
    <row r="188" customFormat="false" ht="15" hidden="false" customHeight="false" outlineLevel="0" collapsed="false">
      <c r="A188" s="35" t="n">
        <v>26</v>
      </c>
      <c r="B188" s="28" t="s">
        <v>439</v>
      </c>
      <c r="C188" s="28" t="s">
        <v>115</v>
      </c>
      <c r="D188" s="29" t="n">
        <v>60</v>
      </c>
      <c r="E188" s="28" t="s">
        <v>53</v>
      </c>
      <c r="F188" s="30" t="n">
        <f aca="false">IFERROR(INDEX('1. Insumos'!$F$5:$F$137,MATCH($C188,'1. Insumos'!$B$5:$B$137,0)),0)</f>
        <v>0.68</v>
      </c>
      <c r="G188" s="31" t="n">
        <f aca="false">D188*F188</f>
        <v>40.8</v>
      </c>
      <c r="H188" s="20" t="s">
        <v>443</v>
      </c>
      <c r="I188" s="20" t="s">
        <v>446</v>
      </c>
    </row>
    <row r="189" customFormat="false" ht="15" hidden="false" customHeight="false" outlineLevel="0" collapsed="false">
      <c r="A189" s="35" t="n">
        <v>27</v>
      </c>
      <c r="B189" s="28" t="s">
        <v>447</v>
      </c>
      <c r="C189" s="28" t="s">
        <v>72</v>
      </c>
      <c r="D189" s="29" t="n">
        <v>80</v>
      </c>
      <c r="E189" s="28" t="s">
        <v>53</v>
      </c>
      <c r="F189" s="30" t="n">
        <f aca="false">IFERROR(INDEX('1. Insumos'!$F$5:$F$137,MATCH($C189,'1. Insumos'!$B$5:$B$137,0)),0)</f>
        <v>0.26</v>
      </c>
      <c r="G189" s="31" t="n">
        <f aca="false">D189*F189</f>
        <v>20.8</v>
      </c>
      <c r="H189" s="20" t="s">
        <v>448</v>
      </c>
      <c r="I189" s="20" t="s">
        <v>350</v>
      </c>
    </row>
    <row r="190" customFormat="false" ht="15" hidden="false" customHeight="false" outlineLevel="0" collapsed="false">
      <c r="A190" s="35" t="n">
        <v>27</v>
      </c>
      <c r="B190" s="28" t="s">
        <v>447</v>
      </c>
      <c r="C190" s="28" t="s">
        <v>56</v>
      </c>
      <c r="D190" s="29" t="n">
        <v>80</v>
      </c>
      <c r="E190" s="28" t="s">
        <v>53</v>
      </c>
      <c r="F190" s="30" t="n">
        <f aca="false">IFERROR(INDEX('1. Insumos'!$F$5:$F$137,MATCH($C190,'1. Insumos'!$B$5:$B$137,0)),0)</f>
        <v>0.42</v>
      </c>
      <c r="G190" s="31" t="n">
        <f aca="false">D190*F190</f>
        <v>33.6</v>
      </c>
      <c r="H190" s="20" t="s">
        <v>448</v>
      </c>
      <c r="I190" s="20" t="s">
        <v>449</v>
      </c>
    </row>
    <row r="191" customFormat="false" ht="15" hidden="false" customHeight="false" outlineLevel="0" collapsed="false">
      <c r="A191" s="35" t="n">
        <v>27</v>
      </c>
      <c r="B191" s="28" t="s">
        <v>447</v>
      </c>
      <c r="C191" s="28" t="s">
        <v>64</v>
      </c>
      <c r="D191" s="29" t="n">
        <v>80</v>
      </c>
      <c r="E191" s="28" t="s">
        <v>53</v>
      </c>
      <c r="F191" s="30" t="n">
        <f aca="false">IFERROR(INDEX('1. Insumos'!$F$5:$F$137,MATCH($C191,'1. Insumos'!$B$5:$B$137,0)),0)</f>
        <v>0.045</v>
      </c>
      <c r="G191" s="31" t="n">
        <f aca="false">D191*F191</f>
        <v>3.6</v>
      </c>
      <c r="H191" s="20" t="s">
        <v>448</v>
      </c>
      <c r="I191" s="20" t="s">
        <v>450</v>
      </c>
    </row>
    <row r="192" customFormat="false" ht="15" hidden="false" customHeight="false" outlineLevel="0" collapsed="false">
      <c r="A192" s="35" t="n">
        <v>27</v>
      </c>
      <c r="B192" s="28" t="s">
        <v>447</v>
      </c>
      <c r="C192" s="28" t="s">
        <v>80</v>
      </c>
      <c r="D192" s="29" t="n">
        <v>1</v>
      </c>
      <c r="E192" s="28" t="s">
        <v>81</v>
      </c>
      <c r="F192" s="30" t="n">
        <f aca="false">IFERROR(INDEX('1. Insumos'!$F$5:$F$137,MATCH($C192,'1. Insumos'!$B$5:$B$137,0)),0)</f>
        <v>3.5</v>
      </c>
      <c r="G192" s="31" t="n">
        <f aca="false">D192*F192</f>
        <v>3.5</v>
      </c>
      <c r="H192" s="20" t="s">
        <v>448</v>
      </c>
      <c r="I192" s="20" t="s">
        <v>451</v>
      </c>
    </row>
    <row r="193" customFormat="false" ht="15" hidden="false" customHeight="false" outlineLevel="0" collapsed="false">
      <c r="A193" s="35" t="n">
        <v>27</v>
      </c>
      <c r="B193" s="28" t="s">
        <v>447</v>
      </c>
      <c r="C193" s="28" t="s">
        <v>198</v>
      </c>
      <c r="D193" s="29" t="n">
        <v>100</v>
      </c>
      <c r="E193" s="28" t="s">
        <v>69</v>
      </c>
      <c r="F193" s="30" t="n">
        <f aca="false">IFERROR(INDEX('1. Insumos'!$F$5:$F$137,MATCH($C193,'1. Insumos'!$B$5:$B$137,0)),0)</f>
        <v>0.00175</v>
      </c>
      <c r="G193" s="31" t="n">
        <f aca="false">D193*F193</f>
        <v>0.175</v>
      </c>
      <c r="H193" s="20" t="s">
        <v>452</v>
      </c>
      <c r="I193" s="20" t="s">
        <v>453</v>
      </c>
    </row>
    <row r="194" customFormat="false" ht="15" hidden="false" customHeight="false" outlineLevel="0" collapsed="false">
      <c r="A194" s="35" t="n">
        <v>27</v>
      </c>
      <c r="B194" s="28" t="s">
        <v>447</v>
      </c>
      <c r="C194" s="28" t="s">
        <v>63</v>
      </c>
      <c r="D194" s="29" t="n">
        <v>100</v>
      </c>
      <c r="E194" s="28" t="s">
        <v>53</v>
      </c>
      <c r="F194" s="30" t="n">
        <f aca="false">IFERROR(INDEX('1. Insumos'!$F$5:$F$137,MATCH($C194,'1. Insumos'!$B$5:$B$137,0)),0)</f>
        <v>0.032</v>
      </c>
      <c r="G194" s="31" t="n">
        <f aca="false">D194*F194</f>
        <v>3.2</v>
      </c>
      <c r="H194" s="20" t="s">
        <v>452</v>
      </c>
      <c r="I194" s="20" t="s">
        <v>355</v>
      </c>
    </row>
    <row r="195" customFormat="false" ht="15" hidden="false" customHeight="false" outlineLevel="0" collapsed="false">
      <c r="A195" s="35" t="n">
        <v>27</v>
      </c>
      <c r="B195" s="28" t="s">
        <v>447</v>
      </c>
      <c r="C195" s="28" t="s">
        <v>174</v>
      </c>
      <c r="D195" s="29" t="n">
        <v>15</v>
      </c>
      <c r="E195" s="28" t="s">
        <v>53</v>
      </c>
      <c r="F195" s="30" t="n">
        <f aca="false">IFERROR(INDEX('1. Insumos'!$F$5:$F$137,MATCH($C195,'1. Insumos'!$B$5:$B$137,0)),0)</f>
        <v>0.7</v>
      </c>
      <c r="G195" s="31" t="n">
        <f aca="false">D195*F195</f>
        <v>10.5</v>
      </c>
      <c r="H195" s="20" t="s">
        <v>452</v>
      </c>
      <c r="I195" s="20" t="s">
        <v>454</v>
      </c>
    </row>
    <row r="196" customFormat="false" ht="15" hidden="false" customHeight="false" outlineLevel="0" collapsed="false">
      <c r="A196" s="35" t="n">
        <v>27</v>
      </c>
      <c r="B196" s="28" t="s">
        <v>447</v>
      </c>
      <c r="C196" s="28" t="s">
        <v>94</v>
      </c>
      <c r="D196" s="29" t="n">
        <v>150</v>
      </c>
      <c r="E196" s="28" t="s">
        <v>53</v>
      </c>
      <c r="F196" s="30" t="n">
        <f aca="false">IFERROR(INDEX('1. Insumos'!$F$5:$F$137,MATCH($C196,'1. Insumos'!$B$5:$B$137,0)),0)</f>
        <v>0.32</v>
      </c>
      <c r="G196" s="31" t="n">
        <f aca="false">D196*F196</f>
        <v>48</v>
      </c>
      <c r="H196" s="20" t="s">
        <v>455</v>
      </c>
      <c r="I196" s="20" t="s">
        <v>456</v>
      </c>
    </row>
    <row r="197" customFormat="false" ht="15" hidden="false" customHeight="false" outlineLevel="0" collapsed="false">
      <c r="A197" s="35" t="n">
        <v>27</v>
      </c>
      <c r="B197" s="28" t="s">
        <v>447</v>
      </c>
      <c r="C197" s="28" t="s">
        <v>74</v>
      </c>
      <c r="D197" s="29" t="n">
        <v>150</v>
      </c>
      <c r="E197" s="28" t="s">
        <v>69</v>
      </c>
      <c r="F197" s="30" t="n">
        <f aca="false">IFERROR(INDEX('1. Insumos'!$F$5:$F$137,MATCH($C197,'1. Insumos'!$B$5:$B$137,0)),0)</f>
        <v>0.13</v>
      </c>
      <c r="G197" s="31" t="n">
        <f aca="false">D197*F197</f>
        <v>19.5</v>
      </c>
      <c r="H197" s="20" t="s">
        <v>455</v>
      </c>
      <c r="I197" s="20" t="s">
        <v>266</v>
      </c>
    </row>
    <row r="198" customFormat="false" ht="15" hidden="false" customHeight="false" outlineLevel="0" collapsed="false">
      <c r="A198" s="35" t="n">
        <v>28</v>
      </c>
      <c r="B198" s="28" t="s">
        <v>457</v>
      </c>
      <c r="C198" s="28" t="s">
        <v>72</v>
      </c>
      <c r="D198" s="29" t="n">
        <v>80</v>
      </c>
      <c r="E198" s="28" t="s">
        <v>53</v>
      </c>
      <c r="F198" s="30" t="n">
        <f aca="false">IFERROR(INDEX('1. Insumos'!$F$5:$F$137,MATCH($C198,'1. Insumos'!$B$5:$B$137,0)),0)</f>
        <v>0.26</v>
      </c>
      <c r="G198" s="31" t="n">
        <f aca="false">D198*F198</f>
        <v>20.8</v>
      </c>
      <c r="H198" s="20" t="s">
        <v>269</v>
      </c>
      <c r="I198" s="20" t="s">
        <v>350</v>
      </c>
    </row>
    <row r="199" customFormat="false" ht="15" hidden="false" customHeight="false" outlineLevel="0" collapsed="false">
      <c r="A199" s="35" t="n">
        <v>28</v>
      </c>
      <c r="B199" s="28" t="s">
        <v>457</v>
      </c>
      <c r="C199" s="28" t="s">
        <v>63</v>
      </c>
      <c r="D199" s="29" t="n">
        <v>100</v>
      </c>
      <c r="E199" s="28" t="s">
        <v>53</v>
      </c>
      <c r="F199" s="30" t="n">
        <f aca="false">IFERROR(INDEX('1. Insumos'!$F$5:$F$137,MATCH($C199,'1. Insumos'!$B$5:$B$137,0)),0)</f>
        <v>0.032</v>
      </c>
      <c r="G199" s="31" t="n">
        <f aca="false">D199*F199</f>
        <v>3.2</v>
      </c>
      <c r="H199" s="20" t="s">
        <v>269</v>
      </c>
      <c r="I199" s="20" t="s">
        <v>384</v>
      </c>
    </row>
    <row r="200" customFormat="false" ht="15" hidden="false" customHeight="false" outlineLevel="0" collapsed="false">
      <c r="A200" s="35" t="n">
        <v>28</v>
      </c>
      <c r="B200" s="28" t="s">
        <v>457</v>
      </c>
      <c r="C200" s="28" t="s">
        <v>59</v>
      </c>
      <c r="D200" s="29" t="n">
        <v>60</v>
      </c>
      <c r="E200" s="28" t="s">
        <v>53</v>
      </c>
      <c r="F200" s="30" t="n">
        <f aca="false">IFERROR(INDEX('1. Insumos'!$F$5:$F$137,MATCH($C200,'1. Insumos'!$B$5:$B$137,0)),0)</f>
        <v>0.116</v>
      </c>
      <c r="G200" s="31" t="n">
        <f aca="false">D200*F200</f>
        <v>6.96</v>
      </c>
      <c r="H200" s="20" t="s">
        <v>269</v>
      </c>
      <c r="I200" s="20" t="s">
        <v>458</v>
      </c>
    </row>
    <row r="201" customFormat="false" ht="15" hidden="false" customHeight="false" outlineLevel="0" collapsed="false">
      <c r="A201" s="35" t="n">
        <v>28</v>
      </c>
      <c r="B201" s="28" t="s">
        <v>457</v>
      </c>
      <c r="C201" s="28" t="s">
        <v>77</v>
      </c>
      <c r="D201" s="29" t="n">
        <v>100</v>
      </c>
      <c r="E201" s="28" t="s">
        <v>53</v>
      </c>
      <c r="F201" s="30" t="n">
        <f aca="false">IFERROR(INDEX('1. Insumos'!$F$5:$F$137,MATCH($C201,'1. Insumos'!$B$5:$B$137,0)),0)</f>
        <v>0.105793450881612</v>
      </c>
      <c r="G201" s="31" t="n">
        <f aca="false">D201*F201</f>
        <v>10.5793450881612</v>
      </c>
      <c r="H201" s="20" t="s">
        <v>459</v>
      </c>
      <c r="I201" s="20" t="s">
        <v>460</v>
      </c>
    </row>
    <row r="202" customFormat="false" ht="15" hidden="false" customHeight="false" outlineLevel="0" collapsed="false">
      <c r="A202" s="35" t="n">
        <v>28</v>
      </c>
      <c r="B202" s="28" t="s">
        <v>457</v>
      </c>
      <c r="C202" s="28" t="s">
        <v>131</v>
      </c>
      <c r="D202" s="29" t="n">
        <v>1</v>
      </c>
      <c r="E202" s="28" t="s">
        <v>81</v>
      </c>
      <c r="F202" s="30" t="n">
        <f aca="false">IFERROR(INDEX('1. Insumos'!$F$5:$F$137,MATCH($C202,'1. Insumos'!$B$5:$B$137,0)),0)</f>
        <v>6</v>
      </c>
      <c r="G202" s="31" t="n">
        <f aca="false">D202*F202</f>
        <v>6</v>
      </c>
      <c r="H202" s="20" t="s">
        <v>459</v>
      </c>
      <c r="I202" s="20" t="s">
        <v>461</v>
      </c>
    </row>
    <row r="203" customFormat="false" ht="15" hidden="false" customHeight="false" outlineLevel="0" collapsed="false">
      <c r="A203" s="35" t="n">
        <v>28</v>
      </c>
      <c r="B203" s="28" t="s">
        <v>457</v>
      </c>
      <c r="C203" s="28" t="s">
        <v>131</v>
      </c>
      <c r="D203" s="29" t="n">
        <v>1</v>
      </c>
      <c r="E203" s="28" t="s">
        <v>81</v>
      </c>
      <c r="F203" s="30" t="n">
        <f aca="false">IFERROR(INDEX('1. Insumos'!$F$5:$F$137,MATCH($C203,'1. Insumos'!$B$5:$B$137,0)),0)</f>
        <v>6</v>
      </c>
      <c r="G203" s="31" t="n">
        <f aca="false">D203*F203</f>
        <v>6</v>
      </c>
      <c r="H203" s="20" t="s">
        <v>459</v>
      </c>
      <c r="I203" s="20" t="s">
        <v>462</v>
      </c>
    </row>
    <row r="204" customFormat="false" ht="15" hidden="false" customHeight="false" outlineLevel="0" collapsed="false">
      <c r="A204" s="35" t="n">
        <v>28</v>
      </c>
      <c r="B204" s="28" t="s">
        <v>457</v>
      </c>
      <c r="C204" s="28" t="s">
        <v>83</v>
      </c>
      <c r="D204" s="29" t="n">
        <v>3</v>
      </c>
      <c r="E204" s="28" t="s">
        <v>81</v>
      </c>
      <c r="F204" s="30" t="n">
        <f aca="false">IFERROR(INDEX('1. Insumos'!$F$5:$F$137,MATCH($C204,'1. Insumos'!$B$5:$B$137,0)),0)</f>
        <v>3.5</v>
      </c>
      <c r="G204" s="31" t="n">
        <f aca="false">D204*F204</f>
        <v>10.5</v>
      </c>
      <c r="H204" s="20" t="s">
        <v>463</v>
      </c>
      <c r="I204" s="20" t="s">
        <v>464</v>
      </c>
    </row>
    <row r="205" customFormat="false" ht="15" hidden="false" customHeight="false" outlineLevel="0" collapsed="false">
      <c r="A205" s="35" t="n">
        <v>28</v>
      </c>
      <c r="B205" s="28" t="s">
        <v>457</v>
      </c>
      <c r="C205" s="28" t="s">
        <v>63</v>
      </c>
      <c r="D205" s="29" t="n">
        <v>200</v>
      </c>
      <c r="E205" s="28" t="s">
        <v>53</v>
      </c>
      <c r="F205" s="30" t="n">
        <f aca="false">IFERROR(INDEX('1. Insumos'!$F$5:$F$137,MATCH($C205,'1. Insumos'!$B$5:$B$137,0)),0)</f>
        <v>0.032</v>
      </c>
      <c r="G205" s="31" t="n">
        <f aca="false">D205*F205</f>
        <v>6.4</v>
      </c>
      <c r="H205" s="20" t="s">
        <v>463</v>
      </c>
      <c r="I205" s="20" t="s">
        <v>465</v>
      </c>
    </row>
    <row r="206" customFormat="false" ht="15" hidden="false" customHeight="false" outlineLevel="0" collapsed="false">
      <c r="A206" s="35" t="n">
        <v>29</v>
      </c>
      <c r="B206" s="28" t="s">
        <v>466</v>
      </c>
      <c r="C206" s="28" t="s">
        <v>72</v>
      </c>
      <c r="D206" s="29" t="n">
        <v>80</v>
      </c>
      <c r="E206" s="28" t="s">
        <v>53</v>
      </c>
      <c r="F206" s="30" t="n">
        <f aca="false">IFERROR(INDEX('1. Insumos'!$F$5:$F$137,MATCH($C206,'1. Insumos'!$B$5:$B$137,0)),0)</f>
        <v>0.26</v>
      </c>
      <c r="G206" s="31" t="n">
        <f aca="false">D206*F206</f>
        <v>20.8</v>
      </c>
      <c r="H206" s="20" t="s">
        <v>269</v>
      </c>
      <c r="I206" s="20" t="s">
        <v>350</v>
      </c>
    </row>
    <row r="207" customFormat="false" ht="15" hidden="false" customHeight="false" outlineLevel="0" collapsed="false">
      <c r="A207" s="35" t="n">
        <v>29</v>
      </c>
      <c r="B207" s="28" t="s">
        <v>466</v>
      </c>
      <c r="C207" s="28" t="s">
        <v>63</v>
      </c>
      <c r="D207" s="29" t="n">
        <v>100</v>
      </c>
      <c r="E207" s="28" t="s">
        <v>53</v>
      </c>
      <c r="F207" s="30" t="n">
        <f aca="false">IFERROR(INDEX('1. Insumos'!$F$5:$F$137,MATCH($C207,'1. Insumos'!$B$5:$B$137,0)),0)</f>
        <v>0.032</v>
      </c>
      <c r="G207" s="31" t="n">
        <f aca="false">D207*F207</f>
        <v>3.2</v>
      </c>
      <c r="H207" s="20" t="s">
        <v>269</v>
      </c>
      <c r="I207" s="20" t="s">
        <v>467</v>
      </c>
    </row>
    <row r="208" customFormat="false" ht="15" hidden="false" customHeight="false" outlineLevel="0" collapsed="false">
      <c r="A208" s="35" t="n">
        <v>29</v>
      </c>
      <c r="B208" s="28" t="s">
        <v>466</v>
      </c>
      <c r="C208" s="28" t="s">
        <v>78</v>
      </c>
      <c r="D208" s="29" t="n">
        <v>150</v>
      </c>
      <c r="E208" s="28" t="s">
        <v>69</v>
      </c>
      <c r="F208" s="30" t="n">
        <f aca="false">IFERROR(INDEX('1. Insumos'!$F$5:$F$137,MATCH($C208,'1. Insumos'!$B$5:$B$137,0)),0)</f>
        <v>0.0722222222222222</v>
      </c>
      <c r="G208" s="31" t="n">
        <f aca="false">D208*F208</f>
        <v>10.8333333333333</v>
      </c>
      <c r="H208" s="20" t="s">
        <v>468</v>
      </c>
      <c r="I208" s="20" t="s">
        <v>469</v>
      </c>
    </row>
    <row r="209" customFormat="false" ht="15" hidden="false" customHeight="false" outlineLevel="0" collapsed="false">
      <c r="A209" s="35" t="n">
        <v>29</v>
      </c>
      <c r="B209" s="28" t="s">
        <v>466</v>
      </c>
      <c r="C209" s="28" t="s">
        <v>77</v>
      </c>
      <c r="D209" s="29" t="n">
        <v>150</v>
      </c>
      <c r="E209" s="28" t="s">
        <v>53</v>
      </c>
      <c r="F209" s="30" t="n">
        <f aca="false">IFERROR(INDEX('1. Insumos'!$F$5:$F$137,MATCH($C209,'1. Insumos'!$B$5:$B$137,0)),0)</f>
        <v>0.105793450881612</v>
      </c>
      <c r="G209" s="31" t="n">
        <f aca="false">D209*F209</f>
        <v>15.8690176322418</v>
      </c>
      <c r="H209" s="20" t="s">
        <v>468</v>
      </c>
      <c r="I209" s="20" t="s">
        <v>470</v>
      </c>
    </row>
    <row r="210" customFormat="false" ht="15" hidden="false" customHeight="false" outlineLevel="0" collapsed="false">
      <c r="A210" s="35" t="n">
        <v>29</v>
      </c>
      <c r="B210" s="28" t="s">
        <v>466</v>
      </c>
      <c r="C210" s="28" t="s">
        <v>73</v>
      </c>
      <c r="D210" s="29" t="n">
        <v>100</v>
      </c>
      <c r="E210" s="28" t="s">
        <v>69</v>
      </c>
      <c r="F210" s="30" t="n">
        <f aca="false">IFERROR(INDEX('1. Insumos'!$F$5:$F$137,MATCH($C210,'1. Insumos'!$B$5:$B$137,0)),0)</f>
        <v>0.028</v>
      </c>
      <c r="G210" s="31" t="n">
        <f aca="false">D210*F210</f>
        <v>2.8</v>
      </c>
      <c r="H210" s="20" t="s">
        <v>468</v>
      </c>
      <c r="I210" s="20" t="s">
        <v>471</v>
      </c>
    </row>
    <row r="211" customFormat="false" ht="15" hidden="false" customHeight="false" outlineLevel="0" collapsed="false">
      <c r="A211" s="35" t="n">
        <v>29</v>
      </c>
      <c r="B211" s="28" t="s">
        <v>466</v>
      </c>
      <c r="C211" s="28" t="s">
        <v>159</v>
      </c>
      <c r="D211" s="29" t="n">
        <v>5</v>
      </c>
      <c r="E211" s="28" t="s">
        <v>69</v>
      </c>
      <c r="F211" s="30" t="n">
        <f aca="false">IFERROR(INDEX('1. Insumos'!$F$5:$F$137,MATCH($C211,'1. Insumos'!$B$5:$B$137,0)),0)</f>
        <v>1.28</v>
      </c>
      <c r="G211" s="31" t="n">
        <f aca="false">D211*F211</f>
        <v>6.4</v>
      </c>
      <c r="H211" s="20" t="s">
        <v>468</v>
      </c>
      <c r="I211" s="20" t="s">
        <v>330</v>
      </c>
    </row>
    <row r="212" customFormat="false" ht="15" hidden="false" customHeight="false" outlineLevel="0" collapsed="false">
      <c r="A212" s="35" t="n">
        <v>29</v>
      </c>
      <c r="B212" s="28" t="s">
        <v>466</v>
      </c>
      <c r="C212" s="28" t="s">
        <v>74</v>
      </c>
      <c r="D212" s="29" t="n">
        <v>200</v>
      </c>
      <c r="E212" s="28" t="s">
        <v>69</v>
      </c>
      <c r="F212" s="30" t="n">
        <f aca="false">IFERROR(INDEX('1. Insumos'!$F$5:$F$137,MATCH($C212,'1. Insumos'!$B$5:$B$137,0)),0)</f>
        <v>0.13</v>
      </c>
      <c r="G212" s="31" t="n">
        <f aca="false">D212*F212</f>
        <v>26</v>
      </c>
      <c r="H212" s="20" t="s">
        <v>334</v>
      </c>
      <c r="I212" s="20" t="s">
        <v>472</v>
      </c>
    </row>
    <row r="213" customFormat="false" ht="15" hidden="false" customHeight="false" outlineLevel="0" collapsed="false">
      <c r="A213" s="35" t="n">
        <v>29</v>
      </c>
      <c r="B213" s="28" t="s">
        <v>466</v>
      </c>
      <c r="C213" s="28" t="s">
        <v>64</v>
      </c>
      <c r="D213" s="29" t="n">
        <v>30</v>
      </c>
      <c r="E213" s="28" t="s">
        <v>53</v>
      </c>
      <c r="F213" s="30" t="n">
        <f aca="false">IFERROR(INDEX('1. Insumos'!$F$5:$F$137,MATCH($C213,'1. Insumos'!$B$5:$B$137,0)),0)</f>
        <v>0.045</v>
      </c>
      <c r="G213" s="31" t="n">
        <f aca="false">D213*F213</f>
        <v>1.35</v>
      </c>
      <c r="H213" s="20" t="s">
        <v>334</v>
      </c>
      <c r="I213" s="20" t="s">
        <v>473</v>
      </c>
    </row>
    <row r="214" customFormat="false" ht="15" hidden="false" customHeight="false" outlineLevel="0" collapsed="false">
      <c r="A214" s="35" t="n">
        <v>29</v>
      </c>
      <c r="B214" s="28" t="s">
        <v>466</v>
      </c>
      <c r="C214" s="28" t="s">
        <v>162</v>
      </c>
      <c r="D214" s="29" t="n">
        <v>3</v>
      </c>
      <c r="E214" s="28" t="s">
        <v>53</v>
      </c>
      <c r="F214" s="30" t="n">
        <f aca="false">IFERROR(INDEX('1. Insumos'!$F$5:$F$137,MATCH($C214,'1. Insumos'!$B$5:$B$137,0)),0)</f>
        <v>0.72</v>
      </c>
      <c r="G214" s="31" t="n">
        <f aca="false">D214*F214</f>
        <v>2.16</v>
      </c>
      <c r="H214" s="20" t="s">
        <v>334</v>
      </c>
      <c r="I214" s="20" t="s">
        <v>474</v>
      </c>
    </row>
    <row r="215" customFormat="false" ht="15" hidden="false" customHeight="false" outlineLevel="0" collapsed="false">
      <c r="A215" s="35" t="n">
        <v>30</v>
      </c>
      <c r="B215" s="28" t="s">
        <v>475</v>
      </c>
      <c r="C215" s="28" t="s">
        <v>72</v>
      </c>
      <c r="D215" s="29" t="n">
        <v>80</v>
      </c>
      <c r="E215" s="28" t="s">
        <v>53</v>
      </c>
      <c r="F215" s="30" t="n">
        <f aca="false">IFERROR(INDEX('1. Insumos'!$F$5:$F$137,MATCH($C215,'1. Insumos'!$B$5:$B$137,0)),0)</f>
        <v>0.26</v>
      </c>
      <c r="G215" s="31" t="n">
        <f aca="false">D215*F215</f>
        <v>20.8</v>
      </c>
      <c r="H215" s="20" t="s">
        <v>476</v>
      </c>
      <c r="I215" s="20" t="s">
        <v>350</v>
      </c>
    </row>
    <row r="216" customFormat="false" ht="15" hidden="false" customHeight="false" outlineLevel="0" collapsed="false">
      <c r="A216" s="35" t="n">
        <v>30</v>
      </c>
      <c r="B216" s="28" t="s">
        <v>475</v>
      </c>
      <c r="C216" s="28" t="s">
        <v>65</v>
      </c>
      <c r="D216" s="29" t="n">
        <v>80</v>
      </c>
      <c r="E216" s="28" t="s">
        <v>53</v>
      </c>
      <c r="F216" s="30" t="n">
        <f aca="false">IFERROR(INDEX('1. Insumos'!$F$5:$F$137,MATCH($C216,'1. Insumos'!$B$5:$B$137,0)),0)</f>
        <v>0.052</v>
      </c>
      <c r="G216" s="31" t="n">
        <f aca="false">D216*F216</f>
        <v>4.16</v>
      </c>
      <c r="H216" s="20" t="s">
        <v>476</v>
      </c>
      <c r="I216" s="20" t="s">
        <v>364</v>
      </c>
    </row>
    <row r="217" customFormat="false" ht="15" hidden="false" customHeight="false" outlineLevel="0" collapsed="false">
      <c r="A217" s="35" t="n">
        <v>30</v>
      </c>
      <c r="B217" s="28" t="s">
        <v>475</v>
      </c>
      <c r="C217" s="28" t="s">
        <v>59</v>
      </c>
      <c r="D217" s="29" t="n">
        <v>100</v>
      </c>
      <c r="E217" s="28" t="s">
        <v>53</v>
      </c>
      <c r="F217" s="30" t="n">
        <f aca="false">IFERROR(INDEX('1. Insumos'!$F$5:$F$137,MATCH($C217,'1. Insumos'!$B$5:$B$137,0)),0)</f>
        <v>0.116</v>
      </c>
      <c r="G217" s="31" t="n">
        <f aca="false">D217*F217</f>
        <v>11.6</v>
      </c>
      <c r="H217" s="20" t="s">
        <v>476</v>
      </c>
      <c r="I217" s="20" t="s">
        <v>477</v>
      </c>
    </row>
    <row r="218" customFormat="false" ht="15" hidden="false" customHeight="false" outlineLevel="0" collapsed="false">
      <c r="A218" s="35" t="n">
        <v>30</v>
      </c>
      <c r="B218" s="28" t="s">
        <v>475</v>
      </c>
      <c r="C218" s="28" t="s">
        <v>143</v>
      </c>
      <c r="D218" s="29" t="n">
        <v>150</v>
      </c>
      <c r="E218" s="28" t="s">
        <v>53</v>
      </c>
      <c r="F218" s="30" t="n">
        <f aca="false">IFERROR(INDEX('1. Insumos'!$F$5:$F$137,MATCH($C218,'1. Insumos'!$B$5:$B$137,0)),0)</f>
        <v>0.18</v>
      </c>
      <c r="G218" s="31" t="n">
        <f aca="false">D218*F218</f>
        <v>27</v>
      </c>
      <c r="H218" s="20" t="s">
        <v>478</v>
      </c>
      <c r="I218" s="20" t="s">
        <v>479</v>
      </c>
    </row>
    <row r="219" customFormat="false" ht="15" hidden="false" customHeight="false" outlineLevel="0" collapsed="false">
      <c r="A219" s="35" t="n">
        <v>30</v>
      </c>
      <c r="B219" s="28" t="s">
        <v>475</v>
      </c>
      <c r="C219" s="28" t="s">
        <v>123</v>
      </c>
      <c r="D219" s="29" t="n">
        <v>240</v>
      </c>
      <c r="E219" s="28" t="s">
        <v>53</v>
      </c>
      <c r="F219" s="30" t="n">
        <f aca="false">IFERROR(INDEX('1. Insumos'!$F$5:$F$137,MATCH($C219,'1. Insumos'!$B$5:$B$137,0)),0)</f>
        <v>0.03</v>
      </c>
      <c r="G219" s="31" t="n">
        <f aca="false">D219*F219</f>
        <v>7.2</v>
      </c>
      <c r="H219" s="20" t="s">
        <v>478</v>
      </c>
      <c r="I219" s="20" t="s">
        <v>480</v>
      </c>
    </row>
    <row r="220" customFormat="false" ht="15" hidden="false" customHeight="false" outlineLevel="0" collapsed="false">
      <c r="A220" s="35" t="n">
        <v>30</v>
      </c>
      <c r="B220" s="28" t="s">
        <v>475</v>
      </c>
      <c r="C220" s="28" t="s">
        <v>74</v>
      </c>
      <c r="D220" s="29" t="n">
        <v>150</v>
      </c>
      <c r="E220" s="28" t="s">
        <v>69</v>
      </c>
      <c r="F220" s="30" t="n">
        <f aca="false">IFERROR(INDEX('1. Insumos'!$F$5:$F$137,MATCH($C220,'1. Insumos'!$B$5:$B$137,0)),0)</f>
        <v>0.13</v>
      </c>
      <c r="G220" s="31" t="n">
        <f aca="false">D220*F220</f>
        <v>19.5</v>
      </c>
      <c r="H220" s="20" t="s">
        <v>334</v>
      </c>
      <c r="I220" s="20" t="s">
        <v>481</v>
      </c>
    </row>
    <row r="221" customFormat="false" ht="15" hidden="false" customHeight="false" outlineLevel="0" collapsed="false">
      <c r="A221" s="35" t="n">
        <v>30</v>
      </c>
      <c r="B221" s="28" t="s">
        <v>475</v>
      </c>
      <c r="C221" s="28" t="s">
        <v>94</v>
      </c>
      <c r="D221" s="29" t="n">
        <v>30</v>
      </c>
      <c r="E221" s="28" t="s">
        <v>53</v>
      </c>
      <c r="F221" s="30" t="n">
        <f aca="false">IFERROR(INDEX('1. Insumos'!$F$5:$F$137,MATCH($C221,'1. Insumos'!$B$5:$B$137,0)),0)</f>
        <v>0.32</v>
      </c>
      <c r="G221" s="31" t="n">
        <f aca="false">D221*F221</f>
        <v>9.6</v>
      </c>
      <c r="H221" s="20" t="s">
        <v>334</v>
      </c>
      <c r="I221" s="20" t="s">
        <v>482</v>
      </c>
    </row>
    <row r="222" customFormat="false" ht="15" hidden="false" customHeight="false" outlineLevel="0" collapsed="false">
      <c r="A222" s="35" t="n">
        <v>31</v>
      </c>
      <c r="B222" s="28" t="s">
        <v>483</v>
      </c>
      <c r="C222" s="28" t="s">
        <v>72</v>
      </c>
      <c r="D222" s="29" t="n">
        <v>100</v>
      </c>
      <c r="E222" s="28" t="s">
        <v>53</v>
      </c>
      <c r="F222" s="30" t="n">
        <f aca="false">IFERROR(INDEX('1. Insumos'!$F$5:$F$137,MATCH($C222,'1. Insumos'!$B$5:$B$137,0)),0)</f>
        <v>0.26</v>
      </c>
      <c r="G222" s="31" t="n">
        <f aca="false">D222*F222</f>
        <v>26</v>
      </c>
      <c r="H222" s="20" t="s">
        <v>484</v>
      </c>
      <c r="I222" s="20" t="s">
        <v>260</v>
      </c>
    </row>
    <row r="223" customFormat="false" ht="15" hidden="false" customHeight="false" outlineLevel="0" collapsed="false">
      <c r="A223" s="35" t="n">
        <v>31</v>
      </c>
      <c r="B223" s="28" t="s">
        <v>483</v>
      </c>
      <c r="C223" s="28" t="s">
        <v>63</v>
      </c>
      <c r="D223" s="29" t="n">
        <v>120</v>
      </c>
      <c r="E223" s="28" t="s">
        <v>53</v>
      </c>
      <c r="F223" s="30" t="n">
        <f aca="false">IFERROR(INDEX('1. Insumos'!$F$5:$F$137,MATCH($C223,'1. Insumos'!$B$5:$B$137,0)),0)</f>
        <v>0.032</v>
      </c>
      <c r="G223" s="31" t="n">
        <f aca="false">D223*F223</f>
        <v>3.84</v>
      </c>
      <c r="H223" s="20" t="s">
        <v>484</v>
      </c>
      <c r="I223" s="20" t="s">
        <v>261</v>
      </c>
    </row>
    <row r="224" customFormat="false" ht="15" hidden="false" customHeight="false" outlineLevel="0" collapsed="false">
      <c r="A224" s="35" t="n">
        <v>31</v>
      </c>
      <c r="B224" s="28" t="s">
        <v>483</v>
      </c>
      <c r="C224" s="28" t="s">
        <v>132</v>
      </c>
      <c r="D224" s="29" t="n">
        <v>2</v>
      </c>
      <c r="E224" s="28" t="s">
        <v>81</v>
      </c>
      <c r="F224" s="30" t="n">
        <f aca="false">IFERROR(INDEX('1. Insumos'!$F$5:$F$137,MATCH($C224,'1. Insumos'!$B$5:$B$137,0)),0)</f>
        <v>4.5</v>
      </c>
      <c r="G224" s="31" t="n">
        <f aca="false">D224*F224</f>
        <v>9</v>
      </c>
      <c r="H224" s="20" t="s">
        <v>484</v>
      </c>
      <c r="I224" s="20" t="s">
        <v>485</v>
      </c>
    </row>
    <row r="225" customFormat="false" ht="15" hidden="false" customHeight="false" outlineLevel="0" collapsed="false">
      <c r="A225" s="35" t="n">
        <v>31</v>
      </c>
      <c r="B225" s="28" t="s">
        <v>483</v>
      </c>
      <c r="C225" s="28" t="s">
        <v>175</v>
      </c>
      <c r="D225" s="29" t="n">
        <v>10</v>
      </c>
      <c r="E225" s="28" t="s">
        <v>69</v>
      </c>
      <c r="F225" s="30" t="n">
        <f aca="false">IFERROR(INDEX('1. Insumos'!$F$5:$F$137,MATCH($C225,'1. Insumos'!$B$5:$B$137,0)),0)</f>
        <v>0.48</v>
      </c>
      <c r="G225" s="31" t="n">
        <f aca="false">D225*F225</f>
        <v>4.8</v>
      </c>
      <c r="H225" s="20" t="s">
        <v>484</v>
      </c>
      <c r="I225" s="20" t="s">
        <v>486</v>
      </c>
    </row>
    <row r="226" customFormat="false" ht="15" hidden="false" customHeight="false" outlineLevel="0" collapsed="false">
      <c r="A226" s="35" t="n">
        <v>31</v>
      </c>
      <c r="B226" s="28" t="s">
        <v>483</v>
      </c>
      <c r="C226" s="28" t="s">
        <v>72</v>
      </c>
      <c r="D226" s="29" t="n">
        <v>60</v>
      </c>
      <c r="E226" s="28" t="s">
        <v>53</v>
      </c>
      <c r="F226" s="30" t="n">
        <f aca="false">IFERROR(INDEX('1. Insumos'!$F$5:$F$137,MATCH($C226,'1. Insumos'!$B$5:$B$137,0)),0)</f>
        <v>0.26</v>
      </c>
      <c r="G226" s="31" t="n">
        <f aca="false">D226*F226</f>
        <v>15.6</v>
      </c>
      <c r="H226" s="20" t="s">
        <v>487</v>
      </c>
      <c r="I226" s="20" t="s">
        <v>488</v>
      </c>
    </row>
    <row r="227" customFormat="false" ht="15" hidden="false" customHeight="false" outlineLevel="0" collapsed="false">
      <c r="A227" s="35" t="n">
        <v>31</v>
      </c>
      <c r="B227" s="28" t="s">
        <v>483</v>
      </c>
      <c r="C227" s="28" t="s">
        <v>63</v>
      </c>
      <c r="D227" s="29" t="n">
        <v>150</v>
      </c>
      <c r="E227" s="28" t="s">
        <v>53</v>
      </c>
      <c r="F227" s="30" t="n">
        <f aca="false">IFERROR(INDEX('1. Insumos'!$F$5:$F$137,MATCH($C227,'1. Insumos'!$B$5:$B$137,0)),0)</f>
        <v>0.032</v>
      </c>
      <c r="G227" s="31" t="n">
        <f aca="false">D227*F227</f>
        <v>4.8</v>
      </c>
      <c r="H227" s="20" t="s">
        <v>487</v>
      </c>
      <c r="I227" s="20" t="s">
        <v>489</v>
      </c>
    </row>
    <row r="228" customFormat="false" ht="15" hidden="false" customHeight="false" outlineLevel="0" collapsed="false">
      <c r="A228" s="35" t="n">
        <v>32</v>
      </c>
      <c r="B228" s="28" t="s">
        <v>490</v>
      </c>
      <c r="C228" s="28" t="s">
        <v>72</v>
      </c>
      <c r="D228" s="29" t="n">
        <v>80</v>
      </c>
      <c r="E228" s="28" t="s">
        <v>53</v>
      </c>
      <c r="F228" s="30" t="n">
        <f aca="false">IFERROR(INDEX('1. Insumos'!$F$5:$F$137,MATCH($C228,'1. Insumos'!$B$5:$B$137,0)),0)</f>
        <v>0.26</v>
      </c>
      <c r="G228" s="31" t="n">
        <f aca="false">D228*F228</f>
        <v>20.8</v>
      </c>
      <c r="H228" s="20" t="s">
        <v>269</v>
      </c>
      <c r="I228" s="20" t="s">
        <v>350</v>
      </c>
    </row>
    <row r="229" customFormat="false" ht="15" hidden="false" customHeight="false" outlineLevel="0" collapsed="false">
      <c r="A229" s="35" t="n">
        <v>32</v>
      </c>
      <c r="B229" s="28" t="s">
        <v>490</v>
      </c>
      <c r="C229" s="28" t="s">
        <v>63</v>
      </c>
      <c r="D229" s="29" t="n">
        <v>80</v>
      </c>
      <c r="E229" s="28" t="s">
        <v>53</v>
      </c>
      <c r="F229" s="30" t="n">
        <f aca="false">IFERROR(INDEX('1. Insumos'!$F$5:$F$137,MATCH($C229,'1. Insumos'!$B$5:$B$137,0)),0)</f>
        <v>0.032</v>
      </c>
      <c r="G229" s="31" t="n">
        <f aca="false">D229*F229</f>
        <v>2.56</v>
      </c>
      <c r="H229" s="20" t="s">
        <v>269</v>
      </c>
      <c r="I229" s="20" t="s">
        <v>491</v>
      </c>
    </row>
    <row r="230" customFormat="false" ht="15" hidden="false" customHeight="false" outlineLevel="0" collapsed="false">
      <c r="A230" s="35" t="n">
        <v>32</v>
      </c>
      <c r="B230" s="28" t="s">
        <v>490</v>
      </c>
      <c r="C230" s="28" t="s">
        <v>134</v>
      </c>
      <c r="D230" s="29" t="n">
        <v>100</v>
      </c>
      <c r="E230" s="28" t="s">
        <v>53</v>
      </c>
      <c r="F230" s="30" t="n">
        <f aca="false">IFERROR(INDEX('1. Insumos'!$F$5:$F$137,MATCH($C230,'1. Insumos'!$B$5:$B$137,0)),0)</f>
        <v>0.17</v>
      </c>
      <c r="G230" s="31" t="n">
        <f aca="false">D230*F230</f>
        <v>17</v>
      </c>
      <c r="H230" s="20" t="s">
        <v>269</v>
      </c>
      <c r="I230" s="20" t="s">
        <v>492</v>
      </c>
    </row>
    <row r="231" customFormat="false" ht="15" hidden="false" customHeight="false" outlineLevel="0" collapsed="false">
      <c r="A231" s="35" t="n">
        <v>32</v>
      </c>
      <c r="B231" s="28" t="s">
        <v>490</v>
      </c>
      <c r="C231" s="28" t="s">
        <v>114</v>
      </c>
      <c r="D231" s="29" t="n">
        <v>50</v>
      </c>
      <c r="E231" s="28" t="s">
        <v>53</v>
      </c>
      <c r="F231" s="30" t="n">
        <f aca="false">IFERROR(INDEX('1. Insumos'!$F$5:$F$137,MATCH($C231,'1. Insumos'!$B$5:$B$137,0)),0)</f>
        <v>0.38</v>
      </c>
      <c r="G231" s="31" t="n">
        <f aca="false">D231*F231</f>
        <v>19</v>
      </c>
      <c r="H231" s="20" t="s">
        <v>269</v>
      </c>
      <c r="I231" s="20" t="s">
        <v>493</v>
      </c>
    </row>
    <row r="232" customFormat="false" ht="15" hidden="false" customHeight="false" outlineLevel="0" collapsed="false">
      <c r="A232" s="35" t="n">
        <v>32</v>
      </c>
      <c r="B232" s="28" t="s">
        <v>490</v>
      </c>
      <c r="C232" s="28" t="s">
        <v>84</v>
      </c>
      <c r="D232" s="29" t="n">
        <v>50</v>
      </c>
      <c r="E232" s="28" t="s">
        <v>53</v>
      </c>
      <c r="F232" s="30" t="n">
        <f aca="false">IFERROR(INDEX('1. Insumos'!$F$5:$F$137,MATCH($C232,'1. Insumos'!$B$5:$B$137,0)),0)</f>
        <v>0.12</v>
      </c>
      <c r="G232" s="31" t="n">
        <f aca="false">D232*F232</f>
        <v>6</v>
      </c>
      <c r="H232" s="20" t="s">
        <v>494</v>
      </c>
      <c r="I232" s="20" t="s">
        <v>495</v>
      </c>
    </row>
    <row r="233" customFormat="false" ht="15" hidden="false" customHeight="false" outlineLevel="0" collapsed="false">
      <c r="A233" s="35" t="n">
        <v>32</v>
      </c>
      <c r="B233" s="28" t="s">
        <v>490</v>
      </c>
      <c r="C233" s="28" t="s">
        <v>64</v>
      </c>
      <c r="D233" s="29" t="n">
        <v>50</v>
      </c>
      <c r="E233" s="28" t="s">
        <v>53</v>
      </c>
      <c r="F233" s="30" t="n">
        <f aca="false">IFERROR(INDEX('1. Insumos'!$F$5:$F$137,MATCH($C233,'1. Insumos'!$B$5:$B$137,0)),0)</f>
        <v>0.045</v>
      </c>
      <c r="G233" s="31" t="n">
        <f aca="false">D233*F233</f>
        <v>2.25</v>
      </c>
      <c r="H233" s="20" t="s">
        <v>494</v>
      </c>
      <c r="I233" s="20" t="s">
        <v>419</v>
      </c>
    </row>
    <row r="234" customFormat="false" ht="15" hidden="false" customHeight="false" outlineLevel="0" collapsed="false">
      <c r="A234" s="35" t="n">
        <v>32</v>
      </c>
      <c r="B234" s="28" t="s">
        <v>490</v>
      </c>
      <c r="C234" s="28" t="s">
        <v>55</v>
      </c>
      <c r="D234" s="29" t="n">
        <v>50</v>
      </c>
      <c r="E234" s="28" t="s">
        <v>53</v>
      </c>
      <c r="F234" s="30" t="n">
        <f aca="false">IFERROR(INDEX('1. Insumos'!$F$5:$F$137,MATCH($C234,'1. Insumos'!$B$5:$B$137,0)),0)</f>
        <v>0.026</v>
      </c>
      <c r="G234" s="31" t="n">
        <f aca="false">D234*F234</f>
        <v>1.3</v>
      </c>
      <c r="H234" s="20" t="s">
        <v>494</v>
      </c>
      <c r="I234" s="20" t="s">
        <v>496</v>
      </c>
    </row>
    <row r="235" customFormat="false" ht="15" hidden="false" customHeight="false" outlineLevel="0" collapsed="false">
      <c r="A235" s="35" t="n">
        <v>32</v>
      </c>
      <c r="B235" s="28" t="s">
        <v>490</v>
      </c>
      <c r="C235" s="28" t="s">
        <v>135</v>
      </c>
      <c r="D235" s="29" t="n">
        <v>40</v>
      </c>
      <c r="E235" s="28" t="s">
        <v>53</v>
      </c>
      <c r="F235" s="30" t="n">
        <f aca="false">IFERROR(INDEX('1. Insumos'!$F$5:$F$137,MATCH($C235,'1. Insumos'!$B$5:$B$137,0)),0)</f>
        <v>0.48</v>
      </c>
      <c r="G235" s="31" t="n">
        <f aca="false">D235*F235</f>
        <v>19.2</v>
      </c>
      <c r="H235" s="20" t="s">
        <v>494</v>
      </c>
      <c r="I235" s="20" t="s">
        <v>497</v>
      </c>
    </row>
    <row r="236" customFormat="false" ht="15" hidden="false" customHeight="false" outlineLevel="0" collapsed="false">
      <c r="A236" s="35" t="n">
        <v>33</v>
      </c>
      <c r="B236" s="28" t="s">
        <v>498</v>
      </c>
      <c r="C236" s="28" t="s">
        <v>146</v>
      </c>
      <c r="D236" s="29" t="n">
        <v>200</v>
      </c>
      <c r="E236" s="28" t="s">
        <v>53</v>
      </c>
      <c r="F236" s="30" t="n">
        <f aca="false">IFERROR(INDEX('1. Insumos'!$F$5:$F$137,MATCH($C236,'1. Insumos'!$B$5:$B$137,0)),0)</f>
        <v>0.15</v>
      </c>
      <c r="G236" s="31" t="n">
        <f aca="false">D236*F236</f>
        <v>30</v>
      </c>
      <c r="H236" s="20" t="s">
        <v>269</v>
      </c>
      <c r="I236" s="20" t="s">
        <v>499</v>
      </c>
    </row>
    <row r="237" customFormat="false" ht="15" hidden="false" customHeight="false" outlineLevel="0" collapsed="false">
      <c r="A237" s="35" t="n">
        <v>33</v>
      </c>
      <c r="B237" s="28" t="s">
        <v>498</v>
      </c>
      <c r="C237" s="28" t="s">
        <v>72</v>
      </c>
      <c r="D237" s="29" t="n">
        <v>60</v>
      </c>
      <c r="E237" s="28" t="s">
        <v>53</v>
      </c>
      <c r="F237" s="30" t="n">
        <f aca="false">IFERROR(INDEX('1. Insumos'!$F$5:$F$137,MATCH($C237,'1. Insumos'!$B$5:$B$137,0)),0)</f>
        <v>0.26</v>
      </c>
      <c r="G237" s="31" t="n">
        <f aca="false">D237*F237</f>
        <v>15.6</v>
      </c>
      <c r="H237" s="20" t="s">
        <v>269</v>
      </c>
      <c r="I237" s="20" t="s">
        <v>254</v>
      </c>
    </row>
    <row r="238" customFormat="false" ht="15" hidden="false" customHeight="false" outlineLevel="0" collapsed="false">
      <c r="A238" s="35" t="n">
        <v>33</v>
      </c>
      <c r="B238" s="28" t="s">
        <v>498</v>
      </c>
      <c r="C238" s="28" t="s">
        <v>87</v>
      </c>
      <c r="D238" s="29" t="n">
        <v>120</v>
      </c>
      <c r="E238" s="28" t="s">
        <v>53</v>
      </c>
      <c r="F238" s="30" t="n">
        <f aca="false">IFERROR(INDEX('1. Insumos'!$F$5:$F$137,MATCH($C238,'1. Insumos'!$B$5:$B$137,0)),0)</f>
        <v>0.3</v>
      </c>
      <c r="G238" s="31" t="n">
        <f aca="false">D238*F238</f>
        <v>36</v>
      </c>
      <c r="H238" s="20" t="s">
        <v>269</v>
      </c>
      <c r="I238" s="20" t="s">
        <v>500</v>
      </c>
    </row>
    <row r="239" customFormat="false" ht="15" hidden="false" customHeight="false" outlineLevel="0" collapsed="false">
      <c r="A239" s="35" t="n">
        <v>33</v>
      </c>
      <c r="B239" s="28" t="s">
        <v>498</v>
      </c>
      <c r="C239" s="28" t="s">
        <v>75</v>
      </c>
      <c r="D239" s="29" t="n">
        <v>100</v>
      </c>
      <c r="E239" s="28" t="s">
        <v>53</v>
      </c>
      <c r="F239" s="30" t="n">
        <f aca="false">IFERROR(INDEX('1. Insumos'!$F$5:$F$137,MATCH($C239,'1. Insumos'!$B$5:$B$137,0)),0)</f>
        <v>0.19</v>
      </c>
      <c r="G239" s="31" t="n">
        <f aca="false">D239*F239</f>
        <v>19</v>
      </c>
      <c r="H239" s="20" t="s">
        <v>501</v>
      </c>
      <c r="I239" s="20" t="s">
        <v>502</v>
      </c>
    </row>
    <row r="240" customFormat="false" ht="15" hidden="false" customHeight="false" outlineLevel="0" collapsed="false">
      <c r="A240" s="35" t="n">
        <v>33</v>
      </c>
      <c r="B240" s="28" t="s">
        <v>498</v>
      </c>
      <c r="C240" s="28" t="s">
        <v>64</v>
      </c>
      <c r="D240" s="29" t="n">
        <v>30</v>
      </c>
      <c r="E240" s="28" t="s">
        <v>53</v>
      </c>
      <c r="F240" s="30" t="n">
        <f aca="false">IFERROR(INDEX('1. Insumos'!$F$5:$F$137,MATCH($C240,'1. Insumos'!$B$5:$B$137,0)),0)</f>
        <v>0.045</v>
      </c>
      <c r="G240" s="31" t="n">
        <f aca="false">D240*F240</f>
        <v>1.35</v>
      </c>
      <c r="H240" s="20" t="s">
        <v>501</v>
      </c>
      <c r="I240" s="20" t="s">
        <v>473</v>
      </c>
    </row>
    <row r="241" customFormat="false" ht="15" hidden="false" customHeight="false" outlineLevel="0" collapsed="false">
      <c r="A241" s="35" t="n">
        <v>33</v>
      </c>
      <c r="B241" s="28" t="s">
        <v>498</v>
      </c>
      <c r="C241" s="28" t="s">
        <v>87</v>
      </c>
      <c r="D241" s="29" t="n">
        <v>20</v>
      </c>
      <c r="E241" s="28" t="s">
        <v>53</v>
      </c>
      <c r="F241" s="30" t="n">
        <f aca="false">IFERROR(INDEX('1. Insumos'!$F$5:$F$137,MATCH($C241,'1. Insumos'!$B$5:$B$137,0)),0)</f>
        <v>0.3</v>
      </c>
      <c r="G241" s="31" t="n">
        <f aca="false">D241*F241</f>
        <v>6</v>
      </c>
      <c r="H241" s="20" t="s">
        <v>501</v>
      </c>
      <c r="I241" s="20" t="s">
        <v>503</v>
      </c>
    </row>
    <row r="242" customFormat="false" ht="15" hidden="false" customHeight="false" outlineLevel="0" collapsed="false">
      <c r="A242" s="35" t="n">
        <v>34</v>
      </c>
      <c r="B242" s="28" t="s">
        <v>504</v>
      </c>
      <c r="C242" s="28" t="s">
        <v>72</v>
      </c>
      <c r="D242" s="29" t="n">
        <v>80</v>
      </c>
      <c r="E242" s="28" t="s">
        <v>53</v>
      </c>
      <c r="F242" s="30" t="n">
        <f aca="false">IFERROR(INDEX('1. Insumos'!$F$5:$F$137,MATCH($C242,'1. Insumos'!$B$5:$B$137,0)),0)</f>
        <v>0.26</v>
      </c>
      <c r="G242" s="31" t="n">
        <f aca="false">D242*F242</f>
        <v>20.8</v>
      </c>
      <c r="H242" s="20" t="s">
        <v>321</v>
      </c>
      <c r="I242" s="20" t="s">
        <v>350</v>
      </c>
    </row>
    <row r="243" customFormat="false" ht="15" hidden="false" customHeight="false" outlineLevel="0" collapsed="false">
      <c r="A243" s="35" t="n">
        <v>34</v>
      </c>
      <c r="B243" s="28" t="s">
        <v>504</v>
      </c>
      <c r="C243" s="28" t="s">
        <v>66</v>
      </c>
      <c r="D243" s="29" t="n">
        <v>150</v>
      </c>
      <c r="E243" s="28" t="s">
        <v>53</v>
      </c>
      <c r="F243" s="30" t="n">
        <f aca="false">IFERROR(INDEX('1. Insumos'!$F$5:$F$137,MATCH($C243,'1. Insumos'!$B$5:$B$137,0)),0)</f>
        <v>0.048</v>
      </c>
      <c r="G243" s="31" t="n">
        <f aca="false">D243*F243</f>
        <v>7.2</v>
      </c>
      <c r="H243" s="20" t="s">
        <v>321</v>
      </c>
      <c r="I243" s="20" t="s">
        <v>505</v>
      </c>
    </row>
    <row r="244" customFormat="false" ht="15" hidden="false" customHeight="false" outlineLevel="0" collapsed="false">
      <c r="A244" s="35" t="n">
        <v>34</v>
      </c>
      <c r="B244" s="28" t="s">
        <v>504</v>
      </c>
      <c r="C244" s="28" t="s">
        <v>174</v>
      </c>
      <c r="D244" s="29" t="n">
        <v>10</v>
      </c>
      <c r="E244" s="28" t="s">
        <v>53</v>
      </c>
      <c r="F244" s="30" t="n">
        <f aca="false">IFERROR(INDEX('1. Insumos'!$F$5:$F$137,MATCH($C244,'1. Insumos'!$B$5:$B$137,0)),0)</f>
        <v>0.7</v>
      </c>
      <c r="G244" s="31" t="n">
        <f aca="false">D244*F244</f>
        <v>7</v>
      </c>
      <c r="H244" s="20" t="s">
        <v>321</v>
      </c>
      <c r="I244" s="20" t="s">
        <v>506</v>
      </c>
    </row>
    <row r="245" customFormat="false" ht="15" hidden="false" customHeight="false" outlineLevel="0" collapsed="false">
      <c r="A245" s="35" t="n">
        <v>34</v>
      </c>
      <c r="B245" s="28" t="s">
        <v>504</v>
      </c>
      <c r="C245" s="28" t="s">
        <v>162</v>
      </c>
      <c r="D245" s="29" t="n">
        <v>4</v>
      </c>
      <c r="E245" s="28" t="s">
        <v>53</v>
      </c>
      <c r="F245" s="30" t="n">
        <f aca="false">IFERROR(INDEX('1. Insumos'!$F$5:$F$137,MATCH($C245,'1. Insumos'!$B$5:$B$137,0)),0)</f>
        <v>0.72</v>
      </c>
      <c r="G245" s="31" t="n">
        <f aca="false">D245*F245</f>
        <v>2.88</v>
      </c>
      <c r="H245" s="20" t="s">
        <v>321</v>
      </c>
      <c r="I245" s="20" t="s">
        <v>323</v>
      </c>
    </row>
    <row r="246" customFormat="false" ht="15" hidden="false" customHeight="false" outlineLevel="0" collapsed="false">
      <c r="A246" s="35" t="n">
        <v>34</v>
      </c>
      <c r="B246" s="28" t="s">
        <v>504</v>
      </c>
      <c r="C246" s="28" t="s">
        <v>166</v>
      </c>
      <c r="D246" s="29" t="n">
        <v>1</v>
      </c>
      <c r="E246" s="28" t="s">
        <v>53</v>
      </c>
      <c r="F246" s="30" t="n">
        <f aca="false">IFERROR(INDEX('1. Insumos'!$F$5:$F$137,MATCH($C246,'1. Insumos'!$B$5:$B$137,0)),0)</f>
        <v>1.1</v>
      </c>
      <c r="G246" s="31" t="n">
        <f aca="false">D246*F246</f>
        <v>1.1</v>
      </c>
      <c r="H246" s="20" t="s">
        <v>321</v>
      </c>
      <c r="I246" s="20" t="s">
        <v>507</v>
      </c>
    </row>
    <row r="247" customFormat="false" ht="15" hidden="false" customHeight="false" outlineLevel="0" collapsed="false">
      <c r="A247" s="35" t="n">
        <v>34</v>
      </c>
      <c r="B247" s="28" t="s">
        <v>504</v>
      </c>
      <c r="C247" s="28" t="s">
        <v>167</v>
      </c>
      <c r="D247" s="29" t="n">
        <v>1</v>
      </c>
      <c r="E247" s="28" t="s">
        <v>53</v>
      </c>
      <c r="F247" s="30" t="n">
        <f aca="false">IFERROR(INDEX('1. Insumos'!$F$5:$F$137,MATCH($C247,'1. Insumos'!$B$5:$B$137,0)),0)</f>
        <v>1.4</v>
      </c>
      <c r="G247" s="31" t="n">
        <f aca="false">D247*F247</f>
        <v>1.4</v>
      </c>
      <c r="H247" s="20" t="s">
        <v>321</v>
      </c>
      <c r="I247" s="20" t="s">
        <v>508</v>
      </c>
    </row>
    <row r="248" customFormat="false" ht="15" hidden="false" customHeight="false" outlineLevel="0" collapsed="false">
      <c r="A248" s="35" t="n">
        <v>34</v>
      </c>
      <c r="B248" s="28" t="s">
        <v>504</v>
      </c>
      <c r="C248" s="28" t="s">
        <v>66</v>
      </c>
      <c r="D248" s="29" t="n">
        <v>100</v>
      </c>
      <c r="E248" s="28" t="s">
        <v>53</v>
      </c>
      <c r="F248" s="30" t="n">
        <f aca="false">IFERROR(INDEX('1. Insumos'!$F$5:$F$137,MATCH($C248,'1. Insumos'!$B$5:$B$137,0)),0)</f>
        <v>0.048</v>
      </c>
      <c r="G248" s="31" t="n">
        <f aca="false">D248*F248</f>
        <v>4.8</v>
      </c>
      <c r="H248" s="20" t="s">
        <v>509</v>
      </c>
      <c r="I248" s="20" t="s">
        <v>510</v>
      </c>
    </row>
    <row r="249" customFormat="false" ht="15" hidden="false" customHeight="false" outlineLevel="0" collapsed="false">
      <c r="A249" s="35" t="n">
        <v>34</v>
      </c>
      <c r="B249" s="28" t="s">
        <v>504</v>
      </c>
      <c r="C249" s="28" t="s">
        <v>198</v>
      </c>
      <c r="D249" s="29" t="n">
        <v>50</v>
      </c>
      <c r="E249" s="28" t="s">
        <v>69</v>
      </c>
      <c r="F249" s="30" t="n">
        <f aca="false">IFERROR(INDEX('1. Insumos'!$F$5:$F$137,MATCH($C249,'1. Insumos'!$B$5:$B$137,0)),0)</f>
        <v>0.00175</v>
      </c>
      <c r="G249" s="31" t="n">
        <f aca="false">D249*F249</f>
        <v>0.0875</v>
      </c>
      <c r="H249" s="20" t="s">
        <v>509</v>
      </c>
      <c r="I249" s="20" t="s">
        <v>511</v>
      </c>
    </row>
    <row r="250" customFormat="false" ht="15" hidden="false" customHeight="false" outlineLevel="0" collapsed="false">
      <c r="A250" s="35" t="n">
        <v>34</v>
      </c>
      <c r="B250" s="28" t="s">
        <v>504</v>
      </c>
      <c r="C250" s="28" t="s">
        <v>163</v>
      </c>
      <c r="D250" s="29" t="n">
        <v>4</v>
      </c>
      <c r="E250" s="28" t="s">
        <v>53</v>
      </c>
      <c r="F250" s="30" t="n">
        <f aca="false">IFERROR(INDEX('1. Insumos'!$F$5:$F$137,MATCH($C250,'1. Insumos'!$B$5:$B$137,0)),0)</f>
        <v>0.55</v>
      </c>
      <c r="G250" s="31" t="n">
        <f aca="false">D250*F250</f>
        <v>2.2</v>
      </c>
      <c r="H250" s="20" t="s">
        <v>509</v>
      </c>
      <c r="I250" s="20" t="s">
        <v>512</v>
      </c>
    </row>
    <row r="251" customFormat="false" ht="15" hidden="false" customHeight="false" outlineLevel="0" collapsed="false">
      <c r="A251" s="35" t="n">
        <v>35</v>
      </c>
      <c r="B251" s="28" t="s">
        <v>513</v>
      </c>
      <c r="C251" s="28" t="s">
        <v>72</v>
      </c>
      <c r="D251" s="29" t="n">
        <v>100</v>
      </c>
      <c r="E251" s="28" t="s">
        <v>53</v>
      </c>
      <c r="F251" s="30" t="n">
        <f aca="false">IFERROR(INDEX('1. Insumos'!$F$5:$F$137,MATCH($C251,'1. Insumos'!$B$5:$B$137,0)),0)</f>
        <v>0.26</v>
      </c>
      <c r="G251" s="31" t="n">
        <f aca="false">D251*F251</f>
        <v>26</v>
      </c>
      <c r="H251" s="20" t="s">
        <v>269</v>
      </c>
      <c r="I251" s="20" t="s">
        <v>260</v>
      </c>
    </row>
    <row r="252" customFormat="false" ht="15" hidden="false" customHeight="false" outlineLevel="0" collapsed="false">
      <c r="A252" s="35" t="n">
        <v>35</v>
      </c>
      <c r="B252" s="28" t="s">
        <v>513</v>
      </c>
      <c r="C252" s="28" t="s">
        <v>101</v>
      </c>
      <c r="D252" s="29" t="n">
        <v>180</v>
      </c>
      <c r="E252" s="28" t="s">
        <v>53</v>
      </c>
      <c r="F252" s="30" t="n">
        <f aca="false">IFERROR(INDEX('1. Insumos'!$F$5:$F$137,MATCH($C252,'1. Insumos'!$B$5:$B$137,0)),0)</f>
        <v>0.145</v>
      </c>
      <c r="G252" s="31" t="n">
        <f aca="false">D252*F252</f>
        <v>26.1</v>
      </c>
      <c r="H252" s="20" t="s">
        <v>269</v>
      </c>
      <c r="I252" s="20" t="s">
        <v>514</v>
      </c>
    </row>
    <row r="253" customFormat="false" ht="15" hidden="false" customHeight="false" outlineLevel="0" collapsed="false">
      <c r="A253" s="35" t="n">
        <v>35</v>
      </c>
      <c r="B253" s="28" t="s">
        <v>513</v>
      </c>
      <c r="C253" s="28" t="s">
        <v>65</v>
      </c>
      <c r="D253" s="29" t="n">
        <v>50</v>
      </c>
      <c r="E253" s="28" t="s">
        <v>53</v>
      </c>
      <c r="F253" s="30" t="n">
        <f aca="false">IFERROR(INDEX('1. Insumos'!$F$5:$F$137,MATCH($C253,'1. Insumos'!$B$5:$B$137,0)),0)</f>
        <v>0.052</v>
      </c>
      <c r="G253" s="31" t="n">
        <f aca="false">D253*F253</f>
        <v>2.6</v>
      </c>
      <c r="H253" s="20" t="s">
        <v>269</v>
      </c>
      <c r="I253" s="20" t="s">
        <v>281</v>
      </c>
    </row>
    <row r="254" customFormat="false" ht="15" hidden="false" customHeight="false" outlineLevel="0" collapsed="false">
      <c r="A254" s="35" t="n">
        <v>35</v>
      </c>
      <c r="B254" s="28" t="s">
        <v>513</v>
      </c>
      <c r="C254" s="28" t="s">
        <v>113</v>
      </c>
      <c r="D254" s="29" t="n">
        <v>60</v>
      </c>
      <c r="E254" s="28" t="s">
        <v>53</v>
      </c>
      <c r="F254" s="30" t="n">
        <f aca="false">IFERROR(INDEX('1. Insumos'!$F$5:$F$137,MATCH($C254,'1. Insumos'!$B$5:$B$137,0)),0)</f>
        <v>0.32</v>
      </c>
      <c r="G254" s="31" t="n">
        <f aca="false">D254*F254</f>
        <v>19.2</v>
      </c>
      <c r="H254" s="20" t="s">
        <v>269</v>
      </c>
      <c r="I254" s="20" t="s">
        <v>515</v>
      </c>
    </row>
    <row r="255" customFormat="false" ht="15" hidden="false" customHeight="false" outlineLevel="0" collapsed="false">
      <c r="A255" s="35" t="n">
        <v>35</v>
      </c>
      <c r="B255" s="28" t="s">
        <v>513</v>
      </c>
      <c r="C255" s="28" t="s">
        <v>64</v>
      </c>
      <c r="D255" s="29" t="n">
        <v>100</v>
      </c>
      <c r="E255" s="28" t="s">
        <v>53</v>
      </c>
      <c r="F255" s="30" t="n">
        <f aca="false">IFERROR(INDEX('1. Insumos'!$F$5:$F$137,MATCH($C255,'1. Insumos'!$B$5:$B$137,0)),0)</f>
        <v>0.045</v>
      </c>
      <c r="G255" s="31" t="n">
        <f aca="false">D255*F255</f>
        <v>4.5</v>
      </c>
      <c r="H255" s="20" t="s">
        <v>516</v>
      </c>
      <c r="I255" s="20" t="s">
        <v>302</v>
      </c>
    </row>
    <row r="256" customFormat="false" ht="15" hidden="false" customHeight="false" outlineLevel="0" collapsed="false">
      <c r="A256" s="35" t="n">
        <v>35</v>
      </c>
      <c r="B256" s="28" t="s">
        <v>513</v>
      </c>
      <c r="C256" s="28" t="s">
        <v>73</v>
      </c>
      <c r="D256" s="29" t="n">
        <v>20</v>
      </c>
      <c r="E256" s="28" t="s">
        <v>69</v>
      </c>
      <c r="F256" s="30" t="n">
        <f aca="false">IFERROR(INDEX('1. Insumos'!$F$5:$F$137,MATCH($C256,'1. Insumos'!$B$5:$B$137,0)),0)</f>
        <v>0.028</v>
      </c>
      <c r="G256" s="31" t="n">
        <f aca="false">D256*F256</f>
        <v>0.56</v>
      </c>
      <c r="H256" s="20" t="s">
        <v>516</v>
      </c>
      <c r="I256" s="20" t="s">
        <v>517</v>
      </c>
    </row>
    <row r="257" customFormat="false" ht="15" hidden="false" customHeight="false" outlineLevel="0" collapsed="false">
      <c r="A257" s="35" t="n">
        <v>35</v>
      </c>
      <c r="B257" s="28" t="s">
        <v>513</v>
      </c>
      <c r="C257" s="28" t="s">
        <v>162</v>
      </c>
      <c r="D257" s="29" t="n">
        <v>1</v>
      </c>
      <c r="E257" s="28" t="s">
        <v>53</v>
      </c>
      <c r="F257" s="30" t="n">
        <f aca="false">IFERROR(INDEX('1. Insumos'!$F$5:$F$137,MATCH($C257,'1. Insumos'!$B$5:$B$137,0)),0)</f>
        <v>0.72</v>
      </c>
      <c r="G257" s="31" t="n">
        <f aca="false">D257*F257</f>
        <v>0.72</v>
      </c>
      <c r="H257" s="20" t="s">
        <v>516</v>
      </c>
      <c r="I257" s="20" t="s">
        <v>518</v>
      </c>
    </row>
    <row r="258" customFormat="false" ht="15" hidden="false" customHeight="false" outlineLevel="0" collapsed="false">
      <c r="A258" s="35" t="n">
        <v>36</v>
      </c>
      <c r="B258" s="28" t="s">
        <v>519</v>
      </c>
      <c r="C258" s="28" t="s">
        <v>72</v>
      </c>
      <c r="D258" s="29" t="n">
        <v>80</v>
      </c>
      <c r="E258" s="28" t="s">
        <v>53</v>
      </c>
      <c r="F258" s="30" t="n">
        <f aca="false">IFERROR(INDEX('1. Insumos'!$F$5:$F$137,MATCH($C258,'1. Insumos'!$B$5:$B$137,0)),0)</f>
        <v>0.26</v>
      </c>
      <c r="G258" s="31" t="n">
        <f aca="false">D258*F258</f>
        <v>20.8</v>
      </c>
      <c r="H258" s="20" t="s">
        <v>269</v>
      </c>
      <c r="I258" s="20" t="s">
        <v>350</v>
      </c>
    </row>
    <row r="259" customFormat="false" ht="15" hidden="false" customHeight="false" outlineLevel="0" collapsed="false">
      <c r="A259" s="35" t="n">
        <v>36</v>
      </c>
      <c r="B259" s="28" t="s">
        <v>519</v>
      </c>
      <c r="C259" s="28" t="s">
        <v>153</v>
      </c>
      <c r="D259" s="29" t="n">
        <v>180</v>
      </c>
      <c r="E259" s="28" t="s">
        <v>53</v>
      </c>
      <c r="F259" s="30" t="n">
        <f aca="false">IFERROR(INDEX('1. Insumos'!$F$5:$F$137,MATCH($C259,'1. Insumos'!$B$5:$B$137,0)),0)</f>
        <v>0.18</v>
      </c>
      <c r="G259" s="31" t="n">
        <f aca="false">D259*F259</f>
        <v>32.4</v>
      </c>
      <c r="H259" s="20" t="s">
        <v>269</v>
      </c>
      <c r="I259" s="20" t="s">
        <v>520</v>
      </c>
    </row>
    <row r="260" customFormat="false" ht="15" hidden="false" customHeight="false" outlineLevel="0" collapsed="false">
      <c r="A260" s="35" t="n">
        <v>36</v>
      </c>
      <c r="B260" s="28" t="s">
        <v>519</v>
      </c>
      <c r="C260" s="28" t="s">
        <v>64</v>
      </c>
      <c r="D260" s="29" t="n">
        <v>40</v>
      </c>
      <c r="E260" s="28" t="s">
        <v>53</v>
      </c>
      <c r="F260" s="30" t="n">
        <f aca="false">IFERROR(INDEX('1. Insumos'!$F$5:$F$137,MATCH($C260,'1. Insumos'!$B$5:$B$137,0)),0)</f>
        <v>0.045</v>
      </c>
      <c r="G260" s="31" t="n">
        <f aca="false">D260*F260</f>
        <v>1.8</v>
      </c>
      <c r="H260" s="20" t="s">
        <v>269</v>
      </c>
      <c r="I260" s="20" t="s">
        <v>521</v>
      </c>
    </row>
    <row r="261" customFormat="false" ht="15" hidden="false" customHeight="false" outlineLevel="0" collapsed="false">
      <c r="A261" s="35" t="n">
        <v>36</v>
      </c>
      <c r="B261" s="28" t="s">
        <v>519</v>
      </c>
      <c r="C261" s="28" t="s">
        <v>117</v>
      </c>
      <c r="D261" s="29" t="n">
        <v>60</v>
      </c>
      <c r="E261" s="28" t="s">
        <v>53</v>
      </c>
      <c r="F261" s="30" t="n">
        <f aca="false">IFERROR(INDEX('1. Insumos'!$F$5:$F$137,MATCH($C261,'1. Insumos'!$B$5:$B$137,0)),0)</f>
        <v>0.14</v>
      </c>
      <c r="G261" s="31" t="n">
        <f aca="false">D261*F261</f>
        <v>8.4</v>
      </c>
      <c r="H261" s="20" t="s">
        <v>269</v>
      </c>
      <c r="I261" s="20" t="s">
        <v>522</v>
      </c>
    </row>
    <row r="262" customFormat="false" ht="15" hidden="false" customHeight="false" outlineLevel="0" collapsed="false">
      <c r="A262" s="35" t="n">
        <v>36</v>
      </c>
      <c r="B262" s="28" t="s">
        <v>519</v>
      </c>
      <c r="C262" s="28" t="s">
        <v>75</v>
      </c>
      <c r="D262" s="29" t="n">
        <v>100</v>
      </c>
      <c r="E262" s="28" t="s">
        <v>53</v>
      </c>
      <c r="F262" s="30" t="n">
        <f aca="false">IFERROR(INDEX('1. Insumos'!$F$5:$F$137,MATCH($C262,'1. Insumos'!$B$5:$B$137,0)),0)</f>
        <v>0.19</v>
      </c>
      <c r="G262" s="31" t="n">
        <f aca="false">D262*F262</f>
        <v>19</v>
      </c>
      <c r="H262" s="20" t="s">
        <v>316</v>
      </c>
      <c r="I262" s="20" t="s">
        <v>523</v>
      </c>
    </row>
    <row r="263" customFormat="false" ht="15" hidden="false" customHeight="false" outlineLevel="0" collapsed="false">
      <c r="A263" s="35" t="n">
        <v>36</v>
      </c>
      <c r="B263" s="28" t="s">
        <v>519</v>
      </c>
      <c r="C263" s="28" t="s">
        <v>153</v>
      </c>
      <c r="D263" s="29" t="n">
        <v>30</v>
      </c>
      <c r="E263" s="28" t="s">
        <v>53</v>
      </c>
      <c r="F263" s="30" t="n">
        <f aca="false">IFERROR(INDEX('1. Insumos'!$F$5:$F$137,MATCH($C263,'1. Insumos'!$B$5:$B$137,0)),0)</f>
        <v>0.18</v>
      </c>
      <c r="G263" s="31" t="n">
        <f aca="false">D263*F263</f>
        <v>5.4</v>
      </c>
      <c r="H263" s="20" t="s">
        <v>316</v>
      </c>
      <c r="I263" s="20" t="s">
        <v>524</v>
      </c>
    </row>
    <row r="264" customFormat="false" ht="15" hidden="false" customHeight="false" outlineLevel="0" collapsed="false">
      <c r="A264" s="35" t="n">
        <v>36</v>
      </c>
      <c r="B264" s="28" t="s">
        <v>519</v>
      </c>
      <c r="C264" s="28" t="s">
        <v>73</v>
      </c>
      <c r="D264" s="29" t="n">
        <v>30</v>
      </c>
      <c r="E264" s="28" t="s">
        <v>69</v>
      </c>
      <c r="F264" s="30" t="n">
        <f aca="false">IFERROR(INDEX('1. Insumos'!$F$5:$F$137,MATCH($C264,'1. Insumos'!$B$5:$B$137,0)),0)</f>
        <v>0.028</v>
      </c>
      <c r="G264" s="31" t="n">
        <f aca="false">D264*F264</f>
        <v>0.84</v>
      </c>
      <c r="H264" s="20" t="s">
        <v>316</v>
      </c>
      <c r="I264" s="20" t="s">
        <v>525</v>
      </c>
    </row>
    <row r="265" customFormat="false" ht="15" hidden="false" customHeight="false" outlineLevel="0" collapsed="false">
      <c r="A265" s="35" t="n">
        <v>37</v>
      </c>
      <c r="B265" s="28" t="s">
        <v>526</v>
      </c>
      <c r="C265" s="28" t="s">
        <v>130</v>
      </c>
      <c r="D265" s="29" t="n">
        <v>150</v>
      </c>
      <c r="E265" s="28" t="s">
        <v>53</v>
      </c>
      <c r="F265" s="30" t="n">
        <f aca="false">IFERROR(INDEX('1. Insumos'!$F$5:$F$137,MATCH($C265,'1. Insumos'!$B$5:$B$137,0)),0)</f>
        <v>0.15</v>
      </c>
      <c r="G265" s="31" t="n">
        <f aca="false">D265*F265</f>
        <v>22.5</v>
      </c>
      <c r="H265" s="20" t="s">
        <v>269</v>
      </c>
      <c r="I265" s="20" t="s">
        <v>527</v>
      </c>
    </row>
    <row r="266" customFormat="false" ht="15" hidden="false" customHeight="false" outlineLevel="0" collapsed="false">
      <c r="A266" s="35" t="n">
        <v>37</v>
      </c>
      <c r="B266" s="28" t="s">
        <v>526</v>
      </c>
      <c r="C266" s="28" t="s">
        <v>151</v>
      </c>
      <c r="D266" s="29" t="n">
        <v>60</v>
      </c>
      <c r="E266" s="28" t="s">
        <v>69</v>
      </c>
      <c r="F266" s="30" t="n">
        <f aca="false">IFERROR(INDEX('1. Insumos'!$F$5:$F$137,MATCH($C266,'1. Insumos'!$B$5:$B$137,0)),0)</f>
        <v>0.12</v>
      </c>
      <c r="G266" s="31" t="n">
        <f aca="false">D266*F266</f>
        <v>7.2</v>
      </c>
      <c r="H266" s="20" t="s">
        <v>269</v>
      </c>
      <c r="I266" s="20" t="s">
        <v>528</v>
      </c>
    </row>
    <row r="267" customFormat="false" ht="15" hidden="false" customHeight="false" outlineLevel="0" collapsed="false">
      <c r="A267" s="35" t="n">
        <v>37</v>
      </c>
      <c r="B267" s="28" t="s">
        <v>526</v>
      </c>
      <c r="C267" s="28" t="s">
        <v>63</v>
      </c>
      <c r="D267" s="29" t="n">
        <v>80</v>
      </c>
      <c r="E267" s="28" t="s">
        <v>53</v>
      </c>
      <c r="F267" s="30" t="n">
        <f aca="false">IFERROR(INDEX('1. Insumos'!$F$5:$F$137,MATCH($C267,'1. Insumos'!$B$5:$B$137,0)),0)</f>
        <v>0.032</v>
      </c>
      <c r="G267" s="31" t="n">
        <f aca="false">D267*F267</f>
        <v>2.56</v>
      </c>
      <c r="H267" s="20" t="s">
        <v>269</v>
      </c>
      <c r="I267" s="20" t="s">
        <v>491</v>
      </c>
    </row>
    <row r="268" customFormat="false" ht="15" hidden="false" customHeight="false" outlineLevel="0" collapsed="false">
      <c r="A268" s="35" t="n">
        <v>37</v>
      </c>
      <c r="B268" s="28" t="s">
        <v>526</v>
      </c>
      <c r="C268" s="28" t="s">
        <v>178</v>
      </c>
      <c r="D268" s="29" t="n">
        <v>10</v>
      </c>
      <c r="E268" s="28" t="s">
        <v>53</v>
      </c>
      <c r="F268" s="30" t="n">
        <f aca="false">IFERROR(INDEX('1. Insumos'!$F$5:$F$137,MATCH($C268,'1. Insumos'!$B$5:$B$137,0)),0)</f>
        <v>0.45</v>
      </c>
      <c r="G268" s="31" t="n">
        <f aca="false">D268*F268</f>
        <v>4.5</v>
      </c>
      <c r="H268" s="20" t="s">
        <v>269</v>
      </c>
      <c r="I268" s="20" t="s">
        <v>529</v>
      </c>
    </row>
    <row r="269" customFormat="false" ht="15" hidden="false" customHeight="false" outlineLevel="0" collapsed="false">
      <c r="A269" s="35" t="n">
        <v>37</v>
      </c>
      <c r="B269" s="28" t="s">
        <v>526</v>
      </c>
      <c r="C269" s="28" t="s">
        <v>137</v>
      </c>
      <c r="D269" s="29" t="n">
        <v>100</v>
      </c>
      <c r="E269" s="28" t="s">
        <v>53</v>
      </c>
      <c r="F269" s="30" t="n">
        <f aca="false">IFERROR(INDEX('1. Insumos'!$F$5:$F$137,MATCH($C269,'1. Insumos'!$B$5:$B$137,0)),0)</f>
        <v>0.44</v>
      </c>
      <c r="G269" s="31" t="n">
        <f aca="false">D269*F269</f>
        <v>44</v>
      </c>
      <c r="H269" s="20" t="s">
        <v>334</v>
      </c>
      <c r="I269" s="20" t="s">
        <v>530</v>
      </c>
    </row>
    <row r="270" customFormat="false" ht="15" hidden="false" customHeight="false" outlineLevel="0" collapsed="false">
      <c r="A270" s="35" t="n">
        <v>38</v>
      </c>
      <c r="B270" s="28" t="s">
        <v>531</v>
      </c>
      <c r="C270" s="28" t="s">
        <v>187</v>
      </c>
      <c r="D270" s="29" t="n">
        <v>200</v>
      </c>
      <c r="E270" s="28" t="s">
        <v>69</v>
      </c>
      <c r="F270" s="30" t="n">
        <f aca="false">IFERROR(INDEX('1. Insumos'!$F$5:$F$137,MATCH($C270,'1. Insumos'!$B$5:$B$137,0)),0)</f>
        <v>0.18</v>
      </c>
      <c r="G270" s="31" t="n">
        <f aca="false">D270*F270</f>
        <v>36</v>
      </c>
      <c r="H270" s="20" t="s">
        <v>532</v>
      </c>
      <c r="I270" s="20" t="s">
        <v>533</v>
      </c>
    </row>
    <row r="271" customFormat="false" ht="15" hidden="false" customHeight="false" outlineLevel="0" collapsed="false">
      <c r="A271" s="35" t="n">
        <v>38</v>
      </c>
      <c r="B271" s="28" t="s">
        <v>531</v>
      </c>
      <c r="C271" s="28" t="s">
        <v>73</v>
      </c>
      <c r="D271" s="29" t="n">
        <v>50</v>
      </c>
      <c r="E271" s="28" t="s">
        <v>69</v>
      </c>
      <c r="F271" s="30" t="n">
        <f aca="false">IFERROR(INDEX('1. Insumos'!$F$5:$F$137,MATCH($C271,'1. Insumos'!$B$5:$B$137,0)),0)</f>
        <v>0.028</v>
      </c>
      <c r="G271" s="31" t="n">
        <f aca="false">D271*F271</f>
        <v>1.4</v>
      </c>
      <c r="H271" s="20" t="s">
        <v>532</v>
      </c>
      <c r="I271" s="20" t="s">
        <v>534</v>
      </c>
    </row>
    <row r="272" customFormat="false" ht="15" hidden="false" customHeight="false" outlineLevel="0" collapsed="false">
      <c r="A272" s="35" t="n">
        <v>38</v>
      </c>
      <c r="B272" s="28" t="s">
        <v>531</v>
      </c>
      <c r="C272" s="28" t="s">
        <v>82</v>
      </c>
      <c r="D272" s="29" t="n">
        <v>3</v>
      </c>
      <c r="E272" s="28" t="s">
        <v>81</v>
      </c>
      <c r="F272" s="30" t="n">
        <f aca="false">IFERROR(INDEX('1. Insumos'!$F$5:$F$137,MATCH($C272,'1. Insumos'!$B$5:$B$137,0)),0)</f>
        <v>3.5</v>
      </c>
      <c r="G272" s="31" t="n">
        <f aca="false">D272*F272</f>
        <v>10.5</v>
      </c>
      <c r="H272" s="20" t="s">
        <v>532</v>
      </c>
      <c r="I272" s="20" t="s">
        <v>381</v>
      </c>
    </row>
    <row r="273" customFormat="false" ht="15" hidden="false" customHeight="false" outlineLevel="0" collapsed="false">
      <c r="A273" s="35" t="n">
        <v>38</v>
      </c>
      <c r="B273" s="28" t="s">
        <v>531</v>
      </c>
      <c r="C273" s="28" t="s">
        <v>63</v>
      </c>
      <c r="D273" s="29" t="n">
        <v>40</v>
      </c>
      <c r="E273" s="28" t="s">
        <v>53</v>
      </c>
      <c r="F273" s="30" t="n">
        <f aca="false">IFERROR(INDEX('1. Insumos'!$F$5:$F$137,MATCH($C273,'1. Insumos'!$B$5:$B$137,0)),0)</f>
        <v>0.032</v>
      </c>
      <c r="G273" s="31" t="n">
        <f aca="false">D273*F273</f>
        <v>1.28</v>
      </c>
      <c r="H273" s="20" t="s">
        <v>532</v>
      </c>
      <c r="I273" s="20" t="s">
        <v>535</v>
      </c>
    </row>
    <row r="274" customFormat="false" ht="15" hidden="false" customHeight="false" outlineLevel="0" collapsed="false">
      <c r="A274" s="35" t="n">
        <v>38</v>
      </c>
      <c r="B274" s="28" t="s">
        <v>531</v>
      </c>
      <c r="C274" s="28" t="s">
        <v>57</v>
      </c>
      <c r="D274" s="29" t="n">
        <v>30</v>
      </c>
      <c r="E274" s="28" t="s">
        <v>53</v>
      </c>
      <c r="F274" s="30" t="n">
        <f aca="false">IFERROR(INDEX('1. Insumos'!$F$5:$F$137,MATCH($C274,'1. Insumos'!$B$5:$B$137,0)),0)</f>
        <v>0.064</v>
      </c>
      <c r="G274" s="31" t="n">
        <f aca="false">D274*F274</f>
        <v>1.92</v>
      </c>
      <c r="H274" s="20" t="s">
        <v>532</v>
      </c>
      <c r="I274" s="20" t="s">
        <v>536</v>
      </c>
    </row>
    <row r="275" customFormat="false" ht="15" hidden="false" customHeight="false" outlineLevel="0" collapsed="false">
      <c r="A275" s="35" t="n">
        <v>38</v>
      </c>
      <c r="B275" s="28" t="s">
        <v>531</v>
      </c>
      <c r="C275" s="28" t="s">
        <v>110</v>
      </c>
      <c r="D275" s="29" t="n">
        <v>100</v>
      </c>
      <c r="E275" s="28" t="s">
        <v>53</v>
      </c>
      <c r="F275" s="30" t="n">
        <f aca="false">IFERROR(INDEX('1. Insumos'!$F$5:$F$137,MATCH($C275,'1. Insumos'!$B$5:$B$137,0)),0)</f>
        <v>0.48</v>
      </c>
      <c r="G275" s="31" t="n">
        <f aca="false">D275*F275</f>
        <v>48</v>
      </c>
      <c r="H275" s="20" t="s">
        <v>537</v>
      </c>
      <c r="I275" s="20" t="s">
        <v>538</v>
      </c>
    </row>
    <row r="276" customFormat="false" ht="15" hidden="false" customHeight="false" outlineLevel="0" collapsed="false">
      <c r="A276" s="35" t="n">
        <v>38</v>
      </c>
      <c r="B276" s="28" t="s">
        <v>531</v>
      </c>
      <c r="C276" s="28" t="s">
        <v>64</v>
      </c>
      <c r="D276" s="29" t="n">
        <v>100</v>
      </c>
      <c r="E276" s="28" t="s">
        <v>53</v>
      </c>
      <c r="F276" s="30" t="n">
        <f aca="false">IFERROR(INDEX('1. Insumos'!$F$5:$F$137,MATCH($C276,'1. Insumos'!$B$5:$B$137,0)),0)</f>
        <v>0.045</v>
      </c>
      <c r="G276" s="31" t="n">
        <f aca="false">D276*F276</f>
        <v>4.5</v>
      </c>
      <c r="H276" s="20" t="s">
        <v>501</v>
      </c>
      <c r="I276" s="20" t="s">
        <v>302</v>
      </c>
    </row>
    <row r="277" customFormat="false" ht="15" hidden="false" customHeight="false" outlineLevel="0" collapsed="false">
      <c r="A277" s="35" t="n">
        <v>38</v>
      </c>
      <c r="B277" s="28" t="s">
        <v>531</v>
      </c>
      <c r="C277" s="28" t="s">
        <v>187</v>
      </c>
      <c r="D277" s="29" t="n">
        <v>20</v>
      </c>
      <c r="E277" s="28" t="s">
        <v>69</v>
      </c>
      <c r="F277" s="30" t="n">
        <f aca="false">IFERROR(INDEX('1. Insumos'!$F$5:$F$137,MATCH($C277,'1. Insumos'!$B$5:$B$137,0)),0)</f>
        <v>0.18</v>
      </c>
      <c r="G277" s="31" t="n">
        <f aca="false">D277*F277</f>
        <v>3.6</v>
      </c>
      <c r="H277" s="20" t="s">
        <v>501</v>
      </c>
      <c r="I277" s="20" t="s">
        <v>539</v>
      </c>
    </row>
    <row r="278" customFormat="false" ht="15" hidden="false" customHeight="false" outlineLevel="0" collapsed="false">
      <c r="A278" s="35" t="n">
        <v>39</v>
      </c>
      <c r="B278" s="28" t="s">
        <v>540</v>
      </c>
      <c r="C278" s="28" t="s">
        <v>133</v>
      </c>
      <c r="D278" s="29" t="n">
        <v>80</v>
      </c>
      <c r="E278" s="28" t="s">
        <v>53</v>
      </c>
      <c r="F278" s="30" t="n">
        <f aca="false">IFERROR(INDEX('1. Insumos'!$F$5:$F$137,MATCH($C278,'1. Insumos'!$B$5:$B$137,0)),0)</f>
        <v>0.15</v>
      </c>
      <c r="G278" s="31" t="n">
        <f aca="false">D278*F278</f>
        <v>12</v>
      </c>
      <c r="H278" s="20" t="s">
        <v>541</v>
      </c>
      <c r="I278" s="20" t="s">
        <v>542</v>
      </c>
    </row>
    <row r="279" customFormat="false" ht="15" hidden="false" customHeight="false" outlineLevel="0" collapsed="false">
      <c r="A279" s="35" t="n">
        <v>39</v>
      </c>
      <c r="B279" s="28" t="s">
        <v>540</v>
      </c>
      <c r="C279" s="28" t="s">
        <v>184</v>
      </c>
      <c r="D279" s="29" t="n">
        <v>40</v>
      </c>
      <c r="E279" s="28" t="s">
        <v>69</v>
      </c>
      <c r="F279" s="30" t="n">
        <f aca="false">IFERROR(INDEX('1. Insumos'!$F$5:$F$137,MATCH($C279,'1. Insumos'!$B$5:$B$137,0)),0)</f>
        <v>0.426666666666667</v>
      </c>
      <c r="G279" s="31" t="n">
        <f aca="false">D279*F279</f>
        <v>17.0666666666667</v>
      </c>
      <c r="H279" s="20" t="s">
        <v>541</v>
      </c>
      <c r="I279" s="20" t="s">
        <v>543</v>
      </c>
    </row>
    <row r="280" customFormat="false" ht="15" hidden="false" customHeight="false" outlineLevel="0" collapsed="false">
      <c r="A280" s="35" t="n">
        <v>39</v>
      </c>
      <c r="B280" s="28" t="s">
        <v>540</v>
      </c>
      <c r="C280" s="28" t="s">
        <v>155</v>
      </c>
      <c r="D280" s="29" t="n">
        <v>150</v>
      </c>
      <c r="E280" s="28" t="s">
        <v>53</v>
      </c>
      <c r="F280" s="30" t="n">
        <f aca="false">IFERROR(INDEX('1. Insumos'!$F$5:$F$137,MATCH($C280,'1. Insumos'!$B$5:$B$137,0)),0)</f>
        <v>0.06</v>
      </c>
      <c r="G280" s="31" t="n">
        <f aca="false">D280*F280</f>
        <v>9</v>
      </c>
      <c r="H280" s="20" t="s">
        <v>544</v>
      </c>
      <c r="I280" s="20" t="s">
        <v>545</v>
      </c>
    </row>
    <row r="281" customFormat="false" ht="15" hidden="false" customHeight="false" outlineLevel="0" collapsed="false">
      <c r="A281" s="35" t="n">
        <v>39</v>
      </c>
      <c r="B281" s="28" t="s">
        <v>540</v>
      </c>
      <c r="C281" s="28" t="s">
        <v>57</v>
      </c>
      <c r="D281" s="29" t="n">
        <v>15</v>
      </c>
      <c r="E281" s="28" t="s">
        <v>53</v>
      </c>
      <c r="F281" s="30" t="n">
        <f aca="false">IFERROR(INDEX('1. Insumos'!$F$5:$F$137,MATCH($C281,'1. Insumos'!$B$5:$B$137,0)),0)</f>
        <v>0.064</v>
      </c>
      <c r="G281" s="31" t="n">
        <f aca="false">D281*F281</f>
        <v>0.96</v>
      </c>
      <c r="H281" s="20" t="s">
        <v>544</v>
      </c>
      <c r="I281" s="20" t="s">
        <v>546</v>
      </c>
    </row>
    <row r="282" customFormat="false" ht="15" hidden="false" customHeight="false" outlineLevel="0" collapsed="false">
      <c r="A282" s="35" t="n">
        <v>39</v>
      </c>
      <c r="B282" s="28" t="s">
        <v>540</v>
      </c>
      <c r="C282" s="28" t="s">
        <v>162</v>
      </c>
      <c r="D282" s="29" t="n">
        <v>5</v>
      </c>
      <c r="E282" s="28" t="s">
        <v>53</v>
      </c>
      <c r="F282" s="30" t="n">
        <f aca="false">IFERROR(INDEX('1. Insumos'!$F$5:$F$137,MATCH($C282,'1. Insumos'!$B$5:$B$137,0)),0)</f>
        <v>0.72</v>
      </c>
      <c r="G282" s="31" t="n">
        <f aca="false">D282*F282</f>
        <v>3.6</v>
      </c>
      <c r="H282" s="20" t="s">
        <v>544</v>
      </c>
      <c r="I282" s="20" t="s">
        <v>282</v>
      </c>
    </row>
    <row r="283" customFormat="false" ht="15" hidden="false" customHeight="false" outlineLevel="0" collapsed="false">
      <c r="A283" s="35" t="n">
        <v>40</v>
      </c>
      <c r="B283" s="28" t="s">
        <v>547</v>
      </c>
      <c r="C283" s="28" t="s">
        <v>125</v>
      </c>
      <c r="D283" s="29" t="n">
        <v>200</v>
      </c>
      <c r="E283" s="28" t="s">
        <v>53</v>
      </c>
      <c r="F283" s="30" t="n">
        <f aca="false">IFERROR(INDEX('1. Insumos'!$F$5:$F$137,MATCH($C283,'1. Insumos'!$B$5:$B$137,0)),0)</f>
        <v>0.035</v>
      </c>
      <c r="G283" s="31" t="n">
        <f aca="false">D283*F283</f>
        <v>7</v>
      </c>
      <c r="H283" s="20" t="s">
        <v>548</v>
      </c>
      <c r="I283" s="20" t="s">
        <v>549</v>
      </c>
    </row>
    <row r="284" customFormat="false" ht="15" hidden="false" customHeight="false" outlineLevel="0" collapsed="false">
      <c r="A284" s="35" t="n">
        <v>40</v>
      </c>
      <c r="B284" s="28" t="s">
        <v>547</v>
      </c>
      <c r="C284" s="28" t="s">
        <v>66</v>
      </c>
      <c r="D284" s="29" t="n">
        <v>100</v>
      </c>
      <c r="E284" s="28" t="s">
        <v>53</v>
      </c>
      <c r="F284" s="30" t="n">
        <f aca="false">IFERROR(INDEX('1. Insumos'!$F$5:$F$137,MATCH($C284,'1. Insumos'!$B$5:$B$137,0)),0)</f>
        <v>0.048</v>
      </c>
      <c r="G284" s="31" t="n">
        <f aca="false">D284*F284</f>
        <v>4.8</v>
      </c>
      <c r="H284" s="20" t="s">
        <v>548</v>
      </c>
      <c r="I284" s="20" t="s">
        <v>550</v>
      </c>
    </row>
    <row r="285" customFormat="false" ht="15" hidden="false" customHeight="false" outlineLevel="0" collapsed="false">
      <c r="A285" s="35" t="n">
        <v>40</v>
      </c>
      <c r="B285" s="28" t="s">
        <v>547</v>
      </c>
      <c r="C285" s="28" t="s">
        <v>72</v>
      </c>
      <c r="D285" s="29" t="n">
        <v>60</v>
      </c>
      <c r="E285" s="28" t="s">
        <v>53</v>
      </c>
      <c r="F285" s="30" t="n">
        <f aca="false">IFERROR(INDEX('1. Insumos'!$F$5:$F$137,MATCH($C285,'1. Insumos'!$B$5:$B$137,0)),0)</f>
        <v>0.26</v>
      </c>
      <c r="G285" s="31" t="n">
        <f aca="false">D285*F285</f>
        <v>15.6</v>
      </c>
      <c r="H285" s="20" t="s">
        <v>548</v>
      </c>
      <c r="I285" s="20" t="s">
        <v>254</v>
      </c>
    </row>
    <row r="286" customFormat="false" ht="15" hidden="false" customHeight="false" outlineLevel="0" collapsed="false">
      <c r="A286" s="35" t="n">
        <v>40</v>
      </c>
      <c r="B286" s="28" t="s">
        <v>547</v>
      </c>
      <c r="C286" s="28" t="s">
        <v>162</v>
      </c>
      <c r="D286" s="29" t="n">
        <v>4</v>
      </c>
      <c r="E286" s="28" t="s">
        <v>53</v>
      </c>
      <c r="F286" s="30" t="n">
        <f aca="false">IFERROR(INDEX('1. Insumos'!$F$5:$F$137,MATCH($C286,'1. Insumos'!$B$5:$B$137,0)),0)</f>
        <v>0.72</v>
      </c>
      <c r="G286" s="31" t="n">
        <f aca="false">D286*F286</f>
        <v>2.88</v>
      </c>
      <c r="H286" s="20" t="s">
        <v>548</v>
      </c>
      <c r="I286" s="20" t="s">
        <v>551</v>
      </c>
    </row>
    <row r="287" customFormat="false" ht="15" hidden="false" customHeight="false" outlineLevel="0" collapsed="false">
      <c r="A287" s="35" t="n">
        <v>40</v>
      </c>
      <c r="B287" s="28" t="s">
        <v>547</v>
      </c>
      <c r="C287" s="28" t="s">
        <v>66</v>
      </c>
      <c r="D287" s="29" t="n">
        <v>50</v>
      </c>
      <c r="E287" s="28" t="s">
        <v>53</v>
      </c>
      <c r="F287" s="30" t="n">
        <f aca="false">IFERROR(INDEX('1. Insumos'!$F$5:$F$137,MATCH($C287,'1. Insumos'!$B$5:$B$137,0)),0)</f>
        <v>0.048</v>
      </c>
      <c r="G287" s="31" t="n">
        <f aca="false">D287*F287</f>
        <v>2.4</v>
      </c>
      <c r="H287" s="20" t="s">
        <v>552</v>
      </c>
      <c r="I287" s="20" t="s">
        <v>553</v>
      </c>
    </row>
    <row r="288" customFormat="false" ht="15" hidden="false" customHeight="false" outlineLevel="0" collapsed="false">
      <c r="A288" s="35" t="n">
        <v>41</v>
      </c>
      <c r="B288" s="28" t="s">
        <v>554</v>
      </c>
      <c r="C288" s="28" t="s">
        <v>72</v>
      </c>
      <c r="D288" s="29" t="n">
        <v>80</v>
      </c>
      <c r="E288" s="28" t="s">
        <v>53</v>
      </c>
      <c r="F288" s="30" t="n">
        <f aca="false">IFERROR(INDEX('1. Insumos'!$F$5:$F$137,MATCH($C288,'1. Insumos'!$B$5:$B$137,0)),0)</f>
        <v>0.26</v>
      </c>
      <c r="G288" s="31" t="n">
        <f aca="false">D288*F288</f>
        <v>20.8</v>
      </c>
      <c r="H288" s="20" t="s">
        <v>555</v>
      </c>
      <c r="I288" s="20" t="s">
        <v>350</v>
      </c>
    </row>
    <row r="289" customFormat="false" ht="15" hidden="false" customHeight="false" outlineLevel="0" collapsed="false">
      <c r="A289" s="35" t="n">
        <v>41</v>
      </c>
      <c r="B289" s="28" t="s">
        <v>554</v>
      </c>
      <c r="C289" s="28" t="s">
        <v>199</v>
      </c>
      <c r="D289" s="29" t="n">
        <v>40</v>
      </c>
      <c r="E289" s="28" t="s">
        <v>53</v>
      </c>
      <c r="F289" s="30" t="n">
        <f aca="false">IFERROR(INDEX('1. Insumos'!$F$5:$F$137,MATCH($C289,'1. Insumos'!$B$5:$B$137,0)),0)</f>
        <v>0.76</v>
      </c>
      <c r="G289" s="31" t="n">
        <f aca="false">D289*F289</f>
        <v>30.4</v>
      </c>
      <c r="H289" s="20" t="s">
        <v>555</v>
      </c>
      <c r="I289" s="20" t="s">
        <v>556</v>
      </c>
    </row>
    <row r="290" customFormat="false" ht="15" hidden="false" customHeight="false" outlineLevel="0" collapsed="false">
      <c r="A290" s="35" t="n">
        <v>41</v>
      </c>
      <c r="B290" s="28" t="s">
        <v>554</v>
      </c>
      <c r="C290" s="28" t="s">
        <v>65</v>
      </c>
      <c r="D290" s="29" t="n">
        <v>80</v>
      </c>
      <c r="E290" s="28" t="s">
        <v>53</v>
      </c>
      <c r="F290" s="30" t="n">
        <f aca="false">IFERROR(INDEX('1. Insumos'!$F$5:$F$137,MATCH($C290,'1. Insumos'!$B$5:$B$137,0)),0)</f>
        <v>0.052</v>
      </c>
      <c r="G290" s="31" t="n">
        <f aca="false">D290*F290</f>
        <v>4.16</v>
      </c>
      <c r="H290" s="20" t="s">
        <v>555</v>
      </c>
      <c r="I290" s="20" t="s">
        <v>364</v>
      </c>
    </row>
    <row r="291" customFormat="false" ht="15" hidden="false" customHeight="false" outlineLevel="0" collapsed="false">
      <c r="A291" s="35" t="n">
        <v>41</v>
      </c>
      <c r="B291" s="28" t="s">
        <v>554</v>
      </c>
      <c r="C291" s="28" t="s">
        <v>100</v>
      </c>
      <c r="D291" s="29" t="n">
        <v>120</v>
      </c>
      <c r="E291" s="28" t="s">
        <v>53</v>
      </c>
      <c r="F291" s="30" t="n">
        <f aca="false">IFERROR(INDEX('1. Insumos'!$F$5:$F$137,MATCH($C291,'1. Insumos'!$B$5:$B$137,0)),0)</f>
        <v>0.65</v>
      </c>
      <c r="G291" s="31" t="n">
        <f aca="false">D291*F291</f>
        <v>78</v>
      </c>
      <c r="H291" s="20" t="s">
        <v>555</v>
      </c>
      <c r="I291" s="20" t="s">
        <v>557</v>
      </c>
    </row>
    <row r="292" customFormat="false" ht="15" hidden="false" customHeight="false" outlineLevel="0" collapsed="false">
      <c r="A292" s="35" t="n">
        <v>41</v>
      </c>
      <c r="B292" s="28" t="s">
        <v>554</v>
      </c>
      <c r="C292" s="28" t="s">
        <v>120</v>
      </c>
      <c r="D292" s="29" t="n">
        <v>30</v>
      </c>
      <c r="E292" s="28" t="s">
        <v>53</v>
      </c>
      <c r="F292" s="30" t="n">
        <f aca="false">IFERROR(INDEX('1. Insumos'!$F$5:$F$137,MATCH($C292,'1. Insumos'!$B$5:$B$137,0)),0)</f>
        <v>0.22</v>
      </c>
      <c r="G292" s="31" t="n">
        <f aca="false">D292*F292</f>
        <v>6.6</v>
      </c>
      <c r="H292" s="20" t="s">
        <v>555</v>
      </c>
      <c r="I292" s="20" t="s">
        <v>558</v>
      </c>
    </row>
    <row r="293" customFormat="false" ht="15" hidden="false" customHeight="false" outlineLevel="0" collapsed="false">
      <c r="A293" s="35" t="n">
        <v>42</v>
      </c>
      <c r="B293" s="28" t="s">
        <v>559</v>
      </c>
      <c r="C293" s="28" t="s">
        <v>141</v>
      </c>
      <c r="D293" s="29" t="n">
        <v>90</v>
      </c>
      <c r="E293" s="28" t="s">
        <v>53</v>
      </c>
      <c r="F293" s="30" t="n">
        <f aca="false">IFERROR(INDEX('1. Insumos'!$F$5:$F$137,MATCH($C293,'1. Insumos'!$B$5:$B$137,0)),0)</f>
        <v>0.12</v>
      </c>
      <c r="G293" s="31" t="n">
        <f aca="false">D293*F293</f>
        <v>10.8</v>
      </c>
      <c r="H293" s="20" t="s">
        <v>560</v>
      </c>
      <c r="I293" s="20" t="s">
        <v>561</v>
      </c>
    </row>
    <row r="294" customFormat="false" ht="15" hidden="false" customHeight="false" outlineLevel="0" collapsed="false">
      <c r="A294" s="35" t="n">
        <v>42</v>
      </c>
      <c r="B294" s="28" t="s">
        <v>559</v>
      </c>
      <c r="C294" s="28" t="s">
        <v>72</v>
      </c>
      <c r="D294" s="29" t="n">
        <v>80</v>
      </c>
      <c r="E294" s="28" t="s">
        <v>53</v>
      </c>
      <c r="F294" s="30" t="n">
        <f aca="false">IFERROR(INDEX('1. Insumos'!$F$5:$F$137,MATCH($C294,'1. Insumos'!$B$5:$B$137,0)),0)</f>
        <v>0.26</v>
      </c>
      <c r="G294" s="31" t="n">
        <f aca="false">D294*F294</f>
        <v>20.8</v>
      </c>
      <c r="H294" s="20" t="s">
        <v>560</v>
      </c>
      <c r="I294" s="20" t="s">
        <v>350</v>
      </c>
    </row>
    <row r="295" customFormat="false" ht="15" hidden="false" customHeight="false" outlineLevel="0" collapsed="false">
      <c r="A295" s="35" t="n">
        <v>42</v>
      </c>
      <c r="B295" s="28" t="s">
        <v>559</v>
      </c>
      <c r="C295" s="28" t="s">
        <v>86</v>
      </c>
      <c r="D295" s="29" t="n">
        <v>150</v>
      </c>
      <c r="E295" s="28" t="s">
        <v>53</v>
      </c>
      <c r="F295" s="30" t="n">
        <f aca="false">IFERROR(INDEX('1. Insumos'!$F$5:$F$137,MATCH($C295,'1. Insumos'!$B$5:$B$137,0)),0)</f>
        <v>0.96</v>
      </c>
      <c r="G295" s="31" t="n">
        <f aca="false">D295*F295</f>
        <v>144</v>
      </c>
      <c r="H295" s="20" t="s">
        <v>560</v>
      </c>
      <c r="I295" s="20" t="s">
        <v>562</v>
      </c>
    </row>
    <row r="296" customFormat="false" ht="15" hidden="false" customHeight="false" outlineLevel="0" collapsed="false">
      <c r="A296" s="35" t="n">
        <v>42</v>
      </c>
      <c r="B296" s="28" t="s">
        <v>559</v>
      </c>
      <c r="C296" s="28" t="s">
        <v>179</v>
      </c>
      <c r="D296" s="29" t="n">
        <v>10</v>
      </c>
      <c r="E296" s="28" t="s">
        <v>53</v>
      </c>
      <c r="F296" s="30" t="n">
        <f aca="false">IFERROR(INDEX('1. Insumos'!$F$5:$F$137,MATCH($C296,'1. Insumos'!$B$5:$B$137,0)),0)</f>
        <v>0.7</v>
      </c>
      <c r="G296" s="31" t="n">
        <f aca="false">D296*F296</f>
        <v>7</v>
      </c>
      <c r="H296" s="20" t="s">
        <v>560</v>
      </c>
      <c r="I296" s="20" t="s">
        <v>563</v>
      </c>
    </row>
    <row r="297" customFormat="false" ht="15" hidden="false" customHeight="false" outlineLevel="0" collapsed="false">
      <c r="A297" s="35" t="n">
        <v>42</v>
      </c>
      <c r="B297" s="28" t="s">
        <v>559</v>
      </c>
      <c r="C297" s="28" t="s">
        <v>177</v>
      </c>
      <c r="D297" s="29" t="n">
        <v>2</v>
      </c>
      <c r="E297" s="28" t="s">
        <v>53</v>
      </c>
      <c r="F297" s="30" t="n">
        <f aca="false">IFERROR(INDEX('1. Insumos'!$F$5:$F$137,MATCH($C297,'1. Insumos'!$B$5:$B$137,0)),0)</f>
        <v>0.6</v>
      </c>
      <c r="G297" s="31" t="n">
        <f aca="false">D297*F297</f>
        <v>1.2</v>
      </c>
      <c r="H297" s="20" t="s">
        <v>560</v>
      </c>
      <c r="I297" s="20" t="s">
        <v>564</v>
      </c>
    </row>
    <row r="298" customFormat="false" ht="15" hidden="false" customHeight="false" outlineLevel="0" collapsed="false">
      <c r="A298" s="35" t="n">
        <v>43</v>
      </c>
      <c r="B298" s="28" t="s">
        <v>565</v>
      </c>
      <c r="C298" s="28" t="s">
        <v>157</v>
      </c>
      <c r="D298" s="29" t="n">
        <v>180</v>
      </c>
      <c r="E298" s="28" t="s">
        <v>53</v>
      </c>
      <c r="F298" s="30" t="n">
        <f aca="false">IFERROR(INDEX('1. Insumos'!$F$5:$F$137,MATCH($C298,'1. Insumos'!$B$5:$B$137,0)),0)</f>
        <v>0.56</v>
      </c>
      <c r="G298" s="31" t="n">
        <f aca="false">D298*F298</f>
        <v>100.8</v>
      </c>
      <c r="H298" s="20" t="s">
        <v>269</v>
      </c>
      <c r="I298" s="20" t="s">
        <v>566</v>
      </c>
    </row>
    <row r="299" customFormat="false" ht="15" hidden="false" customHeight="false" outlineLevel="0" collapsed="false">
      <c r="A299" s="35" t="n">
        <v>43</v>
      </c>
      <c r="B299" s="28" t="s">
        <v>565</v>
      </c>
      <c r="C299" s="28" t="s">
        <v>118</v>
      </c>
      <c r="D299" s="29" t="n">
        <v>60</v>
      </c>
      <c r="E299" s="28" t="s">
        <v>53</v>
      </c>
      <c r="F299" s="30" t="n">
        <f aca="false">IFERROR(INDEX('1. Insumos'!$F$5:$F$137,MATCH($C299,'1. Insumos'!$B$5:$B$137,0)),0)</f>
        <v>2.2</v>
      </c>
      <c r="G299" s="31" t="n">
        <f aca="false">D299*F299</f>
        <v>132</v>
      </c>
      <c r="H299" s="20" t="s">
        <v>269</v>
      </c>
      <c r="I299" s="20" t="s">
        <v>567</v>
      </c>
    </row>
    <row r="300" customFormat="false" ht="15" hidden="false" customHeight="false" outlineLevel="0" collapsed="false">
      <c r="A300" s="35" t="n">
        <v>43</v>
      </c>
      <c r="B300" s="28" t="s">
        <v>565</v>
      </c>
      <c r="C300" s="28" t="s">
        <v>92</v>
      </c>
      <c r="D300" s="29" t="n">
        <v>120</v>
      </c>
      <c r="E300" s="28" t="s">
        <v>53</v>
      </c>
      <c r="F300" s="30" t="n">
        <f aca="false">IFERROR(INDEX('1. Insumos'!$F$5:$F$137,MATCH($C300,'1. Insumos'!$B$5:$B$137,0)),0)</f>
        <v>0.28</v>
      </c>
      <c r="G300" s="31" t="n">
        <f aca="false">D300*F300</f>
        <v>33.6</v>
      </c>
      <c r="H300" s="20" t="s">
        <v>269</v>
      </c>
      <c r="I300" s="20" t="s">
        <v>568</v>
      </c>
    </row>
    <row r="301" customFormat="false" ht="15" hidden="false" customHeight="false" outlineLevel="0" collapsed="false">
      <c r="A301" s="35" t="n">
        <v>44</v>
      </c>
      <c r="B301" s="28" t="s">
        <v>569</v>
      </c>
      <c r="C301" s="28" t="s">
        <v>150</v>
      </c>
      <c r="D301" s="29" t="n">
        <v>150</v>
      </c>
      <c r="E301" s="28" t="s">
        <v>53</v>
      </c>
      <c r="F301" s="30" t="n">
        <f aca="false">IFERROR(INDEX('1. Insumos'!$F$5:$F$137,MATCH($C301,'1. Insumos'!$B$5:$B$137,0)),0)</f>
        <v>0.433333333333333</v>
      </c>
      <c r="G301" s="31" t="n">
        <f aca="false">D301*F301</f>
        <v>65</v>
      </c>
      <c r="H301" s="20" t="s">
        <v>269</v>
      </c>
      <c r="I301" s="20" t="s">
        <v>570</v>
      </c>
    </row>
    <row r="302" customFormat="false" ht="15" hidden="false" customHeight="false" outlineLevel="0" collapsed="false">
      <c r="A302" s="35" t="n">
        <v>44</v>
      </c>
      <c r="B302" s="28" t="s">
        <v>569</v>
      </c>
      <c r="C302" s="28" t="s">
        <v>89</v>
      </c>
      <c r="D302" s="29" t="n">
        <v>100</v>
      </c>
      <c r="E302" s="28" t="s">
        <v>53</v>
      </c>
      <c r="F302" s="30" t="n">
        <f aca="false">IFERROR(INDEX('1. Insumos'!$F$5:$F$137,MATCH($C302,'1. Insumos'!$B$5:$B$137,0)),0)</f>
        <v>0.88</v>
      </c>
      <c r="G302" s="31" t="n">
        <f aca="false">D302*F302</f>
        <v>88</v>
      </c>
      <c r="H302" s="20" t="s">
        <v>269</v>
      </c>
      <c r="I302" s="20" t="s">
        <v>571</v>
      </c>
    </row>
    <row r="303" customFormat="false" ht="15" hidden="false" customHeight="false" outlineLevel="0" collapsed="false">
      <c r="A303" s="35" t="n">
        <v>44</v>
      </c>
      <c r="B303" s="28" t="s">
        <v>569</v>
      </c>
      <c r="C303" s="28" t="s">
        <v>110</v>
      </c>
      <c r="D303" s="29" t="n">
        <v>80</v>
      </c>
      <c r="E303" s="28" t="s">
        <v>53</v>
      </c>
      <c r="F303" s="30" t="n">
        <f aca="false">IFERROR(INDEX('1. Insumos'!$F$5:$F$137,MATCH($C303,'1. Insumos'!$B$5:$B$137,0)),0)</f>
        <v>0.48</v>
      </c>
      <c r="G303" s="31" t="n">
        <f aca="false">D303*F303</f>
        <v>38.4</v>
      </c>
      <c r="H303" s="20" t="s">
        <v>269</v>
      </c>
      <c r="I303" s="20" t="s">
        <v>572</v>
      </c>
    </row>
    <row r="304" customFormat="false" ht="15" hidden="false" customHeight="false" outlineLevel="0" collapsed="false">
      <c r="A304" s="35" t="n">
        <v>45</v>
      </c>
      <c r="B304" s="28" t="s">
        <v>573</v>
      </c>
      <c r="C304" s="28" t="s">
        <v>139</v>
      </c>
      <c r="D304" s="29" t="n">
        <v>300</v>
      </c>
      <c r="E304" s="28" t="s">
        <v>53</v>
      </c>
      <c r="F304" s="30" t="n">
        <f aca="false">IFERROR(INDEX('1. Insumos'!$F$5:$F$137,MATCH($C304,'1. Insumos'!$B$5:$B$137,0)),0)</f>
        <v>0.18</v>
      </c>
      <c r="G304" s="31" t="n">
        <f aca="false">D304*F304</f>
        <v>54</v>
      </c>
      <c r="H304" s="20" t="s">
        <v>574</v>
      </c>
      <c r="I304" s="20" t="s">
        <v>575</v>
      </c>
    </row>
    <row r="305" customFormat="false" ht="15" hidden="false" customHeight="false" outlineLevel="0" collapsed="false">
      <c r="A305" s="35" t="n">
        <v>45</v>
      </c>
      <c r="B305" s="28" t="s">
        <v>573</v>
      </c>
      <c r="C305" s="28" t="s">
        <v>140</v>
      </c>
      <c r="D305" s="29" t="n">
        <v>35</v>
      </c>
      <c r="E305" s="28" t="s">
        <v>53</v>
      </c>
      <c r="F305" s="30" t="n">
        <f aca="false">IFERROR(INDEX('1. Insumos'!$F$5:$F$137,MATCH($C305,'1. Insumos'!$B$5:$B$137,0)),0)</f>
        <v>0.16</v>
      </c>
      <c r="G305" s="31" t="n">
        <f aca="false">D305*F305</f>
        <v>5.6</v>
      </c>
      <c r="H305" s="20" t="s">
        <v>574</v>
      </c>
      <c r="I305" s="20" t="s">
        <v>576</v>
      </c>
    </row>
    <row r="306" customFormat="false" ht="15" hidden="false" customHeight="false" outlineLevel="0" collapsed="false">
      <c r="A306" s="35" t="n">
        <v>45</v>
      </c>
      <c r="B306" s="28" t="s">
        <v>573</v>
      </c>
      <c r="C306" s="28" t="s">
        <v>72</v>
      </c>
      <c r="D306" s="29" t="n">
        <v>40</v>
      </c>
      <c r="E306" s="28" t="s">
        <v>53</v>
      </c>
      <c r="F306" s="30" t="n">
        <f aca="false">IFERROR(INDEX('1. Insumos'!$F$5:$F$137,MATCH($C306,'1. Insumos'!$B$5:$B$137,0)),0)</f>
        <v>0.26</v>
      </c>
      <c r="G306" s="31" t="n">
        <f aca="false">D306*F306</f>
        <v>10.4</v>
      </c>
      <c r="H306" s="20" t="s">
        <v>574</v>
      </c>
      <c r="I306" s="20" t="s">
        <v>296</v>
      </c>
    </row>
    <row r="307" customFormat="false" ht="15" hidden="false" customHeight="false" outlineLevel="0" collapsed="false">
      <c r="A307" s="35" t="n">
        <v>45</v>
      </c>
      <c r="B307" s="28" t="s">
        <v>573</v>
      </c>
      <c r="C307" s="28" t="s">
        <v>181</v>
      </c>
      <c r="D307" s="29" t="n">
        <v>10</v>
      </c>
      <c r="E307" s="28" t="s">
        <v>69</v>
      </c>
      <c r="F307" s="30" t="n">
        <f aca="false">IFERROR(INDEX('1. Insumos'!$F$5:$F$137,MATCH($C307,'1. Insumos'!$B$5:$B$137,0)),0)</f>
        <v>3.2</v>
      </c>
      <c r="G307" s="31" t="n">
        <f aca="false">D307*F307</f>
        <v>32</v>
      </c>
      <c r="H307" s="20" t="s">
        <v>574</v>
      </c>
      <c r="I307" s="20" t="s">
        <v>577</v>
      </c>
    </row>
    <row r="308" customFormat="false" ht="15" hidden="false" customHeight="false" outlineLevel="0" collapsed="false">
      <c r="A308" s="35" t="n">
        <v>45</v>
      </c>
      <c r="B308" s="28" t="s">
        <v>573</v>
      </c>
      <c r="C308" s="28" t="s">
        <v>90</v>
      </c>
      <c r="D308" s="29" t="n">
        <v>120</v>
      </c>
      <c r="E308" s="28" t="s">
        <v>53</v>
      </c>
      <c r="F308" s="30" t="n">
        <f aca="false">IFERROR(INDEX('1. Insumos'!$F$5:$F$137,MATCH($C308,'1. Insumos'!$B$5:$B$137,0)),0)</f>
        <v>0.84</v>
      </c>
      <c r="G308" s="31" t="n">
        <f aca="false">D308*F308</f>
        <v>100.8</v>
      </c>
      <c r="H308" s="20" t="s">
        <v>574</v>
      </c>
      <c r="I308" s="20" t="s">
        <v>578</v>
      </c>
    </row>
    <row r="309" customFormat="false" ht="15" hidden="false" customHeight="false" outlineLevel="0" collapsed="false">
      <c r="A309" s="35" t="n">
        <v>46</v>
      </c>
      <c r="B309" s="28" t="s">
        <v>579</v>
      </c>
      <c r="C309" s="28" t="s">
        <v>190</v>
      </c>
      <c r="D309" s="29" t="n">
        <v>250</v>
      </c>
      <c r="E309" s="28" t="s">
        <v>53</v>
      </c>
      <c r="F309" s="30" t="n">
        <f aca="false">IFERROR(INDEX('1. Insumos'!$F$5:$F$137,MATCH($C309,'1. Insumos'!$B$5:$B$137,0)),0)</f>
        <v>0.36</v>
      </c>
      <c r="G309" s="31" t="n">
        <f aca="false">D309*F309</f>
        <v>90</v>
      </c>
      <c r="H309" s="20" t="s">
        <v>269</v>
      </c>
      <c r="I309" s="20" t="s">
        <v>580</v>
      </c>
    </row>
    <row r="310" customFormat="false" ht="15" hidden="false" customHeight="false" outlineLevel="0" collapsed="false">
      <c r="A310" s="35" t="n">
        <v>46</v>
      </c>
      <c r="B310" s="28" t="s">
        <v>579</v>
      </c>
      <c r="C310" s="28" t="s">
        <v>72</v>
      </c>
      <c r="D310" s="29" t="n">
        <v>80</v>
      </c>
      <c r="E310" s="28" t="s">
        <v>53</v>
      </c>
      <c r="F310" s="30" t="n">
        <f aca="false">IFERROR(INDEX('1. Insumos'!$F$5:$F$137,MATCH($C310,'1. Insumos'!$B$5:$B$137,0)),0)</f>
        <v>0.26</v>
      </c>
      <c r="G310" s="31" t="n">
        <f aca="false">D310*F310</f>
        <v>20.8</v>
      </c>
      <c r="H310" s="20" t="s">
        <v>269</v>
      </c>
      <c r="I310" s="20" t="s">
        <v>350</v>
      </c>
    </row>
    <row r="311" customFormat="false" ht="15" hidden="false" customHeight="false" outlineLevel="0" collapsed="false">
      <c r="A311" s="35" t="n">
        <v>46</v>
      </c>
      <c r="B311" s="28" t="s">
        <v>579</v>
      </c>
      <c r="C311" s="28" t="s">
        <v>65</v>
      </c>
      <c r="D311" s="29" t="n">
        <v>100</v>
      </c>
      <c r="E311" s="28" t="s">
        <v>53</v>
      </c>
      <c r="F311" s="30" t="n">
        <f aca="false">IFERROR(INDEX('1. Insumos'!$F$5:$F$137,MATCH($C311,'1. Insumos'!$B$5:$B$137,0)),0)</f>
        <v>0.052</v>
      </c>
      <c r="G311" s="31" t="n">
        <f aca="false">D311*F311</f>
        <v>5.2</v>
      </c>
      <c r="H311" s="20" t="s">
        <v>269</v>
      </c>
      <c r="I311" s="20" t="s">
        <v>343</v>
      </c>
    </row>
    <row r="312" customFormat="false" ht="15" hidden="false" customHeight="false" outlineLevel="0" collapsed="false">
      <c r="A312" s="35" t="n">
        <v>46</v>
      </c>
      <c r="B312" s="28" t="s">
        <v>579</v>
      </c>
      <c r="C312" s="28" t="s">
        <v>68</v>
      </c>
      <c r="D312" s="29" t="n">
        <v>40</v>
      </c>
      <c r="E312" s="28" t="s">
        <v>69</v>
      </c>
      <c r="F312" s="30" t="n">
        <f aca="false">IFERROR(INDEX('1. Insumos'!$F$5:$F$137,MATCH($C312,'1. Insumos'!$B$5:$B$137,0)),0)</f>
        <v>0.76</v>
      </c>
      <c r="G312" s="31" t="n">
        <f aca="false">D312*F312</f>
        <v>30.4</v>
      </c>
      <c r="H312" s="20" t="s">
        <v>269</v>
      </c>
      <c r="I312" s="20" t="s">
        <v>581</v>
      </c>
    </row>
    <row r="313" customFormat="false" ht="15" hidden="false" customHeight="false" outlineLevel="0" collapsed="false">
      <c r="A313" s="35" t="n">
        <v>46</v>
      </c>
      <c r="B313" s="28" t="s">
        <v>579</v>
      </c>
      <c r="C313" s="28" t="s">
        <v>64</v>
      </c>
      <c r="D313" s="29" t="n">
        <v>120</v>
      </c>
      <c r="E313" s="28" t="s">
        <v>53</v>
      </c>
      <c r="F313" s="30" t="n">
        <f aca="false">IFERROR(INDEX('1. Insumos'!$F$5:$F$137,MATCH($C313,'1. Insumos'!$B$5:$B$137,0)),0)</f>
        <v>0.045</v>
      </c>
      <c r="G313" s="31" t="n">
        <f aca="false">D313*F313</f>
        <v>5.4</v>
      </c>
      <c r="H313" s="20" t="s">
        <v>582</v>
      </c>
      <c r="I313" s="20" t="s">
        <v>583</v>
      </c>
    </row>
    <row r="314" customFormat="false" ht="15" hidden="false" customHeight="false" outlineLevel="0" collapsed="false">
      <c r="A314" s="35" t="n">
        <v>46</v>
      </c>
      <c r="B314" s="28" t="s">
        <v>579</v>
      </c>
      <c r="C314" s="28" t="s">
        <v>68</v>
      </c>
      <c r="D314" s="29" t="n">
        <v>30</v>
      </c>
      <c r="E314" s="28" t="s">
        <v>69</v>
      </c>
      <c r="F314" s="30" t="n">
        <f aca="false">IFERROR(INDEX('1. Insumos'!$F$5:$F$137,MATCH($C314,'1. Insumos'!$B$5:$B$137,0)),0)</f>
        <v>0.76</v>
      </c>
      <c r="G314" s="31" t="n">
        <f aca="false">D314*F314</f>
        <v>22.8</v>
      </c>
      <c r="H314" s="20" t="s">
        <v>582</v>
      </c>
      <c r="I314" s="20" t="s">
        <v>584</v>
      </c>
    </row>
    <row r="315" customFormat="false" ht="15" hidden="false" customHeight="false" outlineLevel="0" collapsed="false">
      <c r="A315" s="35" t="n">
        <v>46</v>
      </c>
      <c r="B315" s="28" t="s">
        <v>579</v>
      </c>
      <c r="C315" s="28" t="s">
        <v>73</v>
      </c>
      <c r="D315" s="29" t="n">
        <v>10</v>
      </c>
      <c r="E315" s="28" t="s">
        <v>69</v>
      </c>
      <c r="F315" s="30" t="n">
        <f aca="false">IFERROR(INDEX('1. Insumos'!$F$5:$F$137,MATCH($C315,'1. Insumos'!$B$5:$B$137,0)),0)</f>
        <v>0.028</v>
      </c>
      <c r="G315" s="31" t="n">
        <f aca="false">D315*F315</f>
        <v>0.28</v>
      </c>
      <c r="H315" s="20" t="s">
        <v>582</v>
      </c>
      <c r="I315" s="20" t="s">
        <v>585</v>
      </c>
    </row>
    <row r="316" customFormat="false" ht="15" hidden="false" customHeight="false" outlineLevel="0" collapsed="false">
      <c r="A316" s="35" t="n">
        <v>47</v>
      </c>
      <c r="B316" s="28" t="s">
        <v>586</v>
      </c>
      <c r="C316" s="28" t="s">
        <v>188</v>
      </c>
      <c r="D316" s="29" t="n">
        <v>350</v>
      </c>
      <c r="E316" s="28" t="s">
        <v>69</v>
      </c>
      <c r="F316" s="30" t="n">
        <f aca="false">IFERROR(INDEX('1. Insumos'!$F$5:$F$137,MATCH($C316,'1. Insumos'!$B$5:$B$137,0)),0)</f>
        <v>0.126760563380282</v>
      </c>
      <c r="G316" s="31" t="n">
        <f aca="false">D316*F316</f>
        <v>44.3661971830986</v>
      </c>
      <c r="H316" s="20" t="s">
        <v>587</v>
      </c>
      <c r="I316" s="20" t="s">
        <v>588</v>
      </c>
    </row>
    <row r="317" customFormat="false" ht="15" hidden="false" customHeight="false" outlineLevel="0" collapsed="false">
      <c r="A317" s="35" t="n">
        <v>47</v>
      </c>
      <c r="B317" s="28" t="s">
        <v>586</v>
      </c>
      <c r="C317" s="28" t="s">
        <v>65</v>
      </c>
      <c r="D317" s="29" t="n">
        <v>50</v>
      </c>
      <c r="E317" s="28" t="s">
        <v>53</v>
      </c>
      <c r="F317" s="30" t="n">
        <f aca="false">IFERROR(INDEX('1. Insumos'!$F$5:$F$137,MATCH($C317,'1. Insumos'!$B$5:$B$137,0)),0)</f>
        <v>0.052</v>
      </c>
      <c r="G317" s="31" t="n">
        <f aca="false">D317*F317</f>
        <v>2.6</v>
      </c>
      <c r="H317" s="20" t="s">
        <v>587</v>
      </c>
      <c r="I317" s="20" t="s">
        <v>281</v>
      </c>
    </row>
    <row r="318" customFormat="false" ht="15" hidden="false" customHeight="false" outlineLevel="0" collapsed="false">
      <c r="A318" s="35" t="n">
        <v>47</v>
      </c>
      <c r="B318" s="28" t="s">
        <v>586</v>
      </c>
      <c r="C318" s="28" t="s">
        <v>72</v>
      </c>
      <c r="D318" s="29" t="n">
        <v>60</v>
      </c>
      <c r="E318" s="28" t="s">
        <v>53</v>
      </c>
      <c r="F318" s="30" t="n">
        <f aca="false">IFERROR(INDEX('1. Insumos'!$F$5:$F$137,MATCH($C318,'1. Insumos'!$B$5:$B$137,0)),0)</f>
        <v>0.26</v>
      </c>
      <c r="G318" s="31" t="n">
        <f aca="false">D318*F318</f>
        <v>15.6</v>
      </c>
      <c r="H318" s="20" t="s">
        <v>269</v>
      </c>
      <c r="I318" s="20" t="s">
        <v>254</v>
      </c>
    </row>
    <row r="319" customFormat="false" ht="15" hidden="false" customHeight="false" outlineLevel="0" collapsed="false">
      <c r="A319" s="35" t="n">
        <v>47</v>
      </c>
      <c r="B319" s="28" t="s">
        <v>586</v>
      </c>
      <c r="C319" s="28" t="s">
        <v>91</v>
      </c>
      <c r="D319" s="29" t="n">
        <v>150</v>
      </c>
      <c r="E319" s="28" t="s">
        <v>53</v>
      </c>
      <c r="F319" s="30" t="n">
        <f aca="false">IFERROR(INDEX('1. Insumos'!$F$5:$F$137,MATCH($C319,'1. Insumos'!$B$5:$B$137,0)),0)</f>
        <v>0.52</v>
      </c>
      <c r="G319" s="31" t="n">
        <f aca="false">D319*F319</f>
        <v>78</v>
      </c>
      <c r="H319" s="20" t="s">
        <v>269</v>
      </c>
      <c r="I319" s="20" t="s">
        <v>589</v>
      </c>
    </row>
    <row r="320" customFormat="false" ht="15" hidden="false" customHeight="false" outlineLevel="0" collapsed="false">
      <c r="A320" s="35" t="n">
        <v>47</v>
      </c>
      <c r="B320" s="28" t="s">
        <v>586</v>
      </c>
      <c r="C320" s="28" t="s">
        <v>177</v>
      </c>
      <c r="D320" s="29" t="n">
        <v>1</v>
      </c>
      <c r="E320" s="28" t="s">
        <v>53</v>
      </c>
      <c r="F320" s="30" t="n">
        <f aca="false">IFERROR(INDEX('1. Insumos'!$F$5:$F$137,MATCH($C320,'1. Insumos'!$B$5:$B$137,0)),0)</f>
        <v>0.6</v>
      </c>
      <c r="G320" s="31" t="n">
        <f aca="false">D320*F320</f>
        <v>0.6</v>
      </c>
      <c r="H320" s="20" t="s">
        <v>269</v>
      </c>
      <c r="I320" s="20" t="s">
        <v>590</v>
      </c>
    </row>
    <row r="321" customFormat="false" ht="15" hidden="false" customHeight="false" outlineLevel="0" collapsed="false">
      <c r="A321" s="35" t="n">
        <v>48</v>
      </c>
      <c r="B321" s="28" t="s">
        <v>591</v>
      </c>
      <c r="C321" s="28" t="s">
        <v>72</v>
      </c>
      <c r="D321" s="29" t="n">
        <v>80</v>
      </c>
      <c r="E321" s="28" t="s">
        <v>53</v>
      </c>
      <c r="F321" s="30" t="n">
        <f aca="false">IFERROR(INDEX('1. Insumos'!$F$5:$F$137,MATCH($C321,'1. Insumos'!$B$5:$B$137,0)),0)</f>
        <v>0.26</v>
      </c>
      <c r="G321" s="31" t="n">
        <f aca="false">D321*F321</f>
        <v>20.8</v>
      </c>
      <c r="H321" s="20" t="s">
        <v>321</v>
      </c>
      <c r="I321" s="20" t="s">
        <v>350</v>
      </c>
    </row>
    <row r="322" customFormat="false" ht="15" hidden="false" customHeight="false" outlineLevel="0" collapsed="false">
      <c r="A322" s="35" t="n">
        <v>48</v>
      </c>
      <c r="B322" s="28" t="s">
        <v>591</v>
      </c>
      <c r="C322" s="28" t="s">
        <v>63</v>
      </c>
      <c r="D322" s="29" t="n">
        <v>120</v>
      </c>
      <c r="E322" s="28" t="s">
        <v>53</v>
      </c>
      <c r="F322" s="30" t="n">
        <f aca="false">IFERROR(INDEX('1. Insumos'!$F$5:$F$137,MATCH($C322,'1. Insumos'!$B$5:$B$137,0)),0)</f>
        <v>0.032</v>
      </c>
      <c r="G322" s="31" t="n">
        <f aca="false">D322*F322</f>
        <v>3.84</v>
      </c>
      <c r="H322" s="20" t="s">
        <v>321</v>
      </c>
      <c r="I322" s="20" t="s">
        <v>261</v>
      </c>
    </row>
    <row r="323" customFormat="false" ht="15" hidden="false" customHeight="false" outlineLevel="0" collapsed="false">
      <c r="A323" s="35" t="n">
        <v>48</v>
      </c>
      <c r="B323" s="28" t="s">
        <v>591</v>
      </c>
      <c r="C323" s="28" t="s">
        <v>168</v>
      </c>
      <c r="D323" s="29" t="n">
        <v>8</v>
      </c>
      <c r="E323" s="28" t="s">
        <v>53</v>
      </c>
      <c r="F323" s="30" t="n">
        <f aca="false">IFERROR(INDEX('1. Insumos'!$F$5:$F$137,MATCH($C323,'1. Insumos'!$B$5:$B$137,0)),0)</f>
        <v>2.8</v>
      </c>
      <c r="G323" s="31" t="n">
        <f aca="false">D323*F323</f>
        <v>22.4</v>
      </c>
      <c r="H323" s="20" t="s">
        <v>321</v>
      </c>
      <c r="I323" s="20" t="s">
        <v>592</v>
      </c>
    </row>
    <row r="324" customFormat="false" ht="15" hidden="false" customHeight="false" outlineLevel="0" collapsed="false">
      <c r="A324" s="35" t="n">
        <v>48</v>
      </c>
      <c r="B324" s="28" t="s">
        <v>591</v>
      </c>
      <c r="C324" s="28" t="s">
        <v>136</v>
      </c>
      <c r="D324" s="29" t="n">
        <v>80</v>
      </c>
      <c r="E324" s="28" t="s">
        <v>53</v>
      </c>
      <c r="F324" s="30" t="n">
        <f aca="false">IFERROR(INDEX('1. Insumos'!$F$5:$F$137,MATCH($C324,'1. Insumos'!$B$5:$B$137,0)),0)</f>
        <v>0.56</v>
      </c>
      <c r="G324" s="31" t="n">
        <f aca="false">D324*F324</f>
        <v>44.8</v>
      </c>
      <c r="H324" s="20" t="s">
        <v>321</v>
      </c>
      <c r="I324" s="20" t="s">
        <v>593</v>
      </c>
    </row>
    <row r="325" customFormat="false" ht="15" hidden="false" customHeight="false" outlineLevel="0" collapsed="false">
      <c r="A325" s="35" t="n">
        <v>48</v>
      </c>
      <c r="B325" s="28" t="s">
        <v>591</v>
      </c>
      <c r="C325" s="28" t="s">
        <v>116</v>
      </c>
      <c r="D325" s="29" t="n">
        <v>60</v>
      </c>
      <c r="E325" s="28" t="s">
        <v>53</v>
      </c>
      <c r="F325" s="30" t="n">
        <f aca="false">IFERROR(INDEX('1. Insumos'!$F$5:$F$137,MATCH($C325,'1. Insumos'!$B$5:$B$137,0)),0)</f>
        <v>1.2</v>
      </c>
      <c r="G325" s="31" t="n">
        <f aca="false">D325*F325</f>
        <v>72</v>
      </c>
      <c r="H325" s="20" t="s">
        <v>321</v>
      </c>
      <c r="I325" s="20" t="s">
        <v>594</v>
      </c>
    </row>
    <row r="326" customFormat="false" ht="15" hidden="false" customHeight="false" outlineLevel="0" collapsed="false">
      <c r="A326" s="35" t="n">
        <v>48</v>
      </c>
      <c r="B326" s="28" t="s">
        <v>591</v>
      </c>
      <c r="C326" s="28" t="s">
        <v>147</v>
      </c>
      <c r="D326" s="29" t="n">
        <v>30</v>
      </c>
      <c r="E326" s="28" t="s">
        <v>53</v>
      </c>
      <c r="F326" s="30" t="n">
        <f aca="false">IFERROR(INDEX('1. Insumos'!$F$5:$F$137,MATCH($C326,'1. Insumos'!$B$5:$B$137,0)),0)</f>
        <v>0.17</v>
      </c>
      <c r="G326" s="31" t="n">
        <f aca="false">D326*F326</f>
        <v>5.1</v>
      </c>
      <c r="H326" s="20" t="s">
        <v>595</v>
      </c>
      <c r="I326" s="20" t="s">
        <v>596</v>
      </c>
    </row>
    <row r="327" customFormat="false" ht="15" hidden="false" customHeight="false" outlineLevel="0" collapsed="false">
      <c r="A327" s="35" t="n">
        <v>49</v>
      </c>
      <c r="B327" s="28" t="s">
        <v>597</v>
      </c>
      <c r="C327" s="28" t="s">
        <v>72</v>
      </c>
      <c r="D327" s="29" t="n">
        <v>80</v>
      </c>
      <c r="E327" s="28" t="s">
        <v>53</v>
      </c>
      <c r="F327" s="30" t="n">
        <f aca="false">IFERROR(INDEX('1. Insumos'!$F$5:$F$137,MATCH($C327,'1. Insumos'!$B$5:$B$137,0)),0)</f>
        <v>0.26</v>
      </c>
      <c r="G327" s="31" t="n">
        <f aca="false">D327*F327</f>
        <v>20.8</v>
      </c>
      <c r="H327" s="20" t="s">
        <v>598</v>
      </c>
      <c r="I327" s="20" t="s">
        <v>599</v>
      </c>
    </row>
    <row r="328" customFormat="false" ht="15" hidden="false" customHeight="false" outlineLevel="0" collapsed="false">
      <c r="A328" s="35" t="n">
        <v>49</v>
      </c>
      <c r="B328" s="28" t="s">
        <v>597</v>
      </c>
      <c r="C328" s="28" t="s">
        <v>169</v>
      </c>
      <c r="D328" s="29" t="n">
        <v>0.5</v>
      </c>
      <c r="E328" s="28" t="s">
        <v>53</v>
      </c>
      <c r="F328" s="30" t="n">
        <f aca="false">IFERROR(INDEX('1. Insumos'!$F$5:$F$137,MATCH($C328,'1. Insumos'!$B$5:$B$137,0)),0)</f>
        <v>180</v>
      </c>
      <c r="G328" s="31" t="n">
        <f aca="false">D328*F328</f>
        <v>90</v>
      </c>
      <c r="H328" s="20" t="s">
        <v>598</v>
      </c>
      <c r="I328" s="20" t="s">
        <v>600</v>
      </c>
    </row>
    <row r="329" customFormat="false" ht="15" hidden="false" customHeight="false" outlineLevel="0" collapsed="false">
      <c r="A329" s="35" t="n">
        <v>49</v>
      </c>
      <c r="B329" s="28" t="s">
        <v>597</v>
      </c>
      <c r="C329" s="28" t="s">
        <v>73</v>
      </c>
      <c r="D329" s="29" t="n">
        <v>10</v>
      </c>
      <c r="E329" s="28" t="s">
        <v>69</v>
      </c>
      <c r="F329" s="30" t="n">
        <f aca="false">IFERROR(INDEX('1. Insumos'!$F$5:$F$137,MATCH($C329,'1. Insumos'!$B$5:$B$137,0)),0)</f>
        <v>0.028</v>
      </c>
      <c r="G329" s="31" t="n">
        <f aca="false">D329*F329</f>
        <v>0.28</v>
      </c>
      <c r="H329" s="20" t="s">
        <v>598</v>
      </c>
      <c r="I329" s="20" t="s">
        <v>601</v>
      </c>
    </row>
    <row r="330" customFormat="false" ht="15" hidden="false" customHeight="false" outlineLevel="0" collapsed="false">
      <c r="A330" s="35" t="n">
        <v>49</v>
      </c>
      <c r="B330" s="28" t="s">
        <v>597</v>
      </c>
      <c r="C330" s="28" t="s">
        <v>63</v>
      </c>
      <c r="D330" s="29" t="n">
        <v>100</v>
      </c>
      <c r="E330" s="28" t="s">
        <v>53</v>
      </c>
      <c r="F330" s="30" t="n">
        <f aca="false">IFERROR(INDEX('1. Insumos'!$F$5:$F$137,MATCH($C330,'1. Insumos'!$B$5:$B$137,0)),0)</f>
        <v>0.032</v>
      </c>
      <c r="G330" s="31" t="n">
        <f aca="false">D330*F330</f>
        <v>3.2</v>
      </c>
      <c r="H330" s="20" t="s">
        <v>598</v>
      </c>
      <c r="I330" s="20" t="s">
        <v>355</v>
      </c>
    </row>
    <row r="331" customFormat="false" ht="15" hidden="false" customHeight="false" outlineLevel="0" collapsed="false">
      <c r="A331" s="35" t="n">
        <v>49</v>
      </c>
      <c r="B331" s="28" t="s">
        <v>597</v>
      </c>
      <c r="C331" s="28" t="s">
        <v>56</v>
      </c>
      <c r="D331" s="29" t="n">
        <v>50</v>
      </c>
      <c r="E331" s="28" t="s">
        <v>53</v>
      </c>
      <c r="F331" s="30" t="n">
        <f aca="false">IFERROR(INDEX('1. Insumos'!$F$5:$F$137,MATCH($C331,'1. Insumos'!$B$5:$B$137,0)),0)</f>
        <v>0.42</v>
      </c>
      <c r="G331" s="31" t="n">
        <f aca="false">D331*F331</f>
        <v>21</v>
      </c>
      <c r="H331" s="20" t="s">
        <v>598</v>
      </c>
      <c r="I331" s="20" t="s">
        <v>602</v>
      </c>
    </row>
    <row r="332" customFormat="false" ht="15" hidden="false" customHeight="false" outlineLevel="0" collapsed="false">
      <c r="A332" s="35" t="n">
        <v>49</v>
      </c>
      <c r="B332" s="28" t="s">
        <v>597</v>
      </c>
      <c r="C332" s="28" t="s">
        <v>64</v>
      </c>
      <c r="D332" s="29" t="n">
        <v>120</v>
      </c>
      <c r="E332" s="28" t="s">
        <v>53</v>
      </c>
      <c r="F332" s="30" t="n">
        <f aca="false">IFERROR(INDEX('1. Insumos'!$F$5:$F$137,MATCH($C332,'1. Insumos'!$B$5:$B$137,0)),0)</f>
        <v>0.045</v>
      </c>
      <c r="G332" s="31" t="n">
        <f aca="false">D332*F332</f>
        <v>5.4</v>
      </c>
      <c r="H332" s="20" t="s">
        <v>603</v>
      </c>
      <c r="I332" s="20" t="s">
        <v>583</v>
      </c>
    </row>
    <row r="333" customFormat="false" ht="15" hidden="false" customHeight="false" outlineLevel="0" collapsed="false">
      <c r="A333" s="35" t="n">
        <v>49</v>
      </c>
      <c r="B333" s="28" t="s">
        <v>597</v>
      </c>
      <c r="C333" s="28" t="s">
        <v>73</v>
      </c>
      <c r="D333" s="29" t="n">
        <v>15</v>
      </c>
      <c r="E333" s="28" t="s">
        <v>69</v>
      </c>
      <c r="F333" s="30" t="n">
        <f aca="false">IFERROR(INDEX('1. Insumos'!$F$5:$F$137,MATCH($C333,'1. Insumos'!$B$5:$B$137,0)),0)</f>
        <v>0.028</v>
      </c>
      <c r="G333" s="31" t="n">
        <f aca="false">D333*F333</f>
        <v>0.42</v>
      </c>
      <c r="H333" s="20" t="s">
        <v>603</v>
      </c>
      <c r="I333" s="20" t="s">
        <v>604</v>
      </c>
    </row>
    <row r="334" customFormat="false" ht="15" hidden="false" customHeight="false" outlineLevel="0" collapsed="false">
      <c r="A334" s="35" t="n">
        <v>49</v>
      </c>
      <c r="B334" s="28" t="s">
        <v>597</v>
      </c>
      <c r="C334" s="28" t="s">
        <v>176</v>
      </c>
      <c r="D334" s="29" t="n">
        <v>0.2</v>
      </c>
      <c r="E334" s="28" t="s">
        <v>69</v>
      </c>
      <c r="F334" s="30" t="n">
        <f aca="false">IFERROR(INDEX('1. Insumos'!$F$5:$F$137,MATCH($C334,'1. Insumos'!$B$5:$B$137,0)),0)</f>
        <v>0.52</v>
      </c>
      <c r="G334" s="31" t="n">
        <f aca="false">D334*F334</f>
        <v>0.104</v>
      </c>
      <c r="H334" s="20" t="s">
        <v>603</v>
      </c>
      <c r="I334" s="20" t="s">
        <v>605</v>
      </c>
    </row>
    <row r="335" customFormat="false" ht="15" hidden="false" customHeight="false" outlineLevel="0" collapsed="false">
      <c r="A335" s="35" t="n">
        <v>49</v>
      </c>
      <c r="B335" s="28" t="s">
        <v>597</v>
      </c>
      <c r="C335" s="28" t="s">
        <v>138</v>
      </c>
      <c r="D335" s="29" t="n">
        <v>2</v>
      </c>
      <c r="E335" s="28" t="s">
        <v>53</v>
      </c>
      <c r="F335" s="30" t="n">
        <f aca="false">IFERROR(INDEX('1. Insumos'!$F$5:$F$137,MATCH($C335,'1. Insumos'!$B$5:$B$137,0)),0)</f>
        <v>3.6</v>
      </c>
      <c r="G335" s="31" t="n">
        <f aca="false">D335*F335</f>
        <v>7.2</v>
      </c>
      <c r="H335" s="20" t="s">
        <v>603</v>
      </c>
      <c r="I335" s="20" t="s">
        <v>606</v>
      </c>
    </row>
    <row r="336" customFormat="false" ht="15" hidden="false" customHeight="false" outlineLevel="0" collapsed="false">
      <c r="A336" s="35" t="n">
        <v>50</v>
      </c>
      <c r="B336" s="28" t="s">
        <v>607</v>
      </c>
      <c r="C336" s="28" t="s">
        <v>72</v>
      </c>
      <c r="D336" s="29" t="n">
        <v>120</v>
      </c>
      <c r="E336" s="28" t="s">
        <v>53</v>
      </c>
      <c r="F336" s="30" t="n">
        <f aca="false">IFERROR(INDEX('1. Insumos'!$F$5:$F$137,MATCH($C336,'1. Insumos'!$B$5:$B$137,0)),0)</f>
        <v>0.26</v>
      </c>
      <c r="G336" s="31" t="n">
        <f aca="false">D336*F336</f>
        <v>31.2</v>
      </c>
      <c r="H336" s="20" t="s">
        <v>608</v>
      </c>
      <c r="I336" s="20" t="s">
        <v>609</v>
      </c>
    </row>
    <row r="337" customFormat="false" ht="15" hidden="false" customHeight="false" outlineLevel="0" collapsed="false">
      <c r="A337" s="35" t="n">
        <v>50</v>
      </c>
      <c r="B337" s="28" t="s">
        <v>607</v>
      </c>
      <c r="C337" s="28" t="s">
        <v>65</v>
      </c>
      <c r="D337" s="29" t="n">
        <v>100</v>
      </c>
      <c r="E337" s="28" t="s">
        <v>53</v>
      </c>
      <c r="F337" s="30" t="n">
        <f aca="false">IFERROR(INDEX('1. Insumos'!$F$5:$F$137,MATCH($C337,'1. Insumos'!$B$5:$B$137,0)),0)</f>
        <v>0.052</v>
      </c>
      <c r="G337" s="31" t="n">
        <f aca="false">D337*F337</f>
        <v>5.2</v>
      </c>
      <c r="H337" s="20" t="s">
        <v>608</v>
      </c>
      <c r="I337" s="20" t="s">
        <v>610</v>
      </c>
    </row>
    <row r="338" customFormat="false" ht="15" hidden="false" customHeight="false" outlineLevel="0" collapsed="false">
      <c r="A338" s="35" t="n">
        <v>50</v>
      </c>
      <c r="B338" s="28" t="s">
        <v>607</v>
      </c>
      <c r="C338" s="28" t="s">
        <v>194</v>
      </c>
      <c r="D338" s="29" t="n">
        <v>5</v>
      </c>
      <c r="E338" s="28" t="s">
        <v>53</v>
      </c>
      <c r="F338" s="30" t="n">
        <f aca="false">IFERROR(INDEX('1. Insumos'!$F$5:$F$137,MATCH($C338,'1. Insumos'!$B$5:$B$137,0)),0)</f>
        <v>0.48</v>
      </c>
      <c r="G338" s="31" t="n">
        <f aca="false">D338*F338</f>
        <v>2.4</v>
      </c>
      <c r="H338" s="20" t="s">
        <v>608</v>
      </c>
      <c r="I338" s="20" t="s">
        <v>276</v>
      </c>
    </row>
    <row r="339" customFormat="false" ht="15" hidden="false" customHeight="false" outlineLevel="0" collapsed="false">
      <c r="A339" s="35" t="n">
        <v>51</v>
      </c>
      <c r="B339" s="28" t="s">
        <v>611</v>
      </c>
      <c r="C339" s="28" t="s">
        <v>72</v>
      </c>
      <c r="D339" s="29" t="n">
        <v>80</v>
      </c>
      <c r="E339" s="28" t="s">
        <v>53</v>
      </c>
      <c r="F339" s="30" t="n">
        <f aca="false">IFERROR(INDEX('1. Insumos'!$F$5:$F$137,MATCH($C339,'1. Insumos'!$B$5:$B$137,0)),0)</f>
        <v>0.26</v>
      </c>
      <c r="G339" s="31" t="n">
        <f aca="false">D339*F339</f>
        <v>20.8</v>
      </c>
      <c r="H339" s="20" t="s">
        <v>612</v>
      </c>
      <c r="I339" s="20" t="s">
        <v>350</v>
      </c>
    </row>
    <row r="340" customFormat="false" ht="15" hidden="false" customHeight="false" outlineLevel="0" collapsed="false">
      <c r="A340" s="35" t="n">
        <v>51</v>
      </c>
      <c r="B340" s="28" t="s">
        <v>611</v>
      </c>
      <c r="C340" s="28" t="s">
        <v>63</v>
      </c>
      <c r="D340" s="29" t="n">
        <v>120</v>
      </c>
      <c r="E340" s="28" t="s">
        <v>53</v>
      </c>
      <c r="F340" s="30" t="n">
        <f aca="false">IFERROR(INDEX('1. Insumos'!$F$5:$F$137,MATCH($C340,'1. Insumos'!$B$5:$B$137,0)),0)</f>
        <v>0.032</v>
      </c>
      <c r="G340" s="31" t="n">
        <f aca="false">D340*F340</f>
        <v>3.84</v>
      </c>
      <c r="H340" s="20" t="s">
        <v>612</v>
      </c>
      <c r="I340" s="20" t="s">
        <v>425</v>
      </c>
    </row>
    <row r="341" customFormat="false" ht="15" hidden="false" customHeight="false" outlineLevel="0" collapsed="false">
      <c r="A341" s="35" t="n">
        <v>51</v>
      </c>
      <c r="B341" s="28" t="s">
        <v>611</v>
      </c>
      <c r="C341" s="28" t="s">
        <v>171</v>
      </c>
      <c r="D341" s="29" t="n">
        <v>8</v>
      </c>
      <c r="E341" s="28" t="s">
        <v>53</v>
      </c>
      <c r="F341" s="30" t="n">
        <f aca="false">IFERROR(INDEX('1. Insumos'!$F$5:$F$137,MATCH($C341,'1. Insumos'!$B$5:$B$137,0)),0)</f>
        <v>1.3</v>
      </c>
      <c r="G341" s="31" t="n">
        <f aca="false">D341*F341</f>
        <v>10.4</v>
      </c>
      <c r="H341" s="20" t="s">
        <v>612</v>
      </c>
      <c r="I341" s="20" t="s">
        <v>613</v>
      </c>
    </row>
    <row r="342" customFormat="false" ht="15" hidden="false" customHeight="false" outlineLevel="0" collapsed="false">
      <c r="A342" s="35" t="n">
        <v>51</v>
      </c>
      <c r="B342" s="28" t="s">
        <v>611</v>
      </c>
      <c r="C342" s="28" t="s">
        <v>170</v>
      </c>
      <c r="D342" s="29" t="n">
        <v>2</v>
      </c>
      <c r="E342" s="28" t="s">
        <v>53</v>
      </c>
      <c r="F342" s="30" t="n">
        <f aca="false">IFERROR(INDEX('1. Insumos'!$F$5:$F$137,MATCH($C342,'1. Insumos'!$B$5:$B$137,0)),0)</f>
        <v>2.4</v>
      </c>
      <c r="G342" s="31" t="n">
        <f aca="false">D342*F342</f>
        <v>4.8</v>
      </c>
      <c r="H342" s="20" t="s">
        <v>612</v>
      </c>
      <c r="I342" s="20" t="s">
        <v>614</v>
      </c>
    </row>
    <row r="343" customFormat="false" ht="15" hidden="false" customHeight="false" outlineLevel="0" collapsed="false">
      <c r="A343" s="35" t="n">
        <v>51</v>
      </c>
      <c r="B343" s="28" t="s">
        <v>611</v>
      </c>
      <c r="C343" s="28" t="s">
        <v>64</v>
      </c>
      <c r="D343" s="29" t="n">
        <v>120</v>
      </c>
      <c r="E343" s="28" t="s">
        <v>53</v>
      </c>
      <c r="F343" s="30" t="n">
        <f aca="false">IFERROR(INDEX('1. Insumos'!$F$5:$F$137,MATCH($C343,'1. Insumos'!$B$5:$B$137,0)),0)</f>
        <v>0.045</v>
      </c>
      <c r="G343" s="31" t="n">
        <f aca="false">D343*F343</f>
        <v>5.4</v>
      </c>
      <c r="H343" s="20" t="s">
        <v>615</v>
      </c>
      <c r="I343" s="20" t="s">
        <v>583</v>
      </c>
    </row>
    <row r="344" customFormat="false" ht="15" hidden="false" customHeight="false" outlineLevel="0" collapsed="false">
      <c r="A344" s="35" t="n">
        <v>51</v>
      </c>
      <c r="B344" s="28" t="s">
        <v>611</v>
      </c>
      <c r="C344" s="28" t="s">
        <v>73</v>
      </c>
      <c r="D344" s="29" t="n">
        <v>20</v>
      </c>
      <c r="E344" s="28" t="s">
        <v>69</v>
      </c>
      <c r="F344" s="30" t="n">
        <f aca="false">IFERROR(INDEX('1. Insumos'!$F$5:$F$137,MATCH($C344,'1. Insumos'!$B$5:$B$137,0)),0)</f>
        <v>0.028</v>
      </c>
      <c r="G344" s="31" t="n">
        <f aca="false">D344*F344</f>
        <v>0.56</v>
      </c>
      <c r="H344" s="20" t="s">
        <v>615</v>
      </c>
      <c r="I344" s="20" t="s">
        <v>517</v>
      </c>
    </row>
    <row r="345" customFormat="false" ht="15" hidden="false" customHeight="false" outlineLevel="0" collapsed="false">
      <c r="A345" s="35" t="n">
        <v>51</v>
      </c>
      <c r="B345" s="28" t="s">
        <v>611</v>
      </c>
      <c r="C345" s="28" t="s">
        <v>131</v>
      </c>
      <c r="D345" s="29" t="n">
        <v>1</v>
      </c>
      <c r="E345" s="28" t="s">
        <v>81</v>
      </c>
      <c r="F345" s="30" t="n">
        <f aca="false">IFERROR(INDEX('1. Insumos'!$F$5:$F$137,MATCH($C345,'1. Insumos'!$B$5:$B$137,0)),0)</f>
        <v>6</v>
      </c>
      <c r="G345" s="31" t="n">
        <f aca="false">D345*F345</f>
        <v>6</v>
      </c>
      <c r="H345" s="20" t="s">
        <v>615</v>
      </c>
      <c r="I345" s="20" t="s">
        <v>616</v>
      </c>
    </row>
  </sheetData>
  <autoFilter ref="A4:I345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9"/>
    <col collapsed="false" customWidth="true" hidden="false" outlineLevel="0" max="16" min="16" style="0" width="15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19" min="19" style="0" width="15"/>
    <col collapsed="false" customWidth="true" hidden="false" outlineLevel="0" max="20" min="20" style="0" width="12"/>
    <col collapsed="false" customWidth="true" hidden="false" outlineLevel="0" max="21" min="21" style="0" width="14"/>
    <col collapsed="false" customWidth="true" hidden="false" outlineLevel="0" max="22" min="22" style="0" width="13"/>
    <col collapsed="false" customWidth="true" hidden="false" outlineLevel="0" max="23" min="23" style="0" width="14"/>
    <col collapsed="false" customWidth="true" hidden="false" outlineLevel="0" max="24" min="24" style="0" width="13"/>
    <col collapsed="false" customWidth="true" hidden="false" outlineLevel="0" max="25" min="25" style="0" width="12"/>
    <col collapsed="false" customWidth="true" hidden="false" outlineLevel="0" max="26" min="26" style="0" width="14"/>
  </cols>
  <sheetData>
    <row r="1" customFormat="false" ht="30" hidden="false" customHeight="true" outlineLevel="0" collapsed="false">
      <c r="A1" s="1" t="s">
        <v>617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2" t="s">
        <v>618</v>
      </c>
    </row>
    <row r="4" customFormat="false" ht="15" hidden="false" customHeight="false" outlineLevel="0" collapsed="false">
      <c r="A4" s="36" t="s">
        <v>619</v>
      </c>
    </row>
    <row r="5" customFormat="false" ht="15" hidden="false" customHeight="false" outlineLevel="0" collapsed="false">
      <c r="A5" s="37" t="s">
        <v>620</v>
      </c>
      <c r="C5" s="38" t="n">
        <v>0.6</v>
      </c>
      <c r="D5" s="39" t="s">
        <v>621</v>
      </c>
    </row>
    <row r="6" customFormat="false" ht="15" hidden="false" customHeight="false" outlineLevel="0" collapsed="false">
      <c r="A6" s="37" t="s">
        <v>622</v>
      </c>
      <c r="C6" s="38" t="n">
        <v>0.65</v>
      </c>
      <c r="D6" s="39" t="s">
        <v>623</v>
      </c>
    </row>
    <row r="7" customFormat="false" ht="15" hidden="false" customHeight="false" outlineLevel="0" collapsed="false">
      <c r="A7" s="37" t="s">
        <v>624</v>
      </c>
      <c r="C7" s="38" t="n">
        <v>0.5</v>
      </c>
      <c r="D7" s="39" t="s">
        <v>625</v>
      </c>
    </row>
    <row r="8" customFormat="false" ht="15" hidden="false" customHeight="false" outlineLevel="0" collapsed="false">
      <c r="A8" s="37" t="s">
        <v>626</v>
      </c>
      <c r="C8" s="38" t="n">
        <v>0.4</v>
      </c>
      <c r="D8" s="39" t="s">
        <v>627</v>
      </c>
    </row>
    <row r="9" customFormat="false" ht="15" hidden="false" customHeight="false" outlineLevel="0" collapsed="false">
      <c r="A9" s="37" t="s">
        <v>628</v>
      </c>
      <c r="C9" s="40" t="n">
        <f aca="false">'7. Gastos Fijos'!$C$24</f>
        <v>75</v>
      </c>
    </row>
    <row r="10" customFormat="false" ht="15" hidden="false" customHeight="false" outlineLevel="0" collapsed="false">
      <c r="A10" s="37" t="s">
        <v>629</v>
      </c>
      <c r="C10" s="40" t="n">
        <f aca="false">'7. Gastos Fijos'!$C$19</f>
        <v>10.6111111111111</v>
      </c>
    </row>
    <row r="11" customFormat="false" ht="15" hidden="false" customHeight="false" outlineLevel="0" collapsed="false">
      <c r="A11" s="37" t="s">
        <v>630</v>
      </c>
      <c r="C11" s="38" t="n">
        <v>0.12</v>
      </c>
      <c r="D11" s="39" t="s">
        <v>631</v>
      </c>
    </row>
    <row r="13" customFormat="false" ht="30" hidden="false" customHeight="true" outlineLevel="0" collapsed="false">
      <c r="A13" s="19" t="s">
        <v>243</v>
      </c>
      <c r="B13" s="19" t="s">
        <v>244</v>
      </c>
      <c r="C13" s="19" t="s">
        <v>204</v>
      </c>
      <c r="D13" s="19" t="s">
        <v>632</v>
      </c>
      <c r="E13" s="19" t="s">
        <v>633</v>
      </c>
      <c r="F13" s="19" t="s">
        <v>634</v>
      </c>
      <c r="G13" s="19" t="s">
        <v>635</v>
      </c>
      <c r="H13" s="19" t="s">
        <v>636</v>
      </c>
      <c r="I13" s="19" t="s">
        <v>637</v>
      </c>
      <c r="J13" s="19" t="s">
        <v>638</v>
      </c>
      <c r="K13" s="19" t="s">
        <v>639</v>
      </c>
      <c r="L13" s="19" t="s">
        <v>640</v>
      </c>
      <c r="M13" s="19" t="s">
        <v>641</v>
      </c>
      <c r="N13" s="19" t="s">
        <v>642</v>
      </c>
      <c r="O13" s="19" t="s">
        <v>643</v>
      </c>
      <c r="P13" s="19" t="s">
        <v>644</v>
      </c>
      <c r="Q13" s="19" t="s">
        <v>645</v>
      </c>
      <c r="R13" s="19" t="s">
        <v>646</v>
      </c>
      <c r="S13" s="19" t="s">
        <v>647</v>
      </c>
      <c r="T13" s="19" t="s">
        <v>648</v>
      </c>
      <c r="U13" s="19" t="s">
        <v>649</v>
      </c>
      <c r="V13" s="19" t="s">
        <v>650</v>
      </c>
      <c r="W13" s="19" t="s">
        <v>651</v>
      </c>
      <c r="X13" s="19" t="s">
        <v>652</v>
      </c>
      <c r="Y13" s="19" t="s">
        <v>653</v>
      </c>
      <c r="Z13" s="19" t="s">
        <v>654</v>
      </c>
    </row>
    <row r="14" customFormat="false" ht="15" hidden="false" customHeight="false" outlineLevel="0" collapsed="false">
      <c r="A14" s="35" t="n">
        <v>1</v>
      </c>
      <c r="B14" s="28" t="s">
        <v>246</v>
      </c>
      <c r="C14" s="41" t="s">
        <v>209</v>
      </c>
      <c r="D14" s="21" t="n">
        <v>12</v>
      </c>
      <c r="E14" s="40" t="n">
        <f aca="false">IFERROR(INDEX('2. Masas Base'!$D$55:$D$58,MATCH($C14,'2. Masas Base'!$B$55:$B$58,0)),0)</f>
        <v>73.48</v>
      </c>
      <c r="F14" s="40" t="n">
        <f aca="false">SUMIFS('3. Rellenos y Cubiertas'!$G$5:$G$345,'3. Rellenos y Cubiertas'!$A$5:$A$345,$A14)</f>
        <v>122.854</v>
      </c>
      <c r="G14" s="42" t="n">
        <f aca="false">E14+F14</f>
        <v>196.334</v>
      </c>
      <c r="H14" s="31" t="n">
        <f aca="false">IFERROR(G14/D14,0)</f>
        <v>16.3611666666667</v>
      </c>
      <c r="I14" s="22" t="n">
        <v>9</v>
      </c>
      <c r="J14" s="22" t="n">
        <v>3</v>
      </c>
      <c r="K14" s="21" t="n">
        <v>5</v>
      </c>
      <c r="L14" s="31" t="n">
        <f aca="false">$C$9*K14/60</f>
        <v>6.25</v>
      </c>
      <c r="M14" s="31" t="n">
        <f aca="false">$C$10</f>
        <v>10.6111111111111</v>
      </c>
      <c r="N14" s="42" t="n">
        <f aca="false">H14+I14+J14+L14+M14</f>
        <v>45.2222777777778</v>
      </c>
      <c r="O14" s="43" t="n">
        <f aca="false">$C$11</f>
        <v>0.12</v>
      </c>
      <c r="P14" s="34" t="n">
        <f aca="false">IFERROR(N14/(1-O14),0)</f>
        <v>51.388952020202</v>
      </c>
      <c r="Q14" s="44" t="n">
        <f aca="false">IFERROR(CEILING(P14/(1-$C$5),5),0)</f>
        <v>130</v>
      </c>
      <c r="R14" s="31" t="n">
        <f aca="false">Q14-P14</f>
        <v>78.611047979798</v>
      </c>
      <c r="S14" s="44" t="n">
        <f aca="false">IFERROR(CEILING(P14/(1-$C$6),5),0)</f>
        <v>150</v>
      </c>
      <c r="T14" s="31" t="n">
        <f aca="false">S14-P14</f>
        <v>98.611047979798</v>
      </c>
      <c r="U14" s="44" t="n">
        <f aca="false">IFERROR(CEILING(P14/(1-$C$7),5),0)</f>
        <v>105</v>
      </c>
      <c r="V14" s="31" t="n">
        <f aca="false">U14-P14</f>
        <v>53.611047979798</v>
      </c>
      <c r="W14" s="44" t="n">
        <f aca="false">IFERROR(CEILING(P14/(1-$C$8),5),0)</f>
        <v>90</v>
      </c>
      <c r="X14" s="31" t="n">
        <f aca="false">W14-P14</f>
        <v>38.611047979798</v>
      </c>
      <c r="Y14" s="43" t="n">
        <f aca="false">IFERROR(R14/Q14,0)</f>
        <v>0.604700369075369</v>
      </c>
      <c r="Z14" s="20" t="s">
        <v>655</v>
      </c>
    </row>
    <row r="15" customFormat="false" ht="15" hidden="false" customHeight="false" outlineLevel="0" collapsed="false">
      <c r="A15" s="35" t="n">
        <v>2</v>
      </c>
      <c r="B15" s="28" t="s">
        <v>258</v>
      </c>
      <c r="C15" s="41" t="s">
        <v>227</v>
      </c>
      <c r="D15" s="21" t="n">
        <v>12</v>
      </c>
      <c r="E15" s="40" t="n">
        <f aca="false">IFERROR(INDEX('2. Masas Base'!$D$55:$D$58,MATCH($C15,'2. Masas Base'!$B$55:$B$58,0)),0)</f>
        <v>175.16</v>
      </c>
      <c r="F15" s="40" t="n">
        <f aca="false">SUMIFS('3. Rellenos y Cubiertas'!$G$5:$G$345,'3. Rellenos y Cubiertas'!$A$5:$A$345,$A15)</f>
        <v>156.34</v>
      </c>
      <c r="G15" s="42" t="n">
        <f aca="false">E15+F15</f>
        <v>331.5</v>
      </c>
      <c r="H15" s="31" t="n">
        <f aca="false">IFERROR(G15/D15,0)</f>
        <v>27.625</v>
      </c>
      <c r="I15" s="22" t="n">
        <v>11</v>
      </c>
      <c r="J15" s="22" t="n">
        <v>4</v>
      </c>
      <c r="K15" s="21" t="n">
        <v>7</v>
      </c>
      <c r="L15" s="31" t="n">
        <f aca="false">$C$9*K15/60</f>
        <v>8.75</v>
      </c>
      <c r="M15" s="31" t="n">
        <f aca="false">$C$10</f>
        <v>10.6111111111111</v>
      </c>
      <c r="N15" s="42" t="n">
        <f aca="false">H15+I15+J15+L15+M15</f>
        <v>61.9861111111111</v>
      </c>
      <c r="O15" s="43" t="n">
        <f aca="false">$C$11</f>
        <v>0.12</v>
      </c>
      <c r="P15" s="34" t="n">
        <f aca="false">IFERROR(N15/(1-O15),0)</f>
        <v>70.4387626262626</v>
      </c>
      <c r="Q15" s="44" t="n">
        <f aca="false">IFERROR(CEILING(P15/(1-$C$5),5),0)</f>
        <v>180</v>
      </c>
      <c r="R15" s="31" t="n">
        <f aca="false">Q15-P15</f>
        <v>109.561237373737</v>
      </c>
      <c r="S15" s="44" t="n">
        <f aca="false">IFERROR(CEILING(P15/(1-$C$6),5),0)</f>
        <v>205</v>
      </c>
      <c r="T15" s="31" t="n">
        <f aca="false">S15-P15</f>
        <v>134.561237373737</v>
      </c>
      <c r="U15" s="44" t="n">
        <f aca="false">IFERROR(CEILING(P15/(1-$C$7),5),0)</f>
        <v>145</v>
      </c>
      <c r="V15" s="31" t="n">
        <f aca="false">U15-P15</f>
        <v>74.5612373737374</v>
      </c>
      <c r="W15" s="44" t="n">
        <f aca="false">IFERROR(CEILING(P15/(1-$C$8),5),0)</f>
        <v>120</v>
      </c>
      <c r="X15" s="31" t="n">
        <f aca="false">W15-P15</f>
        <v>49.5612373737374</v>
      </c>
      <c r="Y15" s="43" t="n">
        <f aca="false">IFERROR(R15/Q15,0)</f>
        <v>0.608673540965208</v>
      </c>
      <c r="Z15" s="20" t="s">
        <v>656</v>
      </c>
    </row>
    <row r="16" customFormat="false" ht="15" hidden="false" customHeight="false" outlineLevel="0" collapsed="false">
      <c r="A16" s="35" t="n">
        <v>3</v>
      </c>
      <c r="B16" s="28" t="s">
        <v>268</v>
      </c>
      <c r="C16" s="41" t="s">
        <v>209</v>
      </c>
      <c r="D16" s="21" t="n">
        <v>12</v>
      </c>
      <c r="E16" s="40" t="n">
        <f aca="false">IFERROR(INDEX('2. Masas Base'!$D$55:$D$58,MATCH($C16,'2. Masas Base'!$B$55:$B$58,0)),0)</f>
        <v>73.48</v>
      </c>
      <c r="F16" s="40" t="n">
        <f aca="false">SUMIFS('3. Rellenos y Cubiertas'!$G$5:$G$345,'3. Rellenos y Cubiertas'!$A$5:$A$345,$A16)</f>
        <v>153.6</v>
      </c>
      <c r="G16" s="42" t="n">
        <f aca="false">E16+F16</f>
        <v>227.08</v>
      </c>
      <c r="H16" s="31" t="n">
        <f aca="false">IFERROR(G16/D16,0)</f>
        <v>18.9233333333333</v>
      </c>
      <c r="I16" s="22" t="n">
        <v>11</v>
      </c>
      <c r="J16" s="22" t="n">
        <v>4</v>
      </c>
      <c r="K16" s="21" t="n">
        <v>7</v>
      </c>
      <c r="L16" s="31" t="n">
        <f aca="false">$C$9*K16/60</f>
        <v>8.75</v>
      </c>
      <c r="M16" s="31" t="n">
        <f aca="false">$C$10</f>
        <v>10.6111111111111</v>
      </c>
      <c r="N16" s="42" t="n">
        <f aca="false">H16+I16+J16+L16+M16</f>
        <v>53.2844444444444</v>
      </c>
      <c r="O16" s="43" t="n">
        <f aca="false">$C$11</f>
        <v>0.12</v>
      </c>
      <c r="P16" s="34" t="n">
        <f aca="false">IFERROR(N16/(1-O16),0)</f>
        <v>60.5505050505051</v>
      </c>
      <c r="Q16" s="44" t="n">
        <f aca="false">IFERROR(CEILING(P16/(1-$C$5),5),0)</f>
        <v>155</v>
      </c>
      <c r="R16" s="31" t="n">
        <f aca="false">Q16-P16</f>
        <v>94.449494949495</v>
      </c>
      <c r="S16" s="44" t="n">
        <f aca="false">IFERROR(CEILING(P16/(1-$C$6),5),0)</f>
        <v>175</v>
      </c>
      <c r="T16" s="31" t="n">
        <f aca="false">S16-P16</f>
        <v>114.449494949495</v>
      </c>
      <c r="U16" s="44" t="n">
        <f aca="false">IFERROR(CEILING(P16/(1-$C$7),5),0)</f>
        <v>125</v>
      </c>
      <c r="V16" s="31" t="n">
        <f aca="false">U16-P16</f>
        <v>64.449494949495</v>
      </c>
      <c r="W16" s="44" t="n">
        <f aca="false">IFERROR(CEILING(P16/(1-$C$8),5),0)</f>
        <v>105</v>
      </c>
      <c r="X16" s="31" t="n">
        <f aca="false">W16-P16</f>
        <v>44.449494949495</v>
      </c>
      <c r="Y16" s="43" t="n">
        <f aca="false">IFERROR(R16/Q16,0)</f>
        <v>0.609351580319322</v>
      </c>
      <c r="Z16" s="20" t="s">
        <v>656</v>
      </c>
    </row>
    <row r="17" customFormat="false" ht="15" hidden="false" customHeight="false" outlineLevel="0" collapsed="false">
      <c r="A17" s="35" t="n">
        <v>4</v>
      </c>
      <c r="B17" s="28" t="s">
        <v>277</v>
      </c>
      <c r="C17" s="41" t="s">
        <v>209</v>
      </c>
      <c r="D17" s="21" t="n">
        <v>12</v>
      </c>
      <c r="E17" s="40" t="n">
        <f aca="false">IFERROR(INDEX('2. Masas Base'!$D$55:$D$58,MATCH($C17,'2. Masas Base'!$B$55:$B$58,0)),0)</f>
        <v>73.48</v>
      </c>
      <c r="F17" s="40" t="n">
        <f aca="false">SUMIFS('3. Rellenos y Cubiertas'!$G$5:$G$345,'3. Rellenos y Cubiertas'!$A$5:$A$345,$A17)</f>
        <v>59.16</v>
      </c>
      <c r="G17" s="42" t="n">
        <f aca="false">E17+F17</f>
        <v>132.64</v>
      </c>
      <c r="H17" s="31" t="n">
        <f aca="false">IFERROR(G17/D17,0)</f>
        <v>11.0533333333333</v>
      </c>
      <c r="I17" s="22" t="n">
        <v>11</v>
      </c>
      <c r="J17" s="22" t="n">
        <v>4</v>
      </c>
      <c r="K17" s="21" t="n">
        <v>7</v>
      </c>
      <c r="L17" s="31" t="n">
        <f aca="false">$C$9*K17/60</f>
        <v>8.75</v>
      </c>
      <c r="M17" s="31" t="n">
        <f aca="false">$C$10</f>
        <v>10.6111111111111</v>
      </c>
      <c r="N17" s="42" t="n">
        <f aca="false">H17+I17+J17+L17+M17</f>
        <v>45.4144444444444</v>
      </c>
      <c r="O17" s="43" t="n">
        <f aca="false">$C$11</f>
        <v>0.12</v>
      </c>
      <c r="P17" s="34" t="n">
        <f aca="false">IFERROR(N17/(1-O17),0)</f>
        <v>51.6073232323232</v>
      </c>
      <c r="Q17" s="44" t="n">
        <f aca="false">IFERROR(CEILING(P17/(1-$C$5),5),0)</f>
        <v>130</v>
      </c>
      <c r="R17" s="31" t="n">
        <f aca="false">Q17-P17</f>
        <v>78.3926767676768</v>
      </c>
      <c r="S17" s="44" t="n">
        <f aca="false">IFERROR(CEILING(P17/(1-$C$6),5),0)</f>
        <v>150</v>
      </c>
      <c r="T17" s="31" t="n">
        <f aca="false">S17-P17</f>
        <v>98.3926767676768</v>
      </c>
      <c r="U17" s="44" t="n">
        <f aca="false">IFERROR(CEILING(P17/(1-$C$7),5),0)</f>
        <v>105</v>
      </c>
      <c r="V17" s="31" t="n">
        <f aca="false">U17-P17</f>
        <v>53.3926767676768</v>
      </c>
      <c r="W17" s="44" t="n">
        <f aca="false">IFERROR(CEILING(P17/(1-$C$8),5),0)</f>
        <v>90</v>
      </c>
      <c r="X17" s="31" t="n">
        <f aca="false">W17-P17</f>
        <v>38.3926767676768</v>
      </c>
      <c r="Y17" s="43" t="n">
        <f aca="false">IFERROR(R17/Q17,0)</f>
        <v>0.60302059052059</v>
      </c>
      <c r="Z17" s="20" t="s">
        <v>656</v>
      </c>
    </row>
    <row r="18" customFormat="false" ht="15" hidden="false" customHeight="false" outlineLevel="0" collapsed="false">
      <c r="A18" s="35" t="n">
        <v>5</v>
      </c>
      <c r="B18" s="28" t="s">
        <v>289</v>
      </c>
      <c r="C18" s="41" t="s">
        <v>209</v>
      </c>
      <c r="D18" s="21" t="n">
        <v>12</v>
      </c>
      <c r="E18" s="40" t="n">
        <f aca="false">IFERROR(INDEX('2. Masas Base'!$D$55:$D$58,MATCH($C18,'2. Masas Base'!$B$55:$B$58,0)),0)</f>
        <v>73.48</v>
      </c>
      <c r="F18" s="40" t="n">
        <f aca="false">SUMIFS('3. Rellenos y Cubiertas'!$G$5:$G$345,'3. Rellenos y Cubiertas'!$A$5:$A$345,$A18)</f>
        <v>324.42</v>
      </c>
      <c r="G18" s="42" t="n">
        <f aca="false">E18+F18</f>
        <v>397.9</v>
      </c>
      <c r="H18" s="31" t="n">
        <f aca="false">IFERROR(G18/D18,0)</f>
        <v>33.1583333333333</v>
      </c>
      <c r="I18" s="22" t="n">
        <v>11</v>
      </c>
      <c r="J18" s="22" t="n">
        <v>4</v>
      </c>
      <c r="K18" s="21" t="n">
        <v>7</v>
      </c>
      <c r="L18" s="31" t="n">
        <f aca="false">$C$9*K18/60</f>
        <v>8.75</v>
      </c>
      <c r="M18" s="31" t="n">
        <f aca="false">$C$10</f>
        <v>10.6111111111111</v>
      </c>
      <c r="N18" s="42" t="n">
        <f aca="false">H18+I18+J18+L18+M18</f>
        <v>67.5194444444445</v>
      </c>
      <c r="O18" s="43" t="n">
        <f aca="false">$C$11</f>
        <v>0.12</v>
      </c>
      <c r="P18" s="34" t="n">
        <f aca="false">IFERROR(N18/(1-O18),0)</f>
        <v>76.7266414141414</v>
      </c>
      <c r="Q18" s="44" t="n">
        <f aca="false">IFERROR(CEILING(P18/(1-$C$5),5),0)</f>
        <v>195</v>
      </c>
      <c r="R18" s="31" t="n">
        <f aca="false">Q18-P18</f>
        <v>118.273358585859</v>
      </c>
      <c r="S18" s="44" t="n">
        <f aca="false">IFERROR(CEILING(P18/(1-$C$6),5),0)</f>
        <v>220</v>
      </c>
      <c r="T18" s="31" t="n">
        <f aca="false">S18-P18</f>
        <v>143.273358585859</v>
      </c>
      <c r="U18" s="44" t="n">
        <f aca="false">IFERROR(CEILING(P18/(1-$C$7),5),0)</f>
        <v>155</v>
      </c>
      <c r="V18" s="31" t="n">
        <f aca="false">U18-P18</f>
        <v>78.2733585858586</v>
      </c>
      <c r="W18" s="44" t="n">
        <f aca="false">IFERROR(CEILING(P18/(1-$C$8),5),0)</f>
        <v>130</v>
      </c>
      <c r="X18" s="31" t="n">
        <f aca="false">W18-P18</f>
        <v>53.2733585858586</v>
      </c>
      <c r="Y18" s="43" t="n">
        <f aca="false">IFERROR(R18/Q18,0)</f>
        <v>0.606530044030044</v>
      </c>
      <c r="Z18" s="20" t="s">
        <v>656</v>
      </c>
    </row>
    <row r="19" customFormat="false" ht="15" hidden="false" customHeight="false" outlineLevel="0" collapsed="false">
      <c r="A19" s="35" t="n">
        <v>6</v>
      </c>
      <c r="B19" s="28" t="s">
        <v>299</v>
      </c>
      <c r="C19" s="41" t="s">
        <v>209</v>
      </c>
      <c r="D19" s="21" t="n">
        <v>12</v>
      </c>
      <c r="E19" s="40" t="n">
        <f aca="false">IFERROR(INDEX('2. Masas Base'!$D$55:$D$58,MATCH($C19,'2. Masas Base'!$B$55:$B$58,0)),0)</f>
        <v>73.48</v>
      </c>
      <c r="F19" s="40" t="n">
        <f aca="false">SUMIFS('3. Rellenos y Cubiertas'!$G$5:$G$345,'3. Rellenos y Cubiertas'!$A$5:$A$345,$A19)</f>
        <v>126.012916666667</v>
      </c>
      <c r="G19" s="42" t="n">
        <f aca="false">E19+F19</f>
        <v>199.492916666667</v>
      </c>
      <c r="H19" s="31" t="n">
        <f aca="false">IFERROR(G19/D19,0)</f>
        <v>16.6244097222222</v>
      </c>
      <c r="I19" s="22" t="n">
        <v>11</v>
      </c>
      <c r="J19" s="22" t="n">
        <v>4</v>
      </c>
      <c r="K19" s="21" t="n">
        <v>7</v>
      </c>
      <c r="L19" s="31" t="n">
        <f aca="false">$C$9*K19/60</f>
        <v>8.75</v>
      </c>
      <c r="M19" s="31" t="n">
        <f aca="false">$C$10</f>
        <v>10.6111111111111</v>
      </c>
      <c r="N19" s="42" t="n">
        <f aca="false">H19+I19+J19+L19+M19</f>
        <v>50.9855208333333</v>
      </c>
      <c r="O19" s="43" t="n">
        <f aca="false">$C$11</f>
        <v>0.12</v>
      </c>
      <c r="P19" s="34" t="n">
        <f aca="false">IFERROR(N19/(1-O19),0)</f>
        <v>57.9380918560606</v>
      </c>
      <c r="Q19" s="44" t="n">
        <f aca="false">IFERROR(CEILING(P19/(1-$C$5),5),0)</f>
        <v>145</v>
      </c>
      <c r="R19" s="31" t="n">
        <f aca="false">Q19-P19</f>
        <v>87.0619081439394</v>
      </c>
      <c r="S19" s="44" t="n">
        <f aca="false">IFERROR(CEILING(P19/(1-$C$6),5),0)</f>
        <v>170</v>
      </c>
      <c r="T19" s="31" t="n">
        <f aca="false">S19-P19</f>
        <v>112.061908143939</v>
      </c>
      <c r="U19" s="44" t="n">
        <f aca="false">IFERROR(CEILING(P19/(1-$C$7),5),0)</f>
        <v>120</v>
      </c>
      <c r="V19" s="31" t="n">
        <f aca="false">U19-P19</f>
        <v>62.0619081439394</v>
      </c>
      <c r="W19" s="44" t="n">
        <f aca="false">IFERROR(CEILING(P19/(1-$C$8),5),0)</f>
        <v>100</v>
      </c>
      <c r="X19" s="31" t="n">
        <f aca="false">W19-P19</f>
        <v>42.0619081439394</v>
      </c>
      <c r="Y19" s="43" t="n">
        <f aca="false">IFERROR(R19/Q19,0)</f>
        <v>0.600426952716823</v>
      </c>
      <c r="Z19" s="20" t="s">
        <v>656</v>
      </c>
    </row>
    <row r="20" customFormat="false" ht="15" hidden="false" customHeight="false" outlineLevel="0" collapsed="false">
      <c r="A20" s="35" t="n">
        <v>7</v>
      </c>
      <c r="B20" s="28" t="s">
        <v>311</v>
      </c>
      <c r="C20" s="41" t="s">
        <v>209</v>
      </c>
      <c r="D20" s="21" t="n">
        <v>12</v>
      </c>
      <c r="E20" s="40" t="n">
        <f aca="false">IFERROR(INDEX('2. Masas Base'!$D$55:$D$58,MATCH($C20,'2. Masas Base'!$B$55:$B$58,0)),0)</f>
        <v>73.48</v>
      </c>
      <c r="F20" s="40" t="n">
        <f aca="false">SUMIFS('3. Rellenos y Cubiertas'!$G$5:$G$345,'3. Rellenos y Cubiertas'!$A$5:$A$345,$A20)</f>
        <v>73.83</v>
      </c>
      <c r="G20" s="42" t="n">
        <f aca="false">E20+F20</f>
        <v>147.31</v>
      </c>
      <c r="H20" s="31" t="n">
        <f aca="false">IFERROR(G20/D20,0)</f>
        <v>12.2758333333333</v>
      </c>
      <c r="I20" s="22" t="n">
        <v>9</v>
      </c>
      <c r="J20" s="22" t="n">
        <v>3</v>
      </c>
      <c r="K20" s="21" t="n">
        <v>5</v>
      </c>
      <c r="L20" s="31" t="n">
        <f aca="false">$C$9*K20/60</f>
        <v>6.25</v>
      </c>
      <c r="M20" s="31" t="n">
        <f aca="false">$C$10</f>
        <v>10.6111111111111</v>
      </c>
      <c r="N20" s="42" t="n">
        <f aca="false">H20+I20+J20+L20+M20</f>
        <v>41.1369444444444</v>
      </c>
      <c r="O20" s="43" t="n">
        <f aca="false">$C$11</f>
        <v>0.12</v>
      </c>
      <c r="P20" s="34" t="n">
        <f aca="false">IFERROR(N20/(1-O20),0)</f>
        <v>46.7465277777778</v>
      </c>
      <c r="Q20" s="44" t="n">
        <f aca="false">IFERROR(CEILING(P20/(1-$C$5),5),0)</f>
        <v>120</v>
      </c>
      <c r="R20" s="31" t="n">
        <f aca="false">Q20-P20</f>
        <v>73.2534722222222</v>
      </c>
      <c r="S20" s="44" t="n">
        <f aca="false">IFERROR(CEILING(P20/(1-$C$6),5),0)</f>
        <v>135</v>
      </c>
      <c r="T20" s="31" t="n">
        <f aca="false">S20-P20</f>
        <v>88.2534722222222</v>
      </c>
      <c r="U20" s="44" t="n">
        <f aca="false">IFERROR(CEILING(P20/(1-$C$7),5),0)</f>
        <v>95</v>
      </c>
      <c r="V20" s="31" t="n">
        <f aca="false">U20-P20</f>
        <v>48.2534722222222</v>
      </c>
      <c r="W20" s="44" t="n">
        <f aca="false">IFERROR(CEILING(P20/(1-$C$8),5),0)</f>
        <v>80</v>
      </c>
      <c r="X20" s="31" t="n">
        <f aca="false">W20-P20</f>
        <v>33.2534722222222</v>
      </c>
      <c r="Y20" s="43" t="n">
        <f aca="false">IFERROR(R20/Q20,0)</f>
        <v>0.610445601851852</v>
      </c>
      <c r="Z20" s="20" t="s">
        <v>655</v>
      </c>
    </row>
    <row r="21" customFormat="false" ht="15" hidden="false" customHeight="false" outlineLevel="0" collapsed="false">
      <c r="A21" s="35" t="n">
        <v>8</v>
      </c>
      <c r="B21" s="28" t="s">
        <v>320</v>
      </c>
      <c r="C21" s="41" t="s">
        <v>209</v>
      </c>
      <c r="D21" s="21" t="n">
        <v>12</v>
      </c>
      <c r="E21" s="40" t="n">
        <f aca="false">IFERROR(INDEX('2. Masas Base'!$D$55:$D$58,MATCH($C21,'2. Masas Base'!$B$55:$B$58,0)),0)</f>
        <v>73.48</v>
      </c>
      <c r="F21" s="40" t="n">
        <f aca="false">SUMIFS('3. Rellenos y Cubiertas'!$G$5:$G$345,'3. Rellenos y Cubiertas'!$A$5:$A$345,$A21)</f>
        <v>133.22</v>
      </c>
      <c r="G21" s="42" t="n">
        <f aca="false">E21+F21</f>
        <v>206.7</v>
      </c>
      <c r="H21" s="31" t="n">
        <f aca="false">IFERROR(G21/D21,0)</f>
        <v>17.225</v>
      </c>
      <c r="I21" s="22" t="n">
        <v>11</v>
      </c>
      <c r="J21" s="22" t="n">
        <v>4</v>
      </c>
      <c r="K21" s="21" t="n">
        <v>7</v>
      </c>
      <c r="L21" s="31" t="n">
        <f aca="false">$C$9*K21/60</f>
        <v>8.75</v>
      </c>
      <c r="M21" s="31" t="n">
        <f aca="false">$C$10</f>
        <v>10.6111111111111</v>
      </c>
      <c r="N21" s="42" t="n">
        <f aca="false">H21+I21+J21+L21+M21</f>
        <v>51.5861111111111</v>
      </c>
      <c r="O21" s="43" t="n">
        <f aca="false">$C$11</f>
        <v>0.12</v>
      </c>
      <c r="P21" s="34" t="n">
        <f aca="false">IFERROR(N21/(1-O21),0)</f>
        <v>58.6205808080808</v>
      </c>
      <c r="Q21" s="44" t="n">
        <f aca="false">IFERROR(CEILING(P21/(1-$C$5),5),0)</f>
        <v>150</v>
      </c>
      <c r="R21" s="31" t="n">
        <f aca="false">Q21-P21</f>
        <v>91.3794191919192</v>
      </c>
      <c r="S21" s="44" t="n">
        <f aca="false">IFERROR(CEILING(P21/(1-$C$6),5),0)</f>
        <v>170</v>
      </c>
      <c r="T21" s="31" t="n">
        <f aca="false">S21-P21</f>
        <v>111.379419191919</v>
      </c>
      <c r="U21" s="44" t="n">
        <f aca="false">IFERROR(CEILING(P21/(1-$C$7),5),0)</f>
        <v>120</v>
      </c>
      <c r="V21" s="31" t="n">
        <f aca="false">U21-P21</f>
        <v>61.3794191919192</v>
      </c>
      <c r="W21" s="44" t="n">
        <f aca="false">IFERROR(CEILING(P21/(1-$C$8),5),0)</f>
        <v>100</v>
      </c>
      <c r="X21" s="31" t="n">
        <f aca="false">W21-P21</f>
        <v>41.3794191919192</v>
      </c>
      <c r="Y21" s="43" t="n">
        <f aca="false">IFERROR(R21/Q21,0)</f>
        <v>0.609196127946128</v>
      </c>
      <c r="Z21" s="20" t="s">
        <v>656</v>
      </c>
    </row>
    <row r="22" customFormat="false" ht="15" hidden="false" customHeight="false" outlineLevel="0" collapsed="false">
      <c r="A22" s="35" t="n">
        <v>9</v>
      </c>
      <c r="B22" s="28" t="s">
        <v>331</v>
      </c>
      <c r="C22" s="41" t="s">
        <v>209</v>
      </c>
      <c r="D22" s="21" t="n">
        <v>12</v>
      </c>
      <c r="E22" s="40" t="n">
        <f aca="false">IFERROR(INDEX('2. Masas Base'!$D$55:$D$58,MATCH($C22,'2. Masas Base'!$B$55:$B$58,0)),0)</f>
        <v>73.48</v>
      </c>
      <c r="F22" s="40" t="n">
        <f aca="false">SUMIFS('3. Rellenos y Cubiertas'!$G$5:$G$345,'3. Rellenos y Cubiertas'!$A$5:$A$345,$A22)</f>
        <v>203.64</v>
      </c>
      <c r="G22" s="42" t="n">
        <f aca="false">E22+F22</f>
        <v>277.12</v>
      </c>
      <c r="H22" s="31" t="n">
        <f aca="false">IFERROR(G22/D22,0)</f>
        <v>23.0933333333333</v>
      </c>
      <c r="I22" s="22" t="n">
        <v>9</v>
      </c>
      <c r="J22" s="22" t="n">
        <v>3</v>
      </c>
      <c r="K22" s="21" t="n">
        <v>5</v>
      </c>
      <c r="L22" s="31" t="n">
        <f aca="false">$C$9*K22/60</f>
        <v>6.25</v>
      </c>
      <c r="M22" s="31" t="n">
        <f aca="false">$C$10</f>
        <v>10.6111111111111</v>
      </c>
      <c r="N22" s="42" t="n">
        <f aca="false">H22+I22+J22+L22+M22</f>
        <v>51.9544444444445</v>
      </c>
      <c r="O22" s="43" t="n">
        <f aca="false">$C$11</f>
        <v>0.12</v>
      </c>
      <c r="P22" s="34" t="n">
        <f aca="false">IFERROR(N22/(1-O22),0)</f>
        <v>59.0391414141414</v>
      </c>
      <c r="Q22" s="44" t="n">
        <f aca="false">IFERROR(CEILING(P22/(1-$C$5),5),0)</f>
        <v>150</v>
      </c>
      <c r="R22" s="31" t="n">
        <f aca="false">Q22-P22</f>
        <v>90.9608585858586</v>
      </c>
      <c r="S22" s="44" t="n">
        <f aca="false">IFERROR(CEILING(P22/(1-$C$6),5),0)</f>
        <v>170</v>
      </c>
      <c r="T22" s="31" t="n">
        <f aca="false">S22-P22</f>
        <v>110.960858585859</v>
      </c>
      <c r="U22" s="44" t="n">
        <f aca="false">IFERROR(CEILING(P22/(1-$C$7),5),0)</f>
        <v>120</v>
      </c>
      <c r="V22" s="31" t="n">
        <f aca="false">U22-P22</f>
        <v>60.9608585858586</v>
      </c>
      <c r="W22" s="44" t="n">
        <f aca="false">IFERROR(CEILING(P22/(1-$C$8),5),0)</f>
        <v>100</v>
      </c>
      <c r="X22" s="31" t="n">
        <f aca="false">W22-P22</f>
        <v>40.9608585858586</v>
      </c>
      <c r="Y22" s="43" t="n">
        <f aca="false">IFERROR(R22/Q22,0)</f>
        <v>0.606405723905724</v>
      </c>
      <c r="Z22" s="20" t="s">
        <v>655</v>
      </c>
    </row>
    <row r="23" customFormat="false" ht="15" hidden="false" customHeight="false" outlineLevel="0" collapsed="false">
      <c r="A23" s="35" t="n">
        <v>10</v>
      </c>
      <c r="B23" s="28" t="s">
        <v>337</v>
      </c>
      <c r="C23" s="41" t="s">
        <v>209</v>
      </c>
      <c r="D23" s="21" t="n">
        <v>12</v>
      </c>
      <c r="E23" s="40" t="n">
        <f aca="false">IFERROR(INDEX('2. Masas Base'!$D$55:$D$58,MATCH($C23,'2. Masas Base'!$B$55:$B$58,0)),0)</f>
        <v>73.48</v>
      </c>
      <c r="F23" s="40" t="n">
        <f aca="false">SUMIFS('3. Rellenos y Cubiertas'!$G$5:$G$345,'3. Rellenos y Cubiertas'!$A$5:$A$345,$A23)</f>
        <v>97.94</v>
      </c>
      <c r="G23" s="42" t="n">
        <f aca="false">E23+F23</f>
        <v>171.42</v>
      </c>
      <c r="H23" s="31" t="n">
        <f aca="false">IFERROR(G23/D23,0)</f>
        <v>14.285</v>
      </c>
      <c r="I23" s="22" t="n">
        <v>11</v>
      </c>
      <c r="J23" s="22" t="n">
        <v>4</v>
      </c>
      <c r="K23" s="21" t="n">
        <v>7</v>
      </c>
      <c r="L23" s="31" t="n">
        <f aca="false">$C$9*K23/60</f>
        <v>8.75</v>
      </c>
      <c r="M23" s="31" t="n">
        <f aca="false">$C$10</f>
        <v>10.6111111111111</v>
      </c>
      <c r="N23" s="42" t="n">
        <f aca="false">H23+I23+J23+L23+M23</f>
        <v>48.6461111111111</v>
      </c>
      <c r="O23" s="43" t="n">
        <f aca="false">$C$11</f>
        <v>0.12</v>
      </c>
      <c r="P23" s="34" t="n">
        <f aca="false">IFERROR(N23/(1-O23),0)</f>
        <v>55.2796717171717</v>
      </c>
      <c r="Q23" s="44" t="n">
        <f aca="false">IFERROR(CEILING(P23/(1-$C$5),5),0)</f>
        <v>140</v>
      </c>
      <c r="R23" s="31" t="n">
        <f aca="false">Q23-P23</f>
        <v>84.7203282828283</v>
      </c>
      <c r="S23" s="44" t="n">
        <f aca="false">IFERROR(CEILING(P23/(1-$C$6),5),0)</f>
        <v>160</v>
      </c>
      <c r="T23" s="31" t="n">
        <f aca="false">S23-P23</f>
        <v>104.720328282828</v>
      </c>
      <c r="U23" s="44" t="n">
        <f aca="false">IFERROR(CEILING(P23/(1-$C$7),5),0)</f>
        <v>115</v>
      </c>
      <c r="V23" s="31" t="n">
        <f aca="false">U23-P23</f>
        <v>59.7203282828283</v>
      </c>
      <c r="W23" s="44" t="n">
        <f aca="false">IFERROR(CEILING(P23/(1-$C$8),5),0)</f>
        <v>95</v>
      </c>
      <c r="X23" s="31" t="n">
        <f aca="false">W23-P23</f>
        <v>39.7203282828283</v>
      </c>
      <c r="Y23" s="43" t="n">
        <f aca="false">IFERROR(R23/Q23,0)</f>
        <v>0.605145202020202</v>
      </c>
      <c r="Z23" s="20" t="s">
        <v>656</v>
      </c>
    </row>
    <row r="24" customFormat="false" ht="15" hidden="false" customHeight="false" outlineLevel="0" collapsed="false">
      <c r="A24" s="35" t="n">
        <v>11</v>
      </c>
      <c r="B24" s="28" t="s">
        <v>346</v>
      </c>
      <c r="C24" s="41" t="s">
        <v>209</v>
      </c>
      <c r="D24" s="21" t="n">
        <v>12</v>
      </c>
      <c r="E24" s="40" t="n">
        <f aca="false">IFERROR(INDEX('2. Masas Base'!$D$55:$D$58,MATCH($C24,'2. Masas Base'!$B$55:$B$58,0)),0)</f>
        <v>73.48</v>
      </c>
      <c r="F24" s="40" t="n">
        <f aca="false">SUMIFS('3. Rellenos y Cubiertas'!$G$5:$G$345,'3. Rellenos y Cubiertas'!$A$5:$A$345,$A24)</f>
        <v>120</v>
      </c>
      <c r="G24" s="42" t="n">
        <f aca="false">E24+F24</f>
        <v>193.48</v>
      </c>
      <c r="H24" s="31" t="n">
        <f aca="false">IFERROR(G24/D24,0)</f>
        <v>16.1233333333333</v>
      </c>
      <c r="I24" s="22" t="n">
        <v>11</v>
      </c>
      <c r="J24" s="22" t="n">
        <v>4</v>
      </c>
      <c r="K24" s="21" t="n">
        <v>7</v>
      </c>
      <c r="L24" s="31" t="n">
        <f aca="false">$C$9*K24/60</f>
        <v>8.75</v>
      </c>
      <c r="M24" s="31" t="n">
        <f aca="false">$C$10</f>
        <v>10.6111111111111</v>
      </c>
      <c r="N24" s="42" t="n">
        <f aca="false">H24+I24+J24+L24+M24</f>
        <v>50.4844444444445</v>
      </c>
      <c r="O24" s="43" t="n">
        <f aca="false">$C$11</f>
        <v>0.12</v>
      </c>
      <c r="P24" s="34" t="n">
        <f aca="false">IFERROR(N24/(1-O24),0)</f>
        <v>57.3686868686869</v>
      </c>
      <c r="Q24" s="44" t="n">
        <f aca="false">IFERROR(CEILING(P24/(1-$C$5),5),0)</f>
        <v>145</v>
      </c>
      <c r="R24" s="31" t="n">
        <f aca="false">Q24-P24</f>
        <v>87.6313131313131</v>
      </c>
      <c r="S24" s="44" t="n">
        <f aca="false">IFERROR(CEILING(P24/(1-$C$6),5),0)</f>
        <v>165</v>
      </c>
      <c r="T24" s="31" t="n">
        <f aca="false">S24-P24</f>
        <v>107.631313131313</v>
      </c>
      <c r="U24" s="44" t="n">
        <f aca="false">IFERROR(CEILING(P24/(1-$C$7),5),0)</f>
        <v>115</v>
      </c>
      <c r="V24" s="31" t="n">
        <f aca="false">U24-P24</f>
        <v>57.6313131313131</v>
      </c>
      <c r="W24" s="44" t="n">
        <f aca="false">IFERROR(CEILING(P24/(1-$C$8),5),0)</f>
        <v>100</v>
      </c>
      <c r="X24" s="31" t="n">
        <f aca="false">W24-P24</f>
        <v>42.6313131313131</v>
      </c>
      <c r="Y24" s="43" t="n">
        <f aca="false">IFERROR(R24/Q24,0)</f>
        <v>0.604353883664229</v>
      </c>
      <c r="Z24" s="20" t="s">
        <v>656</v>
      </c>
    </row>
    <row r="25" customFormat="false" ht="15" hidden="false" customHeight="false" outlineLevel="0" collapsed="false">
      <c r="A25" s="35" t="n">
        <v>12</v>
      </c>
      <c r="B25" s="28" t="s">
        <v>353</v>
      </c>
      <c r="C25" s="41" t="s">
        <v>209</v>
      </c>
      <c r="D25" s="21" t="n">
        <v>12</v>
      </c>
      <c r="E25" s="40" t="n">
        <f aca="false">IFERROR(INDEX('2. Masas Base'!$D$55:$D$58,MATCH($C25,'2. Masas Base'!$B$55:$B$58,0)),0)</f>
        <v>73.48</v>
      </c>
      <c r="F25" s="40" t="n">
        <f aca="false">SUMIFS('3. Rellenos y Cubiertas'!$G$5:$G$345,'3. Rellenos y Cubiertas'!$A$5:$A$345,$A25)</f>
        <v>296.8</v>
      </c>
      <c r="G25" s="42" t="n">
        <f aca="false">E25+F25</f>
        <v>370.28</v>
      </c>
      <c r="H25" s="31" t="n">
        <f aca="false">IFERROR(G25/D25,0)</f>
        <v>30.8566666666667</v>
      </c>
      <c r="I25" s="22" t="n">
        <v>11</v>
      </c>
      <c r="J25" s="22" t="n">
        <v>4</v>
      </c>
      <c r="K25" s="21" t="n">
        <v>7</v>
      </c>
      <c r="L25" s="31" t="n">
        <f aca="false">$C$9*K25/60</f>
        <v>8.75</v>
      </c>
      <c r="M25" s="31" t="n">
        <f aca="false">$C$10</f>
        <v>10.6111111111111</v>
      </c>
      <c r="N25" s="42" t="n">
        <f aca="false">H25+I25+J25+L25+M25</f>
        <v>65.2177777777778</v>
      </c>
      <c r="O25" s="43" t="n">
        <f aca="false">$C$11</f>
        <v>0.12</v>
      </c>
      <c r="P25" s="34" t="n">
        <f aca="false">IFERROR(N25/(1-O25),0)</f>
        <v>74.1111111111111</v>
      </c>
      <c r="Q25" s="44" t="n">
        <f aca="false">IFERROR(CEILING(P25/(1-$C$5),5),0)</f>
        <v>190</v>
      </c>
      <c r="R25" s="31" t="n">
        <f aca="false">Q25-P25</f>
        <v>115.888888888889</v>
      </c>
      <c r="S25" s="44" t="n">
        <f aca="false">IFERROR(CEILING(P25/(1-$C$6),5),0)</f>
        <v>215</v>
      </c>
      <c r="T25" s="31" t="n">
        <f aca="false">S25-P25</f>
        <v>140.888888888889</v>
      </c>
      <c r="U25" s="44" t="n">
        <f aca="false">IFERROR(CEILING(P25/(1-$C$7),5),0)</f>
        <v>150</v>
      </c>
      <c r="V25" s="31" t="n">
        <f aca="false">U25-P25</f>
        <v>75.8888888888889</v>
      </c>
      <c r="W25" s="44" t="n">
        <f aca="false">IFERROR(CEILING(P25/(1-$C$8),5),0)</f>
        <v>125</v>
      </c>
      <c r="X25" s="31" t="n">
        <f aca="false">W25-P25</f>
        <v>50.8888888888889</v>
      </c>
      <c r="Y25" s="43" t="n">
        <f aca="false">IFERROR(R25/Q25,0)</f>
        <v>0.609941520467836</v>
      </c>
      <c r="Z25" s="20" t="s">
        <v>656</v>
      </c>
    </row>
    <row r="26" customFormat="false" ht="15" hidden="false" customHeight="false" outlineLevel="0" collapsed="false">
      <c r="A26" s="35" t="n">
        <v>13</v>
      </c>
      <c r="B26" s="28" t="s">
        <v>358</v>
      </c>
      <c r="C26" s="41" t="s">
        <v>209</v>
      </c>
      <c r="D26" s="21" t="n">
        <v>12</v>
      </c>
      <c r="E26" s="40" t="n">
        <f aca="false">IFERROR(INDEX('2. Masas Base'!$D$55:$D$58,MATCH($C26,'2. Masas Base'!$B$55:$B$58,0)),0)</f>
        <v>73.48</v>
      </c>
      <c r="F26" s="40" t="n">
        <f aca="false">SUMIFS('3. Rellenos y Cubiertas'!$G$5:$G$345,'3. Rellenos y Cubiertas'!$A$5:$A$345,$A26)</f>
        <v>130.6</v>
      </c>
      <c r="G26" s="42" t="n">
        <f aca="false">E26+F26</f>
        <v>204.08</v>
      </c>
      <c r="H26" s="31" t="n">
        <f aca="false">IFERROR(G26/D26,0)</f>
        <v>17.0066666666667</v>
      </c>
      <c r="I26" s="22" t="n">
        <v>11</v>
      </c>
      <c r="J26" s="22" t="n">
        <v>4</v>
      </c>
      <c r="K26" s="21" t="n">
        <v>7</v>
      </c>
      <c r="L26" s="31" t="n">
        <f aca="false">$C$9*K26/60</f>
        <v>8.75</v>
      </c>
      <c r="M26" s="31" t="n">
        <f aca="false">$C$10</f>
        <v>10.6111111111111</v>
      </c>
      <c r="N26" s="42" t="n">
        <f aca="false">H26+I26+J26+L26+M26</f>
        <v>51.3677777777778</v>
      </c>
      <c r="O26" s="43" t="n">
        <f aca="false">$C$11</f>
        <v>0.12</v>
      </c>
      <c r="P26" s="34" t="n">
        <f aca="false">IFERROR(N26/(1-O26),0)</f>
        <v>58.3724747474748</v>
      </c>
      <c r="Q26" s="44" t="n">
        <f aca="false">IFERROR(CEILING(P26/(1-$C$5),5),0)</f>
        <v>150</v>
      </c>
      <c r="R26" s="31" t="n">
        <f aca="false">Q26-P26</f>
        <v>91.6275252525253</v>
      </c>
      <c r="S26" s="44" t="n">
        <f aca="false">IFERROR(CEILING(P26/(1-$C$6),5),0)</f>
        <v>170</v>
      </c>
      <c r="T26" s="31" t="n">
        <f aca="false">S26-P26</f>
        <v>111.627525252525</v>
      </c>
      <c r="U26" s="44" t="n">
        <f aca="false">IFERROR(CEILING(P26/(1-$C$7),5),0)</f>
        <v>120</v>
      </c>
      <c r="V26" s="31" t="n">
        <f aca="false">U26-P26</f>
        <v>61.6275252525253</v>
      </c>
      <c r="W26" s="44" t="n">
        <f aca="false">IFERROR(CEILING(P26/(1-$C$8),5),0)</f>
        <v>100</v>
      </c>
      <c r="X26" s="31" t="n">
        <f aca="false">W26-P26</f>
        <v>41.6275252525253</v>
      </c>
      <c r="Y26" s="43" t="n">
        <f aca="false">IFERROR(R26/Q26,0)</f>
        <v>0.610850168350168</v>
      </c>
      <c r="Z26" s="20" t="s">
        <v>656</v>
      </c>
    </row>
    <row r="27" customFormat="false" ht="15" hidden="false" customHeight="false" outlineLevel="0" collapsed="false">
      <c r="A27" s="35" t="n">
        <v>14</v>
      </c>
      <c r="B27" s="28" t="s">
        <v>361</v>
      </c>
      <c r="C27" s="41" t="s">
        <v>209</v>
      </c>
      <c r="D27" s="21" t="n">
        <v>12</v>
      </c>
      <c r="E27" s="40" t="n">
        <f aca="false">IFERROR(INDEX('2. Masas Base'!$D$55:$D$58,MATCH($C27,'2. Masas Base'!$B$55:$B$58,0)),0)</f>
        <v>73.48</v>
      </c>
      <c r="F27" s="40" t="n">
        <f aca="false">SUMIFS('3. Rellenos y Cubiertas'!$G$5:$G$345,'3. Rellenos y Cubiertas'!$A$5:$A$345,$A27)</f>
        <v>208.16</v>
      </c>
      <c r="G27" s="42" t="n">
        <f aca="false">E27+F27</f>
        <v>281.64</v>
      </c>
      <c r="H27" s="31" t="n">
        <f aca="false">IFERROR(G27/D27,0)</f>
        <v>23.47</v>
      </c>
      <c r="I27" s="22" t="n">
        <v>9</v>
      </c>
      <c r="J27" s="22" t="n">
        <v>3</v>
      </c>
      <c r="K27" s="21" t="n">
        <v>5</v>
      </c>
      <c r="L27" s="31" t="n">
        <f aca="false">$C$9*K27/60</f>
        <v>6.25</v>
      </c>
      <c r="M27" s="31" t="n">
        <f aca="false">$C$10</f>
        <v>10.6111111111111</v>
      </c>
      <c r="N27" s="42" t="n">
        <f aca="false">H27+I27+J27+L27+M27</f>
        <v>52.3311111111111</v>
      </c>
      <c r="O27" s="43" t="n">
        <f aca="false">$C$11</f>
        <v>0.12</v>
      </c>
      <c r="P27" s="34" t="n">
        <f aca="false">IFERROR(N27/(1-O27),0)</f>
        <v>59.4671717171717</v>
      </c>
      <c r="Q27" s="44" t="n">
        <f aca="false">IFERROR(CEILING(P27/(1-$C$5),5),0)</f>
        <v>150</v>
      </c>
      <c r="R27" s="31" t="n">
        <f aca="false">Q27-P27</f>
        <v>90.5328282828283</v>
      </c>
      <c r="S27" s="44" t="n">
        <f aca="false">IFERROR(CEILING(P27/(1-$C$6),5),0)</f>
        <v>170</v>
      </c>
      <c r="T27" s="31" t="n">
        <f aca="false">S27-P27</f>
        <v>110.532828282828</v>
      </c>
      <c r="U27" s="44" t="n">
        <f aca="false">IFERROR(CEILING(P27/(1-$C$7),5),0)</f>
        <v>120</v>
      </c>
      <c r="V27" s="31" t="n">
        <f aca="false">U27-P27</f>
        <v>60.5328282828283</v>
      </c>
      <c r="W27" s="44" t="n">
        <f aca="false">IFERROR(CEILING(P27/(1-$C$8),5),0)</f>
        <v>100</v>
      </c>
      <c r="X27" s="31" t="n">
        <f aca="false">W27-P27</f>
        <v>40.5328282828283</v>
      </c>
      <c r="Y27" s="43" t="n">
        <f aca="false">IFERROR(R27/Q27,0)</f>
        <v>0.603552188552189</v>
      </c>
      <c r="Z27" s="20" t="s">
        <v>655</v>
      </c>
    </row>
    <row r="28" customFormat="false" ht="15" hidden="false" customHeight="false" outlineLevel="0" collapsed="false">
      <c r="A28" s="35" t="n">
        <v>15</v>
      </c>
      <c r="B28" s="28" t="s">
        <v>366</v>
      </c>
      <c r="C28" s="41" t="s">
        <v>209</v>
      </c>
      <c r="D28" s="21" t="n">
        <v>12</v>
      </c>
      <c r="E28" s="40" t="n">
        <f aca="false">IFERROR(INDEX('2. Masas Base'!$D$55:$D$58,MATCH($C28,'2. Masas Base'!$B$55:$B$58,0)),0)</f>
        <v>73.48</v>
      </c>
      <c r="F28" s="40" t="n">
        <f aca="false">SUMIFS('3. Rellenos y Cubiertas'!$G$5:$G$345,'3. Rellenos y Cubiertas'!$A$5:$A$345,$A28)</f>
        <v>134.04</v>
      </c>
      <c r="G28" s="42" t="n">
        <f aca="false">E28+F28</f>
        <v>207.52</v>
      </c>
      <c r="H28" s="31" t="n">
        <f aca="false">IFERROR(G28/D28,0)</f>
        <v>17.2933333333333</v>
      </c>
      <c r="I28" s="22" t="n">
        <v>14</v>
      </c>
      <c r="J28" s="22" t="n">
        <v>5</v>
      </c>
      <c r="K28" s="21" t="n">
        <v>10</v>
      </c>
      <c r="L28" s="31" t="n">
        <f aca="false">$C$9*K28/60</f>
        <v>12.5</v>
      </c>
      <c r="M28" s="31" t="n">
        <f aca="false">$C$10</f>
        <v>10.6111111111111</v>
      </c>
      <c r="N28" s="42" t="n">
        <f aca="false">H28+I28+J28+L28+M28</f>
        <v>59.4044444444445</v>
      </c>
      <c r="O28" s="43" t="n">
        <f aca="false">$C$11</f>
        <v>0.12</v>
      </c>
      <c r="P28" s="34" t="n">
        <f aca="false">IFERROR(N28/(1-O28),0)</f>
        <v>67.5050505050505</v>
      </c>
      <c r="Q28" s="44" t="n">
        <f aca="false">IFERROR(CEILING(P28/(1-$C$5),5),0)</f>
        <v>170</v>
      </c>
      <c r="R28" s="31" t="n">
        <f aca="false">Q28-P28</f>
        <v>102.49494949495</v>
      </c>
      <c r="S28" s="44" t="n">
        <f aca="false">IFERROR(CEILING(P28/(1-$C$6),5),0)</f>
        <v>195</v>
      </c>
      <c r="T28" s="31" t="n">
        <f aca="false">S28-P28</f>
        <v>127.49494949495</v>
      </c>
      <c r="U28" s="44" t="n">
        <f aca="false">IFERROR(CEILING(P28/(1-$C$7),5),0)</f>
        <v>140</v>
      </c>
      <c r="V28" s="31" t="n">
        <f aca="false">U28-P28</f>
        <v>72.4949494949495</v>
      </c>
      <c r="W28" s="44" t="n">
        <f aca="false">IFERROR(CEILING(P28/(1-$C$8),5),0)</f>
        <v>115</v>
      </c>
      <c r="X28" s="31" t="n">
        <f aca="false">W28-P28</f>
        <v>47.4949494949495</v>
      </c>
      <c r="Y28" s="43" t="n">
        <f aca="false">IFERROR(R28/Q28,0)</f>
        <v>0.60291146761735</v>
      </c>
      <c r="Z28" s="20" t="s">
        <v>657</v>
      </c>
    </row>
    <row r="29" customFormat="false" ht="15" hidden="false" customHeight="false" outlineLevel="0" collapsed="false">
      <c r="A29" s="35" t="n">
        <v>16</v>
      </c>
      <c r="B29" s="28" t="s">
        <v>373</v>
      </c>
      <c r="C29" s="41" t="s">
        <v>209</v>
      </c>
      <c r="D29" s="21" t="n">
        <v>12</v>
      </c>
      <c r="E29" s="40" t="n">
        <f aca="false">IFERROR(INDEX('2. Masas Base'!$D$55:$D$58,MATCH($C29,'2. Masas Base'!$B$55:$B$58,0)),0)</f>
        <v>73.48</v>
      </c>
      <c r="F29" s="40" t="n">
        <f aca="false">SUMIFS('3. Rellenos y Cubiertas'!$G$5:$G$345,'3. Rellenos y Cubiertas'!$A$5:$A$345,$A29)</f>
        <v>309.2</v>
      </c>
      <c r="G29" s="42" t="n">
        <f aca="false">E29+F29</f>
        <v>382.68</v>
      </c>
      <c r="H29" s="31" t="n">
        <f aca="false">IFERROR(G29/D29,0)</f>
        <v>31.89</v>
      </c>
      <c r="I29" s="22" t="n">
        <v>14</v>
      </c>
      <c r="J29" s="22" t="n">
        <v>5</v>
      </c>
      <c r="K29" s="21" t="n">
        <v>10</v>
      </c>
      <c r="L29" s="31" t="n">
        <f aca="false">$C$9*K29/60</f>
        <v>12.5</v>
      </c>
      <c r="M29" s="31" t="n">
        <f aca="false">$C$10</f>
        <v>10.6111111111111</v>
      </c>
      <c r="N29" s="42" t="n">
        <f aca="false">H29+I29+J29+L29+M29</f>
        <v>74.0011111111111</v>
      </c>
      <c r="O29" s="43" t="n">
        <f aca="false">$C$11</f>
        <v>0.12</v>
      </c>
      <c r="P29" s="34" t="n">
        <f aca="false">IFERROR(N29/(1-O29),0)</f>
        <v>84.0921717171717</v>
      </c>
      <c r="Q29" s="44" t="n">
        <f aca="false">IFERROR(CEILING(P29/(1-$C$5),5),0)</f>
        <v>215</v>
      </c>
      <c r="R29" s="31" t="n">
        <f aca="false">Q29-P29</f>
        <v>130.907828282828</v>
      </c>
      <c r="S29" s="44" t="n">
        <f aca="false">IFERROR(CEILING(P29/(1-$C$6),5),0)</f>
        <v>245</v>
      </c>
      <c r="T29" s="31" t="n">
        <f aca="false">S29-P29</f>
        <v>160.907828282828</v>
      </c>
      <c r="U29" s="44" t="n">
        <f aca="false">IFERROR(CEILING(P29/(1-$C$7),5),0)</f>
        <v>170</v>
      </c>
      <c r="V29" s="31" t="n">
        <f aca="false">U29-P29</f>
        <v>85.9078282828283</v>
      </c>
      <c r="W29" s="44" t="n">
        <f aca="false">IFERROR(CEILING(P29/(1-$C$8),5),0)</f>
        <v>145</v>
      </c>
      <c r="X29" s="31" t="n">
        <f aca="false">W29-P29</f>
        <v>60.9078282828283</v>
      </c>
      <c r="Y29" s="43" t="n">
        <f aca="false">IFERROR(R29/Q29,0)</f>
        <v>0.608873619920132</v>
      </c>
      <c r="Z29" s="20" t="s">
        <v>657</v>
      </c>
    </row>
    <row r="30" customFormat="false" ht="15" hidden="false" customHeight="false" outlineLevel="0" collapsed="false">
      <c r="A30" s="35" t="n">
        <v>17</v>
      </c>
      <c r="B30" s="28" t="s">
        <v>378</v>
      </c>
      <c r="C30" s="41" t="s">
        <v>209</v>
      </c>
      <c r="D30" s="21" t="n">
        <v>12</v>
      </c>
      <c r="E30" s="40" t="n">
        <f aca="false">IFERROR(INDEX('2. Masas Base'!$D$55:$D$58,MATCH($C30,'2. Masas Base'!$B$55:$B$58,0)),0)</f>
        <v>73.48</v>
      </c>
      <c r="F30" s="40" t="n">
        <f aca="false">SUMIFS('3. Rellenos y Cubiertas'!$G$5:$G$345,'3. Rellenos y Cubiertas'!$A$5:$A$345,$A30)</f>
        <v>61.32</v>
      </c>
      <c r="G30" s="42" t="n">
        <f aca="false">E30+F30</f>
        <v>134.8</v>
      </c>
      <c r="H30" s="31" t="n">
        <f aca="false">IFERROR(G30/D30,0)</f>
        <v>11.2333333333333</v>
      </c>
      <c r="I30" s="22" t="n">
        <v>11</v>
      </c>
      <c r="J30" s="22" t="n">
        <v>4</v>
      </c>
      <c r="K30" s="21" t="n">
        <v>7</v>
      </c>
      <c r="L30" s="31" t="n">
        <f aca="false">$C$9*K30/60</f>
        <v>8.75</v>
      </c>
      <c r="M30" s="31" t="n">
        <f aca="false">$C$10</f>
        <v>10.6111111111111</v>
      </c>
      <c r="N30" s="42" t="n">
        <f aca="false">H30+I30+J30+L30+M30</f>
        <v>45.5944444444445</v>
      </c>
      <c r="O30" s="43" t="n">
        <f aca="false">$C$11</f>
        <v>0.12</v>
      </c>
      <c r="P30" s="34" t="n">
        <f aca="false">IFERROR(N30/(1-O30),0)</f>
        <v>51.8118686868687</v>
      </c>
      <c r="Q30" s="44" t="n">
        <f aca="false">IFERROR(CEILING(P30/(1-$C$5),5),0)</f>
        <v>130</v>
      </c>
      <c r="R30" s="31" t="n">
        <f aca="false">Q30-P30</f>
        <v>78.1881313131313</v>
      </c>
      <c r="S30" s="44" t="n">
        <f aca="false">IFERROR(CEILING(P30/(1-$C$6),5),0)</f>
        <v>150</v>
      </c>
      <c r="T30" s="31" t="n">
        <f aca="false">S30-P30</f>
        <v>98.1881313131313</v>
      </c>
      <c r="U30" s="44" t="n">
        <f aca="false">IFERROR(CEILING(P30/(1-$C$7),5),0)</f>
        <v>105</v>
      </c>
      <c r="V30" s="31" t="n">
        <f aca="false">U30-P30</f>
        <v>53.1881313131313</v>
      </c>
      <c r="W30" s="44" t="n">
        <f aca="false">IFERROR(CEILING(P30/(1-$C$8),5),0)</f>
        <v>90</v>
      </c>
      <c r="X30" s="31" t="n">
        <f aca="false">W30-P30</f>
        <v>38.1881313131313</v>
      </c>
      <c r="Y30" s="43" t="n">
        <f aca="false">IFERROR(R30/Q30,0)</f>
        <v>0.601447163947164</v>
      </c>
      <c r="Z30" s="20" t="s">
        <v>656</v>
      </c>
    </row>
    <row r="31" customFormat="false" ht="15" hidden="false" customHeight="false" outlineLevel="0" collapsed="false">
      <c r="A31" s="35" t="n">
        <v>18</v>
      </c>
      <c r="B31" s="28" t="s">
        <v>386</v>
      </c>
      <c r="C31" s="41" t="s">
        <v>209</v>
      </c>
      <c r="D31" s="21" t="n">
        <v>12</v>
      </c>
      <c r="E31" s="40" t="n">
        <f aca="false">IFERROR(INDEX('2. Masas Base'!$D$55:$D$58,MATCH($C31,'2. Masas Base'!$B$55:$B$58,0)),0)</f>
        <v>73.48</v>
      </c>
      <c r="F31" s="40" t="n">
        <f aca="false">SUMIFS('3. Rellenos y Cubiertas'!$G$5:$G$345,'3. Rellenos y Cubiertas'!$A$5:$A$345,$A31)</f>
        <v>85.9</v>
      </c>
      <c r="G31" s="42" t="n">
        <f aca="false">E31+F31</f>
        <v>159.38</v>
      </c>
      <c r="H31" s="31" t="n">
        <f aca="false">IFERROR(G31/D31,0)</f>
        <v>13.2816666666667</v>
      </c>
      <c r="I31" s="22" t="n">
        <v>9</v>
      </c>
      <c r="J31" s="22" t="n">
        <v>3</v>
      </c>
      <c r="K31" s="21" t="n">
        <v>5</v>
      </c>
      <c r="L31" s="31" t="n">
        <f aca="false">$C$9*K31/60</f>
        <v>6.25</v>
      </c>
      <c r="M31" s="31" t="n">
        <f aca="false">$C$10</f>
        <v>10.6111111111111</v>
      </c>
      <c r="N31" s="42" t="n">
        <f aca="false">H31+I31+J31+L31+M31</f>
        <v>42.1427777777778</v>
      </c>
      <c r="O31" s="43" t="n">
        <f aca="false">$C$11</f>
        <v>0.12</v>
      </c>
      <c r="P31" s="34" t="n">
        <f aca="false">IFERROR(N31/(1-O31),0)</f>
        <v>47.8895202020202</v>
      </c>
      <c r="Q31" s="44" t="n">
        <f aca="false">IFERROR(CEILING(P31/(1-$C$5),5),0)</f>
        <v>120</v>
      </c>
      <c r="R31" s="31" t="n">
        <f aca="false">Q31-P31</f>
        <v>72.1104797979798</v>
      </c>
      <c r="S31" s="44" t="n">
        <f aca="false">IFERROR(CEILING(P31/(1-$C$6),5),0)</f>
        <v>140</v>
      </c>
      <c r="T31" s="31" t="n">
        <f aca="false">S31-P31</f>
        <v>92.1104797979798</v>
      </c>
      <c r="U31" s="44" t="n">
        <f aca="false">IFERROR(CEILING(P31/(1-$C$7),5),0)</f>
        <v>100</v>
      </c>
      <c r="V31" s="31" t="n">
        <f aca="false">U31-P31</f>
        <v>52.1104797979798</v>
      </c>
      <c r="W31" s="44" t="n">
        <f aca="false">IFERROR(CEILING(P31/(1-$C$8),5),0)</f>
        <v>80</v>
      </c>
      <c r="X31" s="31" t="n">
        <f aca="false">W31-P31</f>
        <v>32.1104797979798</v>
      </c>
      <c r="Y31" s="43" t="n">
        <f aca="false">IFERROR(R31/Q31,0)</f>
        <v>0.600920664983165</v>
      </c>
      <c r="Z31" s="20" t="s">
        <v>655</v>
      </c>
    </row>
    <row r="32" customFormat="false" ht="15" hidden="false" customHeight="false" outlineLevel="0" collapsed="false">
      <c r="A32" s="35" t="n">
        <v>19</v>
      </c>
      <c r="B32" s="28" t="s">
        <v>390</v>
      </c>
      <c r="C32" s="41" t="s">
        <v>209</v>
      </c>
      <c r="D32" s="21" t="n">
        <v>12</v>
      </c>
      <c r="E32" s="40" t="n">
        <f aca="false">IFERROR(INDEX('2. Masas Base'!$D$55:$D$58,MATCH($C32,'2. Masas Base'!$B$55:$B$58,0)),0)</f>
        <v>73.48</v>
      </c>
      <c r="F32" s="40" t="n">
        <f aca="false">SUMIFS('3. Rellenos y Cubiertas'!$G$5:$G$345,'3. Rellenos y Cubiertas'!$A$5:$A$345,$A32)</f>
        <v>77.6</v>
      </c>
      <c r="G32" s="42" t="n">
        <f aca="false">E32+F32</f>
        <v>151.08</v>
      </c>
      <c r="H32" s="31" t="n">
        <f aca="false">IFERROR(G32/D32,0)</f>
        <v>12.59</v>
      </c>
      <c r="I32" s="22" t="n">
        <v>11</v>
      </c>
      <c r="J32" s="22" t="n">
        <v>4</v>
      </c>
      <c r="K32" s="21" t="n">
        <v>7</v>
      </c>
      <c r="L32" s="31" t="n">
        <f aca="false">$C$9*K32/60</f>
        <v>8.75</v>
      </c>
      <c r="M32" s="31" t="n">
        <f aca="false">$C$10</f>
        <v>10.6111111111111</v>
      </c>
      <c r="N32" s="42" t="n">
        <f aca="false">H32+I32+J32+L32+M32</f>
        <v>46.9511111111111</v>
      </c>
      <c r="O32" s="43" t="n">
        <f aca="false">$C$11</f>
        <v>0.12</v>
      </c>
      <c r="P32" s="34" t="n">
        <f aca="false">IFERROR(N32/(1-O32),0)</f>
        <v>53.3535353535353</v>
      </c>
      <c r="Q32" s="44" t="n">
        <f aca="false">IFERROR(CEILING(P32/(1-$C$5),5),0)</f>
        <v>135</v>
      </c>
      <c r="R32" s="31" t="n">
        <f aca="false">Q32-P32</f>
        <v>81.6464646464647</v>
      </c>
      <c r="S32" s="44" t="n">
        <f aca="false">IFERROR(CEILING(P32/(1-$C$6),5),0)</f>
        <v>155</v>
      </c>
      <c r="T32" s="31" t="n">
        <f aca="false">S32-P32</f>
        <v>101.646464646465</v>
      </c>
      <c r="U32" s="44" t="n">
        <f aca="false">IFERROR(CEILING(P32/(1-$C$7),5),0)</f>
        <v>110</v>
      </c>
      <c r="V32" s="31" t="n">
        <f aca="false">U32-P32</f>
        <v>56.6464646464647</v>
      </c>
      <c r="W32" s="44" t="n">
        <f aca="false">IFERROR(CEILING(P32/(1-$C$8),5),0)</f>
        <v>90</v>
      </c>
      <c r="X32" s="31" t="n">
        <f aca="false">W32-P32</f>
        <v>36.6464646464647</v>
      </c>
      <c r="Y32" s="43" t="n">
        <f aca="false">IFERROR(R32/Q32,0)</f>
        <v>0.604788627010849</v>
      </c>
      <c r="Z32" s="20" t="s">
        <v>656</v>
      </c>
    </row>
    <row r="33" customFormat="false" ht="15" hidden="false" customHeight="false" outlineLevel="0" collapsed="false">
      <c r="A33" s="35" t="n">
        <v>20</v>
      </c>
      <c r="B33" s="28" t="s">
        <v>392</v>
      </c>
      <c r="C33" s="41" t="s">
        <v>209</v>
      </c>
      <c r="D33" s="21" t="n">
        <v>12</v>
      </c>
      <c r="E33" s="40" t="n">
        <f aca="false">IFERROR(INDEX('2. Masas Base'!$D$55:$D$58,MATCH($C33,'2. Masas Base'!$B$55:$B$58,0)),0)</f>
        <v>73.48</v>
      </c>
      <c r="F33" s="40" t="n">
        <f aca="false">SUMIFS('3. Rellenos y Cubiertas'!$G$5:$G$345,'3. Rellenos y Cubiertas'!$A$5:$A$345,$A33)</f>
        <v>74</v>
      </c>
      <c r="G33" s="42" t="n">
        <f aca="false">E33+F33</f>
        <v>147.48</v>
      </c>
      <c r="H33" s="31" t="n">
        <f aca="false">IFERROR(G33/D33,0)</f>
        <v>12.29</v>
      </c>
      <c r="I33" s="22" t="n">
        <v>11</v>
      </c>
      <c r="J33" s="22" t="n">
        <v>4</v>
      </c>
      <c r="K33" s="21" t="n">
        <v>7</v>
      </c>
      <c r="L33" s="31" t="n">
        <f aca="false">$C$9*K33/60</f>
        <v>8.75</v>
      </c>
      <c r="M33" s="31" t="n">
        <f aca="false">$C$10</f>
        <v>10.6111111111111</v>
      </c>
      <c r="N33" s="42" t="n">
        <f aca="false">H33+I33+J33+L33+M33</f>
        <v>46.6511111111111</v>
      </c>
      <c r="O33" s="43" t="n">
        <f aca="false">$C$11</f>
        <v>0.12</v>
      </c>
      <c r="P33" s="34" t="n">
        <f aca="false">IFERROR(N33/(1-O33),0)</f>
        <v>53.0126262626263</v>
      </c>
      <c r="Q33" s="44" t="n">
        <f aca="false">IFERROR(CEILING(P33/(1-$C$5),5),0)</f>
        <v>135</v>
      </c>
      <c r="R33" s="31" t="n">
        <f aca="false">Q33-P33</f>
        <v>81.9873737373737</v>
      </c>
      <c r="S33" s="44" t="n">
        <f aca="false">IFERROR(CEILING(P33/(1-$C$6),5),0)</f>
        <v>155</v>
      </c>
      <c r="T33" s="31" t="n">
        <f aca="false">S33-P33</f>
        <v>101.987373737374</v>
      </c>
      <c r="U33" s="44" t="n">
        <f aca="false">IFERROR(CEILING(P33/(1-$C$7),5),0)</f>
        <v>110</v>
      </c>
      <c r="V33" s="31" t="n">
        <f aca="false">U33-P33</f>
        <v>56.9873737373737</v>
      </c>
      <c r="W33" s="44" t="n">
        <f aca="false">IFERROR(CEILING(P33/(1-$C$8),5),0)</f>
        <v>90</v>
      </c>
      <c r="X33" s="31" t="n">
        <f aca="false">W33-P33</f>
        <v>36.9873737373737</v>
      </c>
      <c r="Y33" s="43" t="n">
        <f aca="false">IFERROR(R33/Q33,0)</f>
        <v>0.607313879536102</v>
      </c>
      <c r="Z33" s="20" t="s">
        <v>656</v>
      </c>
    </row>
    <row r="34" customFormat="false" ht="15" hidden="false" customHeight="false" outlineLevel="0" collapsed="false">
      <c r="A34" s="35" t="n">
        <v>21</v>
      </c>
      <c r="B34" s="28" t="s">
        <v>396</v>
      </c>
      <c r="C34" s="41" t="s">
        <v>209</v>
      </c>
      <c r="D34" s="21" t="n">
        <v>12</v>
      </c>
      <c r="E34" s="40" t="n">
        <f aca="false">IFERROR(INDEX('2. Masas Base'!$D$55:$D$58,MATCH($C34,'2. Masas Base'!$B$55:$B$58,0)),0)</f>
        <v>73.48</v>
      </c>
      <c r="F34" s="40" t="n">
        <f aca="false">SUMIFS('3. Rellenos y Cubiertas'!$G$5:$G$345,'3. Rellenos y Cubiertas'!$A$5:$A$345,$A34)</f>
        <v>128.09</v>
      </c>
      <c r="G34" s="42" t="n">
        <f aca="false">E34+F34</f>
        <v>201.57</v>
      </c>
      <c r="H34" s="31" t="n">
        <f aca="false">IFERROR(G34/D34,0)</f>
        <v>16.7975</v>
      </c>
      <c r="I34" s="22" t="n">
        <v>11</v>
      </c>
      <c r="J34" s="22" t="n">
        <v>4</v>
      </c>
      <c r="K34" s="21" t="n">
        <v>7</v>
      </c>
      <c r="L34" s="31" t="n">
        <f aca="false">$C$9*K34/60</f>
        <v>8.75</v>
      </c>
      <c r="M34" s="31" t="n">
        <f aca="false">$C$10</f>
        <v>10.6111111111111</v>
      </c>
      <c r="N34" s="42" t="n">
        <f aca="false">H34+I34+J34+L34+M34</f>
        <v>51.1586111111111</v>
      </c>
      <c r="O34" s="43" t="n">
        <f aca="false">$C$11</f>
        <v>0.12</v>
      </c>
      <c r="P34" s="34" t="n">
        <f aca="false">IFERROR(N34/(1-O34),0)</f>
        <v>58.1347853535354</v>
      </c>
      <c r="Q34" s="44" t="n">
        <f aca="false">IFERROR(CEILING(P34/(1-$C$5),5),0)</f>
        <v>150</v>
      </c>
      <c r="R34" s="31" t="n">
        <f aca="false">Q34-P34</f>
        <v>91.8652146464646</v>
      </c>
      <c r="S34" s="44" t="n">
        <f aca="false">IFERROR(CEILING(P34/(1-$C$6),5),0)</f>
        <v>170</v>
      </c>
      <c r="T34" s="31" t="n">
        <f aca="false">S34-P34</f>
        <v>111.865214646465</v>
      </c>
      <c r="U34" s="44" t="n">
        <f aca="false">IFERROR(CEILING(P34/(1-$C$7),5),0)</f>
        <v>120</v>
      </c>
      <c r="V34" s="31" t="n">
        <f aca="false">U34-P34</f>
        <v>61.8652146464646</v>
      </c>
      <c r="W34" s="44" t="n">
        <f aca="false">IFERROR(CEILING(P34/(1-$C$8),5),0)</f>
        <v>100</v>
      </c>
      <c r="X34" s="31" t="n">
        <f aca="false">W34-P34</f>
        <v>41.8652146464646</v>
      </c>
      <c r="Y34" s="43" t="n">
        <f aca="false">IFERROR(R34/Q34,0)</f>
        <v>0.612434764309764</v>
      </c>
      <c r="Z34" s="20" t="s">
        <v>656</v>
      </c>
    </row>
    <row r="35" customFormat="false" ht="15" hidden="false" customHeight="false" outlineLevel="0" collapsed="false">
      <c r="A35" s="35" t="n">
        <v>22</v>
      </c>
      <c r="B35" s="28" t="s">
        <v>406</v>
      </c>
      <c r="C35" s="41" t="s">
        <v>209</v>
      </c>
      <c r="D35" s="21" t="n">
        <v>12</v>
      </c>
      <c r="E35" s="40" t="n">
        <f aca="false">IFERROR(INDEX('2. Masas Base'!$D$55:$D$58,MATCH($C35,'2. Masas Base'!$B$55:$B$58,0)),0)</f>
        <v>73.48</v>
      </c>
      <c r="F35" s="40" t="n">
        <f aca="false">SUMIFS('3. Rellenos y Cubiertas'!$G$5:$G$345,'3. Rellenos y Cubiertas'!$A$5:$A$345,$A35)</f>
        <v>73.28</v>
      </c>
      <c r="G35" s="42" t="n">
        <f aca="false">E35+F35</f>
        <v>146.76</v>
      </c>
      <c r="H35" s="31" t="n">
        <f aca="false">IFERROR(G35/D35,0)</f>
        <v>12.23</v>
      </c>
      <c r="I35" s="22" t="n">
        <v>11</v>
      </c>
      <c r="J35" s="22" t="n">
        <v>4</v>
      </c>
      <c r="K35" s="21" t="n">
        <v>7</v>
      </c>
      <c r="L35" s="31" t="n">
        <f aca="false">$C$9*K35/60</f>
        <v>8.75</v>
      </c>
      <c r="M35" s="31" t="n">
        <f aca="false">$C$10</f>
        <v>10.6111111111111</v>
      </c>
      <c r="N35" s="42" t="n">
        <f aca="false">H35+I35+J35+L35+M35</f>
        <v>46.5911111111111</v>
      </c>
      <c r="O35" s="43" t="n">
        <f aca="false">$C$11</f>
        <v>0.12</v>
      </c>
      <c r="P35" s="34" t="n">
        <f aca="false">IFERROR(N35/(1-O35),0)</f>
        <v>52.9444444444444</v>
      </c>
      <c r="Q35" s="44" t="n">
        <f aca="false">IFERROR(CEILING(P35/(1-$C$5),5),0)</f>
        <v>135</v>
      </c>
      <c r="R35" s="31" t="n">
        <f aca="false">Q35-P35</f>
        <v>82.0555555555556</v>
      </c>
      <c r="S35" s="44" t="n">
        <f aca="false">IFERROR(CEILING(P35/(1-$C$6),5),0)</f>
        <v>155</v>
      </c>
      <c r="T35" s="31" t="n">
        <f aca="false">S35-P35</f>
        <v>102.055555555556</v>
      </c>
      <c r="U35" s="44" t="n">
        <f aca="false">IFERROR(CEILING(P35/(1-$C$7),5),0)</f>
        <v>110</v>
      </c>
      <c r="V35" s="31" t="n">
        <f aca="false">U35-P35</f>
        <v>57.0555555555556</v>
      </c>
      <c r="W35" s="44" t="n">
        <f aca="false">IFERROR(CEILING(P35/(1-$C$8),5),0)</f>
        <v>90</v>
      </c>
      <c r="X35" s="31" t="n">
        <f aca="false">W35-P35</f>
        <v>37.0555555555556</v>
      </c>
      <c r="Y35" s="43" t="n">
        <f aca="false">IFERROR(R35/Q35,0)</f>
        <v>0.607818930041152</v>
      </c>
      <c r="Z35" s="20" t="s">
        <v>656</v>
      </c>
    </row>
    <row r="36" customFormat="false" ht="15" hidden="false" customHeight="false" outlineLevel="0" collapsed="false">
      <c r="A36" s="35" t="n">
        <v>23</v>
      </c>
      <c r="B36" s="28" t="s">
        <v>412</v>
      </c>
      <c r="C36" s="41" t="s">
        <v>209</v>
      </c>
      <c r="D36" s="21" t="n">
        <v>12</v>
      </c>
      <c r="E36" s="40" t="n">
        <f aca="false">IFERROR(INDEX('2. Masas Base'!$D$55:$D$58,MATCH($C36,'2. Masas Base'!$B$55:$B$58,0)),0)</f>
        <v>73.48</v>
      </c>
      <c r="F36" s="40" t="n">
        <f aca="false">SUMIFS('3. Rellenos y Cubiertas'!$G$5:$G$345,'3. Rellenos y Cubiertas'!$A$5:$A$345,$A36)</f>
        <v>111.97</v>
      </c>
      <c r="G36" s="42" t="n">
        <f aca="false">E36+F36</f>
        <v>185.45</v>
      </c>
      <c r="H36" s="31" t="n">
        <f aca="false">IFERROR(G36/D36,0)</f>
        <v>15.4541666666667</v>
      </c>
      <c r="I36" s="22" t="n">
        <v>11</v>
      </c>
      <c r="J36" s="22" t="n">
        <v>4</v>
      </c>
      <c r="K36" s="21" t="n">
        <v>7</v>
      </c>
      <c r="L36" s="31" t="n">
        <f aca="false">$C$9*K36/60</f>
        <v>8.75</v>
      </c>
      <c r="M36" s="31" t="n">
        <f aca="false">$C$10</f>
        <v>10.6111111111111</v>
      </c>
      <c r="N36" s="42" t="n">
        <f aca="false">H36+I36+J36+L36+M36</f>
        <v>49.8152777777778</v>
      </c>
      <c r="O36" s="43" t="n">
        <f aca="false">$C$11</f>
        <v>0.12</v>
      </c>
      <c r="P36" s="34" t="n">
        <f aca="false">IFERROR(N36/(1-O36),0)</f>
        <v>56.6082702020202</v>
      </c>
      <c r="Q36" s="44" t="n">
        <f aca="false">IFERROR(CEILING(P36/(1-$C$5),5),0)</f>
        <v>145</v>
      </c>
      <c r="R36" s="31" t="n">
        <f aca="false">Q36-P36</f>
        <v>88.3917297979798</v>
      </c>
      <c r="S36" s="44" t="n">
        <f aca="false">IFERROR(CEILING(P36/(1-$C$6),5),0)</f>
        <v>165</v>
      </c>
      <c r="T36" s="31" t="n">
        <f aca="false">S36-P36</f>
        <v>108.39172979798</v>
      </c>
      <c r="U36" s="44" t="n">
        <f aca="false">IFERROR(CEILING(P36/(1-$C$7),5),0)</f>
        <v>115</v>
      </c>
      <c r="V36" s="31" t="n">
        <f aca="false">U36-P36</f>
        <v>58.3917297979798</v>
      </c>
      <c r="W36" s="44" t="n">
        <f aca="false">IFERROR(CEILING(P36/(1-$C$8),5),0)</f>
        <v>95</v>
      </c>
      <c r="X36" s="31" t="n">
        <f aca="false">W36-P36</f>
        <v>38.3917297979798</v>
      </c>
      <c r="Y36" s="43" t="n">
        <f aca="false">IFERROR(R36/Q36,0)</f>
        <v>0.609598136537792</v>
      </c>
      <c r="Z36" s="20" t="s">
        <v>656</v>
      </c>
    </row>
    <row r="37" customFormat="false" ht="15" hidden="false" customHeight="false" outlineLevel="0" collapsed="false">
      <c r="A37" s="35" t="n">
        <v>24</v>
      </c>
      <c r="B37" s="28" t="s">
        <v>420</v>
      </c>
      <c r="C37" s="41" t="s">
        <v>209</v>
      </c>
      <c r="D37" s="21" t="n">
        <v>12</v>
      </c>
      <c r="E37" s="40" t="n">
        <f aca="false">IFERROR(INDEX('2. Masas Base'!$D$55:$D$58,MATCH($C37,'2. Masas Base'!$B$55:$B$58,0)),0)</f>
        <v>73.48</v>
      </c>
      <c r="F37" s="40" t="n">
        <f aca="false">SUMIFS('3. Rellenos y Cubiertas'!$G$5:$G$345,'3. Rellenos y Cubiertas'!$A$5:$A$345,$A37)</f>
        <v>117.98</v>
      </c>
      <c r="G37" s="42" t="n">
        <f aca="false">E37+F37</f>
        <v>191.46</v>
      </c>
      <c r="H37" s="31" t="n">
        <f aca="false">IFERROR(G37/D37,0)</f>
        <v>15.955</v>
      </c>
      <c r="I37" s="22" t="n">
        <v>9</v>
      </c>
      <c r="J37" s="22" t="n">
        <v>3</v>
      </c>
      <c r="K37" s="21" t="n">
        <v>5</v>
      </c>
      <c r="L37" s="31" t="n">
        <f aca="false">$C$9*K37/60</f>
        <v>6.25</v>
      </c>
      <c r="M37" s="31" t="n">
        <f aca="false">$C$10</f>
        <v>10.6111111111111</v>
      </c>
      <c r="N37" s="42" t="n">
        <f aca="false">H37+I37+J37+L37+M37</f>
        <v>44.8161111111111</v>
      </c>
      <c r="O37" s="43" t="n">
        <f aca="false">$C$11</f>
        <v>0.12</v>
      </c>
      <c r="P37" s="34" t="n">
        <f aca="false">IFERROR(N37/(1-O37),0)</f>
        <v>50.927398989899</v>
      </c>
      <c r="Q37" s="44" t="n">
        <f aca="false">IFERROR(CEILING(P37/(1-$C$5),5),0)</f>
        <v>130</v>
      </c>
      <c r="R37" s="31" t="n">
        <f aca="false">Q37-P37</f>
        <v>79.072601010101</v>
      </c>
      <c r="S37" s="44" t="n">
        <f aca="false">IFERROR(CEILING(P37/(1-$C$6),5),0)</f>
        <v>150</v>
      </c>
      <c r="T37" s="31" t="n">
        <f aca="false">S37-P37</f>
        <v>99.072601010101</v>
      </c>
      <c r="U37" s="44" t="n">
        <f aca="false">IFERROR(CEILING(P37/(1-$C$7),5),0)</f>
        <v>105</v>
      </c>
      <c r="V37" s="31" t="n">
        <f aca="false">U37-P37</f>
        <v>54.072601010101</v>
      </c>
      <c r="W37" s="44" t="n">
        <f aca="false">IFERROR(CEILING(P37/(1-$C$8),5),0)</f>
        <v>85</v>
      </c>
      <c r="X37" s="31" t="n">
        <f aca="false">W37-P37</f>
        <v>34.072601010101</v>
      </c>
      <c r="Y37" s="43" t="n">
        <f aca="false">IFERROR(R37/Q37,0)</f>
        <v>0.608250777000777</v>
      </c>
      <c r="Z37" s="20" t="s">
        <v>655</v>
      </c>
    </row>
    <row r="38" customFormat="false" ht="15" hidden="false" customHeight="false" outlineLevel="0" collapsed="false">
      <c r="A38" s="35" t="n">
        <v>25</v>
      </c>
      <c r="B38" s="28" t="s">
        <v>429</v>
      </c>
      <c r="C38" s="41" t="s">
        <v>227</v>
      </c>
      <c r="D38" s="21" t="n">
        <v>12</v>
      </c>
      <c r="E38" s="40" t="n">
        <f aca="false">IFERROR(INDEX('2. Masas Base'!$D$55:$D$58,MATCH($C38,'2. Masas Base'!$B$55:$B$58,0)),0)</f>
        <v>175.16</v>
      </c>
      <c r="F38" s="40" t="n">
        <f aca="false">SUMIFS('3. Rellenos y Cubiertas'!$G$5:$G$345,'3. Rellenos y Cubiertas'!$A$5:$A$345,$A38)</f>
        <v>198</v>
      </c>
      <c r="G38" s="42" t="n">
        <f aca="false">E38+F38</f>
        <v>373.16</v>
      </c>
      <c r="H38" s="31" t="n">
        <f aca="false">IFERROR(G38/D38,0)</f>
        <v>31.0966666666667</v>
      </c>
      <c r="I38" s="22" t="n">
        <v>11</v>
      </c>
      <c r="J38" s="22" t="n">
        <v>4</v>
      </c>
      <c r="K38" s="21" t="n">
        <v>7</v>
      </c>
      <c r="L38" s="31" t="n">
        <f aca="false">$C$9*K38/60</f>
        <v>8.75</v>
      </c>
      <c r="M38" s="31" t="n">
        <f aca="false">$C$10</f>
        <v>10.6111111111111</v>
      </c>
      <c r="N38" s="42" t="n">
        <f aca="false">H38+I38+J38+L38+M38</f>
        <v>65.4577777777778</v>
      </c>
      <c r="O38" s="43" t="n">
        <f aca="false">$C$11</f>
        <v>0.12</v>
      </c>
      <c r="P38" s="34" t="n">
        <f aca="false">IFERROR(N38/(1-O38),0)</f>
        <v>74.3838383838384</v>
      </c>
      <c r="Q38" s="44" t="n">
        <f aca="false">IFERROR(CEILING(P38/(1-$C$5),5),0)</f>
        <v>190</v>
      </c>
      <c r="R38" s="31" t="n">
        <f aca="false">Q38-P38</f>
        <v>115.616161616162</v>
      </c>
      <c r="S38" s="44" t="n">
        <f aca="false">IFERROR(CEILING(P38/(1-$C$6),5),0)</f>
        <v>215</v>
      </c>
      <c r="T38" s="31" t="n">
        <f aca="false">S38-P38</f>
        <v>140.616161616162</v>
      </c>
      <c r="U38" s="44" t="n">
        <f aca="false">IFERROR(CEILING(P38/(1-$C$7),5),0)</f>
        <v>150</v>
      </c>
      <c r="V38" s="31" t="n">
        <f aca="false">U38-P38</f>
        <v>75.6161616161616</v>
      </c>
      <c r="W38" s="44" t="n">
        <f aca="false">IFERROR(CEILING(P38/(1-$C$8),5),0)</f>
        <v>125</v>
      </c>
      <c r="X38" s="31" t="n">
        <f aca="false">W38-P38</f>
        <v>50.6161616161616</v>
      </c>
      <c r="Y38" s="43" t="n">
        <f aca="false">IFERROR(R38/Q38,0)</f>
        <v>0.608506113769272</v>
      </c>
      <c r="Z38" s="20" t="s">
        <v>656</v>
      </c>
    </row>
    <row r="39" customFormat="false" ht="15" hidden="false" customHeight="false" outlineLevel="0" collapsed="false">
      <c r="A39" s="35" t="n">
        <v>26</v>
      </c>
      <c r="B39" s="28" t="s">
        <v>439</v>
      </c>
      <c r="C39" s="41" t="s">
        <v>227</v>
      </c>
      <c r="D39" s="21" t="n">
        <v>12</v>
      </c>
      <c r="E39" s="40" t="n">
        <f aca="false">IFERROR(INDEX('2. Masas Base'!$D$55:$D$58,MATCH($C39,'2. Masas Base'!$B$55:$B$58,0)),0)</f>
        <v>175.16</v>
      </c>
      <c r="F39" s="40" t="n">
        <f aca="false">SUMIFS('3. Rellenos y Cubiertas'!$G$5:$G$345,'3. Rellenos y Cubiertas'!$A$5:$A$345,$A39)</f>
        <v>208.65</v>
      </c>
      <c r="G39" s="42" t="n">
        <f aca="false">E39+F39</f>
        <v>383.81</v>
      </c>
      <c r="H39" s="31" t="n">
        <f aca="false">IFERROR(G39/D39,0)</f>
        <v>31.9841666666667</v>
      </c>
      <c r="I39" s="22" t="n">
        <v>11</v>
      </c>
      <c r="J39" s="22" t="n">
        <v>4</v>
      </c>
      <c r="K39" s="21" t="n">
        <v>7</v>
      </c>
      <c r="L39" s="31" t="n">
        <f aca="false">$C$9*K39/60</f>
        <v>8.75</v>
      </c>
      <c r="M39" s="31" t="n">
        <f aca="false">$C$10</f>
        <v>10.6111111111111</v>
      </c>
      <c r="N39" s="42" t="n">
        <f aca="false">H39+I39+J39+L39+M39</f>
        <v>66.3452777777778</v>
      </c>
      <c r="O39" s="43" t="n">
        <f aca="false">$C$11</f>
        <v>0.12</v>
      </c>
      <c r="P39" s="34" t="n">
        <f aca="false">IFERROR(N39/(1-O39),0)</f>
        <v>75.3923611111111</v>
      </c>
      <c r="Q39" s="44" t="n">
        <f aca="false">IFERROR(CEILING(P39/(1-$C$5),5),0)</f>
        <v>190</v>
      </c>
      <c r="R39" s="31" t="n">
        <f aca="false">Q39-P39</f>
        <v>114.607638888889</v>
      </c>
      <c r="S39" s="44" t="n">
        <f aca="false">IFERROR(CEILING(P39/(1-$C$6),5),0)</f>
        <v>220</v>
      </c>
      <c r="T39" s="31" t="n">
        <f aca="false">S39-P39</f>
        <v>144.607638888889</v>
      </c>
      <c r="U39" s="44" t="n">
        <f aca="false">IFERROR(CEILING(P39/(1-$C$7),5),0)</f>
        <v>155</v>
      </c>
      <c r="V39" s="31" t="n">
        <f aca="false">U39-P39</f>
        <v>79.6076388888889</v>
      </c>
      <c r="W39" s="44" t="n">
        <f aca="false">IFERROR(CEILING(P39/(1-$C$8),5),0)</f>
        <v>130</v>
      </c>
      <c r="X39" s="31" t="n">
        <f aca="false">W39-P39</f>
        <v>54.6076388888889</v>
      </c>
      <c r="Y39" s="43" t="n">
        <f aca="false">IFERROR(R39/Q39,0)</f>
        <v>0.603198099415205</v>
      </c>
      <c r="Z39" s="20" t="s">
        <v>656</v>
      </c>
    </row>
    <row r="40" customFormat="false" ht="15" hidden="false" customHeight="false" outlineLevel="0" collapsed="false">
      <c r="A40" s="35" t="n">
        <v>27</v>
      </c>
      <c r="B40" s="28" t="s">
        <v>447</v>
      </c>
      <c r="C40" s="41" t="s">
        <v>209</v>
      </c>
      <c r="D40" s="21" t="n">
        <v>12</v>
      </c>
      <c r="E40" s="40" t="n">
        <f aca="false">IFERROR(INDEX('2. Masas Base'!$D$55:$D$58,MATCH($C40,'2. Masas Base'!$B$55:$B$58,0)),0)</f>
        <v>73.48</v>
      </c>
      <c r="F40" s="40" t="n">
        <f aca="false">SUMIFS('3. Rellenos y Cubiertas'!$G$5:$G$345,'3. Rellenos y Cubiertas'!$A$5:$A$345,$A40)</f>
        <v>142.875</v>
      </c>
      <c r="G40" s="42" t="n">
        <f aca="false">E40+F40</f>
        <v>216.355</v>
      </c>
      <c r="H40" s="31" t="n">
        <f aca="false">IFERROR(G40/D40,0)</f>
        <v>18.0295833333333</v>
      </c>
      <c r="I40" s="22" t="n">
        <v>14</v>
      </c>
      <c r="J40" s="22" t="n">
        <v>5</v>
      </c>
      <c r="K40" s="21" t="n">
        <v>10</v>
      </c>
      <c r="L40" s="31" t="n">
        <f aca="false">$C$9*K40/60</f>
        <v>12.5</v>
      </c>
      <c r="M40" s="31" t="n">
        <f aca="false">$C$10</f>
        <v>10.6111111111111</v>
      </c>
      <c r="N40" s="42" t="n">
        <f aca="false">H40+I40+J40+L40+M40</f>
        <v>60.1406944444445</v>
      </c>
      <c r="O40" s="43" t="n">
        <f aca="false">$C$11</f>
        <v>0.12</v>
      </c>
      <c r="P40" s="34" t="n">
        <f aca="false">IFERROR(N40/(1-O40),0)</f>
        <v>68.3416982323232</v>
      </c>
      <c r="Q40" s="44" t="n">
        <f aca="false">IFERROR(CEILING(P40/(1-$C$5),5),0)</f>
        <v>175</v>
      </c>
      <c r="R40" s="31" t="n">
        <f aca="false">Q40-P40</f>
        <v>106.658301767677</v>
      </c>
      <c r="S40" s="44" t="n">
        <f aca="false">IFERROR(CEILING(P40/(1-$C$6),5),0)</f>
        <v>200</v>
      </c>
      <c r="T40" s="31" t="n">
        <f aca="false">S40-P40</f>
        <v>131.658301767677</v>
      </c>
      <c r="U40" s="44" t="n">
        <f aca="false">IFERROR(CEILING(P40/(1-$C$7),5),0)</f>
        <v>140</v>
      </c>
      <c r="V40" s="31" t="n">
        <f aca="false">U40-P40</f>
        <v>71.6583017676768</v>
      </c>
      <c r="W40" s="44" t="n">
        <f aca="false">IFERROR(CEILING(P40/(1-$C$8),5),0)</f>
        <v>115</v>
      </c>
      <c r="X40" s="31" t="n">
        <f aca="false">W40-P40</f>
        <v>46.6583017676768</v>
      </c>
      <c r="Y40" s="43" t="n">
        <f aca="false">IFERROR(R40/Q40,0)</f>
        <v>0.60947601010101</v>
      </c>
      <c r="Z40" s="20" t="s">
        <v>657</v>
      </c>
    </row>
    <row r="41" customFormat="false" ht="15" hidden="false" customHeight="false" outlineLevel="0" collapsed="false">
      <c r="A41" s="35" t="n">
        <v>28</v>
      </c>
      <c r="B41" s="28" t="s">
        <v>457</v>
      </c>
      <c r="C41" s="41" t="s">
        <v>209</v>
      </c>
      <c r="D41" s="21" t="n">
        <v>12</v>
      </c>
      <c r="E41" s="40" t="n">
        <f aca="false">IFERROR(INDEX('2. Masas Base'!$D$55:$D$58,MATCH($C41,'2. Masas Base'!$B$55:$B$58,0)),0)</f>
        <v>73.48</v>
      </c>
      <c r="F41" s="40" t="n">
        <f aca="false">SUMIFS('3. Rellenos y Cubiertas'!$G$5:$G$345,'3. Rellenos y Cubiertas'!$A$5:$A$345,$A41)</f>
        <v>70.4393450881612</v>
      </c>
      <c r="G41" s="42" t="n">
        <f aca="false">E41+F41</f>
        <v>143.919345088161</v>
      </c>
      <c r="H41" s="31" t="n">
        <f aca="false">IFERROR(G41/D41,0)</f>
        <v>11.9932787573468</v>
      </c>
      <c r="I41" s="22" t="n">
        <v>11</v>
      </c>
      <c r="J41" s="22" t="n">
        <v>4</v>
      </c>
      <c r="K41" s="21" t="n">
        <v>7</v>
      </c>
      <c r="L41" s="31" t="n">
        <f aca="false">$C$9*K41/60</f>
        <v>8.75</v>
      </c>
      <c r="M41" s="31" t="n">
        <f aca="false">$C$10</f>
        <v>10.6111111111111</v>
      </c>
      <c r="N41" s="42" t="n">
        <f aca="false">H41+I41+J41+L41+M41</f>
        <v>46.3543898684579</v>
      </c>
      <c r="O41" s="43" t="n">
        <f aca="false">$C$11</f>
        <v>0.12</v>
      </c>
      <c r="P41" s="34" t="n">
        <f aca="false">IFERROR(N41/(1-O41),0)</f>
        <v>52.6754430323385</v>
      </c>
      <c r="Q41" s="44" t="n">
        <f aca="false">IFERROR(CEILING(P41/(1-$C$5),5),0)</f>
        <v>135</v>
      </c>
      <c r="R41" s="31" t="n">
        <f aca="false">Q41-P41</f>
        <v>82.3245569676615</v>
      </c>
      <c r="S41" s="44" t="n">
        <f aca="false">IFERROR(CEILING(P41/(1-$C$6),5),0)</f>
        <v>155</v>
      </c>
      <c r="T41" s="31" t="n">
        <f aca="false">S41-P41</f>
        <v>102.324556967662</v>
      </c>
      <c r="U41" s="44" t="n">
        <f aca="false">IFERROR(CEILING(P41/(1-$C$7),5),0)</f>
        <v>110</v>
      </c>
      <c r="V41" s="31" t="n">
        <f aca="false">U41-P41</f>
        <v>57.3245569676615</v>
      </c>
      <c r="W41" s="44" t="n">
        <f aca="false">IFERROR(CEILING(P41/(1-$C$8),5),0)</f>
        <v>90</v>
      </c>
      <c r="X41" s="31" t="n">
        <f aca="false">W41-P41</f>
        <v>37.3245569676615</v>
      </c>
      <c r="Y41" s="43" t="n">
        <f aca="false">IFERROR(R41/Q41,0)</f>
        <v>0.609811533093789</v>
      </c>
      <c r="Z41" s="20" t="s">
        <v>656</v>
      </c>
    </row>
    <row r="42" customFormat="false" ht="15" hidden="false" customHeight="false" outlineLevel="0" collapsed="false">
      <c r="A42" s="35" t="n">
        <v>29</v>
      </c>
      <c r="B42" s="28" t="s">
        <v>466</v>
      </c>
      <c r="C42" s="41" t="s">
        <v>209</v>
      </c>
      <c r="D42" s="21" t="n">
        <v>12</v>
      </c>
      <c r="E42" s="40" t="n">
        <f aca="false">IFERROR(INDEX('2. Masas Base'!$D$55:$D$58,MATCH($C42,'2. Masas Base'!$B$55:$B$58,0)),0)</f>
        <v>73.48</v>
      </c>
      <c r="F42" s="40" t="n">
        <f aca="false">SUMIFS('3. Rellenos y Cubiertas'!$G$5:$G$345,'3. Rellenos y Cubiertas'!$A$5:$A$345,$A42)</f>
        <v>89.4123509655751</v>
      </c>
      <c r="G42" s="42" t="n">
        <f aca="false">E42+F42</f>
        <v>162.892350965575</v>
      </c>
      <c r="H42" s="31" t="n">
        <f aca="false">IFERROR(G42/D42,0)</f>
        <v>13.5743625804646</v>
      </c>
      <c r="I42" s="22" t="n">
        <v>14</v>
      </c>
      <c r="J42" s="22" t="n">
        <v>5</v>
      </c>
      <c r="K42" s="21" t="n">
        <v>10</v>
      </c>
      <c r="L42" s="31" t="n">
        <f aca="false">$C$9*K42/60</f>
        <v>12.5</v>
      </c>
      <c r="M42" s="31" t="n">
        <f aca="false">$C$10</f>
        <v>10.6111111111111</v>
      </c>
      <c r="N42" s="42" t="n">
        <f aca="false">H42+I42+J42+L42+M42</f>
        <v>55.6854736915757</v>
      </c>
      <c r="O42" s="43" t="n">
        <f aca="false">$C$11</f>
        <v>0.12</v>
      </c>
      <c r="P42" s="34" t="n">
        <f aca="false">IFERROR(N42/(1-O42),0)</f>
        <v>63.2789473767906</v>
      </c>
      <c r="Q42" s="44" t="n">
        <f aca="false">IFERROR(CEILING(P42/(1-$C$5),5),0)</f>
        <v>160</v>
      </c>
      <c r="R42" s="31" t="n">
        <f aca="false">Q42-P42</f>
        <v>96.7210526232094</v>
      </c>
      <c r="S42" s="44" t="n">
        <f aca="false">IFERROR(CEILING(P42/(1-$C$6),5),0)</f>
        <v>185</v>
      </c>
      <c r="T42" s="31" t="n">
        <f aca="false">S42-P42</f>
        <v>121.721052623209</v>
      </c>
      <c r="U42" s="44" t="n">
        <f aca="false">IFERROR(CEILING(P42/(1-$C$7),5),0)</f>
        <v>130</v>
      </c>
      <c r="V42" s="31" t="n">
        <f aca="false">U42-P42</f>
        <v>66.7210526232094</v>
      </c>
      <c r="W42" s="44" t="n">
        <f aca="false">IFERROR(CEILING(P42/(1-$C$8),5),0)</f>
        <v>110</v>
      </c>
      <c r="X42" s="31" t="n">
        <f aca="false">W42-P42</f>
        <v>46.7210526232094</v>
      </c>
      <c r="Y42" s="43" t="n">
        <f aca="false">IFERROR(R42/Q42,0)</f>
        <v>0.604506578895059</v>
      </c>
      <c r="Z42" s="20" t="s">
        <v>657</v>
      </c>
    </row>
    <row r="43" customFormat="false" ht="15" hidden="false" customHeight="false" outlineLevel="0" collapsed="false">
      <c r="A43" s="35" t="n">
        <v>30</v>
      </c>
      <c r="B43" s="28" t="s">
        <v>475</v>
      </c>
      <c r="C43" s="41" t="s">
        <v>209</v>
      </c>
      <c r="D43" s="21" t="n">
        <v>12</v>
      </c>
      <c r="E43" s="40" t="n">
        <f aca="false">IFERROR(INDEX('2. Masas Base'!$D$55:$D$58,MATCH($C43,'2. Masas Base'!$B$55:$B$58,0)),0)</f>
        <v>73.48</v>
      </c>
      <c r="F43" s="40" t="n">
        <f aca="false">SUMIFS('3. Rellenos y Cubiertas'!$G$5:$G$345,'3. Rellenos y Cubiertas'!$A$5:$A$345,$A43)</f>
        <v>99.86</v>
      </c>
      <c r="G43" s="42" t="n">
        <f aca="false">E43+F43</f>
        <v>173.34</v>
      </c>
      <c r="H43" s="31" t="n">
        <f aca="false">IFERROR(G43/D43,0)</f>
        <v>14.445</v>
      </c>
      <c r="I43" s="22" t="n">
        <v>9</v>
      </c>
      <c r="J43" s="22" t="n">
        <v>3</v>
      </c>
      <c r="K43" s="21" t="n">
        <v>5</v>
      </c>
      <c r="L43" s="31" t="n">
        <f aca="false">$C$9*K43/60</f>
        <v>6.25</v>
      </c>
      <c r="M43" s="31" t="n">
        <f aca="false">$C$10</f>
        <v>10.6111111111111</v>
      </c>
      <c r="N43" s="42" t="n">
        <f aca="false">H43+I43+J43+L43+M43</f>
        <v>43.3061111111111</v>
      </c>
      <c r="O43" s="43" t="n">
        <f aca="false">$C$11</f>
        <v>0.12</v>
      </c>
      <c r="P43" s="34" t="n">
        <f aca="false">IFERROR(N43/(1-O43),0)</f>
        <v>49.2114898989899</v>
      </c>
      <c r="Q43" s="44" t="n">
        <f aca="false">IFERROR(CEILING(P43/(1-$C$5),5),0)</f>
        <v>125</v>
      </c>
      <c r="R43" s="31" t="n">
        <f aca="false">Q43-P43</f>
        <v>75.7885101010101</v>
      </c>
      <c r="S43" s="44" t="n">
        <f aca="false">IFERROR(CEILING(P43/(1-$C$6),5),0)</f>
        <v>145</v>
      </c>
      <c r="T43" s="31" t="n">
        <f aca="false">S43-P43</f>
        <v>95.7885101010101</v>
      </c>
      <c r="U43" s="44" t="n">
        <f aca="false">IFERROR(CEILING(P43/(1-$C$7),5),0)</f>
        <v>100</v>
      </c>
      <c r="V43" s="31" t="n">
        <f aca="false">U43-P43</f>
        <v>50.7885101010101</v>
      </c>
      <c r="W43" s="44" t="n">
        <f aca="false">IFERROR(CEILING(P43/(1-$C$8),5),0)</f>
        <v>85</v>
      </c>
      <c r="X43" s="31" t="n">
        <f aca="false">W43-P43</f>
        <v>35.7885101010101</v>
      </c>
      <c r="Y43" s="43" t="n">
        <f aca="false">IFERROR(R43/Q43,0)</f>
        <v>0.606308080808081</v>
      </c>
      <c r="Z43" s="20" t="s">
        <v>655</v>
      </c>
    </row>
    <row r="44" customFormat="false" ht="15" hidden="false" customHeight="false" outlineLevel="0" collapsed="false">
      <c r="A44" s="35" t="n">
        <v>31</v>
      </c>
      <c r="B44" s="28" t="s">
        <v>483</v>
      </c>
      <c r="C44" s="41" t="s">
        <v>209</v>
      </c>
      <c r="D44" s="21" t="n">
        <v>12</v>
      </c>
      <c r="E44" s="40" t="n">
        <f aca="false">IFERROR(INDEX('2. Masas Base'!$D$55:$D$58,MATCH($C44,'2. Masas Base'!$B$55:$B$58,0)),0)</f>
        <v>73.48</v>
      </c>
      <c r="F44" s="40" t="n">
        <f aca="false">SUMIFS('3. Rellenos y Cubiertas'!$G$5:$G$345,'3. Rellenos y Cubiertas'!$A$5:$A$345,$A44)</f>
        <v>64.04</v>
      </c>
      <c r="G44" s="42" t="n">
        <f aca="false">E44+F44</f>
        <v>137.52</v>
      </c>
      <c r="H44" s="31" t="n">
        <f aca="false">IFERROR(G44/D44,0)</f>
        <v>11.46</v>
      </c>
      <c r="I44" s="22" t="n">
        <v>9</v>
      </c>
      <c r="J44" s="22" t="n">
        <v>3</v>
      </c>
      <c r="K44" s="21" t="n">
        <v>5</v>
      </c>
      <c r="L44" s="31" t="n">
        <f aca="false">$C$9*K44/60</f>
        <v>6.25</v>
      </c>
      <c r="M44" s="31" t="n">
        <f aca="false">$C$10</f>
        <v>10.6111111111111</v>
      </c>
      <c r="N44" s="42" t="n">
        <f aca="false">H44+I44+J44+L44+M44</f>
        <v>40.3211111111111</v>
      </c>
      <c r="O44" s="43" t="n">
        <f aca="false">$C$11</f>
        <v>0.12</v>
      </c>
      <c r="P44" s="34" t="n">
        <f aca="false">IFERROR(N44/(1-O44),0)</f>
        <v>45.8194444444444</v>
      </c>
      <c r="Q44" s="44" t="n">
        <f aca="false">IFERROR(CEILING(P44/(1-$C$5),5),0)</f>
        <v>115</v>
      </c>
      <c r="R44" s="31" t="n">
        <f aca="false">Q44-P44</f>
        <v>69.1805555555556</v>
      </c>
      <c r="S44" s="44" t="n">
        <f aca="false">IFERROR(CEILING(P44/(1-$C$6),5),0)</f>
        <v>135</v>
      </c>
      <c r="T44" s="31" t="n">
        <f aca="false">S44-P44</f>
        <v>89.1805555555556</v>
      </c>
      <c r="U44" s="44" t="n">
        <f aca="false">IFERROR(CEILING(P44/(1-$C$7),5),0)</f>
        <v>95</v>
      </c>
      <c r="V44" s="31" t="n">
        <f aca="false">U44-P44</f>
        <v>49.1805555555556</v>
      </c>
      <c r="W44" s="44" t="n">
        <f aca="false">IFERROR(CEILING(P44/(1-$C$8),5),0)</f>
        <v>80</v>
      </c>
      <c r="X44" s="31" t="n">
        <f aca="false">W44-P44</f>
        <v>34.1805555555556</v>
      </c>
      <c r="Y44" s="43" t="n">
        <f aca="false">IFERROR(R44/Q44,0)</f>
        <v>0.601570048309179</v>
      </c>
      <c r="Z44" s="20" t="s">
        <v>655</v>
      </c>
    </row>
    <row r="45" customFormat="false" ht="15" hidden="false" customHeight="false" outlineLevel="0" collapsed="false">
      <c r="A45" s="35" t="n">
        <v>32</v>
      </c>
      <c r="B45" s="28" t="s">
        <v>490</v>
      </c>
      <c r="C45" s="41" t="s">
        <v>209</v>
      </c>
      <c r="D45" s="21" t="n">
        <v>12</v>
      </c>
      <c r="E45" s="40" t="n">
        <f aca="false">IFERROR(INDEX('2. Masas Base'!$D$55:$D$58,MATCH($C45,'2. Masas Base'!$B$55:$B$58,0)),0)</f>
        <v>73.48</v>
      </c>
      <c r="F45" s="40" t="n">
        <f aca="false">SUMIFS('3. Rellenos y Cubiertas'!$G$5:$G$345,'3. Rellenos y Cubiertas'!$A$5:$A$345,$A45)</f>
        <v>88.11</v>
      </c>
      <c r="G45" s="42" t="n">
        <f aca="false">E45+F45</f>
        <v>161.59</v>
      </c>
      <c r="H45" s="31" t="n">
        <f aca="false">IFERROR(G45/D45,0)</f>
        <v>13.4658333333333</v>
      </c>
      <c r="I45" s="22" t="n">
        <v>11</v>
      </c>
      <c r="J45" s="22" t="n">
        <v>4</v>
      </c>
      <c r="K45" s="21" t="n">
        <v>7</v>
      </c>
      <c r="L45" s="31" t="n">
        <f aca="false">$C$9*K45/60</f>
        <v>8.75</v>
      </c>
      <c r="M45" s="31" t="n">
        <f aca="false">$C$10</f>
        <v>10.6111111111111</v>
      </c>
      <c r="N45" s="42" t="n">
        <f aca="false">H45+I45+J45+L45+M45</f>
        <v>47.8269444444445</v>
      </c>
      <c r="O45" s="43" t="n">
        <f aca="false">$C$11</f>
        <v>0.12</v>
      </c>
      <c r="P45" s="34" t="n">
        <f aca="false">IFERROR(N45/(1-O45),0)</f>
        <v>54.3488005050505</v>
      </c>
      <c r="Q45" s="44" t="n">
        <f aca="false">IFERROR(CEILING(P45/(1-$C$5),5),0)</f>
        <v>140</v>
      </c>
      <c r="R45" s="31" t="n">
        <f aca="false">Q45-P45</f>
        <v>85.6511994949495</v>
      </c>
      <c r="S45" s="44" t="n">
        <f aca="false">IFERROR(CEILING(P45/(1-$C$6),5),0)</f>
        <v>160</v>
      </c>
      <c r="T45" s="31" t="n">
        <f aca="false">S45-P45</f>
        <v>105.651199494949</v>
      </c>
      <c r="U45" s="44" t="n">
        <f aca="false">IFERROR(CEILING(P45/(1-$C$7),5),0)</f>
        <v>110</v>
      </c>
      <c r="V45" s="31" t="n">
        <f aca="false">U45-P45</f>
        <v>55.6511994949495</v>
      </c>
      <c r="W45" s="44" t="n">
        <f aca="false">IFERROR(CEILING(P45/(1-$C$8),5),0)</f>
        <v>95</v>
      </c>
      <c r="X45" s="31" t="n">
        <f aca="false">W45-P45</f>
        <v>40.6511994949495</v>
      </c>
      <c r="Y45" s="43" t="n">
        <f aca="false">IFERROR(R45/Q45,0)</f>
        <v>0.611794282106782</v>
      </c>
      <c r="Z45" s="20" t="s">
        <v>656</v>
      </c>
    </row>
    <row r="46" customFormat="false" ht="15" hidden="false" customHeight="false" outlineLevel="0" collapsed="false">
      <c r="A46" s="35" t="n">
        <v>33</v>
      </c>
      <c r="B46" s="28" t="s">
        <v>498</v>
      </c>
      <c r="C46" s="41" t="s">
        <v>209</v>
      </c>
      <c r="D46" s="21" t="n">
        <v>12</v>
      </c>
      <c r="E46" s="40" t="n">
        <f aca="false">IFERROR(INDEX('2. Masas Base'!$D$55:$D$58,MATCH($C46,'2. Masas Base'!$B$55:$B$58,0)),0)</f>
        <v>73.48</v>
      </c>
      <c r="F46" s="40" t="n">
        <f aca="false">SUMIFS('3. Rellenos y Cubiertas'!$G$5:$G$345,'3. Rellenos y Cubiertas'!$A$5:$A$345,$A46)</f>
        <v>107.95</v>
      </c>
      <c r="G46" s="42" t="n">
        <f aca="false">E46+F46</f>
        <v>181.43</v>
      </c>
      <c r="H46" s="31" t="n">
        <f aca="false">IFERROR(G46/D46,0)</f>
        <v>15.1191666666667</v>
      </c>
      <c r="I46" s="22" t="n">
        <v>9</v>
      </c>
      <c r="J46" s="22" t="n">
        <v>3</v>
      </c>
      <c r="K46" s="21" t="n">
        <v>5</v>
      </c>
      <c r="L46" s="31" t="n">
        <f aca="false">$C$9*K46/60</f>
        <v>6.25</v>
      </c>
      <c r="M46" s="31" t="n">
        <f aca="false">$C$10</f>
        <v>10.6111111111111</v>
      </c>
      <c r="N46" s="42" t="n">
        <f aca="false">H46+I46+J46+L46+M46</f>
        <v>43.9802777777778</v>
      </c>
      <c r="O46" s="43" t="n">
        <f aca="false">$C$11</f>
        <v>0.12</v>
      </c>
      <c r="P46" s="34" t="n">
        <f aca="false">IFERROR(N46/(1-O46),0)</f>
        <v>49.9775883838384</v>
      </c>
      <c r="Q46" s="44" t="n">
        <f aca="false">IFERROR(CEILING(P46/(1-$C$5),5),0)</f>
        <v>125</v>
      </c>
      <c r="R46" s="31" t="n">
        <f aca="false">Q46-P46</f>
        <v>75.0224116161616</v>
      </c>
      <c r="S46" s="44" t="n">
        <f aca="false">IFERROR(CEILING(P46/(1-$C$6),5),0)</f>
        <v>145</v>
      </c>
      <c r="T46" s="31" t="n">
        <f aca="false">S46-P46</f>
        <v>95.0224116161616</v>
      </c>
      <c r="U46" s="44" t="n">
        <f aca="false">IFERROR(CEILING(P46/(1-$C$7),5),0)</f>
        <v>100</v>
      </c>
      <c r="V46" s="31" t="n">
        <f aca="false">U46-P46</f>
        <v>50.0224116161616</v>
      </c>
      <c r="W46" s="44" t="n">
        <f aca="false">IFERROR(CEILING(P46/(1-$C$8),5),0)</f>
        <v>85</v>
      </c>
      <c r="X46" s="31" t="n">
        <f aca="false">W46-P46</f>
        <v>35.0224116161616</v>
      </c>
      <c r="Y46" s="43" t="n">
        <f aca="false">IFERROR(R46/Q46,0)</f>
        <v>0.600179292929293</v>
      </c>
      <c r="Z46" s="20" t="s">
        <v>655</v>
      </c>
    </row>
    <row r="47" customFormat="false" ht="15" hidden="false" customHeight="false" outlineLevel="0" collapsed="false">
      <c r="A47" s="35" t="n">
        <v>34</v>
      </c>
      <c r="B47" s="28" t="s">
        <v>504</v>
      </c>
      <c r="C47" s="41" t="s">
        <v>209</v>
      </c>
      <c r="D47" s="21" t="n">
        <v>12</v>
      </c>
      <c r="E47" s="40" t="n">
        <f aca="false">IFERROR(INDEX('2. Masas Base'!$D$55:$D$58,MATCH($C47,'2. Masas Base'!$B$55:$B$58,0)),0)</f>
        <v>73.48</v>
      </c>
      <c r="F47" s="40" t="n">
        <f aca="false">SUMIFS('3. Rellenos y Cubiertas'!$G$5:$G$345,'3. Rellenos y Cubiertas'!$A$5:$A$345,$A47)</f>
        <v>47.4675</v>
      </c>
      <c r="G47" s="42" t="n">
        <f aca="false">E47+F47</f>
        <v>120.9475</v>
      </c>
      <c r="H47" s="31" t="n">
        <f aca="false">IFERROR(G47/D47,0)</f>
        <v>10.0789583333333</v>
      </c>
      <c r="I47" s="22" t="n">
        <v>11</v>
      </c>
      <c r="J47" s="22" t="n">
        <v>4</v>
      </c>
      <c r="K47" s="21" t="n">
        <v>7</v>
      </c>
      <c r="L47" s="31" t="n">
        <f aca="false">$C$9*K47/60</f>
        <v>8.75</v>
      </c>
      <c r="M47" s="31" t="n">
        <f aca="false">$C$10</f>
        <v>10.6111111111111</v>
      </c>
      <c r="N47" s="42" t="n">
        <f aca="false">H47+I47+J47+L47+M47</f>
        <v>44.4400694444445</v>
      </c>
      <c r="O47" s="43" t="n">
        <f aca="false">$C$11</f>
        <v>0.12</v>
      </c>
      <c r="P47" s="34" t="n">
        <f aca="false">IFERROR(N47/(1-O47),0)</f>
        <v>50.5000789141414</v>
      </c>
      <c r="Q47" s="44" t="n">
        <f aca="false">IFERROR(CEILING(P47/(1-$C$5),5),0)</f>
        <v>130</v>
      </c>
      <c r="R47" s="31" t="n">
        <f aca="false">Q47-P47</f>
        <v>79.4999210858586</v>
      </c>
      <c r="S47" s="44" t="n">
        <f aca="false">IFERROR(CEILING(P47/(1-$C$6),5),0)</f>
        <v>145</v>
      </c>
      <c r="T47" s="31" t="n">
        <f aca="false">S47-P47</f>
        <v>94.4999210858586</v>
      </c>
      <c r="U47" s="44" t="n">
        <f aca="false">IFERROR(CEILING(P47/(1-$C$7),5),0)</f>
        <v>105</v>
      </c>
      <c r="V47" s="31" t="n">
        <f aca="false">U47-P47</f>
        <v>54.4999210858586</v>
      </c>
      <c r="W47" s="44" t="n">
        <f aca="false">IFERROR(CEILING(P47/(1-$C$8),5),0)</f>
        <v>85</v>
      </c>
      <c r="X47" s="31" t="n">
        <f aca="false">W47-P47</f>
        <v>34.4999210858586</v>
      </c>
      <c r="Y47" s="43" t="n">
        <f aca="false">IFERROR(R47/Q47,0)</f>
        <v>0.611537854506604</v>
      </c>
      <c r="Z47" s="20" t="s">
        <v>656</v>
      </c>
    </row>
    <row r="48" customFormat="false" ht="15" hidden="false" customHeight="false" outlineLevel="0" collapsed="false">
      <c r="A48" s="35" t="n">
        <v>35</v>
      </c>
      <c r="B48" s="28" t="s">
        <v>513</v>
      </c>
      <c r="C48" s="41" t="s">
        <v>209</v>
      </c>
      <c r="D48" s="21" t="n">
        <v>12</v>
      </c>
      <c r="E48" s="40" t="n">
        <f aca="false">IFERROR(INDEX('2. Masas Base'!$D$55:$D$58,MATCH($C48,'2. Masas Base'!$B$55:$B$58,0)),0)</f>
        <v>73.48</v>
      </c>
      <c r="F48" s="40" t="n">
        <f aca="false">SUMIFS('3. Rellenos y Cubiertas'!$G$5:$G$345,'3. Rellenos y Cubiertas'!$A$5:$A$345,$A48)</f>
        <v>79.68</v>
      </c>
      <c r="G48" s="42" t="n">
        <f aca="false">E48+F48</f>
        <v>153.16</v>
      </c>
      <c r="H48" s="31" t="n">
        <f aca="false">IFERROR(G48/D48,0)</f>
        <v>12.7633333333333</v>
      </c>
      <c r="I48" s="22" t="n">
        <v>9</v>
      </c>
      <c r="J48" s="22" t="n">
        <v>3</v>
      </c>
      <c r="K48" s="21" t="n">
        <v>5</v>
      </c>
      <c r="L48" s="31" t="n">
        <f aca="false">$C$9*K48/60</f>
        <v>6.25</v>
      </c>
      <c r="M48" s="31" t="n">
        <f aca="false">$C$10</f>
        <v>10.6111111111111</v>
      </c>
      <c r="N48" s="42" t="n">
        <f aca="false">H48+I48+J48+L48+M48</f>
        <v>41.6244444444445</v>
      </c>
      <c r="O48" s="43" t="n">
        <f aca="false">$C$11</f>
        <v>0.12</v>
      </c>
      <c r="P48" s="34" t="n">
        <f aca="false">IFERROR(N48/(1-O48),0)</f>
        <v>47.3005050505051</v>
      </c>
      <c r="Q48" s="44" t="n">
        <f aca="false">IFERROR(CEILING(P48/(1-$C$5),5),0)</f>
        <v>120</v>
      </c>
      <c r="R48" s="31" t="n">
        <f aca="false">Q48-P48</f>
        <v>72.699494949495</v>
      </c>
      <c r="S48" s="44" t="n">
        <f aca="false">IFERROR(CEILING(P48/(1-$C$6),5),0)</f>
        <v>140</v>
      </c>
      <c r="T48" s="31" t="n">
        <f aca="false">S48-P48</f>
        <v>92.699494949495</v>
      </c>
      <c r="U48" s="44" t="n">
        <f aca="false">IFERROR(CEILING(P48/(1-$C$7),5),0)</f>
        <v>95</v>
      </c>
      <c r="V48" s="31" t="n">
        <f aca="false">U48-P48</f>
        <v>47.6994949494949</v>
      </c>
      <c r="W48" s="44" t="n">
        <f aca="false">IFERROR(CEILING(P48/(1-$C$8),5),0)</f>
        <v>80</v>
      </c>
      <c r="X48" s="31" t="n">
        <f aca="false">W48-P48</f>
        <v>32.6994949494949</v>
      </c>
      <c r="Y48" s="43" t="n">
        <f aca="false">IFERROR(R48/Q48,0)</f>
        <v>0.605829124579125</v>
      </c>
      <c r="Z48" s="20" t="s">
        <v>655</v>
      </c>
    </row>
    <row r="49" customFormat="false" ht="15" hidden="false" customHeight="false" outlineLevel="0" collapsed="false">
      <c r="A49" s="35" t="n">
        <v>36</v>
      </c>
      <c r="B49" s="28" t="s">
        <v>519</v>
      </c>
      <c r="C49" s="41" t="s">
        <v>209</v>
      </c>
      <c r="D49" s="21" t="n">
        <v>12</v>
      </c>
      <c r="E49" s="40" t="n">
        <f aca="false">IFERROR(INDEX('2. Masas Base'!$D$55:$D$58,MATCH($C49,'2. Masas Base'!$B$55:$B$58,0)),0)</f>
        <v>73.48</v>
      </c>
      <c r="F49" s="40" t="n">
        <f aca="false">SUMIFS('3. Rellenos y Cubiertas'!$G$5:$G$345,'3. Rellenos y Cubiertas'!$A$5:$A$345,$A49)</f>
        <v>88.64</v>
      </c>
      <c r="G49" s="42" t="n">
        <f aca="false">E49+F49</f>
        <v>162.12</v>
      </c>
      <c r="H49" s="31" t="n">
        <f aca="false">IFERROR(G49/D49,0)</f>
        <v>13.51</v>
      </c>
      <c r="I49" s="22" t="n">
        <v>9</v>
      </c>
      <c r="J49" s="22" t="n">
        <v>3</v>
      </c>
      <c r="K49" s="21" t="n">
        <v>5</v>
      </c>
      <c r="L49" s="31" t="n">
        <f aca="false">$C$9*K49/60</f>
        <v>6.25</v>
      </c>
      <c r="M49" s="31" t="n">
        <f aca="false">$C$10</f>
        <v>10.6111111111111</v>
      </c>
      <c r="N49" s="42" t="n">
        <f aca="false">H49+I49+J49+L49+M49</f>
        <v>42.3711111111111</v>
      </c>
      <c r="O49" s="43" t="n">
        <f aca="false">$C$11</f>
        <v>0.12</v>
      </c>
      <c r="P49" s="34" t="n">
        <f aca="false">IFERROR(N49/(1-O49),0)</f>
        <v>48.1489898989899</v>
      </c>
      <c r="Q49" s="44" t="n">
        <f aca="false">IFERROR(CEILING(P49/(1-$C$5),5),0)</f>
        <v>125</v>
      </c>
      <c r="R49" s="31" t="n">
        <f aca="false">Q49-P49</f>
        <v>76.8510101010101</v>
      </c>
      <c r="S49" s="44" t="n">
        <f aca="false">IFERROR(CEILING(P49/(1-$C$6),5),0)</f>
        <v>140</v>
      </c>
      <c r="T49" s="31" t="n">
        <f aca="false">S49-P49</f>
        <v>91.8510101010101</v>
      </c>
      <c r="U49" s="44" t="n">
        <f aca="false">IFERROR(CEILING(P49/(1-$C$7),5),0)</f>
        <v>100</v>
      </c>
      <c r="V49" s="31" t="n">
        <f aca="false">U49-P49</f>
        <v>51.8510101010101</v>
      </c>
      <c r="W49" s="44" t="n">
        <f aca="false">IFERROR(CEILING(P49/(1-$C$8),5),0)</f>
        <v>85</v>
      </c>
      <c r="X49" s="31" t="n">
        <f aca="false">W49-P49</f>
        <v>36.8510101010101</v>
      </c>
      <c r="Y49" s="43" t="n">
        <f aca="false">IFERROR(R49/Q49,0)</f>
        <v>0.614808080808081</v>
      </c>
      <c r="Z49" s="20" t="s">
        <v>655</v>
      </c>
    </row>
    <row r="50" customFormat="false" ht="15" hidden="false" customHeight="false" outlineLevel="0" collapsed="false">
      <c r="A50" s="35" t="n">
        <v>37</v>
      </c>
      <c r="B50" s="28" t="s">
        <v>526</v>
      </c>
      <c r="C50" s="41" t="s">
        <v>209</v>
      </c>
      <c r="D50" s="21" t="n">
        <v>12</v>
      </c>
      <c r="E50" s="40" t="n">
        <f aca="false">IFERROR(INDEX('2. Masas Base'!$D$55:$D$58,MATCH($C50,'2. Masas Base'!$B$55:$B$58,0)),0)</f>
        <v>73.48</v>
      </c>
      <c r="F50" s="40" t="n">
        <f aca="false">SUMIFS('3. Rellenos y Cubiertas'!$G$5:$G$345,'3. Rellenos y Cubiertas'!$A$5:$A$345,$A50)</f>
        <v>80.76</v>
      </c>
      <c r="G50" s="42" t="n">
        <f aca="false">E50+F50</f>
        <v>154.24</v>
      </c>
      <c r="H50" s="31" t="n">
        <f aca="false">IFERROR(G50/D50,0)</f>
        <v>12.8533333333333</v>
      </c>
      <c r="I50" s="22" t="n">
        <v>11</v>
      </c>
      <c r="J50" s="22" t="n">
        <v>4</v>
      </c>
      <c r="K50" s="21" t="n">
        <v>7</v>
      </c>
      <c r="L50" s="31" t="n">
        <f aca="false">$C$9*K50/60</f>
        <v>8.75</v>
      </c>
      <c r="M50" s="31" t="n">
        <f aca="false">$C$10</f>
        <v>10.6111111111111</v>
      </c>
      <c r="N50" s="42" t="n">
        <f aca="false">H50+I50+J50+L50+M50</f>
        <v>47.2144444444444</v>
      </c>
      <c r="O50" s="43" t="n">
        <f aca="false">$C$11</f>
        <v>0.12</v>
      </c>
      <c r="P50" s="34" t="n">
        <f aca="false">IFERROR(N50/(1-O50),0)</f>
        <v>53.6527777777778</v>
      </c>
      <c r="Q50" s="44" t="n">
        <f aca="false">IFERROR(CEILING(P50/(1-$C$5),5),0)</f>
        <v>135</v>
      </c>
      <c r="R50" s="31" t="n">
        <f aca="false">Q50-P50</f>
        <v>81.3472222222222</v>
      </c>
      <c r="S50" s="44" t="n">
        <f aca="false">IFERROR(CEILING(P50/(1-$C$6),5),0)</f>
        <v>155</v>
      </c>
      <c r="T50" s="31" t="n">
        <f aca="false">S50-P50</f>
        <v>101.347222222222</v>
      </c>
      <c r="U50" s="44" t="n">
        <f aca="false">IFERROR(CEILING(P50/(1-$C$7),5),0)</f>
        <v>110</v>
      </c>
      <c r="V50" s="31" t="n">
        <f aca="false">U50-P50</f>
        <v>56.3472222222222</v>
      </c>
      <c r="W50" s="44" t="n">
        <f aca="false">IFERROR(CEILING(P50/(1-$C$8),5),0)</f>
        <v>90</v>
      </c>
      <c r="X50" s="31" t="n">
        <f aca="false">W50-P50</f>
        <v>36.3472222222222</v>
      </c>
      <c r="Y50" s="43" t="n">
        <f aca="false">IFERROR(R50/Q50,0)</f>
        <v>0.602572016460905</v>
      </c>
      <c r="Z50" s="20" t="s">
        <v>656</v>
      </c>
    </row>
    <row r="51" customFormat="false" ht="15" hidden="false" customHeight="false" outlineLevel="0" collapsed="false">
      <c r="A51" s="35" t="n">
        <v>38</v>
      </c>
      <c r="B51" s="28" t="s">
        <v>531</v>
      </c>
      <c r="C51" s="41" t="s">
        <v>209</v>
      </c>
      <c r="D51" s="21" t="n">
        <v>12</v>
      </c>
      <c r="E51" s="40" t="n">
        <f aca="false">IFERROR(INDEX('2. Masas Base'!$D$55:$D$58,MATCH($C51,'2. Masas Base'!$B$55:$B$58,0)),0)</f>
        <v>73.48</v>
      </c>
      <c r="F51" s="40" t="n">
        <f aca="false">SUMIFS('3. Rellenos y Cubiertas'!$G$5:$G$345,'3. Rellenos y Cubiertas'!$A$5:$A$345,$A51)</f>
        <v>107.2</v>
      </c>
      <c r="G51" s="42" t="n">
        <f aca="false">E51+F51</f>
        <v>180.68</v>
      </c>
      <c r="H51" s="31" t="n">
        <f aca="false">IFERROR(G51/D51,0)</f>
        <v>15.0566666666667</v>
      </c>
      <c r="I51" s="22" t="n">
        <v>11</v>
      </c>
      <c r="J51" s="22" t="n">
        <v>4</v>
      </c>
      <c r="K51" s="21" t="n">
        <v>7</v>
      </c>
      <c r="L51" s="31" t="n">
        <f aca="false">$C$9*K51/60</f>
        <v>8.75</v>
      </c>
      <c r="M51" s="31" t="n">
        <f aca="false">$C$10</f>
        <v>10.6111111111111</v>
      </c>
      <c r="N51" s="42" t="n">
        <f aca="false">H51+I51+J51+L51+M51</f>
        <v>49.4177777777778</v>
      </c>
      <c r="O51" s="43" t="n">
        <f aca="false">$C$11</f>
        <v>0.12</v>
      </c>
      <c r="P51" s="34" t="n">
        <f aca="false">IFERROR(N51/(1-O51),0)</f>
        <v>56.1565656565657</v>
      </c>
      <c r="Q51" s="44" t="n">
        <f aca="false">IFERROR(CEILING(P51/(1-$C$5),5),0)</f>
        <v>145</v>
      </c>
      <c r="R51" s="31" t="n">
        <f aca="false">Q51-P51</f>
        <v>88.8434343434344</v>
      </c>
      <c r="S51" s="44" t="n">
        <f aca="false">IFERROR(CEILING(P51/(1-$C$6),5),0)</f>
        <v>165</v>
      </c>
      <c r="T51" s="31" t="n">
        <f aca="false">S51-P51</f>
        <v>108.843434343434</v>
      </c>
      <c r="U51" s="44" t="n">
        <f aca="false">IFERROR(CEILING(P51/(1-$C$7),5),0)</f>
        <v>115</v>
      </c>
      <c r="V51" s="31" t="n">
        <f aca="false">U51-P51</f>
        <v>58.8434343434344</v>
      </c>
      <c r="W51" s="44" t="n">
        <f aca="false">IFERROR(CEILING(P51/(1-$C$8),5),0)</f>
        <v>95</v>
      </c>
      <c r="X51" s="31" t="n">
        <f aca="false">W51-P51</f>
        <v>38.8434343434344</v>
      </c>
      <c r="Y51" s="43" t="n">
        <f aca="false">IFERROR(R51/Q51,0)</f>
        <v>0.612713340299547</v>
      </c>
      <c r="Z51" s="20" t="s">
        <v>656</v>
      </c>
    </row>
    <row r="52" customFormat="false" ht="15" hidden="false" customHeight="false" outlineLevel="0" collapsed="false">
      <c r="A52" s="35" t="n">
        <v>39</v>
      </c>
      <c r="B52" s="28" t="s">
        <v>540</v>
      </c>
      <c r="C52" s="41" t="s">
        <v>209</v>
      </c>
      <c r="D52" s="21" t="n">
        <v>12</v>
      </c>
      <c r="E52" s="40" t="n">
        <f aca="false">IFERROR(INDEX('2. Masas Base'!$D$55:$D$58,MATCH($C52,'2. Masas Base'!$B$55:$B$58,0)),0)</f>
        <v>73.48</v>
      </c>
      <c r="F52" s="40" t="n">
        <f aca="false">SUMIFS('3. Rellenos y Cubiertas'!$G$5:$G$345,'3. Rellenos y Cubiertas'!$A$5:$A$345,$A52)</f>
        <v>42.6266666666667</v>
      </c>
      <c r="G52" s="42" t="n">
        <f aca="false">E52+F52</f>
        <v>116.106666666667</v>
      </c>
      <c r="H52" s="31" t="n">
        <f aca="false">IFERROR(G52/D52,0)</f>
        <v>9.67555555555556</v>
      </c>
      <c r="I52" s="22" t="n">
        <v>11</v>
      </c>
      <c r="J52" s="22" t="n">
        <v>4</v>
      </c>
      <c r="K52" s="21" t="n">
        <v>7</v>
      </c>
      <c r="L52" s="31" t="n">
        <f aca="false">$C$9*K52/60</f>
        <v>8.75</v>
      </c>
      <c r="M52" s="31" t="n">
        <f aca="false">$C$10</f>
        <v>10.6111111111111</v>
      </c>
      <c r="N52" s="42" t="n">
        <f aca="false">H52+I52+J52+L52+M52</f>
        <v>44.0366666666667</v>
      </c>
      <c r="O52" s="43" t="n">
        <f aca="false">$C$11</f>
        <v>0.12</v>
      </c>
      <c r="P52" s="34" t="n">
        <f aca="false">IFERROR(N52/(1-O52),0)</f>
        <v>50.0416666666667</v>
      </c>
      <c r="Q52" s="44" t="n">
        <f aca="false">IFERROR(CEILING(P52/(1-$C$5),5),0)</f>
        <v>130</v>
      </c>
      <c r="R52" s="31" t="n">
        <f aca="false">Q52-P52</f>
        <v>79.9583333333333</v>
      </c>
      <c r="S52" s="44" t="n">
        <f aca="false">IFERROR(CEILING(P52/(1-$C$6),5),0)</f>
        <v>145</v>
      </c>
      <c r="T52" s="31" t="n">
        <f aca="false">S52-P52</f>
        <v>94.9583333333333</v>
      </c>
      <c r="U52" s="44" t="n">
        <f aca="false">IFERROR(CEILING(P52/(1-$C$7),5),0)</f>
        <v>105</v>
      </c>
      <c r="V52" s="31" t="n">
        <f aca="false">U52-P52</f>
        <v>54.9583333333333</v>
      </c>
      <c r="W52" s="44" t="n">
        <f aca="false">IFERROR(CEILING(P52/(1-$C$8),5),0)</f>
        <v>85</v>
      </c>
      <c r="X52" s="31" t="n">
        <f aca="false">W52-P52</f>
        <v>34.9583333333333</v>
      </c>
      <c r="Y52" s="43" t="n">
        <f aca="false">IFERROR(R52/Q52,0)</f>
        <v>0.615064102564103</v>
      </c>
      <c r="Z52" s="20" t="s">
        <v>656</v>
      </c>
    </row>
    <row r="53" customFormat="false" ht="15" hidden="false" customHeight="false" outlineLevel="0" collapsed="false">
      <c r="A53" s="35" t="n">
        <v>40</v>
      </c>
      <c r="B53" s="28" t="s">
        <v>547</v>
      </c>
      <c r="C53" s="41" t="s">
        <v>209</v>
      </c>
      <c r="D53" s="21" t="n">
        <v>12</v>
      </c>
      <c r="E53" s="40" t="n">
        <f aca="false">IFERROR(INDEX('2. Masas Base'!$D$55:$D$58,MATCH($C53,'2. Masas Base'!$B$55:$B$58,0)),0)</f>
        <v>73.48</v>
      </c>
      <c r="F53" s="40" t="n">
        <f aca="false">SUMIFS('3. Rellenos y Cubiertas'!$G$5:$G$345,'3. Rellenos y Cubiertas'!$A$5:$A$345,$A53)</f>
        <v>32.68</v>
      </c>
      <c r="G53" s="42" t="n">
        <f aca="false">E53+F53</f>
        <v>106.16</v>
      </c>
      <c r="H53" s="31" t="n">
        <f aca="false">IFERROR(G53/D53,0)</f>
        <v>8.84666666666667</v>
      </c>
      <c r="I53" s="22" t="n">
        <v>9</v>
      </c>
      <c r="J53" s="22" t="n">
        <v>3</v>
      </c>
      <c r="K53" s="21" t="n">
        <v>5</v>
      </c>
      <c r="L53" s="31" t="n">
        <f aca="false">$C$9*K53/60</f>
        <v>6.25</v>
      </c>
      <c r="M53" s="31" t="n">
        <f aca="false">$C$10</f>
        <v>10.6111111111111</v>
      </c>
      <c r="N53" s="42" t="n">
        <f aca="false">H53+I53+J53+L53+M53</f>
        <v>37.7077777777778</v>
      </c>
      <c r="O53" s="43" t="n">
        <f aca="false">$C$11</f>
        <v>0.12</v>
      </c>
      <c r="P53" s="34" t="n">
        <f aca="false">IFERROR(N53/(1-O53),0)</f>
        <v>42.8497474747475</v>
      </c>
      <c r="Q53" s="44" t="n">
        <f aca="false">IFERROR(CEILING(P53/(1-$C$5),5),0)</f>
        <v>110</v>
      </c>
      <c r="R53" s="31" t="n">
        <f aca="false">Q53-P53</f>
        <v>67.1502525252525</v>
      </c>
      <c r="S53" s="44" t="n">
        <f aca="false">IFERROR(CEILING(P53/(1-$C$6),5),0)</f>
        <v>125</v>
      </c>
      <c r="T53" s="31" t="n">
        <f aca="false">S53-P53</f>
        <v>82.1502525252525</v>
      </c>
      <c r="U53" s="44" t="n">
        <f aca="false">IFERROR(CEILING(P53/(1-$C$7),5),0)</f>
        <v>90</v>
      </c>
      <c r="V53" s="31" t="n">
        <f aca="false">U53-P53</f>
        <v>47.1502525252525</v>
      </c>
      <c r="W53" s="44" t="n">
        <f aca="false">IFERROR(CEILING(P53/(1-$C$8),5),0)</f>
        <v>75</v>
      </c>
      <c r="X53" s="31" t="n">
        <f aca="false">W53-P53</f>
        <v>32.1502525252525</v>
      </c>
      <c r="Y53" s="43" t="n">
        <f aca="false">IFERROR(R53/Q53,0)</f>
        <v>0.610456841138659</v>
      </c>
      <c r="Z53" s="20" t="s">
        <v>655</v>
      </c>
    </row>
    <row r="54" customFormat="false" ht="15" hidden="false" customHeight="false" outlineLevel="0" collapsed="false">
      <c r="A54" s="35" t="n">
        <v>41</v>
      </c>
      <c r="B54" s="28" t="s">
        <v>554</v>
      </c>
      <c r="C54" s="41" t="s">
        <v>209</v>
      </c>
      <c r="D54" s="21" t="n">
        <v>12</v>
      </c>
      <c r="E54" s="40" t="n">
        <f aca="false">IFERROR(INDEX('2. Masas Base'!$D$55:$D$58,MATCH($C54,'2. Masas Base'!$B$55:$B$58,0)),0)</f>
        <v>73.48</v>
      </c>
      <c r="F54" s="40" t="n">
        <f aca="false">SUMIFS('3. Rellenos y Cubiertas'!$G$5:$G$345,'3. Rellenos y Cubiertas'!$A$5:$A$345,$A54)</f>
        <v>139.96</v>
      </c>
      <c r="G54" s="42" t="n">
        <f aca="false">E54+F54</f>
        <v>213.44</v>
      </c>
      <c r="H54" s="31" t="n">
        <f aca="false">IFERROR(G54/D54,0)</f>
        <v>17.7866666666667</v>
      </c>
      <c r="I54" s="22" t="n">
        <v>11</v>
      </c>
      <c r="J54" s="22" t="n">
        <v>4</v>
      </c>
      <c r="K54" s="21" t="n">
        <v>7</v>
      </c>
      <c r="L54" s="31" t="n">
        <f aca="false">$C$9*K54/60</f>
        <v>8.75</v>
      </c>
      <c r="M54" s="31" t="n">
        <f aca="false">$C$10</f>
        <v>10.6111111111111</v>
      </c>
      <c r="N54" s="42" t="n">
        <f aca="false">H54+I54+J54+L54+M54</f>
        <v>52.1477777777778</v>
      </c>
      <c r="O54" s="43" t="n">
        <f aca="false">$C$11</f>
        <v>0.12</v>
      </c>
      <c r="P54" s="34" t="n">
        <f aca="false">IFERROR(N54/(1-O54),0)</f>
        <v>59.2588383838384</v>
      </c>
      <c r="Q54" s="44" t="n">
        <f aca="false">IFERROR(CEILING(P54/(1-$C$5),5),0)</f>
        <v>150</v>
      </c>
      <c r="R54" s="31" t="n">
        <f aca="false">Q54-P54</f>
        <v>90.7411616161616</v>
      </c>
      <c r="S54" s="44" t="n">
        <f aca="false">IFERROR(CEILING(P54/(1-$C$6),5),0)</f>
        <v>170</v>
      </c>
      <c r="T54" s="31" t="n">
        <f aca="false">S54-P54</f>
        <v>110.741161616162</v>
      </c>
      <c r="U54" s="44" t="n">
        <f aca="false">IFERROR(CEILING(P54/(1-$C$7),5),0)</f>
        <v>120</v>
      </c>
      <c r="V54" s="31" t="n">
        <f aca="false">U54-P54</f>
        <v>60.7411616161616</v>
      </c>
      <c r="W54" s="44" t="n">
        <f aca="false">IFERROR(CEILING(P54/(1-$C$8),5),0)</f>
        <v>100</v>
      </c>
      <c r="X54" s="31" t="n">
        <f aca="false">W54-P54</f>
        <v>40.7411616161616</v>
      </c>
      <c r="Y54" s="43" t="n">
        <f aca="false">IFERROR(R54/Q54,0)</f>
        <v>0.604941077441078</v>
      </c>
      <c r="Z54" s="20" t="s">
        <v>656</v>
      </c>
    </row>
    <row r="55" customFormat="false" ht="15" hidden="false" customHeight="false" outlineLevel="0" collapsed="false">
      <c r="A55" s="35" t="n">
        <v>42</v>
      </c>
      <c r="B55" s="28" t="s">
        <v>559</v>
      </c>
      <c r="C55" s="41" t="s">
        <v>233</v>
      </c>
      <c r="D55" s="21" t="n">
        <v>12</v>
      </c>
      <c r="E55" s="40" t="n">
        <f aca="false">IFERROR(INDEX('2. Masas Base'!$D$55:$D$58,MATCH($C55,'2. Masas Base'!$B$55:$B$58,0)),0)</f>
        <v>130.816</v>
      </c>
      <c r="F55" s="40" t="n">
        <f aca="false">SUMIFS('3. Rellenos y Cubiertas'!$G$5:$G$345,'3. Rellenos y Cubiertas'!$A$5:$A$345,$A55)</f>
        <v>183.8</v>
      </c>
      <c r="G55" s="42" t="n">
        <f aca="false">E55+F55</f>
        <v>314.616</v>
      </c>
      <c r="H55" s="31" t="n">
        <f aca="false">IFERROR(G55/D55,0)</f>
        <v>26.218</v>
      </c>
      <c r="I55" s="22" t="n">
        <v>11</v>
      </c>
      <c r="J55" s="22" t="n">
        <v>4</v>
      </c>
      <c r="K55" s="21" t="n">
        <v>7</v>
      </c>
      <c r="L55" s="31" t="n">
        <f aca="false">$C$9*K55/60</f>
        <v>8.75</v>
      </c>
      <c r="M55" s="31" t="n">
        <f aca="false">$C$10</f>
        <v>10.6111111111111</v>
      </c>
      <c r="N55" s="42" t="n">
        <f aca="false">H55+I55+J55+L55+M55</f>
        <v>60.5791111111111</v>
      </c>
      <c r="O55" s="43" t="n">
        <f aca="false">$C$11</f>
        <v>0.12</v>
      </c>
      <c r="P55" s="34" t="n">
        <f aca="false">IFERROR(N55/(1-O55),0)</f>
        <v>68.839898989899</v>
      </c>
      <c r="Q55" s="44" t="n">
        <f aca="false">IFERROR(CEILING(P55/(1-$C$5),5),0)</f>
        <v>175</v>
      </c>
      <c r="R55" s="31" t="n">
        <f aca="false">Q55-P55</f>
        <v>106.160101010101</v>
      </c>
      <c r="S55" s="44" t="n">
        <f aca="false">IFERROR(CEILING(P55/(1-$C$6),5),0)</f>
        <v>200</v>
      </c>
      <c r="T55" s="31" t="n">
        <f aca="false">S55-P55</f>
        <v>131.160101010101</v>
      </c>
      <c r="U55" s="44" t="n">
        <f aca="false">IFERROR(CEILING(P55/(1-$C$7),5),0)</f>
        <v>140</v>
      </c>
      <c r="V55" s="31" t="n">
        <f aca="false">U55-P55</f>
        <v>71.160101010101</v>
      </c>
      <c r="W55" s="44" t="n">
        <f aca="false">IFERROR(CEILING(P55/(1-$C$8),5),0)</f>
        <v>115</v>
      </c>
      <c r="X55" s="31" t="n">
        <f aca="false">W55-P55</f>
        <v>46.160101010101</v>
      </c>
      <c r="Y55" s="43" t="n">
        <f aca="false">IFERROR(R55/Q55,0)</f>
        <v>0.606629148629149</v>
      </c>
      <c r="Z55" s="20" t="s">
        <v>658</v>
      </c>
    </row>
    <row r="56" customFormat="false" ht="15" hidden="false" customHeight="false" outlineLevel="0" collapsed="false">
      <c r="A56" s="35" t="n">
        <v>43</v>
      </c>
      <c r="B56" s="28" t="s">
        <v>565</v>
      </c>
      <c r="C56" s="41" t="s">
        <v>233</v>
      </c>
      <c r="D56" s="21" t="n">
        <v>12</v>
      </c>
      <c r="E56" s="40" t="n">
        <f aca="false">IFERROR(INDEX('2. Masas Base'!$D$55:$D$58,MATCH($C56,'2. Masas Base'!$B$55:$B$58,0)),0)</f>
        <v>130.816</v>
      </c>
      <c r="F56" s="40" t="n">
        <f aca="false">SUMIFS('3. Rellenos y Cubiertas'!$G$5:$G$345,'3. Rellenos y Cubiertas'!$A$5:$A$345,$A56)</f>
        <v>266.4</v>
      </c>
      <c r="G56" s="42" t="n">
        <f aca="false">E56+F56</f>
        <v>397.216</v>
      </c>
      <c r="H56" s="31" t="n">
        <f aca="false">IFERROR(G56/D56,0)</f>
        <v>33.1013333333333</v>
      </c>
      <c r="I56" s="22" t="n">
        <v>9</v>
      </c>
      <c r="J56" s="22" t="n">
        <v>3</v>
      </c>
      <c r="K56" s="21" t="n">
        <v>5</v>
      </c>
      <c r="L56" s="31" t="n">
        <f aca="false">$C$9*K56/60</f>
        <v>6.25</v>
      </c>
      <c r="M56" s="31" t="n">
        <f aca="false">$C$10</f>
        <v>10.6111111111111</v>
      </c>
      <c r="N56" s="42" t="n">
        <f aca="false">H56+I56+J56+L56+M56</f>
        <v>61.9624444444444</v>
      </c>
      <c r="O56" s="43" t="n">
        <f aca="false">$C$11</f>
        <v>0.12</v>
      </c>
      <c r="P56" s="34" t="n">
        <f aca="false">IFERROR(N56/(1-O56),0)</f>
        <v>70.4118686868687</v>
      </c>
      <c r="Q56" s="44" t="n">
        <f aca="false">IFERROR(CEILING(P56/(1-$C$5),5),0)</f>
        <v>180</v>
      </c>
      <c r="R56" s="31" t="n">
        <f aca="false">Q56-P56</f>
        <v>109.588131313131</v>
      </c>
      <c r="S56" s="44" t="n">
        <f aca="false">IFERROR(CEILING(P56/(1-$C$6),5),0)</f>
        <v>205</v>
      </c>
      <c r="T56" s="31" t="n">
        <f aca="false">S56-P56</f>
        <v>134.588131313131</v>
      </c>
      <c r="U56" s="44" t="n">
        <f aca="false">IFERROR(CEILING(P56/(1-$C$7),5),0)</f>
        <v>145</v>
      </c>
      <c r="V56" s="31" t="n">
        <f aca="false">U56-P56</f>
        <v>74.5881313131313</v>
      </c>
      <c r="W56" s="44" t="n">
        <f aca="false">IFERROR(CEILING(P56/(1-$C$8),5),0)</f>
        <v>120</v>
      </c>
      <c r="X56" s="31" t="n">
        <f aca="false">W56-P56</f>
        <v>49.5881313131313</v>
      </c>
      <c r="Y56" s="43" t="n">
        <f aca="false">IFERROR(R56/Q56,0)</f>
        <v>0.608822951739618</v>
      </c>
      <c r="Z56" s="20" t="s">
        <v>659</v>
      </c>
    </row>
    <row r="57" customFormat="false" ht="15" hidden="false" customHeight="false" outlineLevel="0" collapsed="false">
      <c r="A57" s="35" t="n">
        <v>44</v>
      </c>
      <c r="B57" s="28" t="s">
        <v>569</v>
      </c>
      <c r="C57" s="41" t="s">
        <v>233</v>
      </c>
      <c r="D57" s="21" t="n">
        <v>12</v>
      </c>
      <c r="E57" s="40" t="n">
        <f aca="false">IFERROR(INDEX('2. Masas Base'!$D$55:$D$58,MATCH($C57,'2. Masas Base'!$B$55:$B$58,0)),0)</f>
        <v>130.816</v>
      </c>
      <c r="F57" s="40" t="n">
        <f aca="false">SUMIFS('3. Rellenos y Cubiertas'!$G$5:$G$345,'3. Rellenos y Cubiertas'!$A$5:$A$345,$A57)</f>
        <v>191.4</v>
      </c>
      <c r="G57" s="42" t="n">
        <f aca="false">E57+F57</f>
        <v>322.216</v>
      </c>
      <c r="H57" s="31" t="n">
        <f aca="false">IFERROR(G57/D57,0)</f>
        <v>26.8513333333333</v>
      </c>
      <c r="I57" s="22" t="n">
        <v>11</v>
      </c>
      <c r="J57" s="22" t="n">
        <v>4</v>
      </c>
      <c r="K57" s="21" t="n">
        <v>7</v>
      </c>
      <c r="L57" s="31" t="n">
        <f aca="false">$C$9*K57/60</f>
        <v>8.75</v>
      </c>
      <c r="M57" s="31" t="n">
        <f aca="false">$C$10</f>
        <v>10.6111111111111</v>
      </c>
      <c r="N57" s="42" t="n">
        <f aca="false">H57+I57+J57+L57+M57</f>
        <v>61.2124444444444</v>
      </c>
      <c r="O57" s="43" t="n">
        <f aca="false">$C$11</f>
        <v>0.12</v>
      </c>
      <c r="P57" s="34" t="n">
        <f aca="false">IFERROR(N57/(1-O57),0)</f>
        <v>69.559595959596</v>
      </c>
      <c r="Q57" s="44" t="n">
        <f aca="false">IFERROR(CEILING(P57/(1-$C$5),5),0)</f>
        <v>175</v>
      </c>
      <c r="R57" s="31" t="n">
        <f aca="false">Q57-P57</f>
        <v>105.440404040404</v>
      </c>
      <c r="S57" s="44" t="n">
        <f aca="false">IFERROR(CEILING(P57/(1-$C$6),5),0)</f>
        <v>200</v>
      </c>
      <c r="T57" s="31" t="n">
        <f aca="false">S57-P57</f>
        <v>130.440404040404</v>
      </c>
      <c r="U57" s="44" t="n">
        <f aca="false">IFERROR(CEILING(P57/(1-$C$7),5),0)</f>
        <v>140</v>
      </c>
      <c r="V57" s="31" t="n">
        <f aca="false">U57-P57</f>
        <v>70.4404040404041</v>
      </c>
      <c r="W57" s="44" t="n">
        <f aca="false">IFERROR(CEILING(P57/(1-$C$8),5),0)</f>
        <v>120</v>
      </c>
      <c r="X57" s="31" t="n">
        <f aca="false">W57-P57</f>
        <v>50.4404040404041</v>
      </c>
      <c r="Y57" s="43" t="n">
        <f aca="false">IFERROR(R57/Q57,0)</f>
        <v>0.602516594516595</v>
      </c>
      <c r="Z57" s="20" t="s">
        <v>658</v>
      </c>
    </row>
    <row r="58" customFormat="false" ht="15" hidden="false" customHeight="false" outlineLevel="0" collapsed="false">
      <c r="A58" s="35" t="n">
        <v>45</v>
      </c>
      <c r="B58" s="28" t="s">
        <v>573</v>
      </c>
      <c r="C58" s="41" t="s">
        <v>233</v>
      </c>
      <c r="D58" s="21" t="n">
        <v>12</v>
      </c>
      <c r="E58" s="40" t="n">
        <f aca="false">IFERROR(INDEX('2. Masas Base'!$D$55:$D$58,MATCH($C58,'2. Masas Base'!$B$55:$B$58,0)),0)</f>
        <v>130.816</v>
      </c>
      <c r="F58" s="40" t="n">
        <f aca="false">SUMIFS('3. Rellenos y Cubiertas'!$G$5:$G$345,'3. Rellenos y Cubiertas'!$A$5:$A$345,$A58)</f>
        <v>202.8</v>
      </c>
      <c r="G58" s="42" t="n">
        <f aca="false">E58+F58</f>
        <v>333.616</v>
      </c>
      <c r="H58" s="31" t="n">
        <f aca="false">IFERROR(G58/D58,0)</f>
        <v>27.8013333333333</v>
      </c>
      <c r="I58" s="22" t="n">
        <v>14</v>
      </c>
      <c r="J58" s="22" t="n">
        <v>5</v>
      </c>
      <c r="K58" s="21" t="n">
        <v>10</v>
      </c>
      <c r="L58" s="31" t="n">
        <f aca="false">$C$9*K58/60</f>
        <v>12.5</v>
      </c>
      <c r="M58" s="31" t="n">
        <f aca="false">$C$10</f>
        <v>10.6111111111111</v>
      </c>
      <c r="N58" s="42" t="n">
        <f aca="false">H58+I58+J58+L58+M58</f>
        <v>69.9124444444445</v>
      </c>
      <c r="O58" s="43" t="n">
        <f aca="false">$C$11</f>
        <v>0.12</v>
      </c>
      <c r="P58" s="34" t="n">
        <f aca="false">IFERROR(N58/(1-O58),0)</f>
        <v>79.4459595959596</v>
      </c>
      <c r="Q58" s="44" t="n">
        <f aca="false">IFERROR(CEILING(P58/(1-$C$5),5),0)</f>
        <v>200</v>
      </c>
      <c r="R58" s="31" t="n">
        <f aca="false">Q58-P58</f>
        <v>120.55404040404</v>
      </c>
      <c r="S58" s="44" t="n">
        <f aca="false">IFERROR(CEILING(P58/(1-$C$6),5),0)</f>
        <v>230</v>
      </c>
      <c r="T58" s="31" t="n">
        <f aca="false">S58-P58</f>
        <v>150.55404040404</v>
      </c>
      <c r="U58" s="44" t="n">
        <f aca="false">IFERROR(CEILING(P58/(1-$C$7),5),0)</f>
        <v>160</v>
      </c>
      <c r="V58" s="31" t="n">
        <f aca="false">U58-P58</f>
        <v>80.5540404040404</v>
      </c>
      <c r="W58" s="44" t="n">
        <f aca="false">IFERROR(CEILING(P58/(1-$C$8),5),0)</f>
        <v>135</v>
      </c>
      <c r="X58" s="31" t="n">
        <f aca="false">W58-P58</f>
        <v>55.5540404040404</v>
      </c>
      <c r="Y58" s="43" t="n">
        <f aca="false">IFERROR(R58/Q58,0)</f>
        <v>0.602770202020202</v>
      </c>
      <c r="Z58" s="20" t="s">
        <v>660</v>
      </c>
    </row>
    <row r="59" customFormat="false" ht="15" hidden="false" customHeight="false" outlineLevel="0" collapsed="false">
      <c r="A59" s="35" t="n">
        <v>46</v>
      </c>
      <c r="B59" s="28" t="s">
        <v>579</v>
      </c>
      <c r="C59" s="41" t="s">
        <v>209</v>
      </c>
      <c r="D59" s="21" t="n">
        <v>12</v>
      </c>
      <c r="E59" s="40" t="n">
        <f aca="false">IFERROR(INDEX('2. Masas Base'!$D$55:$D$58,MATCH($C59,'2. Masas Base'!$B$55:$B$58,0)),0)</f>
        <v>73.48</v>
      </c>
      <c r="F59" s="40" t="n">
        <f aca="false">SUMIFS('3. Rellenos y Cubiertas'!$G$5:$G$345,'3. Rellenos y Cubiertas'!$A$5:$A$345,$A59)</f>
        <v>174.88</v>
      </c>
      <c r="G59" s="42" t="n">
        <f aca="false">E59+F59</f>
        <v>248.36</v>
      </c>
      <c r="H59" s="31" t="n">
        <f aca="false">IFERROR(G59/D59,0)</f>
        <v>20.6966666666667</v>
      </c>
      <c r="I59" s="22" t="n">
        <v>11</v>
      </c>
      <c r="J59" s="22" t="n">
        <v>4</v>
      </c>
      <c r="K59" s="21" t="n">
        <v>7</v>
      </c>
      <c r="L59" s="31" t="n">
        <f aca="false">$C$9*K59/60</f>
        <v>8.75</v>
      </c>
      <c r="M59" s="31" t="n">
        <f aca="false">$C$10</f>
        <v>10.6111111111111</v>
      </c>
      <c r="N59" s="42" t="n">
        <f aca="false">H59+I59+J59+L59+M59</f>
        <v>55.0577777777778</v>
      </c>
      <c r="O59" s="43" t="n">
        <f aca="false">$C$11</f>
        <v>0.12</v>
      </c>
      <c r="P59" s="34" t="n">
        <f aca="false">IFERROR(N59/(1-O59),0)</f>
        <v>62.5656565656566</v>
      </c>
      <c r="Q59" s="44" t="n">
        <f aca="false">IFERROR(CEILING(P59/(1-$C$5),5),0)</f>
        <v>160</v>
      </c>
      <c r="R59" s="31" t="n">
        <f aca="false">Q59-P59</f>
        <v>97.4343434343434</v>
      </c>
      <c r="S59" s="44" t="n">
        <f aca="false">IFERROR(CEILING(P59/(1-$C$6),5),0)</f>
        <v>180</v>
      </c>
      <c r="T59" s="31" t="n">
        <f aca="false">S59-P59</f>
        <v>117.434343434343</v>
      </c>
      <c r="U59" s="44" t="n">
        <f aca="false">IFERROR(CEILING(P59/(1-$C$7),5),0)</f>
        <v>130</v>
      </c>
      <c r="V59" s="31" t="n">
        <f aca="false">U59-P59</f>
        <v>67.4343434343434</v>
      </c>
      <c r="W59" s="44" t="n">
        <f aca="false">IFERROR(CEILING(P59/(1-$C$8),5),0)</f>
        <v>105</v>
      </c>
      <c r="X59" s="31" t="n">
        <f aca="false">W59-P59</f>
        <v>42.4343434343434</v>
      </c>
      <c r="Y59" s="43" t="n">
        <f aca="false">IFERROR(R59/Q59,0)</f>
        <v>0.608964646464646</v>
      </c>
      <c r="Z59" s="20" t="s">
        <v>658</v>
      </c>
    </row>
    <row r="60" customFormat="false" ht="15" hidden="false" customHeight="false" outlineLevel="0" collapsed="false">
      <c r="A60" s="35" t="n">
        <v>47</v>
      </c>
      <c r="B60" s="28" t="s">
        <v>586</v>
      </c>
      <c r="C60" s="41" t="s">
        <v>233</v>
      </c>
      <c r="D60" s="21" t="n">
        <v>12</v>
      </c>
      <c r="E60" s="40" t="n">
        <f aca="false">IFERROR(INDEX('2. Masas Base'!$D$55:$D$58,MATCH($C60,'2. Masas Base'!$B$55:$B$58,0)),0)</f>
        <v>130.816</v>
      </c>
      <c r="F60" s="40" t="n">
        <f aca="false">SUMIFS('3. Rellenos y Cubiertas'!$G$5:$G$345,'3. Rellenos y Cubiertas'!$A$5:$A$345,$A60)</f>
        <v>141.166197183099</v>
      </c>
      <c r="G60" s="42" t="n">
        <f aca="false">E60+F60</f>
        <v>271.982197183099</v>
      </c>
      <c r="H60" s="31" t="n">
        <f aca="false">IFERROR(G60/D60,0)</f>
        <v>22.6651830985916</v>
      </c>
      <c r="I60" s="22" t="n">
        <v>11</v>
      </c>
      <c r="J60" s="22" t="n">
        <v>4</v>
      </c>
      <c r="K60" s="21" t="n">
        <v>7</v>
      </c>
      <c r="L60" s="31" t="n">
        <f aca="false">$C$9*K60/60</f>
        <v>8.75</v>
      </c>
      <c r="M60" s="31" t="n">
        <f aca="false">$C$10</f>
        <v>10.6111111111111</v>
      </c>
      <c r="N60" s="42" t="n">
        <f aca="false">H60+I60+J60+L60+M60</f>
        <v>57.0262942097027</v>
      </c>
      <c r="O60" s="43" t="n">
        <f aca="false">$C$11</f>
        <v>0.12</v>
      </c>
      <c r="P60" s="34" t="n">
        <f aca="false">IFERROR(N60/(1-O60),0)</f>
        <v>64.8026070564803</v>
      </c>
      <c r="Q60" s="44" t="n">
        <f aca="false">IFERROR(CEILING(P60/(1-$C$5),5),0)</f>
        <v>165</v>
      </c>
      <c r="R60" s="31" t="n">
        <f aca="false">Q60-P60</f>
        <v>100.19739294352</v>
      </c>
      <c r="S60" s="44" t="n">
        <f aca="false">IFERROR(CEILING(P60/(1-$C$6),5),0)</f>
        <v>190</v>
      </c>
      <c r="T60" s="31" t="n">
        <f aca="false">S60-P60</f>
        <v>125.19739294352</v>
      </c>
      <c r="U60" s="44" t="n">
        <f aca="false">IFERROR(CEILING(P60/(1-$C$7),5),0)</f>
        <v>130</v>
      </c>
      <c r="V60" s="31" t="n">
        <f aca="false">U60-P60</f>
        <v>65.1973929435197</v>
      </c>
      <c r="W60" s="44" t="n">
        <f aca="false">IFERROR(CEILING(P60/(1-$C$8),5),0)</f>
        <v>110</v>
      </c>
      <c r="X60" s="31" t="n">
        <f aca="false">W60-P60</f>
        <v>45.1973929435197</v>
      </c>
      <c r="Y60" s="43" t="n">
        <f aca="false">IFERROR(R60/Q60,0)</f>
        <v>0.607256926930422</v>
      </c>
      <c r="Z60" s="20" t="s">
        <v>658</v>
      </c>
    </row>
    <row r="61" customFormat="false" ht="15" hidden="false" customHeight="false" outlineLevel="0" collapsed="false">
      <c r="A61" s="35" t="n">
        <v>48</v>
      </c>
      <c r="B61" s="28" t="s">
        <v>591</v>
      </c>
      <c r="C61" s="41" t="s">
        <v>209</v>
      </c>
      <c r="D61" s="21" t="n">
        <v>12</v>
      </c>
      <c r="E61" s="40" t="n">
        <f aca="false">IFERROR(INDEX('2. Masas Base'!$D$55:$D$58,MATCH($C61,'2. Masas Base'!$B$55:$B$58,0)),0)</f>
        <v>73.48</v>
      </c>
      <c r="F61" s="40" t="n">
        <f aca="false">SUMIFS('3. Rellenos y Cubiertas'!$G$5:$G$345,'3. Rellenos y Cubiertas'!$A$5:$A$345,$A61)</f>
        <v>168.94</v>
      </c>
      <c r="G61" s="42" t="n">
        <f aca="false">E61+F61</f>
        <v>242.42</v>
      </c>
      <c r="H61" s="31" t="n">
        <f aca="false">IFERROR(G61/D61,0)</f>
        <v>20.2016666666667</v>
      </c>
      <c r="I61" s="22" t="n">
        <v>9</v>
      </c>
      <c r="J61" s="22" t="n">
        <v>3</v>
      </c>
      <c r="K61" s="21" t="n">
        <v>5</v>
      </c>
      <c r="L61" s="31" t="n">
        <f aca="false">$C$9*K61/60</f>
        <v>6.25</v>
      </c>
      <c r="M61" s="31" t="n">
        <f aca="false">$C$10</f>
        <v>10.6111111111111</v>
      </c>
      <c r="N61" s="42" t="n">
        <f aca="false">H61+I61+J61+L61+M61</f>
        <v>49.0627777777778</v>
      </c>
      <c r="O61" s="43" t="n">
        <f aca="false">$C$11</f>
        <v>0.12</v>
      </c>
      <c r="P61" s="34" t="n">
        <f aca="false">IFERROR(N61/(1-O61),0)</f>
        <v>55.7531565656566</v>
      </c>
      <c r="Q61" s="44" t="n">
        <f aca="false">IFERROR(CEILING(P61/(1-$C$5),5),0)</f>
        <v>140</v>
      </c>
      <c r="R61" s="31" t="n">
        <f aca="false">Q61-P61</f>
        <v>84.2468434343434</v>
      </c>
      <c r="S61" s="44" t="n">
        <f aca="false">IFERROR(CEILING(P61/(1-$C$6),5),0)</f>
        <v>160</v>
      </c>
      <c r="T61" s="31" t="n">
        <f aca="false">S61-P61</f>
        <v>104.246843434343</v>
      </c>
      <c r="U61" s="44" t="n">
        <f aca="false">IFERROR(CEILING(P61/(1-$C$7),5),0)</f>
        <v>115</v>
      </c>
      <c r="V61" s="31" t="n">
        <f aca="false">U61-P61</f>
        <v>59.2468434343434</v>
      </c>
      <c r="W61" s="44" t="n">
        <f aca="false">IFERROR(CEILING(P61/(1-$C$8),5),0)</f>
        <v>95</v>
      </c>
      <c r="X61" s="31" t="n">
        <f aca="false">W61-P61</f>
        <v>39.2468434343434</v>
      </c>
      <c r="Y61" s="43" t="n">
        <f aca="false">IFERROR(R61/Q61,0)</f>
        <v>0.601763167388167</v>
      </c>
      <c r="Z61" s="20" t="s">
        <v>655</v>
      </c>
    </row>
    <row r="62" customFormat="false" ht="15" hidden="false" customHeight="false" outlineLevel="0" collapsed="false">
      <c r="A62" s="35" t="n">
        <v>49</v>
      </c>
      <c r="B62" s="28" t="s">
        <v>597</v>
      </c>
      <c r="C62" s="41" t="s">
        <v>209</v>
      </c>
      <c r="D62" s="21" t="n">
        <v>12</v>
      </c>
      <c r="E62" s="40" t="n">
        <f aca="false">IFERROR(INDEX('2. Masas Base'!$D$55:$D$58,MATCH($C62,'2. Masas Base'!$B$55:$B$58,0)),0)</f>
        <v>73.48</v>
      </c>
      <c r="F62" s="40" t="n">
        <f aca="false">SUMIFS('3. Rellenos y Cubiertas'!$G$5:$G$345,'3. Rellenos y Cubiertas'!$A$5:$A$345,$A62)</f>
        <v>148.404</v>
      </c>
      <c r="G62" s="42" t="n">
        <f aca="false">E62+F62</f>
        <v>221.884</v>
      </c>
      <c r="H62" s="31" t="n">
        <f aca="false">IFERROR(G62/D62,0)</f>
        <v>18.4903333333333</v>
      </c>
      <c r="I62" s="22" t="n">
        <v>11</v>
      </c>
      <c r="J62" s="22" t="n">
        <v>4</v>
      </c>
      <c r="K62" s="21" t="n">
        <v>7</v>
      </c>
      <c r="L62" s="31" t="n">
        <f aca="false">$C$9*K62/60</f>
        <v>8.75</v>
      </c>
      <c r="M62" s="31" t="n">
        <f aca="false">$C$10</f>
        <v>10.6111111111111</v>
      </c>
      <c r="N62" s="42" t="n">
        <f aca="false">H62+I62+J62+L62+M62</f>
        <v>52.8514444444445</v>
      </c>
      <c r="O62" s="43" t="n">
        <f aca="false">$C$11</f>
        <v>0.12</v>
      </c>
      <c r="P62" s="34" t="n">
        <f aca="false">IFERROR(N62/(1-O62),0)</f>
        <v>60.0584595959596</v>
      </c>
      <c r="Q62" s="44" t="n">
        <f aca="false">IFERROR(CEILING(P62/(1-$C$5),5),0)</f>
        <v>155</v>
      </c>
      <c r="R62" s="31" t="n">
        <f aca="false">Q62-P62</f>
        <v>94.9415404040404</v>
      </c>
      <c r="S62" s="44" t="n">
        <f aca="false">IFERROR(CEILING(P62/(1-$C$6),5),0)</f>
        <v>175</v>
      </c>
      <c r="T62" s="31" t="n">
        <f aca="false">S62-P62</f>
        <v>114.94154040404</v>
      </c>
      <c r="U62" s="44" t="n">
        <f aca="false">IFERROR(CEILING(P62/(1-$C$7),5),0)</f>
        <v>125</v>
      </c>
      <c r="V62" s="31" t="n">
        <f aca="false">U62-P62</f>
        <v>64.9415404040404</v>
      </c>
      <c r="W62" s="44" t="n">
        <f aca="false">IFERROR(CEILING(P62/(1-$C$8),5),0)</f>
        <v>105</v>
      </c>
      <c r="X62" s="31" t="n">
        <f aca="false">W62-P62</f>
        <v>44.9415404040404</v>
      </c>
      <c r="Y62" s="43" t="n">
        <f aca="false">IFERROR(R62/Q62,0)</f>
        <v>0.612526067122841</v>
      </c>
      <c r="Z62" s="20" t="s">
        <v>656</v>
      </c>
    </row>
    <row r="63" customFormat="false" ht="15" hidden="false" customHeight="false" outlineLevel="0" collapsed="false">
      <c r="A63" s="35" t="n">
        <v>50</v>
      </c>
      <c r="B63" s="28" t="s">
        <v>607</v>
      </c>
      <c r="C63" s="41" t="s">
        <v>219</v>
      </c>
      <c r="D63" s="21" t="n">
        <v>12</v>
      </c>
      <c r="E63" s="40" t="n">
        <f aca="false">IFERROR(INDEX('2. Masas Base'!$D$55:$D$58,MATCH($C63,'2. Masas Base'!$B$55:$B$58,0)),0)</f>
        <v>65.97</v>
      </c>
      <c r="F63" s="40" t="n">
        <f aca="false">SUMIFS('3. Rellenos y Cubiertas'!$G$5:$G$345,'3. Rellenos y Cubiertas'!$A$5:$A$345,$A63)</f>
        <v>38.8</v>
      </c>
      <c r="G63" s="42" t="n">
        <f aca="false">E63+F63</f>
        <v>104.77</v>
      </c>
      <c r="H63" s="31" t="n">
        <f aca="false">IFERROR(G63/D63,0)</f>
        <v>8.73083333333334</v>
      </c>
      <c r="I63" s="22" t="n">
        <v>14</v>
      </c>
      <c r="J63" s="22" t="n">
        <v>5</v>
      </c>
      <c r="K63" s="21" t="n">
        <v>10</v>
      </c>
      <c r="L63" s="31" t="n">
        <f aca="false">$C$9*K63/60</f>
        <v>12.5</v>
      </c>
      <c r="M63" s="31" t="n">
        <f aca="false">$C$10</f>
        <v>10.6111111111111</v>
      </c>
      <c r="N63" s="42" t="n">
        <f aca="false">H63+I63+J63+L63+M63</f>
        <v>50.8419444444445</v>
      </c>
      <c r="O63" s="43" t="n">
        <f aca="false">$C$11</f>
        <v>0.12</v>
      </c>
      <c r="P63" s="34" t="n">
        <f aca="false">IFERROR(N63/(1-O63),0)</f>
        <v>57.7749368686869</v>
      </c>
      <c r="Q63" s="44" t="n">
        <f aca="false">IFERROR(CEILING(P63/(1-$C$5),5),0)</f>
        <v>145</v>
      </c>
      <c r="R63" s="31" t="n">
        <f aca="false">Q63-P63</f>
        <v>87.2250631313131</v>
      </c>
      <c r="S63" s="44" t="n">
        <f aca="false">IFERROR(CEILING(P63/(1-$C$6),5),0)</f>
        <v>170</v>
      </c>
      <c r="T63" s="31" t="n">
        <f aca="false">S63-P63</f>
        <v>112.225063131313</v>
      </c>
      <c r="U63" s="44" t="n">
        <f aca="false">IFERROR(CEILING(P63/(1-$C$7),5),0)</f>
        <v>120</v>
      </c>
      <c r="V63" s="31" t="n">
        <f aca="false">U63-P63</f>
        <v>62.2250631313131</v>
      </c>
      <c r="W63" s="44" t="n">
        <f aca="false">IFERROR(CEILING(P63/(1-$C$8),5),0)</f>
        <v>100</v>
      </c>
      <c r="X63" s="31" t="n">
        <f aca="false">W63-P63</f>
        <v>42.2250631313131</v>
      </c>
      <c r="Y63" s="43" t="n">
        <f aca="false">IFERROR(R63/Q63,0)</f>
        <v>0.601552159526297</v>
      </c>
      <c r="Z63" s="20" t="s">
        <v>657</v>
      </c>
    </row>
    <row r="64" customFormat="false" ht="15" hidden="false" customHeight="false" outlineLevel="0" collapsed="false">
      <c r="A64" s="35" t="n">
        <v>51</v>
      </c>
      <c r="B64" s="28" t="s">
        <v>611</v>
      </c>
      <c r="C64" s="41" t="s">
        <v>209</v>
      </c>
      <c r="D64" s="21" t="n">
        <v>12</v>
      </c>
      <c r="E64" s="40" t="n">
        <f aca="false">IFERROR(INDEX('2. Masas Base'!$D$55:$D$58,MATCH($C64,'2. Masas Base'!$B$55:$B$58,0)),0)</f>
        <v>73.48</v>
      </c>
      <c r="F64" s="40" t="n">
        <f aca="false">SUMIFS('3. Rellenos y Cubiertas'!$G$5:$G$345,'3. Rellenos y Cubiertas'!$A$5:$A$345,$A64)</f>
        <v>51.8</v>
      </c>
      <c r="G64" s="42" t="n">
        <f aca="false">E64+F64</f>
        <v>125.28</v>
      </c>
      <c r="H64" s="31" t="n">
        <f aca="false">IFERROR(G64/D64,0)</f>
        <v>10.44</v>
      </c>
      <c r="I64" s="22" t="n">
        <v>9</v>
      </c>
      <c r="J64" s="22" t="n">
        <v>3</v>
      </c>
      <c r="K64" s="21" t="n">
        <v>5</v>
      </c>
      <c r="L64" s="31" t="n">
        <f aca="false">$C$9*K64/60</f>
        <v>6.25</v>
      </c>
      <c r="M64" s="31" t="n">
        <f aca="false">$C$10</f>
        <v>10.6111111111111</v>
      </c>
      <c r="N64" s="42" t="n">
        <f aca="false">H64+I64+J64+L64+M64</f>
        <v>39.3011111111111</v>
      </c>
      <c r="O64" s="43" t="n">
        <f aca="false">$C$11</f>
        <v>0.12</v>
      </c>
      <c r="P64" s="34" t="n">
        <f aca="false">IFERROR(N64/(1-O64),0)</f>
        <v>44.6603535353535</v>
      </c>
      <c r="Q64" s="44" t="n">
        <f aca="false">IFERROR(CEILING(P64/(1-$C$5),5),0)</f>
        <v>115</v>
      </c>
      <c r="R64" s="31" t="n">
        <f aca="false">Q64-P64</f>
        <v>70.3396464646465</v>
      </c>
      <c r="S64" s="44" t="n">
        <f aca="false">IFERROR(CEILING(P64/(1-$C$6),5),0)</f>
        <v>130</v>
      </c>
      <c r="T64" s="31" t="n">
        <f aca="false">S64-P64</f>
        <v>85.3396464646465</v>
      </c>
      <c r="U64" s="44" t="n">
        <f aca="false">IFERROR(CEILING(P64/(1-$C$7),5),0)</f>
        <v>90</v>
      </c>
      <c r="V64" s="31" t="n">
        <f aca="false">U64-P64</f>
        <v>45.3396464646465</v>
      </c>
      <c r="W64" s="44" t="n">
        <f aca="false">IFERROR(CEILING(P64/(1-$C$8),5),0)</f>
        <v>75</v>
      </c>
      <c r="X64" s="31" t="n">
        <f aca="false">W64-P64</f>
        <v>30.3396464646465</v>
      </c>
      <c r="Y64" s="43" t="n">
        <f aca="false">IFERROR(R64/Q64,0)</f>
        <v>0.611649099692578</v>
      </c>
      <c r="Z64" s="20" t="s">
        <v>655</v>
      </c>
    </row>
    <row r="65" customFormat="false" ht="15" hidden="false" customHeight="false" outlineLevel="0" collapsed="false">
      <c r="B65" s="15" t="s">
        <v>661</v>
      </c>
      <c r="E65" s="45" t="n">
        <f aca="false">AVERAGE(E14:E64)</f>
        <v>84.9350980392157</v>
      </c>
      <c r="F65" s="45" t="n">
        <f aca="false">AVERAGE(F14:F64)</f>
        <v>130.131332873925</v>
      </c>
      <c r="G65" s="45" t="n">
        <f aca="false">AVERAGE(G14:G64)</f>
        <v>215.066430913141</v>
      </c>
      <c r="H65" s="45" t="n">
        <f aca="false">AVERAGE(H14:H64)</f>
        <v>17.922202576095</v>
      </c>
      <c r="N65" s="45" t="n">
        <f aca="false">AVERAGE(N14:N64)</f>
        <v>51.577431334265</v>
      </c>
      <c r="P65" s="45" t="n">
        <f aca="false">AVERAGE(P14:P64)</f>
        <v>58.6107174253011</v>
      </c>
      <c r="Q65" s="45" t="n">
        <f aca="false">AVERAGE(Q14:Q64)</f>
        <v>149.117647058824</v>
      </c>
      <c r="R65" s="45" t="n">
        <f aca="false">AVERAGE(R14:R64)</f>
        <v>90.5069296335224</v>
      </c>
      <c r="Y65" s="46" t="n">
        <f aca="false">AVERAGE(Y14:Y64)</f>
        <v>0.606954411108749</v>
      </c>
    </row>
    <row r="67" customFormat="false" ht="15" hidden="false" customHeight="false" outlineLevel="0" collapsed="false">
      <c r="B67" s="26" t="s">
        <v>662</v>
      </c>
    </row>
    <row r="68" customFormat="false" ht="15" hidden="false" customHeight="false" outlineLevel="0" collapsed="false">
      <c r="B68" s="26" t="s">
        <v>663</v>
      </c>
    </row>
  </sheetData>
  <autoFilter ref="A13:Z64"/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7" min="5" style="0" width="12"/>
    <col collapsed="false" customWidth="true" hidden="false" outlineLevel="0" max="8" min="8" style="0" width="11"/>
    <col collapsed="false" customWidth="true" hidden="false" outlineLevel="0" max="9" min="9" style="0" width="30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34"/>
  </cols>
  <sheetData>
    <row r="1" customFormat="false" ht="30" hidden="false" customHeight="true" outlineLevel="0" collapsed="false">
      <c r="A1" s="1" t="s">
        <v>664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665</v>
      </c>
    </row>
    <row r="3" customFormat="false" ht="15" hidden="false" customHeight="false" outlineLevel="0" collapsed="false">
      <c r="A3" s="47" t="s">
        <v>666</v>
      </c>
      <c r="B3" s="47"/>
      <c r="C3" s="47"/>
      <c r="D3" s="48" t="n">
        <f aca="false">SUM(F8:F207)</f>
        <v>11</v>
      </c>
    </row>
    <row r="4" customFormat="false" ht="15" hidden="false" customHeight="false" outlineLevel="0" collapsed="false">
      <c r="A4" s="47" t="s">
        <v>667</v>
      </c>
      <c r="B4" s="47"/>
      <c r="C4" s="47"/>
      <c r="D4" s="48" t="n">
        <f aca="false">SUM(G8:G207)</f>
        <v>1</v>
      </c>
    </row>
    <row r="5" customFormat="false" ht="15" hidden="false" customHeight="false" outlineLevel="0" collapsed="false">
      <c r="A5" s="47" t="s">
        <v>668</v>
      </c>
      <c r="B5" s="47"/>
      <c r="C5" s="47"/>
      <c r="D5" s="49" t="n">
        <f aca="false">IFERROR(D4/(D3+D4),0)</f>
        <v>0.0833333333333333</v>
      </c>
    </row>
    <row r="6" customFormat="false" ht="15" hidden="false" customHeight="false" outlineLevel="0" collapsed="false">
      <c r="A6" s="47" t="s">
        <v>669</v>
      </c>
      <c r="B6" s="47"/>
      <c r="C6" s="47"/>
      <c r="D6" s="34" t="n">
        <f aca="false">SUM(K8:K207)</f>
        <v>51.388952020202</v>
      </c>
    </row>
    <row r="7" customFormat="false" ht="30" hidden="false" customHeight="true" outlineLevel="0" collapsed="false">
      <c r="A7" s="19" t="s">
        <v>670</v>
      </c>
      <c r="B7" s="19" t="s">
        <v>671</v>
      </c>
      <c r="C7" s="19" t="s">
        <v>672</v>
      </c>
      <c r="D7" s="19" t="s">
        <v>244</v>
      </c>
      <c r="E7" s="19" t="s">
        <v>673</v>
      </c>
      <c r="F7" s="19" t="s">
        <v>674</v>
      </c>
      <c r="G7" s="19" t="s">
        <v>675</v>
      </c>
      <c r="H7" s="19" t="s">
        <v>676</v>
      </c>
      <c r="I7" s="19" t="s">
        <v>677</v>
      </c>
      <c r="J7" s="19" t="s">
        <v>678</v>
      </c>
      <c r="K7" s="19" t="s">
        <v>679</v>
      </c>
      <c r="L7" s="19" t="s">
        <v>50</v>
      </c>
    </row>
    <row r="8" customFormat="false" ht="15" hidden="false" customHeight="false" outlineLevel="0" collapsed="false">
      <c r="A8" s="25" t="n">
        <v>46235</v>
      </c>
      <c r="B8" s="24" t="s">
        <v>680</v>
      </c>
      <c r="C8" s="21" t="n">
        <v>1</v>
      </c>
      <c r="D8" s="50" t="str">
        <f aca="false">IFERROR(INDEX('4. Costeo y Precios'!$B$14:$B$64,MATCH($C8,'4. Costeo y Precios'!$A$14:$A$64,0)),"")</f>
        <v>Rol de Canela Clásico con Glaseado de Vainilla de Papantla</v>
      </c>
      <c r="E8" s="21" t="n">
        <v>12</v>
      </c>
      <c r="F8" s="21" t="n">
        <v>11</v>
      </c>
      <c r="G8" s="21" t="n">
        <v>1</v>
      </c>
      <c r="H8" s="43" t="n">
        <f aca="false">IFERROR(G8/(F8+G8),"")</f>
        <v>0.0833333333333333</v>
      </c>
      <c r="I8" s="24" t="s">
        <v>681</v>
      </c>
      <c r="J8" s="40" t="n">
        <f aca="false">IFERROR(INDEX('4. Costeo y Precios'!$P$14:$P$64,MATCH($C8,'4. Costeo y Precios'!$A$14:$A$64,0)),0)</f>
        <v>51.388952020202</v>
      </c>
      <c r="K8" s="31" t="n">
        <f aca="false">IF($C8="","",G8*J8)</f>
        <v>51.388952020202</v>
      </c>
      <c r="L8" s="51" t="s">
        <v>682</v>
      </c>
    </row>
    <row r="9" customFormat="false" ht="15" hidden="false" customHeight="false" outlineLevel="0" collapsed="false">
      <c r="A9" s="25"/>
      <c r="B9" s="24"/>
      <c r="C9" s="21" t="n">
        <v>11</v>
      </c>
      <c r="D9" s="50" t="str">
        <f aca="false">IFERROR(INDEX('4. Costeo y Precios'!$B$14:$B$64,MATCH($C9,'4. Costeo y Precios'!$A$14:$A$64,0)),"")</f>
        <v>Rol Volcán de Crema de Avellana (Estilo Nutella)</v>
      </c>
      <c r="E9" s="21"/>
      <c r="F9" s="21"/>
      <c r="G9" s="21"/>
      <c r="H9" s="43" t="str">
        <f aca="false">IFERROR(G9/(F9+G9),"")</f>
        <v/>
      </c>
      <c r="I9" s="24"/>
      <c r="J9" s="40" t="n">
        <f aca="false">IFERROR(INDEX('4. Costeo y Precios'!$P$14:$P$64,MATCH($C9,'4. Costeo y Precios'!$A$14:$A$64,0)),0)</f>
        <v>57.3686868686869</v>
      </c>
      <c r="K9" s="31" t="n">
        <f aca="false">IF($C9="","",G9*J9)</f>
        <v>0</v>
      </c>
      <c r="L9" s="51"/>
    </row>
    <row r="10" customFormat="false" ht="15" hidden="false" customHeight="false" outlineLevel="0" collapsed="false">
      <c r="A10" s="25"/>
      <c r="B10" s="24"/>
      <c r="C10" s="21" t="n">
        <v>42</v>
      </c>
      <c r="D10" s="50" t="str">
        <f aca="false">IFERROR(INDEX('4. Costeo y Precios'!$B$14:$B$64,MATCH($C10,'4. Costeo y Precios'!$A$14:$A$64,0)),"")</f>
        <v>Rol de Ajo Rostizado, Romero y Parmesano</v>
      </c>
      <c r="E10" s="21"/>
      <c r="F10" s="21"/>
      <c r="G10" s="21"/>
      <c r="H10" s="43" t="str">
        <f aca="false">IFERROR(G10/(F10+G10),"")</f>
        <v/>
      </c>
      <c r="I10" s="24"/>
      <c r="J10" s="40" t="n">
        <f aca="false">IFERROR(INDEX('4. Costeo y Precios'!$P$14:$P$64,MATCH($C10,'4. Costeo y Precios'!$A$14:$A$64,0)),0)</f>
        <v>68.839898989899</v>
      </c>
      <c r="K10" s="31" t="n">
        <f aca="false">IF($C10="","",G10*J10)</f>
        <v>0</v>
      </c>
      <c r="L10" s="51"/>
    </row>
    <row r="11" customFormat="false" ht="15" hidden="false" customHeight="false" outlineLevel="0" collapsed="false">
      <c r="A11" s="25"/>
      <c r="B11" s="24"/>
      <c r="C11" s="21"/>
      <c r="D11" s="50" t="str">
        <f aca="false">IFERROR(INDEX('4. Costeo y Precios'!$B$14:$B$64,MATCH($C11,'4. Costeo y Precios'!$A$14:$A$64,0)),"")</f>
        <v/>
      </c>
      <c r="E11" s="21"/>
      <c r="F11" s="21"/>
      <c r="G11" s="21"/>
      <c r="H11" s="43" t="str">
        <f aca="false">IFERROR(G11/(F11+G11),"")</f>
        <v/>
      </c>
      <c r="I11" s="24"/>
      <c r="J11" s="40" t="n">
        <f aca="false">IFERROR(INDEX('4. Costeo y Precios'!$P$14:$P$64,MATCH($C11,'4. Costeo y Precios'!$A$14:$A$64,0)),0)</f>
        <v>0</v>
      </c>
      <c r="K11" s="31" t="str">
        <f aca="false">IF($C11="","",G11*J11)</f>
        <v/>
      </c>
      <c r="L11" s="51"/>
    </row>
    <row r="12" customFormat="false" ht="15" hidden="false" customHeight="false" outlineLevel="0" collapsed="false">
      <c r="A12" s="25"/>
      <c r="B12" s="24"/>
      <c r="C12" s="21"/>
      <c r="D12" s="50" t="str">
        <f aca="false">IFERROR(INDEX('4. Costeo y Precios'!$B$14:$B$64,MATCH($C12,'4. Costeo y Precios'!$A$14:$A$64,0)),"")</f>
        <v/>
      </c>
      <c r="E12" s="21"/>
      <c r="F12" s="21"/>
      <c r="G12" s="21"/>
      <c r="H12" s="43" t="str">
        <f aca="false">IFERROR(G12/(F12+G12),"")</f>
        <v/>
      </c>
      <c r="I12" s="24"/>
      <c r="J12" s="40" t="n">
        <f aca="false">IFERROR(INDEX('4. Costeo y Precios'!$P$14:$P$64,MATCH($C12,'4. Costeo y Precios'!$A$14:$A$64,0)),0)</f>
        <v>0</v>
      </c>
      <c r="K12" s="31" t="str">
        <f aca="false">IF($C12="","",G12*J12)</f>
        <v/>
      </c>
      <c r="L12" s="51"/>
    </row>
    <row r="13" customFormat="false" ht="15" hidden="false" customHeight="false" outlineLevel="0" collapsed="false">
      <c r="A13" s="25"/>
      <c r="B13" s="24"/>
      <c r="C13" s="21"/>
      <c r="D13" s="50" t="str">
        <f aca="false">IFERROR(INDEX('4. Costeo y Precios'!$B$14:$B$64,MATCH($C13,'4. Costeo y Precios'!$A$14:$A$64,0)),"")</f>
        <v/>
      </c>
      <c r="E13" s="21"/>
      <c r="F13" s="21"/>
      <c r="G13" s="21"/>
      <c r="H13" s="43" t="str">
        <f aca="false">IFERROR(G13/(F13+G13),"")</f>
        <v/>
      </c>
      <c r="I13" s="24"/>
      <c r="J13" s="40" t="n">
        <f aca="false">IFERROR(INDEX('4. Costeo y Precios'!$P$14:$P$64,MATCH($C13,'4. Costeo y Precios'!$A$14:$A$64,0)),0)</f>
        <v>0</v>
      </c>
      <c r="K13" s="31" t="str">
        <f aca="false">IF($C13="","",G13*J13)</f>
        <v/>
      </c>
      <c r="L13" s="51"/>
    </row>
    <row r="14" customFormat="false" ht="15" hidden="false" customHeight="false" outlineLevel="0" collapsed="false">
      <c r="A14" s="25"/>
      <c r="B14" s="24"/>
      <c r="C14" s="21"/>
      <c r="D14" s="50" t="str">
        <f aca="false">IFERROR(INDEX('4. Costeo y Precios'!$B$14:$B$64,MATCH($C14,'4. Costeo y Precios'!$A$14:$A$64,0)),"")</f>
        <v/>
      </c>
      <c r="E14" s="21"/>
      <c r="F14" s="21"/>
      <c r="G14" s="21"/>
      <c r="H14" s="43" t="str">
        <f aca="false">IFERROR(G14/(F14+G14),"")</f>
        <v/>
      </c>
      <c r="I14" s="24"/>
      <c r="J14" s="40" t="n">
        <f aca="false">IFERROR(INDEX('4. Costeo y Precios'!$P$14:$P$64,MATCH($C14,'4. Costeo y Precios'!$A$14:$A$64,0)),0)</f>
        <v>0</v>
      </c>
      <c r="K14" s="31" t="str">
        <f aca="false">IF($C14="","",G14*J14)</f>
        <v/>
      </c>
      <c r="L14" s="51"/>
    </row>
    <row r="15" customFormat="false" ht="15" hidden="false" customHeight="false" outlineLevel="0" collapsed="false">
      <c r="A15" s="25"/>
      <c r="B15" s="24"/>
      <c r="C15" s="21"/>
      <c r="D15" s="50" t="str">
        <f aca="false">IFERROR(INDEX('4. Costeo y Precios'!$B$14:$B$64,MATCH($C15,'4. Costeo y Precios'!$A$14:$A$64,0)),"")</f>
        <v/>
      </c>
      <c r="E15" s="21"/>
      <c r="F15" s="21"/>
      <c r="G15" s="21"/>
      <c r="H15" s="43" t="str">
        <f aca="false">IFERROR(G15/(F15+G15),"")</f>
        <v/>
      </c>
      <c r="I15" s="24"/>
      <c r="J15" s="40" t="n">
        <f aca="false">IFERROR(INDEX('4. Costeo y Precios'!$P$14:$P$64,MATCH($C15,'4. Costeo y Precios'!$A$14:$A$64,0)),0)</f>
        <v>0</v>
      </c>
      <c r="K15" s="31" t="str">
        <f aca="false">IF($C15="","",G15*J15)</f>
        <v/>
      </c>
      <c r="L15" s="51"/>
    </row>
    <row r="16" customFormat="false" ht="15" hidden="false" customHeight="false" outlineLevel="0" collapsed="false">
      <c r="A16" s="25"/>
      <c r="B16" s="24"/>
      <c r="C16" s="21"/>
      <c r="D16" s="50" t="str">
        <f aca="false">IFERROR(INDEX('4. Costeo y Precios'!$B$14:$B$64,MATCH($C16,'4. Costeo y Precios'!$A$14:$A$64,0)),"")</f>
        <v/>
      </c>
      <c r="E16" s="21"/>
      <c r="F16" s="21"/>
      <c r="G16" s="21"/>
      <c r="H16" s="43" t="str">
        <f aca="false">IFERROR(G16/(F16+G16),"")</f>
        <v/>
      </c>
      <c r="I16" s="24"/>
      <c r="J16" s="40" t="n">
        <f aca="false">IFERROR(INDEX('4. Costeo y Precios'!$P$14:$P$64,MATCH($C16,'4. Costeo y Precios'!$A$14:$A$64,0)),0)</f>
        <v>0</v>
      </c>
      <c r="K16" s="31" t="str">
        <f aca="false">IF($C16="","",G16*J16)</f>
        <v/>
      </c>
      <c r="L16" s="51"/>
    </row>
    <row r="17" customFormat="false" ht="15" hidden="false" customHeight="false" outlineLevel="0" collapsed="false">
      <c r="A17" s="25"/>
      <c r="B17" s="24"/>
      <c r="C17" s="21"/>
      <c r="D17" s="50" t="str">
        <f aca="false">IFERROR(INDEX('4. Costeo y Precios'!$B$14:$B$64,MATCH($C17,'4. Costeo y Precios'!$A$14:$A$64,0)),"")</f>
        <v/>
      </c>
      <c r="E17" s="21"/>
      <c r="F17" s="21"/>
      <c r="G17" s="21"/>
      <c r="H17" s="43" t="str">
        <f aca="false">IFERROR(G17/(F17+G17),"")</f>
        <v/>
      </c>
      <c r="I17" s="24"/>
      <c r="J17" s="40" t="n">
        <f aca="false">IFERROR(INDEX('4. Costeo y Precios'!$P$14:$P$64,MATCH($C17,'4. Costeo y Precios'!$A$14:$A$64,0)),0)</f>
        <v>0</v>
      </c>
      <c r="K17" s="31" t="str">
        <f aca="false">IF($C17="","",G17*J17)</f>
        <v/>
      </c>
      <c r="L17" s="51"/>
    </row>
    <row r="18" customFormat="false" ht="15" hidden="false" customHeight="false" outlineLevel="0" collapsed="false">
      <c r="A18" s="25"/>
      <c r="B18" s="24"/>
      <c r="C18" s="21"/>
      <c r="D18" s="50" t="str">
        <f aca="false">IFERROR(INDEX('4. Costeo y Precios'!$B$14:$B$64,MATCH($C18,'4. Costeo y Precios'!$A$14:$A$64,0)),"")</f>
        <v/>
      </c>
      <c r="E18" s="21"/>
      <c r="F18" s="21"/>
      <c r="G18" s="21"/>
      <c r="H18" s="43" t="str">
        <f aca="false">IFERROR(G18/(F18+G18),"")</f>
        <v/>
      </c>
      <c r="I18" s="24"/>
      <c r="J18" s="40" t="n">
        <f aca="false">IFERROR(INDEX('4. Costeo y Precios'!$P$14:$P$64,MATCH($C18,'4. Costeo y Precios'!$A$14:$A$64,0)),0)</f>
        <v>0</v>
      </c>
      <c r="K18" s="31" t="str">
        <f aca="false">IF($C18="","",G18*J18)</f>
        <v/>
      </c>
      <c r="L18" s="51"/>
    </row>
    <row r="19" customFormat="false" ht="15" hidden="false" customHeight="false" outlineLevel="0" collapsed="false">
      <c r="A19" s="25"/>
      <c r="B19" s="24"/>
      <c r="C19" s="21"/>
      <c r="D19" s="50" t="str">
        <f aca="false">IFERROR(INDEX('4. Costeo y Precios'!$B$14:$B$64,MATCH($C19,'4. Costeo y Precios'!$A$14:$A$64,0)),"")</f>
        <v/>
      </c>
      <c r="E19" s="21"/>
      <c r="F19" s="21"/>
      <c r="G19" s="21"/>
      <c r="H19" s="43" t="str">
        <f aca="false">IFERROR(G19/(F19+G19),"")</f>
        <v/>
      </c>
      <c r="I19" s="24"/>
      <c r="J19" s="40" t="n">
        <f aca="false">IFERROR(INDEX('4. Costeo y Precios'!$P$14:$P$64,MATCH($C19,'4. Costeo y Precios'!$A$14:$A$64,0)),0)</f>
        <v>0</v>
      </c>
      <c r="K19" s="31" t="str">
        <f aca="false">IF($C19="","",G19*J19)</f>
        <v/>
      </c>
      <c r="L19" s="51"/>
    </row>
    <row r="20" customFormat="false" ht="15" hidden="false" customHeight="false" outlineLevel="0" collapsed="false">
      <c r="A20" s="25"/>
      <c r="B20" s="24"/>
      <c r="C20" s="21"/>
      <c r="D20" s="50" t="str">
        <f aca="false">IFERROR(INDEX('4. Costeo y Precios'!$B$14:$B$64,MATCH($C20,'4. Costeo y Precios'!$A$14:$A$64,0)),"")</f>
        <v/>
      </c>
      <c r="E20" s="21"/>
      <c r="F20" s="21"/>
      <c r="G20" s="21"/>
      <c r="H20" s="43" t="str">
        <f aca="false">IFERROR(G20/(F20+G20),"")</f>
        <v/>
      </c>
      <c r="I20" s="24"/>
      <c r="J20" s="40" t="n">
        <f aca="false">IFERROR(INDEX('4. Costeo y Precios'!$P$14:$P$64,MATCH($C20,'4. Costeo y Precios'!$A$14:$A$64,0)),0)</f>
        <v>0</v>
      </c>
      <c r="K20" s="31" t="str">
        <f aca="false">IF($C20="","",G20*J20)</f>
        <v/>
      </c>
      <c r="L20" s="51"/>
    </row>
    <row r="21" customFormat="false" ht="15" hidden="false" customHeight="false" outlineLevel="0" collapsed="false">
      <c r="A21" s="25"/>
      <c r="B21" s="24"/>
      <c r="C21" s="21"/>
      <c r="D21" s="50" t="str">
        <f aca="false">IFERROR(INDEX('4. Costeo y Precios'!$B$14:$B$64,MATCH($C21,'4. Costeo y Precios'!$A$14:$A$64,0)),"")</f>
        <v/>
      </c>
      <c r="E21" s="21"/>
      <c r="F21" s="21"/>
      <c r="G21" s="21"/>
      <c r="H21" s="43" t="str">
        <f aca="false">IFERROR(G21/(F21+G21),"")</f>
        <v/>
      </c>
      <c r="I21" s="24"/>
      <c r="J21" s="40" t="n">
        <f aca="false">IFERROR(INDEX('4. Costeo y Precios'!$P$14:$P$64,MATCH($C21,'4. Costeo y Precios'!$A$14:$A$64,0)),0)</f>
        <v>0</v>
      </c>
      <c r="K21" s="31" t="str">
        <f aca="false">IF($C21="","",G21*J21)</f>
        <v/>
      </c>
      <c r="L21" s="51"/>
    </row>
    <row r="22" customFormat="false" ht="15" hidden="false" customHeight="false" outlineLevel="0" collapsed="false">
      <c r="A22" s="25"/>
      <c r="B22" s="24"/>
      <c r="C22" s="21"/>
      <c r="D22" s="50" t="str">
        <f aca="false">IFERROR(INDEX('4. Costeo y Precios'!$B$14:$B$64,MATCH($C22,'4. Costeo y Precios'!$A$14:$A$64,0)),"")</f>
        <v/>
      </c>
      <c r="E22" s="21"/>
      <c r="F22" s="21"/>
      <c r="G22" s="21"/>
      <c r="H22" s="43" t="str">
        <f aca="false">IFERROR(G22/(F22+G22),"")</f>
        <v/>
      </c>
      <c r="I22" s="24"/>
      <c r="J22" s="40" t="n">
        <f aca="false">IFERROR(INDEX('4. Costeo y Precios'!$P$14:$P$64,MATCH($C22,'4. Costeo y Precios'!$A$14:$A$64,0)),0)</f>
        <v>0</v>
      </c>
      <c r="K22" s="31" t="str">
        <f aca="false">IF($C22="","",G22*J22)</f>
        <v/>
      </c>
      <c r="L22" s="51"/>
    </row>
    <row r="23" customFormat="false" ht="15" hidden="false" customHeight="false" outlineLevel="0" collapsed="false">
      <c r="A23" s="25"/>
      <c r="B23" s="24"/>
      <c r="C23" s="21"/>
      <c r="D23" s="50" t="str">
        <f aca="false">IFERROR(INDEX('4. Costeo y Precios'!$B$14:$B$64,MATCH($C23,'4. Costeo y Precios'!$A$14:$A$64,0)),"")</f>
        <v/>
      </c>
      <c r="E23" s="21"/>
      <c r="F23" s="21"/>
      <c r="G23" s="21"/>
      <c r="H23" s="43" t="str">
        <f aca="false">IFERROR(G23/(F23+G23),"")</f>
        <v/>
      </c>
      <c r="I23" s="24"/>
      <c r="J23" s="40" t="n">
        <f aca="false">IFERROR(INDEX('4. Costeo y Precios'!$P$14:$P$64,MATCH($C23,'4. Costeo y Precios'!$A$14:$A$64,0)),0)</f>
        <v>0</v>
      </c>
      <c r="K23" s="31" t="str">
        <f aca="false">IF($C23="","",G23*J23)</f>
        <v/>
      </c>
      <c r="L23" s="51"/>
    </row>
    <row r="24" customFormat="false" ht="15" hidden="false" customHeight="false" outlineLevel="0" collapsed="false">
      <c r="A24" s="25"/>
      <c r="B24" s="24"/>
      <c r="C24" s="21"/>
      <c r="D24" s="50" t="str">
        <f aca="false">IFERROR(INDEX('4. Costeo y Precios'!$B$14:$B$64,MATCH($C24,'4. Costeo y Precios'!$A$14:$A$64,0)),"")</f>
        <v/>
      </c>
      <c r="E24" s="21"/>
      <c r="F24" s="21"/>
      <c r="G24" s="21"/>
      <c r="H24" s="43" t="str">
        <f aca="false">IFERROR(G24/(F24+G24),"")</f>
        <v/>
      </c>
      <c r="I24" s="24"/>
      <c r="J24" s="40" t="n">
        <f aca="false">IFERROR(INDEX('4. Costeo y Precios'!$P$14:$P$64,MATCH($C24,'4. Costeo y Precios'!$A$14:$A$64,0)),0)</f>
        <v>0</v>
      </c>
      <c r="K24" s="31" t="str">
        <f aca="false">IF($C24="","",G24*J24)</f>
        <v/>
      </c>
      <c r="L24" s="51"/>
    </row>
    <row r="25" customFormat="false" ht="15" hidden="false" customHeight="false" outlineLevel="0" collapsed="false">
      <c r="A25" s="25"/>
      <c r="B25" s="24"/>
      <c r="C25" s="21"/>
      <c r="D25" s="50" t="str">
        <f aca="false">IFERROR(INDEX('4. Costeo y Precios'!$B$14:$B$64,MATCH($C25,'4. Costeo y Precios'!$A$14:$A$64,0)),"")</f>
        <v/>
      </c>
      <c r="E25" s="21"/>
      <c r="F25" s="21"/>
      <c r="G25" s="21"/>
      <c r="H25" s="43" t="str">
        <f aca="false">IFERROR(G25/(F25+G25),"")</f>
        <v/>
      </c>
      <c r="I25" s="24"/>
      <c r="J25" s="40" t="n">
        <f aca="false">IFERROR(INDEX('4. Costeo y Precios'!$P$14:$P$64,MATCH($C25,'4. Costeo y Precios'!$A$14:$A$64,0)),0)</f>
        <v>0</v>
      </c>
      <c r="K25" s="31" t="str">
        <f aca="false">IF($C25="","",G25*J25)</f>
        <v/>
      </c>
      <c r="L25" s="51"/>
    </row>
    <row r="26" customFormat="false" ht="15" hidden="false" customHeight="false" outlineLevel="0" collapsed="false">
      <c r="A26" s="25"/>
      <c r="B26" s="24"/>
      <c r="C26" s="21"/>
      <c r="D26" s="50" t="str">
        <f aca="false">IFERROR(INDEX('4. Costeo y Precios'!$B$14:$B$64,MATCH($C26,'4. Costeo y Precios'!$A$14:$A$64,0)),"")</f>
        <v/>
      </c>
      <c r="E26" s="21"/>
      <c r="F26" s="21"/>
      <c r="G26" s="21"/>
      <c r="H26" s="43" t="str">
        <f aca="false">IFERROR(G26/(F26+G26),"")</f>
        <v/>
      </c>
      <c r="I26" s="24"/>
      <c r="J26" s="40" t="n">
        <f aca="false">IFERROR(INDEX('4. Costeo y Precios'!$P$14:$P$64,MATCH($C26,'4. Costeo y Precios'!$A$14:$A$64,0)),0)</f>
        <v>0</v>
      </c>
      <c r="K26" s="31" t="str">
        <f aca="false">IF($C26="","",G26*J26)</f>
        <v/>
      </c>
      <c r="L26" s="51"/>
    </row>
    <row r="27" customFormat="false" ht="15" hidden="false" customHeight="false" outlineLevel="0" collapsed="false">
      <c r="A27" s="25"/>
      <c r="B27" s="24"/>
      <c r="C27" s="21"/>
      <c r="D27" s="50" t="str">
        <f aca="false">IFERROR(INDEX('4. Costeo y Precios'!$B$14:$B$64,MATCH($C27,'4. Costeo y Precios'!$A$14:$A$64,0)),"")</f>
        <v/>
      </c>
      <c r="E27" s="21"/>
      <c r="F27" s="21"/>
      <c r="G27" s="21"/>
      <c r="H27" s="43" t="str">
        <f aca="false">IFERROR(G27/(F27+G27),"")</f>
        <v/>
      </c>
      <c r="I27" s="24"/>
      <c r="J27" s="40" t="n">
        <f aca="false">IFERROR(INDEX('4. Costeo y Precios'!$P$14:$P$64,MATCH($C27,'4. Costeo y Precios'!$A$14:$A$64,0)),0)</f>
        <v>0</v>
      </c>
      <c r="K27" s="31" t="str">
        <f aca="false">IF($C27="","",G27*J27)</f>
        <v/>
      </c>
      <c r="L27" s="51"/>
    </row>
    <row r="28" customFormat="false" ht="15" hidden="false" customHeight="false" outlineLevel="0" collapsed="false">
      <c r="A28" s="25"/>
      <c r="B28" s="24"/>
      <c r="C28" s="21"/>
      <c r="D28" s="50" t="str">
        <f aca="false">IFERROR(INDEX('4. Costeo y Precios'!$B$14:$B$64,MATCH($C28,'4. Costeo y Precios'!$A$14:$A$64,0)),"")</f>
        <v/>
      </c>
      <c r="E28" s="21"/>
      <c r="F28" s="21"/>
      <c r="G28" s="21"/>
      <c r="H28" s="43" t="str">
        <f aca="false">IFERROR(G28/(F28+G28),"")</f>
        <v/>
      </c>
      <c r="I28" s="24"/>
      <c r="J28" s="40" t="n">
        <f aca="false">IFERROR(INDEX('4. Costeo y Precios'!$P$14:$P$64,MATCH($C28,'4. Costeo y Precios'!$A$14:$A$64,0)),0)</f>
        <v>0</v>
      </c>
      <c r="K28" s="31" t="str">
        <f aca="false">IF($C28="","",G28*J28)</f>
        <v/>
      </c>
      <c r="L28" s="51"/>
    </row>
    <row r="29" customFormat="false" ht="15" hidden="false" customHeight="false" outlineLevel="0" collapsed="false">
      <c r="A29" s="25"/>
      <c r="B29" s="24"/>
      <c r="C29" s="21"/>
      <c r="D29" s="50" t="str">
        <f aca="false">IFERROR(INDEX('4. Costeo y Precios'!$B$14:$B$64,MATCH($C29,'4. Costeo y Precios'!$A$14:$A$64,0)),"")</f>
        <v/>
      </c>
      <c r="E29" s="21"/>
      <c r="F29" s="21"/>
      <c r="G29" s="21"/>
      <c r="H29" s="43" t="str">
        <f aca="false">IFERROR(G29/(F29+G29),"")</f>
        <v/>
      </c>
      <c r="I29" s="24"/>
      <c r="J29" s="40" t="n">
        <f aca="false">IFERROR(INDEX('4. Costeo y Precios'!$P$14:$P$64,MATCH($C29,'4. Costeo y Precios'!$A$14:$A$64,0)),0)</f>
        <v>0</v>
      </c>
      <c r="K29" s="31" t="str">
        <f aca="false">IF($C29="","",G29*J29)</f>
        <v/>
      </c>
      <c r="L29" s="51"/>
    </row>
    <row r="30" customFormat="false" ht="15" hidden="false" customHeight="false" outlineLevel="0" collapsed="false">
      <c r="A30" s="25"/>
      <c r="B30" s="24"/>
      <c r="C30" s="21"/>
      <c r="D30" s="50" t="str">
        <f aca="false">IFERROR(INDEX('4. Costeo y Precios'!$B$14:$B$64,MATCH($C30,'4. Costeo y Precios'!$A$14:$A$64,0)),"")</f>
        <v/>
      </c>
      <c r="E30" s="21"/>
      <c r="F30" s="21"/>
      <c r="G30" s="21"/>
      <c r="H30" s="43" t="str">
        <f aca="false">IFERROR(G30/(F30+G30),"")</f>
        <v/>
      </c>
      <c r="I30" s="24"/>
      <c r="J30" s="40" t="n">
        <f aca="false">IFERROR(INDEX('4. Costeo y Precios'!$P$14:$P$64,MATCH($C30,'4. Costeo y Precios'!$A$14:$A$64,0)),0)</f>
        <v>0</v>
      </c>
      <c r="K30" s="31" t="str">
        <f aca="false">IF($C30="","",G30*J30)</f>
        <v/>
      </c>
      <c r="L30" s="51"/>
    </row>
    <row r="31" customFormat="false" ht="15" hidden="false" customHeight="false" outlineLevel="0" collapsed="false">
      <c r="A31" s="25"/>
      <c r="B31" s="24"/>
      <c r="C31" s="21"/>
      <c r="D31" s="50" t="str">
        <f aca="false">IFERROR(INDEX('4. Costeo y Precios'!$B$14:$B$64,MATCH($C31,'4. Costeo y Precios'!$A$14:$A$64,0)),"")</f>
        <v/>
      </c>
      <c r="E31" s="21"/>
      <c r="F31" s="21"/>
      <c r="G31" s="21"/>
      <c r="H31" s="43" t="str">
        <f aca="false">IFERROR(G31/(F31+G31),"")</f>
        <v/>
      </c>
      <c r="I31" s="24"/>
      <c r="J31" s="40" t="n">
        <f aca="false">IFERROR(INDEX('4. Costeo y Precios'!$P$14:$P$64,MATCH($C31,'4. Costeo y Precios'!$A$14:$A$64,0)),0)</f>
        <v>0</v>
      </c>
      <c r="K31" s="31" t="str">
        <f aca="false">IF($C31="","",G31*J31)</f>
        <v/>
      </c>
      <c r="L31" s="51"/>
    </row>
    <row r="32" customFormat="false" ht="15" hidden="false" customHeight="false" outlineLevel="0" collapsed="false">
      <c r="A32" s="25"/>
      <c r="B32" s="24"/>
      <c r="C32" s="21"/>
      <c r="D32" s="50" t="str">
        <f aca="false">IFERROR(INDEX('4. Costeo y Precios'!$B$14:$B$64,MATCH($C32,'4. Costeo y Precios'!$A$14:$A$64,0)),"")</f>
        <v/>
      </c>
      <c r="E32" s="21"/>
      <c r="F32" s="21"/>
      <c r="G32" s="21"/>
      <c r="H32" s="43" t="str">
        <f aca="false">IFERROR(G32/(F32+G32),"")</f>
        <v/>
      </c>
      <c r="I32" s="24"/>
      <c r="J32" s="40" t="n">
        <f aca="false">IFERROR(INDEX('4. Costeo y Precios'!$P$14:$P$64,MATCH($C32,'4. Costeo y Precios'!$A$14:$A$64,0)),0)</f>
        <v>0</v>
      </c>
      <c r="K32" s="31" t="str">
        <f aca="false">IF($C32="","",G32*J32)</f>
        <v/>
      </c>
      <c r="L32" s="51"/>
    </row>
    <row r="33" customFormat="false" ht="15" hidden="false" customHeight="false" outlineLevel="0" collapsed="false">
      <c r="A33" s="25"/>
      <c r="B33" s="24"/>
      <c r="C33" s="21"/>
      <c r="D33" s="50" t="str">
        <f aca="false">IFERROR(INDEX('4. Costeo y Precios'!$B$14:$B$64,MATCH($C33,'4. Costeo y Precios'!$A$14:$A$64,0)),"")</f>
        <v/>
      </c>
      <c r="E33" s="21"/>
      <c r="F33" s="21"/>
      <c r="G33" s="21"/>
      <c r="H33" s="43" t="str">
        <f aca="false">IFERROR(G33/(F33+G33),"")</f>
        <v/>
      </c>
      <c r="I33" s="24"/>
      <c r="J33" s="40" t="n">
        <f aca="false">IFERROR(INDEX('4. Costeo y Precios'!$P$14:$P$64,MATCH($C33,'4. Costeo y Precios'!$A$14:$A$64,0)),0)</f>
        <v>0</v>
      </c>
      <c r="K33" s="31" t="str">
        <f aca="false">IF($C33="","",G33*J33)</f>
        <v/>
      </c>
      <c r="L33" s="51"/>
    </row>
    <row r="34" customFormat="false" ht="15" hidden="false" customHeight="false" outlineLevel="0" collapsed="false">
      <c r="A34" s="25"/>
      <c r="B34" s="24"/>
      <c r="C34" s="21"/>
      <c r="D34" s="50" t="str">
        <f aca="false">IFERROR(INDEX('4. Costeo y Precios'!$B$14:$B$64,MATCH($C34,'4. Costeo y Precios'!$A$14:$A$64,0)),"")</f>
        <v/>
      </c>
      <c r="E34" s="21"/>
      <c r="F34" s="21"/>
      <c r="G34" s="21"/>
      <c r="H34" s="43" t="str">
        <f aca="false">IFERROR(G34/(F34+G34),"")</f>
        <v/>
      </c>
      <c r="I34" s="24"/>
      <c r="J34" s="40" t="n">
        <f aca="false">IFERROR(INDEX('4. Costeo y Precios'!$P$14:$P$64,MATCH($C34,'4. Costeo y Precios'!$A$14:$A$64,0)),0)</f>
        <v>0</v>
      </c>
      <c r="K34" s="31" t="str">
        <f aca="false">IF($C34="","",G34*J34)</f>
        <v/>
      </c>
      <c r="L34" s="51"/>
    </row>
    <row r="35" customFormat="false" ht="15" hidden="false" customHeight="false" outlineLevel="0" collapsed="false">
      <c r="A35" s="25"/>
      <c r="B35" s="24"/>
      <c r="C35" s="21"/>
      <c r="D35" s="50" t="str">
        <f aca="false">IFERROR(INDEX('4. Costeo y Precios'!$B$14:$B$64,MATCH($C35,'4. Costeo y Precios'!$A$14:$A$64,0)),"")</f>
        <v/>
      </c>
      <c r="E35" s="21"/>
      <c r="F35" s="21"/>
      <c r="G35" s="21"/>
      <c r="H35" s="43" t="str">
        <f aca="false">IFERROR(G35/(F35+G35),"")</f>
        <v/>
      </c>
      <c r="I35" s="24"/>
      <c r="J35" s="40" t="n">
        <f aca="false">IFERROR(INDEX('4. Costeo y Precios'!$P$14:$P$64,MATCH($C35,'4. Costeo y Precios'!$A$14:$A$64,0)),0)</f>
        <v>0</v>
      </c>
      <c r="K35" s="31" t="str">
        <f aca="false">IF($C35="","",G35*J35)</f>
        <v/>
      </c>
      <c r="L35" s="51"/>
    </row>
    <row r="36" customFormat="false" ht="15" hidden="false" customHeight="false" outlineLevel="0" collapsed="false">
      <c r="A36" s="25"/>
      <c r="B36" s="24"/>
      <c r="C36" s="21"/>
      <c r="D36" s="50" t="str">
        <f aca="false">IFERROR(INDEX('4. Costeo y Precios'!$B$14:$B$64,MATCH($C36,'4. Costeo y Precios'!$A$14:$A$64,0)),"")</f>
        <v/>
      </c>
      <c r="E36" s="21"/>
      <c r="F36" s="21"/>
      <c r="G36" s="21"/>
      <c r="H36" s="43" t="str">
        <f aca="false">IFERROR(G36/(F36+G36),"")</f>
        <v/>
      </c>
      <c r="I36" s="24"/>
      <c r="J36" s="40" t="n">
        <f aca="false">IFERROR(INDEX('4. Costeo y Precios'!$P$14:$P$64,MATCH($C36,'4. Costeo y Precios'!$A$14:$A$64,0)),0)</f>
        <v>0</v>
      </c>
      <c r="K36" s="31" t="str">
        <f aca="false">IF($C36="","",G36*J36)</f>
        <v/>
      </c>
      <c r="L36" s="51"/>
    </row>
    <row r="37" customFormat="false" ht="15" hidden="false" customHeight="false" outlineLevel="0" collapsed="false">
      <c r="A37" s="25"/>
      <c r="B37" s="24"/>
      <c r="C37" s="21"/>
      <c r="D37" s="50" t="str">
        <f aca="false">IFERROR(INDEX('4. Costeo y Precios'!$B$14:$B$64,MATCH($C37,'4. Costeo y Precios'!$A$14:$A$64,0)),"")</f>
        <v/>
      </c>
      <c r="E37" s="21"/>
      <c r="F37" s="21"/>
      <c r="G37" s="21"/>
      <c r="H37" s="43" t="str">
        <f aca="false">IFERROR(G37/(F37+G37),"")</f>
        <v/>
      </c>
      <c r="I37" s="24"/>
      <c r="J37" s="40" t="n">
        <f aca="false">IFERROR(INDEX('4. Costeo y Precios'!$P$14:$P$64,MATCH($C37,'4. Costeo y Precios'!$A$14:$A$64,0)),0)</f>
        <v>0</v>
      </c>
      <c r="K37" s="31" t="str">
        <f aca="false">IF($C37="","",G37*J37)</f>
        <v/>
      </c>
      <c r="L37" s="51"/>
    </row>
    <row r="38" customFormat="false" ht="15" hidden="false" customHeight="false" outlineLevel="0" collapsed="false">
      <c r="A38" s="25"/>
      <c r="B38" s="24"/>
      <c r="C38" s="21"/>
      <c r="D38" s="50" t="str">
        <f aca="false">IFERROR(INDEX('4. Costeo y Precios'!$B$14:$B$64,MATCH($C38,'4. Costeo y Precios'!$A$14:$A$64,0)),"")</f>
        <v/>
      </c>
      <c r="E38" s="21"/>
      <c r="F38" s="21"/>
      <c r="G38" s="21"/>
      <c r="H38" s="43" t="str">
        <f aca="false">IFERROR(G38/(F38+G38),"")</f>
        <v/>
      </c>
      <c r="I38" s="24"/>
      <c r="J38" s="40" t="n">
        <f aca="false">IFERROR(INDEX('4. Costeo y Precios'!$P$14:$P$64,MATCH($C38,'4. Costeo y Precios'!$A$14:$A$64,0)),0)</f>
        <v>0</v>
      </c>
      <c r="K38" s="31" t="str">
        <f aca="false">IF($C38="","",G38*J38)</f>
        <v/>
      </c>
      <c r="L38" s="51"/>
    </row>
    <row r="39" customFormat="false" ht="15" hidden="false" customHeight="false" outlineLevel="0" collapsed="false">
      <c r="A39" s="25"/>
      <c r="B39" s="24"/>
      <c r="C39" s="21"/>
      <c r="D39" s="50" t="str">
        <f aca="false">IFERROR(INDEX('4. Costeo y Precios'!$B$14:$B$64,MATCH($C39,'4. Costeo y Precios'!$A$14:$A$64,0)),"")</f>
        <v/>
      </c>
      <c r="E39" s="21"/>
      <c r="F39" s="21"/>
      <c r="G39" s="21"/>
      <c r="H39" s="43" t="str">
        <f aca="false">IFERROR(G39/(F39+G39),"")</f>
        <v/>
      </c>
      <c r="I39" s="24"/>
      <c r="J39" s="40" t="n">
        <f aca="false">IFERROR(INDEX('4. Costeo y Precios'!$P$14:$P$64,MATCH($C39,'4. Costeo y Precios'!$A$14:$A$64,0)),0)</f>
        <v>0</v>
      </c>
      <c r="K39" s="31" t="str">
        <f aca="false">IF($C39="","",G39*J39)</f>
        <v/>
      </c>
      <c r="L39" s="51"/>
    </row>
    <row r="40" customFormat="false" ht="15" hidden="false" customHeight="false" outlineLevel="0" collapsed="false">
      <c r="A40" s="25"/>
      <c r="B40" s="24"/>
      <c r="C40" s="21"/>
      <c r="D40" s="50" t="str">
        <f aca="false">IFERROR(INDEX('4. Costeo y Precios'!$B$14:$B$64,MATCH($C40,'4. Costeo y Precios'!$A$14:$A$64,0)),"")</f>
        <v/>
      </c>
      <c r="E40" s="21"/>
      <c r="F40" s="21"/>
      <c r="G40" s="21"/>
      <c r="H40" s="43" t="str">
        <f aca="false">IFERROR(G40/(F40+G40),"")</f>
        <v/>
      </c>
      <c r="I40" s="24"/>
      <c r="J40" s="40" t="n">
        <f aca="false">IFERROR(INDEX('4. Costeo y Precios'!$P$14:$P$64,MATCH($C40,'4. Costeo y Precios'!$A$14:$A$64,0)),0)</f>
        <v>0</v>
      </c>
      <c r="K40" s="31" t="str">
        <f aca="false">IF($C40="","",G40*J40)</f>
        <v/>
      </c>
      <c r="L40" s="51"/>
    </row>
    <row r="41" customFormat="false" ht="15" hidden="false" customHeight="false" outlineLevel="0" collapsed="false">
      <c r="A41" s="25"/>
      <c r="B41" s="24"/>
      <c r="C41" s="21"/>
      <c r="D41" s="50" t="str">
        <f aca="false">IFERROR(INDEX('4. Costeo y Precios'!$B$14:$B$64,MATCH($C41,'4. Costeo y Precios'!$A$14:$A$64,0)),"")</f>
        <v/>
      </c>
      <c r="E41" s="21"/>
      <c r="F41" s="21"/>
      <c r="G41" s="21"/>
      <c r="H41" s="43" t="str">
        <f aca="false">IFERROR(G41/(F41+G41),"")</f>
        <v/>
      </c>
      <c r="I41" s="24"/>
      <c r="J41" s="40" t="n">
        <f aca="false">IFERROR(INDEX('4. Costeo y Precios'!$P$14:$P$64,MATCH($C41,'4. Costeo y Precios'!$A$14:$A$64,0)),0)</f>
        <v>0</v>
      </c>
      <c r="K41" s="31" t="str">
        <f aca="false">IF($C41="","",G41*J41)</f>
        <v/>
      </c>
      <c r="L41" s="51"/>
    </row>
    <row r="42" customFormat="false" ht="15" hidden="false" customHeight="false" outlineLevel="0" collapsed="false">
      <c r="A42" s="25"/>
      <c r="B42" s="24"/>
      <c r="C42" s="21"/>
      <c r="D42" s="50" t="str">
        <f aca="false">IFERROR(INDEX('4. Costeo y Precios'!$B$14:$B$64,MATCH($C42,'4. Costeo y Precios'!$A$14:$A$64,0)),"")</f>
        <v/>
      </c>
      <c r="E42" s="21"/>
      <c r="F42" s="21"/>
      <c r="G42" s="21"/>
      <c r="H42" s="43" t="str">
        <f aca="false">IFERROR(G42/(F42+G42),"")</f>
        <v/>
      </c>
      <c r="I42" s="24"/>
      <c r="J42" s="40" t="n">
        <f aca="false">IFERROR(INDEX('4. Costeo y Precios'!$P$14:$P$64,MATCH($C42,'4. Costeo y Precios'!$A$14:$A$64,0)),0)</f>
        <v>0</v>
      </c>
      <c r="K42" s="31" t="str">
        <f aca="false">IF($C42="","",G42*J42)</f>
        <v/>
      </c>
      <c r="L42" s="51"/>
    </row>
    <row r="43" customFormat="false" ht="15" hidden="false" customHeight="false" outlineLevel="0" collapsed="false">
      <c r="A43" s="25"/>
      <c r="B43" s="24"/>
      <c r="C43" s="21"/>
      <c r="D43" s="50" t="str">
        <f aca="false">IFERROR(INDEX('4. Costeo y Precios'!$B$14:$B$64,MATCH($C43,'4. Costeo y Precios'!$A$14:$A$64,0)),"")</f>
        <v/>
      </c>
      <c r="E43" s="21"/>
      <c r="F43" s="21"/>
      <c r="G43" s="21"/>
      <c r="H43" s="43" t="str">
        <f aca="false">IFERROR(G43/(F43+G43),"")</f>
        <v/>
      </c>
      <c r="I43" s="24"/>
      <c r="J43" s="40" t="n">
        <f aca="false">IFERROR(INDEX('4. Costeo y Precios'!$P$14:$P$64,MATCH($C43,'4. Costeo y Precios'!$A$14:$A$64,0)),0)</f>
        <v>0</v>
      </c>
      <c r="K43" s="31" t="str">
        <f aca="false">IF($C43="","",G43*J43)</f>
        <v/>
      </c>
      <c r="L43" s="51"/>
    </row>
    <row r="44" customFormat="false" ht="15" hidden="false" customHeight="false" outlineLevel="0" collapsed="false">
      <c r="A44" s="25"/>
      <c r="B44" s="24"/>
      <c r="C44" s="21"/>
      <c r="D44" s="50" t="str">
        <f aca="false">IFERROR(INDEX('4. Costeo y Precios'!$B$14:$B$64,MATCH($C44,'4. Costeo y Precios'!$A$14:$A$64,0)),"")</f>
        <v/>
      </c>
      <c r="E44" s="21"/>
      <c r="F44" s="21"/>
      <c r="G44" s="21"/>
      <c r="H44" s="43" t="str">
        <f aca="false">IFERROR(G44/(F44+G44),"")</f>
        <v/>
      </c>
      <c r="I44" s="24"/>
      <c r="J44" s="40" t="n">
        <f aca="false">IFERROR(INDEX('4. Costeo y Precios'!$P$14:$P$64,MATCH($C44,'4. Costeo y Precios'!$A$14:$A$64,0)),0)</f>
        <v>0</v>
      </c>
      <c r="K44" s="31" t="str">
        <f aca="false">IF($C44="","",G44*J44)</f>
        <v/>
      </c>
      <c r="L44" s="51"/>
    </row>
    <row r="45" customFormat="false" ht="15" hidden="false" customHeight="false" outlineLevel="0" collapsed="false">
      <c r="A45" s="25"/>
      <c r="B45" s="24"/>
      <c r="C45" s="21"/>
      <c r="D45" s="50" t="str">
        <f aca="false">IFERROR(INDEX('4. Costeo y Precios'!$B$14:$B$64,MATCH($C45,'4. Costeo y Precios'!$A$14:$A$64,0)),"")</f>
        <v/>
      </c>
      <c r="E45" s="21"/>
      <c r="F45" s="21"/>
      <c r="G45" s="21"/>
      <c r="H45" s="43" t="str">
        <f aca="false">IFERROR(G45/(F45+G45),"")</f>
        <v/>
      </c>
      <c r="I45" s="24"/>
      <c r="J45" s="40" t="n">
        <f aca="false">IFERROR(INDEX('4. Costeo y Precios'!$P$14:$P$64,MATCH($C45,'4. Costeo y Precios'!$A$14:$A$64,0)),0)</f>
        <v>0</v>
      </c>
      <c r="K45" s="31" t="str">
        <f aca="false">IF($C45="","",G45*J45)</f>
        <v/>
      </c>
      <c r="L45" s="51"/>
    </row>
    <row r="46" customFormat="false" ht="15" hidden="false" customHeight="false" outlineLevel="0" collapsed="false">
      <c r="A46" s="25"/>
      <c r="B46" s="24"/>
      <c r="C46" s="21"/>
      <c r="D46" s="50" t="str">
        <f aca="false">IFERROR(INDEX('4. Costeo y Precios'!$B$14:$B$64,MATCH($C46,'4. Costeo y Precios'!$A$14:$A$64,0)),"")</f>
        <v/>
      </c>
      <c r="E46" s="21"/>
      <c r="F46" s="21"/>
      <c r="G46" s="21"/>
      <c r="H46" s="43" t="str">
        <f aca="false">IFERROR(G46/(F46+G46),"")</f>
        <v/>
      </c>
      <c r="I46" s="24"/>
      <c r="J46" s="40" t="n">
        <f aca="false">IFERROR(INDEX('4. Costeo y Precios'!$P$14:$P$64,MATCH($C46,'4. Costeo y Precios'!$A$14:$A$64,0)),0)</f>
        <v>0</v>
      </c>
      <c r="K46" s="31" t="str">
        <f aca="false">IF($C46="","",G46*J46)</f>
        <v/>
      </c>
      <c r="L46" s="51"/>
    </row>
    <row r="47" customFormat="false" ht="15" hidden="false" customHeight="false" outlineLevel="0" collapsed="false">
      <c r="A47" s="25"/>
      <c r="B47" s="24"/>
      <c r="C47" s="21"/>
      <c r="D47" s="50" t="str">
        <f aca="false">IFERROR(INDEX('4. Costeo y Precios'!$B$14:$B$64,MATCH($C47,'4. Costeo y Precios'!$A$14:$A$64,0)),"")</f>
        <v/>
      </c>
      <c r="E47" s="21"/>
      <c r="F47" s="21"/>
      <c r="G47" s="21"/>
      <c r="H47" s="43" t="str">
        <f aca="false">IFERROR(G47/(F47+G47),"")</f>
        <v/>
      </c>
      <c r="I47" s="24"/>
      <c r="J47" s="40" t="n">
        <f aca="false">IFERROR(INDEX('4. Costeo y Precios'!$P$14:$P$64,MATCH($C47,'4. Costeo y Precios'!$A$14:$A$64,0)),0)</f>
        <v>0</v>
      </c>
      <c r="K47" s="31" t="str">
        <f aca="false">IF($C47="","",G47*J47)</f>
        <v/>
      </c>
      <c r="L47" s="51"/>
    </row>
    <row r="48" customFormat="false" ht="15" hidden="false" customHeight="false" outlineLevel="0" collapsed="false">
      <c r="A48" s="25"/>
      <c r="B48" s="24"/>
      <c r="C48" s="21"/>
      <c r="D48" s="50" t="str">
        <f aca="false">IFERROR(INDEX('4. Costeo y Precios'!$B$14:$B$64,MATCH($C48,'4. Costeo y Precios'!$A$14:$A$64,0)),"")</f>
        <v/>
      </c>
      <c r="E48" s="21"/>
      <c r="F48" s="21"/>
      <c r="G48" s="21"/>
      <c r="H48" s="43" t="str">
        <f aca="false">IFERROR(G48/(F48+G48),"")</f>
        <v/>
      </c>
      <c r="I48" s="24"/>
      <c r="J48" s="40" t="n">
        <f aca="false">IFERROR(INDEX('4. Costeo y Precios'!$P$14:$P$64,MATCH($C48,'4. Costeo y Precios'!$A$14:$A$64,0)),0)</f>
        <v>0</v>
      </c>
      <c r="K48" s="31" t="str">
        <f aca="false">IF($C48="","",G48*J48)</f>
        <v/>
      </c>
      <c r="L48" s="51"/>
    </row>
    <row r="49" customFormat="false" ht="15" hidden="false" customHeight="false" outlineLevel="0" collapsed="false">
      <c r="A49" s="25"/>
      <c r="B49" s="24"/>
      <c r="C49" s="21"/>
      <c r="D49" s="50" t="str">
        <f aca="false">IFERROR(INDEX('4. Costeo y Precios'!$B$14:$B$64,MATCH($C49,'4. Costeo y Precios'!$A$14:$A$64,0)),"")</f>
        <v/>
      </c>
      <c r="E49" s="21"/>
      <c r="F49" s="21"/>
      <c r="G49" s="21"/>
      <c r="H49" s="43" t="str">
        <f aca="false">IFERROR(G49/(F49+G49),"")</f>
        <v/>
      </c>
      <c r="I49" s="24"/>
      <c r="J49" s="40" t="n">
        <f aca="false">IFERROR(INDEX('4. Costeo y Precios'!$P$14:$P$64,MATCH($C49,'4. Costeo y Precios'!$A$14:$A$64,0)),0)</f>
        <v>0</v>
      </c>
      <c r="K49" s="31" t="str">
        <f aca="false">IF($C49="","",G49*J49)</f>
        <v/>
      </c>
      <c r="L49" s="51"/>
    </row>
    <row r="50" customFormat="false" ht="15" hidden="false" customHeight="false" outlineLevel="0" collapsed="false">
      <c r="A50" s="25"/>
      <c r="B50" s="24"/>
      <c r="C50" s="21"/>
      <c r="D50" s="50" t="str">
        <f aca="false">IFERROR(INDEX('4. Costeo y Precios'!$B$14:$B$64,MATCH($C50,'4. Costeo y Precios'!$A$14:$A$64,0)),"")</f>
        <v/>
      </c>
      <c r="E50" s="21"/>
      <c r="F50" s="21"/>
      <c r="G50" s="21"/>
      <c r="H50" s="43" t="str">
        <f aca="false">IFERROR(G50/(F50+G50),"")</f>
        <v/>
      </c>
      <c r="I50" s="24"/>
      <c r="J50" s="40" t="n">
        <f aca="false">IFERROR(INDEX('4. Costeo y Precios'!$P$14:$P$64,MATCH($C50,'4. Costeo y Precios'!$A$14:$A$64,0)),0)</f>
        <v>0</v>
      </c>
      <c r="K50" s="31" t="str">
        <f aca="false">IF($C50="","",G50*J50)</f>
        <v/>
      </c>
      <c r="L50" s="51"/>
    </row>
    <row r="51" customFormat="false" ht="15" hidden="false" customHeight="false" outlineLevel="0" collapsed="false">
      <c r="A51" s="25"/>
      <c r="B51" s="24"/>
      <c r="C51" s="21"/>
      <c r="D51" s="50" t="str">
        <f aca="false">IFERROR(INDEX('4. Costeo y Precios'!$B$14:$B$64,MATCH($C51,'4. Costeo y Precios'!$A$14:$A$64,0)),"")</f>
        <v/>
      </c>
      <c r="E51" s="21"/>
      <c r="F51" s="21"/>
      <c r="G51" s="21"/>
      <c r="H51" s="43" t="str">
        <f aca="false">IFERROR(G51/(F51+G51),"")</f>
        <v/>
      </c>
      <c r="I51" s="24"/>
      <c r="J51" s="40" t="n">
        <f aca="false">IFERROR(INDEX('4. Costeo y Precios'!$P$14:$P$64,MATCH($C51,'4. Costeo y Precios'!$A$14:$A$64,0)),0)</f>
        <v>0</v>
      </c>
      <c r="K51" s="31" t="str">
        <f aca="false">IF($C51="","",G51*J51)</f>
        <v/>
      </c>
      <c r="L51" s="51"/>
    </row>
    <row r="52" customFormat="false" ht="15" hidden="false" customHeight="false" outlineLevel="0" collapsed="false">
      <c r="A52" s="25"/>
      <c r="B52" s="24"/>
      <c r="C52" s="21"/>
      <c r="D52" s="50" t="str">
        <f aca="false">IFERROR(INDEX('4. Costeo y Precios'!$B$14:$B$64,MATCH($C52,'4. Costeo y Precios'!$A$14:$A$64,0)),"")</f>
        <v/>
      </c>
      <c r="E52" s="21"/>
      <c r="F52" s="21"/>
      <c r="G52" s="21"/>
      <c r="H52" s="43" t="str">
        <f aca="false">IFERROR(G52/(F52+G52),"")</f>
        <v/>
      </c>
      <c r="I52" s="24"/>
      <c r="J52" s="40" t="n">
        <f aca="false">IFERROR(INDEX('4. Costeo y Precios'!$P$14:$P$64,MATCH($C52,'4. Costeo y Precios'!$A$14:$A$64,0)),0)</f>
        <v>0</v>
      </c>
      <c r="K52" s="31" t="str">
        <f aca="false">IF($C52="","",G52*J52)</f>
        <v/>
      </c>
      <c r="L52" s="51"/>
    </row>
    <row r="53" customFormat="false" ht="15" hidden="false" customHeight="false" outlineLevel="0" collapsed="false">
      <c r="A53" s="25"/>
      <c r="B53" s="24"/>
      <c r="C53" s="21"/>
      <c r="D53" s="50" t="str">
        <f aca="false">IFERROR(INDEX('4. Costeo y Precios'!$B$14:$B$64,MATCH($C53,'4. Costeo y Precios'!$A$14:$A$64,0)),"")</f>
        <v/>
      </c>
      <c r="E53" s="21"/>
      <c r="F53" s="21"/>
      <c r="G53" s="21"/>
      <c r="H53" s="43" t="str">
        <f aca="false">IFERROR(G53/(F53+G53),"")</f>
        <v/>
      </c>
      <c r="I53" s="24"/>
      <c r="J53" s="40" t="n">
        <f aca="false">IFERROR(INDEX('4. Costeo y Precios'!$P$14:$P$64,MATCH($C53,'4. Costeo y Precios'!$A$14:$A$64,0)),0)</f>
        <v>0</v>
      </c>
      <c r="K53" s="31" t="str">
        <f aca="false">IF($C53="","",G53*J53)</f>
        <v/>
      </c>
      <c r="L53" s="51"/>
    </row>
    <row r="54" customFormat="false" ht="15" hidden="false" customHeight="false" outlineLevel="0" collapsed="false">
      <c r="A54" s="25"/>
      <c r="B54" s="24"/>
      <c r="C54" s="21"/>
      <c r="D54" s="50" t="str">
        <f aca="false">IFERROR(INDEX('4. Costeo y Precios'!$B$14:$B$64,MATCH($C54,'4. Costeo y Precios'!$A$14:$A$64,0)),"")</f>
        <v/>
      </c>
      <c r="E54" s="21"/>
      <c r="F54" s="21"/>
      <c r="G54" s="21"/>
      <c r="H54" s="43" t="str">
        <f aca="false">IFERROR(G54/(F54+G54),"")</f>
        <v/>
      </c>
      <c r="I54" s="24"/>
      <c r="J54" s="40" t="n">
        <f aca="false">IFERROR(INDEX('4. Costeo y Precios'!$P$14:$P$64,MATCH($C54,'4. Costeo y Precios'!$A$14:$A$64,0)),0)</f>
        <v>0</v>
      </c>
      <c r="K54" s="31" t="str">
        <f aca="false">IF($C54="","",G54*J54)</f>
        <v/>
      </c>
      <c r="L54" s="51"/>
    </row>
    <row r="55" customFormat="false" ht="15" hidden="false" customHeight="false" outlineLevel="0" collapsed="false">
      <c r="A55" s="25"/>
      <c r="B55" s="24"/>
      <c r="C55" s="21"/>
      <c r="D55" s="50" t="str">
        <f aca="false">IFERROR(INDEX('4. Costeo y Precios'!$B$14:$B$64,MATCH($C55,'4. Costeo y Precios'!$A$14:$A$64,0)),"")</f>
        <v/>
      </c>
      <c r="E55" s="21"/>
      <c r="F55" s="21"/>
      <c r="G55" s="21"/>
      <c r="H55" s="43" t="str">
        <f aca="false">IFERROR(G55/(F55+G55),"")</f>
        <v/>
      </c>
      <c r="I55" s="24"/>
      <c r="J55" s="40" t="n">
        <f aca="false">IFERROR(INDEX('4. Costeo y Precios'!$P$14:$P$64,MATCH($C55,'4. Costeo y Precios'!$A$14:$A$64,0)),0)</f>
        <v>0</v>
      </c>
      <c r="K55" s="31" t="str">
        <f aca="false">IF($C55="","",G55*J55)</f>
        <v/>
      </c>
      <c r="L55" s="51"/>
    </row>
    <row r="56" customFormat="false" ht="15" hidden="false" customHeight="false" outlineLevel="0" collapsed="false">
      <c r="A56" s="25"/>
      <c r="B56" s="24"/>
      <c r="C56" s="21"/>
      <c r="D56" s="50" t="str">
        <f aca="false">IFERROR(INDEX('4. Costeo y Precios'!$B$14:$B$64,MATCH($C56,'4. Costeo y Precios'!$A$14:$A$64,0)),"")</f>
        <v/>
      </c>
      <c r="E56" s="21"/>
      <c r="F56" s="21"/>
      <c r="G56" s="21"/>
      <c r="H56" s="43" t="str">
        <f aca="false">IFERROR(G56/(F56+G56),"")</f>
        <v/>
      </c>
      <c r="I56" s="24"/>
      <c r="J56" s="40" t="n">
        <f aca="false">IFERROR(INDEX('4. Costeo y Precios'!$P$14:$P$64,MATCH($C56,'4. Costeo y Precios'!$A$14:$A$64,0)),0)</f>
        <v>0</v>
      </c>
      <c r="K56" s="31" t="str">
        <f aca="false">IF($C56="","",G56*J56)</f>
        <v/>
      </c>
      <c r="L56" s="51"/>
    </row>
    <row r="57" customFormat="false" ht="15" hidden="false" customHeight="false" outlineLevel="0" collapsed="false">
      <c r="A57" s="25"/>
      <c r="B57" s="24"/>
      <c r="C57" s="21"/>
      <c r="D57" s="50" t="str">
        <f aca="false">IFERROR(INDEX('4. Costeo y Precios'!$B$14:$B$64,MATCH($C57,'4. Costeo y Precios'!$A$14:$A$64,0)),"")</f>
        <v/>
      </c>
      <c r="E57" s="21"/>
      <c r="F57" s="21"/>
      <c r="G57" s="21"/>
      <c r="H57" s="43" t="str">
        <f aca="false">IFERROR(G57/(F57+G57),"")</f>
        <v/>
      </c>
      <c r="I57" s="24"/>
      <c r="J57" s="40" t="n">
        <f aca="false">IFERROR(INDEX('4. Costeo y Precios'!$P$14:$P$64,MATCH($C57,'4. Costeo y Precios'!$A$14:$A$64,0)),0)</f>
        <v>0</v>
      </c>
      <c r="K57" s="31" t="str">
        <f aca="false">IF($C57="","",G57*J57)</f>
        <v/>
      </c>
      <c r="L57" s="51"/>
    </row>
    <row r="58" customFormat="false" ht="15" hidden="false" customHeight="false" outlineLevel="0" collapsed="false">
      <c r="A58" s="25"/>
      <c r="B58" s="24"/>
      <c r="C58" s="21"/>
      <c r="D58" s="50" t="str">
        <f aca="false">IFERROR(INDEX('4. Costeo y Precios'!$B$14:$B$64,MATCH($C58,'4. Costeo y Precios'!$A$14:$A$64,0)),"")</f>
        <v/>
      </c>
      <c r="E58" s="21"/>
      <c r="F58" s="21"/>
      <c r="G58" s="21"/>
      <c r="H58" s="43" t="str">
        <f aca="false">IFERROR(G58/(F58+G58),"")</f>
        <v/>
      </c>
      <c r="I58" s="24"/>
      <c r="J58" s="40" t="n">
        <f aca="false">IFERROR(INDEX('4. Costeo y Precios'!$P$14:$P$64,MATCH($C58,'4. Costeo y Precios'!$A$14:$A$64,0)),0)</f>
        <v>0</v>
      </c>
      <c r="K58" s="31" t="str">
        <f aca="false">IF($C58="","",G58*J58)</f>
        <v/>
      </c>
      <c r="L58" s="51"/>
    </row>
    <row r="59" customFormat="false" ht="15" hidden="false" customHeight="false" outlineLevel="0" collapsed="false">
      <c r="A59" s="25"/>
      <c r="B59" s="24"/>
      <c r="C59" s="21"/>
      <c r="D59" s="50" t="str">
        <f aca="false">IFERROR(INDEX('4. Costeo y Precios'!$B$14:$B$64,MATCH($C59,'4. Costeo y Precios'!$A$14:$A$64,0)),"")</f>
        <v/>
      </c>
      <c r="E59" s="21"/>
      <c r="F59" s="21"/>
      <c r="G59" s="21"/>
      <c r="H59" s="43" t="str">
        <f aca="false">IFERROR(G59/(F59+G59),"")</f>
        <v/>
      </c>
      <c r="I59" s="24"/>
      <c r="J59" s="40" t="n">
        <f aca="false">IFERROR(INDEX('4. Costeo y Precios'!$P$14:$P$64,MATCH($C59,'4. Costeo y Precios'!$A$14:$A$64,0)),0)</f>
        <v>0</v>
      </c>
      <c r="K59" s="31" t="str">
        <f aca="false">IF($C59="","",G59*J59)</f>
        <v/>
      </c>
      <c r="L59" s="51"/>
    </row>
    <row r="60" customFormat="false" ht="15" hidden="false" customHeight="false" outlineLevel="0" collapsed="false">
      <c r="A60" s="25"/>
      <c r="B60" s="24"/>
      <c r="C60" s="21"/>
      <c r="D60" s="50" t="str">
        <f aca="false">IFERROR(INDEX('4. Costeo y Precios'!$B$14:$B$64,MATCH($C60,'4. Costeo y Precios'!$A$14:$A$64,0)),"")</f>
        <v/>
      </c>
      <c r="E60" s="21"/>
      <c r="F60" s="21"/>
      <c r="G60" s="21"/>
      <c r="H60" s="43" t="str">
        <f aca="false">IFERROR(G60/(F60+G60),"")</f>
        <v/>
      </c>
      <c r="I60" s="24"/>
      <c r="J60" s="40" t="n">
        <f aca="false">IFERROR(INDEX('4. Costeo y Precios'!$P$14:$P$64,MATCH($C60,'4. Costeo y Precios'!$A$14:$A$64,0)),0)</f>
        <v>0</v>
      </c>
      <c r="K60" s="31" t="str">
        <f aca="false">IF($C60="","",G60*J60)</f>
        <v/>
      </c>
      <c r="L60" s="51"/>
    </row>
    <row r="61" customFormat="false" ht="15" hidden="false" customHeight="false" outlineLevel="0" collapsed="false">
      <c r="A61" s="25"/>
      <c r="B61" s="24"/>
      <c r="C61" s="21"/>
      <c r="D61" s="50" t="str">
        <f aca="false">IFERROR(INDEX('4. Costeo y Precios'!$B$14:$B$64,MATCH($C61,'4. Costeo y Precios'!$A$14:$A$64,0)),"")</f>
        <v/>
      </c>
      <c r="E61" s="21"/>
      <c r="F61" s="21"/>
      <c r="G61" s="21"/>
      <c r="H61" s="43" t="str">
        <f aca="false">IFERROR(G61/(F61+G61),"")</f>
        <v/>
      </c>
      <c r="I61" s="24"/>
      <c r="J61" s="40" t="n">
        <f aca="false">IFERROR(INDEX('4. Costeo y Precios'!$P$14:$P$64,MATCH($C61,'4. Costeo y Precios'!$A$14:$A$64,0)),0)</f>
        <v>0</v>
      </c>
      <c r="K61" s="31" t="str">
        <f aca="false">IF($C61="","",G61*J61)</f>
        <v/>
      </c>
      <c r="L61" s="51"/>
    </row>
    <row r="62" customFormat="false" ht="15" hidden="false" customHeight="false" outlineLevel="0" collapsed="false">
      <c r="A62" s="25"/>
      <c r="B62" s="24"/>
      <c r="C62" s="21"/>
      <c r="D62" s="50" t="str">
        <f aca="false">IFERROR(INDEX('4. Costeo y Precios'!$B$14:$B$64,MATCH($C62,'4. Costeo y Precios'!$A$14:$A$64,0)),"")</f>
        <v/>
      </c>
      <c r="E62" s="21"/>
      <c r="F62" s="21"/>
      <c r="G62" s="21"/>
      <c r="H62" s="43" t="str">
        <f aca="false">IFERROR(G62/(F62+G62),"")</f>
        <v/>
      </c>
      <c r="I62" s="24"/>
      <c r="J62" s="40" t="n">
        <f aca="false">IFERROR(INDEX('4. Costeo y Precios'!$P$14:$P$64,MATCH($C62,'4. Costeo y Precios'!$A$14:$A$64,0)),0)</f>
        <v>0</v>
      </c>
      <c r="K62" s="31" t="str">
        <f aca="false">IF($C62="","",G62*J62)</f>
        <v/>
      </c>
      <c r="L62" s="51"/>
    </row>
    <row r="63" customFormat="false" ht="15" hidden="false" customHeight="false" outlineLevel="0" collapsed="false">
      <c r="A63" s="25"/>
      <c r="B63" s="24"/>
      <c r="C63" s="21"/>
      <c r="D63" s="50" t="str">
        <f aca="false">IFERROR(INDEX('4. Costeo y Precios'!$B$14:$B$64,MATCH($C63,'4. Costeo y Precios'!$A$14:$A$64,0)),"")</f>
        <v/>
      </c>
      <c r="E63" s="21"/>
      <c r="F63" s="21"/>
      <c r="G63" s="21"/>
      <c r="H63" s="43" t="str">
        <f aca="false">IFERROR(G63/(F63+G63),"")</f>
        <v/>
      </c>
      <c r="I63" s="24"/>
      <c r="J63" s="40" t="n">
        <f aca="false">IFERROR(INDEX('4. Costeo y Precios'!$P$14:$P$64,MATCH($C63,'4. Costeo y Precios'!$A$14:$A$64,0)),0)</f>
        <v>0</v>
      </c>
      <c r="K63" s="31" t="str">
        <f aca="false">IF($C63="","",G63*J63)</f>
        <v/>
      </c>
      <c r="L63" s="51"/>
    </row>
    <row r="64" customFormat="false" ht="15" hidden="false" customHeight="false" outlineLevel="0" collapsed="false">
      <c r="A64" s="25"/>
      <c r="B64" s="24"/>
      <c r="C64" s="21"/>
      <c r="D64" s="50" t="str">
        <f aca="false">IFERROR(INDEX('4. Costeo y Precios'!$B$14:$B$64,MATCH($C64,'4. Costeo y Precios'!$A$14:$A$64,0)),"")</f>
        <v/>
      </c>
      <c r="E64" s="21"/>
      <c r="F64" s="21"/>
      <c r="G64" s="21"/>
      <c r="H64" s="43" t="str">
        <f aca="false">IFERROR(G64/(F64+G64),"")</f>
        <v/>
      </c>
      <c r="I64" s="24"/>
      <c r="J64" s="40" t="n">
        <f aca="false">IFERROR(INDEX('4. Costeo y Precios'!$P$14:$P$64,MATCH($C64,'4. Costeo y Precios'!$A$14:$A$64,0)),0)</f>
        <v>0</v>
      </c>
      <c r="K64" s="31" t="str">
        <f aca="false">IF($C64="","",G64*J64)</f>
        <v/>
      </c>
      <c r="L64" s="51"/>
    </row>
    <row r="65" customFormat="false" ht="15" hidden="false" customHeight="false" outlineLevel="0" collapsed="false">
      <c r="A65" s="25"/>
      <c r="B65" s="24"/>
      <c r="C65" s="21"/>
      <c r="D65" s="50" t="str">
        <f aca="false">IFERROR(INDEX('4. Costeo y Precios'!$B$14:$B$64,MATCH($C65,'4. Costeo y Precios'!$A$14:$A$64,0)),"")</f>
        <v/>
      </c>
      <c r="E65" s="21"/>
      <c r="F65" s="21"/>
      <c r="G65" s="21"/>
      <c r="H65" s="43" t="str">
        <f aca="false">IFERROR(G65/(F65+G65),"")</f>
        <v/>
      </c>
      <c r="I65" s="24"/>
      <c r="J65" s="40" t="n">
        <f aca="false">IFERROR(INDEX('4. Costeo y Precios'!$P$14:$P$64,MATCH($C65,'4. Costeo y Precios'!$A$14:$A$64,0)),0)</f>
        <v>0</v>
      </c>
      <c r="K65" s="31" t="str">
        <f aca="false">IF($C65="","",G65*J65)</f>
        <v/>
      </c>
      <c r="L65" s="51"/>
    </row>
    <row r="66" customFormat="false" ht="15" hidden="false" customHeight="false" outlineLevel="0" collapsed="false">
      <c r="A66" s="25"/>
      <c r="B66" s="24"/>
      <c r="C66" s="21"/>
      <c r="D66" s="50" t="str">
        <f aca="false">IFERROR(INDEX('4. Costeo y Precios'!$B$14:$B$64,MATCH($C66,'4. Costeo y Precios'!$A$14:$A$64,0)),"")</f>
        <v/>
      </c>
      <c r="E66" s="21"/>
      <c r="F66" s="21"/>
      <c r="G66" s="21"/>
      <c r="H66" s="43" t="str">
        <f aca="false">IFERROR(G66/(F66+G66),"")</f>
        <v/>
      </c>
      <c r="I66" s="24"/>
      <c r="J66" s="40" t="n">
        <f aca="false">IFERROR(INDEX('4. Costeo y Precios'!$P$14:$P$64,MATCH($C66,'4. Costeo y Precios'!$A$14:$A$64,0)),0)</f>
        <v>0</v>
      </c>
      <c r="K66" s="31" t="str">
        <f aca="false">IF($C66="","",G66*J66)</f>
        <v/>
      </c>
      <c r="L66" s="51"/>
    </row>
    <row r="67" customFormat="false" ht="15" hidden="false" customHeight="false" outlineLevel="0" collapsed="false">
      <c r="A67" s="25"/>
      <c r="B67" s="24"/>
      <c r="C67" s="21"/>
      <c r="D67" s="50" t="str">
        <f aca="false">IFERROR(INDEX('4. Costeo y Precios'!$B$14:$B$64,MATCH($C67,'4. Costeo y Precios'!$A$14:$A$64,0)),"")</f>
        <v/>
      </c>
      <c r="E67" s="21"/>
      <c r="F67" s="21"/>
      <c r="G67" s="21"/>
      <c r="H67" s="43" t="str">
        <f aca="false">IFERROR(G67/(F67+G67),"")</f>
        <v/>
      </c>
      <c r="I67" s="24"/>
      <c r="J67" s="40" t="n">
        <f aca="false">IFERROR(INDEX('4. Costeo y Precios'!$P$14:$P$64,MATCH($C67,'4. Costeo y Precios'!$A$14:$A$64,0)),0)</f>
        <v>0</v>
      </c>
      <c r="K67" s="31" t="str">
        <f aca="false">IF($C67="","",G67*J67)</f>
        <v/>
      </c>
      <c r="L67" s="51"/>
    </row>
    <row r="68" customFormat="false" ht="15" hidden="false" customHeight="false" outlineLevel="0" collapsed="false">
      <c r="A68" s="25"/>
      <c r="B68" s="24"/>
      <c r="C68" s="21"/>
      <c r="D68" s="50" t="str">
        <f aca="false">IFERROR(INDEX('4. Costeo y Precios'!$B$14:$B$64,MATCH($C68,'4. Costeo y Precios'!$A$14:$A$64,0)),"")</f>
        <v/>
      </c>
      <c r="E68" s="21"/>
      <c r="F68" s="21"/>
      <c r="G68" s="21"/>
      <c r="H68" s="43" t="str">
        <f aca="false">IFERROR(G68/(F68+G68),"")</f>
        <v/>
      </c>
      <c r="I68" s="24"/>
      <c r="J68" s="40" t="n">
        <f aca="false">IFERROR(INDEX('4. Costeo y Precios'!$P$14:$P$64,MATCH($C68,'4. Costeo y Precios'!$A$14:$A$64,0)),0)</f>
        <v>0</v>
      </c>
      <c r="K68" s="31" t="str">
        <f aca="false">IF($C68="","",G68*J68)</f>
        <v/>
      </c>
      <c r="L68" s="51"/>
    </row>
    <row r="69" customFormat="false" ht="15" hidden="false" customHeight="false" outlineLevel="0" collapsed="false">
      <c r="A69" s="25"/>
      <c r="B69" s="24"/>
      <c r="C69" s="21"/>
      <c r="D69" s="50" t="str">
        <f aca="false">IFERROR(INDEX('4. Costeo y Precios'!$B$14:$B$64,MATCH($C69,'4. Costeo y Precios'!$A$14:$A$64,0)),"")</f>
        <v/>
      </c>
      <c r="E69" s="21"/>
      <c r="F69" s="21"/>
      <c r="G69" s="21"/>
      <c r="H69" s="43" t="str">
        <f aca="false">IFERROR(G69/(F69+G69),"")</f>
        <v/>
      </c>
      <c r="I69" s="24"/>
      <c r="J69" s="40" t="n">
        <f aca="false">IFERROR(INDEX('4. Costeo y Precios'!$P$14:$P$64,MATCH($C69,'4. Costeo y Precios'!$A$14:$A$64,0)),0)</f>
        <v>0</v>
      </c>
      <c r="K69" s="31" t="str">
        <f aca="false">IF($C69="","",G69*J69)</f>
        <v/>
      </c>
      <c r="L69" s="51"/>
    </row>
    <row r="70" customFormat="false" ht="15" hidden="false" customHeight="false" outlineLevel="0" collapsed="false">
      <c r="A70" s="25"/>
      <c r="B70" s="24"/>
      <c r="C70" s="21"/>
      <c r="D70" s="50" t="str">
        <f aca="false">IFERROR(INDEX('4. Costeo y Precios'!$B$14:$B$64,MATCH($C70,'4. Costeo y Precios'!$A$14:$A$64,0)),"")</f>
        <v/>
      </c>
      <c r="E70" s="21"/>
      <c r="F70" s="21"/>
      <c r="G70" s="21"/>
      <c r="H70" s="43" t="str">
        <f aca="false">IFERROR(G70/(F70+G70),"")</f>
        <v/>
      </c>
      <c r="I70" s="24"/>
      <c r="J70" s="40" t="n">
        <f aca="false">IFERROR(INDEX('4. Costeo y Precios'!$P$14:$P$64,MATCH($C70,'4. Costeo y Precios'!$A$14:$A$64,0)),0)</f>
        <v>0</v>
      </c>
      <c r="K70" s="31" t="str">
        <f aca="false">IF($C70="","",G70*J70)</f>
        <v/>
      </c>
      <c r="L70" s="51"/>
    </row>
    <row r="71" customFormat="false" ht="15" hidden="false" customHeight="false" outlineLevel="0" collapsed="false">
      <c r="A71" s="25"/>
      <c r="B71" s="24"/>
      <c r="C71" s="21"/>
      <c r="D71" s="50" t="str">
        <f aca="false">IFERROR(INDEX('4. Costeo y Precios'!$B$14:$B$64,MATCH($C71,'4. Costeo y Precios'!$A$14:$A$64,0)),"")</f>
        <v/>
      </c>
      <c r="E71" s="21"/>
      <c r="F71" s="21"/>
      <c r="G71" s="21"/>
      <c r="H71" s="43" t="str">
        <f aca="false">IFERROR(G71/(F71+G71),"")</f>
        <v/>
      </c>
      <c r="I71" s="24"/>
      <c r="J71" s="40" t="n">
        <f aca="false">IFERROR(INDEX('4. Costeo y Precios'!$P$14:$P$64,MATCH($C71,'4. Costeo y Precios'!$A$14:$A$64,0)),0)</f>
        <v>0</v>
      </c>
      <c r="K71" s="31" t="str">
        <f aca="false">IF($C71="","",G71*J71)</f>
        <v/>
      </c>
      <c r="L71" s="51"/>
    </row>
    <row r="72" customFormat="false" ht="15" hidden="false" customHeight="false" outlineLevel="0" collapsed="false">
      <c r="A72" s="25"/>
      <c r="B72" s="24"/>
      <c r="C72" s="21"/>
      <c r="D72" s="50" t="str">
        <f aca="false">IFERROR(INDEX('4. Costeo y Precios'!$B$14:$B$64,MATCH($C72,'4. Costeo y Precios'!$A$14:$A$64,0)),"")</f>
        <v/>
      </c>
      <c r="E72" s="21"/>
      <c r="F72" s="21"/>
      <c r="G72" s="21"/>
      <c r="H72" s="43" t="str">
        <f aca="false">IFERROR(G72/(F72+G72),"")</f>
        <v/>
      </c>
      <c r="I72" s="24"/>
      <c r="J72" s="40" t="n">
        <f aca="false">IFERROR(INDEX('4. Costeo y Precios'!$P$14:$P$64,MATCH($C72,'4. Costeo y Precios'!$A$14:$A$64,0)),0)</f>
        <v>0</v>
      </c>
      <c r="K72" s="31" t="str">
        <f aca="false">IF($C72="","",G72*J72)</f>
        <v/>
      </c>
      <c r="L72" s="51"/>
    </row>
    <row r="73" customFormat="false" ht="15" hidden="false" customHeight="false" outlineLevel="0" collapsed="false">
      <c r="A73" s="25"/>
      <c r="B73" s="24"/>
      <c r="C73" s="21"/>
      <c r="D73" s="50" t="str">
        <f aca="false">IFERROR(INDEX('4. Costeo y Precios'!$B$14:$B$64,MATCH($C73,'4. Costeo y Precios'!$A$14:$A$64,0)),"")</f>
        <v/>
      </c>
      <c r="E73" s="21"/>
      <c r="F73" s="21"/>
      <c r="G73" s="21"/>
      <c r="H73" s="43" t="str">
        <f aca="false">IFERROR(G73/(F73+G73),"")</f>
        <v/>
      </c>
      <c r="I73" s="24"/>
      <c r="J73" s="40" t="n">
        <f aca="false">IFERROR(INDEX('4. Costeo y Precios'!$P$14:$P$64,MATCH($C73,'4. Costeo y Precios'!$A$14:$A$64,0)),0)</f>
        <v>0</v>
      </c>
      <c r="K73" s="31" t="str">
        <f aca="false">IF($C73="","",G73*J73)</f>
        <v/>
      </c>
      <c r="L73" s="51"/>
    </row>
    <row r="74" customFormat="false" ht="15" hidden="false" customHeight="false" outlineLevel="0" collapsed="false">
      <c r="A74" s="25"/>
      <c r="B74" s="24"/>
      <c r="C74" s="21"/>
      <c r="D74" s="50" t="str">
        <f aca="false">IFERROR(INDEX('4. Costeo y Precios'!$B$14:$B$64,MATCH($C74,'4. Costeo y Precios'!$A$14:$A$64,0)),"")</f>
        <v/>
      </c>
      <c r="E74" s="21"/>
      <c r="F74" s="21"/>
      <c r="G74" s="21"/>
      <c r="H74" s="43" t="str">
        <f aca="false">IFERROR(G74/(F74+G74),"")</f>
        <v/>
      </c>
      <c r="I74" s="24"/>
      <c r="J74" s="40" t="n">
        <f aca="false">IFERROR(INDEX('4. Costeo y Precios'!$P$14:$P$64,MATCH($C74,'4. Costeo y Precios'!$A$14:$A$64,0)),0)</f>
        <v>0</v>
      </c>
      <c r="K74" s="31" t="str">
        <f aca="false">IF($C74="","",G74*J74)</f>
        <v/>
      </c>
      <c r="L74" s="51"/>
    </row>
    <row r="75" customFormat="false" ht="15" hidden="false" customHeight="false" outlineLevel="0" collapsed="false">
      <c r="A75" s="25"/>
      <c r="B75" s="24"/>
      <c r="C75" s="21"/>
      <c r="D75" s="50" t="str">
        <f aca="false">IFERROR(INDEX('4. Costeo y Precios'!$B$14:$B$64,MATCH($C75,'4. Costeo y Precios'!$A$14:$A$64,0)),"")</f>
        <v/>
      </c>
      <c r="E75" s="21"/>
      <c r="F75" s="21"/>
      <c r="G75" s="21"/>
      <c r="H75" s="43" t="str">
        <f aca="false">IFERROR(G75/(F75+G75),"")</f>
        <v/>
      </c>
      <c r="I75" s="24"/>
      <c r="J75" s="40" t="n">
        <f aca="false">IFERROR(INDEX('4. Costeo y Precios'!$P$14:$P$64,MATCH($C75,'4. Costeo y Precios'!$A$14:$A$64,0)),0)</f>
        <v>0</v>
      </c>
      <c r="K75" s="31" t="str">
        <f aca="false">IF($C75="","",G75*J75)</f>
        <v/>
      </c>
      <c r="L75" s="51"/>
    </row>
    <row r="76" customFormat="false" ht="15" hidden="false" customHeight="false" outlineLevel="0" collapsed="false">
      <c r="A76" s="25"/>
      <c r="B76" s="24"/>
      <c r="C76" s="21"/>
      <c r="D76" s="50" t="str">
        <f aca="false">IFERROR(INDEX('4. Costeo y Precios'!$B$14:$B$64,MATCH($C76,'4. Costeo y Precios'!$A$14:$A$64,0)),"")</f>
        <v/>
      </c>
      <c r="E76" s="21"/>
      <c r="F76" s="21"/>
      <c r="G76" s="21"/>
      <c r="H76" s="43" t="str">
        <f aca="false">IFERROR(G76/(F76+G76),"")</f>
        <v/>
      </c>
      <c r="I76" s="24"/>
      <c r="J76" s="40" t="n">
        <f aca="false">IFERROR(INDEX('4. Costeo y Precios'!$P$14:$P$64,MATCH($C76,'4. Costeo y Precios'!$A$14:$A$64,0)),0)</f>
        <v>0</v>
      </c>
      <c r="K76" s="31" t="str">
        <f aca="false">IF($C76="","",G76*J76)</f>
        <v/>
      </c>
      <c r="L76" s="51"/>
    </row>
    <row r="77" customFormat="false" ht="15" hidden="false" customHeight="false" outlineLevel="0" collapsed="false">
      <c r="A77" s="25"/>
      <c r="B77" s="24"/>
      <c r="C77" s="21"/>
      <c r="D77" s="50" t="str">
        <f aca="false">IFERROR(INDEX('4. Costeo y Precios'!$B$14:$B$64,MATCH($C77,'4. Costeo y Precios'!$A$14:$A$64,0)),"")</f>
        <v/>
      </c>
      <c r="E77" s="21"/>
      <c r="F77" s="21"/>
      <c r="G77" s="21"/>
      <c r="H77" s="43" t="str">
        <f aca="false">IFERROR(G77/(F77+G77),"")</f>
        <v/>
      </c>
      <c r="I77" s="24"/>
      <c r="J77" s="40" t="n">
        <f aca="false">IFERROR(INDEX('4. Costeo y Precios'!$P$14:$P$64,MATCH($C77,'4. Costeo y Precios'!$A$14:$A$64,0)),0)</f>
        <v>0</v>
      </c>
      <c r="K77" s="31" t="str">
        <f aca="false">IF($C77="","",G77*J77)</f>
        <v/>
      </c>
      <c r="L77" s="51"/>
    </row>
    <row r="78" customFormat="false" ht="15" hidden="false" customHeight="false" outlineLevel="0" collapsed="false">
      <c r="A78" s="25"/>
      <c r="B78" s="24"/>
      <c r="C78" s="21"/>
      <c r="D78" s="50" t="str">
        <f aca="false">IFERROR(INDEX('4. Costeo y Precios'!$B$14:$B$64,MATCH($C78,'4. Costeo y Precios'!$A$14:$A$64,0)),"")</f>
        <v/>
      </c>
      <c r="E78" s="21"/>
      <c r="F78" s="21"/>
      <c r="G78" s="21"/>
      <c r="H78" s="43" t="str">
        <f aca="false">IFERROR(G78/(F78+G78),"")</f>
        <v/>
      </c>
      <c r="I78" s="24"/>
      <c r="J78" s="40" t="n">
        <f aca="false">IFERROR(INDEX('4. Costeo y Precios'!$P$14:$P$64,MATCH($C78,'4. Costeo y Precios'!$A$14:$A$64,0)),0)</f>
        <v>0</v>
      </c>
      <c r="K78" s="31" t="str">
        <f aca="false">IF($C78="","",G78*J78)</f>
        <v/>
      </c>
      <c r="L78" s="51"/>
    </row>
    <row r="79" customFormat="false" ht="15" hidden="false" customHeight="false" outlineLevel="0" collapsed="false">
      <c r="A79" s="25"/>
      <c r="B79" s="24"/>
      <c r="C79" s="21"/>
      <c r="D79" s="50" t="str">
        <f aca="false">IFERROR(INDEX('4. Costeo y Precios'!$B$14:$B$64,MATCH($C79,'4. Costeo y Precios'!$A$14:$A$64,0)),"")</f>
        <v/>
      </c>
      <c r="E79" s="21"/>
      <c r="F79" s="21"/>
      <c r="G79" s="21"/>
      <c r="H79" s="43" t="str">
        <f aca="false">IFERROR(G79/(F79+G79),"")</f>
        <v/>
      </c>
      <c r="I79" s="24"/>
      <c r="J79" s="40" t="n">
        <f aca="false">IFERROR(INDEX('4. Costeo y Precios'!$P$14:$P$64,MATCH($C79,'4. Costeo y Precios'!$A$14:$A$64,0)),0)</f>
        <v>0</v>
      </c>
      <c r="K79" s="31" t="str">
        <f aca="false">IF($C79="","",G79*J79)</f>
        <v/>
      </c>
      <c r="L79" s="51"/>
    </row>
    <row r="80" customFormat="false" ht="15" hidden="false" customHeight="false" outlineLevel="0" collapsed="false">
      <c r="A80" s="25"/>
      <c r="B80" s="24"/>
      <c r="C80" s="21"/>
      <c r="D80" s="50" t="str">
        <f aca="false">IFERROR(INDEX('4. Costeo y Precios'!$B$14:$B$64,MATCH($C80,'4. Costeo y Precios'!$A$14:$A$64,0)),"")</f>
        <v/>
      </c>
      <c r="E80" s="21"/>
      <c r="F80" s="21"/>
      <c r="G80" s="21"/>
      <c r="H80" s="43" t="str">
        <f aca="false">IFERROR(G80/(F80+G80),"")</f>
        <v/>
      </c>
      <c r="I80" s="24"/>
      <c r="J80" s="40" t="n">
        <f aca="false">IFERROR(INDEX('4. Costeo y Precios'!$P$14:$P$64,MATCH($C80,'4. Costeo y Precios'!$A$14:$A$64,0)),0)</f>
        <v>0</v>
      </c>
      <c r="K80" s="31" t="str">
        <f aca="false">IF($C80="","",G80*J80)</f>
        <v/>
      </c>
      <c r="L80" s="51"/>
    </row>
    <row r="81" customFormat="false" ht="15" hidden="false" customHeight="false" outlineLevel="0" collapsed="false">
      <c r="A81" s="25"/>
      <c r="B81" s="24"/>
      <c r="C81" s="21"/>
      <c r="D81" s="50" t="str">
        <f aca="false">IFERROR(INDEX('4. Costeo y Precios'!$B$14:$B$64,MATCH($C81,'4. Costeo y Precios'!$A$14:$A$64,0)),"")</f>
        <v/>
      </c>
      <c r="E81" s="21"/>
      <c r="F81" s="21"/>
      <c r="G81" s="21"/>
      <c r="H81" s="43" t="str">
        <f aca="false">IFERROR(G81/(F81+G81),"")</f>
        <v/>
      </c>
      <c r="I81" s="24"/>
      <c r="J81" s="40" t="n">
        <f aca="false">IFERROR(INDEX('4. Costeo y Precios'!$P$14:$P$64,MATCH($C81,'4. Costeo y Precios'!$A$14:$A$64,0)),0)</f>
        <v>0</v>
      </c>
      <c r="K81" s="31" t="str">
        <f aca="false">IF($C81="","",G81*J81)</f>
        <v/>
      </c>
      <c r="L81" s="51"/>
    </row>
    <row r="82" customFormat="false" ht="15" hidden="false" customHeight="false" outlineLevel="0" collapsed="false">
      <c r="A82" s="25"/>
      <c r="B82" s="24"/>
      <c r="C82" s="21"/>
      <c r="D82" s="50" t="str">
        <f aca="false">IFERROR(INDEX('4. Costeo y Precios'!$B$14:$B$64,MATCH($C82,'4. Costeo y Precios'!$A$14:$A$64,0)),"")</f>
        <v/>
      </c>
      <c r="E82" s="21"/>
      <c r="F82" s="21"/>
      <c r="G82" s="21"/>
      <c r="H82" s="43" t="str">
        <f aca="false">IFERROR(G82/(F82+G82),"")</f>
        <v/>
      </c>
      <c r="I82" s="24"/>
      <c r="J82" s="40" t="n">
        <f aca="false">IFERROR(INDEX('4. Costeo y Precios'!$P$14:$P$64,MATCH($C82,'4. Costeo y Precios'!$A$14:$A$64,0)),0)</f>
        <v>0</v>
      </c>
      <c r="K82" s="31" t="str">
        <f aca="false">IF($C82="","",G82*J82)</f>
        <v/>
      </c>
      <c r="L82" s="51"/>
    </row>
    <row r="83" customFormat="false" ht="15" hidden="false" customHeight="false" outlineLevel="0" collapsed="false">
      <c r="A83" s="25"/>
      <c r="B83" s="24"/>
      <c r="C83" s="21"/>
      <c r="D83" s="50" t="str">
        <f aca="false">IFERROR(INDEX('4. Costeo y Precios'!$B$14:$B$64,MATCH($C83,'4. Costeo y Precios'!$A$14:$A$64,0)),"")</f>
        <v/>
      </c>
      <c r="E83" s="21"/>
      <c r="F83" s="21"/>
      <c r="G83" s="21"/>
      <c r="H83" s="43" t="str">
        <f aca="false">IFERROR(G83/(F83+G83),"")</f>
        <v/>
      </c>
      <c r="I83" s="24"/>
      <c r="J83" s="40" t="n">
        <f aca="false">IFERROR(INDEX('4. Costeo y Precios'!$P$14:$P$64,MATCH($C83,'4. Costeo y Precios'!$A$14:$A$64,0)),0)</f>
        <v>0</v>
      </c>
      <c r="K83" s="31" t="str">
        <f aca="false">IF($C83="","",G83*J83)</f>
        <v/>
      </c>
      <c r="L83" s="51"/>
    </row>
    <row r="84" customFormat="false" ht="15" hidden="false" customHeight="false" outlineLevel="0" collapsed="false">
      <c r="A84" s="25"/>
      <c r="B84" s="24"/>
      <c r="C84" s="21"/>
      <c r="D84" s="50" t="str">
        <f aca="false">IFERROR(INDEX('4. Costeo y Precios'!$B$14:$B$64,MATCH($C84,'4. Costeo y Precios'!$A$14:$A$64,0)),"")</f>
        <v/>
      </c>
      <c r="E84" s="21"/>
      <c r="F84" s="21"/>
      <c r="G84" s="21"/>
      <c r="H84" s="43" t="str">
        <f aca="false">IFERROR(G84/(F84+G84),"")</f>
        <v/>
      </c>
      <c r="I84" s="24"/>
      <c r="J84" s="40" t="n">
        <f aca="false">IFERROR(INDEX('4. Costeo y Precios'!$P$14:$P$64,MATCH($C84,'4. Costeo y Precios'!$A$14:$A$64,0)),0)</f>
        <v>0</v>
      </c>
      <c r="K84" s="31" t="str">
        <f aca="false">IF($C84="","",G84*J84)</f>
        <v/>
      </c>
      <c r="L84" s="51"/>
    </row>
    <row r="85" customFormat="false" ht="15" hidden="false" customHeight="false" outlineLevel="0" collapsed="false">
      <c r="A85" s="25"/>
      <c r="B85" s="24"/>
      <c r="C85" s="21"/>
      <c r="D85" s="50" t="str">
        <f aca="false">IFERROR(INDEX('4. Costeo y Precios'!$B$14:$B$64,MATCH($C85,'4. Costeo y Precios'!$A$14:$A$64,0)),"")</f>
        <v/>
      </c>
      <c r="E85" s="21"/>
      <c r="F85" s="21"/>
      <c r="G85" s="21"/>
      <c r="H85" s="43" t="str">
        <f aca="false">IFERROR(G85/(F85+G85),"")</f>
        <v/>
      </c>
      <c r="I85" s="24"/>
      <c r="J85" s="40" t="n">
        <f aca="false">IFERROR(INDEX('4. Costeo y Precios'!$P$14:$P$64,MATCH($C85,'4. Costeo y Precios'!$A$14:$A$64,0)),0)</f>
        <v>0</v>
      </c>
      <c r="K85" s="31" t="str">
        <f aca="false">IF($C85="","",G85*J85)</f>
        <v/>
      </c>
      <c r="L85" s="51"/>
    </row>
    <row r="86" customFormat="false" ht="15" hidden="false" customHeight="false" outlineLevel="0" collapsed="false">
      <c r="A86" s="25"/>
      <c r="B86" s="24"/>
      <c r="C86" s="21"/>
      <c r="D86" s="50" t="str">
        <f aca="false">IFERROR(INDEX('4. Costeo y Precios'!$B$14:$B$64,MATCH($C86,'4. Costeo y Precios'!$A$14:$A$64,0)),"")</f>
        <v/>
      </c>
      <c r="E86" s="21"/>
      <c r="F86" s="21"/>
      <c r="G86" s="21"/>
      <c r="H86" s="43" t="str">
        <f aca="false">IFERROR(G86/(F86+G86),"")</f>
        <v/>
      </c>
      <c r="I86" s="24"/>
      <c r="J86" s="40" t="n">
        <f aca="false">IFERROR(INDEX('4. Costeo y Precios'!$P$14:$P$64,MATCH($C86,'4. Costeo y Precios'!$A$14:$A$64,0)),0)</f>
        <v>0</v>
      </c>
      <c r="K86" s="31" t="str">
        <f aca="false">IF($C86="","",G86*J86)</f>
        <v/>
      </c>
      <c r="L86" s="51"/>
    </row>
    <row r="87" customFormat="false" ht="15" hidden="false" customHeight="false" outlineLevel="0" collapsed="false">
      <c r="A87" s="25"/>
      <c r="B87" s="24"/>
      <c r="C87" s="21"/>
      <c r="D87" s="50" t="str">
        <f aca="false">IFERROR(INDEX('4. Costeo y Precios'!$B$14:$B$64,MATCH($C87,'4. Costeo y Precios'!$A$14:$A$64,0)),"")</f>
        <v/>
      </c>
      <c r="E87" s="21"/>
      <c r="F87" s="21"/>
      <c r="G87" s="21"/>
      <c r="H87" s="43" t="str">
        <f aca="false">IFERROR(G87/(F87+G87),"")</f>
        <v/>
      </c>
      <c r="I87" s="24"/>
      <c r="J87" s="40" t="n">
        <f aca="false">IFERROR(INDEX('4. Costeo y Precios'!$P$14:$P$64,MATCH($C87,'4. Costeo y Precios'!$A$14:$A$64,0)),0)</f>
        <v>0</v>
      </c>
      <c r="K87" s="31" t="str">
        <f aca="false">IF($C87="","",G87*J87)</f>
        <v/>
      </c>
      <c r="L87" s="51"/>
    </row>
    <row r="88" customFormat="false" ht="15" hidden="false" customHeight="false" outlineLevel="0" collapsed="false">
      <c r="A88" s="25"/>
      <c r="B88" s="24"/>
      <c r="C88" s="21"/>
      <c r="D88" s="50" t="str">
        <f aca="false">IFERROR(INDEX('4. Costeo y Precios'!$B$14:$B$64,MATCH($C88,'4. Costeo y Precios'!$A$14:$A$64,0)),"")</f>
        <v/>
      </c>
      <c r="E88" s="21"/>
      <c r="F88" s="21"/>
      <c r="G88" s="21"/>
      <c r="H88" s="43" t="str">
        <f aca="false">IFERROR(G88/(F88+G88),"")</f>
        <v/>
      </c>
      <c r="I88" s="24"/>
      <c r="J88" s="40" t="n">
        <f aca="false">IFERROR(INDEX('4. Costeo y Precios'!$P$14:$P$64,MATCH($C88,'4. Costeo y Precios'!$A$14:$A$64,0)),0)</f>
        <v>0</v>
      </c>
      <c r="K88" s="31" t="str">
        <f aca="false">IF($C88="","",G88*J88)</f>
        <v/>
      </c>
      <c r="L88" s="51"/>
    </row>
    <row r="89" customFormat="false" ht="15" hidden="false" customHeight="false" outlineLevel="0" collapsed="false">
      <c r="A89" s="25"/>
      <c r="B89" s="24"/>
      <c r="C89" s="21"/>
      <c r="D89" s="50" t="str">
        <f aca="false">IFERROR(INDEX('4. Costeo y Precios'!$B$14:$B$64,MATCH($C89,'4. Costeo y Precios'!$A$14:$A$64,0)),"")</f>
        <v/>
      </c>
      <c r="E89" s="21"/>
      <c r="F89" s="21"/>
      <c r="G89" s="21"/>
      <c r="H89" s="43" t="str">
        <f aca="false">IFERROR(G89/(F89+G89),"")</f>
        <v/>
      </c>
      <c r="I89" s="24"/>
      <c r="J89" s="40" t="n">
        <f aca="false">IFERROR(INDEX('4. Costeo y Precios'!$P$14:$P$64,MATCH($C89,'4. Costeo y Precios'!$A$14:$A$64,0)),0)</f>
        <v>0</v>
      </c>
      <c r="K89" s="31" t="str">
        <f aca="false">IF($C89="","",G89*J89)</f>
        <v/>
      </c>
      <c r="L89" s="51"/>
    </row>
    <row r="90" customFormat="false" ht="15" hidden="false" customHeight="false" outlineLevel="0" collapsed="false">
      <c r="A90" s="25"/>
      <c r="B90" s="24"/>
      <c r="C90" s="21"/>
      <c r="D90" s="50" t="str">
        <f aca="false">IFERROR(INDEX('4. Costeo y Precios'!$B$14:$B$64,MATCH($C90,'4. Costeo y Precios'!$A$14:$A$64,0)),"")</f>
        <v/>
      </c>
      <c r="E90" s="21"/>
      <c r="F90" s="21"/>
      <c r="G90" s="21"/>
      <c r="H90" s="43" t="str">
        <f aca="false">IFERROR(G90/(F90+G90),"")</f>
        <v/>
      </c>
      <c r="I90" s="24"/>
      <c r="J90" s="40" t="n">
        <f aca="false">IFERROR(INDEX('4. Costeo y Precios'!$P$14:$P$64,MATCH($C90,'4. Costeo y Precios'!$A$14:$A$64,0)),0)</f>
        <v>0</v>
      </c>
      <c r="K90" s="31" t="str">
        <f aca="false">IF($C90="","",G90*J90)</f>
        <v/>
      </c>
      <c r="L90" s="51"/>
    </row>
    <row r="91" customFormat="false" ht="15" hidden="false" customHeight="false" outlineLevel="0" collapsed="false">
      <c r="A91" s="25"/>
      <c r="B91" s="24"/>
      <c r="C91" s="21"/>
      <c r="D91" s="50" t="str">
        <f aca="false">IFERROR(INDEX('4. Costeo y Precios'!$B$14:$B$64,MATCH($C91,'4. Costeo y Precios'!$A$14:$A$64,0)),"")</f>
        <v/>
      </c>
      <c r="E91" s="21"/>
      <c r="F91" s="21"/>
      <c r="G91" s="21"/>
      <c r="H91" s="43" t="str">
        <f aca="false">IFERROR(G91/(F91+G91),"")</f>
        <v/>
      </c>
      <c r="I91" s="24"/>
      <c r="J91" s="40" t="n">
        <f aca="false">IFERROR(INDEX('4. Costeo y Precios'!$P$14:$P$64,MATCH($C91,'4. Costeo y Precios'!$A$14:$A$64,0)),0)</f>
        <v>0</v>
      </c>
      <c r="K91" s="31" t="str">
        <f aca="false">IF($C91="","",G91*J91)</f>
        <v/>
      </c>
      <c r="L91" s="51"/>
    </row>
    <row r="92" customFormat="false" ht="15" hidden="false" customHeight="false" outlineLevel="0" collapsed="false">
      <c r="A92" s="25"/>
      <c r="B92" s="24"/>
      <c r="C92" s="21"/>
      <c r="D92" s="50" t="str">
        <f aca="false">IFERROR(INDEX('4. Costeo y Precios'!$B$14:$B$64,MATCH($C92,'4. Costeo y Precios'!$A$14:$A$64,0)),"")</f>
        <v/>
      </c>
      <c r="E92" s="21"/>
      <c r="F92" s="21"/>
      <c r="G92" s="21"/>
      <c r="H92" s="43" t="str">
        <f aca="false">IFERROR(G92/(F92+G92),"")</f>
        <v/>
      </c>
      <c r="I92" s="24"/>
      <c r="J92" s="40" t="n">
        <f aca="false">IFERROR(INDEX('4. Costeo y Precios'!$P$14:$P$64,MATCH($C92,'4. Costeo y Precios'!$A$14:$A$64,0)),0)</f>
        <v>0</v>
      </c>
      <c r="K92" s="31" t="str">
        <f aca="false">IF($C92="","",G92*J92)</f>
        <v/>
      </c>
      <c r="L92" s="51"/>
    </row>
    <row r="93" customFormat="false" ht="15" hidden="false" customHeight="false" outlineLevel="0" collapsed="false">
      <c r="A93" s="25"/>
      <c r="B93" s="24"/>
      <c r="C93" s="21"/>
      <c r="D93" s="50" t="str">
        <f aca="false">IFERROR(INDEX('4. Costeo y Precios'!$B$14:$B$64,MATCH($C93,'4. Costeo y Precios'!$A$14:$A$64,0)),"")</f>
        <v/>
      </c>
      <c r="E93" s="21"/>
      <c r="F93" s="21"/>
      <c r="G93" s="21"/>
      <c r="H93" s="43" t="str">
        <f aca="false">IFERROR(G93/(F93+G93),"")</f>
        <v/>
      </c>
      <c r="I93" s="24"/>
      <c r="J93" s="40" t="n">
        <f aca="false">IFERROR(INDEX('4. Costeo y Precios'!$P$14:$P$64,MATCH($C93,'4. Costeo y Precios'!$A$14:$A$64,0)),0)</f>
        <v>0</v>
      </c>
      <c r="K93" s="31" t="str">
        <f aca="false">IF($C93="","",G93*J93)</f>
        <v/>
      </c>
      <c r="L93" s="51"/>
    </row>
    <row r="94" customFormat="false" ht="15" hidden="false" customHeight="false" outlineLevel="0" collapsed="false">
      <c r="A94" s="25"/>
      <c r="B94" s="24"/>
      <c r="C94" s="21"/>
      <c r="D94" s="50" t="str">
        <f aca="false">IFERROR(INDEX('4. Costeo y Precios'!$B$14:$B$64,MATCH($C94,'4. Costeo y Precios'!$A$14:$A$64,0)),"")</f>
        <v/>
      </c>
      <c r="E94" s="21"/>
      <c r="F94" s="21"/>
      <c r="G94" s="21"/>
      <c r="H94" s="43" t="str">
        <f aca="false">IFERROR(G94/(F94+G94),"")</f>
        <v/>
      </c>
      <c r="I94" s="24"/>
      <c r="J94" s="40" t="n">
        <f aca="false">IFERROR(INDEX('4. Costeo y Precios'!$P$14:$P$64,MATCH($C94,'4. Costeo y Precios'!$A$14:$A$64,0)),0)</f>
        <v>0</v>
      </c>
      <c r="K94" s="31" t="str">
        <f aca="false">IF($C94="","",G94*J94)</f>
        <v/>
      </c>
      <c r="L94" s="51"/>
    </row>
    <row r="95" customFormat="false" ht="15" hidden="false" customHeight="false" outlineLevel="0" collapsed="false">
      <c r="A95" s="25"/>
      <c r="B95" s="24"/>
      <c r="C95" s="21"/>
      <c r="D95" s="50" t="str">
        <f aca="false">IFERROR(INDEX('4. Costeo y Precios'!$B$14:$B$64,MATCH($C95,'4. Costeo y Precios'!$A$14:$A$64,0)),"")</f>
        <v/>
      </c>
      <c r="E95" s="21"/>
      <c r="F95" s="21"/>
      <c r="G95" s="21"/>
      <c r="H95" s="43" t="str">
        <f aca="false">IFERROR(G95/(F95+G95),"")</f>
        <v/>
      </c>
      <c r="I95" s="24"/>
      <c r="J95" s="40" t="n">
        <f aca="false">IFERROR(INDEX('4. Costeo y Precios'!$P$14:$P$64,MATCH($C95,'4. Costeo y Precios'!$A$14:$A$64,0)),0)</f>
        <v>0</v>
      </c>
      <c r="K95" s="31" t="str">
        <f aca="false">IF($C95="","",G95*J95)</f>
        <v/>
      </c>
      <c r="L95" s="51"/>
    </row>
    <row r="96" customFormat="false" ht="15" hidden="false" customHeight="false" outlineLevel="0" collapsed="false">
      <c r="A96" s="25"/>
      <c r="B96" s="24"/>
      <c r="C96" s="21"/>
      <c r="D96" s="50" t="str">
        <f aca="false">IFERROR(INDEX('4. Costeo y Precios'!$B$14:$B$64,MATCH($C96,'4. Costeo y Precios'!$A$14:$A$64,0)),"")</f>
        <v/>
      </c>
      <c r="E96" s="21"/>
      <c r="F96" s="21"/>
      <c r="G96" s="21"/>
      <c r="H96" s="43" t="str">
        <f aca="false">IFERROR(G96/(F96+G96),"")</f>
        <v/>
      </c>
      <c r="I96" s="24"/>
      <c r="J96" s="40" t="n">
        <f aca="false">IFERROR(INDEX('4. Costeo y Precios'!$P$14:$P$64,MATCH($C96,'4. Costeo y Precios'!$A$14:$A$64,0)),0)</f>
        <v>0</v>
      </c>
      <c r="K96" s="31" t="str">
        <f aca="false">IF($C96="","",G96*J96)</f>
        <v/>
      </c>
      <c r="L96" s="51"/>
    </row>
    <row r="97" customFormat="false" ht="15" hidden="false" customHeight="false" outlineLevel="0" collapsed="false">
      <c r="A97" s="25"/>
      <c r="B97" s="24"/>
      <c r="C97" s="21"/>
      <c r="D97" s="50" t="str">
        <f aca="false">IFERROR(INDEX('4. Costeo y Precios'!$B$14:$B$64,MATCH($C97,'4. Costeo y Precios'!$A$14:$A$64,0)),"")</f>
        <v/>
      </c>
      <c r="E97" s="21"/>
      <c r="F97" s="21"/>
      <c r="G97" s="21"/>
      <c r="H97" s="43" t="str">
        <f aca="false">IFERROR(G97/(F97+G97),"")</f>
        <v/>
      </c>
      <c r="I97" s="24"/>
      <c r="J97" s="40" t="n">
        <f aca="false">IFERROR(INDEX('4. Costeo y Precios'!$P$14:$P$64,MATCH($C97,'4. Costeo y Precios'!$A$14:$A$64,0)),0)</f>
        <v>0</v>
      </c>
      <c r="K97" s="31" t="str">
        <f aca="false">IF($C97="","",G97*J97)</f>
        <v/>
      </c>
      <c r="L97" s="51"/>
    </row>
    <row r="98" customFormat="false" ht="15" hidden="false" customHeight="false" outlineLevel="0" collapsed="false">
      <c r="A98" s="25"/>
      <c r="B98" s="24"/>
      <c r="C98" s="21"/>
      <c r="D98" s="50" t="str">
        <f aca="false">IFERROR(INDEX('4. Costeo y Precios'!$B$14:$B$64,MATCH($C98,'4. Costeo y Precios'!$A$14:$A$64,0)),"")</f>
        <v/>
      </c>
      <c r="E98" s="21"/>
      <c r="F98" s="21"/>
      <c r="G98" s="21"/>
      <c r="H98" s="43" t="str">
        <f aca="false">IFERROR(G98/(F98+G98),"")</f>
        <v/>
      </c>
      <c r="I98" s="24"/>
      <c r="J98" s="40" t="n">
        <f aca="false">IFERROR(INDEX('4. Costeo y Precios'!$P$14:$P$64,MATCH($C98,'4. Costeo y Precios'!$A$14:$A$64,0)),0)</f>
        <v>0</v>
      </c>
      <c r="K98" s="31" t="str">
        <f aca="false">IF($C98="","",G98*J98)</f>
        <v/>
      </c>
      <c r="L98" s="51"/>
    </row>
    <row r="99" customFormat="false" ht="15" hidden="false" customHeight="false" outlineLevel="0" collapsed="false">
      <c r="A99" s="25"/>
      <c r="B99" s="24"/>
      <c r="C99" s="21"/>
      <c r="D99" s="50" t="str">
        <f aca="false">IFERROR(INDEX('4. Costeo y Precios'!$B$14:$B$64,MATCH($C99,'4. Costeo y Precios'!$A$14:$A$64,0)),"")</f>
        <v/>
      </c>
      <c r="E99" s="21"/>
      <c r="F99" s="21"/>
      <c r="G99" s="21"/>
      <c r="H99" s="43" t="str">
        <f aca="false">IFERROR(G99/(F99+G99),"")</f>
        <v/>
      </c>
      <c r="I99" s="24"/>
      <c r="J99" s="40" t="n">
        <f aca="false">IFERROR(INDEX('4. Costeo y Precios'!$P$14:$P$64,MATCH($C99,'4. Costeo y Precios'!$A$14:$A$64,0)),0)</f>
        <v>0</v>
      </c>
      <c r="K99" s="31" t="str">
        <f aca="false">IF($C99="","",G99*J99)</f>
        <v/>
      </c>
      <c r="L99" s="51"/>
    </row>
    <row r="100" customFormat="false" ht="15" hidden="false" customHeight="false" outlineLevel="0" collapsed="false">
      <c r="A100" s="25"/>
      <c r="B100" s="24"/>
      <c r="C100" s="21"/>
      <c r="D100" s="50" t="str">
        <f aca="false">IFERROR(INDEX('4. Costeo y Precios'!$B$14:$B$64,MATCH($C100,'4. Costeo y Precios'!$A$14:$A$64,0)),"")</f>
        <v/>
      </c>
      <c r="E100" s="21"/>
      <c r="F100" s="21"/>
      <c r="G100" s="21"/>
      <c r="H100" s="43" t="str">
        <f aca="false">IFERROR(G100/(F100+G100),"")</f>
        <v/>
      </c>
      <c r="I100" s="24"/>
      <c r="J100" s="40" t="n">
        <f aca="false">IFERROR(INDEX('4. Costeo y Precios'!$P$14:$P$64,MATCH($C100,'4. Costeo y Precios'!$A$14:$A$64,0)),0)</f>
        <v>0</v>
      </c>
      <c r="K100" s="31" t="str">
        <f aca="false">IF($C100="","",G100*J100)</f>
        <v/>
      </c>
      <c r="L100" s="51"/>
    </row>
    <row r="101" customFormat="false" ht="15" hidden="false" customHeight="false" outlineLevel="0" collapsed="false">
      <c r="A101" s="25"/>
      <c r="B101" s="24"/>
      <c r="C101" s="21"/>
      <c r="D101" s="50" t="str">
        <f aca="false">IFERROR(INDEX('4. Costeo y Precios'!$B$14:$B$64,MATCH($C101,'4. Costeo y Precios'!$A$14:$A$64,0)),"")</f>
        <v/>
      </c>
      <c r="E101" s="21"/>
      <c r="F101" s="21"/>
      <c r="G101" s="21"/>
      <c r="H101" s="43" t="str">
        <f aca="false">IFERROR(G101/(F101+G101),"")</f>
        <v/>
      </c>
      <c r="I101" s="24"/>
      <c r="J101" s="40" t="n">
        <f aca="false">IFERROR(INDEX('4. Costeo y Precios'!$P$14:$P$64,MATCH($C101,'4. Costeo y Precios'!$A$14:$A$64,0)),0)</f>
        <v>0</v>
      </c>
      <c r="K101" s="31" t="str">
        <f aca="false">IF($C101="","",G101*J101)</f>
        <v/>
      </c>
      <c r="L101" s="51"/>
    </row>
    <row r="102" customFormat="false" ht="15" hidden="false" customHeight="false" outlineLevel="0" collapsed="false">
      <c r="A102" s="25"/>
      <c r="B102" s="24"/>
      <c r="C102" s="21"/>
      <c r="D102" s="50" t="str">
        <f aca="false">IFERROR(INDEX('4. Costeo y Precios'!$B$14:$B$64,MATCH($C102,'4. Costeo y Precios'!$A$14:$A$64,0)),"")</f>
        <v/>
      </c>
      <c r="E102" s="21"/>
      <c r="F102" s="21"/>
      <c r="G102" s="21"/>
      <c r="H102" s="43" t="str">
        <f aca="false">IFERROR(G102/(F102+G102),"")</f>
        <v/>
      </c>
      <c r="I102" s="24"/>
      <c r="J102" s="40" t="n">
        <f aca="false">IFERROR(INDEX('4. Costeo y Precios'!$P$14:$P$64,MATCH($C102,'4. Costeo y Precios'!$A$14:$A$64,0)),0)</f>
        <v>0</v>
      </c>
      <c r="K102" s="31" t="str">
        <f aca="false">IF($C102="","",G102*J102)</f>
        <v/>
      </c>
      <c r="L102" s="51"/>
    </row>
    <row r="103" customFormat="false" ht="15" hidden="false" customHeight="false" outlineLevel="0" collapsed="false">
      <c r="A103" s="25"/>
      <c r="B103" s="24"/>
      <c r="C103" s="21"/>
      <c r="D103" s="50" t="str">
        <f aca="false">IFERROR(INDEX('4. Costeo y Precios'!$B$14:$B$64,MATCH($C103,'4. Costeo y Precios'!$A$14:$A$64,0)),"")</f>
        <v/>
      </c>
      <c r="E103" s="21"/>
      <c r="F103" s="21"/>
      <c r="G103" s="21"/>
      <c r="H103" s="43" t="str">
        <f aca="false">IFERROR(G103/(F103+G103),"")</f>
        <v/>
      </c>
      <c r="I103" s="24"/>
      <c r="J103" s="40" t="n">
        <f aca="false">IFERROR(INDEX('4. Costeo y Precios'!$P$14:$P$64,MATCH($C103,'4. Costeo y Precios'!$A$14:$A$64,0)),0)</f>
        <v>0</v>
      </c>
      <c r="K103" s="31" t="str">
        <f aca="false">IF($C103="","",G103*J103)</f>
        <v/>
      </c>
      <c r="L103" s="51"/>
    </row>
    <row r="104" customFormat="false" ht="15" hidden="false" customHeight="false" outlineLevel="0" collapsed="false">
      <c r="A104" s="25"/>
      <c r="B104" s="24"/>
      <c r="C104" s="21"/>
      <c r="D104" s="50" t="str">
        <f aca="false">IFERROR(INDEX('4. Costeo y Precios'!$B$14:$B$64,MATCH($C104,'4. Costeo y Precios'!$A$14:$A$64,0)),"")</f>
        <v/>
      </c>
      <c r="E104" s="21"/>
      <c r="F104" s="21"/>
      <c r="G104" s="21"/>
      <c r="H104" s="43" t="str">
        <f aca="false">IFERROR(G104/(F104+G104),"")</f>
        <v/>
      </c>
      <c r="I104" s="24"/>
      <c r="J104" s="40" t="n">
        <f aca="false">IFERROR(INDEX('4. Costeo y Precios'!$P$14:$P$64,MATCH($C104,'4. Costeo y Precios'!$A$14:$A$64,0)),0)</f>
        <v>0</v>
      </c>
      <c r="K104" s="31" t="str">
        <f aca="false">IF($C104="","",G104*J104)</f>
        <v/>
      </c>
      <c r="L104" s="51"/>
    </row>
    <row r="105" customFormat="false" ht="15" hidden="false" customHeight="false" outlineLevel="0" collapsed="false">
      <c r="A105" s="25"/>
      <c r="B105" s="24"/>
      <c r="C105" s="21"/>
      <c r="D105" s="50" t="str">
        <f aca="false">IFERROR(INDEX('4. Costeo y Precios'!$B$14:$B$64,MATCH($C105,'4. Costeo y Precios'!$A$14:$A$64,0)),"")</f>
        <v/>
      </c>
      <c r="E105" s="21"/>
      <c r="F105" s="21"/>
      <c r="G105" s="21"/>
      <c r="H105" s="43" t="str">
        <f aca="false">IFERROR(G105/(F105+G105),"")</f>
        <v/>
      </c>
      <c r="I105" s="24"/>
      <c r="J105" s="40" t="n">
        <f aca="false">IFERROR(INDEX('4. Costeo y Precios'!$P$14:$P$64,MATCH($C105,'4. Costeo y Precios'!$A$14:$A$64,0)),0)</f>
        <v>0</v>
      </c>
      <c r="K105" s="31" t="str">
        <f aca="false">IF($C105="","",G105*J105)</f>
        <v/>
      </c>
      <c r="L105" s="51"/>
    </row>
    <row r="106" customFormat="false" ht="15" hidden="false" customHeight="false" outlineLevel="0" collapsed="false">
      <c r="A106" s="25"/>
      <c r="B106" s="24"/>
      <c r="C106" s="21"/>
      <c r="D106" s="50" t="str">
        <f aca="false">IFERROR(INDEX('4. Costeo y Precios'!$B$14:$B$64,MATCH($C106,'4. Costeo y Precios'!$A$14:$A$64,0)),"")</f>
        <v/>
      </c>
      <c r="E106" s="21"/>
      <c r="F106" s="21"/>
      <c r="G106" s="21"/>
      <c r="H106" s="43" t="str">
        <f aca="false">IFERROR(G106/(F106+G106),"")</f>
        <v/>
      </c>
      <c r="I106" s="24"/>
      <c r="J106" s="40" t="n">
        <f aca="false">IFERROR(INDEX('4. Costeo y Precios'!$P$14:$P$64,MATCH($C106,'4. Costeo y Precios'!$A$14:$A$64,0)),0)</f>
        <v>0</v>
      </c>
      <c r="K106" s="31" t="str">
        <f aca="false">IF($C106="","",G106*J106)</f>
        <v/>
      </c>
      <c r="L106" s="51"/>
    </row>
    <row r="107" customFormat="false" ht="15" hidden="false" customHeight="false" outlineLevel="0" collapsed="false">
      <c r="A107" s="25"/>
      <c r="B107" s="24"/>
      <c r="C107" s="21"/>
      <c r="D107" s="50" t="str">
        <f aca="false">IFERROR(INDEX('4. Costeo y Precios'!$B$14:$B$64,MATCH($C107,'4. Costeo y Precios'!$A$14:$A$64,0)),"")</f>
        <v/>
      </c>
      <c r="E107" s="21"/>
      <c r="F107" s="21"/>
      <c r="G107" s="21"/>
      <c r="H107" s="43" t="str">
        <f aca="false">IFERROR(G107/(F107+G107),"")</f>
        <v/>
      </c>
      <c r="I107" s="24"/>
      <c r="J107" s="40" t="n">
        <f aca="false">IFERROR(INDEX('4. Costeo y Precios'!$P$14:$P$64,MATCH($C107,'4. Costeo y Precios'!$A$14:$A$64,0)),0)</f>
        <v>0</v>
      </c>
      <c r="K107" s="31" t="str">
        <f aca="false">IF($C107="","",G107*J107)</f>
        <v/>
      </c>
      <c r="L107" s="51"/>
    </row>
    <row r="108" customFormat="false" ht="15" hidden="false" customHeight="false" outlineLevel="0" collapsed="false">
      <c r="A108" s="25"/>
      <c r="B108" s="24"/>
      <c r="C108" s="21"/>
      <c r="D108" s="50" t="str">
        <f aca="false">IFERROR(INDEX('4. Costeo y Precios'!$B$14:$B$64,MATCH($C108,'4. Costeo y Precios'!$A$14:$A$64,0)),"")</f>
        <v/>
      </c>
      <c r="E108" s="21"/>
      <c r="F108" s="21"/>
      <c r="G108" s="21"/>
      <c r="H108" s="43" t="str">
        <f aca="false">IFERROR(G108/(F108+G108),"")</f>
        <v/>
      </c>
      <c r="I108" s="24"/>
      <c r="J108" s="40" t="n">
        <f aca="false">IFERROR(INDEX('4. Costeo y Precios'!$P$14:$P$64,MATCH($C108,'4. Costeo y Precios'!$A$14:$A$64,0)),0)</f>
        <v>0</v>
      </c>
      <c r="K108" s="31" t="str">
        <f aca="false">IF($C108="","",G108*J108)</f>
        <v/>
      </c>
      <c r="L108" s="51"/>
    </row>
    <row r="109" customFormat="false" ht="15" hidden="false" customHeight="false" outlineLevel="0" collapsed="false">
      <c r="A109" s="25"/>
      <c r="B109" s="24"/>
      <c r="C109" s="21"/>
      <c r="D109" s="50" t="str">
        <f aca="false">IFERROR(INDEX('4. Costeo y Precios'!$B$14:$B$64,MATCH($C109,'4. Costeo y Precios'!$A$14:$A$64,0)),"")</f>
        <v/>
      </c>
      <c r="E109" s="21"/>
      <c r="F109" s="21"/>
      <c r="G109" s="21"/>
      <c r="H109" s="43" t="str">
        <f aca="false">IFERROR(G109/(F109+G109),"")</f>
        <v/>
      </c>
      <c r="I109" s="24"/>
      <c r="J109" s="40" t="n">
        <f aca="false">IFERROR(INDEX('4. Costeo y Precios'!$P$14:$P$64,MATCH($C109,'4. Costeo y Precios'!$A$14:$A$64,0)),0)</f>
        <v>0</v>
      </c>
      <c r="K109" s="31" t="str">
        <f aca="false">IF($C109="","",G109*J109)</f>
        <v/>
      </c>
      <c r="L109" s="51"/>
    </row>
    <row r="110" customFormat="false" ht="15" hidden="false" customHeight="false" outlineLevel="0" collapsed="false">
      <c r="A110" s="25"/>
      <c r="B110" s="24"/>
      <c r="C110" s="21"/>
      <c r="D110" s="50" t="str">
        <f aca="false">IFERROR(INDEX('4. Costeo y Precios'!$B$14:$B$64,MATCH($C110,'4. Costeo y Precios'!$A$14:$A$64,0)),"")</f>
        <v/>
      </c>
      <c r="E110" s="21"/>
      <c r="F110" s="21"/>
      <c r="G110" s="21"/>
      <c r="H110" s="43" t="str">
        <f aca="false">IFERROR(G110/(F110+G110),"")</f>
        <v/>
      </c>
      <c r="I110" s="24"/>
      <c r="J110" s="40" t="n">
        <f aca="false">IFERROR(INDEX('4. Costeo y Precios'!$P$14:$P$64,MATCH($C110,'4. Costeo y Precios'!$A$14:$A$64,0)),0)</f>
        <v>0</v>
      </c>
      <c r="K110" s="31" t="str">
        <f aca="false">IF($C110="","",G110*J110)</f>
        <v/>
      </c>
      <c r="L110" s="51"/>
    </row>
    <row r="111" customFormat="false" ht="15" hidden="false" customHeight="false" outlineLevel="0" collapsed="false">
      <c r="A111" s="25"/>
      <c r="B111" s="24"/>
      <c r="C111" s="21"/>
      <c r="D111" s="50" t="str">
        <f aca="false">IFERROR(INDEX('4. Costeo y Precios'!$B$14:$B$64,MATCH($C111,'4. Costeo y Precios'!$A$14:$A$64,0)),"")</f>
        <v/>
      </c>
      <c r="E111" s="21"/>
      <c r="F111" s="21"/>
      <c r="G111" s="21"/>
      <c r="H111" s="43" t="str">
        <f aca="false">IFERROR(G111/(F111+G111),"")</f>
        <v/>
      </c>
      <c r="I111" s="24"/>
      <c r="J111" s="40" t="n">
        <f aca="false">IFERROR(INDEX('4. Costeo y Precios'!$P$14:$P$64,MATCH($C111,'4. Costeo y Precios'!$A$14:$A$64,0)),0)</f>
        <v>0</v>
      </c>
      <c r="K111" s="31" t="str">
        <f aca="false">IF($C111="","",G111*J111)</f>
        <v/>
      </c>
      <c r="L111" s="51"/>
    </row>
    <row r="112" customFormat="false" ht="15" hidden="false" customHeight="false" outlineLevel="0" collapsed="false">
      <c r="A112" s="25"/>
      <c r="B112" s="24"/>
      <c r="C112" s="21"/>
      <c r="D112" s="50" t="str">
        <f aca="false">IFERROR(INDEX('4. Costeo y Precios'!$B$14:$B$64,MATCH($C112,'4. Costeo y Precios'!$A$14:$A$64,0)),"")</f>
        <v/>
      </c>
      <c r="E112" s="21"/>
      <c r="F112" s="21"/>
      <c r="G112" s="21"/>
      <c r="H112" s="43" t="str">
        <f aca="false">IFERROR(G112/(F112+G112),"")</f>
        <v/>
      </c>
      <c r="I112" s="24"/>
      <c r="J112" s="40" t="n">
        <f aca="false">IFERROR(INDEX('4. Costeo y Precios'!$P$14:$P$64,MATCH($C112,'4. Costeo y Precios'!$A$14:$A$64,0)),0)</f>
        <v>0</v>
      </c>
      <c r="K112" s="31" t="str">
        <f aca="false">IF($C112="","",G112*J112)</f>
        <v/>
      </c>
      <c r="L112" s="51"/>
    </row>
    <row r="113" customFormat="false" ht="15" hidden="false" customHeight="false" outlineLevel="0" collapsed="false">
      <c r="A113" s="25"/>
      <c r="B113" s="24"/>
      <c r="C113" s="21"/>
      <c r="D113" s="50" t="str">
        <f aca="false">IFERROR(INDEX('4. Costeo y Precios'!$B$14:$B$64,MATCH($C113,'4. Costeo y Precios'!$A$14:$A$64,0)),"")</f>
        <v/>
      </c>
      <c r="E113" s="21"/>
      <c r="F113" s="21"/>
      <c r="G113" s="21"/>
      <c r="H113" s="43" t="str">
        <f aca="false">IFERROR(G113/(F113+G113),"")</f>
        <v/>
      </c>
      <c r="I113" s="24"/>
      <c r="J113" s="40" t="n">
        <f aca="false">IFERROR(INDEX('4. Costeo y Precios'!$P$14:$P$64,MATCH($C113,'4. Costeo y Precios'!$A$14:$A$64,0)),0)</f>
        <v>0</v>
      </c>
      <c r="K113" s="31" t="str">
        <f aca="false">IF($C113="","",G113*J113)</f>
        <v/>
      </c>
      <c r="L113" s="51"/>
    </row>
    <row r="114" customFormat="false" ht="15" hidden="false" customHeight="false" outlineLevel="0" collapsed="false">
      <c r="A114" s="25"/>
      <c r="B114" s="24"/>
      <c r="C114" s="21"/>
      <c r="D114" s="50" t="str">
        <f aca="false">IFERROR(INDEX('4. Costeo y Precios'!$B$14:$B$64,MATCH($C114,'4. Costeo y Precios'!$A$14:$A$64,0)),"")</f>
        <v/>
      </c>
      <c r="E114" s="21"/>
      <c r="F114" s="21"/>
      <c r="G114" s="21"/>
      <c r="H114" s="43" t="str">
        <f aca="false">IFERROR(G114/(F114+G114),"")</f>
        <v/>
      </c>
      <c r="I114" s="24"/>
      <c r="J114" s="40" t="n">
        <f aca="false">IFERROR(INDEX('4. Costeo y Precios'!$P$14:$P$64,MATCH($C114,'4. Costeo y Precios'!$A$14:$A$64,0)),0)</f>
        <v>0</v>
      </c>
      <c r="K114" s="31" t="str">
        <f aca="false">IF($C114="","",G114*J114)</f>
        <v/>
      </c>
      <c r="L114" s="51"/>
    </row>
    <row r="115" customFormat="false" ht="15" hidden="false" customHeight="false" outlineLevel="0" collapsed="false">
      <c r="A115" s="25"/>
      <c r="B115" s="24"/>
      <c r="C115" s="21"/>
      <c r="D115" s="50" t="str">
        <f aca="false">IFERROR(INDEX('4. Costeo y Precios'!$B$14:$B$64,MATCH($C115,'4. Costeo y Precios'!$A$14:$A$64,0)),"")</f>
        <v/>
      </c>
      <c r="E115" s="21"/>
      <c r="F115" s="21"/>
      <c r="G115" s="21"/>
      <c r="H115" s="43" t="str">
        <f aca="false">IFERROR(G115/(F115+G115),"")</f>
        <v/>
      </c>
      <c r="I115" s="24"/>
      <c r="J115" s="40" t="n">
        <f aca="false">IFERROR(INDEX('4. Costeo y Precios'!$P$14:$P$64,MATCH($C115,'4. Costeo y Precios'!$A$14:$A$64,0)),0)</f>
        <v>0</v>
      </c>
      <c r="K115" s="31" t="str">
        <f aca="false">IF($C115="","",G115*J115)</f>
        <v/>
      </c>
      <c r="L115" s="51"/>
    </row>
    <row r="116" customFormat="false" ht="15" hidden="false" customHeight="false" outlineLevel="0" collapsed="false">
      <c r="A116" s="25"/>
      <c r="B116" s="24"/>
      <c r="C116" s="21"/>
      <c r="D116" s="50" t="str">
        <f aca="false">IFERROR(INDEX('4. Costeo y Precios'!$B$14:$B$64,MATCH($C116,'4. Costeo y Precios'!$A$14:$A$64,0)),"")</f>
        <v/>
      </c>
      <c r="E116" s="21"/>
      <c r="F116" s="21"/>
      <c r="G116" s="21"/>
      <c r="H116" s="43" t="str">
        <f aca="false">IFERROR(G116/(F116+G116),"")</f>
        <v/>
      </c>
      <c r="I116" s="24"/>
      <c r="J116" s="40" t="n">
        <f aca="false">IFERROR(INDEX('4. Costeo y Precios'!$P$14:$P$64,MATCH($C116,'4. Costeo y Precios'!$A$14:$A$64,0)),0)</f>
        <v>0</v>
      </c>
      <c r="K116" s="31" t="str">
        <f aca="false">IF($C116="","",G116*J116)</f>
        <v/>
      </c>
      <c r="L116" s="51"/>
    </row>
    <row r="117" customFormat="false" ht="15" hidden="false" customHeight="false" outlineLevel="0" collapsed="false">
      <c r="A117" s="25"/>
      <c r="B117" s="24"/>
      <c r="C117" s="21"/>
      <c r="D117" s="50" t="str">
        <f aca="false">IFERROR(INDEX('4. Costeo y Precios'!$B$14:$B$64,MATCH($C117,'4. Costeo y Precios'!$A$14:$A$64,0)),"")</f>
        <v/>
      </c>
      <c r="E117" s="21"/>
      <c r="F117" s="21"/>
      <c r="G117" s="21"/>
      <c r="H117" s="43" t="str">
        <f aca="false">IFERROR(G117/(F117+G117),"")</f>
        <v/>
      </c>
      <c r="I117" s="24"/>
      <c r="J117" s="40" t="n">
        <f aca="false">IFERROR(INDEX('4. Costeo y Precios'!$P$14:$P$64,MATCH($C117,'4. Costeo y Precios'!$A$14:$A$64,0)),0)</f>
        <v>0</v>
      </c>
      <c r="K117" s="31" t="str">
        <f aca="false">IF($C117="","",G117*J117)</f>
        <v/>
      </c>
      <c r="L117" s="51"/>
    </row>
    <row r="118" customFormat="false" ht="15" hidden="false" customHeight="false" outlineLevel="0" collapsed="false">
      <c r="A118" s="25"/>
      <c r="B118" s="24"/>
      <c r="C118" s="21"/>
      <c r="D118" s="50" t="str">
        <f aca="false">IFERROR(INDEX('4. Costeo y Precios'!$B$14:$B$64,MATCH($C118,'4. Costeo y Precios'!$A$14:$A$64,0)),"")</f>
        <v/>
      </c>
      <c r="E118" s="21"/>
      <c r="F118" s="21"/>
      <c r="G118" s="21"/>
      <c r="H118" s="43" t="str">
        <f aca="false">IFERROR(G118/(F118+G118),"")</f>
        <v/>
      </c>
      <c r="I118" s="24"/>
      <c r="J118" s="40" t="n">
        <f aca="false">IFERROR(INDEX('4. Costeo y Precios'!$P$14:$P$64,MATCH($C118,'4. Costeo y Precios'!$A$14:$A$64,0)),0)</f>
        <v>0</v>
      </c>
      <c r="K118" s="31" t="str">
        <f aca="false">IF($C118="","",G118*J118)</f>
        <v/>
      </c>
      <c r="L118" s="51"/>
    </row>
    <row r="119" customFormat="false" ht="15" hidden="false" customHeight="false" outlineLevel="0" collapsed="false">
      <c r="A119" s="25"/>
      <c r="B119" s="24"/>
      <c r="C119" s="21"/>
      <c r="D119" s="50" t="str">
        <f aca="false">IFERROR(INDEX('4. Costeo y Precios'!$B$14:$B$64,MATCH($C119,'4. Costeo y Precios'!$A$14:$A$64,0)),"")</f>
        <v/>
      </c>
      <c r="E119" s="21"/>
      <c r="F119" s="21"/>
      <c r="G119" s="21"/>
      <c r="H119" s="43" t="str">
        <f aca="false">IFERROR(G119/(F119+G119),"")</f>
        <v/>
      </c>
      <c r="I119" s="24"/>
      <c r="J119" s="40" t="n">
        <f aca="false">IFERROR(INDEX('4. Costeo y Precios'!$P$14:$P$64,MATCH($C119,'4. Costeo y Precios'!$A$14:$A$64,0)),0)</f>
        <v>0</v>
      </c>
      <c r="K119" s="31" t="str">
        <f aca="false">IF($C119="","",G119*J119)</f>
        <v/>
      </c>
      <c r="L119" s="51"/>
    </row>
    <row r="120" customFormat="false" ht="15" hidden="false" customHeight="false" outlineLevel="0" collapsed="false">
      <c r="A120" s="25"/>
      <c r="B120" s="24"/>
      <c r="C120" s="21"/>
      <c r="D120" s="50" t="str">
        <f aca="false">IFERROR(INDEX('4. Costeo y Precios'!$B$14:$B$64,MATCH($C120,'4. Costeo y Precios'!$A$14:$A$64,0)),"")</f>
        <v/>
      </c>
      <c r="E120" s="21"/>
      <c r="F120" s="21"/>
      <c r="G120" s="21"/>
      <c r="H120" s="43" t="str">
        <f aca="false">IFERROR(G120/(F120+G120),"")</f>
        <v/>
      </c>
      <c r="I120" s="24"/>
      <c r="J120" s="40" t="n">
        <f aca="false">IFERROR(INDEX('4. Costeo y Precios'!$P$14:$P$64,MATCH($C120,'4. Costeo y Precios'!$A$14:$A$64,0)),0)</f>
        <v>0</v>
      </c>
      <c r="K120" s="31" t="str">
        <f aca="false">IF($C120="","",G120*J120)</f>
        <v/>
      </c>
      <c r="L120" s="51"/>
    </row>
    <row r="121" customFormat="false" ht="15" hidden="false" customHeight="false" outlineLevel="0" collapsed="false">
      <c r="A121" s="25"/>
      <c r="B121" s="24"/>
      <c r="C121" s="21"/>
      <c r="D121" s="50" t="str">
        <f aca="false">IFERROR(INDEX('4. Costeo y Precios'!$B$14:$B$64,MATCH($C121,'4. Costeo y Precios'!$A$14:$A$64,0)),"")</f>
        <v/>
      </c>
      <c r="E121" s="21"/>
      <c r="F121" s="21"/>
      <c r="G121" s="21"/>
      <c r="H121" s="43" t="str">
        <f aca="false">IFERROR(G121/(F121+G121),"")</f>
        <v/>
      </c>
      <c r="I121" s="24"/>
      <c r="J121" s="40" t="n">
        <f aca="false">IFERROR(INDEX('4. Costeo y Precios'!$P$14:$P$64,MATCH($C121,'4. Costeo y Precios'!$A$14:$A$64,0)),0)</f>
        <v>0</v>
      </c>
      <c r="K121" s="31" t="str">
        <f aca="false">IF($C121="","",G121*J121)</f>
        <v/>
      </c>
      <c r="L121" s="51"/>
    </row>
    <row r="122" customFormat="false" ht="15" hidden="false" customHeight="false" outlineLevel="0" collapsed="false">
      <c r="A122" s="25"/>
      <c r="B122" s="24"/>
      <c r="C122" s="21"/>
      <c r="D122" s="50" t="str">
        <f aca="false">IFERROR(INDEX('4. Costeo y Precios'!$B$14:$B$64,MATCH($C122,'4. Costeo y Precios'!$A$14:$A$64,0)),"")</f>
        <v/>
      </c>
      <c r="E122" s="21"/>
      <c r="F122" s="21"/>
      <c r="G122" s="21"/>
      <c r="H122" s="43" t="str">
        <f aca="false">IFERROR(G122/(F122+G122),"")</f>
        <v/>
      </c>
      <c r="I122" s="24"/>
      <c r="J122" s="40" t="n">
        <f aca="false">IFERROR(INDEX('4. Costeo y Precios'!$P$14:$P$64,MATCH($C122,'4. Costeo y Precios'!$A$14:$A$64,0)),0)</f>
        <v>0</v>
      </c>
      <c r="K122" s="31" t="str">
        <f aca="false">IF($C122="","",G122*J122)</f>
        <v/>
      </c>
      <c r="L122" s="51"/>
    </row>
    <row r="123" customFormat="false" ht="15" hidden="false" customHeight="false" outlineLevel="0" collapsed="false">
      <c r="A123" s="25"/>
      <c r="B123" s="24"/>
      <c r="C123" s="21"/>
      <c r="D123" s="50" t="str">
        <f aca="false">IFERROR(INDEX('4. Costeo y Precios'!$B$14:$B$64,MATCH($C123,'4. Costeo y Precios'!$A$14:$A$64,0)),"")</f>
        <v/>
      </c>
      <c r="E123" s="21"/>
      <c r="F123" s="21"/>
      <c r="G123" s="21"/>
      <c r="H123" s="43" t="str">
        <f aca="false">IFERROR(G123/(F123+G123),"")</f>
        <v/>
      </c>
      <c r="I123" s="24"/>
      <c r="J123" s="40" t="n">
        <f aca="false">IFERROR(INDEX('4. Costeo y Precios'!$P$14:$P$64,MATCH($C123,'4. Costeo y Precios'!$A$14:$A$64,0)),0)</f>
        <v>0</v>
      </c>
      <c r="K123" s="31" t="str">
        <f aca="false">IF($C123="","",G123*J123)</f>
        <v/>
      </c>
      <c r="L123" s="51"/>
    </row>
    <row r="124" customFormat="false" ht="15" hidden="false" customHeight="false" outlineLevel="0" collapsed="false">
      <c r="A124" s="25"/>
      <c r="B124" s="24"/>
      <c r="C124" s="21"/>
      <c r="D124" s="50" t="str">
        <f aca="false">IFERROR(INDEX('4. Costeo y Precios'!$B$14:$B$64,MATCH($C124,'4. Costeo y Precios'!$A$14:$A$64,0)),"")</f>
        <v/>
      </c>
      <c r="E124" s="21"/>
      <c r="F124" s="21"/>
      <c r="G124" s="21"/>
      <c r="H124" s="43" t="str">
        <f aca="false">IFERROR(G124/(F124+G124),"")</f>
        <v/>
      </c>
      <c r="I124" s="24"/>
      <c r="J124" s="40" t="n">
        <f aca="false">IFERROR(INDEX('4. Costeo y Precios'!$P$14:$P$64,MATCH($C124,'4. Costeo y Precios'!$A$14:$A$64,0)),0)</f>
        <v>0</v>
      </c>
      <c r="K124" s="31" t="str">
        <f aca="false">IF($C124="","",G124*J124)</f>
        <v/>
      </c>
      <c r="L124" s="51"/>
    </row>
    <row r="125" customFormat="false" ht="15" hidden="false" customHeight="false" outlineLevel="0" collapsed="false">
      <c r="A125" s="25"/>
      <c r="B125" s="24"/>
      <c r="C125" s="21"/>
      <c r="D125" s="50" t="str">
        <f aca="false">IFERROR(INDEX('4. Costeo y Precios'!$B$14:$B$64,MATCH($C125,'4. Costeo y Precios'!$A$14:$A$64,0)),"")</f>
        <v/>
      </c>
      <c r="E125" s="21"/>
      <c r="F125" s="21"/>
      <c r="G125" s="21"/>
      <c r="H125" s="43" t="str">
        <f aca="false">IFERROR(G125/(F125+G125),"")</f>
        <v/>
      </c>
      <c r="I125" s="24"/>
      <c r="J125" s="40" t="n">
        <f aca="false">IFERROR(INDEX('4. Costeo y Precios'!$P$14:$P$64,MATCH($C125,'4. Costeo y Precios'!$A$14:$A$64,0)),0)</f>
        <v>0</v>
      </c>
      <c r="K125" s="31" t="str">
        <f aca="false">IF($C125="","",G125*J125)</f>
        <v/>
      </c>
      <c r="L125" s="51"/>
    </row>
    <row r="126" customFormat="false" ht="15" hidden="false" customHeight="false" outlineLevel="0" collapsed="false">
      <c r="A126" s="25"/>
      <c r="B126" s="24"/>
      <c r="C126" s="21"/>
      <c r="D126" s="50" t="str">
        <f aca="false">IFERROR(INDEX('4. Costeo y Precios'!$B$14:$B$64,MATCH($C126,'4. Costeo y Precios'!$A$14:$A$64,0)),"")</f>
        <v/>
      </c>
      <c r="E126" s="21"/>
      <c r="F126" s="21"/>
      <c r="G126" s="21"/>
      <c r="H126" s="43" t="str">
        <f aca="false">IFERROR(G126/(F126+G126),"")</f>
        <v/>
      </c>
      <c r="I126" s="24"/>
      <c r="J126" s="40" t="n">
        <f aca="false">IFERROR(INDEX('4. Costeo y Precios'!$P$14:$P$64,MATCH($C126,'4. Costeo y Precios'!$A$14:$A$64,0)),0)</f>
        <v>0</v>
      </c>
      <c r="K126" s="31" t="str">
        <f aca="false">IF($C126="","",G126*J126)</f>
        <v/>
      </c>
      <c r="L126" s="51"/>
    </row>
    <row r="127" customFormat="false" ht="15" hidden="false" customHeight="false" outlineLevel="0" collapsed="false">
      <c r="A127" s="25"/>
      <c r="B127" s="24"/>
      <c r="C127" s="21"/>
      <c r="D127" s="50" t="str">
        <f aca="false">IFERROR(INDEX('4. Costeo y Precios'!$B$14:$B$64,MATCH($C127,'4. Costeo y Precios'!$A$14:$A$64,0)),"")</f>
        <v/>
      </c>
      <c r="E127" s="21"/>
      <c r="F127" s="21"/>
      <c r="G127" s="21"/>
      <c r="H127" s="43" t="str">
        <f aca="false">IFERROR(G127/(F127+G127),"")</f>
        <v/>
      </c>
      <c r="I127" s="24"/>
      <c r="J127" s="40" t="n">
        <f aca="false">IFERROR(INDEX('4. Costeo y Precios'!$P$14:$P$64,MATCH($C127,'4. Costeo y Precios'!$A$14:$A$64,0)),0)</f>
        <v>0</v>
      </c>
      <c r="K127" s="31" t="str">
        <f aca="false">IF($C127="","",G127*J127)</f>
        <v/>
      </c>
      <c r="L127" s="51"/>
    </row>
    <row r="128" customFormat="false" ht="15" hidden="false" customHeight="false" outlineLevel="0" collapsed="false">
      <c r="A128" s="25"/>
      <c r="B128" s="24"/>
      <c r="C128" s="21"/>
      <c r="D128" s="50" t="str">
        <f aca="false">IFERROR(INDEX('4. Costeo y Precios'!$B$14:$B$64,MATCH($C128,'4. Costeo y Precios'!$A$14:$A$64,0)),"")</f>
        <v/>
      </c>
      <c r="E128" s="21"/>
      <c r="F128" s="21"/>
      <c r="G128" s="21"/>
      <c r="H128" s="43" t="str">
        <f aca="false">IFERROR(G128/(F128+G128),"")</f>
        <v/>
      </c>
      <c r="I128" s="24"/>
      <c r="J128" s="40" t="n">
        <f aca="false">IFERROR(INDEX('4. Costeo y Precios'!$P$14:$P$64,MATCH($C128,'4. Costeo y Precios'!$A$14:$A$64,0)),0)</f>
        <v>0</v>
      </c>
      <c r="K128" s="31" t="str">
        <f aca="false">IF($C128="","",G128*J128)</f>
        <v/>
      </c>
      <c r="L128" s="51"/>
    </row>
    <row r="129" customFormat="false" ht="15" hidden="false" customHeight="false" outlineLevel="0" collapsed="false">
      <c r="A129" s="25"/>
      <c r="B129" s="24"/>
      <c r="C129" s="21"/>
      <c r="D129" s="50" t="str">
        <f aca="false">IFERROR(INDEX('4. Costeo y Precios'!$B$14:$B$64,MATCH($C129,'4. Costeo y Precios'!$A$14:$A$64,0)),"")</f>
        <v/>
      </c>
      <c r="E129" s="21"/>
      <c r="F129" s="21"/>
      <c r="G129" s="21"/>
      <c r="H129" s="43" t="str">
        <f aca="false">IFERROR(G129/(F129+G129),"")</f>
        <v/>
      </c>
      <c r="I129" s="24"/>
      <c r="J129" s="40" t="n">
        <f aca="false">IFERROR(INDEX('4. Costeo y Precios'!$P$14:$P$64,MATCH($C129,'4. Costeo y Precios'!$A$14:$A$64,0)),0)</f>
        <v>0</v>
      </c>
      <c r="K129" s="31" t="str">
        <f aca="false">IF($C129="","",G129*J129)</f>
        <v/>
      </c>
      <c r="L129" s="51"/>
    </row>
    <row r="130" customFormat="false" ht="15" hidden="false" customHeight="false" outlineLevel="0" collapsed="false">
      <c r="A130" s="25"/>
      <c r="B130" s="24"/>
      <c r="C130" s="21"/>
      <c r="D130" s="50" t="str">
        <f aca="false">IFERROR(INDEX('4. Costeo y Precios'!$B$14:$B$64,MATCH($C130,'4. Costeo y Precios'!$A$14:$A$64,0)),"")</f>
        <v/>
      </c>
      <c r="E130" s="21"/>
      <c r="F130" s="21"/>
      <c r="G130" s="21"/>
      <c r="H130" s="43" t="str">
        <f aca="false">IFERROR(G130/(F130+G130),"")</f>
        <v/>
      </c>
      <c r="I130" s="24"/>
      <c r="J130" s="40" t="n">
        <f aca="false">IFERROR(INDEX('4. Costeo y Precios'!$P$14:$P$64,MATCH($C130,'4. Costeo y Precios'!$A$14:$A$64,0)),0)</f>
        <v>0</v>
      </c>
      <c r="K130" s="31" t="str">
        <f aca="false">IF($C130="","",G130*J130)</f>
        <v/>
      </c>
      <c r="L130" s="51"/>
    </row>
    <row r="131" customFormat="false" ht="15" hidden="false" customHeight="false" outlineLevel="0" collapsed="false">
      <c r="A131" s="25"/>
      <c r="B131" s="24"/>
      <c r="C131" s="21"/>
      <c r="D131" s="50" t="str">
        <f aca="false">IFERROR(INDEX('4. Costeo y Precios'!$B$14:$B$64,MATCH($C131,'4. Costeo y Precios'!$A$14:$A$64,0)),"")</f>
        <v/>
      </c>
      <c r="E131" s="21"/>
      <c r="F131" s="21"/>
      <c r="G131" s="21"/>
      <c r="H131" s="43" t="str">
        <f aca="false">IFERROR(G131/(F131+G131),"")</f>
        <v/>
      </c>
      <c r="I131" s="24"/>
      <c r="J131" s="40" t="n">
        <f aca="false">IFERROR(INDEX('4. Costeo y Precios'!$P$14:$P$64,MATCH($C131,'4. Costeo y Precios'!$A$14:$A$64,0)),0)</f>
        <v>0</v>
      </c>
      <c r="K131" s="31" t="str">
        <f aca="false">IF($C131="","",G131*J131)</f>
        <v/>
      </c>
      <c r="L131" s="51"/>
    </row>
    <row r="132" customFormat="false" ht="15" hidden="false" customHeight="false" outlineLevel="0" collapsed="false">
      <c r="A132" s="25"/>
      <c r="B132" s="24"/>
      <c r="C132" s="21"/>
      <c r="D132" s="50" t="str">
        <f aca="false">IFERROR(INDEX('4. Costeo y Precios'!$B$14:$B$64,MATCH($C132,'4. Costeo y Precios'!$A$14:$A$64,0)),"")</f>
        <v/>
      </c>
      <c r="E132" s="21"/>
      <c r="F132" s="21"/>
      <c r="G132" s="21"/>
      <c r="H132" s="43" t="str">
        <f aca="false">IFERROR(G132/(F132+G132),"")</f>
        <v/>
      </c>
      <c r="I132" s="24"/>
      <c r="J132" s="40" t="n">
        <f aca="false">IFERROR(INDEX('4. Costeo y Precios'!$P$14:$P$64,MATCH($C132,'4. Costeo y Precios'!$A$14:$A$64,0)),0)</f>
        <v>0</v>
      </c>
      <c r="K132" s="31" t="str">
        <f aca="false">IF($C132="","",G132*J132)</f>
        <v/>
      </c>
      <c r="L132" s="51"/>
    </row>
    <row r="133" customFormat="false" ht="15" hidden="false" customHeight="false" outlineLevel="0" collapsed="false">
      <c r="A133" s="25"/>
      <c r="B133" s="24"/>
      <c r="C133" s="21"/>
      <c r="D133" s="50" t="str">
        <f aca="false">IFERROR(INDEX('4. Costeo y Precios'!$B$14:$B$64,MATCH($C133,'4. Costeo y Precios'!$A$14:$A$64,0)),"")</f>
        <v/>
      </c>
      <c r="E133" s="21"/>
      <c r="F133" s="21"/>
      <c r="G133" s="21"/>
      <c r="H133" s="43" t="str">
        <f aca="false">IFERROR(G133/(F133+G133),"")</f>
        <v/>
      </c>
      <c r="I133" s="24"/>
      <c r="J133" s="40" t="n">
        <f aca="false">IFERROR(INDEX('4. Costeo y Precios'!$P$14:$P$64,MATCH($C133,'4. Costeo y Precios'!$A$14:$A$64,0)),0)</f>
        <v>0</v>
      </c>
      <c r="K133" s="31" t="str">
        <f aca="false">IF($C133="","",G133*J133)</f>
        <v/>
      </c>
      <c r="L133" s="51"/>
    </row>
    <row r="134" customFormat="false" ht="15" hidden="false" customHeight="false" outlineLevel="0" collapsed="false">
      <c r="A134" s="25"/>
      <c r="B134" s="24"/>
      <c r="C134" s="21"/>
      <c r="D134" s="50" t="str">
        <f aca="false">IFERROR(INDEX('4. Costeo y Precios'!$B$14:$B$64,MATCH($C134,'4. Costeo y Precios'!$A$14:$A$64,0)),"")</f>
        <v/>
      </c>
      <c r="E134" s="21"/>
      <c r="F134" s="21"/>
      <c r="G134" s="21"/>
      <c r="H134" s="43" t="str">
        <f aca="false">IFERROR(G134/(F134+G134),"")</f>
        <v/>
      </c>
      <c r="I134" s="24"/>
      <c r="J134" s="40" t="n">
        <f aca="false">IFERROR(INDEX('4. Costeo y Precios'!$P$14:$P$64,MATCH($C134,'4. Costeo y Precios'!$A$14:$A$64,0)),0)</f>
        <v>0</v>
      </c>
      <c r="K134" s="31" t="str">
        <f aca="false">IF($C134="","",G134*J134)</f>
        <v/>
      </c>
      <c r="L134" s="51"/>
    </row>
    <row r="135" customFormat="false" ht="15" hidden="false" customHeight="false" outlineLevel="0" collapsed="false">
      <c r="A135" s="25"/>
      <c r="B135" s="24"/>
      <c r="C135" s="21"/>
      <c r="D135" s="50" t="str">
        <f aca="false">IFERROR(INDEX('4. Costeo y Precios'!$B$14:$B$64,MATCH($C135,'4. Costeo y Precios'!$A$14:$A$64,0)),"")</f>
        <v/>
      </c>
      <c r="E135" s="21"/>
      <c r="F135" s="21"/>
      <c r="G135" s="21"/>
      <c r="H135" s="43" t="str">
        <f aca="false">IFERROR(G135/(F135+G135),"")</f>
        <v/>
      </c>
      <c r="I135" s="24"/>
      <c r="J135" s="40" t="n">
        <f aca="false">IFERROR(INDEX('4. Costeo y Precios'!$P$14:$P$64,MATCH($C135,'4. Costeo y Precios'!$A$14:$A$64,0)),0)</f>
        <v>0</v>
      </c>
      <c r="K135" s="31" t="str">
        <f aca="false">IF($C135="","",G135*J135)</f>
        <v/>
      </c>
      <c r="L135" s="51"/>
    </row>
    <row r="136" customFormat="false" ht="15" hidden="false" customHeight="false" outlineLevel="0" collapsed="false">
      <c r="A136" s="25"/>
      <c r="B136" s="24"/>
      <c r="C136" s="21"/>
      <c r="D136" s="50" t="str">
        <f aca="false">IFERROR(INDEX('4. Costeo y Precios'!$B$14:$B$64,MATCH($C136,'4. Costeo y Precios'!$A$14:$A$64,0)),"")</f>
        <v/>
      </c>
      <c r="E136" s="21"/>
      <c r="F136" s="21"/>
      <c r="G136" s="21"/>
      <c r="H136" s="43" t="str">
        <f aca="false">IFERROR(G136/(F136+G136),"")</f>
        <v/>
      </c>
      <c r="I136" s="24"/>
      <c r="J136" s="40" t="n">
        <f aca="false">IFERROR(INDEX('4. Costeo y Precios'!$P$14:$P$64,MATCH($C136,'4. Costeo y Precios'!$A$14:$A$64,0)),0)</f>
        <v>0</v>
      </c>
      <c r="K136" s="31" t="str">
        <f aca="false">IF($C136="","",G136*J136)</f>
        <v/>
      </c>
      <c r="L136" s="51"/>
    </row>
    <row r="137" customFormat="false" ht="15" hidden="false" customHeight="false" outlineLevel="0" collapsed="false">
      <c r="A137" s="25"/>
      <c r="B137" s="24"/>
      <c r="C137" s="21"/>
      <c r="D137" s="50" t="str">
        <f aca="false">IFERROR(INDEX('4. Costeo y Precios'!$B$14:$B$64,MATCH($C137,'4. Costeo y Precios'!$A$14:$A$64,0)),"")</f>
        <v/>
      </c>
      <c r="E137" s="21"/>
      <c r="F137" s="21"/>
      <c r="G137" s="21"/>
      <c r="H137" s="43" t="str">
        <f aca="false">IFERROR(G137/(F137+G137),"")</f>
        <v/>
      </c>
      <c r="I137" s="24"/>
      <c r="J137" s="40" t="n">
        <f aca="false">IFERROR(INDEX('4. Costeo y Precios'!$P$14:$P$64,MATCH($C137,'4. Costeo y Precios'!$A$14:$A$64,0)),0)</f>
        <v>0</v>
      </c>
      <c r="K137" s="31" t="str">
        <f aca="false">IF($C137="","",G137*J137)</f>
        <v/>
      </c>
      <c r="L137" s="51"/>
    </row>
    <row r="138" customFormat="false" ht="15" hidden="false" customHeight="false" outlineLevel="0" collapsed="false">
      <c r="A138" s="25"/>
      <c r="B138" s="24"/>
      <c r="C138" s="21"/>
      <c r="D138" s="50" t="str">
        <f aca="false">IFERROR(INDEX('4. Costeo y Precios'!$B$14:$B$64,MATCH($C138,'4. Costeo y Precios'!$A$14:$A$64,0)),"")</f>
        <v/>
      </c>
      <c r="E138" s="21"/>
      <c r="F138" s="21"/>
      <c r="G138" s="21"/>
      <c r="H138" s="43" t="str">
        <f aca="false">IFERROR(G138/(F138+G138),"")</f>
        <v/>
      </c>
      <c r="I138" s="24"/>
      <c r="J138" s="40" t="n">
        <f aca="false">IFERROR(INDEX('4. Costeo y Precios'!$P$14:$P$64,MATCH($C138,'4. Costeo y Precios'!$A$14:$A$64,0)),0)</f>
        <v>0</v>
      </c>
      <c r="K138" s="31" t="str">
        <f aca="false">IF($C138="","",G138*J138)</f>
        <v/>
      </c>
      <c r="L138" s="51"/>
    </row>
    <row r="139" customFormat="false" ht="15" hidden="false" customHeight="false" outlineLevel="0" collapsed="false">
      <c r="A139" s="25"/>
      <c r="B139" s="24"/>
      <c r="C139" s="21"/>
      <c r="D139" s="50" t="str">
        <f aca="false">IFERROR(INDEX('4. Costeo y Precios'!$B$14:$B$64,MATCH($C139,'4. Costeo y Precios'!$A$14:$A$64,0)),"")</f>
        <v/>
      </c>
      <c r="E139" s="21"/>
      <c r="F139" s="21"/>
      <c r="G139" s="21"/>
      <c r="H139" s="43" t="str">
        <f aca="false">IFERROR(G139/(F139+G139),"")</f>
        <v/>
      </c>
      <c r="I139" s="24"/>
      <c r="J139" s="40" t="n">
        <f aca="false">IFERROR(INDEX('4. Costeo y Precios'!$P$14:$P$64,MATCH($C139,'4. Costeo y Precios'!$A$14:$A$64,0)),0)</f>
        <v>0</v>
      </c>
      <c r="K139" s="31" t="str">
        <f aca="false">IF($C139="","",G139*J139)</f>
        <v/>
      </c>
      <c r="L139" s="51"/>
    </row>
    <row r="140" customFormat="false" ht="15" hidden="false" customHeight="false" outlineLevel="0" collapsed="false">
      <c r="A140" s="25"/>
      <c r="B140" s="24"/>
      <c r="C140" s="21"/>
      <c r="D140" s="50" t="str">
        <f aca="false">IFERROR(INDEX('4. Costeo y Precios'!$B$14:$B$64,MATCH($C140,'4. Costeo y Precios'!$A$14:$A$64,0)),"")</f>
        <v/>
      </c>
      <c r="E140" s="21"/>
      <c r="F140" s="21"/>
      <c r="G140" s="21"/>
      <c r="H140" s="43" t="str">
        <f aca="false">IFERROR(G140/(F140+G140),"")</f>
        <v/>
      </c>
      <c r="I140" s="24"/>
      <c r="J140" s="40" t="n">
        <f aca="false">IFERROR(INDEX('4. Costeo y Precios'!$P$14:$P$64,MATCH($C140,'4. Costeo y Precios'!$A$14:$A$64,0)),0)</f>
        <v>0</v>
      </c>
      <c r="K140" s="31" t="str">
        <f aca="false">IF($C140="","",G140*J140)</f>
        <v/>
      </c>
      <c r="L140" s="51"/>
    </row>
    <row r="141" customFormat="false" ht="15" hidden="false" customHeight="false" outlineLevel="0" collapsed="false">
      <c r="A141" s="25"/>
      <c r="B141" s="24"/>
      <c r="C141" s="21"/>
      <c r="D141" s="50" t="str">
        <f aca="false">IFERROR(INDEX('4. Costeo y Precios'!$B$14:$B$64,MATCH($C141,'4. Costeo y Precios'!$A$14:$A$64,0)),"")</f>
        <v/>
      </c>
      <c r="E141" s="21"/>
      <c r="F141" s="21"/>
      <c r="G141" s="21"/>
      <c r="H141" s="43" t="str">
        <f aca="false">IFERROR(G141/(F141+G141),"")</f>
        <v/>
      </c>
      <c r="I141" s="24"/>
      <c r="J141" s="40" t="n">
        <f aca="false">IFERROR(INDEX('4. Costeo y Precios'!$P$14:$P$64,MATCH($C141,'4. Costeo y Precios'!$A$14:$A$64,0)),0)</f>
        <v>0</v>
      </c>
      <c r="K141" s="31" t="str">
        <f aca="false">IF($C141="","",G141*J141)</f>
        <v/>
      </c>
      <c r="L141" s="51"/>
    </row>
    <row r="142" customFormat="false" ht="15" hidden="false" customHeight="false" outlineLevel="0" collapsed="false">
      <c r="A142" s="25"/>
      <c r="B142" s="24"/>
      <c r="C142" s="21"/>
      <c r="D142" s="50" t="str">
        <f aca="false">IFERROR(INDEX('4. Costeo y Precios'!$B$14:$B$64,MATCH($C142,'4. Costeo y Precios'!$A$14:$A$64,0)),"")</f>
        <v/>
      </c>
      <c r="E142" s="21"/>
      <c r="F142" s="21"/>
      <c r="G142" s="21"/>
      <c r="H142" s="43" t="str">
        <f aca="false">IFERROR(G142/(F142+G142),"")</f>
        <v/>
      </c>
      <c r="I142" s="24"/>
      <c r="J142" s="40" t="n">
        <f aca="false">IFERROR(INDEX('4. Costeo y Precios'!$P$14:$P$64,MATCH($C142,'4. Costeo y Precios'!$A$14:$A$64,0)),0)</f>
        <v>0</v>
      </c>
      <c r="K142" s="31" t="str">
        <f aca="false">IF($C142="","",G142*J142)</f>
        <v/>
      </c>
      <c r="L142" s="51"/>
    </row>
    <row r="143" customFormat="false" ht="15" hidden="false" customHeight="false" outlineLevel="0" collapsed="false">
      <c r="A143" s="25"/>
      <c r="B143" s="24"/>
      <c r="C143" s="21"/>
      <c r="D143" s="50" t="str">
        <f aca="false">IFERROR(INDEX('4. Costeo y Precios'!$B$14:$B$64,MATCH($C143,'4. Costeo y Precios'!$A$14:$A$64,0)),"")</f>
        <v/>
      </c>
      <c r="E143" s="21"/>
      <c r="F143" s="21"/>
      <c r="G143" s="21"/>
      <c r="H143" s="43" t="str">
        <f aca="false">IFERROR(G143/(F143+G143),"")</f>
        <v/>
      </c>
      <c r="I143" s="24"/>
      <c r="J143" s="40" t="n">
        <f aca="false">IFERROR(INDEX('4. Costeo y Precios'!$P$14:$P$64,MATCH($C143,'4. Costeo y Precios'!$A$14:$A$64,0)),0)</f>
        <v>0</v>
      </c>
      <c r="K143" s="31" t="str">
        <f aca="false">IF($C143="","",G143*J143)</f>
        <v/>
      </c>
      <c r="L143" s="51"/>
    </row>
    <row r="144" customFormat="false" ht="15" hidden="false" customHeight="false" outlineLevel="0" collapsed="false">
      <c r="A144" s="25"/>
      <c r="B144" s="24"/>
      <c r="C144" s="21"/>
      <c r="D144" s="50" t="str">
        <f aca="false">IFERROR(INDEX('4. Costeo y Precios'!$B$14:$B$64,MATCH($C144,'4. Costeo y Precios'!$A$14:$A$64,0)),"")</f>
        <v/>
      </c>
      <c r="E144" s="21"/>
      <c r="F144" s="21"/>
      <c r="G144" s="21"/>
      <c r="H144" s="43" t="str">
        <f aca="false">IFERROR(G144/(F144+G144),"")</f>
        <v/>
      </c>
      <c r="I144" s="24"/>
      <c r="J144" s="40" t="n">
        <f aca="false">IFERROR(INDEX('4. Costeo y Precios'!$P$14:$P$64,MATCH($C144,'4. Costeo y Precios'!$A$14:$A$64,0)),0)</f>
        <v>0</v>
      </c>
      <c r="K144" s="31" t="str">
        <f aca="false">IF($C144="","",G144*J144)</f>
        <v/>
      </c>
      <c r="L144" s="51"/>
    </row>
    <row r="145" customFormat="false" ht="15" hidden="false" customHeight="false" outlineLevel="0" collapsed="false">
      <c r="A145" s="25"/>
      <c r="B145" s="24"/>
      <c r="C145" s="21"/>
      <c r="D145" s="50" t="str">
        <f aca="false">IFERROR(INDEX('4. Costeo y Precios'!$B$14:$B$64,MATCH($C145,'4. Costeo y Precios'!$A$14:$A$64,0)),"")</f>
        <v/>
      </c>
      <c r="E145" s="21"/>
      <c r="F145" s="21"/>
      <c r="G145" s="21"/>
      <c r="H145" s="43" t="str">
        <f aca="false">IFERROR(G145/(F145+G145),"")</f>
        <v/>
      </c>
      <c r="I145" s="24"/>
      <c r="J145" s="40" t="n">
        <f aca="false">IFERROR(INDEX('4. Costeo y Precios'!$P$14:$P$64,MATCH($C145,'4. Costeo y Precios'!$A$14:$A$64,0)),0)</f>
        <v>0</v>
      </c>
      <c r="K145" s="31" t="str">
        <f aca="false">IF($C145="","",G145*J145)</f>
        <v/>
      </c>
      <c r="L145" s="51"/>
    </row>
    <row r="146" customFormat="false" ht="15" hidden="false" customHeight="false" outlineLevel="0" collapsed="false">
      <c r="A146" s="25"/>
      <c r="B146" s="24"/>
      <c r="C146" s="21"/>
      <c r="D146" s="50" t="str">
        <f aca="false">IFERROR(INDEX('4. Costeo y Precios'!$B$14:$B$64,MATCH($C146,'4. Costeo y Precios'!$A$14:$A$64,0)),"")</f>
        <v/>
      </c>
      <c r="E146" s="21"/>
      <c r="F146" s="21"/>
      <c r="G146" s="21"/>
      <c r="H146" s="43" t="str">
        <f aca="false">IFERROR(G146/(F146+G146),"")</f>
        <v/>
      </c>
      <c r="I146" s="24"/>
      <c r="J146" s="40" t="n">
        <f aca="false">IFERROR(INDEX('4. Costeo y Precios'!$P$14:$P$64,MATCH($C146,'4. Costeo y Precios'!$A$14:$A$64,0)),0)</f>
        <v>0</v>
      </c>
      <c r="K146" s="31" t="str">
        <f aca="false">IF($C146="","",G146*J146)</f>
        <v/>
      </c>
      <c r="L146" s="51"/>
    </row>
    <row r="147" customFormat="false" ht="15" hidden="false" customHeight="false" outlineLevel="0" collapsed="false">
      <c r="A147" s="25"/>
      <c r="B147" s="24"/>
      <c r="C147" s="21"/>
      <c r="D147" s="50" t="str">
        <f aca="false">IFERROR(INDEX('4. Costeo y Precios'!$B$14:$B$64,MATCH($C147,'4. Costeo y Precios'!$A$14:$A$64,0)),"")</f>
        <v/>
      </c>
      <c r="E147" s="21"/>
      <c r="F147" s="21"/>
      <c r="G147" s="21"/>
      <c r="H147" s="43" t="str">
        <f aca="false">IFERROR(G147/(F147+G147),"")</f>
        <v/>
      </c>
      <c r="I147" s="24"/>
      <c r="J147" s="40" t="n">
        <f aca="false">IFERROR(INDEX('4. Costeo y Precios'!$P$14:$P$64,MATCH($C147,'4. Costeo y Precios'!$A$14:$A$64,0)),0)</f>
        <v>0</v>
      </c>
      <c r="K147" s="31" t="str">
        <f aca="false">IF($C147="","",G147*J147)</f>
        <v/>
      </c>
      <c r="L147" s="51"/>
    </row>
    <row r="148" customFormat="false" ht="15" hidden="false" customHeight="false" outlineLevel="0" collapsed="false">
      <c r="A148" s="25"/>
      <c r="B148" s="24"/>
      <c r="C148" s="21"/>
      <c r="D148" s="50" t="str">
        <f aca="false">IFERROR(INDEX('4. Costeo y Precios'!$B$14:$B$64,MATCH($C148,'4. Costeo y Precios'!$A$14:$A$64,0)),"")</f>
        <v/>
      </c>
      <c r="E148" s="21"/>
      <c r="F148" s="21"/>
      <c r="G148" s="21"/>
      <c r="H148" s="43" t="str">
        <f aca="false">IFERROR(G148/(F148+G148),"")</f>
        <v/>
      </c>
      <c r="I148" s="24"/>
      <c r="J148" s="40" t="n">
        <f aca="false">IFERROR(INDEX('4. Costeo y Precios'!$P$14:$P$64,MATCH($C148,'4. Costeo y Precios'!$A$14:$A$64,0)),0)</f>
        <v>0</v>
      </c>
      <c r="K148" s="31" t="str">
        <f aca="false">IF($C148="","",G148*J148)</f>
        <v/>
      </c>
      <c r="L148" s="51"/>
    </row>
    <row r="149" customFormat="false" ht="15" hidden="false" customHeight="false" outlineLevel="0" collapsed="false">
      <c r="A149" s="25"/>
      <c r="B149" s="24"/>
      <c r="C149" s="21"/>
      <c r="D149" s="50" t="str">
        <f aca="false">IFERROR(INDEX('4. Costeo y Precios'!$B$14:$B$64,MATCH($C149,'4. Costeo y Precios'!$A$14:$A$64,0)),"")</f>
        <v/>
      </c>
      <c r="E149" s="21"/>
      <c r="F149" s="21"/>
      <c r="G149" s="21"/>
      <c r="H149" s="43" t="str">
        <f aca="false">IFERROR(G149/(F149+G149),"")</f>
        <v/>
      </c>
      <c r="I149" s="24"/>
      <c r="J149" s="40" t="n">
        <f aca="false">IFERROR(INDEX('4. Costeo y Precios'!$P$14:$P$64,MATCH($C149,'4. Costeo y Precios'!$A$14:$A$64,0)),0)</f>
        <v>0</v>
      </c>
      <c r="K149" s="31" t="str">
        <f aca="false">IF($C149="","",G149*J149)</f>
        <v/>
      </c>
      <c r="L149" s="51"/>
    </row>
    <row r="150" customFormat="false" ht="15" hidden="false" customHeight="false" outlineLevel="0" collapsed="false">
      <c r="A150" s="25"/>
      <c r="B150" s="24"/>
      <c r="C150" s="21"/>
      <c r="D150" s="50" t="str">
        <f aca="false">IFERROR(INDEX('4. Costeo y Precios'!$B$14:$B$64,MATCH($C150,'4. Costeo y Precios'!$A$14:$A$64,0)),"")</f>
        <v/>
      </c>
      <c r="E150" s="21"/>
      <c r="F150" s="21"/>
      <c r="G150" s="21"/>
      <c r="H150" s="43" t="str">
        <f aca="false">IFERROR(G150/(F150+G150),"")</f>
        <v/>
      </c>
      <c r="I150" s="24"/>
      <c r="J150" s="40" t="n">
        <f aca="false">IFERROR(INDEX('4. Costeo y Precios'!$P$14:$P$64,MATCH($C150,'4. Costeo y Precios'!$A$14:$A$64,0)),0)</f>
        <v>0</v>
      </c>
      <c r="K150" s="31" t="str">
        <f aca="false">IF($C150="","",G150*J150)</f>
        <v/>
      </c>
      <c r="L150" s="51"/>
    </row>
    <row r="151" customFormat="false" ht="15" hidden="false" customHeight="false" outlineLevel="0" collapsed="false">
      <c r="A151" s="25"/>
      <c r="B151" s="24"/>
      <c r="C151" s="21"/>
      <c r="D151" s="50" t="str">
        <f aca="false">IFERROR(INDEX('4. Costeo y Precios'!$B$14:$B$64,MATCH($C151,'4. Costeo y Precios'!$A$14:$A$64,0)),"")</f>
        <v/>
      </c>
      <c r="E151" s="21"/>
      <c r="F151" s="21"/>
      <c r="G151" s="21"/>
      <c r="H151" s="43" t="str">
        <f aca="false">IFERROR(G151/(F151+G151),"")</f>
        <v/>
      </c>
      <c r="I151" s="24"/>
      <c r="J151" s="40" t="n">
        <f aca="false">IFERROR(INDEX('4. Costeo y Precios'!$P$14:$P$64,MATCH($C151,'4. Costeo y Precios'!$A$14:$A$64,0)),0)</f>
        <v>0</v>
      </c>
      <c r="K151" s="31" t="str">
        <f aca="false">IF($C151="","",G151*J151)</f>
        <v/>
      </c>
      <c r="L151" s="51"/>
    </row>
    <row r="152" customFormat="false" ht="15" hidden="false" customHeight="false" outlineLevel="0" collapsed="false">
      <c r="A152" s="25"/>
      <c r="B152" s="24"/>
      <c r="C152" s="21"/>
      <c r="D152" s="50" t="str">
        <f aca="false">IFERROR(INDEX('4. Costeo y Precios'!$B$14:$B$64,MATCH($C152,'4. Costeo y Precios'!$A$14:$A$64,0)),"")</f>
        <v/>
      </c>
      <c r="E152" s="21"/>
      <c r="F152" s="21"/>
      <c r="G152" s="21"/>
      <c r="H152" s="43" t="str">
        <f aca="false">IFERROR(G152/(F152+G152),"")</f>
        <v/>
      </c>
      <c r="I152" s="24"/>
      <c r="J152" s="40" t="n">
        <f aca="false">IFERROR(INDEX('4. Costeo y Precios'!$P$14:$P$64,MATCH($C152,'4. Costeo y Precios'!$A$14:$A$64,0)),0)</f>
        <v>0</v>
      </c>
      <c r="K152" s="31" t="str">
        <f aca="false">IF($C152="","",G152*J152)</f>
        <v/>
      </c>
      <c r="L152" s="51"/>
    </row>
    <row r="153" customFormat="false" ht="15" hidden="false" customHeight="false" outlineLevel="0" collapsed="false">
      <c r="A153" s="25"/>
      <c r="B153" s="24"/>
      <c r="C153" s="21"/>
      <c r="D153" s="50" t="str">
        <f aca="false">IFERROR(INDEX('4. Costeo y Precios'!$B$14:$B$64,MATCH($C153,'4. Costeo y Precios'!$A$14:$A$64,0)),"")</f>
        <v/>
      </c>
      <c r="E153" s="21"/>
      <c r="F153" s="21"/>
      <c r="G153" s="21"/>
      <c r="H153" s="43" t="str">
        <f aca="false">IFERROR(G153/(F153+G153),"")</f>
        <v/>
      </c>
      <c r="I153" s="24"/>
      <c r="J153" s="40" t="n">
        <f aca="false">IFERROR(INDEX('4. Costeo y Precios'!$P$14:$P$64,MATCH($C153,'4. Costeo y Precios'!$A$14:$A$64,0)),0)</f>
        <v>0</v>
      </c>
      <c r="K153" s="31" t="str">
        <f aca="false">IF($C153="","",G153*J153)</f>
        <v/>
      </c>
      <c r="L153" s="51"/>
    </row>
    <row r="154" customFormat="false" ht="15" hidden="false" customHeight="false" outlineLevel="0" collapsed="false">
      <c r="A154" s="25"/>
      <c r="B154" s="24"/>
      <c r="C154" s="21"/>
      <c r="D154" s="50" t="str">
        <f aca="false">IFERROR(INDEX('4. Costeo y Precios'!$B$14:$B$64,MATCH($C154,'4. Costeo y Precios'!$A$14:$A$64,0)),"")</f>
        <v/>
      </c>
      <c r="E154" s="21"/>
      <c r="F154" s="21"/>
      <c r="G154" s="21"/>
      <c r="H154" s="43" t="str">
        <f aca="false">IFERROR(G154/(F154+G154),"")</f>
        <v/>
      </c>
      <c r="I154" s="24"/>
      <c r="J154" s="40" t="n">
        <f aca="false">IFERROR(INDEX('4. Costeo y Precios'!$P$14:$P$64,MATCH($C154,'4. Costeo y Precios'!$A$14:$A$64,0)),0)</f>
        <v>0</v>
      </c>
      <c r="K154" s="31" t="str">
        <f aca="false">IF($C154="","",G154*J154)</f>
        <v/>
      </c>
      <c r="L154" s="51"/>
    </row>
    <row r="155" customFormat="false" ht="15" hidden="false" customHeight="false" outlineLevel="0" collapsed="false">
      <c r="A155" s="25"/>
      <c r="B155" s="24"/>
      <c r="C155" s="21"/>
      <c r="D155" s="50" t="str">
        <f aca="false">IFERROR(INDEX('4. Costeo y Precios'!$B$14:$B$64,MATCH($C155,'4. Costeo y Precios'!$A$14:$A$64,0)),"")</f>
        <v/>
      </c>
      <c r="E155" s="21"/>
      <c r="F155" s="21"/>
      <c r="G155" s="21"/>
      <c r="H155" s="43" t="str">
        <f aca="false">IFERROR(G155/(F155+G155),"")</f>
        <v/>
      </c>
      <c r="I155" s="24"/>
      <c r="J155" s="40" t="n">
        <f aca="false">IFERROR(INDEX('4. Costeo y Precios'!$P$14:$P$64,MATCH($C155,'4. Costeo y Precios'!$A$14:$A$64,0)),0)</f>
        <v>0</v>
      </c>
      <c r="K155" s="31" t="str">
        <f aca="false">IF($C155="","",G155*J155)</f>
        <v/>
      </c>
      <c r="L155" s="51"/>
    </row>
    <row r="156" customFormat="false" ht="15" hidden="false" customHeight="false" outlineLevel="0" collapsed="false">
      <c r="A156" s="25"/>
      <c r="B156" s="24"/>
      <c r="C156" s="21"/>
      <c r="D156" s="50" t="str">
        <f aca="false">IFERROR(INDEX('4. Costeo y Precios'!$B$14:$B$64,MATCH($C156,'4. Costeo y Precios'!$A$14:$A$64,0)),"")</f>
        <v/>
      </c>
      <c r="E156" s="21"/>
      <c r="F156" s="21"/>
      <c r="G156" s="21"/>
      <c r="H156" s="43" t="str">
        <f aca="false">IFERROR(G156/(F156+G156),"")</f>
        <v/>
      </c>
      <c r="I156" s="24"/>
      <c r="J156" s="40" t="n">
        <f aca="false">IFERROR(INDEX('4. Costeo y Precios'!$P$14:$P$64,MATCH($C156,'4. Costeo y Precios'!$A$14:$A$64,0)),0)</f>
        <v>0</v>
      </c>
      <c r="K156" s="31" t="str">
        <f aca="false">IF($C156="","",G156*J156)</f>
        <v/>
      </c>
      <c r="L156" s="51"/>
    </row>
    <row r="157" customFormat="false" ht="15" hidden="false" customHeight="false" outlineLevel="0" collapsed="false">
      <c r="A157" s="25"/>
      <c r="B157" s="24"/>
      <c r="C157" s="21"/>
      <c r="D157" s="50" t="str">
        <f aca="false">IFERROR(INDEX('4. Costeo y Precios'!$B$14:$B$64,MATCH($C157,'4. Costeo y Precios'!$A$14:$A$64,0)),"")</f>
        <v/>
      </c>
      <c r="E157" s="21"/>
      <c r="F157" s="21"/>
      <c r="G157" s="21"/>
      <c r="H157" s="43" t="str">
        <f aca="false">IFERROR(G157/(F157+G157),"")</f>
        <v/>
      </c>
      <c r="I157" s="24"/>
      <c r="J157" s="40" t="n">
        <f aca="false">IFERROR(INDEX('4. Costeo y Precios'!$P$14:$P$64,MATCH($C157,'4. Costeo y Precios'!$A$14:$A$64,0)),0)</f>
        <v>0</v>
      </c>
      <c r="K157" s="31" t="str">
        <f aca="false">IF($C157="","",G157*J157)</f>
        <v/>
      </c>
      <c r="L157" s="51"/>
    </row>
    <row r="158" customFormat="false" ht="15" hidden="false" customHeight="false" outlineLevel="0" collapsed="false">
      <c r="A158" s="25"/>
      <c r="B158" s="24"/>
      <c r="C158" s="21"/>
      <c r="D158" s="50" t="str">
        <f aca="false">IFERROR(INDEX('4. Costeo y Precios'!$B$14:$B$64,MATCH($C158,'4. Costeo y Precios'!$A$14:$A$64,0)),"")</f>
        <v/>
      </c>
      <c r="E158" s="21"/>
      <c r="F158" s="21"/>
      <c r="G158" s="21"/>
      <c r="H158" s="43" t="str">
        <f aca="false">IFERROR(G158/(F158+G158),"")</f>
        <v/>
      </c>
      <c r="I158" s="24"/>
      <c r="J158" s="40" t="n">
        <f aca="false">IFERROR(INDEX('4. Costeo y Precios'!$P$14:$P$64,MATCH($C158,'4. Costeo y Precios'!$A$14:$A$64,0)),0)</f>
        <v>0</v>
      </c>
      <c r="K158" s="31" t="str">
        <f aca="false">IF($C158="","",G158*J158)</f>
        <v/>
      </c>
      <c r="L158" s="51"/>
    </row>
    <row r="159" customFormat="false" ht="15" hidden="false" customHeight="false" outlineLevel="0" collapsed="false">
      <c r="A159" s="25"/>
      <c r="B159" s="24"/>
      <c r="C159" s="21"/>
      <c r="D159" s="50" t="str">
        <f aca="false">IFERROR(INDEX('4. Costeo y Precios'!$B$14:$B$64,MATCH($C159,'4. Costeo y Precios'!$A$14:$A$64,0)),"")</f>
        <v/>
      </c>
      <c r="E159" s="21"/>
      <c r="F159" s="21"/>
      <c r="G159" s="21"/>
      <c r="H159" s="43" t="str">
        <f aca="false">IFERROR(G159/(F159+G159),"")</f>
        <v/>
      </c>
      <c r="I159" s="24"/>
      <c r="J159" s="40" t="n">
        <f aca="false">IFERROR(INDEX('4. Costeo y Precios'!$P$14:$P$64,MATCH($C159,'4. Costeo y Precios'!$A$14:$A$64,0)),0)</f>
        <v>0</v>
      </c>
      <c r="K159" s="31" t="str">
        <f aca="false">IF($C159="","",G159*J159)</f>
        <v/>
      </c>
      <c r="L159" s="51"/>
    </row>
    <row r="160" customFormat="false" ht="15" hidden="false" customHeight="false" outlineLevel="0" collapsed="false">
      <c r="A160" s="25"/>
      <c r="B160" s="24"/>
      <c r="C160" s="21"/>
      <c r="D160" s="50" t="str">
        <f aca="false">IFERROR(INDEX('4. Costeo y Precios'!$B$14:$B$64,MATCH($C160,'4. Costeo y Precios'!$A$14:$A$64,0)),"")</f>
        <v/>
      </c>
      <c r="E160" s="21"/>
      <c r="F160" s="21"/>
      <c r="G160" s="21"/>
      <c r="H160" s="43" t="str">
        <f aca="false">IFERROR(G160/(F160+G160),"")</f>
        <v/>
      </c>
      <c r="I160" s="24"/>
      <c r="J160" s="40" t="n">
        <f aca="false">IFERROR(INDEX('4. Costeo y Precios'!$P$14:$P$64,MATCH($C160,'4. Costeo y Precios'!$A$14:$A$64,0)),0)</f>
        <v>0</v>
      </c>
      <c r="K160" s="31" t="str">
        <f aca="false">IF($C160="","",G160*J160)</f>
        <v/>
      </c>
      <c r="L160" s="51"/>
    </row>
    <row r="161" customFormat="false" ht="15" hidden="false" customHeight="false" outlineLevel="0" collapsed="false">
      <c r="A161" s="25"/>
      <c r="B161" s="24"/>
      <c r="C161" s="21"/>
      <c r="D161" s="50" t="str">
        <f aca="false">IFERROR(INDEX('4. Costeo y Precios'!$B$14:$B$64,MATCH($C161,'4. Costeo y Precios'!$A$14:$A$64,0)),"")</f>
        <v/>
      </c>
      <c r="E161" s="21"/>
      <c r="F161" s="21"/>
      <c r="G161" s="21"/>
      <c r="H161" s="43" t="str">
        <f aca="false">IFERROR(G161/(F161+G161),"")</f>
        <v/>
      </c>
      <c r="I161" s="24"/>
      <c r="J161" s="40" t="n">
        <f aca="false">IFERROR(INDEX('4. Costeo y Precios'!$P$14:$P$64,MATCH($C161,'4. Costeo y Precios'!$A$14:$A$64,0)),0)</f>
        <v>0</v>
      </c>
      <c r="K161" s="31" t="str">
        <f aca="false">IF($C161="","",G161*J161)</f>
        <v/>
      </c>
      <c r="L161" s="51"/>
    </row>
    <row r="162" customFormat="false" ht="15" hidden="false" customHeight="false" outlineLevel="0" collapsed="false">
      <c r="A162" s="25"/>
      <c r="B162" s="24"/>
      <c r="C162" s="21"/>
      <c r="D162" s="50" t="str">
        <f aca="false">IFERROR(INDEX('4. Costeo y Precios'!$B$14:$B$64,MATCH($C162,'4. Costeo y Precios'!$A$14:$A$64,0)),"")</f>
        <v/>
      </c>
      <c r="E162" s="21"/>
      <c r="F162" s="21"/>
      <c r="G162" s="21"/>
      <c r="H162" s="43" t="str">
        <f aca="false">IFERROR(G162/(F162+G162),"")</f>
        <v/>
      </c>
      <c r="I162" s="24"/>
      <c r="J162" s="40" t="n">
        <f aca="false">IFERROR(INDEX('4. Costeo y Precios'!$P$14:$P$64,MATCH($C162,'4. Costeo y Precios'!$A$14:$A$64,0)),0)</f>
        <v>0</v>
      </c>
      <c r="K162" s="31" t="str">
        <f aca="false">IF($C162="","",G162*J162)</f>
        <v/>
      </c>
      <c r="L162" s="51"/>
    </row>
    <row r="163" customFormat="false" ht="15" hidden="false" customHeight="false" outlineLevel="0" collapsed="false">
      <c r="A163" s="25"/>
      <c r="B163" s="24"/>
      <c r="C163" s="21"/>
      <c r="D163" s="50" t="str">
        <f aca="false">IFERROR(INDEX('4. Costeo y Precios'!$B$14:$B$64,MATCH($C163,'4. Costeo y Precios'!$A$14:$A$64,0)),"")</f>
        <v/>
      </c>
      <c r="E163" s="21"/>
      <c r="F163" s="21"/>
      <c r="G163" s="21"/>
      <c r="H163" s="43" t="str">
        <f aca="false">IFERROR(G163/(F163+G163),"")</f>
        <v/>
      </c>
      <c r="I163" s="24"/>
      <c r="J163" s="40" t="n">
        <f aca="false">IFERROR(INDEX('4. Costeo y Precios'!$P$14:$P$64,MATCH($C163,'4. Costeo y Precios'!$A$14:$A$64,0)),0)</f>
        <v>0</v>
      </c>
      <c r="K163" s="31" t="str">
        <f aca="false">IF($C163="","",G163*J163)</f>
        <v/>
      </c>
      <c r="L163" s="51"/>
    </row>
    <row r="164" customFormat="false" ht="15" hidden="false" customHeight="false" outlineLevel="0" collapsed="false">
      <c r="A164" s="25"/>
      <c r="B164" s="24"/>
      <c r="C164" s="21"/>
      <c r="D164" s="50" t="str">
        <f aca="false">IFERROR(INDEX('4. Costeo y Precios'!$B$14:$B$64,MATCH($C164,'4. Costeo y Precios'!$A$14:$A$64,0)),"")</f>
        <v/>
      </c>
      <c r="E164" s="21"/>
      <c r="F164" s="21"/>
      <c r="G164" s="21"/>
      <c r="H164" s="43" t="str">
        <f aca="false">IFERROR(G164/(F164+G164),"")</f>
        <v/>
      </c>
      <c r="I164" s="24"/>
      <c r="J164" s="40" t="n">
        <f aca="false">IFERROR(INDEX('4. Costeo y Precios'!$P$14:$P$64,MATCH($C164,'4. Costeo y Precios'!$A$14:$A$64,0)),0)</f>
        <v>0</v>
      </c>
      <c r="K164" s="31" t="str">
        <f aca="false">IF($C164="","",G164*J164)</f>
        <v/>
      </c>
      <c r="L164" s="51"/>
    </row>
    <row r="165" customFormat="false" ht="15" hidden="false" customHeight="false" outlineLevel="0" collapsed="false">
      <c r="A165" s="25"/>
      <c r="B165" s="24"/>
      <c r="C165" s="21"/>
      <c r="D165" s="50" t="str">
        <f aca="false">IFERROR(INDEX('4. Costeo y Precios'!$B$14:$B$64,MATCH($C165,'4. Costeo y Precios'!$A$14:$A$64,0)),"")</f>
        <v/>
      </c>
      <c r="E165" s="21"/>
      <c r="F165" s="21"/>
      <c r="G165" s="21"/>
      <c r="H165" s="43" t="str">
        <f aca="false">IFERROR(G165/(F165+G165),"")</f>
        <v/>
      </c>
      <c r="I165" s="24"/>
      <c r="J165" s="40" t="n">
        <f aca="false">IFERROR(INDEX('4. Costeo y Precios'!$P$14:$P$64,MATCH($C165,'4. Costeo y Precios'!$A$14:$A$64,0)),0)</f>
        <v>0</v>
      </c>
      <c r="K165" s="31" t="str">
        <f aca="false">IF($C165="","",G165*J165)</f>
        <v/>
      </c>
      <c r="L165" s="51"/>
    </row>
    <row r="166" customFormat="false" ht="15" hidden="false" customHeight="false" outlineLevel="0" collapsed="false">
      <c r="A166" s="25"/>
      <c r="B166" s="24"/>
      <c r="C166" s="21"/>
      <c r="D166" s="50" t="str">
        <f aca="false">IFERROR(INDEX('4. Costeo y Precios'!$B$14:$B$64,MATCH($C166,'4. Costeo y Precios'!$A$14:$A$64,0)),"")</f>
        <v/>
      </c>
      <c r="E166" s="21"/>
      <c r="F166" s="21"/>
      <c r="G166" s="21"/>
      <c r="H166" s="43" t="str">
        <f aca="false">IFERROR(G166/(F166+G166),"")</f>
        <v/>
      </c>
      <c r="I166" s="24"/>
      <c r="J166" s="40" t="n">
        <f aca="false">IFERROR(INDEX('4. Costeo y Precios'!$P$14:$P$64,MATCH($C166,'4. Costeo y Precios'!$A$14:$A$64,0)),0)</f>
        <v>0</v>
      </c>
      <c r="K166" s="31" t="str">
        <f aca="false">IF($C166="","",G166*J166)</f>
        <v/>
      </c>
      <c r="L166" s="51"/>
    </row>
    <row r="167" customFormat="false" ht="15" hidden="false" customHeight="false" outlineLevel="0" collapsed="false">
      <c r="A167" s="25"/>
      <c r="B167" s="24"/>
      <c r="C167" s="21"/>
      <c r="D167" s="50" t="str">
        <f aca="false">IFERROR(INDEX('4. Costeo y Precios'!$B$14:$B$64,MATCH($C167,'4. Costeo y Precios'!$A$14:$A$64,0)),"")</f>
        <v/>
      </c>
      <c r="E167" s="21"/>
      <c r="F167" s="21"/>
      <c r="G167" s="21"/>
      <c r="H167" s="43" t="str">
        <f aca="false">IFERROR(G167/(F167+G167),"")</f>
        <v/>
      </c>
      <c r="I167" s="24"/>
      <c r="J167" s="40" t="n">
        <f aca="false">IFERROR(INDEX('4. Costeo y Precios'!$P$14:$P$64,MATCH($C167,'4. Costeo y Precios'!$A$14:$A$64,0)),0)</f>
        <v>0</v>
      </c>
      <c r="K167" s="31" t="str">
        <f aca="false">IF($C167="","",G167*J167)</f>
        <v/>
      </c>
      <c r="L167" s="51"/>
    </row>
    <row r="168" customFormat="false" ht="15" hidden="false" customHeight="false" outlineLevel="0" collapsed="false">
      <c r="A168" s="25"/>
      <c r="B168" s="24"/>
      <c r="C168" s="21"/>
      <c r="D168" s="50" t="str">
        <f aca="false">IFERROR(INDEX('4. Costeo y Precios'!$B$14:$B$64,MATCH($C168,'4. Costeo y Precios'!$A$14:$A$64,0)),"")</f>
        <v/>
      </c>
      <c r="E168" s="21"/>
      <c r="F168" s="21"/>
      <c r="G168" s="21"/>
      <c r="H168" s="43" t="str">
        <f aca="false">IFERROR(G168/(F168+G168),"")</f>
        <v/>
      </c>
      <c r="I168" s="24"/>
      <c r="J168" s="40" t="n">
        <f aca="false">IFERROR(INDEX('4. Costeo y Precios'!$P$14:$P$64,MATCH($C168,'4. Costeo y Precios'!$A$14:$A$64,0)),0)</f>
        <v>0</v>
      </c>
      <c r="K168" s="31" t="str">
        <f aca="false">IF($C168="","",G168*J168)</f>
        <v/>
      </c>
      <c r="L168" s="51"/>
    </row>
    <row r="169" customFormat="false" ht="15" hidden="false" customHeight="false" outlineLevel="0" collapsed="false">
      <c r="A169" s="25"/>
      <c r="B169" s="24"/>
      <c r="C169" s="21"/>
      <c r="D169" s="50" t="str">
        <f aca="false">IFERROR(INDEX('4. Costeo y Precios'!$B$14:$B$64,MATCH($C169,'4. Costeo y Precios'!$A$14:$A$64,0)),"")</f>
        <v/>
      </c>
      <c r="E169" s="21"/>
      <c r="F169" s="21"/>
      <c r="G169" s="21"/>
      <c r="H169" s="43" t="str">
        <f aca="false">IFERROR(G169/(F169+G169),"")</f>
        <v/>
      </c>
      <c r="I169" s="24"/>
      <c r="J169" s="40" t="n">
        <f aca="false">IFERROR(INDEX('4. Costeo y Precios'!$P$14:$P$64,MATCH($C169,'4. Costeo y Precios'!$A$14:$A$64,0)),0)</f>
        <v>0</v>
      </c>
      <c r="K169" s="31" t="str">
        <f aca="false">IF($C169="","",G169*J169)</f>
        <v/>
      </c>
      <c r="L169" s="51"/>
    </row>
    <row r="170" customFormat="false" ht="15" hidden="false" customHeight="false" outlineLevel="0" collapsed="false">
      <c r="A170" s="25"/>
      <c r="B170" s="24"/>
      <c r="C170" s="21"/>
      <c r="D170" s="50" t="str">
        <f aca="false">IFERROR(INDEX('4. Costeo y Precios'!$B$14:$B$64,MATCH($C170,'4. Costeo y Precios'!$A$14:$A$64,0)),"")</f>
        <v/>
      </c>
      <c r="E170" s="21"/>
      <c r="F170" s="21"/>
      <c r="G170" s="21"/>
      <c r="H170" s="43" t="str">
        <f aca="false">IFERROR(G170/(F170+G170),"")</f>
        <v/>
      </c>
      <c r="I170" s="24"/>
      <c r="J170" s="40" t="n">
        <f aca="false">IFERROR(INDEX('4. Costeo y Precios'!$P$14:$P$64,MATCH($C170,'4. Costeo y Precios'!$A$14:$A$64,0)),0)</f>
        <v>0</v>
      </c>
      <c r="K170" s="31" t="str">
        <f aca="false">IF($C170="","",G170*J170)</f>
        <v/>
      </c>
      <c r="L170" s="51"/>
    </row>
    <row r="171" customFormat="false" ht="15" hidden="false" customHeight="false" outlineLevel="0" collapsed="false">
      <c r="A171" s="25"/>
      <c r="B171" s="24"/>
      <c r="C171" s="21"/>
      <c r="D171" s="50" t="str">
        <f aca="false">IFERROR(INDEX('4. Costeo y Precios'!$B$14:$B$64,MATCH($C171,'4. Costeo y Precios'!$A$14:$A$64,0)),"")</f>
        <v/>
      </c>
      <c r="E171" s="21"/>
      <c r="F171" s="21"/>
      <c r="G171" s="21"/>
      <c r="H171" s="43" t="str">
        <f aca="false">IFERROR(G171/(F171+G171),"")</f>
        <v/>
      </c>
      <c r="I171" s="24"/>
      <c r="J171" s="40" t="n">
        <f aca="false">IFERROR(INDEX('4. Costeo y Precios'!$P$14:$P$64,MATCH($C171,'4. Costeo y Precios'!$A$14:$A$64,0)),0)</f>
        <v>0</v>
      </c>
      <c r="K171" s="31" t="str">
        <f aca="false">IF($C171="","",G171*J171)</f>
        <v/>
      </c>
      <c r="L171" s="51"/>
    </row>
    <row r="172" customFormat="false" ht="15" hidden="false" customHeight="false" outlineLevel="0" collapsed="false">
      <c r="A172" s="25"/>
      <c r="B172" s="24"/>
      <c r="C172" s="21"/>
      <c r="D172" s="50" t="str">
        <f aca="false">IFERROR(INDEX('4. Costeo y Precios'!$B$14:$B$64,MATCH($C172,'4. Costeo y Precios'!$A$14:$A$64,0)),"")</f>
        <v/>
      </c>
      <c r="E172" s="21"/>
      <c r="F172" s="21"/>
      <c r="G172" s="21"/>
      <c r="H172" s="43" t="str">
        <f aca="false">IFERROR(G172/(F172+G172),"")</f>
        <v/>
      </c>
      <c r="I172" s="24"/>
      <c r="J172" s="40" t="n">
        <f aca="false">IFERROR(INDEX('4. Costeo y Precios'!$P$14:$P$64,MATCH($C172,'4. Costeo y Precios'!$A$14:$A$64,0)),0)</f>
        <v>0</v>
      </c>
      <c r="K172" s="31" t="str">
        <f aca="false">IF($C172="","",G172*J172)</f>
        <v/>
      </c>
      <c r="L172" s="51"/>
    </row>
    <row r="173" customFormat="false" ht="15" hidden="false" customHeight="false" outlineLevel="0" collapsed="false">
      <c r="A173" s="25"/>
      <c r="B173" s="24"/>
      <c r="C173" s="21"/>
      <c r="D173" s="50" t="str">
        <f aca="false">IFERROR(INDEX('4. Costeo y Precios'!$B$14:$B$64,MATCH($C173,'4. Costeo y Precios'!$A$14:$A$64,0)),"")</f>
        <v/>
      </c>
      <c r="E173" s="21"/>
      <c r="F173" s="21"/>
      <c r="G173" s="21"/>
      <c r="H173" s="43" t="str">
        <f aca="false">IFERROR(G173/(F173+G173),"")</f>
        <v/>
      </c>
      <c r="I173" s="24"/>
      <c r="J173" s="40" t="n">
        <f aca="false">IFERROR(INDEX('4. Costeo y Precios'!$P$14:$P$64,MATCH($C173,'4. Costeo y Precios'!$A$14:$A$64,0)),0)</f>
        <v>0</v>
      </c>
      <c r="K173" s="31" t="str">
        <f aca="false">IF($C173="","",G173*J173)</f>
        <v/>
      </c>
      <c r="L173" s="51"/>
    </row>
    <row r="174" customFormat="false" ht="15" hidden="false" customHeight="false" outlineLevel="0" collapsed="false">
      <c r="A174" s="25"/>
      <c r="B174" s="24"/>
      <c r="C174" s="21"/>
      <c r="D174" s="50" t="str">
        <f aca="false">IFERROR(INDEX('4. Costeo y Precios'!$B$14:$B$64,MATCH($C174,'4. Costeo y Precios'!$A$14:$A$64,0)),"")</f>
        <v/>
      </c>
      <c r="E174" s="21"/>
      <c r="F174" s="21"/>
      <c r="G174" s="21"/>
      <c r="H174" s="43" t="str">
        <f aca="false">IFERROR(G174/(F174+G174),"")</f>
        <v/>
      </c>
      <c r="I174" s="24"/>
      <c r="J174" s="40" t="n">
        <f aca="false">IFERROR(INDEX('4. Costeo y Precios'!$P$14:$P$64,MATCH($C174,'4. Costeo y Precios'!$A$14:$A$64,0)),0)</f>
        <v>0</v>
      </c>
      <c r="K174" s="31" t="str">
        <f aca="false">IF($C174="","",G174*J174)</f>
        <v/>
      </c>
      <c r="L174" s="51"/>
    </row>
    <row r="175" customFormat="false" ht="15" hidden="false" customHeight="false" outlineLevel="0" collapsed="false">
      <c r="A175" s="25"/>
      <c r="B175" s="24"/>
      <c r="C175" s="21"/>
      <c r="D175" s="50" t="str">
        <f aca="false">IFERROR(INDEX('4. Costeo y Precios'!$B$14:$B$64,MATCH($C175,'4. Costeo y Precios'!$A$14:$A$64,0)),"")</f>
        <v/>
      </c>
      <c r="E175" s="21"/>
      <c r="F175" s="21"/>
      <c r="G175" s="21"/>
      <c r="H175" s="43" t="str">
        <f aca="false">IFERROR(G175/(F175+G175),"")</f>
        <v/>
      </c>
      <c r="I175" s="24"/>
      <c r="J175" s="40" t="n">
        <f aca="false">IFERROR(INDEX('4. Costeo y Precios'!$P$14:$P$64,MATCH($C175,'4. Costeo y Precios'!$A$14:$A$64,0)),0)</f>
        <v>0</v>
      </c>
      <c r="K175" s="31" t="str">
        <f aca="false">IF($C175="","",G175*J175)</f>
        <v/>
      </c>
      <c r="L175" s="51"/>
    </row>
    <row r="176" customFormat="false" ht="15" hidden="false" customHeight="false" outlineLevel="0" collapsed="false">
      <c r="A176" s="25"/>
      <c r="B176" s="24"/>
      <c r="C176" s="21"/>
      <c r="D176" s="50" t="str">
        <f aca="false">IFERROR(INDEX('4. Costeo y Precios'!$B$14:$B$64,MATCH($C176,'4. Costeo y Precios'!$A$14:$A$64,0)),"")</f>
        <v/>
      </c>
      <c r="E176" s="21"/>
      <c r="F176" s="21"/>
      <c r="G176" s="21"/>
      <c r="H176" s="43" t="str">
        <f aca="false">IFERROR(G176/(F176+G176),"")</f>
        <v/>
      </c>
      <c r="I176" s="24"/>
      <c r="J176" s="40" t="n">
        <f aca="false">IFERROR(INDEX('4. Costeo y Precios'!$P$14:$P$64,MATCH($C176,'4. Costeo y Precios'!$A$14:$A$64,0)),0)</f>
        <v>0</v>
      </c>
      <c r="K176" s="31" t="str">
        <f aca="false">IF($C176="","",G176*J176)</f>
        <v/>
      </c>
      <c r="L176" s="51"/>
    </row>
    <row r="177" customFormat="false" ht="15" hidden="false" customHeight="false" outlineLevel="0" collapsed="false">
      <c r="A177" s="25"/>
      <c r="B177" s="24"/>
      <c r="C177" s="21"/>
      <c r="D177" s="50" t="str">
        <f aca="false">IFERROR(INDEX('4. Costeo y Precios'!$B$14:$B$64,MATCH($C177,'4. Costeo y Precios'!$A$14:$A$64,0)),"")</f>
        <v/>
      </c>
      <c r="E177" s="21"/>
      <c r="F177" s="21"/>
      <c r="G177" s="21"/>
      <c r="H177" s="43" t="str">
        <f aca="false">IFERROR(G177/(F177+G177),"")</f>
        <v/>
      </c>
      <c r="I177" s="24"/>
      <c r="J177" s="40" t="n">
        <f aca="false">IFERROR(INDEX('4. Costeo y Precios'!$P$14:$P$64,MATCH($C177,'4. Costeo y Precios'!$A$14:$A$64,0)),0)</f>
        <v>0</v>
      </c>
      <c r="K177" s="31" t="str">
        <f aca="false">IF($C177="","",G177*J177)</f>
        <v/>
      </c>
      <c r="L177" s="51"/>
    </row>
    <row r="178" customFormat="false" ht="15" hidden="false" customHeight="false" outlineLevel="0" collapsed="false">
      <c r="A178" s="25"/>
      <c r="B178" s="24"/>
      <c r="C178" s="21"/>
      <c r="D178" s="50" t="str">
        <f aca="false">IFERROR(INDEX('4. Costeo y Precios'!$B$14:$B$64,MATCH($C178,'4. Costeo y Precios'!$A$14:$A$64,0)),"")</f>
        <v/>
      </c>
      <c r="E178" s="21"/>
      <c r="F178" s="21"/>
      <c r="G178" s="21"/>
      <c r="H178" s="43" t="str">
        <f aca="false">IFERROR(G178/(F178+G178),"")</f>
        <v/>
      </c>
      <c r="I178" s="24"/>
      <c r="J178" s="40" t="n">
        <f aca="false">IFERROR(INDEX('4. Costeo y Precios'!$P$14:$P$64,MATCH($C178,'4. Costeo y Precios'!$A$14:$A$64,0)),0)</f>
        <v>0</v>
      </c>
      <c r="K178" s="31" t="str">
        <f aca="false">IF($C178="","",G178*J178)</f>
        <v/>
      </c>
      <c r="L178" s="51"/>
    </row>
    <row r="179" customFormat="false" ht="15" hidden="false" customHeight="false" outlineLevel="0" collapsed="false">
      <c r="A179" s="25"/>
      <c r="B179" s="24"/>
      <c r="C179" s="21"/>
      <c r="D179" s="50" t="str">
        <f aca="false">IFERROR(INDEX('4. Costeo y Precios'!$B$14:$B$64,MATCH($C179,'4. Costeo y Precios'!$A$14:$A$64,0)),"")</f>
        <v/>
      </c>
      <c r="E179" s="21"/>
      <c r="F179" s="21"/>
      <c r="G179" s="21"/>
      <c r="H179" s="43" t="str">
        <f aca="false">IFERROR(G179/(F179+G179),"")</f>
        <v/>
      </c>
      <c r="I179" s="24"/>
      <c r="J179" s="40" t="n">
        <f aca="false">IFERROR(INDEX('4. Costeo y Precios'!$P$14:$P$64,MATCH($C179,'4. Costeo y Precios'!$A$14:$A$64,0)),0)</f>
        <v>0</v>
      </c>
      <c r="K179" s="31" t="str">
        <f aca="false">IF($C179="","",G179*J179)</f>
        <v/>
      </c>
      <c r="L179" s="51"/>
    </row>
    <row r="180" customFormat="false" ht="15" hidden="false" customHeight="false" outlineLevel="0" collapsed="false">
      <c r="A180" s="25"/>
      <c r="B180" s="24"/>
      <c r="C180" s="21"/>
      <c r="D180" s="50" t="str">
        <f aca="false">IFERROR(INDEX('4. Costeo y Precios'!$B$14:$B$64,MATCH($C180,'4. Costeo y Precios'!$A$14:$A$64,0)),"")</f>
        <v/>
      </c>
      <c r="E180" s="21"/>
      <c r="F180" s="21"/>
      <c r="G180" s="21"/>
      <c r="H180" s="43" t="str">
        <f aca="false">IFERROR(G180/(F180+G180),"")</f>
        <v/>
      </c>
      <c r="I180" s="24"/>
      <c r="J180" s="40" t="n">
        <f aca="false">IFERROR(INDEX('4. Costeo y Precios'!$P$14:$P$64,MATCH($C180,'4. Costeo y Precios'!$A$14:$A$64,0)),0)</f>
        <v>0</v>
      </c>
      <c r="K180" s="31" t="str">
        <f aca="false">IF($C180="","",G180*J180)</f>
        <v/>
      </c>
      <c r="L180" s="51"/>
    </row>
    <row r="181" customFormat="false" ht="15" hidden="false" customHeight="false" outlineLevel="0" collapsed="false">
      <c r="A181" s="25"/>
      <c r="B181" s="24"/>
      <c r="C181" s="21"/>
      <c r="D181" s="50" t="str">
        <f aca="false">IFERROR(INDEX('4. Costeo y Precios'!$B$14:$B$64,MATCH($C181,'4. Costeo y Precios'!$A$14:$A$64,0)),"")</f>
        <v/>
      </c>
      <c r="E181" s="21"/>
      <c r="F181" s="21"/>
      <c r="G181" s="21"/>
      <c r="H181" s="43" t="str">
        <f aca="false">IFERROR(G181/(F181+G181),"")</f>
        <v/>
      </c>
      <c r="I181" s="24"/>
      <c r="J181" s="40" t="n">
        <f aca="false">IFERROR(INDEX('4. Costeo y Precios'!$P$14:$P$64,MATCH($C181,'4. Costeo y Precios'!$A$14:$A$64,0)),0)</f>
        <v>0</v>
      </c>
      <c r="K181" s="31" t="str">
        <f aca="false">IF($C181="","",G181*J181)</f>
        <v/>
      </c>
      <c r="L181" s="51"/>
    </row>
    <row r="182" customFormat="false" ht="15" hidden="false" customHeight="false" outlineLevel="0" collapsed="false">
      <c r="A182" s="25"/>
      <c r="B182" s="24"/>
      <c r="C182" s="21"/>
      <c r="D182" s="50" t="str">
        <f aca="false">IFERROR(INDEX('4. Costeo y Precios'!$B$14:$B$64,MATCH($C182,'4. Costeo y Precios'!$A$14:$A$64,0)),"")</f>
        <v/>
      </c>
      <c r="E182" s="21"/>
      <c r="F182" s="21"/>
      <c r="G182" s="21"/>
      <c r="H182" s="43" t="str">
        <f aca="false">IFERROR(G182/(F182+G182),"")</f>
        <v/>
      </c>
      <c r="I182" s="24"/>
      <c r="J182" s="40" t="n">
        <f aca="false">IFERROR(INDEX('4. Costeo y Precios'!$P$14:$P$64,MATCH($C182,'4. Costeo y Precios'!$A$14:$A$64,0)),0)</f>
        <v>0</v>
      </c>
      <c r="K182" s="31" t="str">
        <f aca="false">IF($C182="","",G182*J182)</f>
        <v/>
      </c>
      <c r="L182" s="51"/>
    </row>
    <row r="183" customFormat="false" ht="15" hidden="false" customHeight="false" outlineLevel="0" collapsed="false">
      <c r="A183" s="25"/>
      <c r="B183" s="24"/>
      <c r="C183" s="21"/>
      <c r="D183" s="50" t="str">
        <f aca="false">IFERROR(INDEX('4. Costeo y Precios'!$B$14:$B$64,MATCH($C183,'4. Costeo y Precios'!$A$14:$A$64,0)),"")</f>
        <v/>
      </c>
      <c r="E183" s="21"/>
      <c r="F183" s="21"/>
      <c r="G183" s="21"/>
      <c r="H183" s="43" t="str">
        <f aca="false">IFERROR(G183/(F183+G183),"")</f>
        <v/>
      </c>
      <c r="I183" s="24"/>
      <c r="J183" s="40" t="n">
        <f aca="false">IFERROR(INDEX('4. Costeo y Precios'!$P$14:$P$64,MATCH($C183,'4. Costeo y Precios'!$A$14:$A$64,0)),0)</f>
        <v>0</v>
      </c>
      <c r="K183" s="31" t="str">
        <f aca="false">IF($C183="","",G183*J183)</f>
        <v/>
      </c>
      <c r="L183" s="51"/>
    </row>
    <row r="184" customFormat="false" ht="15" hidden="false" customHeight="false" outlineLevel="0" collapsed="false">
      <c r="A184" s="25"/>
      <c r="B184" s="24"/>
      <c r="C184" s="21"/>
      <c r="D184" s="50" t="str">
        <f aca="false">IFERROR(INDEX('4. Costeo y Precios'!$B$14:$B$64,MATCH($C184,'4. Costeo y Precios'!$A$14:$A$64,0)),"")</f>
        <v/>
      </c>
      <c r="E184" s="21"/>
      <c r="F184" s="21"/>
      <c r="G184" s="21"/>
      <c r="H184" s="43" t="str">
        <f aca="false">IFERROR(G184/(F184+G184),"")</f>
        <v/>
      </c>
      <c r="I184" s="24"/>
      <c r="J184" s="40" t="n">
        <f aca="false">IFERROR(INDEX('4. Costeo y Precios'!$P$14:$P$64,MATCH($C184,'4. Costeo y Precios'!$A$14:$A$64,0)),0)</f>
        <v>0</v>
      </c>
      <c r="K184" s="31" t="str">
        <f aca="false">IF($C184="","",G184*J184)</f>
        <v/>
      </c>
      <c r="L184" s="51"/>
    </row>
    <row r="185" customFormat="false" ht="15" hidden="false" customHeight="false" outlineLevel="0" collapsed="false">
      <c r="A185" s="25"/>
      <c r="B185" s="24"/>
      <c r="C185" s="21"/>
      <c r="D185" s="50" t="str">
        <f aca="false">IFERROR(INDEX('4. Costeo y Precios'!$B$14:$B$64,MATCH($C185,'4. Costeo y Precios'!$A$14:$A$64,0)),"")</f>
        <v/>
      </c>
      <c r="E185" s="21"/>
      <c r="F185" s="21"/>
      <c r="G185" s="21"/>
      <c r="H185" s="43" t="str">
        <f aca="false">IFERROR(G185/(F185+G185),"")</f>
        <v/>
      </c>
      <c r="I185" s="24"/>
      <c r="J185" s="40" t="n">
        <f aca="false">IFERROR(INDEX('4. Costeo y Precios'!$P$14:$P$64,MATCH($C185,'4. Costeo y Precios'!$A$14:$A$64,0)),0)</f>
        <v>0</v>
      </c>
      <c r="K185" s="31" t="str">
        <f aca="false">IF($C185="","",G185*J185)</f>
        <v/>
      </c>
      <c r="L185" s="51"/>
    </row>
    <row r="186" customFormat="false" ht="15" hidden="false" customHeight="false" outlineLevel="0" collapsed="false">
      <c r="A186" s="25"/>
      <c r="B186" s="24"/>
      <c r="C186" s="21"/>
      <c r="D186" s="50" t="str">
        <f aca="false">IFERROR(INDEX('4. Costeo y Precios'!$B$14:$B$64,MATCH($C186,'4. Costeo y Precios'!$A$14:$A$64,0)),"")</f>
        <v/>
      </c>
      <c r="E186" s="21"/>
      <c r="F186" s="21"/>
      <c r="G186" s="21"/>
      <c r="H186" s="43" t="str">
        <f aca="false">IFERROR(G186/(F186+G186),"")</f>
        <v/>
      </c>
      <c r="I186" s="24"/>
      <c r="J186" s="40" t="n">
        <f aca="false">IFERROR(INDEX('4. Costeo y Precios'!$P$14:$P$64,MATCH($C186,'4. Costeo y Precios'!$A$14:$A$64,0)),0)</f>
        <v>0</v>
      </c>
      <c r="K186" s="31" t="str">
        <f aca="false">IF($C186="","",G186*J186)</f>
        <v/>
      </c>
      <c r="L186" s="51"/>
    </row>
    <row r="187" customFormat="false" ht="15" hidden="false" customHeight="false" outlineLevel="0" collapsed="false">
      <c r="A187" s="25"/>
      <c r="B187" s="24"/>
      <c r="C187" s="21"/>
      <c r="D187" s="50" t="str">
        <f aca="false">IFERROR(INDEX('4. Costeo y Precios'!$B$14:$B$64,MATCH($C187,'4. Costeo y Precios'!$A$14:$A$64,0)),"")</f>
        <v/>
      </c>
      <c r="E187" s="21"/>
      <c r="F187" s="21"/>
      <c r="G187" s="21"/>
      <c r="H187" s="43" t="str">
        <f aca="false">IFERROR(G187/(F187+G187),"")</f>
        <v/>
      </c>
      <c r="I187" s="24"/>
      <c r="J187" s="40" t="n">
        <f aca="false">IFERROR(INDEX('4. Costeo y Precios'!$P$14:$P$64,MATCH($C187,'4. Costeo y Precios'!$A$14:$A$64,0)),0)</f>
        <v>0</v>
      </c>
      <c r="K187" s="31" t="str">
        <f aca="false">IF($C187="","",G187*J187)</f>
        <v/>
      </c>
      <c r="L187" s="51"/>
    </row>
    <row r="188" customFormat="false" ht="15" hidden="false" customHeight="false" outlineLevel="0" collapsed="false">
      <c r="A188" s="25"/>
      <c r="B188" s="24"/>
      <c r="C188" s="21"/>
      <c r="D188" s="50" t="str">
        <f aca="false">IFERROR(INDEX('4. Costeo y Precios'!$B$14:$B$64,MATCH($C188,'4. Costeo y Precios'!$A$14:$A$64,0)),"")</f>
        <v/>
      </c>
      <c r="E188" s="21"/>
      <c r="F188" s="21"/>
      <c r="G188" s="21"/>
      <c r="H188" s="43" t="str">
        <f aca="false">IFERROR(G188/(F188+G188),"")</f>
        <v/>
      </c>
      <c r="I188" s="24"/>
      <c r="J188" s="40" t="n">
        <f aca="false">IFERROR(INDEX('4. Costeo y Precios'!$P$14:$P$64,MATCH($C188,'4. Costeo y Precios'!$A$14:$A$64,0)),0)</f>
        <v>0</v>
      </c>
      <c r="K188" s="31" t="str">
        <f aca="false">IF($C188="","",G188*J188)</f>
        <v/>
      </c>
      <c r="L188" s="51"/>
    </row>
    <row r="189" customFormat="false" ht="15" hidden="false" customHeight="false" outlineLevel="0" collapsed="false">
      <c r="A189" s="25"/>
      <c r="B189" s="24"/>
      <c r="C189" s="21"/>
      <c r="D189" s="50" t="str">
        <f aca="false">IFERROR(INDEX('4. Costeo y Precios'!$B$14:$B$64,MATCH($C189,'4. Costeo y Precios'!$A$14:$A$64,0)),"")</f>
        <v/>
      </c>
      <c r="E189" s="21"/>
      <c r="F189" s="21"/>
      <c r="G189" s="21"/>
      <c r="H189" s="43" t="str">
        <f aca="false">IFERROR(G189/(F189+G189),"")</f>
        <v/>
      </c>
      <c r="I189" s="24"/>
      <c r="J189" s="40" t="n">
        <f aca="false">IFERROR(INDEX('4. Costeo y Precios'!$P$14:$P$64,MATCH($C189,'4. Costeo y Precios'!$A$14:$A$64,0)),0)</f>
        <v>0</v>
      </c>
      <c r="K189" s="31" t="str">
        <f aca="false">IF($C189="","",G189*J189)</f>
        <v/>
      </c>
      <c r="L189" s="51"/>
    </row>
    <row r="190" customFormat="false" ht="15" hidden="false" customHeight="false" outlineLevel="0" collapsed="false">
      <c r="A190" s="25"/>
      <c r="B190" s="24"/>
      <c r="C190" s="21"/>
      <c r="D190" s="50" t="str">
        <f aca="false">IFERROR(INDEX('4. Costeo y Precios'!$B$14:$B$64,MATCH($C190,'4. Costeo y Precios'!$A$14:$A$64,0)),"")</f>
        <v/>
      </c>
      <c r="E190" s="21"/>
      <c r="F190" s="21"/>
      <c r="G190" s="21"/>
      <c r="H190" s="43" t="str">
        <f aca="false">IFERROR(G190/(F190+G190),"")</f>
        <v/>
      </c>
      <c r="I190" s="24"/>
      <c r="J190" s="40" t="n">
        <f aca="false">IFERROR(INDEX('4. Costeo y Precios'!$P$14:$P$64,MATCH($C190,'4. Costeo y Precios'!$A$14:$A$64,0)),0)</f>
        <v>0</v>
      </c>
      <c r="K190" s="31" t="str">
        <f aca="false">IF($C190="","",G190*J190)</f>
        <v/>
      </c>
      <c r="L190" s="51"/>
    </row>
    <row r="191" customFormat="false" ht="15" hidden="false" customHeight="false" outlineLevel="0" collapsed="false">
      <c r="A191" s="25"/>
      <c r="B191" s="24"/>
      <c r="C191" s="21"/>
      <c r="D191" s="50" t="str">
        <f aca="false">IFERROR(INDEX('4. Costeo y Precios'!$B$14:$B$64,MATCH($C191,'4. Costeo y Precios'!$A$14:$A$64,0)),"")</f>
        <v/>
      </c>
      <c r="E191" s="21"/>
      <c r="F191" s="21"/>
      <c r="G191" s="21"/>
      <c r="H191" s="43" t="str">
        <f aca="false">IFERROR(G191/(F191+G191),"")</f>
        <v/>
      </c>
      <c r="I191" s="24"/>
      <c r="J191" s="40" t="n">
        <f aca="false">IFERROR(INDEX('4. Costeo y Precios'!$P$14:$P$64,MATCH($C191,'4. Costeo y Precios'!$A$14:$A$64,0)),0)</f>
        <v>0</v>
      </c>
      <c r="K191" s="31" t="str">
        <f aca="false">IF($C191="","",G191*J191)</f>
        <v/>
      </c>
      <c r="L191" s="51"/>
    </row>
    <row r="192" customFormat="false" ht="15" hidden="false" customHeight="false" outlineLevel="0" collapsed="false">
      <c r="A192" s="25"/>
      <c r="B192" s="24"/>
      <c r="C192" s="21"/>
      <c r="D192" s="50" t="str">
        <f aca="false">IFERROR(INDEX('4. Costeo y Precios'!$B$14:$B$64,MATCH($C192,'4. Costeo y Precios'!$A$14:$A$64,0)),"")</f>
        <v/>
      </c>
      <c r="E192" s="21"/>
      <c r="F192" s="21"/>
      <c r="G192" s="21"/>
      <c r="H192" s="43" t="str">
        <f aca="false">IFERROR(G192/(F192+G192),"")</f>
        <v/>
      </c>
      <c r="I192" s="24"/>
      <c r="J192" s="40" t="n">
        <f aca="false">IFERROR(INDEX('4. Costeo y Precios'!$P$14:$P$64,MATCH($C192,'4. Costeo y Precios'!$A$14:$A$64,0)),0)</f>
        <v>0</v>
      </c>
      <c r="K192" s="31" t="str">
        <f aca="false">IF($C192="","",G192*J192)</f>
        <v/>
      </c>
      <c r="L192" s="51"/>
    </row>
    <row r="193" customFormat="false" ht="15" hidden="false" customHeight="false" outlineLevel="0" collapsed="false">
      <c r="A193" s="25"/>
      <c r="B193" s="24"/>
      <c r="C193" s="21"/>
      <c r="D193" s="50" t="str">
        <f aca="false">IFERROR(INDEX('4. Costeo y Precios'!$B$14:$B$64,MATCH($C193,'4. Costeo y Precios'!$A$14:$A$64,0)),"")</f>
        <v/>
      </c>
      <c r="E193" s="21"/>
      <c r="F193" s="21"/>
      <c r="G193" s="21"/>
      <c r="H193" s="43" t="str">
        <f aca="false">IFERROR(G193/(F193+G193),"")</f>
        <v/>
      </c>
      <c r="I193" s="24"/>
      <c r="J193" s="40" t="n">
        <f aca="false">IFERROR(INDEX('4. Costeo y Precios'!$P$14:$P$64,MATCH($C193,'4. Costeo y Precios'!$A$14:$A$64,0)),0)</f>
        <v>0</v>
      </c>
      <c r="K193" s="31" t="str">
        <f aca="false">IF($C193="","",G193*J193)</f>
        <v/>
      </c>
      <c r="L193" s="51"/>
    </row>
    <row r="194" customFormat="false" ht="15" hidden="false" customHeight="false" outlineLevel="0" collapsed="false">
      <c r="A194" s="25"/>
      <c r="B194" s="24"/>
      <c r="C194" s="21"/>
      <c r="D194" s="50" t="str">
        <f aca="false">IFERROR(INDEX('4. Costeo y Precios'!$B$14:$B$64,MATCH($C194,'4. Costeo y Precios'!$A$14:$A$64,0)),"")</f>
        <v/>
      </c>
      <c r="E194" s="21"/>
      <c r="F194" s="21"/>
      <c r="G194" s="21"/>
      <c r="H194" s="43" t="str">
        <f aca="false">IFERROR(G194/(F194+G194),"")</f>
        <v/>
      </c>
      <c r="I194" s="24"/>
      <c r="J194" s="40" t="n">
        <f aca="false">IFERROR(INDEX('4. Costeo y Precios'!$P$14:$P$64,MATCH($C194,'4. Costeo y Precios'!$A$14:$A$64,0)),0)</f>
        <v>0</v>
      </c>
      <c r="K194" s="31" t="str">
        <f aca="false">IF($C194="","",G194*J194)</f>
        <v/>
      </c>
      <c r="L194" s="51"/>
    </row>
    <row r="195" customFormat="false" ht="15" hidden="false" customHeight="false" outlineLevel="0" collapsed="false">
      <c r="A195" s="25"/>
      <c r="B195" s="24"/>
      <c r="C195" s="21"/>
      <c r="D195" s="50" t="str">
        <f aca="false">IFERROR(INDEX('4. Costeo y Precios'!$B$14:$B$64,MATCH($C195,'4. Costeo y Precios'!$A$14:$A$64,0)),"")</f>
        <v/>
      </c>
      <c r="E195" s="21"/>
      <c r="F195" s="21"/>
      <c r="G195" s="21"/>
      <c r="H195" s="43" t="str">
        <f aca="false">IFERROR(G195/(F195+G195),"")</f>
        <v/>
      </c>
      <c r="I195" s="24"/>
      <c r="J195" s="40" t="n">
        <f aca="false">IFERROR(INDEX('4. Costeo y Precios'!$P$14:$P$64,MATCH($C195,'4. Costeo y Precios'!$A$14:$A$64,0)),0)</f>
        <v>0</v>
      </c>
      <c r="K195" s="31" t="str">
        <f aca="false">IF($C195="","",G195*J195)</f>
        <v/>
      </c>
      <c r="L195" s="51"/>
    </row>
    <row r="196" customFormat="false" ht="15" hidden="false" customHeight="false" outlineLevel="0" collapsed="false">
      <c r="A196" s="25"/>
      <c r="B196" s="24"/>
      <c r="C196" s="21"/>
      <c r="D196" s="50" t="str">
        <f aca="false">IFERROR(INDEX('4. Costeo y Precios'!$B$14:$B$64,MATCH($C196,'4. Costeo y Precios'!$A$14:$A$64,0)),"")</f>
        <v/>
      </c>
      <c r="E196" s="21"/>
      <c r="F196" s="21"/>
      <c r="G196" s="21"/>
      <c r="H196" s="43" t="str">
        <f aca="false">IFERROR(G196/(F196+G196),"")</f>
        <v/>
      </c>
      <c r="I196" s="24"/>
      <c r="J196" s="40" t="n">
        <f aca="false">IFERROR(INDEX('4. Costeo y Precios'!$P$14:$P$64,MATCH($C196,'4. Costeo y Precios'!$A$14:$A$64,0)),0)</f>
        <v>0</v>
      </c>
      <c r="K196" s="31" t="str">
        <f aca="false">IF($C196="","",G196*J196)</f>
        <v/>
      </c>
      <c r="L196" s="51"/>
    </row>
    <row r="197" customFormat="false" ht="15" hidden="false" customHeight="false" outlineLevel="0" collapsed="false">
      <c r="A197" s="25"/>
      <c r="B197" s="24"/>
      <c r="C197" s="21"/>
      <c r="D197" s="50" t="str">
        <f aca="false">IFERROR(INDEX('4. Costeo y Precios'!$B$14:$B$64,MATCH($C197,'4. Costeo y Precios'!$A$14:$A$64,0)),"")</f>
        <v/>
      </c>
      <c r="E197" s="21"/>
      <c r="F197" s="21"/>
      <c r="G197" s="21"/>
      <c r="H197" s="43" t="str">
        <f aca="false">IFERROR(G197/(F197+G197),"")</f>
        <v/>
      </c>
      <c r="I197" s="24"/>
      <c r="J197" s="40" t="n">
        <f aca="false">IFERROR(INDEX('4. Costeo y Precios'!$P$14:$P$64,MATCH($C197,'4. Costeo y Precios'!$A$14:$A$64,0)),0)</f>
        <v>0</v>
      </c>
      <c r="K197" s="31" t="str">
        <f aca="false">IF($C197="","",G197*J197)</f>
        <v/>
      </c>
      <c r="L197" s="51"/>
    </row>
    <row r="198" customFormat="false" ht="15" hidden="false" customHeight="false" outlineLevel="0" collapsed="false">
      <c r="A198" s="25"/>
      <c r="B198" s="24"/>
      <c r="C198" s="21"/>
      <c r="D198" s="50" t="str">
        <f aca="false">IFERROR(INDEX('4. Costeo y Precios'!$B$14:$B$64,MATCH($C198,'4. Costeo y Precios'!$A$14:$A$64,0)),"")</f>
        <v/>
      </c>
      <c r="E198" s="21"/>
      <c r="F198" s="21"/>
      <c r="G198" s="21"/>
      <c r="H198" s="43" t="str">
        <f aca="false">IFERROR(G198/(F198+G198),"")</f>
        <v/>
      </c>
      <c r="I198" s="24"/>
      <c r="J198" s="40" t="n">
        <f aca="false">IFERROR(INDEX('4. Costeo y Precios'!$P$14:$P$64,MATCH($C198,'4. Costeo y Precios'!$A$14:$A$64,0)),0)</f>
        <v>0</v>
      </c>
      <c r="K198" s="31" t="str">
        <f aca="false">IF($C198="","",G198*J198)</f>
        <v/>
      </c>
      <c r="L198" s="51"/>
    </row>
    <row r="199" customFormat="false" ht="15" hidden="false" customHeight="false" outlineLevel="0" collapsed="false">
      <c r="A199" s="25"/>
      <c r="B199" s="24"/>
      <c r="C199" s="21"/>
      <c r="D199" s="50" t="str">
        <f aca="false">IFERROR(INDEX('4. Costeo y Precios'!$B$14:$B$64,MATCH($C199,'4. Costeo y Precios'!$A$14:$A$64,0)),"")</f>
        <v/>
      </c>
      <c r="E199" s="21"/>
      <c r="F199" s="21"/>
      <c r="G199" s="21"/>
      <c r="H199" s="43" t="str">
        <f aca="false">IFERROR(G199/(F199+G199),"")</f>
        <v/>
      </c>
      <c r="I199" s="24"/>
      <c r="J199" s="40" t="n">
        <f aca="false">IFERROR(INDEX('4. Costeo y Precios'!$P$14:$P$64,MATCH($C199,'4. Costeo y Precios'!$A$14:$A$64,0)),0)</f>
        <v>0</v>
      </c>
      <c r="K199" s="31" t="str">
        <f aca="false">IF($C199="","",G199*J199)</f>
        <v/>
      </c>
      <c r="L199" s="51"/>
    </row>
    <row r="200" customFormat="false" ht="15" hidden="false" customHeight="false" outlineLevel="0" collapsed="false">
      <c r="A200" s="25"/>
      <c r="B200" s="24"/>
      <c r="C200" s="21"/>
      <c r="D200" s="50" t="str">
        <f aca="false">IFERROR(INDEX('4. Costeo y Precios'!$B$14:$B$64,MATCH($C200,'4. Costeo y Precios'!$A$14:$A$64,0)),"")</f>
        <v/>
      </c>
      <c r="E200" s="21"/>
      <c r="F200" s="21"/>
      <c r="G200" s="21"/>
      <c r="H200" s="43" t="str">
        <f aca="false">IFERROR(G200/(F200+G200),"")</f>
        <v/>
      </c>
      <c r="I200" s="24"/>
      <c r="J200" s="40" t="n">
        <f aca="false">IFERROR(INDEX('4. Costeo y Precios'!$P$14:$P$64,MATCH($C200,'4. Costeo y Precios'!$A$14:$A$64,0)),0)</f>
        <v>0</v>
      </c>
      <c r="K200" s="31" t="str">
        <f aca="false">IF($C200="","",G200*J200)</f>
        <v/>
      </c>
      <c r="L200" s="51"/>
    </row>
    <row r="201" customFormat="false" ht="15" hidden="false" customHeight="false" outlineLevel="0" collapsed="false">
      <c r="A201" s="25"/>
      <c r="B201" s="24"/>
      <c r="C201" s="21"/>
      <c r="D201" s="50" t="str">
        <f aca="false">IFERROR(INDEX('4. Costeo y Precios'!$B$14:$B$64,MATCH($C201,'4. Costeo y Precios'!$A$14:$A$64,0)),"")</f>
        <v/>
      </c>
      <c r="E201" s="21"/>
      <c r="F201" s="21"/>
      <c r="G201" s="21"/>
      <c r="H201" s="43" t="str">
        <f aca="false">IFERROR(G201/(F201+G201),"")</f>
        <v/>
      </c>
      <c r="I201" s="24"/>
      <c r="J201" s="40" t="n">
        <f aca="false">IFERROR(INDEX('4. Costeo y Precios'!$P$14:$P$64,MATCH($C201,'4. Costeo y Precios'!$A$14:$A$64,0)),0)</f>
        <v>0</v>
      </c>
      <c r="K201" s="31" t="str">
        <f aca="false">IF($C201="","",G201*J201)</f>
        <v/>
      </c>
      <c r="L201" s="51"/>
    </row>
    <row r="202" customFormat="false" ht="15" hidden="false" customHeight="false" outlineLevel="0" collapsed="false">
      <c r="A202" s="25"/>
      <c r="B202" s="24"/>
      <c r="C202" s="21"/>
      <c r="D202" s="50" t="str">
        <f aca="false">IFERROR(INDEX('4. Costeo y Precios'!$B$14:$B$64,MATCH($C202,'4. Costeo y Precios'!$A$14:$A$64,0)),"")</f>
        <v/>
      </c>
      <c r="E202" s="21"/>
      <c r="F202" s="21"/>
      <c r="G202" s="21"/>
      <c r="H202" s="43" t="str">
        <f aca="false">IFERROR(G202/(F202+G202),"")</f>
        <v/>
      </c>
      <c r="I202" s="24"/>
      <c r="J202" s="40" t="n">
        <f aca="false">IFERROR(INDEX('4. Costeo y Precios'!$P$14:$P$64,MATCH($C202,'4. Costeo y Precios'!$A$14:$A$64,0)),0)</f>
        <v>0</v>
      </c>
      <c r="K202" s="31" t="str">
        <f aca="false">IF($C202="","",G202*J202)</f>
        <v/>
      </c>
      <c r="L202" s="51"/>
    </row>
    <row r="203" customFormat="false" ht="15" hidden="false" customHeight="false" outlineLevel="0" collapsed="false">
      <c r="A203" s="25"/>
      <c r="B203" s="24"/>
      <c r="C203" s="21"/>
      <c r="D203" s="50" t="str">
        <f aca="false">IFERROR(INDEX('4. Costeo y Precios'!$B$14:$B$64,MATCH($C203,'4. Costeo y Precios'!$A$14:$A$64,0)),"")</f>
        <v/>
      </c>
      <c r="E203" s="21"/>
      <c r="F203" s="21"/>
      <c r="G203" s="21"/>
      <c r="H203" s="43" t="str">
        <f aca="false">IFERROR(G203/(F203+G203),"")</f>
        <v/>
      </c>
      <c r="I203" s="24"/>
      <c r="J203" s="40" t="n">
        <f aca="false">IFERROR(INDEX('4. Costeo y Precios'!$P$14:$P$64,MATCH($C203,'4. Costeo y Precios'!$A$14:$A$64,0)),0)</f>
        <v>0</v>
      </c>
      <c r="K203" s="31" t="str">
        <f aca="false">IF($C203="","",G203*J203)</f>
        <v/>
      </c>
      <c r="L203" s="51"/>
    </row>
    <row r="204" customFormat="false" ht="15" hidden="false" customHeight="false" outlineLevel="0" collapsed="false">
      <c r="A204" s="25"/>
      <c r="B204" s="24"/>
      <c r="C204" s="21"/>
      <c r="D204" s="50" t="str">
        <f aca="false">IFERROR(INDEX('4. Costeo y Precios'!$B$14:$B$64,MATCH($C204,'4. Costeo y Precios'!$A$14:$A$64,0)),"")</f>
        <v/>
      </c>
      <c r="E204" s="21"/>
      <c r="F204" s="21"/>
      <c r="G204" s="21"/>
      <c r="H204" s="43" t="str">
        <f aca="false">IFERROR(G204/(F204+G204),"")</f>
        <v/>
      </c>
      <c r="I204" s="24"/>
      <c r="J204" s="40" t="n">
        <f aca="false">IFERROR(INDEX('4. Costeo y Precios'!$P$14:$P$64,MATCH($C204,'4. Costeo y Precios'!$A$14:$A$64,0)),0)</f>
        <v>0</v>
      </c>
      <c r="K204" s="31" t="str">
        <f aca="false">IF($C204="","",G204*J204)</f>
        <v/>
      </c>
      <c r="L204" s="51"/>
    </row>
    <row r="205" customFormat="false" ht="15" hidden="false" customHeight="false" outlineLevel="0" collapsed="false">
      <c r="A205" s="25"/>
      <c r="B205" s="24"/>
      <c r="C205" s="21"/>
      <c r="D205" s="50" t="str">
        <f aca="false">IFERROR(INDEX('4. Costeo y Precios'!$B$14:$B$64,MATCH($C205,'4. Costeo y Precios'!$A$14:$A$64,0)),"")</f>
        <v/>
      </c>
      <c r="E205" s="21"/>
      <c r="F205" s="21"/>
      <c r="G205" s="21"/>
      <c r="H205" s="43" t="str">
        <f aca="false">IFERROR(G205/(F205+G205),"")</f>
        <v/>
      </c>
      <c r="I205" s="24"/>
      <c r="J205" s="40" t="n">
        <f aca="false">IFERROR(INDEX('4. Costeo y Precios'!$P$14:$P$64,MATCH($C205,'4. Costeo y Precios'!$A$14:$A$64,0)),0)</f>
        <v>0</v>
      </c>
      <c r="K205" s="31" t="str">
        <f aca="false">IF($C205="","",G205*J205)</f>
        <v/>
      </c>
      <c r="L205" s="51"/>
    </row>
    <row r="206" customFormat="false" ht="15" hidden="false" customHeight="false" outlineLevel="0" collapsed="false">
      <c r="A206" s="25"/>
      <c r="B206" s="24"/>
      <c r="C206" s="21"/>
      <c r="D206" s="50" t="str">
        <f aca="false">IFERROR(INDEX('4. Costeo y Precios'!$B$14:$B$64,MATCH($C206,'4. Costeo y Precios'!$A$14:$A$64,0)),"")</f>
        <v/>
      </c>
      <c r="E206" s="21"/>
      <c r="F206" s="21"/>
      <c r="G206" s="21"/>
      <c r="H206" s="43" t="str">
        <f aca="false">IFERROR(G206/(F206+G206),"")</f>
        <v/>
      </c>
      <c r="I206" s="24"/>
      <c r="J206" s="40" t="n">
        <f aca="false">IFERROR(INDEX('4. Costeo y Precios'!$P$14:$P$64,MATCH($C206,'4. Costeo y Precios'!$A$14:$A$64,0)),0)</f>
        <v>0</v>
      </c>
      <c r="K206" s="31" t="str">
        <f aca="false">IF($C206="","",G206*J206)</f>
        <v/>
      </c>
      <c r="L206" s="51"/>
    </row>
    <row r="207" customFormat="false" ht="15" hidden="false" customHeight="false" outlineLevel="0" collapsed="false">
      <c r="A207" s="25"/>
      <c r="B207" s="24"/>
      <c r="C207" s="21"/>
      <c r="D207" s="50" t="str">
        <f aca="false">IFERROR(INDEX('4. Costeo y Precios'!$B$14:$B$64,MATCH($C207,'4. Costeo y Precios'!$A$14:$A$64,0)),"")</f>
        <v/>
      </c>
      <c r="E207" s="21"/>
      <c r="F207" s="21"/>
      <c r="G207" s="21"/>
      <c r="H207" s="43" t="str">
        <f aca="false">IFERROR(G207/(F207+G207),"")</f>
        <v/>
      </c>
      <c r="I207" s="24"/>
      <c r="J207" s="40" t="n">
        <f aca="false">IFERROR(INDEX('4. Costeo y Precios'!$P$14:$P$64,MATCH($C207,'4. Costeo y Precios'!$A$14:$A$64,0)),0)</f>
        <v>0</v>
      </c>
      <c r="K207" s="31" t="str">
        <f aca="false">IF($C207="","",G207*J207)</f>
        <v/>
      </c>
      <c r="L207" s="51"/>
    </row>
  </sheetData>
  <autoFilter ref="A7:L207"/>
  <mergeCells count="5">
    <mergeCell ref="A1:L1"/>
    <mergeCell ref="A3:C3"/>
    <mergeCell ref="A4:C4"/>
    <mergeCell ref="A5:C5"/>
    <mergeCell ref="A6:C6"/>
  </mergeCells>
  <dataValidations count="1">
    <dataValidation allowBlank="true" errorStyle="stop" operator="between" showDropDown="false" showErrorMessage="false" showInputMessage="false" sqref="I8:I207" type="list">
      <formula1>"Masa sobrefermentada,Masa subfermentada,Fuga de relleno en el horneado,Corte que aplastó la espiral,Centro crudo / horneado desigual,Glaseado cortado o aguado,Masa grasosa por exceso de temperatura,Prueba de ventana no lograda,Devolución de cliente,Otro"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9" min="7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1" t="s">
        <v>683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684</v>
      </c>
    </row>
    <row r="3" customFormat="false" ht="15" hidden="false" customHeight="false" outlineLevel="0" collapsed="false">
      <c r="A3" s="47" t="s">
        <v>685</v>
      </c>
      <c r="B3" s="47"/>
      <c r="C3" s="47"/>
      <c r="D3" s="48" t="n">
        <f aca="false">SUM(E8:E407)</f>
        <v>26</v>
      </c>
    </row>
    <row r="4" customFormat="false" ht="15" hidden="false" customHeight="false" outlineLevel="0" collapsed="false">
      <c r="A4" s="47" t="s">
        <v>686</v>
      </c>
      <c r="B4" s="47"/>
      <c r="C4" s="47"/>
      <c r="D4" s="34" t="n">
        <f aca="false">SUM(G8:G407)</f>
        <v>2490</v>
      </c>
    </row>
    <row r="5" customFormat="false" ht="15" hidden="false" customHeight="false" outlineLevel="0" collapsed="false">
      <c r="A5" s="47" t="s">
        <v>687</v>
      </c>
      <c r="B5" s="47"/>
      <c r="C5" s="47"/>
      <c r="D5" s="34" t="n">
        <f aca="false">SUM(L8:L407)</f>
        <v>920.424747474747</v>
      </c>
    </row>
    <row r="6" customFormat="false" ht="15" hidden="false" customHeight="false" outlineLevel="0" collapsed="false">
      <c r="A6" s="47" t="s">
        <v>688</v>
      </c>
      <c r="B6" s="47"/>
      <c r="C6" s="47"/>
      <c r="D6" s="49" t="n">
        <f aca="false">IFERROR(D5/D4,0)</f>
        <v>0.369648492961746</v>
      </c>
    </row>
    <row r="7" customFormat="false" ht="30" hidden="false" customHeight="true" outlineLevel="0" collapsed="false">
      <c r="A7" s="19" t="s">
        <v>670</v>
      </c>
      <c r="B7" s="19" t="s">
        <v>672</v>
      </c>
      <c r="C7" s="19" t="s">
        <v>244</v>
      </c>
      <c r="D7" s="19" t="s">
        <v>689</v>
      </c>
      <c r="E7" s="19" t="s">
        <v>690</v>
      </c>
      <c r="F7" s="19" t="s">
        <v>691</v>
      </c>
      <c r="G7" s="19" t="s">
        <v>692</v>
      </c>
      <c r="H7" s="19" t="s">
        <v>678</v>
      </c>
      <c r="I7" s="19" t="s">
        <v>693</v>
      </c>
      <c r="J7" s="19" t="s">
        <v>694</v>
      </c>
      <c r="K7" s="19" t="s">
        <v>695</v>
      </c>
      <c r="L7" s="19" t="s">
        <v>696</v>
      </c>
      <c r="M7" s="19" t="s">
        <v>697</v>
      </c>
      <c r="N7" s="19" t="s">
        <v>698</v>
      </c>
    </row>
    <row r="8" customFormat="false" ht="15" hidden="false" customHeight="false" outlineLevel="0" collapsed="false">
      <c r="A8" s="25" t="n">
        <v>46236</v>
      </c>
      <c r="B8" s="21" t="n">
        <v>1</v>
      </c>
      <c r="C8" s="50" t="str">
        <f aca="false">IFERROR(INDEX('4. Costeo y Precios'!$B$14:$B$64,MATCH($B8,'4. Costeo y Precios'!$A$14:$A$64,0)),"")</f>
        <v>Rol de Canela Clásico con Glaseado de Vainilla de Papantla</v>
      </c>
      <c r="D8" s="24" t="s">
        <v>699</v>
      </c>
      <c r="E8" s="21" t="n">
        <v>8</v>
      </c>
      <c r="F8" s="22" t="n">
        <v>75</v>
      </c>
      <c r="G8" s="31" t="n">
        <f aca="false">IF($B8="","",E8*F8)</f>
        <v>600</v>
      </c>
      <c r="H8" s="40" t="n">
        <f aca="false">IFERROR(INDEX('4. Costeo y Precios'!$P$14:$P$64,MATCH($B8,'4. Costeo y Precios'!$A$14:$A$64,0)),0)</f>
        <v>51.388952020202</v>
      </c>
      <c r="I8" s="31" t="n">
        <f aca="false">IF($B8="","",E8*H8)</f>
        <v>411.111616161616</v>
      </c>
      <c r="J8" s="52" t="n">
        <v>0</v>
      </c>
      <c r="K8" s="31" t="n">
        <f aca="false">IF($B8="","",G8*J8)</f>
        <v>0</v>
      </c>
      <c r="L8" s="42" t="n">
        <f aca="false">IF($B8="","",G8-I8-K8)</f>
        <v>188.888383838384</v>
      </c>
      <c r="M8" s="43" t="n">
        <f aca="false">IFERROR(L8/G8,"")</f>
        <v>0.314813973063973</v>
      </c>
      <c r="N8" s="51" t="s">
        <v>682</v>
      </c>
    </row>
    <row r="9" customFormat="false" ht="15" hidden="false" customHeight="false" outlineLevel="0" collapsed="false">
      <c r="A9" s="25" t="n">
        <v>46237</v>
      </c>
      <c r="B9" s="21" t="n">
        <v>11</v>
      </c>
      <c r="C9" s="50" t="str">
        <f aca="false">IFERROR(INDEX('4. Costeo y Precios'!$B$14:$B$64,MATCH($B9,'4. Costeo y Precios'!$A$14:$A$64,0)),"")</f>
        <v>Rol Volcán de Crema de Avellana (Estilo Nutella)</v>
      </c>
      <c r="D9" s="24" t="s">
        <v>700</v>
      </c>
      <c r="E9" s="21" t="n">
        <v>12</v>
      </c>
      <c r="F9" s="22" t="n">
        <v>110</v>
      </c>
      <c r="G9" s="31" t="n">
        <f aca="false">IF($B9="","",E9*F9)</f>
        <v>1320</v>
      </c>
      <c r="H9" s="40" t="n">
        <f aca="false">IFERROR(INDEX('4. Costeo y Precios'!$P$14:$P$64,MATCH($B9,'4. Costeo y Precios'!$A$14:$A$64,0)),0)</f>
        <v>57.3686868686869</v>
      </c>
      <c r="I9" s="31" t="n">
        <f aca="false">IF($B9="","",E9*H9)</f>
        <v>688.424242424243</v>
      </c>
      <c r="J9" s="52" t="n">
        <v>0</v>
      </c>
      <c r="K9" s="31" t="n">
        <f aca="false">IF($B9="","",G9*J9)</f>
        <v>0</v>
      </c>
      <c r="L9" s="42" t="n">
        <f aca="false">IF($B9="","",G9-I9-K9)</f>
        <v>631.575757575758</v>
      </c>
      <c r="M9" s="43" t="n">
        <f aca="false">IFERROR(L9/G9,"")</f>
        <v>0.478466483011938</v>
      </c>
      <c r="N9" s="51"/>
    </row>
    <row r="10" customFormat="false" ht="15" hidden="false" customHeight="false" outlineLevel="0" collapsed="false">
      <c r="A10" s="25" t="n">
        <v>46238</v>
      </c>
      <c r="B10" s="21" t="n">
        <v>42</v>
      </c>
      <c r="C10" s="50" t="str">
        <f aca="false">IFERROR(INDEX('4. Costeo y Precios'!$B$14:$B$64,MATCH($B10,'4. Costeo y Precios'!$A$14:$A$64,0)),"")</f>
        <v>Rol de Ajo Rostizado, Romero y Parmesano</v>
      </c>
      <c r="D10" s="24" t="s">
        <v>701</v>
      </c>
      <c r="E10" s="21" t="n">
        <v>6</v>
      </c>
      <c r="F10" s="22" t="n">
        <v>95</v>
      </c>
      <c r="G10" s="31" t="n">
        <f aca="false">IF($B10="","",E10*F10)</f>
        <v>570</v>
      </c>
      <c r="H10" s="40" t="n">
        <f aca="false">IFERROR(INDEX('4. Costeo y Precios'!$P$14:$P$64,MATCH($B10,'4. Costeo y Precios'!$A$14:$A$64,0)),0)</f>
        <v>68.839898989899</v>
      </c>
      <c r="I10" s="31" t="n">
        <f aca="false">IF($B10="","",E10*H10)</f>
        <v>413.039393939394</v>
      </c>
      <c r="J10" s="52" t="n">
        <v>0.1</v>
      </c>
      <c r="K10" s="31" t="n">
        <f aca="false">IF($B10="","",G10*J10)</f>
        <v>57</v>
      </c>
      <c r="L10" s="42" t="n">
        <f aca="false">IF($B10="","",G10-I10-K10)</f>
        <v>99.960606060606</v>
      </c>
      <c r="M10" s="43" t="n">
        <f aca="false">IFERROR(L10/G10,"")</f>
        <v>0.175369484316853</v>
      </c>
      <c r="N10" s="51"/>
    </row>
    <row r="11" customFormat="false" ht="15" hidden="false" customHeight="false" outlineLevel="0" collapsed="false">
      <c r="A11" s="25"/>
      <c r="B11" s="21"/>
      <c r="C11" s="50" t="str">
        <f aca="false">IFERROR(INDEX('4. Costeo y Precios'!$B$14:$B$64,MATCH($B11,'4. Costeo y Precios'!$A$14:$A$64,0)),"")</f>
        <v/>
      </c>
      <c r="D11" s="24"/>
      <c r="E11" s="21"/>
      <c r="F11" s="22"/>
      <c r="G11" s="31" t="str">
        <f aca="false">IF($B11="","",E11*F11)</f>
        <v/>
      </c>
      <c r="H11" s="40" t="n">
        <f aca="false">IFERROR(INDEX('4. Costeo y Precios'!$P$14:$P$64,MATCH($B11,'4. Costeo y Precios'!$A$14:$A$64,0)),0)</f>
        <v>0</v>
      </c>
      <c r="I11" s="31" t="str">
        <f aca="false">IF($B11="","",E11*H11)</f>
        <v/>
      </c>
      <c r="J11" s="52"/>
      <c r="K11" s="31" t="str">
        <f aca="false">IF($B11="","",G11*J11)</f>
        <v/>
      </c>
      <c r="L11" s="42" t="str">
        <f aca="false">IF($B11="","",G11-I11-K11)</f>
        <v/>
      </c>
      <c r="M11" s="43" t="str">
        <f aca="false">IFERROR(L11/G11,"")</f>
        <v/>
      </c>
      <c r="N11" s="51"/>
    </row>
    <row r="12" customFormat="false" ht="15" hidden="false" customHeight="false" outlineLevel="0" collapsed="false">
      <c r="A12" s="25"/>
      <c r="B12" s="21"/>
      <c r="C12" s="50" t="str">
        <f aca="false">IFERROR(INDEX('4. Costeo y Precios'!$B$14:$B$64,MATCH($B12,'4. Costeo y Precios'!$A$14:$A$64,0)),"")</f>
        <v/>
      </c>
      <c r="D12" s="24"/>
      <c r="E12" s="21"/>
      <c r="F12" s="22"/>
      <c r="G12" s="31" t="str">
        <f aca="false">IF($B12="","",E12*F12)</f>
        <v/>
      </c>
      <c r="H12" s="40" t="n">
        <f aca="false">IFERROR(INDEX('4. Costeo y Precios'!$P$14:$P$64,MATCH($B12,'4. Costeo y Precios'!$A$14:$A$64,0)),0)</f>
        <v>0</v>
      </c>
      <c r="I12" s="31" t="str">
        <f aca="false">IF($B12="","",E12*H12)</f>
        <v/>
      </c>
      <c r="J12" s="52"/>
      <c r="K12" s="31" t="str">
        <f aca="false">IF($B12="","",G12*J12)</f>
        <v/>
      </c>
      <c r="L12" s="42" t="str">
        <f aca="false">IF($B12="","",G12-I12-K12)</f>
        <v/>
      </c>
      <c r="M12" s="43" t="str">
        <f aca="false">IFERROR(L12/G12,"")</f>
        <v/>
      </c>
      <c r="N12" s="51"/>
    </row>
    <row r="13" customFormat="false" ht="15" hidden="false" customHeight="false" outlineLevel="0" collapsed="false">
      <c r="A13" s="25"/>
      <c r="B13" s="21"/>
      <c r="C13" s="50" t="str">
        <f aca="false">IFERROR(INDEX('4. Costeo y Precios'!$B$14:$B$64,MATCH($B13,'4. Costeo y Precios'!$A$14:$A$64,0)),"")</f>
        <v/>
      </c>
      <c r="D13" s="24"/>
      <c r="E13" s="21"/>
      <c r="F13" s="22"/>
      <c r="G13" s="31" t="str">
        <f aca="false">IF($B13="","",E13*F13)</f>
        <v/>
      </c>
      <c r="H13" s="40" t="n">
        <f aca="false">IFERROR(INDEX('4. Costeo y Precios'!$P$14:$P$64,MATCH($B13,'4. Costeo y Precios'!$A$14:$A$64,0)),0)</f>
        <v>0</v>
      </c>
      <c r="I13" s="31" t="str">
        <f aca="false">IF($B13="","",E13*H13)</f>
        <v/>
      </c>
      <c r="J13" s="52"/>
      <c r="K13" s="31" t="str">
        <f aca="false">IF($B13="","",G13*J13)</f>
        <v/>
      </c>
      <c r="L13" s="42" t="str">
        <f aca="false">IF($B13="","",G13-I13-K13)</f>
        <v/>
      </c>
      <c r="M13" s="43" t="str">
        <f aca="false">IFERROR(L13/G13,"")</f>
        <v/>
      </c>
      <c r="N13" s="51"/>
    </row>
    <row r="14" customFormat="false" ht="15" hidden="false" customHeight="false" outlineLevel="0" collapsed="false">
      <c r="A14" s="25"/>
      <c r="B14" s="21"/>
      <c r="C14" s="50" t="str">
        <f aca="false">IFERROR(INDEX('4. Costeo y Precios'!$B$14:$B$64,MATCH($B14,'4. Costeo y Precios'!$A$14:$A$64,0)),"")</f>
        <v/>
      </c>
      <c r="D14" s="24"/>
      <c r="E14" s="21"/>
      <c r="F14" s="22"/>
      <c r="G14" s="31" t="str">
        <f aca="false">IF($B14="","",E14*F14)</f>
        <v/>
      </c>
      <c r="H14" s="40" t="n">
        <f aca="false">IFERROR(INDEX('4. Costeo y Precios'!$P$14:$P$64,MATCH($B14,'4. Costeo y Precios'!$A$14:$A$64,0)),0)</f>
        <v>0</v>
      </c>
      <c r="I14" s="31" t="str">
        <f aca="false">IF($B14="","",E14*H14)</f>
        <v/>
      </c>
      <c r="J14" s="52"/>
      <c r="K14" s="31" t="str">
        <f aca="false">IF($B14="","",G14*J14)</f>
        <v/>
      </c>
      <c r="L14" s="42" t="str">
        <f aca="false">IF($B14="","",G14-I14-K14)</f>
        <v/>
      </c>
      <c r="M14" s="43" t="str">
        <f aca="false">IFERROR(L14/G14,"")</f>
        <v/>
      </c>
      <c r="N14" s="51"/>
    </row>
    <row r="15" customFormat="false" ht="15" hidden="false" customHeight="false" outlineLevel="0" collapsed="false">
      <c r="A15" s="25"/>
      <c r="B15" s="21"/>
      <c r="C15" s="50" t="str">
        <f aca="false">IFERROR(INDEX('4. Costeo y Precios'!$B$14:$B$64,MATCH($B15,'4. Costeo y Precios'!$A$14:$A$64,0)),"")</f>
        <v/>
      </c>
      <c r="D15" s="24"/>
      <c r="E15" s="21"/>
      <c r="F15" s="22"/>
      <c r="G15" s="31" t="str">
        <f aca="false">IF($B15="","",E15*F15)</f>
        <v/>
      </c>
      <c r="H15" s="40" t="n">
        <f aca="false">IFERROR(INDEX('4. Costeo y Precios'!$P$14:$P$64,MATCH($B15,'4. Costeo y Precios'!$A$14:$A$64,0)),0)</f>
        <v>0</v>
      </c>
      <c r="I15" s="31" t="str">
        <f aca="false">IF($B15="","",E15*H15)</f>
        <v/>
      </c>
      <c r="J15" s="52"/>
      <c r="K15" s="31" t="str">
        <f aca="false">IF($B15="","",G15*J15)</f>
        <v/>
      </c>
      <c r="L15" s="42" t="str">
        <f aca="false">IF($B15="","",G15-I15-K15)</f>
        <v/>
      </c>
      <c r="M15" s="43" t="str">
        <f aca="false">IFERROR(L15/G15,"")</f>
        <v/>
      </c>
      <c r="N15" s="51"/>
    </row>
    <row r="16" customFormat="false" ht="15" hidden="false" customHeight="false" outlineLevel="0" collapsed="false">
      <c r="A16" s="25"/>
      <c r="B16" s="21"/>
      <c r="C16" s="50" t="str">
        <f aca="false">IFERROR(INDEX('4. Costeo y Precios'!$B$14:$B$64,MATCH($B16,'4. Costeo y Precios'!$A$14:$A$64,0)),"")</f>
        <v/>
      </c>
      <c r="D16" s="24"/>
      <c r="E16" s="21"/>
      <c r="F16" s="22"/>
      <c r="G16" s="31" t="str">
        <f aca="false">IF($B16="","",E16*F16)</f>
        <v/>
      </c>
      <c r="H16" s="40" t="n">
        <f aca="false">IFERROR(INDEX('4. Costeo y Precios'!$P$14:$P$64,MATCH($B16,'4. Costeo y Precios'!$A$14:$A$64,0)),0)</f>
        <v>0</v>
      </c>
      <c r="I16" s="31" t="str">
        <f aca="false">IF($B16="","",E16*H16)</f>
        <v/>
      </c>
      <c r="J16" s="52"/>
      <c r="K16" s="31" t="str">
        <f aca="false">IF($B16="","",G16*J16)</f>
        <v/>
      </c>
      <c r="L16" s="42" t="str">
        <f aca="false">IF($B16="","",G16-I16-K16)</f>
        <v/>
      </c>
      <c r="M16" s="43" t="str">
        <f aca="false">IFERROR(L16/G16,"")</f>
        <v/>
      </c>
      <c r="N16" s="51"/>
    </row>
    <row r="17" customFormat="false" ht="15" hidden="false" customHeight="false" outlineLevel="0" collapsed="false">
      <c r="A17" s="25"/>
      <c r="B17" s="21"/>
      <c r="C17" s="50" t="str">
        <f aca="false">IFERROR(INDEX('4. Costeo y Precios'!$B$14:$B$64,MATCH($B17,'4. Costeo y Precios'!$A$14:$A$64,0)),"")</f>
        <v/>
      </c>
      <c r="D17" s="24"/>
      <c r="E17" s="21"/>
      <c r="F17" s="22"/>
      <c r="G17" s="31" t="str">
        <f aca="false">IF($B17="","",E17*F17)</f>
        <v/>
      </c>
      <c r="H17" s="40" t="n">
        <f aca="false">IFERROR(INDEX('4. Costeo y Precios'!$P$14:$P$64,MATCH($B17,'4. Costeo y Precios'!$A$14:$A$64,0)),0)</f>
        <v>0</v>
      </c>
      <c r="I17" s="31" t="str">
        <f aca="false">IF($B17="","",E17*H17)</f>
        <v/>
      </c>
      <c r="J17" s="52"/>
      <c r="K17" s="31" t="str">
        <f aca="false">IF($B17="","",G17*J17)</f>
        <v/>
      </c>
      <c r="L17" s="42" t="str">
        <f aca="false">IF($B17="","",G17-I17-K17)</f>
        <v/>
      </c>
      <c r="M17" s="43" t="str">
        <f aca="false">IFERROR(L17/G17,"")</f>
        <v/>
      </c>
      <c r="N17" s="51"/>
    </row>
    <row r="18" customFormat="false" ht="15" hidden="false" customHeight="false" outlineLevel="0" collapsed="false">
      <c r="A18" s="25"/>
      <c r="B18" s="21"/>
      <c r="C18" s="50" t="str">
        <f aca="false">IFERROR(INDEX('4. Costeo y Precios'!$B$14:$B$64,MATCH($B18,'4. Costeo y Precios'!$A$14:$A$64,0)),"")</f>
        <v/>
      </c>
      <c r="D18" s="24"/>
      <c r="E18" s="21"/>
      <c r="F18" s="22"/>
      <c r="G18" s="31" t="str">
        <f aca="false">IF($B18="","",E18*F18)</f>
        <v/>
      </c>
      <c r="H18" s="40" t="n">
        <f aca="false">IFERROR(INDEX('4. Costeo y Precios'!$P$14:$P$64,MATCH($B18,'4. Costeo y Precios'!$A$14:$A$64,0)),0)</f>
        <v>0</v>
      </c>
      <c r="I18" s="31" t="str">
        <f aca="false">IF($B18="","",E18*H18)</f>
        <v/>
      </c>
      <c r="J18" s="52"/>
      <c r="K18" s="31" t="str">
        <f aca="false">IF($B18="","",G18*J18)</f>
        <v/>
      </c>
      <c r="L18" s="42" t="str">
        <f aca="false">IF($B18="","",G18-I18-K18)</f>
        <v/>
      </c>
      <c r="M18" s="43" t="str">
        <f aca="false">IFERROR(L18/G18,"")</f>
        <v/>
      </c>
      <c r="N18" s="51"/>
    </row>
    <row r="19" customFormat="false" ht="15" hidden="false" customHeight="false" outlineLevel="0" collapsed="false">
      <c r="A19" s="25"/>
      <c r="B19" s="21"/>
      <c r="C19" s="50" t="str">
        <f aca="false">IFERROR(INDEX('4. Costeo y Precios'!$B$14:$B$64,MATCH($B19,'4. Costeo y Precios'!$A$14:$A$64,0)),"")</f>
        <v/>
      </c>
      <c r="D19" s="24"/>
      <c r="E19" s="21"/>
      <c r="F19" s="22"/>
      <c r="G19" s="31" t="str">
        <f aca="false">IF($B19="","",E19*F19)</f>
        <v/>
      </c>
      <c r="H19" s="40" t="n">
        <f aca="false">IFERROR(INDEX('4. Costeo y Precios'!$P$14:$P$64,MATCH($B19,'4. Costeo y Precios'!$A$14:$A$64,0)),0)</f>
        <v>0</v>
      </c>
      <c r="I19" s="31" t="str">
        <f aca="false">IF($B19="","",E19*H19)</f>
        <v/>
      </c>
      <c r="J19" s="52"/>
      <c r="K19" s="31" t="str">
        <f aca="false">IF($B19="","",G19*J19)</f>
        <v/>
      </c>
      <c r="L19" s="42" t="str">
        <f aca="false">IF($B19="","",G19-I19-K19)</f>
        <v/>
      </c>
      <c r="M19" s="43" t="str">
        <f aca="false">IFERROR(L19/G19,"")</f>
        <v/>
      </c>
      <c r="N19" s="51"/>
    </row>
    <row r="20" customFormat="false" ht="15" hidden="false" customHeight="false" outlineLevel="0" collapsed="false">
      <c r="A20" s="25"/>
      <c r="B20" s="21"/>
      <c r="C20" s="50" t="str">
        <f aca="false">IFERROR(INDEX('4. Costeo y Precios'!$B$14:$B$64,MATCH($B20,'4. Costeo y Precios'!$A$14:$A$64,0)),"")</f>
        <v/>
      </c>
      <c r="D20" s="24"/>
      <c r="E20" s="21"/>
      <c r="F20" s="22"/>
      <c r="G20" s="31" t="str">
        <f aca="false">IF($B20="","",E20*F20)</f>
        <v/>
      </c>
      <c r="H20" s="40" t="n">
        <f aca="false">IFERROR(INDEX('4. Costeo y Precios'!$P$14:$P$64,MATCH($B20,'4. Costeo y Precios'!$A$14:$A$64,0)),0)</f>
        <v>0</v>
      </c>
      <c r="I20" s="31" t="str">
        <f aca="false">IF($B20="","",E20*H20)</f>
        <v/>
      </c>
      <c r="J20" s="52"/>
      <c r="K20" s="31" t="str">
        <f aca="false">IF($B20="","",G20*J20)</f>
        <v/>
      </c>
      <c r="L20" s="42" t="str">
        <f aca="false">IF($B20="","",G20-I20-K20)</f>
        <v/>
      </c>
      <c r="M20" s="43" t="str">
        <f aca="false">IFERROR(L20/G20,"")</f>
        <v/>
      </c>
      <c r="N20" s="51"/>
    </row>
    <row r="21" customFormat="false" ht="15" hidden="false" customHeight="false" outlineLevel="0" collapsed="false">
      <c r="A21" s="25"/>
      <c r="B21" s="21"/>
      <c r="C21" s="50" t="str">
        <f aca="false">IFERROR(INDEX('4. Costeo y Precios'!$B$14:$B$64,MATCH($B21,'4. Costeo y Precios'!$A$14:$A$64,0)),"")</f>
        <v/>
      </c>
      <c r="D21" s="24"/>
      <c r="E21" s="21"/>
      <c r="F21" s="22"/>
      <c r="G21" s="31" t="str">
        <f aca="false">IF($B21="","",E21*F21)</f>
        <v/>
      </c>
      <c r="H21" s="40" t="n">
        <f aca="false">IFERROR(INDEX('4. Costeo y Precios'!$P$14:$P$64,MATCH($B21,'4. Costeo y Precios'!$A$14:$A$64,0)),0)</f>
        <v>0</v>
      </c>
      <c r="I21" s="31" t="str">
        <f aca="false">IF($B21="","",E21*H21)</f>
        <v/>
      </c>
      <c r="J21" s="52"/>
      <c r="K21" s="31" t="str">
        <f aca="false">IF($B21="","",G21*J21)</f>
        <v/>
      </c>
      <c r="L21" s="42" t="str">
        <f aca="false">IF($B21="","",G21-I21-K21)</f>
        <v/>
      </c>
      <c r="M21" s="43" t="str">
        <f aca="false">IFERROR(L21/G21,"")</f>
        <v/>
      </c>
      <c r="N21" s="51"/>
    </row>
    <row r="22" customFormat="false" ht="15" hidden="false" customHeight="false" outlineLevel="0" collapsed="false">
      <c r="A22" s="25"/>
      <c r="B22" s="21"/>
      <c r="C22" s="50" t="str">
        <f aca="false">IFERROR(INDEX('4. Costeo y Precios'!$B$14:$B$64,MATCH($B22,'4. Costeo y Precios'!$A$14:$A$64,0)),"")</f>
        <v/>
      </c>
      <c r="D22" s="24"/>
      <c r="E22" s="21"/>
      <c r="F22" s="22"/>
      <c r="G22" s="31" t="str">
        <f aca="false">IF($B22="","",E22*F22)</f>
        <v/>
      </c>
      <c r="H22" s="40" t="n">
        <f aca="false">IFERROR(INDEX('4. Costeo y Precios'!$P$14:$P$64,MATCH($B22,'4. Costeo y Precios'!$A$14:$A$64,0)),0)</f>
        <v>0</v>
      </c>
      <c r="I22" s="31" t="str">
        <f aca="false">IF($B22="","",E22*H22)</f>
        <v/>
      </c>
      <c r="J22" s="52"/>
      <c r="K22" s="31" t="str">
        <f aca="false">IF($B22="","",G22*J22)</f>
        <v/>
      </c>
      <c r="L22" s="42" t="str">
        <f aca="false">IF($B22="","",G22-I22-K22)</f>
        <v/>
      </c>
      <c r="M22" s="43" t="str">
        <f aca="false">IFERROR(L22/G22,"")</f>
        <v/>
      </c>
      <c r="N22" s="51"/>
    </row>
    <row r="23" customFormat="false" ht="15" hidden="false" customHeight="false" outlineLevel="0" collapsed="false">
      <c r="A23" s="25"/>
      <c r="B23" s="21"/>
      <c r="C23" s="50" t="str">
        <f aca="false">IFERROR(INDEX('4. Costeo y Precios'!$B$14:$B$64,MATCH($B23,'4. Costeo y Precios'!$A$14:$A$64,0)),"")</f>
        <v/>
      </c>
      <c r="D23" s="24"/>
      <c r="E23" s="21"/>
      <c r="F23" s="22"/>
      <c r="G23" s="31" t="str">
        <f aca="false">IF($B23="","",E23*F23)</f>
        <v/>
      </c>
      <c r="H23" s="40" t="n">
        <f aca="false">IFERROR(INDEX('4. Costeo y Precios'!$P$14:$P$64,MATCH($B23,'4. Costeo y Precios'!$A$14:$A$64,0)),0)</f>
        <v>0</v>
      </c>
      <c r="I23" s="31" t="str">
        <f aca="false">IF($B23="","",E23*H23)</f>
        <v/>
      </c>
      <c r="J23" s="52"/>
      <c r="K23" s="31" t="str">
        <f aca="false">IF($B23="","",G23*J23)</f>
        <v/>
      </c>
      <c r="L23" s="42" t="str">
        <f aca="false">IF($B23="","",G23-I23-K23)</f>
        <v/>
      </c>
      <c r="M23" s="43" t="str">
        <f aca="false">IFERROR(L23/G23,"")</f>
        <v/>
      </c>
      <c r="N23" s="51"/>
    </row>
    <row r="24" customFormat="false" ht="15" hidden="false" customHeight="false" outlineLevel="0" collapsed="false">
      <c r="A24" s="25"/>
      <c r="B24" s="21"/>
      <c r="C24" s="50" t="str">
        <f aca="false">IFERROR(INDEX('4. Costeo y Precios'!$B$14:$B$64,MATCH($B24,'4. Costeo y Precios'!$A$14:$A$64,0)),"")</f>
        <v/>
      </c>
      <c r="D24" s="24"/>
      <c r="E24" s="21"/>
      <c r="F24" s="22"/>
      <c r="G24" s="31" t="str">
        <f aca="false">IF($B24="","",E24*F24)</f>
        <v/>
      </c>
      <c r="H24" s="40" t="n">
        <f aca="false">IFERROR(INDEX('4. Costeo y Precios'!$P$14:$P$64,MATCH($B24,'4. Costeo y Precios'!$A$14:$A$64,0)),0)</f>
        <v>0</v>
      </c>
      <c r="I24" s="31" t="str">
        <f aca="false">IF($B24="","",E24*H24)</f>
        <v/>
      </c>
      <c r="J24" s="52"/>
      <c r="K24" s="31" t="str">
        <f aca="false">IF($B24="","",G24*J24)</f>
        <v/>
      </c>
      <c r="L24" s="42" t="str">
        <f aca="false">IF($B24="","",G24-I24-K24)</f>
        <v/>
      </c>
      <c r="M24" s="43" t="str">
        <f aca="false">IFERROR(L24/G24,"")</f>
        <v/>
      </c>
      <c r="N24" s="51"/>
    </row>
    <row r="25" customFormat="false" ht="15" hidden="false" customHeight="false" outlineLevel="0" collapsed="false">
      <c r="A25" s="25"/>
      <c r="B25" s="21"/>
      <c r="C25" s="50" t="str">
        <f aca="false">IFERROR(INDEX('4. Costeo y Precios'!$B$14:$B$64,MATCH($B25,'4. Costeo y Precios'!$A$14:$A$64,0)),"")</f>
        <v/>
      </c>
      <c r="D25" s="24"/>
      <c r="E25" s="21"/>
      <c r="F25" s="22"/>
      <c r="G25" s="31" t="str">
        <f aca="false">IF($B25="","",E25*F25)</f>
        <v/>
      </c>
      <c r="H25" s="40" t="n">
        <f aca="false">IFERROR(INDEX('4. Costeo y Precios'!$P$14:$P$64,MATCH($B25,'4. Costeo y Precios'!$A$14:$A$64,0)),0)</f>
        <v>0</v>
      </c>
      <c r="I25" s="31" t="str">
        <f aca="false">IF($B25="","",E25*H25)</f>
        <v/>
      </c>
      <c r="J25" s="52"/>
      <c r="K25" s="31" t="str">
        <f aca="false">IF($B25="","",G25*J25)</f>
        <v/>
      </c>
      <c r="L25" s="42" t="str">
        <f aca="false">IF($B25="","",G25-I25-K25)</f>
        <v/>
      </c>
      <c r="M25" s="43" t="str">
        <f aca="false">IFERROR(L25/G25,"")</f>
        <v/>
      </c>
      <c r="N25" s="51"/>
    </row>
    <row r="26" customFormat="false" ht="15" hidden="false" customHeight="false" outlineLevel="0" collapsed="false">
      <c r="A26" s="25"/>
      <c r="B26" s="21"/>
      <c r="C26" s="50" t="str">
        <f aca="false">IFERROR(INDEX('4. Costeo y Precios'!$B$14:$B$64,MATCH($B26,'4. Costeo y Precios'!$A$14:$A$64,0)),"")</f>
        <v/>
      </c>
      <c r="D26" s="24"/>
      <c r="E26" s="21"/>
      <c r="F26" s="22"/>
      <c r="G26" s="31" t="str">
        <f aca="false">IF($B26="","",E26*F26)</f>
        <v/>
      </c>
      <c r="H26" s="40" t="n">
        <f aca="false">IFERROR(INDEX('4. Costeo y Precios'!$P$14:$P$64,MATCH($B26,'4. Costeo y Precios'!$A$14:$A$64,0)),0)</f>
        <v>0</v>
      </c>
      <c r="I26" s="31" t="str">
        <f aca="false">IF($B26="","",E26*H26)</f>
        <v/>
      </c>
      <c r="J26" s="52"/>
      <c r="K26" s="31" t="str">
        <f aca="false">IF($B26="","",G26*J26)</f>
        <v/>
      </c>
      <c r="L26" s="42" t="str">
        <f aca="false">IF($B26="","",G26-I26-K26)</f>
        <v/>
      </c>
      <c r="M26" s="43" t="str">
        <f aca="false">IFERROR(L26/G26,"")</f>
        <v/>
      </c>
      <c r="N26" s="51"/>
    </row>
    <row r="27" customFormat="false" ht="15" hidden="false" customHeight="false" outlineLevel="0" collapsed="false">
      <c r="A27" s="25"/>
      <c r="B27" s="21"/>
      <c r="C27" s="50" t="str">
        <f aca="false">IFERROR(INDEX('4. Costeo y Precios'!$B$14:$B$64,MATCH($B27,'4. Costeo y Precios'!$A$14:$A$64,0)),"")</f>
        <v/>
      </c>
      <c r="D27" s="24"/>
      <c r="E27" s="21"/>
      <c r="F27" s="22"/>
      <c r="G27" s="31" t="str">
        <f aca="false">IF($B27="","",E27*F27)</f>
        <v/>
      </c>
      <c r="H27" s="40" t="n">
        <f aca="false">IFERROR(INDEX('4. Costeo y Precios'!$P$14:$P$64,MATCH($B27,'4. Costeo y Precios'!$A$14:$A$64,0)),0)</f>
        <v>0</v>
      </c>
      <c r="I27" s="31" t="str">
        <f aca="false">IF($B27="","",E27*H27)</f>
        <v/>
      </c>
      <c r="J27" s="52"/>
      <c r="K27" s="31" t="str">
        <f aca="false">IF($B27="","",G27*J27)</f>
        <v/>
      </c>
      <c r="L27" s="42" t="str">
        <f aca="false">IF($B27="","",G27-I27-K27)</f>
        <v/>
      </c>
      <c r="M27" s="43" t="str">
        <f aca="false">IFERROR(L27/G27,"")</f>
        <v/>
      </c>
      <c r="N27" s="51"/>
    </row>
    <row r="28" customFormat="false" ht="15" hidden="false" customHeight="false" outlineLevel="0" collapsed="false">
      <c r="A28" s="25"/>
      <c r="B28" s="21"/>
      <c r="C28" s="50" t="str">
        <f aca="false">IFERROR(INDEX('4. Costeo y Precios'!$B$14:$B$64,MATCH($B28,'4. Costeo y Precios'!$A$14:$A$64,0)),"")</f>
        <v/>
      </c>
      <c r="D28" s="24"/>
      <c r="E28" s="21"/>
      <c r="F28" s="22"/>
      <c r="G28" s="31" t="str">
        <f aca="false">IF($B28="","",E28*F28)</f>
        <v/>
      </c>
      <c r="H28" s="40" t="n">
        <f aca="false">IFERROR(INDEX('4. Costeo y Precios'!$P$14:$P$64,MATCH($B28,'4. Costeo y Precios'!$A$14:$A$64,0)),0)</f>
        <v>0</v>
      </c>
      <c r="I28" s="31" t="str">
        <f aca="false">IF($B28="","",E28*H28)</f>
        <v/>
      </c>
      <c r="J28" s="52"/>
      <c r="K28" s="31" t="str">
        <f aca="false">IF($B28="","",G28*J28)</f>
        <v/>
      </c>
      <c r="L28" s="42" t="str">
        <f aca="false">IF($B28="","",G28-I28-K28)</f>
        <v/>
      </c>
      <c r="M28" s="43" t="str">
        <f aca="false">IFERROR(L28/G28,"")</f>
        <v/>
      </c>
      <c r="N28" s="51"/>
    </row>
    <row r="29" customFormat="false" ht="15" hidden="false" customHeight="false" outlineLevel="0" collapsed="false">
      <c r="A29" s="25"/>
      <c r="B29" s="21"/>
      <c r="C29" s="50" t="str">
        <f aca="false">IFERROR(INDEX('4. Costeo y Precios'!$B$14:$B$64,MATCH($B29,'4. Costeo y Precios'!$A$14:$A$64,0)),"")</f>
        <v/>
      </c>
      <c r="D29" s="24"/>
      <c r="E29" s="21"/>
      <c r="F29" s="22"/>
      <c r="G29" s="31" t="str">
        <f aca="false">IF($B29="","",E29*F29)</f>
        <v/>
      </c>
      <c r="H29" s="40" t="n">
        <f aca="false">IFERROR(INDEX('4. Costeo y Precios'!$P$14:$P$64,MATCH($B29,'4. Costeo y Precios'!$A$14:$A$64,0)),0)</f>
        <v>0</v>
      </c>
      <c r="I29" s="31" t="str">
        <f aca="false">IF($B29="","",E29*H29)</f>
        <v/>
      </c>
      <c r="J29" s="52"/>
      <c r="K29" s="31" t="str">
        <f aca="false">IF($B29="","",G29*J29)</f>
        <v/>
      </c>
      <c r="L29" s="42" t="str">
        <f aca="false">IF($B29="","",G29-I29-K29)</f>
        <v/>
      </c>
      <c r="M29" s="43" t="str">
        <f aca="false">IFERROR(L29/G29,"")</f>
        <v/>
      </c>
      <c r="N29" s="51"/>
    </row>
    <row r="30" customFormat="false" ht="15" hidden="false" customHeight="false" outlineLevel="0" collapsed="false">
      <c r="A30" s="25"/>
      <c r="B30" s="21"/>
      <c r="C30" s="50" t="str">
        <f aca="false">IFERROR(INDEX('4. Costeo y Precios'!$B$14:$B$64,MATCH($B30,'4. Costeo y Precios'!$A$14:$A$64,0)),"")</f>
        <v/>
      </c>
      <c r="D30" s="24"/>
      <c r="E30" s="21"/>
      <c r="F30" s="22"/>
      <c r="G30" s="31" t="str">
        <f aca="false">IF($B30="","",E30*F30)</f>
        <v/>
      </c>
      <c r="H30" s="40" t="n">
        <f aca="false">IFERROR(INDEX('4. Costeo y Precios'!$P$14:$P$64,MATCH($B30,'4. Costeo y Precios'!$A$14:$A$64,0)),0)</f>
        <v>0</v>
      </c>
      <c r="I30" s="31" t="str">
        <f aca="false">IF($B30="","",E30*H30)</f>
        <v/>
      </c>
      <c r="J30" s="52"/>
      <c r="K30" s="31" t="str">
        <f aca="false">IF($B30="","",G30*J30)</f>
        <v/>
      </c>
      <c r="L30" s="42" t="str">
        <f aca="false">IF($B30="","",G30-I30-K30)</f>
        <v/>
      </c>
      <c r="M30" s="43" t="str">
        <f aca="false">IFERROR(L30/G30,"")</f>
        <v/>
      </c>
      <c r="N30" s="51"/>
    </row>
    <row r="31" customFormat="false" ht="15" hidden="false" customHeight="false" outlineLevel="0" collapsed="false">
      <c r="A31" s="25"/>
      <c r="B31" s="21"/>
      <c r="C31" s="50" t="str">
        <f aca="false">IFERROR(INDEX('4. Costeo y Precios'!$B$14:$B$64,MATCH($B31,'4. Costeo y Precios'!$A$14:$A$64,0)),"")</f>
        <v/>
      </c>
      <c r="D31" s="24"/>
      <c r="E31" s="21"/>
      <c r="F31" s="22"/>
      <c r="G31" s="31" t="str">
        <f aca="false">IF($B31="","",E31*F31)</f>
        <v/>
      </c>
      <c r="H31" s="40" t="n">
        <f aca="false">IFERROR(INDEX('4. Costeo y Precios'!$P$14:$P$64,MATCH($B31,'4. Costeo y Precios'!$A$14:$A$64,0)),0)</f>
        <v>0</v>
      </c>
      <c r="I31" s="31" t="str">
        <f aca="false">IF($B31="","",E31*H31)</f>
        <v/>
      </c>
      <c r="J31" s="52"/>
      <c r="K31" s="31" t="str">
        <f aca="false">IF($B31="","",G31*J31)</f>
        <v/>
      </c>
      <c r="L31" s="42" t="str">
        <f aca="false">IF($B31="","",G31-I31-K31)</f>
        <v/>
      </c>
      <c r="M31" s="43" t="str">
        <f aca="false">IFERROR(L31/G31,"")</f>
        <v/>
      </c>
      <c r="N31" s="51"/>
    </row>
    <row r="32" customFormat="false" ht="15" hidden="false" customHeight="false" outlineLevel="0" collapsed="false">
      <c r="A32" s="25"/>
      <c r="B32" s="21"/>
      <c r="C32" s="50" t="str">
        <f aca="false">IFERROR(INDEX('4. Costeo y Precios'!$B$14:$B$64,MATCH($B32,'4. Costeo y Precios'!$A$14:$A$64,0)),"")</f>
        <v/>
      </c>
      <c r="D32" s="24"/>
      <c r="E32" s="21"/>
      <c r="F32" s="22"/>
      <c r="G32" s="31" t="str">
        <f aca="false">IF($B32="","",E32*F32)</f>
        <v/>
      </c>
      <c r="H32" s="40" t="n">
        <f aca="false">IFERROR(INDEX('4. Costeo y Precios'!$P$14:$P$64,MATCH($B32,'4. Costeo y Precios'!$A$14:$A$64,0)),0)</f>
        <v>0</v>
      </c>
      <c r="I32" s="31" t="str">
        <f aca="false">IF($B32="","",E32*H32)</f>
        <v/>
      </c>
      <c r="J32" s="52"/>
      <c r="K32" s="31" t="str">
        <f aca="false">IF($B32="","",G32*J32)</f>
        <v/>
      </c>
      <c r="L32" s="42" t="str">
        <f aca="false">IF($B32="","",G32-I32-K32)</f>
        <v/>
      </c>
      <c r="M32" s="43" t="str">
        <f aca="false">IFERROR(L32/G32,"")</f>
        <v/>
      </c>
      <c r="N32" s="51"/>
    </row>
    <row r="33" customFormat="false" ht="15" hidden="false" customHeight="false" outlineLevel="0" collapsed="false">
      <c r="A33" s="25"/>
      <c r="B33" s="21"/>
      <c r="C33" s="50" t="str">
        <f aca="false">IFERROR(INDEX('4. Costeo y Precios'!$B$14:$B$64,MATCH($B33,'4. Costeo y Precios'!$A$14:$A$64,0)),"")</f>
        <v/>
      </c>
      <c r="D33" s="24"/>
      <c r="E33" s="21"/>
      <c r="F33" s="22"/>
      <c r="G33" s="31" t="str">
        <f aca="false">IF($B33="","",E33*F33)</f>
        <v/>
      </c>
      <c r="H33" s="40" t="n">
        <f aca="false">IFERROR(INDEX('4. Costeo y Precios'!$P$14:$P$64,MATCH($B33,'4. Costeo y Precios'!$A$14:$A$64,0)),0)</f>
        <v>0</v>
      </c>
      <c r="I33" s="31" t="str">
        <f aca="false">IF($B33="","",E33*H33)</f>
        <v/>
      </c>
      <c r="J33" s="52"/>
      <c r="K33" s="31" t="str">
        <f aca="false">IF($B33="","",G33*J33)</f>
        <v/>
      </c>
      <c r="L33" s="42" t="str">
        <f aca="false">IF($B33="","",G33-I33-K33)</f>
        <v/>
      </c>
      <c r="M33" s="43" t="str">
        <f aca="false">IFERROR(L33/G33,"")</f>
        <v/>
      </c>
      <c r="N33" s="51"/>
    </row>
    <row r="34" customFormat="false" ht="15" hidden="false" customHeight="false" outlineLevel="0" collapsed="false">
      <c r="A34" s="25"/>
      <c r="B34" s="21"/>
      <c r="C34" s="50" t="str">
        <f aca="false">IFERROR(INDEX('4. Costeo y Precios'!$B$14:$B$64,MATCH($B34,'4. Costeo y Precios'!$A$14:$A$64,0)),"")</f>
        <v/>
      </c>
      <c r="D34" s="24"/>
      <c r="E34" s="21"/>
      <c r="F34" s="22"/>
      <c r="G34" s="31" t="str">
        <f aca="false">IF($B34="","",E34*F34)</f>
        <v/>
      </c>
      <c r="H34" s="40" t="n">
        <f aca="false">IFERROR(INDEX('4. Costeo y Precios'!$P$14:$P$64,MATCH($B34,'4. Costeo y Precios'!$A$14:$A$64,0)),0)</f>
        <v>0</v>
      </c>
      <c r="I34" s="31" t="str">
        <f aca="false">IF($B34="","",E34*H34)</f>
        <v/>
      </c>
      <c r="J34" s="52"/>
      <c r="K34" s="31" t="str">
        <f aca="false">IF($B34="","",G34*J34)</f>
        <v/>
      </c>
      <c r="L34" s="42" t="str">
        <f aca="false">IF($B34="","",G34-I34-K34)</f>
        <v/>
      </c>
      <c r="M34" s="43" t="str">
        <f aca="false">IFERROR(L34/G34,"")</f>
        <v/>
      </c>
      <c r="N34" s="51"/>
    </row>
    <row r="35" customFormat="false" ht="15" hidden="false" customHeight="false" outlineLevel="0" collapsed="false">
      <c r="A35" s="25"/>
      <c r="B35" s="21"/>
      <c r="C35" s="50" t="str">
        <f aca="false">IFERROR(INDEX('4. Costeo y Precios'!$B$14:$B$64,MATCH($B35,'4. Costeo y Precios'!$A$14:$A$64,0)),"")</f>
        <v/>
      </c>
      <c r="D35" s="24"/>
      <c r="E35" s="21"/>
      <c r="F35" s="22"/>
      <c r="G35" s="31" t="str">
        <f aca="false">IF($B35="","",E35*F35)</f>
        <v/>
      </c>
      <c r="H35" s="40" t="n">
        <f aca="false">IFERROR(INDEX('4. Costeo y Precios'!$P$14:$P$64,MATCH($B35,'4. Costeo y Precios'!$A$14:$A$64,0)),0)</f>
        <v>0</v>
      </c>
      <c r="I35" s="31" t="str">
        <f aca="false">IF($B35="","",E35*H35)</f>
        <v/>
      </c>
      <c r="J35" s="52"/>
      <c r="K35" s="31" t="str">
        <f aca="false">IF($B35="","",G35*J35)</f>
        <v/>
      </c>
      <c r="L35" s="42" t="str">
        <f aca="false">IF($B35="","",G35-I35-K35)</f>
        <v/>
      </c>
      <c r="M35" s="43" t="str">
        <f aca="false">IFERROR(L35/G35,"")</f>
        <v/>
      </c>
      <c r="N35" s="51"/>
    </row>
    <row r="36" customFormat="false" ht="15" hidden="false" customHeight="false" outlineLevel="0" collapsed="false">
      <c r="A36" s="25"/>
      <c r="B36" s="21"/>
      <c r="C36" s="50" t="str">
        <f aca="false">IFERROR(INDEX('4. Costeo y Precios'!$B$14:$B$64,MATCH($B36,'4. Costeo y Precios'!$A$14:$A$64,0)),"")</f>
        <v/>
      </c>
      <c r="D36" s="24"/>
      <c r="E36" s="21"/>
      <c r="F36" s="22"/>
      <c r="G36" s="31" t="str">
        <f aca="false">IF($B36="","",E36*F36)</f>
        <v/>
      </c>
      <c r="H36" s="40" t="n">
        <f aca="false">IFERROR(INDEX('4. Costeo y Precios'!$P$14:$P$64,MATCH($B36,'4. Costeo y Precios'!$A$14:$A$64,0)),0)</f>
        <v>0</v>
      </c>
      <c r="I36" s="31" t="str">
        <f aca="false">IF($B36="","",E36*H36)</f>
        <v/>
      </c>
      <c r="J36" s="52"/>
      <c r="K36" s="31" t="str">
        <f aca="false">IF($B36="","",G36*J36)</f>
        <v/>
      </c>
      <c r="L36" s="42" t="str">
        <f aca="false">IF($B36="","",G36-I36-K36)</f>
        <v/>
      </c>
      <c r="M36" s="43" t="str">
        <f aca="false">IFERROR(L36/G36,"")</f>
        <v/>
      </c>
      <c r="N36" s="51"/>
    </row>
    <row r="37" customFormat="false" ht="15" hidden="false" customHeight="false" outlineLevel="0" collapsed="false">
      <c r="A37" s="25"/>
      <c r="B37" s="21"/>
      <c r="C37" s="50" t="str">
        <f aca="false">IFERROR(INDEX('4. Costeo y Precios'!$B$14:$B$64,MATCH($B37,'4. Costeo y Precios'!$A$14:$A$64,0)),"")</f>
        <v/>
      </c>
      <c r="D37" s="24"/>
      <c r="E37" s="21"/>
      <c r="F37" s="22"/>
      <c r="G37" s="31" t="str">
        <f aca="false">IF($B37="","",E37*F37)</f>
        <v/>
      </c>
      <c r="H37" s="40" t="n">
        <f aca="false">IFERROR(INDEX('4. Costeo y Precios'!$P$14:$P$64,MATCH($B37,'4. Costeo y Precios'!$A$14:$A$64,0)),0)</f>
        <v>0</v>
      </c>
      <c r="I37" s="31" t="str">
        <f aca="false">IF($B37="","",E37*H37)</f>
        <v/>
      </c>
      <c r="J37" s="52"/>
      <c r="K37" s="31" t="str">
        <f aca="false">IF($B37="","",G37*J37)</f>
        <v/>
      </c>
      <c r="L37" s="42" t="str">
        <f aca="false">IF($B37="","",G37-I37-K37)</f>
        <v/>
      </c>
      <c r="M37" s="43" t="str">
        <f aca="false">IFERROR(L37/G37,"")</f>
        <v/>
      </c>
      <c r="N37" s="51"/>
    </row>
    <row r="38" customFormat="false" ht="15" hidden="false" customHeight="false" outlineLevel="0" collapsed="false">
      <c r="A38" s="25"/>
      <c r="B38" s="21"/>
      <c r="C38" s="50" t="str">
        <f aca="false">IFERROR(INDEX('4. Costeo y Precios'!$B$14:$B$64,MATCH($B38,'4. Costeo y Precios'!$A$14:$A$64,0)),"")</f>
        <v/>
      </c>
      <c r="D38" s="24"/>
      <c r="E38" s="21"/>
      <c r="F38" s="22"/>
      <c r="G38" s="31" t="str">
        <f aca="false">IF($B38="","",E38*F38)</f>
        <v/>
      </c>
      <c r="H38" s="40" t="n">
        <f aca="false">IFERROR(INDEX('4. Costeo y Precios'!$P$14:$P$64,MATCH($B38,'4. Costeo y Precios'!$A$14:$A$64,0)),0)</f>
        <v>0</v>
      </c>
      <c r="I38" s="31" t="str">
        <f aca="false">IF($B38="","",E38*H38)</f>
        <v/>
      </c>
      <c r="J38" s="52"/>
      <c r="K38" s="31" t="str">
        <f aca="false">IF($B38="","",G38*J38)</f>
        <v/>
      </c>
      <c r="L38" s="42" t="str">
        <f aca="false">IF($B38="","",G38-I38-K38)</f>
        <v/>
      </c>
      <c r="M38" s="43" t="str">
        <f aca="false">IFERROR(L38/G38,"")</f>
        <v/>
      </c>
      <c r="N38" s="51"/>
    </row>
    <row r="39" customFormat="false" ht="15" hidden="false" customHeight="false" outlineLevel="0" collapsed="false">
      <c r="A39" s="25"/>
      <c r="B39" s="21"/>
      <c r="C39" s="50" t="str">
        <f aca="false">IFERROR(INDEX('4. Costeo y Precios'!$B$14:$B$64,MATCH($B39,'4. Costeo y Precios'!$A$14:$A$64,0)),"")</f>
        <v/>
      </c>
      <c r="D39" s="24"/>
      <c r="E39" s="21"/>
      <c r="F39" s="22"/>
      <c r="G39" s="31" t="str">
        <f aca="false">IF($B39="","",E39*F39)</f>
        <v/>
      </c>
      <c r="H39" s="40" t="n">
        <f aca="false">IFERROR(INDEX('4. Costeo y Precios'!$P$14:$P$64,MATCH($B39,'4. Costeo y Precios'!$A$14:$A$64,0)),0)</f>
        <v>0</v>
      </c>
      <c r="I39" s="31" t="str">
        <f aca="false">IF($B39="","",E39*H39)</f>
        <v/>
      </c>
      <c r="J39" s="52"/>
      <c r="K39" s="31" t="str">
        <f aca="false">IF($B39="","",G39*J39)</f>
        <v/>
      </c>
      <c r="L39" s="42" t="str">
        <f aca="false">IF($B39="","",G39-I39-K39)</f>
        <v/>
      </c>
      <c r="M39" s="43" t="str">
        <f aca="false">IFERROR(L39/G39,"")</f>
        <v/>
      </c>
      <c r="N39" s="51"/>
    </row>
    <row r="40" customFormat="false" ht="15" hidden="false" customHeight="false" outlineLevel="0" collapsed="false">
      <c r="A40" s="25"/>
      <c r="B40" s="21"/>
      <c r="C40" s="50" t="str">
        <f aca="false">IFERROR(INDEX('4. Costeo y Precios'!$B$14:$B$64,MATCH($B40,'4. Costeo y Precios'!$A$14:$A$64,0)),"")</f>
        <v/>
      </c>
      <c r="D40" s="24"/>
      <c r="E40" s="21"/>
      <c r="F40" s="22"/>
      <c r="G40" s="31" t="str">
        <f aca="false">IF($B40="","",E40*F40)</f>
        <v/>
      </c>
      <c r="H40" s="40" t="n">
        <f aca="false">IFERROR(INDEX('4. Costeo y Precios'!$P$14:$P$64,MATCH($B40,'4. Costeo y Precios'!$A$14:$A$64,0)),0)</f>
        <v>0</v>
      </c>
      <c r="I40" s="31" t="str">
        <f aca="false">IF($B40="","",E40*H40)</f>
        <v/>
      </c>
      <c r="J40" s="52"/>
      <c r="K40" s="31" t="str">
        <f aca="false">IF($B40="","",G40*J40)</f>
        <v/>
      </c>
      <c r="L40" s="42" t="str">
        <f aca="false">IF($B40="","",G40-I40-K40)</f>
        <v/>
      </c>
      <c r="M40" s="43" t="str">
        <f aca="false">IFERROR(L40/G40,"")</f>
        <v/>
      </c>
      <c r="N40" s="51"/>
    </row>
    <row r="41" customFormat="false" ht="15" hidden="false" customHeight="false" outlineLevel="0" collapsed="false">
      <c r="A41" s="25"/>
      <c r="B41" s="21"/>
      <c r="C41" s="50" t="str">
        <f aca="false">IFERROR(INDEX('4. Costeo y Precios'!$B$14:$B$64,MATCH($B41,'4. Costeo y Precios'!$A$14:$A$64,0)),"")</f>
        <v/>
      </c>
      <c r="D41" s="24"/>
      <c r="E41" s="21"/>
      <c r="F41" s="22"/>
      <c r="G41" s="31" t="str">
        <f aca="false">IF($B41="","",E41*F41)</f>
        <v/>
      </c>
      <c r="H41" s="40" t="n">
        <f aca="false">IFERROR(INDEX('4. Costeo y Precios'!$P$14:$P$64,MATCH($B41,'4. Costeo y Precios'!$A$14:$A$64,0)),0)</f>
        <v>0</v>
      </c>
      <c r="I41" s="31" t="str">
        <f aca="false">IF($B41="","",E41*H41)</f>
        <v/>
      </c>
      <c r="J41" s="52"/>
      <c r="K41" s="31" t="str">
        <f aca="false">IF($B41="","",G41*J41)</f>
        <v/>
      </c>
      <c r="L41" s="42" t="str">
        <f aca="false">IF($B41="","",G41-I41-K41)</f>
        <v/>
      </c>
      <c r="M41" s="43" t="str">
        <f aca="false">IFERROR(L41/G41,"")</f>
        <v/>
      </c>
      <c r="N41" s="51"/>
    </row>
    <row r="42" customFormat="false" ht="15" hidden="false" customHeight="false" outlineLevel="0" collapsed="false">
      <c r="A42" s="25"/>
      <c r="B42" s="21"/>
      <c r="C42" s="50" t="str">
        <f aca="false">IFERROR(INDEX('4. Costeo y Precios'!$B$14:$B$64,MATCH($B42,'4. Costeo y Precios'!$A$14:$A$64,0)),"")</f>
        <v/>
      </c>
      <c r="D42" s="24"/>
      <c r="E42" s="21"/>
      <c r="F42" s="22"/>
      <c r="G42" s="31" t="str">
        <f aca="false">IF($B42="","",E42*F42)</f>
        <v/>
      </c>
      <c r="H42" s="40" t="n">
        <f aca="false">IFERROR(INDEX('4. Costeo y Precios'!$P$14:$P$64,MATCH($B42,'4. Costeo y Precios'!$A$14:$A$64,0)),0)</f>
        <v>0</v>
      </c>
      <c r="I42" s="31" t="str">
        <f aca="false">IF($B42="","",E42*H42)</f>
        <v/>
      </c>
      <c r="J42" s="52"/>
      <c r="K42" s="31" t="str">
        <f aca="false">IF($B42="","",G42*J42)</f>
        <v/>
      </c>
      <c r="L42" s="42" t="str">
        <f aca="false">IF($B42="","",G42-I42-K42)</f>
        <v/>
      </c>
      <c r="M42" s="43" t="str">
        <f aca="false">IFERROR(L42/G42,"")</f>
        <v/>
      </c>
      <c r="N42" s="51"/>
    </row>
    <row r="43" customFormat="false" ht="15" hidden="false" customHeight="false" outlineLevel="0" collapsed="false">
      <c r="A43" s="25"/>
      <c r="B43" s="21"/>
      <c r="C43" s="50" t="str">
        <f aca="false">IFERROR(INDEX('4. Costeo y Precios'!$B$14:$B$64,MATCH($B43,'4. Costeo y Precios'!$A$14:$A$64,0)),"")</f>
        <v/>
      </c>
      <c r="D43" s="24"/>
      <c r="E43" s="21"/>
      <c r="F43" s="22"/>
      <c r="G43" s="31" t="str">
        <f aca="false">IF($B43="","",E43*F43)</f>
        <v/>
      </c>
      <c r="H43" s="40" t="n">
        <f aca="false">IFERROR(INDEX('4. Costeo y Precios'!$P$14:$P$64,MATCH($B43,'4. Costeo y Precios'!$A$14:$A$64,0)),0)</f>
        <v>0</v>
      </c>
      <c r="I43" s="31" t="str">
        <f aca="false">IF($B43="","",E43*H43)</f>
        <v/>
      </c>
      <c r="J43" s="52"/>
      <c r="K43" s="31" t="str">
        <f aca="false">IF($B43="","",G43*J43)</f>
        <v/>
      </c>
      <c r="L43" s="42" t="str">
        <f aca="false">IF($B43="","",G43-I43-K43)</f>
        <v/>
      </c>
      <c r="M43" s="43" t="str">
        <f aca="false">IFERROR(L43/G43,"")</f>
        <v/>
      </c>
      <c r="N43" s="51"/>
    </row>
    <row r="44" customFormat="false" ht="15" hidden="false" customHeight="false" outlineLevel="0" collapsed="false">
      <c r="A44" s="25"/>
      <c r="B44" s="21"/>
      <c r="C44" s="50" t="str">
        <f aca="false">IFERROR(INDEX('4. Costeo y Precios'!$B$14:$B$64,MATCH($B44,'4. Costeo y Precios'!$A$14:$A$64,0)),"")</f>
        <v/>
      </c>
      <c r="D44" s="24"/>
      <c r="E44" s="21"/>
      <c r="F44" s="22"/>
      <c r="G44" s="31" t="str">
        <f aca="false">IF($B44="","",E44*F44)</f>
        <v/>
      </c>
      <c r="H44" s="40" t="n">
        <f aca="false">IFERROR(INDEX('4. Costeo y Precios'!$P$14:$P$64,MATCH($B44,'4. Costeo y Precios'!$A$14:$A$64,0)),0)</f>
        <v>0</v>
      </c>
      <c r="I44" s="31" t="str">
        <f aca="false">IF($B44="","",E44*H44)</f>
        <v/>
      </c>
      <c r="J44" s="52"/>
      <c r="K44" s="31" t="str">
        <f aca="false">IF($B44="","",G44*J44)</f>
        <v/>
      </c>
      <c r="L44" s="42" t="str">
        <f aca="false">IF($B44="","",G44-I44-K44)</f>
        <v/>
      </c>
      <c r="M44" s="43" t="str">
        <f aca="false">IFERROR(L44/G44,"")</f>
        <v/>
      </c>
      <c r="N44" s="51"/>
    </row>
    <row r="45" customFormat="false" ht="15" hidden="false" customHeight="false" outlineLevel="0" collapsed="false">
      <c r="A45" s="25"/>
      <c r="B45" s="21"/>
      <c r="C45" s="50" t="str">
        <f aca="false">IFERROR(INDEX('4. Costeo y Precios'!$B$14:$B$64,MATCH($B45,'4. Costeo y Precios'!$A$14:$A$64,0)),"")</f>
        <v/>
      </c>
      <c r="D45" s="24"/>
      <c r="E45" s="21"/>
      <c r="F45" s="22"/>
      <c r="G45" s="31" t="str">
        <f aca="false">IF($B45="","",E45*F45)</f>
        <v/>
      </c>
      <c r="H45" s="40" t="n">
        <f aca="false">IFERROR(INDEX('4. Costeo y Precios'!$P$14:$P$64,MATCH($B45,'4. Costeo y Precios'!$A$14:$A$64,0)),0)</f>
        <v>0</v>
      </c>
      <c r="I45" s="31" t="str">
        <f aca="false">IF($B45="","",E45*H45)</f>
        <v/>
      </c>
      <c r="J45" s="52"/>
      <c r="K45" s="31" t="str">
        <f aca="false">IF($B45="","",G45*J45)</f>
        <v/>
      </c>
      <c r="L45" s="42" t="str">
        <f aca="false">IF($B45="","",G45-I45-K45)</f>
        <v/>
      </c>
      <c r="M45" s="43" t="str">
        <f aca="false">IFERROR(L45/G45,"")</f>
        <v/>
      </c>
      <c r="N45" s="51"/>
    </row>
    <row r="46" customFormat="false" ht="15" hidden="false" customHeight="false" outlineLevel="0" collapsed="false">
      <c r="A46" s="25"/>
      <c r="B46" s="21"/>
      <c r="C46" s="50" t="str">
        <f aca="false">IFERROR(INDEX('4. Costeo y Precios'!$B$14:$B$64,MATCH($B46,'4. Costeo y Precios'!$A$14:$A$64,0)),"")</f>
        <v/>
      </c>
      <c r="D46" s="24"/>
      <c r="E46" s="21"/>
      <c r="F46" s="22"/>
      <c r="G46" s="31" t="str">
        <f aca="false">IF($B46="","",E46*F46)</f>
        <v/>
      </c>
      <c r="H46" s="40" t="n">
        <f aca="false">IFERROR(INDEX('4. Costeo y Precios'!$P$14:$P$64,MATCH($B46,'4. Costeo y Precios'!$A$14:$A$64,0)),0)</f>
        <v>0</v>
      </c>
      <c r="I46" s="31" t="str">
        <f aca="false">IF($B46="","",E46*H46)</f>
        <v/>
      </c>
      <c r="J46" s="52"/>
      <c r="K46" s="31" t="str">
        <f aca="false">IF($B46="","",G46*J46)</f>
        <v/>
      </c>
      <c r="L46" s="42" t="str">
        <f aca="false">IF($B46="","",G46-I46-K46)</f>
        <v/>
      </c>
      <c r="M46" s="43" t="str">
        <f aca="false">IFERROR(L46/G46,"")</f>
        <v/>
      </c>
      <c r="N46" s="51"/>
    </row>
    <row r="47" customFormat="false" ht="15" hidden="false" customHeight="false" outlineLevel="0" collapsed="false">
      <c r="A47" s="25"/>
      <c r="B47" s="21"/>
      <c r="C47" s="50" t="str">
        <f aca="false">IFERROR(INDEX('4. Costeo y Precios'!$B$14:$B$64,MATCH($B47,'4. Costeo y Precios'!$A$14:$A$64,0)),"")</f>
        <v/>
      </c>
      <c r="D47" s="24"/>
      <c r="E47" s="21"/>
      <c r="F47" s="22"/>
      <c r="G47" s="31" t="str">
        <f aca="false">IF($B47="","",E47*F47)</f>
        <v/>
      </c>
      <c r="H47" s="40" t="n">
        <f aca="false">IFERROR(INDEX('4. Costeo y Precios'!$P$14:$P$64,MATCH($B47,'4. Costeo y Precios'!$A$14:$A$64,0)),0)</f>
        <v>0</v>
      </c>
      <c r="I47" s="31" t="str">
        <f aca="false">IF($B47="","",E47*H47)</f>
        <v/>
      </c>
      <c r="J47" s="52"/>
      <c r="K47" s="31" t="str">
        <f aca="false">IF($B47="","",G47*J47)</f>
        <v/>
      </c>
      <c r="L47" s="42" t="str">
        <f aca="false">IF($B47="","",G47-I47-K47)</f>
        <v/>
      </c>
      <c r="M47" s="43" t="str">
        <f aca="false">IFERROR(L47/G47,"")</f>
        <v/>
      </c>
      <c r="N47" s="51"/>
    </row>
    <row r="48" customFormat="false" ht="15" hidden="false" customHeight="false" outlineLevel="0" collapsed="false">
      <c r="A48" s="25"/>
      <c r="B48" s="21"/>
      <c r="C48" s="50" t="str">
        <f aca="false">IFERROR(INDEX('4. Costeo y Precios'!$B$14:$B$64,MATCH($B48,'4. Costeo y Precios'!$A$14:$A$64,0)),"")</f>
        <v/>
      </c>
      <c r="D48" s="24"/>
      <c r="E48" s="21"/>
      <c r="F48" s="22"/>
      <c r="G48" s="31" t="str">
        <f aca="false">IF($B48="","",E48*F48)</f>
        <v/>
      </c>
      <c r="H48" s="40" t="n">
        <f aca="false">IFERROR(INDEX('4. Costeo y Precios'!$P$14:$P$64,MATCH($B48,'4. Costeo y Precios'!$A$14:$A$64,0)),0)</f>
        <v>0</v>
      </c>
      <c r="I48" s="31" t="str">
        <f aca="false">IF($B48="","",E48*H48)</f>
        <v/>
      </c>
      <c r="J48" s="52"/>
      <c r="K48" s="31" t="str">
        <f aca="false">IF($B48="","",G48*J48)</f>
        <v/>
      </c>
      <c r="L48" s="42" t="str">
        <f aca="false">IF($B48="","",G48-I48-K48)</f>
        <v/>
      </c>
      <c r="M48" s="43" t="str">
        <f aca="false">IFERROR(L48/G48,"")</f>
        <v/>
      </c>
      <c r="N48" s="51"/>
    </row>
    <row r="49" customFormat="false" ht="15" hidden="false" customHeight="false" outlineLevel="0" collapsed="false">
      <c r="A49" s="25"/>
      <c r="B49" s="21"/>
      <c r="C49" s="50" t="str">
        <f aca="false">IFERROR(INDEX('4. Costeo y Precios'!$B$14:$B$64,MATCH($B49,'4. Costeo y Precios'!$A$14:$A$64,0)),"")</f>
        <v/>
      </c>
      <c r="D49" s="24"/>
      <c r="E49" s="21"/>
      <c r="F49" s="22"/>
      <c r="G49" s="31" t="str">
        <f aca="false">IF($B49="","",E49*F49)</f>
        <v/>
      </c>
      <c r="H49" s="40" t="n">
        <f aca="false">IFERROR(INDEX('4. Costeo y Precios'!$P$14:$P$64,MATCH($B49,'4. Costeo y Precios'!$A$14:$A$64,0)),0)</f>
        <v>0</v>
      </c>
      <c r="I49" s="31" t="str">
        <f aca="false">IF($B49="","",E49*H49)</f>
        <v/>
      </c>
      <c r="J49" s="52"/>
      <c r="K49" s="31" t="str">
        <f aca="false">IF($B49="","",G49*J49)</f>
        <v/>
      </c>
      <c r="L49" s="42" t="str">
        <f aca="false">IF($B49="","",G49-I49-K49)</f>
        <v/>
      </c>
      <c r="M49" s="43" t="str">
        <f aca="false">IFERROR(L49/G49,"")</f>
        <v/>
      </c>
      <c r="N49" s="51"/>
    </row>
    <row r="50" customFormat="false" ht="15" hidden="false" customHeight="false" outlineLevel="0" collapsed="false">
      <c r="A50" s="25"/>
      <c r="B50" s="21"/>
      <c r="C50" s="50" t="str">
        <f aca="false">IFERROR(INDEX('4. Costeo y Precios'!$B$14:$B$64,MATCH($B50,'4. Costeo y Precios'!$A$14:$A$64,0)),"")</f>
        <v/>
      </c>
      <c r="D50" s="24"/>
      <c r="E50" s="21"/>
      <c r="F50" s="22"/>
      <c r="G50" s="31" t="str">
        <f aca="false">IF($B50="","",E50*F50)</f>
        <v/>
      </c>
      <c r="H50" s="40" t="n">
        <f aca="false">IFERROR(INDEX('4. Costeo y Precios'!$P$14:$P$64,MATCH($B50,'4. Costeo y Precios'!$A$14:$A$64,0)),0)</f>
        <v>0</v>
      </c>
      <c r="I50" s="31" t="str">
        <f aca="false">IF($B50="","",E50*H50)</f>
        <v/>
      </c>
      <c r="J50" s="52"/>
      <c r="K50" s="31" t="str">
        <f aca="false">IF($B50="","",G50*J50)</f>
        <v/>
      </c>
      <c r="L50" s="42" t="str">
        <f aca="false">IF($B50="","",G50-I50-K50)</f>
        <v/>
      </c>
      <c r="M50" s="43" t="str">
        <f aca="false">IFERROR(L50/G50,"")</f>
        <v/>
      </c>
      <c r="N50" s="51"/>
    </row>
    <row r="51" customFormat="false" ht="15" hidden="false" customHeight="false" outlineLevel="0" collapsed="false">
      <c r="A51" s="25"/>
      <c r="B51" s="21"/>
      <c r="C51" s="50" t="str">
        <f aca="false">IFERROR(INDEX('4. Costeo y Precios'!$B$14:$B$64,MATCH($B51,'4. Costeo y Precios'!$A$14:$A$64,0)),"")</f>
        <v/>
      </c>
      <c r="D51" s="24"/>
      <c r="E51" s="21"/>
      <c r="F51" s="22"/>
      <c r="G51" s="31" t="str">
        <f aca="false">IF($B51="","",E51*F51)</f>
        <v/>
      </c>
      <c r="H51" s="40" t="n">
        <f aca="false">IFERROR(INDEX('4. Costeo y Precios'!$P$14:$P$64,MATCH($B51,'4. Costeo y Precios'!$A$14:$A$64,0)),0)</f>
        <v>0</v>
      </c>
      <c r="I51" s="31" t="str">
        <f aca="false">IF($B51="","",E51*H51)</f>
        <v/>
      </c>
      <c r="J51" s="52"/>
      <c r="K51" s="31" t="str">
        <f aca="false">IF($B51="","",G51*J51)</f>
        <v/>
      </c>
      <c r="L51" s="42" t="str">
        <f aca="false">IF($B51="","",G51-I51-K51)</f>
        <v/>
      </c>
      <c r="M51" s="43" t="str">
        <f aca="false">IFERROR(L51/G51,"")</f>
        <v/>
      </c>
      <c r="N51" s="51"/>
    </row>
    <row r="52" customFormat="false" ht="15" hidden="false" customHeight="false" outlineLevel="0" collapsed="false">
      <c r="A52" s="25"/>
      <c r="B52" s="21"/>
      <c r="C52" s="50" t="str">
        <f aca="false">IFERROR(INDEX('4. Costeo y Precios'!$B$14:$B$64,MATCH($B52,'4. Costeo y Precios'!$A$14:$A$64,0)),"")</f>
        <v/>
      </c>
      <c r="D52" s="24"/>
      <c r="E52" s="21"/>
      <c r="F52" s="22"/>
      <c r="G52" s="31" t="str">
        <f aca="false">IF($B52="","",E52*F52)</f>
        <v/>
      </c>
      <c r="H52" s="40" t="n">
        <f aca="false">IFERROR(INDEX('4. Costeo y Precios'!$P$14:$P$64,MATCH($B52,'4. Costeo y Precios'!$A$14:$A$64,0)),0)</f>
        <v>0</v>
      </c>
      <c r="I52" s="31" t="str">
        <f aca="false">IF($B52="","",E52*H52)</f>
        <v/>
      </c>
      <c r="J52" s="52"/>
      <c r="K52" s="31" t="str">
        <f aca="false">IF($B52="","",G52*J52)</f>
        <v/>
      </c>
      <c r="L52" s="42" t="str">
        <f aca="false">IF($B52="","",G52-I52-K52)</f>
        <v/>
      </c>
      <c r="M52" s="43" t="str">
        <f aca="false">IFERROR(L52/G52,"")</f>
        <v/>
      </c>
      <c r="N52" s="51"/>
    </row>
    <row r="53" customFormat="false" ht="15" hidden="false" customHeight="false" outlineLevel="0" collapsed="false">
      <c r="A53" s="25"/>
      <c r="B53" s="21"/>
      <c r="C53" s="50" t="str">
        <f aca="false">IFERROR(INDEX('4. Costeo y Precios'!$B$14:$B$64,MATCH($B53,'4. Costeo y Precios'!$A$14:$A$64,0)),"")</f>
        <v/>
      </c>
      <c r="D53" s="24"/>
      <c r="E53" s="21"/>
      <c r="F53" s="22"/>
      <c r="G53" s="31" t="str">
        <f aca="false">IF($B53="","",E53*F53)</f>
        <v/>
      </c>
      <c r="H53" s="40" t="n">
        <f aca="false">IFERROR(INDEX('4. Costeo y Precios'!$P$14:$P$64,MATCH($B53,'4. Costeo y Precios'!$A$14:$A$64,0)),0)</f>
        <v>0</v>
      </c>
      <c r="I53" s="31" t="str">
        <f aca="false">IF($B53="","",E53*H53)</f>
        <v/>
      </c>
      <c r="J53" s="52"/>
      <c r="K53" s="31" t="str">
        <f aca="false">IF($B53="","",G53*J53)</f>
        <v/>
      </c>
      <c r="L53" s="42" t="str">
        <f aca="false">IF($B53="","",G53-I53-K53)</f>
        <v/>
      </c>
      <c r="M53" s="43" t="str">
        <f aca="false">IFERROR(L53/G53,"")</f>
        <v/>
      </c>
      <c r="N53" s="51"/>
    </row>
    <row r="54" customFormat="false" ht="15" hidden="false" customHeight="false" outlineLevel="0" collapsed="false">
      <c r="A54" s="25"/>
      <c r="B54" s="21"/>
      <c r="C54" s="50" t="str">
        <f aca="false">IFERROR(INDEX('4. Costeo y Precios'!$B$14:$B$64,MATCH($B54,'4. Costeo y Precios'!$A$14:$A$64,0)),"")</f>
        <v/>
      </c>
      <c r="D54" s="24"/>
      <c r="E54" s="21"/>
      <c r="F54" s="22"/>
      <c r="G54" s="31" t="str">
        <f aca="false">IF($B54="","",E54*F54)</f>
        <v/>
      </c>
      <c r="H54" s="40" t="n">
        <f aca="false">IFERROR(INDEX('4. Costeo y Precios'!$P$14:$P$64,MATCH($B54,'4. Costeo y Precios'!$A$14:$A$64,0)),0)</f>
        <v>0</v>
      </c>
      <c r="I54" s="31" t="str">
        <f aca="false">IF($B54="","",E54*H54)</f>
        <v/>
      </c>
      <c r="J54" s="52"/>
      <c r="K54" s="31" t="str">
        <f aca="false">IF($B54="","",G54*J54)</f>
        <v/>
      </c>
      <c r="L54" s="42" t="str">
        <f aca="false">IF($B54="","",G54-I54-K54)</f>
        <v/>
      </c>
      <c r="M54" s="43" t="str">
        <f aca="false">IFERROR(L54/G54,"")</f>
        <v/>
      </c>
      <c r="N54" s="51"/>
    </row>
    <row r="55" customFormat="false" ht="15" hidden="false" customHeight="false" outlineLevel="0" collapsed="false">
      <c r="A55" s="25"/>
      <c r="B55" s="21"/>
      <c r="C55" s="50" t="str">
        <f aca="false">IFERROR(INDEX('4. Costeo y Precios'!$B$14:$B$64,MATCH($B55,'4. Costeo y Precios'!$A$14:$A$64,0)),"")</f>
        <v/>
      </c>
      <c r="D55" s="24"/>
      <c r="E55" s="21"/>
      <c r="F55" s="22"/>
      <c r="G55" s="31" t="str">
        <f aca="false">IF($B55="","",E55*F55)</f>
        <v/>
      </c>
      <c r="H55" s="40" t="n">
        <f aca="false">IFERROR(INDEX('4. Costeo y Precios'!$P$14:$P$64,MATCH($B55,'4. Costeo y Precios'!$A$14:$A$64,0)),0)</f>
        <v>0</v>
      </c>
      <c r="I55" s="31" t="str">
        <f aca="false">IF($B55="","",E55*H55)</f>
        <v/>
      </c>
      <c r="J55" s="52"/>
      <c r="K55" s="31" t="str">
        <f aca="false">IF($B55="","",G55*J55)</f>
        <v/>
      </c>
      <c r="L55" s="42" t="str">
        <f aca="false">IF($B55="","",G55-I55-K55)</f>
        <v/>
      </c>
      <c r="M55" s="43" t="str">
        <f aca="false">IFERROR(L55/G55,"")</f>
        <v/>
      </c>
      <c r="N55" s="51"/>
    </row>
    <row r="56" customFormat="false" ht="15" hidden="false" customHeight="false" outlineLevel="0" collapsed="false">
      <c r="A56" s="25"/>
      <c r="B56" s="21"/>
      <c r="C56" s="50" t="str">
        <f aca="false">IFERROR(INDEX('4. Costeo y Precios'!$B$14:$B$64,MATCH($B56,'4. Costeo y Precios'!$A$14:$A$64,0)),"")</f>
        <v/>
      </c>
      <c r="D56" s="24"/>
      <c r="E56" s="21"/>
      <c r="F56" s="22"/>
      <c r="G56" s="31" t="str">
        <f aca="false">IF($B56="","",E56*F56)</f>
        <v/>
      </c>
      <c r="H56" s="40" t="n">
        <f aca="false">IFERROR(INDEX('4. Costeo y Precios'!$P$14:$P$64,MATCH($B56,'4. Costeo y Precios'!$A$14:$A$64,0)),0)</f>
        <v>0</v>
      </c>
      <c r="I56" s="31" t="str">
        <f aca="false">IF($B56="","",E56*H56)</f>
        <v/>
      </c>
      <c r="J56" s="52"/>
      <c r="K56" s="31" t="str">
        <f aca="false">IF($B56="","",G56*J56)</f>
        <v/>
      </c>
      <c r="L56" s="42" t="str">
        <f aca="false">IF($B56="","",G56-I56-K56)</f>
        <v/>
      </c>
      <c r="M56" s="43" t="str">
        <f aca="false">IFERROR(L56/G56,"")</f>
        <v/>
      </c>
      <c r="N56" s="51"/>
    </row>
    <row r="57" customFormat="false" ht="15" hidden="false" customHeight="false" outlineLevel="0" collapsed="false">
      <c r="A57" s="25"/>
      <c r="B57" s="21"/>
      <c r="C57" s="50" t="str">
        <f aca="false">IFERROR(INDEX('4. Costeo y Precios'!$B$14:$B$64,MATCH($B57,'4. Costeo y Precios'!$A$14:$A$64,0)),"")</f>
        <v/>
      </c>
      <c r="D57" s="24"/>
      <c r="E57" s="21"/>
      <c r="F57" s="22"/>
      <c r="G57" s="31" t="str">
        <f aca="false">IF($B57="","",E57*F57)</f>
        <v/>
      </c>
      <c r="H57" s="40" t="n">
        <f aca="false">IFERROR(INDEX('4. Costeo y Precios'!$P$14:$P$64,MATCH($B57,'4. Costeo y Precios'!$A$14:$A$64,0)),0)</f>
        <v>0</v>
      </c>
      <c r="I57" s="31" t="str">
        <f aca="false">IF($B57="","",E57*H57)</f>
        <v/>
      </c>
      <c r="J57" s="52"/>
      <c r="K57" s="31" t="str">
        <f aca="false">IF($B57="","",G57*J57)</f>
        <v/>
      </c>
      <c r="L57" s="42" t="str">
        <f aca="false">IF($B57="","",G57-I57-K57)</f>
        <v/>
      </c>
      <c r="M57" s="43" t="str">
        <f aca="false">IFERROR(L57/G57,"")</f>
        <v/>
      </c>
      <c r="N57" s="51"/>
    </row>
    <row r="58" customFormat="false" ht="15" hidden="false" customHeight="false" outlineLevel="0" collapsed="false">
      <c r="A58" s="25"/>
      <c r="B58" s="21"/>
      <c r="C58" s="50" t="str">
        <f aca="false">IFERROR(INDEX('4. Costeo y Precios'!$B$14:$B$64,MATCH($B58,'4. Costeo y Precios'!$A$14:$A$64,0)),"")</f>
        <v/>
      </c>
      <c r="D58" s="24"/>
      <c r="E58" s="21"/>
      <c r="F58" s="22"/>
      <c r="G58" s="31" t="str">
        <f aca="false">IF($B58="","",E58*F58)</f>
        <v/>
      </c>
      <c r="H58" s="40" t="n">
        <f aca="false">IFERROR(INDEX('4. Costeo y Precios'!$P$14:$P$64,MATCH($B58,'4. Costeo y Precios'!$A$14:$A$64,0)),0)</f>
        <v>0</v>
      </c>
      <c r="I58" s="31" t="str">
        <f aca="false">IF($B58="","",E58*H58)</f>
        <v/>
      </c>
      <c r="J58" s="52"/>
      <c r="K58" s="31" t="str">
        <f aca="false">IF($B58="","",G58*J58)</f>
        <v/>
      </c>
      <c r="L58" s="42" t="str">
        <f aca="false">IF($B58="","",G58-I58-K58)</f>
        <v/>
      </c>
      <c r="M58" s="43" t="str">
        <f aca="false">IFERROR(L58/G58,"")</f>
        <v/>
      </c>
      <c r="N58" s="51"/>
    </row>
    <row r="59" customFormat="false" ht="15" hidden="false" customHeight="false" outlineLevel="0" collapsed="false">
      <c r="A59" s="25"/>
      <c r="B59" s="21"/>
      <c r="C59" s="50" t="str">
        <f aca="false">IFERROR(INDEX('4. Costeo y Precios'!$B$14:$B$64,MATCH($B59,'4. Costeo y Precios'!$A$14:$A$64,0)),"")</f>
        <v/>
      </c>
      <c r="D59" s="24"/>
      <c r="E59" s="21"/>
      <c r="F59" s="22"/>
      <c r="G59" s="31" t="str">
        <f aca="false">IF($B59="","",E59*F59)</f>
        <v/>
      </c>
      <c r="H59" s="40" t="n">
        <f aca="false">IFERROR(INDEX('4. Costeo y Precios'!$P$14:$P$64,MATCH($B59,'4. Costeo y Precios'!$A$14:$A$64,0)),0)</f>
        <v>0</v>
      </c>
      <c r="I59" s="31" t="str">
        <f aca="false">IF($B59="","",E59*H59)</f>
        <v/>
      </c>
      <c r="J59" s="52"/>
      <c r="K59" s="31" t="str">
        <f aca="false">IF($B59="","",G59*J59)</f>
        <v/>
      </c>
      <c r="L59" s="42" t="str">
        <f aca="false">IF($B59="","",G59-I59-K59)</f>
        <v/>
      </c>
      <c r="M59" s="43" t="str">
        <f aca="false">IFERROR(L59/G59,"")</f>
        <v/>
      </c>
      <c r="N59" s="51"/>
    </row>
    <row r="60" customFormat="false" ht="15" hidden="false" customHeight="false" outlineLevel="0" collapsed="false">
      <c r="A60" s="25"/>
      <c r="B60" s="21"/>
      <c r="C60" s="50" t="str">
        <f aca="false">IFERROR(INDEX('4. Costeo y Precios'!$B$14:$B$64,MATCH($B60,'4. Costeo y Precios'!$A$14:$A$64,0)),"")</f>
        <v/>
      </c>
      <c r="D60" s="24"/>
      <c r="E60" s="21"/>
      <c r="F60" s="22"/>
      <c r="G60" s="31" t="str">
        <f aca="false">IF($B60="","",E60*F60)</f>
        <v/>
      </c>
      <c r="H60" s="40" t="n">
        <f aca="false">IFERROR(INDEX('4. Costeo y Precios'!$P$14:$P$64,MATCH($B60,'4. Costeo y Precios'!$A$14:$A$64,0)),0)</f>
        <v>0</v>
      </c>
      <c r="I60" s="31" t="str">
        <f aca="false">IF($B60="","",E60*H60)</f>
        <v/>
      </c>
      <c r="J60" s="52"/>
      <c r="K60" s="31" t="str">
        <f aca="false">IF($B60="","",G60*J60)</f>
        <v/>
      </c>
      <c r="L60" s="42" t="str">
        <f aca="false">IF($B60="","",G60-I60-K60)</f>
        <v/>
      </c>
      <c r="M60" s="43" t="str">
        <f aca="false">IFERROR(L60/G60,"")</f>
        <v/>
      </c>
      <c r="N60" s="51"/>
    </row>
    <row r="61" customFormat="false" ht="15" hidden="false" customHeight="false" outlineLevel="0" collapsed="false">
      <c r="A61" s="25"/>
      <c r="B61" s="21"/>
      <c r="C61" s="50" t="str">
        <f aca="false">IFERROR(INDEX('4. Costeo y Precios'!$B$14:$B$64,MATCH($B61,'4. Costeo y Precios'!$A$14:$A$64,0)),"")</f>
        <v/>
      </c>
      <c r="D61" s="24"/>
      <c r="E61" s="21"/>
      <c r="F61" s="22"/>
      <c r="G61" s="31" t="str">
        <f aca="false">IF($B61="","",E61*F61)</f>
        <v/>
      </c>
      <c r="H61" s="40" t="n">
        <f aca="false">IFERROR(INDEX('4. Costeo y Precios'!$P$14:$P$64,MATCH($B61,'4. Costeo y Precios'!$A$14:$A$64,0)),0)</f>
        <v>0</v>
      </c>
      <c r="I61" s="31" t="str">
        <f aca="false">IF($B61="","",E61*H61)</f>
        <v/>
      </c>
      <c r="J61" s="52"/>
      <c r="K61" s="31" t="str">
        <f aca="false">IF($B61="","",G61*J61)</f>
        <v/>
      </c>
      <c r="L61" s="42" t="str">
        <f aca="false">IF($B61="","",G61-I61-K61)</f>
        <v/>
      </c>
      <c r="M61" s="43" t="str">
        <f aca="false">IFERROR(L61/G61,"")</f>
        <v/>
      </c>
      <c r="N61" s="51"/>
    </row>
    <row r="62" customFormat="false" ht="15" hidden="false" customHeight="false" outlineLevel="0" collapsed="false">
      <c r="A62" s="25"/>
      <c r="B62" s="21"/>
      <c r="C62" s="50" t="str">
        <f aca="false">IFERROR(INDEX('4. Costeo y Precios'!$B$14:$B$64,MATCH($B62,'4. Costeo y Precios'!$A$14:$A$64,0)),"")</f>
        <v/>
      </c>
      <c r="D62" s="24"/>
      <c r="E62" s="21"/>
      <c r="F62" s="22"/>
      <c r="G62" s="31" t="str">
        <f aca="false">IF($B62="","",E62*F62)</f>
        <v/>
      </c>
      <c r="H62" s="40" t="n">
        <f aca="false">IFERROR(INDEX('4. Costeo y Precios'!$P$14:$P$64,MATCH($B62,'4. Costeo y Precios'!$A$14:$A$64,0)),0)</f>
        <v>0</v>
      </c>
      <c r="I62" s="31" t="str">
        <f aca="false">IF($B62="","",E62*H62)</f>
        <v/>
      </c>
      <c r="J62" s="52"/>
      <c r="K62" s="31" t="str">
        <f aca="false">IF($B62="","",G62*J62)</f>
        <v/>
      </c>
      <c r="L62" s="42" t="str">
        <f aca="false">IF($B62="","",G62-I62-K62)</f>
        <v/>
      </c>
      <c r="M62" s="43" t="str">
        <f aca="false">IFERROR(L62/G62,"")</f>
        <v/>
      </c>
      <c r="N62" s="51"/>
    </row>
    <row r="63" customFormat="false" ht="15" hidden="false" customHeight="false" outlineLevel="0" collapsed="false">
      <c r="A63" s="25"/>
      <c r="B63" s="21"/>
      <c r="C63" s="50" t="str">
        <f aca="false">IFERROR(INDEX('4. Costeo y Precios'!$B$14:$B$64,MATCH($B63,'4. Costeo y Precios'!$A$14:$A$64,0)),"")</f>
        <v/>
      </c>
      <c r="D63" s="24"/>
      <c r="E63" s="21"/>
      <c r="F63" s="22"/>
      <c r="G63" s="31" t="str">
        <f aca="false">IF($B63="","",E63*F63)</f>
        <v/>
      </c>
      <c r="H63" s="40" t="n">
        <f aca="false">IFERROR(INDEX('4. Costeo y Precios'!$P$14:$P$64,MATCH($B63,'4. Costeo y Precios'!$A$14:$A$64,0)),0)</f>
        <v>0</v>
      </c>
      <c r="I63" s="31" t="str">
        <f aca="false">IF($B63="","",E63*H63)</f>
        <v/>
      </c>
      <c r="J63" s="52"/>
      <c r="K63" s="31" t="str">
        <f aca="false">IF($B63="","",G63*J63)</f>
        <v/>
      </c>
      <c r="L63" s="42" t="str">
        <f aca="false">IF($B63="","",G63-I63-K63)</f>
        <v/>
      </c>
      <c r="M63" s="43" t="str">
        <f aca="false">IFERROR(L63/G63,"")</f>
        <v/>
      </c>
      <c r="N63" s="51"/>
    </row>
    <row r="64" customFormat="false" ht="15" hidden="false" customHeight="false" outlineLevel="0" collapsed="false">
      <c r="A64" s="25"/>
      <c r="B64" s="21"/>
      <c r="C64" s="50" t="str">
        <f aca="false">IFERROR(INDEX('4. Costeo y Precios'!$B$14:$B$64,MATCH($B64,'4. Costeo y Precios'!$A$14:$A$64,0)),"")</f>
        <v/>
      </c>
      <c r="D64" s="24"/>
      <c r="E64" s="21"/>
      <c r="F64" s="22"/>
      <c r="G64" s="31" t="str">
        <f aca="false">IF($B64="","",E64*F64)</f>
        <v/>
      </c>
      <c r="H64" s="40" t="n">
        <f aca="false">IFERROR(INDEX('4. Costeo y Precios'!$P$14:$P$64,MATCH($B64,'4. Costeo y Precios'!$A$14:$A$64,0)),0)</f>
        <v>0</v>
      </c>
      <c r="I64" s="31" t="str">
        <f aca="false">IF($B64="","",E64*H64)</f>
        <v/>
      </c>
      <c r="J64" s="52"/>
      <c r="K64" s="31" t="str">
        <f aca="false">IF($B64="","",G64*J64)</f>
        <v/>
      </c>
      <c r="L64" s="42" t="str">
        <f aca="false">IF($B64="","",G64-I64-K64)</f>
        <v/>
      </c>
      <c r="M64" s="43" t="str">
        <f aca="false">IFERROR(L64/G64,"")</f>
        <v/>
      </c>
      <c r="N64" s="51"/>
    </row>
    <row r="65" customFormat="false" ht="15" hidden="false" customHeight="false" outlineLevel="0" collapsed="false">
      <c r="A65" s="25"/>
      <c r="B65" s="21"/>
      <c r="C65" s="50" t="str">
        <f aca="false">IFERROR(INDEX('4. Costeo y Precios'!$B$14:$B$64,MATCH($B65,'4. Costeo y Precios'!$A$14:$A$64,0)),"")</f>
        <v/>
      </c>
      <c r="D65" s="24"/>
      <c r="E65" s="21"/>
      <c r="F65" s="22"/>
      <c r="G65" s="31" t="str">
        <f aca="false">IF($B65="","",E65*F65)</f>
        <v/>
      </c>
      <c r="H65" s="40" t="n">
        <f aca="false">IFERROR(INDEX('4. Costeo y Precios'!$P$14:$P$64,MATCH($B65,'4. Costeo y Precios'!$A$14:$A$64,0)),0)</f>
        <v>0</v>
      </c>
      <c r="I65" s="31" t="str">
        <f aca="false">IF($B65="","",E65*H65)</f>
        <v/>
      </c>
      <c r="J65" s="52"/>
      <c r="K65" s="31" t="str">
        <f aca="false">IF($B65="","",G65*J65)</f>
        <v/>
      </c>
      <c r="L65" s="42" t="str">
        <f aca="false">IF($B65="","",G65-I65-K65)</f>
        <v/>
      </c>
      <c r="M65" s="43" t="str">
        <f aca="false">IFERROR(L65/G65,"")</f>
        <v/>
      </c>
      <c r="N65" s="51"/>
    </row>
    <row r="66" customFormat="false" ht="15" hidden="false" customHeight="false" outlineLevel="0" collapsed="false">
      <c r="A66" s="25"/>
      <c r="B66" s="21"/>
      <c r="C66" s="50" t="str">
        <f aca="false">IFERROR(INDEX('4. Costeo y Precios'!$B$14:$B$64,MATCH($B66,'4. Costeo y Precios'!$A$14:$A$64,0)),"")</f>
        <v/>
      </c>
      <c r="D66" s="24"/>
      <c r="E66" s="21"/>
      <c r="F66" s="22"/>
      <c r="G66" s="31" t="str">
        <f aca="false">IF($B66="","",E66*F66)</f>
        <v/>
      </c>
      <c r="H66" s="40" t="n">
        <f aca="false">IFERROR(INDEX('4. Costeo y Precios'!$P$14:$P$64,MATCH($B66,'4. Costeo y Precios'!$A$14:$A$64,0)),0)</f>
        <v>0</v>
      </c>
      <c r="I66" s="31" t="str">
        <f aca="false">IF($B66="","",E66*H66)</f>
        <v/>
      </c>
      <c r="J66" s="52"/>
      <c r="K66" s="31" t="str">
        <f aca="false">IF($B66="","",G66*J66)</f>
        <v/>
      </c>
      <c r="L66" s="42" t="str">
        <f aca="false">IF($B66="","",G66-I66-K66)</f>
        <v/>
      </c>
      <c r="M66" s="43" t="str">
        <f aca="false">IFERROR(L66/G66,"")</f>
        <v/>
      </c>
      <c r="N66" s="51"/>
    </row>
    <row r="67" customFormat="false" ht="15" hidden="false" customHeight="false" outlineLevel="0" collapsed="false">
      <c r="A67" s="25"/>
      <c r="B67" s="21"/>
      <c r="C67" s="50" t="str">
        <f aca="false">IFERROR(INDEX('4. Costeo y Precios'!$B$14:$B$64,MATCH($B67,'4. Costeo y Precios'!$A$14:$A$64,0)),"")</f>
        <v/>
      </c>
      <c r="D67" s="24"/>
      <c r="E67" s="21"/>
      <c r="F67" s="22"/>
      <c r="G67" s="31" t="str">
        <f aca="false">IF($B67="","",E67*F67)</f>
        <v/>
      </c>
      <c r="H67" s="40" t="n">
        <f aca="false">IFERROR(INDEX('4. Costeo y Precios'!$P$14:$P$64,MATCH($B67,'4. Costeo y Precios'!$A$14:$A$64,0)),0)</f>
        <v>0</v>
      </c>
      <c r="I67" s="31" t="str">
        <f aca="false">IF($B67="","",E67*H67)</f>
        <v/>
      </c>
      <c r="J67" s="52"/>
      <c r="K67" s="31" t="str">
        <f aca="false">IF($B67="","",G67*J67)</f>
        <v/>
      </c>
      <c r="L67" s="42" t="str">
        <f aca="false">IF($B67="","",G67-I67-K67)</f>
        <v/>
      </c>
      <c r="M67" s="43" t="str">
        <f aca="false">IFERROR(L67/G67,"")</f>
        <v/>
      </c>
      <c r="N67" s="51"/>
    </row>
    <row r="68" customFormat="false" ht="15" hidden="false" customHeight="false" outlineLevel="0" collapsed="false">
      <c r="A68" s="25"/>
      <c r="B68" s="21"/>
      <c r="C68" s="50" t="str">
        <f aca="false">IFERROR(INDEX('4. Costeo y Precios'!$B$14:$B$64,MATCH($B68,'4. Costeo y Precios'!$A$14:$A$64,0)),"")</f>
        <v/>
      </c>
      <c r="D68" s="24"/>
      <c r="E68" s="21"/>
      <c r="F68" s="22"/>
      <c r="G68" s="31" t="str">
        <f aca="false">IF($B68="","",E68*F68)</f>
        <v/>
      </c>
      <c r="H68" s="40" t="n">
        <f aca="false">IFERROR(INDEX('4. Costeo y Precios'!$P$14:$P$64,MATCH($B68,'4. Costeo y Precios'!$A$14:$A$64,0)),0)</f>
        <v>0</v>
      </c>
      <c r="I68" s="31" t="str">
        <f aca="false">IF($B68="","",E68*H68)</f>
        <v/>
      </c>
      <c r="J68" s="52"/>
      <c r="K68" s="31" t="str">
        <f aca="false">IF($B68="","",G68*J68)</f>
        <v/>
      </c>
      <c r="L68" s="42" t="str">
        <f aca="false">IF($B68="","",G68-I68-K68)</f>
        <v/>
      </c>
      <c r="M68" s="43" t="str">
        <f aca="false">IFERROR(L68/G68,"")</f>
        <v/>
      </c>
      <c r="N68" s="51"/>
    </row>
    <row r="69" customFormat="false" ht="15" hidden="false" customHeight="false" outlineLevel="0" collapsed="false">
      <c r="A69" s="25"/>
      <c r="B69" s="21"/>
      <c r="C69" s="50" t="str">
        <f aca="false">IFERROR(INDEX('4. Costeo y Precios'!$B$14:$B$64,MATCH($B69,'4. Costeo y Precios'!$A$14:$A$64,0)),"")</f>
        <v/>
      </c>
      <c r="D69" s="24"/>
      <c r="E69" s="21"/>
      <c r="F69" s="22"/>
      <c r="G69" s="31" t="str">
        <f aca="false">IF($B69="","",E69*F69)</f>
        <v/>
      </c>
      <c r="H69" s="40" t="n">
        <f aca="false">IFERROR(INDEX('4. Costeo y Precios'!$P$14:$P$64,MATCH($B69,'4. Costeo y Precios'!$A$14:$A$64,0)),0)</f>
        <v>0</v>
      </c>
      <c r="I69" s="31" t="str">
        <f aca="false">IF($B69="","",E69*H69)</f>
        <v/>
      </c>
      <c r="J69" s="52"/>
      <c r="K69" s="31" t="str">
        <f aca="false">IF($B69="","",G69*J69)</f>
        <v/>
      </c>
      <c r="L69" s="42" t="str">
        <f aca="false">IF($B69="","",G69-I69-K69)</f>
        <v/>
      </c>
      <c r="M69" s="43" t="str">
        <f aca="false">IFERROR(L69/G69,"")</f>
        <v/>
      </c>
      <c r="N69" s="51"/>
    </row>
    <row r="70" customFormat="false" ht="15" hidden="false" customHeight="false" outlineLevel="0" collapsed="false">
      <c r="A70" s="25"/>
      <c r="B70" s="21"/>
      <c r="C70" s="50" t="str">
        <f aca="false">IFERROR(INDEX('4. Costeo y Precios'!$B$14:$B$64,MATCH($B70,'4. Costeo y Precios'!$A$14:$A$64,0)),"")</f>
        <v/>
      </c>
      <c r="D70" s="24"/>
      <c r="E70" s="21"/>
      <c r="F70" s="22"/>
      <c r="G70" s="31" t="str">
        <f aca="false">IF($B70="","",E70*F70)</f>
        <v/>
      </c>
      <c r="H70" s="40" t="n">
        <f aca="false">IFERROR(INDEX('4. Costeo y Precios'!$P$14:$P$64,MATCH($B70,'4. Costeo y Precios'!$A$14:$A$64,0)),0)</f>
        <v>0</v>
      </c>
      <c r="I70" s="31" t="str">
        <f aca="false">IF($B70="","",E70*H70)</f>
        <v/>
      </c>
      <c r="J70" s="52"/>
      <c r="K70" s="31" t="str">
        <f aca="false">IF($B70="","",G70*J70)</f>
        <v/>
      </c>
      <c r="L70" s="42" t="str">
        <f aca="false">IF($B70="","",G70-I70-K70)</f>
        <v/>
      </c>
      <c r="M70" s="43" t="str">
        <f aca="false">IFERROR(L70/G70,"")</f>
        <v/>
      </c>
      <c r="N70" s="51"/>
    </row>
    <row r="71" customFormat="false" ht="15" hidden="false" customHeight="false" outlineLevel="0" collapsed="false">
      <c r="A71" s="25"/>
      <c r="B71" s="21"/>
      <c r="C71" s="50" t="str">
        <f aca="false">IFERROR(INDEX('4. Costeo y Precios'!$B$14:$B$64,MATCH($B71,'4. Costeo y Precios'!$A$14:$A$64,0)),"")</f>
        <v/>
      </c>
      <c r="D71" s="24"/>
      <c r="E71" s="21"/>
      <c r="F71" s="22"/>
      <c r="G71" s="31" t="str">
        <f aca="false">IF($B71="","",E71*F71)</f>
        <v/>
      </c>
      <c r="H71" s="40" t="n">
        <f aca="false">IFERROR(INDEX('4. Costeo y Precios'!$P$14:$P$64,MATCH($B71,'4. Costeo y Precios'!$A$14:$A$64,0)),0)</f>
        <v>0</v>
      </c>
      <c r="I71" s="31" t="str">
        <f aca="false">IF($B71="","",E71*H71)</f>
        <v/>
      </c>
      <c r="J71" s="52"/>
      <c r="K71" s="31" t="str">
        <f aca="false">IF($B71="","",G71*J71)</f>
        <v/>
      </c>
      <c r="L71" s="42" t="str">
        <f aca="false">IF($B71="","",G71-I71-K71)</f>
        <v/>
      </c>
      <c r="M71" s="43" t="str">
        <f aca="false">IFERROR(L71/G71,"")</f>
        <v/>
      </c>
      <c r="N71" s="51"/>
    </row>
    <row r="72" customFormat="false" ht="15" hidden="false" customHeight="false" outlineLevel="0" collapsed="false">
      <c r="A72" s="25"/>
      <c r="B72" s="21"/>
      <c r="C72" s="50" t="str">
        <f aca="false">IFERROR(INDEX('4. Costeo y Precios'!$B$14:$B$64,MATCH($B72,'4. Costeo y Precios'!$A$14:$A$64,0)),"")</f>
        <v/>
      </c>
      <c r="D72" s="24"/>
      <c r="E72" s="21"/>
      <c r="F72" s="22"/>
      <c r="G72" s="31" t="str">
        <f aca="false">IF($B72="","",E72*F72)</f>
        <v/>
      </c>
      <c r="H72" s="40" t="n">
        <f aca="false">IFERROR(INDEX('4. Costeo y Precios'!$P$14:$P$64,MATCH($B72,'4. Costeo y Precios'!$A$14:$A$64,0)),0)</f>
        <v>0</v>
      </c>
      <c r="I72" s="31" t="str">
        <f aca="false">IF($B72="","",E72*H72)</f>
        <v/>
      </c>
      <c r="J72" s="52"/>
      <c r="K72" s="31" t="str">
        <f aca="false">IF($B72="","",G72*J72)</f>
        <v/>
      </c>
      <c r="L72" s="42" t="str">
        <f aca="false">IF($B72="","",G72-I72-K72)</f>
        <v/>
      </c>
      <c r="M72" s="43" t="str">
        <f aca="false">IFERROR(L72/G72,"")</f>
        <v/>
      </c>
      <c r="N72" s="51"/>
    </row>
    <row r="73" customFormat="false" ht="15" hidden="false" customHeight="false" outlineLevel="0" collapsed="false">
      <c r="A73" s="25"/>
      <c r="B73" s="21"/>
      <c r="C73" s="50" t="str">
        <f aca="false">IFERROR(INDEX('4. Costeo y Precios'!$B$14:$B$64,MATCH($B73,'4. Costeo y Precios'!$A$14:$A$64,0)),"")</f>
        <v/>
      </c>
      <c r="D73" s="24"/>
      <c r="E73" s="21"/>
      <c r="F73" s="22"/>
      <c r="G73" s="31" t="str">
        <f aca="false">IF($B73="","",E73*F73)</f>
        <v/>
      </c>
      <c r="H73" s="40" t="n">
        <f aca="false">IFERROR(INDEX('4. Costeo y Precios'!$P$14:$P$64,MATCH($B73,'4. Costeo y Precios'!$A$14:$A$64,0)),0)</f>
        <v>0</v>
      </c>
      <c r="I73" s="31" t="str">
        <f aca="false">IF($B73="","",E73*H73)</f>
        <v/>
      </c>
      <c r="J73" s="52"/>
      <c r="K73" s="31" t="str">
        <f aca="false">IF($B73="","",G73*J73)</f>
        <v/>
      </c>
      <c r="L73" s="42" t="str">
        <f aca="false">IF($B73="","",G73-I73-K73)</f>
        <v/>
      </c>
      <c r="M73" s="43" t="str">
        <f aca="false">IFERROR(L73/G73,"")</f>
        <v/>
      </c>
      <c r="N73" s="51"/>
    </row>
    <row r="74" customFormat="false" ht="15" hidden="false" customHeight="false" outlineLevel="0" collapsed="false">
      <c r="A74" s="25"/>
      <c r="B74" s="21"/>
      <c r="C74" s="50" t="str">
        <f aca="false">IFERROR(INDEX('4. Costeo y Precios'!$B$14:$B$64,MATCH($B74,'4. Costeo y Precios'!$A$14:$A$64,0)),"")</f>
        <v/>
      </c>
      <c r="D74" s="24"/>
      <c r="E74" s="21"/>
      <c r="F74" s="22"/>
      <c r="G74" s="31" t="str">
        <f aca="false">IF($B74="","",E74*F74)</f>
        <v/>
      </c>
      <c r="H74" s="40" t="n">
        <f aca="false">IFERROR(INDEX('4. Costeo y Precios'!$P$14:$P$64,MATCH($B74,'4. Costeo y Precios'!$A$14:$A$64,0)),0)</f>
        <v>0</v>
      </c>
      <c r="I74" s="31" t="str">
        <f aca="false">IF($B74="","",E74*H74)</f>
        <v/>
      </c>
      <c r="J74" s="52"/>
      <c r="K74" s="31" t="str">
        <f aca="false">IF($B74="","",G74*J74)</f>
        <v/>
      </c>
      <c r="L74" s="42" t="str">
        <f aca="false">IF($B74="","",G74-I74-K74)</f>
        <v/>
      </c>
      <c r="M74" s="43" t="str">
        <f aca="false">IFERROR(L74/G74,"")</f>
        <v/>
      </c>
      <c r="N74" s="51"/>
    </row>
    <row r="75" customFormat="false" ht="15" hidden="false" customHeight="false" outlineLevel="0" collapsed="false">
      <c r="A75" s="25"/>
      <c r="B75" s="21"/>
      <c r="C75" s="50" t="str">
        <f aca="false">IFERROR(INDEX('4. Costeo y Precios'!$B$14:$B$64,MATCH($B75,'4. Costeo y Precios'!$A$14:$A$64,0)),"")</f>
        <v/>
      </c>
      <c r="D75" s="24"/>
      <c r="E75" s="21"/>
      <c r="F75" s="22"/>
      <c r="G75" s="31" t="str">
        <f aca="false">IF($B75="","",E75*F75)</f>
        <v/>
      </c>
      <c r="H75" s="40" t="n">
        <f aca="false">IFERROR(INDEX('4. Costeo y Precios'!$P$14:$P$64,MATCH($B75,'4. Costeo y Precios'!$A$14:$A$64,0)),0)</f>
        <v>0</v>
      </c>
      <c r="I75" s="31" t="str">
        <f aca="false">IF($B75="","",E75*H75)</f>
        <v/>
      </c>
      <c r="J75" s="52"/>
      <c r="K75" s="31" t="str">
        <f aca="false">IF($B75="","",G75*J75)</f>
        <v/>
      </c>
      <c r="L75" s="42" t="str">
        <f aca="false">IF($B75="","",G75-I75-K75)</f>
        <v/>
      </c>
      <c r="M75" s="43" t="str">
        <f aca="false">IFERROR(L75/G75,"")</f>
        <v/>
      </c>
      <c r="N75" s="51"/>
    </row>
    <row r="76" customFormat="false" ht="15" hidden="false" customHeight="false" outlineLevel="0" collapsed="false">
      <c r="A76" s="25"/>
      <c r="B76" s="21"/>
      <c r="C76" s="50" t="str">
        <f aca="false">IFERROR(INDEX('4. Costeo y Precios'!$B$14:$B$64,MATCH($B76,'4. Costeo y Precios'!$A$14:$A$64,0)),"")</f>
        <v/>
      </c>
      <c r="D76" s="24"/>
      <c r="E76" s="21"/>
      <c r="F76" s="22"/>
      <c r="G76" s="31" t="str">
        <f aca="false">IF($B76="","",E76*F76)</f>
        <v/>
      </c>
      <c r="H76" s="40" t="n">
        <f aca="false">IFERROR(INDEX('4. Costeo y Precios'!$P$14:$P$64,MATCH($B76,'4. Costeo y Precios'!$A$14:$A$64,0)),0)</f>
        <v>0</v>
      </c>
      <c r="I76" s="31" t="str">
        <f aca="false">IF($B76="","",E76*H76)</f>
        <v/>
      </c>
      <c r="J76" s="52"/>
      <c r="K76" s="31" t="str">
        <f aca="false">IF($B76="","",G76*J76)</f>
        <v/>
      </c>
      <c r="L76" s="42" t="str">
        <f aca="false">IF($B76="","",G76-I76-K76)</f>
        <v/>
      </c>
      <c r="M76" s="43" t="str">
        <f aca="false">IFERROR(L76/G76,"")</f>
        <v/>
      </c>
      <c r="N76" s="51"/>
    </row>
    <row r="77" customFormat="false" ht="15" hidden="false" customHeight="false" outlineLevel="0" collapsed="false">
      <c r="A77" s="25"/>
      <c r="B77" s="21"/>
      <c r="C77" s="50" t="str">
        <f aca="false">IFERROR(INDEX('4. Costeo y Precios'!$B$14:$B$64,MATCH($B77,'4. Costeo y Precios'!$A$14:$A$64,0)),"")</f>
        <v/>
      </c>
      <c r="D77" s="24"/>
      <c r="E77" s="21"/>
      <c r="F77" s="22"/>
      <c r="G77" s="31" t="str">
        <f aca="false">IF($B77="","",E77*F77)</f>
        <v/>
      </c>
      <c r="H77" s="40" t="n">
        <f aca="false">IFERROR(INDEX('4. Costeo y Precios'!$P$14:$P$64,MATCH($B77,'4. Costeo y Precios'!$A$14:$A$64,0)),0)</f>
        <v>0</v>
      </c>
      <c r="I77" s="31" t="str">
        <f aca="false">IF($B77="","",E77*H77)</f>
        <v/>
      </c>
      <c r="J77" s="52"/>
      <c r="K77" s="31" t="str">
        <f aca="false">IF($B77="","",G77*J77)</f>
        <v/>
      </c>
      <c r="L77" s="42" t="str">
        <f aca="false">IF($B77="","",G77-I77-K77)</f>
        <v/>
      </c>
      <c r="M77" s="43" t="str">
        <f aca="false">IFERROR(L77/G77,"")</f>
        <v/>
      </c>
      <c r="N77" s="51"/>
    </row>
    <row r="78" customFormat="false" ht="15" hidden="false" customHeight="false" outlineLevel="0" collapsed="false">
      <c r="A78" s="25"/>
      <c r="B78" s="21"/>
      <c r="C78" s="50" t="str">
        <f aca="false">IFERROR(INDEX('4. Costeo y Precios'!$B$14:$B$64,MATCH($B78,'4. Costeo y Precios'!$A$14:$A$64,0)),"")</f>
        <v/>
      </c>
      <c r="D78" s="24"/>
      <c r="E78" s="21"/>
      <c r="F78" s="22"/>
      <c r="G78" s="31" t="str">
        <f aca="false">IF($B78="","",E78*F78)</f>
        <v/>
      </c>
      <c r="H78" s="40" t="n">
        <f aca="false">IFERROR(INDEX('4. Costeo y Precios'!$P$14:$P$64,MATCH($B78,'4. Costeo y Precios'!$A$14:$A$64,0)),0)</f>
        <v>0</v>
      </c>
      <c r="I78" s="31" t="str">
        <f aca="false">IF($B78="","",E78*H78)</f>
        <v/>
      </c>
      <c r="J78" s="52"/>
      <c r="K78" s="31" t="str">
        <f aca="false">IF($B78="","",G78*J78)</f>
        <v/>
      </c>
      <c r="L78" s="42" t="str">
        <f aca="false">IF($B78="","",G78-I78-K78)</f>
        <v/>
      </c>
      <c r="M78" s="43" t="str">
        <f aca="false">IFERROR(L78/G78,"")</f>
        <v/>
      </c>
      <c r="N78" s="51"/>
    </row>
    <row r="79" customFormat="false" ht="15" hidden="false" customHeight="false" outlineLevel="0" collapsed="false">
      <c r="A79" s="25"/>
      <c r="B79" s="21"/>
      <c r="C79" s="50" t="str">
        <f aca="false">IFERROR(INDEX('4. Costeo y Precios'!$B$14:$B$64,MATCH($B79,'4. Costeo y Precios'!$A$14:$A$64,0)),"")</f>
        <v/>
      </c>
      <c r="D79" s="24"/>
      <c r="E79" s="21"/>
      <c r="F79" s="22"/>
      <c r="G79" s="31" t="str">
        <f aca="false">IF($B79="","",E79*F79)</f>
        <v/>
      </c>
      <c r="H79" s="40" t="n">
        <f aca="false">IFERROR(INDEX('4. Costeo y Precios'!$P$14:$P$64,MATCH($B79,'4. Costeo y Precios'!$A$14:$A$64,0)),0)</f>
        <v>0</v>
      </c>
      <c r="I79" s="31" t="str">
        <f aca="false">IF($B79="","",E79*H79)</f>
        <v/>
      </c>
      <c r="J79" s="52"/>
      <c r="K79" s="31" t="str">
        <f aca="false">IF($B79="","",G79*J79)</f>
        <v/>
      </c>
      <c r="L79" s="42" t="str">
        <f aca="false">IF($B79="","",G79-I79-K79)</f>
        <v/>
      </c>
      <c r="M79" s="43" t="str">
        <f aca="false">IFERROR(L79/G79,"")</f>
        <v/>
      </c>
      <c r="N79" s="51"/>
    </row>
    <row r="80" customFormat="false" ht="15" hidden="false" customHeight="false" outlineLevel="0" collapsed="false">
      <c r="A80" s="25"/>
      <c r="B80" s="21"/>
      <c r="C80" s="50" t="str">
        <f aca="false">IFERROR(INDEX('4. Costeo y Precios'!$B$14:$B$64,MATCH($B80,'4. Costeo y Precios'!$A$14:$A$64,0)),"")</f>
        <v/>
      </c>
      <c r="D80" s="24"/>
      <c r="E80" s="21"/>
      <c r="F80" s="22"/>
      <c r="G80" s="31" t="str">
        <f aca="false">IF($B80="","",E80*F80)</f>
        <v/>
      </c>
      <c r="H80" s="40" t="n">
        <f aca="false">IFERROR(INDEX('4. Costeo y Precios'!$P$14:$P$64,MATCH($B80,'4. Costeo y Precios'!$A$14:$A$64,0)),0)</f>
        <v>0</v>
      </c>
      <c r="I80" s="31" t="str">
        <f aca="false">IF($B80="","",E80*H80)</f>
        <v/>
      </c>
      <c r="J80" s="52"/>
      <c r="K80" s="31" t="str">
        <f aca="false">IF($B80="","",G80*J80)</f>
        <v/>
      </c>
      <c r="L80" s="42" t="str">
        <f aca="false">IF($B80="","",G80-I80-K80)</f>
        <v/>
      </c>
      <c r="M80" s="43" t="str">
        <f aca="false">IFERROR(L80/G80,"")</f>
        <v/>
      </c>
      <c r="N80" s="51"/>
    </row>
    <row r="81" customFormat="false" ht="15" hidden="false" customHeight="false" outlineLevel="0" collapsed="false">
      <c r="A81" s="25"/>
      <c r="B81" s="21"/>
      <c r="C81" s="50" t="str">
        <f aca="false">IFERROR(INDEX('4. Costeo y Precios'!$B$14:$B$64,MATCH($B81,'4. Costeo y Precios'!$A$14:$A$64,0)),"")</f>
        <v/>
      </c>
      <c r="D81" s="24"/>
      <c r="E81" s="21"/>
      <c r="F81" s="22"/>
      <c r="G81" s="31" t="str">
        <f aca="false">IF($B81="","",E81*F81)</f>
        <v/>
      </c>
      <c r="H81" s="40" t="n">
        <f aca="false">IFERROR(INDEX('4. Costeo y Precios'!$P$14:$P$64,MATCH($B81,'4. Costeo y Precios'!$A$14:$A$64,0)),0)</f>
        <v>0</v>
      </c>
      <c r="I81" s="31" t="str">
        <f aca="false">IF($B81="","",E81*H81)</f>
        <v/>
      </c>
      <c r="J81" s="52"/>
      <c r="K81" s="31" t="str">
        <f aca="false">IF($B81="","",G81*J81)</f>
        <v/>
      </c>
      <c r="L81" s="42" t="str">
        <f aca="false">IF($B81="","",G81-I81-K81)</f>
        <v/>
      </c>
      <c r="M81" s="43" t="str">
        <f aca="false">IFERROR(L81/G81,"")</f>
        <v/>
      </c>
      <c r="N81" s="51"/>
    </row>
    <row r="82" customFormat="false" ht="15" hidden="false" customHeight="false" outlineLevel="0" collapsed="false">
      <c r="A82" s="25"/>
      <c r="B82" s="21"/>
      <c r="C82" s="50" t="str">
        <f aca="false">IFERROR(INDEX('4. Costeo y Precios'!$B$14:$B$64,MATCH($B82,'4. Costeo y Precios'!$A$14:$A$64,0)),"")</f>
        <v/>
      </c>
      <c r="D82" s="24"/>
      <c r="E82" s="21"/>
      <c r="F82" s="22"/>
      <c r="G82" s="31" t="str">
        <f aca="false">IF($B82="","",E82*F82)</f>
        <v/>
      </c>
      <c r="H82" s="40" t="n">
        <f aca="false">IFERROR(INDEX('4. Costeo y Precios'!$P$14:$P$64,MATCH($B82,'4. Costeo y Precios'!$A$14:$A$64,0)),0)</f>
        <v>0</v>
      </c>
      <c r="I82" s="31" t="str">
        <f aca="false">IF($B82="","",E82*H82)</f>
        <v/>
      </c>
      <c r="J82" s="52"/>
      <c r="K82" s="31" t="str">
        <f aca="false">IF($B82="","",G82*J82)</f>
        <v/>
      </c>
      <c r="L82" s="42" t="str">
        <f aca="false">IF($B82="","",G82-I82-K82)</f>
        <v/>
      </c>
      <c r="M82" s="43" t="str">
        <f aca="false">IFERROR(L82/G82,"")</f>
        <v/>
      </c>
      <c r="N82" s="51"/>
    </row>
    <row r="83" customFormat="false" ht="15" hidden="false" customHeight="false" outlineLevel="0" collapsed="false">
      <c r="A83" s="25"/>
      <c r="B83" s="21"/>
      <c r="C83" s="50" t="str">
        <f aca="false">IFERROR(INDEX('4. Costeo y Precios'!$B$14:$B$64,MATCH($B83,'4. Costeo y Precios'!$A$14:$A$64,0)),"")</f>
        <v/>
      </c>
      <c r="D83" s="24"/>
      <c r="E83" s="21"/>
      <c r="F83" s="22"/>
      <c r="G83" s="31" t="str">
        <f aca="false">IF($B83="","",E83*F83)</f>
        <v/>
      </c>
      <c r="H83" s="40" t="n">
        <f aca="false">IFERROR(INDEX('4. Costeo y Precios'!$P$14:$P$64,MATCH($B83,'4. Costeo y Precios'!$A$14:$A$64,0)),0)</f>
        <v>0</v>
      </c>
      <c r="I83" s="31" t="str">
        <f aca="false">IF($B83="","",E83*H83)</f>
        <v/>
      </c>
      <c r="J83" s="52"/>
      <c r="K83" s="31" t="str">
        <f aca="false">IF($B83="","",G83*J83)</f>
        <v/>
      </c>
      <c r="L83" s="42" t="str">
        <f aca="false">IF($B83="","",G83-I83-K83)</f>
        <v/>
      </c>
      <c r="M83" s="43" t="str">
        <f aca="false">IFERROR(L83/G83,"")</f>
        <v/>
      </c>
      <c r="N83" s="51"/>
    </row>
    <row r="84" customFormat="false" ht="15" hidden="false" customHeight="false" outlineLevel="0" collapsed="false">
      <c r="A84" s="25"/>
      <c r="B84" s="21"/>
      <c r="C84" s="50" t="str">
        <f aca="false">IFERROR(INDEX('4. Costeo y Precios'!$B$14:$B$64,MATCH($B84,'4. Costeo y Precios'!$A$14:$A$64,0)),"")</f>
        <v/>
      </c>
      <c r="D84" s="24"/>
      <c r="E84" s="21"/>
      <c r="F84" s="22"/>
      <c r="G84" s="31" t="str">
        <f aca="false">IF($B84="","",E84*F84)</f>
        <v/>
      </c>
      <c r="H84" s="40" t="n">
        <f aca="false">IFERROR(INDEX('4. Costeo y Precios'!$P$14:$P$64,MATCH($B84,'4. Costeo y Precios'!$A$14:$A$64,0)),0)</f>
        <v>0</v>
      </c>
      <c r="I84" s="31" t="str">
        <f aca="false">IF($B84="","",E84*H84)</f>
        <v/>
      </c>
      <c r="J84" s="52"/>
      <c r="K84" s="31" t="str">
        <f aca="false">IF($B84="","",G84*J84)</f>
        <v/>
      </c>
      <c r="L84" s="42" t="str">
        <f aca="false">IF($B84="","",G84-I84-K84)</f>
        <v/>
      </c>
      <c r="M84" s="43" t="str">
        <f aca="false">IFERROR(L84/G84,"")</f>
        <v/>
      </c>
      <c r="N84" s="51"/>
    </row>
    <row r="85" customFormat="false" ht="15" hidden="false" customHeight="false" outlineLevel="0" collapsed="false">
      <c r="A85" s="25"/>
      <c r="B85" s="21"/>
      <c r="C85" s="50" t="str">
        <f aca="false">IFERROR(INDEX('4. Costeo y Precios'!$B$14:$B$64,MATCH($B85,'4. Costeo y Precios'!$A$14:$A$64,0)),"")</f>
        <v/>
      </c>
      <c r="D85" s="24"/>
      <c r="E85" s="21"/>
      <c r="F85" s="22"/>
      <c r="G85" s="31" t="str">
        <f aca="false">IF($B85="","",E85*F85)</f>
        <v/>
      </c>
      <c r="H85" s="40" t="n">
        <f aca="false">IFERROR(INDEX('4. Costeo y Precios'!$P$14:$P$64,MATCH($B85,'4. Costeo y Precios'!$A$14:$A$64,0)),0)</f>
        <v>0</v>
      </c>
      <c r="I85" s="31" t="str">
        <f aca="false">IF($B85="","",E85*H85)</f>
        <v/>
      </c>
      <c r="J85" s="52"/>
      <c r="K85" s="31" t="str">
        <f aca="false">IF($B85="","",G85*J85)</f>
        <v/>
      </c>
      <c r="L85" s="42" t="str">
        <f aca="false">IF($B85="","",G85-I85-K85)</f>
        <v/>
      </c>
      <c r="M85" s="43" t="str">
        <f aca="false">IFERROR(L85/G85,"")</f>
        <v/>
      </c>
      <c r="N85" s="51"/>
    </row>
    <row r="86" customFormat="false" ht="15" hidden="false" customHeight="false" outlineLevel="0" collapsed="false">
      <c r="A86" s="25"/>
      <c r="B86" s="21"/>
      <c r="C86" s="50" t="str">
        <f aca="false">IFERROR(INDEX('4. Costeo y Precios'!$B$14:$B$64,MATCH($B86,'4. Costeo y Precios'!$A$14:$A$64,0)),"")</f>
        <v/>
      </c>
      <c r="D86" s="24"/>
      <c r="E86" s="21"/>
      <c r="F86" s="22"/>
      <c r="G86" s="31" t="str">
        <f aca="false">IF($B86="","",E86*F86)</f>
        <v/>
      </c>
      <c r="H86" s="40" t="n">
        <f aca="false">IFERROR(INDEX('4. Costeo y Precios'!$P$14:$P$64,MATCH($B86,'4. Costeo y Precios'!$A$14:$A$64,0)),0)</f>
        <v>0</v>
      </c>
      <c r="I86" s="31" t="str">
        <f aca="false">IF($B86="","",E86*H86)</f>
        <v/>
      </c>
      <c r="J86" s="52"/>
      <c r="K86" s="31" t="str">
        <f aca="false">IF($B86="","",G86*J86)</f>
        <v/>
      </c>
      <c r="L86" s="42" t="str">
        <f aca="false">IF($B86="","",G86-I86-K86)</f>
        <v/>
      </c>
      <c r="M86" s="43" t="str">
        <f aca="false">IFERROR(L86/G86,"")</f>
        <v/>
      </c>
      <c r="N86" s="51"/>
    </row>
    <row r="87" customFormat="false" ht="15" hidden="false" customHeight="false" outlineLevel="0" collapsed="false">
      <c r="A87" s="25"/>
      <c r="B87" s="21"/>
      <c r="C87" s="50" t="str">
        <f aca="false">IFERROR(INDEX('4. Costeo y Precios'!$B$14:$B$64,MATCH($B87,'4. Costeo y Precios'!$A$14:$A$64,0)),"")</f>
        <v/>
      </c>
      <c r="D87" s="24"/>
      <c r="E87" s="21"/>
      <c r="F87" s="22"/>
      <c r="G87" s="31" t="str">
        <f aca="false">IF($B87="","",E87*F87)</f>
        <v/>
      </c>
      <c r="H87" s="40" t="n">
        <f aca="false">IFERROR(INDEX('4. Costeo y Precios'!$P$14:$P$64,MATCH($B87,'4. Costeo y Precios'!$A$14:$A$64,0)),0)</f>
        <v>0</v>
      </c>
      <c r="I87" s="31" t="str">
        <f aca="false">IF($B87="","",E87*H87)</f>
        <v/>
      </c>
      <c r="J87" s="52"/>
      <c r="K87" s="31" t="str">
        <f aca="false">IF($B87="","",G87*J87)</f>
        <v/>
      </c>
      <c r="L87" s="42" t="str">
        <f aca="false">IF($B87="","",G87-I87-K87)</f>
        <v/>
      </c>
      <c r="M87" s="43" t="str">
        <f aca="false">IFERROR(L87/G87,"")</f>
        <v/>
      </c>
      <c r="N87" s="51"/>
    </row>
    <row r="88" customFormat="false" ht="15" hidden="false" customHeight="false" outlineLevel="0" collapsed="false">
      <c r="A88" s="25"/>
      <c r="B88" s="21"/>
      <c r="C88" s="50" t="str">
        <f aca="false">IFERROR(INDEX('4. Costeo y Precios'!$B$14:$B$64,MATCH($B88,'4. Costeo y Precios'!$A$14:$A$64,0)),"")</f>
        <v/>
      </c>
      <c r="D88" s="24"/>
      <c r="E88" s="21"/>
      <c r="F88" s="22"/>
      <c r="G88" s="31" t="str">
        <f aca="false">IF($B88="","",E88*F88)</f>
        <v/>
      </c>
      <c r="H88" s="40" t="n">
        <f aca="false">IFERROR(INDEX('4. Costeo y Precios'!$P$14:$P$64,MATCH($B88,'4. Costeo y Precios'!$A$14:$A$64,0)),0)</f>
        <v>0</v>
      </c>
      <c r="I88" s="31" t="str">
        <f aca="false">IF($B88="","",E88*H88)</f>
        <v/>
      </c>
      <c r="J88" s="52"/>
      <c r="K88" s="31" t="str">
        <f aca="false">IF($B88="","",G88*J88)</f>
        <v/>
      </c>
      <c r="L88" s="42" t="str">
        <f aca="false">IF($B88="","",G88-I88-K88)</f>
        <v/>
      </c>
      <c r="M88" s="43" t="str">
        <f aca="false">IFERROR(L88/G88,"")</f>
        <v/>
      </c>
      <c r="N88" s="51"/>
    </row>
    <row r="89" customFormat="false" ht="15" hidden="false" customHeight="false" outlineLevel="0" collapsed="false">
      <c r="A89" s="25"/>
      <c r="B89" s="21"/>
      <c r="C89" s="50" t="str">
        <f aca="false">IFERROR(INDEX('4. Costeo y Precios'!$B$14:$B$64,MATCH($B89,'4. Costeo y Precios'!$A$14:$A$64,0)),"")</f>
        <v/>
      </c>
      <c r="D89" s="24"/>
      <c r="E89" s="21"/>
      <c r="F89" s="22"/>
      <c r="G89" s="31" t="str">
        <f aca="false">IF($B89="","",E89*F89)</f>
        <v/>
      </c>
      <c r="H89" s="40" t="n">
        <f aca="false">IFERROR(INDEX('4. Costeo y Precios'!$P$14:$P$64,MATCH($B89,'4. Costeo y Precios'!$A$14:$A$64,0)),0)</f>
        <v>0</v>
      </c>
      <c r="I89" s="31" t="str">
        <f aca="false">IF($B89="","",E89*H89)</f>
        <v/>
      </c>
      <c r="J89" s="52"/>
      <c r="K89" s="31" t="str">
        <f aca="false">IF($B89="","",G89*J89)</f>
        <v/>
      </c>
      <c r="L89" s="42" t="str">
        <f aca="false">IF($B89="","",G89-I89-K89)</f>
        <v/>
      </c>
      <c r="M89" s="43" t="str">
        <f aca="false">IFERROR(L89/G89,"")</f>
        <v/>
      </c>
      <c r="N89" s="51"/>
    </row>
    <row r="90" customFormat="false" ht="15" hidden="false" customHeight="false" outlineLevel="0" collapsed="false">
      <c r="A90" s="25"/>
      <c r="B90" s="21"/>
      <c r="C90" s="50" t="str">
        <f aca="false">IFERROR(INDEX('4. Costeo y Precios'!$B$14:$B$64,MATCH($B90,'4. Costeo y Precios'!$A$14:$A$64,0)),"")</f>
        <v/>
      </c>
      <c r="D90" s="24"/>
      <c r="E90" s="21"/>
      <c r="F90" s="22"/>
      <c r="G90" s="31" t="str">
        <f aca="false">IF($B90="","",E90*F90)</f>
        <v/>
      </c>
      <c r="H90" s="40" t="n">
        <f aca="false">IFERROR(INDEX('4. Costeo y Precios'!$P$14:$P$64,MATCH($B90,'4. Costeo y Precios'!$A$14:$A$64,0)),0)</f>
        <v>0</v>
      </c>
      <c r="I90" s="31" t="str">
        <f aca="false">IF($B90="","",E90*H90)</f>
        <v/>
      </c>
      <c r="J90" s="52"/>
      <c r="K90" s="31" t="str">
        <f aca="false">IF($B90="","",G90*J90)</f>
        <v/>
      </c>
      <c r="L90" s="42" t="str">
        <f aca="false">IF($B90="","",G90-I90-K90)</f>
        <v/>
      </c>
      <c r="M90" s="43" t="str">
        <f aca="false">IFERROR(L90/G90,"")</f>
        <v/>
      </c>
      <c r="N90" s="51"/>
    </row>
    <row r="91" customFormat="false" ht="15" hidden="false" customHeight="false" outlineLevel="0" collapsed="false">
      <c r="A91" s="25"/>
      <c r="B91" s="21"/>
      <c r="C91" s="50" t="str">
        <f aca="false">IFERROR(INDEX('4. Costeo y Precios'!$B$14:$B$64,MATCH($B91,'4. Costeo y Precios'!$A$14:$A$64,0)),"")</f>
        <v/>
      </c>
      <c r="D91" s="24"/>
      <c r="E91" s="21"/>
      <c r="F91" s="22"/>
      <c r="G91" s="31" t="str">
        <f aca="false">IF($B91="","",E91*F91)</f>
        <v/>
      </c>
      <c r="H91" s="40" t="n">
        <f aca="false">IFERROR(INDEX('4. Costeo y Precios'!$P$14:$P$64,MATCH($B91,'4. Costeo y Precios'!$A$14:$A$64,0)),0)</f>
        <v>0</v>
      </c>
      <c r="I91" s="31" t="str">
        <f aca="false">IF($B91="","",E91*H91)</f>
        <v/>
      </c>
      <c r="J91" s="52"/>
      <c r="K91" s="31" t="str">
        <f aca="false">IF($B91="","",G91*J91)</f>
        <v/>
      </c>
      <c r="L91" s="42" t="str">
        <f aca="false">IF($B91="","",G91-I91-K91)</f>
        <v/>
      </c>
      <c r="M91" s="43" t="str">
        <f aca="false">IFERROR(L91/G91,"")</f>
        <v/>
      </c>
      <c r="N91" s="51"/>
    </row>
    <row r="92" customFormat="false" ht="15" hidden="false" customHeight="false" outlineLevel="0" collapsed="false">
      <c r="A92" s="25"/>
      <c r="B92" s="21"/>
      <c r="C92" s="50" t="str">
        <f aca="false">IFERROR(INDEX('4. Costeo y Precios'!$B$14:$B$64,MATCH($B92,'4. Costeo y Precios'!$A$14:$A$64,0)),"")</f>
        <v/>
      </c>
      <c r="D92" s="24"/>
      <c r="E92" s="21"/>
      <c r="F92" s="22"/>
      <c r="G92" s="31" t="str">
        <f aca="false">IF($B92="","",E92*F92)</f>
        <v/>
      </c>
      <c r="H92" s="40" t="n">
        <f aca="false">IFERROR(INDEX('4. Costeo y Precios'!$P$14:$P$64,MATCH($B92,'4. Costeo y Precios'!$A$14:$A$64,0)),0)</f>
        <v>0</v>
      </c>
      <c r="I92" s="31" t="str">
        <f aca="false">IF($B92="","",E92*H92)</f>
        <v/>
      </c>
      <c r="J92" s="52"/>
      <c r="K92" s="31" t="str">
        <f aca="false">IF($B92="","",G92*J92)</f>
        <v/>
      </c>
      <c r="L92" s="42" t="str">
        <f aca="false">IF($B92="","",G92-I92-K92)</f>
        <v/>
      </c>
      <c r="M92" s="43" t="str">
        <f aca="false">IFERROR(L92/G92,"")</f>
        <v/>
      </c>
      <c r="N92" s="51"/>
    </row>
    <row r="93" customFormat="false" ht="15" hidden="false" customHeight="false" outlineLevel="0" collapsed="false">
      <c r="A93" s="25"/>
      <c r="B93" s="21"/>
      <c r="C93" s="50" t="str">
        <f aca="false">IFERROR(INDEX('4. Costeo y Precios'!$B$14:$B$64,MATCH($B93,'4. Costeo y Precios'!$A$14:$A$64,0)),"")</f>
        <v/>
      </c>
      <c r="D93" s="24"/>
      <c r="E93" s="21"/>
      <c r="F93" s="22"/>
      <c r="G93" s="31" t="str">
        <f aca="false">IF($B93="","",E93*F93)</f>
        <v/>
      </c>
      <c r="H93" s="40" t="n">
        <f aca="false">IFERROR(INDEX('4. Costeo y Precios'!$P$14:$P$64,MATCH($B93,'4. Costeo y Precios'!$A$14:$A$64,0)),0)</f>
        <v>0</v>
      </c>
      <c r="I93" s="31" t="str">
        <f aca="false">IF($B93="","",E93*H93)</f>
        <v/>
      </c>
      <c r="J93" s="52"/>
      <c r="K93" s="31" t="str">
        <f aca="false">IF($B93="","",G93*J93)</f>
        <v/>
      </c>
      <c r="L93" s="42" t="str">
        <f aca="false">IF($B93="","",G93-I93-K93)</f>
        <v/>
      </c>
      <c r="M93" s="43" t="str">
        <f aca="false">IFERROR(L93/G93,"")</f>
        <v/>
      </c>
      <c r="N93" s="51"/>
    </row>
    <row r="94" customFormat="false" ht="15" hidden="false" customHeight="false" outlineLevel="0" collapsed="false">
      <c r="A94" s="25"/>
      <c r="B94" s="21"/>
      <c r="C94" s="50" t="str">
        <f aca="false">IFERROR(INDEX('4. Costeo y Precios'!$B$14:$B$64,MATCH($B94,'4. Costeo y Precios'!$A$14:$A$64,0)),"")</f>
        <v/>
      </c>
      <c r="D94" s="24"/>
      <c r="E94" s="21"/>
      <c r="F94" s="22"/>
      <c r="G94" s="31" t="str">
        <f aca="false">IF($B94="","",E94*F94)</f>
        <v/>
      </c>
      <c r="H94" s="40" t="n">
        <f aca="false">IFERROR(INDEX('4. Costeo y Precios'!$P$14:$P$64,MATCH($B94,'4. Costeo y Precios'!$A$14:$A$64,0)),0)</f>
        <v>0</v>
      </c>
      <c r="I94" s="31" t="str">
        <f aca="false">IF($B94="","",E94*H94)</f>
        <v/>
      </c>
      <c r="J94" s="52"/>
      <c r="K94" s="31" t="str">
        <f aca="false">IF($B94="","",G94*J94)</f>
        <v/>
      </c>
      <c r="L94" s="42" t="str">
        <f aca="false">IF($B94="","",G94-I94-K94)</f>
        <v/>
      </c>
      <c r="M94" s="43" t="str">
        <f aca="false">IFERROR(L94/G94,"")</f>
        <v/>
      </c>
      <c r="N94" s="51"/>
    </row>
    <row r="95" customFormat="false" ht="15" hidden="false" customHeight="false" outlineLevel="0" collapsed="false">
      <c r="A95" s="25"/>
      <c r="B95" s="21"/>
      <c r="C95" s="50" t="str">
        <f aca="false">IFERROR(INDEX('4. Costeo y Precios'!$B$14:$B$64,MATCH($B95,'4. Costeo y Precios'!$A$14:$A$64,0)),"")</f>
        <v/>
      </c>
      <c r="D95" s="24"/>
      <c r="E95" s="21"/>
      <c r="F95" s="22"/>
      <c r="G95" s="31" t="str">
        <f aca="false">IF($B95="","",E95*F95)</f>
        <v/>
      </c>
      <c r="H95" s="40" t="n">
        <f aca="false">IFERROR(INDEX('4. Costeo y Precios'!$P$14:$P$64,MATCH($B95,'4. Costeo y Precios'!$A$14:$A$64,0)),0)</f>
        <v>0</v>
      </c>
      <c r="I95" s="31" t="str">
        <f aca="false">IF($B95="","",E95*H95)</f>
        <v/>
      </c>
      <c r="J95" s="52"/>
      <c r="K95" s="31" t="str">
        <f aca="false">IF($B95="","",G95*J95)</f>
        <v/>
      </c>
      <c r="L95" s="42" t="str">
        <f aca="false">IF($B95="","",G95-I95-K95)</f>
        <v/>
      </c>
      <c r="M95" s="43" t="str">
        <f aca="false">IFERROR(L95/G95,"")</f>
        <v/>
      </c>
      <c r="N95" s="51"/>
    </row>
    <row r="96" customFormat="false" ht="15" hidden="false" customHeight="false" outlineLevel="0" collapsed="false">
      <c r="A96" s="25"/>
      <c r="B96" s="21"/>
      <c r="C96" s="50" t="str">
        <f aca="false">IFERROR(INDEX('4. Costeo y Precios'!$B$14:$B$64,MATCH($B96,'4. Costeo y Precios'!$A$14:$A$64,0)),"")</f>
        <v/>
      </c>
      <c r="D96" s="24"/>
      <c r="E96" s="21"/>
      <c r="F96" s="22"/>
      <c r="G96" s="31" t="str">
        <f aca="false">IF($B96="","",E96*F96)</f>
        <v/>
      </c>
      <c r="H96" s="40" t="n">
        <f aca="false">IFERROR(INDEX('4. Costeo y Precios'!$P$14:$P$64,MATCH($B96,'4. Costeo y Precios'!$A$14:$A$64,0)),0)</f>
        <v>0</v>
      </c>
      <c r="I96" s="31" t="str">
        <f aca="false">IF($B96="","",E96*H96)</f>
        <v/>
      </c>
      <c r="J96" s="52"/>
      <c r="K96" s="31" t="str">
        <f aca="false">IF($B96="","",G96*J96)</f>
        <v/>
      </c>
      <c r="L96" s="42" t="str">
        <f aca="false">IF($B96="","",G96-I96-K96)</f>
        <v/>
      </c>
      <c r="M96" s="43" t="str">
        <f aca="false">IFERROR(L96/G96,"")</f>
        <v/>
      </c>
      <c r="N96" s="51"/>
    </row>
    <row r="97" customFormat="false" ht="15" hidden="false" customHeight="false" outlineLevel="0" collapsed="false">
      <c r="A97" s="25"/>
      <c r="B97" s="21"/>
      <c r="C97" s="50" t="str">
        <f aca="false">IFERROR(INDEX('4. Costeo y Precios'!$B$14:$B$64,MATCH($B97,'4. Costeo y Precios'!$A$14:$A$64,0)),"")</f>
        <v/>
      </c>
      <c r="D97" s="24"/>
      <c r="E97" s="21"/>
      <c r="F97" s="22"/>
      <c r="G97" s="31" t="str">
        <f aca="false">IF($B97="","",E97*F97)</f>
        <v/>
      </c>
      <c r="H97" s="40" t="n">
        <f aca="false">IFERROR(INDEX('4. Costeo y Precios'!$P$14:$P$64,MATCH($B97,'4. Costeo y Precios'!$A$14:$A$64,0)),0)</f>
        <v>0</v>
      </c>
      <c r="I97" s="31" t="str">
        <f aca="false">IF($B97="","",E97*H97)</f>
        <v/>
      </c>
      <c r="J97" s="52"/>
      <c r="K97" s="31" t="str">
        <f aca="false">IF($B97="","",G97*J97)</f>
        <v/>
      </c>
      <c r="L97" s="42" t="str">
        <f aca="false">IF($B97="","",G97-I97-K97)</f>
        <v/>
      </c>
      <c r="M97" s="43" t="str">
        <f aca="false">IFERROR(L97/G97,"")</f>
        <v/>
      </c>
      <c r="N97" s="51"/>
    </row>
    <row r="98" customFormat="false" ht="15" hidden="false" customHeight="false" outlineLevel="0" collapsed="false">
      <c r="A98" s="25"/>
      <c r="B98" s="21"/>
      <c r="C98" s="50" t="str">
        <f aca="false">IFERROR(INDEX('4. Costeo y Precios'!$B$14:$B$64,MATCH($B98,'4. Costeo y Precios'!$A$14:$A$64,0)),"")</f>
        <v/>
      </c>
      <c r="D98" s="24"/>
      <c r="E98" s="21"/>
      <c r="F98" s="22"/>
      <c r="G98" s="31" t="str">
        <f aca="false">IF($B98="","",E98*F98)</f>
        <v/>
      </c>
      <c r="H98" s="40" t="n">
        <f aca="false">IFERROR(INDEX('4. Costeo y Precios'!$P$14:$P$64,MATCH($B98,'4. Costeo y Precios'!$A$14:$A$64,0)),0)</f>
        <v>0</v>
      </c>
      <c r="I98" s="31" t="str">
        <f aca="false">IF($B98="","",E98*H98)</f>
        <v/>
      </c>
      <c r="J98" s="52"/>
      <c r="K98" s="31" t="str">
        <f aca="false">IF($B98="","",G98*J98)</f>
        <v/>
      </c>
      <c r="L98" s="42" t="str">
        <f aca="false">IF($B98="","",G98-I98-K98)</f>
        <v/>
      </c>
      <c r="M98" s="43" t="str">
        <f aca="false">IFERROR(L98/G98,"")</f>
        <v/>
      </c>
      <c r="N98" s="51"/>
    </row>
    <row r="99" customFormat="false" ht="15" hidden="false" customHeight="false" outlineLevel="0" collapsed="false">
      <c r="A99" s="25"/>
      <c r="B99" s="21"/>
      <c r="C99" s="50" t="str">
        <f aca="false">IFERROR(INDEX('4. Costeo y Precios'!$B$14:$B$64,MATCH($B99,'4. Costeo y Precios'!$A$14:$A$64,0)),"")</f>
        <v/>
      </c>
      <c r="D99" s="24"/>
      <c r="E99" s="21"/>
      <c r="F99" s="22"/>
      <c r="G99" s="31" t="str">
        <f aca="false">IF($B99="","",E99*F99)</f>
        <v/>
      </c>
      <c r="H99" s="40" t="n">
        <f aca="false">IFERROR(INDEX('4. Costeo y Precios'!$P$14:$P$64,MATCH($B99,'4. Costeo y Precios'!$A$14:$A$64,0)),0)</f>
        <v>0</v>
      </c>
      <c r="I99" s="31" t="str">
        <f aca="false">IF($B99="","",E99*H99)</f>
        <v/>
      </c>
      <c r="J99" s="52"/>
      <c r="K99" s="31" t="str">
        <f aca="false">IF($B99="","",G99*J99)</f>
        <v/>
      </c>
      <c r="L99" s="42" t="str">
        <f aca="false">IF($B99="","",G99-I99-K99)</f>
        <v/>
      </c>
      <c r="M99" s="43" t="str">
        <f aca="false">IFERROR(L99/G99,"")</f>
        <v/>
      </c>
      <c r="N99" s="51"/>
    </row>
    <row r="100" customFormat="false" ht="15" hidden="false" customHeight="false" outlineLevel="0" collapsed="false">
      <c r="A100" s="25"/>
      <c r="B100" s="21"/>
      <c r="C100" s="50" t="str">
        <f aca="false">IFERROR(INDEX('4. Costeo y Precios'!$B$14:$B$64,MATCH($B100,'4. Costeo y Precios'!$A$14:$A$64,0)),"")</f>
        <v/>
      </c>
      <c r="D100" s="24"/>
      <c r="E100" s="21"/>
      <c r="F100" s="22"/>
      <c r="G100" s="31" t="str">
        <f aca="false">IF($B100="","",E100*F100)</f>
        <v/>
      </c>
      <c r="H100" s="40" t="n">
        <f aca="false">IFERROR(INDEX('4. Costeo y Precios'!$P$14:$P$64,MATCH($B100,'4. Costeo y Precios'!$A$14:$A$64,0)),0)</f>
        <v>0</v>
      </c>
      <c r="I100" s="31" t="str">
        <f aca="false">IF($B100="","",E100*H100)</f>
        <v/>
      </c>
      <c r="J100" s="52"/>
      <c r="K100" s="31" t="str">
        <f aca="false">IF($B100="","",G100*J100)</f>
        <v/>
      </c>
      <c r="L100" s="42" t="str">
        <f aca="false">IF($B100="","",G100-I100-K100)</f>
        <v/>
      </c>
      <c r="M100" s="43" t="str">
        <f aca="false">IFERROR(L100/G100,"")</f>
        <v/>
      </c>
      <c r="N100" s="51"/>
    </row>
    <row r="101" customFormat="false" ht="15" hidden="false" customHeight="false" outlineLevel="0" collapsed="false">
      <c r="A101" s="25"/>
      <c r="B101" s="21"/>
      <c r="C101" s="50" t="str">
        <f aca="false">IFERROR(INDEX('4. Costeo y Precios'!$B$14:$B$64,MATCH($B101,'4. Costeo y Precios'!$A$14:$A$64,0)),"")</f>
        <v/>
      </c>
      <c r="D101" s="24"/>
      <c r="E101" s="21"/>
      <c r="F101" s="22"/>
      <c r="G101" s="31" t="str">
        <f aca="false">IF($B101="","",E101*F101)</f>
        <v/>
      </c>
      <c r="H101" s="40" t="n">
        <f aca="false">IFERROR(INDEX('4. Costeo y Precios'!$P$14:$P$64,MATCH($B101,'4. Costeo y Precios'!$A$14:$A$64,0)),0)</f>
        <v>0</v>
      </c>
      <c r="I101" s="31" t="str">
        <f aca="false">IF($B101="","",E101*H101)</f>
        <v/>
      </c>
      <c r="J101" s="52"/>
      <c r="K101" s="31" t="str">
        <f aca="false">IF($B101="","",G101*J101)</f>
        <v/>
      </c>
      <c r="L101" s="42" t="str">
        <f aca="false">IF($B101="","",G101-I101-K101)</f>
        <v/>
      </c>
      <c r="M101" s="43" t="str">
        <f aca="false">IFERROR(L101/G101,"")</f>
        <v/>
      </c>
      <c r="N101" s="51"/>
    </row>
    <row r="102" customFormat="false" ht="15" hidden="false" customHeight="false" outlineLevel="0" collapsed="false">
      <c r="A102" s="25"/>
      <c r="B102" s="21"/>
      <c r="C102" s="50" t="str">
        <f aca="false">IFERROR(INDEX('4. Costeo y Precios'!$B$14:$B$64,MATCH($B102,'4. Costeo y Precios'!$A$14:$A$64,0)),"")</f>
        <v/>
      </c>
      <c r="D102" s="24"/>
      <c r="E102" s="21"/>
      <c r="F102" s="22"/>
      <c r="G102" s="31" t="str">
        <f aca="false">IF($B102="","",E102*F102)</f>
        <v/>
      </c>
      <c r="H102" s="40" t="n">
        <f aca="false">IFERROR(INDEX('4. Costeo y Precios'!$P$14:$P$64,MATCH($B102,'4. Costeo y Precios'!$A$14:$A$64,0)),0)</f>
        <v>0</v>
      </c>
      <c r="I102" s="31" t="str">
        <f aca="false">IF($B102="","",E102*H102)</f>
        <v/>
      </c>
      <c r="J102" s="52"/>
      <c r="K102" s="31" t="str">
        <f aca="false">IF($B102="","",G102*J102)</f>
        <v/>
      </c>
      <c r="L102" s="42" t="str">
        <f aca="false">IF($B102="","",G102-I102-K102)</f>
        <v/>
      </c>
      <c r="M102" s="43" t="str">
        <f aca="false">IFERROR(L102/G102,"")</f>
        <v/>
      </c>
      <c r="N102" s="51"/>
    </row>
    <row r="103" customFormat="false" ht="15" hidden="false" customHeight="false" outlineLevel="0" collapsed="false">
      <c r="A103" s="25"/>
      <c r="B103" s="21"/>
      <c r="C103" s="50" t="str">
        <f aca="false">IFERROR(INDEX('4. Costeo y Precios'!$B$14:$B$64,MATCH($B103,'4. Costeo y Precios'!$A$14:$A$64,0)),"")</f>
        <v/>
      </c>
      <c r="D103" s="24"/>
      <c r="E103" s="21"/>
      <c r="F103" s="22"/>
      <c r="G103" s="31" t="str">
        <f aca="false">IF($B103="","",E103*F103)</f>
        <v/>
      </c>
      <c r="H103" s="40" t="n">
        <f aca="false">IFERROR(INDEX('4. Costeo y Precios'!$P$14:$P$64,MATCH($B103,'4. Costeo y Precios'!$A$14:$A$64,0)),0)</f>
        <v>0</v>
      </c>
      <c r="I103" s="31" t="str">
        <f aca="false">IF($B103="","",E103*H103)</f>
        <v/>
      </c>
      <c r="J103" s="52"/>
      <c r="K103" s="31" t="str">
        <f aca="false">IF($B103="","",G103*J103)</f>
        <v/>
      </c>
      <c r="L103" s="42" t="str">
        <f aca="false">IF($B103="","",G103-I103-K103)</f>
        <v/>
      </c>
      <c r="M103" s="43" t="str">
        <f aca="false">IFERROR(L103/G103,"")</f>
        <v/>
      </c>
      <c r="N103" s="51"/>
    </row>
    <row r="104" customFormat="false" ht="15" hidden="false" customHeight="false" outlineLevel="0" collapsed="false">
      <c r="A104" s="25"/>
      <c r="B104" s="21"/>
      <c r="C104" s="50" t="str">
        <f aca="false">IFERROR(INDEX('4. Costeo y Precios'!$B$14:$B$64,MATCH($B104,'4. Costeo y Precios'!$A$14:$A$64,0)),"")</f>
        <v/>
      </c>
      <c r="D104" s="24"/>
      <c r="E104" s="21"/>
      <c r="F104" s="22"/>
      <c r="G104" s="31" t="str">
        <f aca="false">IF($B104="","",E104*F104)</f>
        <v/>
      </c>
      <c r="H104" s="40" t="n">
        <f aca="false">IFERROR(INDEX('4. Costeo y Precios'!$P$14:$P$64,MATCH($B104,'4. Costeo y Precios'!$A$14:$A$64,0)),0)</f>
        <v>0</v>
      </c>
      <c r="I104" s="31" t="str">
        <f aca="false">IF($B104="","",E104*H104)</f>
        <v/>
      </c>
      <c r="J104" s="52"/>
      <c r="K104" s="31" t="str">
        <f aca="false">IF($B104="","",G104*J104)</f>
        <v/>
      </c>
      <c r="L104" s="42" t="str">
        <f aca="false">IF($B104="","",G104-I104-K104)</f>
        <v/>
      </c>
      <c r="M104" s="43" t="str">
        <f aca="false">IFERROR(L104/G104,"")</f>
        <v/>
      </c>
      <c r="N104" s="51"/>
    </row>
    <row r="105" customFormat="false" ht="15" hidden="false" customHeight="false" outlineLevel="0" collapsed="false">
      <c r="A105" s="25"/>
      <c r="B105" s="21"/>
      <c r="C105" s="50" t="str">
        <f aca="false">IFERROR(INDEX('4. Costeo y Precios'!$B$14:$B$64,MATCH($B105,'4. Costeo y Precios'!$A$14:$A$64,0)),"")</f>
        <v/>
      </c>
      <c r="D105" s="24"/>
      <c r="E105" s="21"/>
      <c r="F105" s="22"/>
      <c r="G105" s="31" t="str">
        <f aca="false">IF($B105="","",E105*F105)</f>
        <v/>
      </c>
      <c r="H105" s="40" t="n">
        <f aca="false">IFERROR(INDEX('4. Costeo y Precios'!$P$14:$P$64,MATCH($B105,'4. Costeo y Precios'!$A$14:$A$64,0)),0)</f>
        <v>0</v>
      </c>
      <c r="I105" s="31" t="str">
        <f aca="false">IF($B105="","",E105*H105)</f>
        <v/>
      </c>
      <c r="J105" s="52"/>
      <c r="K105" s="31" t="str">
        <f aca="false">IF($B105="","",G105*J105)</f>
        <v/>
      </c>
      <c r="L105" s="42" t="str">
        <f aca="false">IF($B105="","",G105-I105-K105)</f>
        <v/>
      </c>
      <c r="M105" s="43" t="str">
        <f aca="false">IFERROR(L105/G105,"")</f>
        <v/>
      </c>
      <c r="N105" s="51"/>
    </row>
    <row r="106" customFormat="false" ht="15" hidden="false" customHeight="false" outlineLevel="0" collapsed="false">
      <c r="A106" s="25"/>
      <c r="B106" s="21"/>
      <c r="C106" s="50" t="str">
        <f aca="false">IFERROR(INDEX('4. Costeo y Precios'!$B$14:$B$64,MATCH($B106,'4. Costeo y Precios'!$A$14:$A$64,0)),"")</f>
        <v/>
      </c>
      <c r="D106" s="24"/>
      <c r="E106" s="21"/>
      <c r="F106" s="22"/>
      <c r="G106" s="31" t="str">
        <f aca="false">IF($B106="","",E106*F106)</f>
        <v/>
      </c>
      <c r="H106" s="40" t="n">
        <f aca="false">IFERROR(INDEX('4. Costeo y Precios'!$P$14:$P$64,MATCH($B106,'4. Costeo y Precios'!$A$14:$A$64,0)),0)</f>
        <v>0</v>
      </c>
      <c r="I106" s="31" t="str">
        <f aca="false">IF($B106="","",E106*H106)</f>
        <v/>
      </c>
      <c r="J106" s="52"/>
      <c r="K106" s="31" t="str">
        <f aca="false">IF($B106="","",G106*J106)</f>
        <v/>
      </c>
      <c r="L106" s="42" t="str">
        <f aca="false">IF($B106="","",G106-I106-K106)</f>
        <v/>
      </c>
      <c r="M106" s="43" t="str">
        <f aca="false">IFERROR(L106/G106,"")</f>
        <v/>
      </c>
      <c r="N106" s="51"/>
    </row>
    <row r="107" customFormat="false" ht="15" hidden="false" customHeight="false" outlineLevel="0" collapsed="false">
      <c r="A107" s="25"/>
      <c r="B107" s="21"/>
      <c r="C107" s="50" t="str">
        <f aca="false">IFERROR(INDEX('4. Costeo y Precios'!$B$14:$B$64,MATCH($B107,'4. Costeo y Precios'!$A$14:$A$64,0)),"")</f>
        <v/>
      </c>
      <c r="D107" s="24"/>
      <c r="E107" s="21"/>
      <c r="F107" s="22"/>
      <c r="G107" s="31" t="str">
        <f aca="false">IF($B107="","",E107*F107)</f>
        <v/>
      </c>
      <c r="H107" s="40" t="n">
        <f aca="false">IFERROR(INDEX('4. Costeo y Precios'!$P$14:$P$64,MATCH($B107,'4. Costeo y Precios'!$A$14:$A$64,0)),0)</f>
        <v>0</v>
      </c>
      <c r="I107" s="31" t="str">
        <f aca="false">IF($B107="","",E107*H107)</f>
        <v/>
      </c>
      <c r="J107" s="52"/>
      <c r="K107" s="31" t="str">
        <f aca="false">IF($B107="","",G107*J107)</f>
        <v/>
      </c>
      <c r="L107" s="42" t="str">
        <f aca="false">IF($B107="","",G107-I107-K107)</f>
        <v/>
      </c>
      <c r="M107" s="43" t="str">
        <f aca="false">IFERROR(L107/G107,"")</f>
        <v/>
      </c>
      <c r="N107" s="51"/>
    </row>
    <row r="108" customFormat="false" ht="15" hidden="false" customHeight="false" outlineLevel="0" collapsed="false">
      <c r="A108" s="25"/>
      <c r="B108" s="21"/>
      <c r="C108" s="50" t="str">
        <f aca="false">IFERROR(INDEX('4. Costeo y Precios'!$B$14:$B$64,MATCH($B108,'4. Costeo y Precios'!$A$14:$A$64,0)),"")</f>
        <v/>
      </c>
      <c r="D108" s="24"/>
      <c r="E108" s="21"/>
      <c r="F108" s="22"/>
      <c r="G108" s="31" t="str">
        <f aca="false">IF($B108="","",E108*F108)</f>
        <v/>
      </c>
      <c r="H108" s="40" t="n">
        <f aca="false">IFERROR(INDEX('4. Costeo y Precios'!$P$14:$P$64,MATCH($B108,'4. Costeo y Precios'!$A$14:$A$64,0)),0)</f>
        <v>0</v>
      </c>
      <c r="I108" s="31" t="str">
        <f aca="false">IF($B108="","",E108*H108)</f>
        <v/>
      </c>
      <c r="J108" s="52"/>
      <c r="K108" s="31" t="str">
        <f aca="false">IF($B108="","",G108*J108)</f>
        <v/>
      </c>
      <c r="L108" s="42" t="str">
        <f aca="false">IF($B108="","",G108-I108-K108)</f>
        <v/>
      </c>
      <c r="M108" s="43" t="str">
        <f aca="false">IFERROR(L108/G108,"")</f>
        <v/>
      </c>
      <c r="N108" s="51"/>
    </row>
    <row r="109" customFormat="false" ht="15" hidden="false" customHeight="false" outlineLevel="0" collapsed="false">
      <c r="A109" s="25"/>
      <c r="B109" s="21"/>
      <c r="C109" s="50" t="str">
        <f aca="false">IFERROR(INDEX('4. Costeo y Precios'!$B$14:$B$64,MATCH($B109,'4. Costeo y Precios'!$A$14:$A$64,0)),"")</f>
        <v/>
      </c>
      <c r="D109" s="24"/>
      <c r="E109" s="21"/>
      <c r="F109" s="22"/>
      <c r="G109" s="31" t="str">
        <f aca="false">IF($B109="","",E109*F109)</f>
        <v/>
      </c>
      <c r="H109" s="40" t="n">
        <f aca="false">IFERROR(INDEX('4. Costeo y Precios'!$P$14:$P$64,MATCH($B109,'4. Costeo y Precios'!$A$14:$A$64,0)),0)</f>
        <v>0</v>
      </c>
      <c r="I109" s="31" t="str">
        <f aca="false">IF($B109="","",E109*H109)</f>
        <v/>
      </c>
      <c r="J109" s="52"/>
      <c r="K109" s="31" t="str">
        <f aca="false">IF($B109="","",G109*J109)</f>
        <v/>
      </c>
      <c r="L109" s="42" t="str">
        <f aca="false">IF($B109="","",G109-I109-K109)</f>
        <v/>
      </c>
      <c r="M109" s="43" t="str">
        <f aca="false">IFERROR(L109/G109,"")</f>
        <v/>
      </c>
      <c r="N109" s="51"/>
    </row>
    <row r="110" customFormat="false" ht="15" hidden="false" customHeight="false" outlineLevel="0" collapsed="false">
      <c r="A110" s="25"/>
      <c r="B110" s="21"/>
      <c r="C110" s="50" t="str">
        <f aca="false">IFERROR(INDEX('4. Costeo y Precios'!$B$14:$B$64,MATCH($B110,'4. Costeo y Precios'!$A$14:$A$64,0)),"")</f>
        <v/>
      </c>
      <c r="D110" s="24"/>
      <c r="E110" s="21"/>
      <c r="F110" s="22"/>
      <c r="G110" s="31" t="str">
        <f aca="false">IF($B110="","",E110*F110)</f>
        <v/>
      </c>
      <c r="H110" s="40" t="n">
        <f aca="false">IFERROR(INDEX('4. Costeo y Precios'!$P$14:$P$64,MATCH($B110,'4. Costeo y Precios'!$A$14:$A$64,0)),0)</f>
        <v>0</v>
      </c>
      <c r="I110" s="31" t="str">
        <f aca="false">IF($B110="","",E110*H110)</f>
        <v/>
      </c>
      <c r="J110" s="52"/>
      <c r="K110" s="31" t="str">
        <f aca="false">IF($B110="","",G110*J110)</f>
        <v/>
      </c>
      <c r="L110" s="42" t="str">
        <f aca="false">IF($B110="","",G110-I110-K110)</f>
        <v/>
      </c>
      <c r="M110" s="43" t="str">
        <f aca="false">IFERROR(L110/G110,"")</f>
        <v/>
      </c>
      <c r="N110" s="51"/>
    </row>
    <row r="111" customFormat="false" ht="15" hidden="false" customHeight="false" outlineLevel="0" collapsed="false">
      <c r="A111" s="25"/>
      <c r="B111" s="21"/>
      <c r="C111" s="50" t="str">
        <f aca="false">IFERROR(INDEX('4. Costeo y Precios'!$B$14:$B$64,MATCH($B111,'4. Costeo y Precios'!$A$14:$A$64,0)),"")</f>
        <v/>
      </c>
      <c r="D111" s="24"/>
      <c r="E111" s="21"/>
      <c r="F111" s="22"/>
      <c r="G111" s="31" t="str">
        <f aca="false">IF($B111="","",E111*F111)</f>
        <v/>
      </c>
      <c r="H111" s="40" t="n">
        <f aca="false">IFERROR(INDEX('4. Costeo y Precios'!$P$14:$P$64,MATCH($B111,'4. Costeo y Precios'!$A$14:$A$64,0)),0)</f>
        <v>0</v>
      </c>
      <c r="I111" s="31" t="str">
        <f aca="false">IF($B111="","",E111*H111)</f>
        <v/>
      </c>
      <c r="J111" s="52"/>
      <c r="K111" s="31" t="str">
        <f aca="false">IF($B111="","",G111*J111)</f>
        <v/>
      </c>
      <c r="L111" s="42" t="str">
        <f aca="false">IF($B111="","",G111-I111-K111)</f>
        <v/>
      </c>
      <c r="M111" s="43" t="str">
        <f aca="false">IFERROR(L111/G111,"")</f>
        <v/>
      </c>
      <c r="N111" s="51"/>
    </row>
    <row r="112" customFormat="false" ht="15" hidden="false" customHeight="false" outlineLevel="0" collapsed="false">
      <c r="A112" s="25"/>
      <c r="B112" s="21"/>
      <c r="C112" s="50" t="str">
        <f aca="false">IFERROR(INDEX('4. Costeo y Precios'!$B$14:$B$64,MATCH($B112,'4. Costeo y Precios'!$A$14:$A$64,0)),"")</f>
        <v/>
      </c>
      <c r="D112" s="24"/>
      <c r="E112" s="21"/>
      <c r="F112" s="22"/>
      <c r="G112" s="31" t="str">
        <f aca="false">IF($B112="","",E112*F112)</f>
        <v/>
      </c>
      <c r="H112" s="40" t="n">
        <f aca="false">IFERROR(INDEX('4. Costeo y Precios'!$P$14:$P$64,MATCH($B112,'4. Costeo y Precios'!$A$14:$A$64,0)),0)</f>
        <v>0</v>
      </c>
      <c r="I112" s="31" t="str">
        <f aca="false">IF($B112="","",E112*H112)</f>
        <v/>
      </c>
      <c r="J112" s="52"/>
      <c r="K112" s="31" t="str">
        <f aca="false">IF($B112="","",G112*J112)</f>
        <v/>
      </c>
      <c r="L112" s="42" t="str">
        <f aca="false">IF($B112="","",G112-I112-K112)</f>
        <v/>
      </c>
      <c r="M112" s="43" t="str">
        <f aca="false">IFERROR(L112/G112,"")</f>
        <v/>
      </c>
      <c r="N112" s="51"/>
    </row>
    <row r="113" customFormat="false" ht="15" hidden="false" customHeight="false" outlineLevel="0" collapsed="false">
      <c r="A113" s="25"/>
      <c r="B113" s="21"/>
      <c r="C113" s="50" t="str">
        <f aca="false">IFERROR(INDEX('4. Costeo y Precios'!$B$14:$B$64,MATCH($B113,'4. Costeo y Precios'!$A$14:$A$64,0)),"")</f>
        <v/>
      </c>
      <c r="D113" s="24"/>
      <c r="E113" s="21"/>
      <c r="F113" s="22"/>
      <c r="G113" s="31" t="str">
        <f aca="false">IF($B113="","",E113*F113)</f>
        <v/>
      </c>
      <c r="H113" s="40" t="n">
        <f aca="false">IFERROR(INDEX('4. Costeo y Precios'!$P$14:$P$64,MATCH($B113,'4. Costeo y Precios'!$A$14:$A$64,0)),0)</f>
        <v>0</v>
      </c>
      <c r="I113" s="31" t="str">
        <f aca="false">IF($B113="","",E113*H113)</f>
        <v/>
      </c>
      <c r="J113" s="52"/>
      <c r="K113" s="31" t="str">
        <f aca="false">IF($B113="","",G113*J113)</f>
        <v/>
      </c>
      <c r="L113" s="42" t="str">
        <f aca="false">IF($B113="","",G113-I113-K113)</f>
        <v/>
      </c>
      <c r="M113" s="43" t="str">
        <f aca="false">IFERROR(L113/G113,"")</f>
        <v/>
      </c>
      <c r="N113" s="51"/>
    </row>
    <row r="114" customFormat="false" ht="15" hidden="false" customHeight="false" outlineLevel="0" collapsed="false">
      <c r="A114" s="25"/>
      <c r="B114" s="21"/>
      <c r="C114" s="50" t="str">
        <f aca="false">IFERROR(INDEX('4. Costeo y Precios'!$B$14:$B$64,MATCH($B114,'4. Costeo y Precios'!$A$14:$A$64,0)),"")</f>
        <v/>
      </c>
      <c r="D114" s="24"/>
      <c r="E114" s="21"/>
      <c r="F114" s="22"/>
      <c r="G114" s="31" t="str">
        <f aca="false">IF($B114="","",E114*F114)</f>
        <v/>
      </c>
      <c r="H114" s="40" t="n">
        <f aca="false">IFERROR(INDEX('4. Costeo y Precios'!$P$14:$P$64,MATCH($B114,'4. Costeo y Precios'!$A$14:$A$64,0)),0)</f>
        <v>0</v>
      </c>
      <c r="I114" s="31" t="str">
        <f aca="false">IF($B114="","",E114*H114)</f>
        <v/>
      </c>
      <c r="J114" s="52"/>
      <c r="K114" s="31" t="str">
        <f aca="false">IF($B114="","",G114*J114)</f>
        <v/>
      </c>
      <c r="L114" s="42" t="str">
        <f aca="false">IF($B114="","",G114-I114-K114)</f>
        <v/>
      </c>
      <c r="M114" s="43" t="str">
        <f aca="false">IFERROR(L114/G114,"")</f>
        <v/>
      </c>
      <c r="N114" s="51"/>
    </row>
    <row r="115" customFormat="false" ht="15" hidden="false" customHeight="false" outlineLevel="0" collapsed="false">
      <c r="A115" s="25"/>
      <c r="B115" s="21"/>
      <c r="C115" s="50" t="str">
        <f aca="false">IFERROR(INDEX('4. Costeo y Precios'!$B$14:$B$64,MATCH($B115,'4. Costeo y Precios'!$A$14:$A$64,0)),"")</f>
        <v/>
      </c>
      <c r="D115" s="24"/>
      <c r="E115" s="21"/>
      <c r="F115" s="22"/>
      <c r="G115" s="31" t="str">
        <f aca="false">IF($B115="","",E115*F115)</f>
        <v/>
      </c>
      <c r="H115" s="40" t="n">
        <f aca="false">IFERROR(INDEX('4. Costeo y Precios'!$P$14:$P$64,MATCH($B115,'4. Costeo y Precios'!$A$14:$A$64,0)),0)</f>
        <v>0</v>
      </c>
      <c r="I115" s="31" t="str">
        <f aca="false">IF($B115="","",E115*H115)</f>
        <v/>
      </c>
      <c r="J115" s="52"/>
      <c r="K115" s="31" t="str">
        <f aca="false">IF($B115="","",G115*J115)</f>
        <v/>
      </c>
      <c r="L115" s="42" t="str">
        <f aca="false">IF($B115="","",G115-I115-K115)</f>
        <v/>
      </c>
      <c r="M115" s="43" t="str">
        <f aca="false">IFERROR(L115/G115,"")</f>
        <v/>
      </c>
      <c r="N115" s="51"/>
    </row>
    <row r="116" customFormat="false" ht="15" hidden="false" customHeight="false" outlineLevel="0" collapsed="false">
      <c r="A116" s="25"/>
      <c r="B116" s="21"/>
      <c r="C116" s="50" t="str">
        <f aca="false">IFERROR(INDEX('4. Costeo y Precios'!$B$14:$B$64,MATCH($B116,'4. Costeo y Precios'!$A$14:$A$64,0)),"")</f>
        <v/>
      </c>
      <c r="D116" s="24"/>
      <c r="E116" s="21"/>
      <c r="F116" s="22"/>
      <c r="G116" s="31" t="str">
        <f aca="false">IF($B116="","",E116*F116)</f>
        <v/>
      </c>
      <c r="H116" s="40" t="n">
        <f aca="false">IFERROR(INDEX('4. Costeo y Precios'!$P$14:$P$64,MATCH($B116,'4. Costeo y Precios'!$A$14:$A$64,0)),0)</f>
        <v>0</v>
      </c>
      <c r="I116" s="31" t="str">
        <f aca="false">IF($B116="","",E116*H116)</f>
        <v/>
      </c>
      <c r="J116" s="52"/>
      <c r="K116" s="31" t="str">
        <f aca="false">IF($B116="","",G116*J116)</f>
        <v/>
      </c>
      <c r="L116" s="42" t="str">
        <f aca="false">IF($B116="","",G116-I116-K116)</f>
        <v/>
      </c>
      <c r="M116" s="43" t="str">
        <f aca="false">IFERROR(L116/G116,"")</f>
        <v/>
      </c>
      <c r="N116" s="51"/>
    </row>
    <row r="117" customFormat="false" ht="15" hidden="false" customHeight="false" outlineLevel="0" collapsed="false">
      <c r="A117" s="25"/>
      <c r="B117" s="21"/>
      <c r="C117" s="50" t="str">
        <f aca="false">IFERROR(INDEX('4. Costeo y Precios'!$B$14:$B$64,MATCH($B117,'4. Costeo y Precios'!$A$14:$A$64,0)),"")</f>
        <v/>
      </c>
      <c r="D117" s="24"/>
      <c r="E117" s="21"/>
      <c r="F117" s="22"/>
      <c r="G117" s="31" t="str">
        <f aca="false">IF($B117="","",E117*F117)</f>
        <v/>
      </c>
      <c r="H117" s="40" t="n">
        <f aca="false">IFERROR(INDEX('4. Costeo y Precios'!$P$14:$P$64,MATCH($B117,'4. Costeo y Precios'!$A$14:$A$64,0)),0)</f>
        <v>0</v>
      </c>
      <c r="I117" s="31" t="str">
        <f aca="false">IF($B117="","",E117*H117)</f>
        <v/>
      </c>
      <c r="J117" s="52"/>
      <c r="K117" s="31" t="str">
        <f aca="false">IF($B117="","",G117*J117)</f>
        <v/>
      </c>
      <c r="L117" s="42" t="str">
        <f aca="false">IF($B117="","",G117-I117-K117)</f>
        <v/>
      </c>
      <c r="M117" s="43" t="str">
        <f aca="false">IFERROR(L117/G117,"")</f>
        <v/>
      </c>
      <c r="N117" s="51"/>
    </row>
    <row r="118" customFormat="false" ht="15" hidden="false" customHeight="false" outlineLevel="0" collapsed="false">
      <c r="A118" s="25"/>
      <c r="B118" s="21"/>
      <c r="C118" s="50" t="str">
        <f aca="false">IFERROR(INDEX('4. Costeo y Precios'!$B$14:$B$64,MATCH($B118,'4. Costeo y Precios'!$A$14:$A$64,0)),"")</f>
        <v/>
      </c>
      <c r="D118" s="24"/>
      <c r="E118" s="21"/>
      <c r="F118" s="22"/>
      <c r="G118" s="31" t="str">
        <f aca="false">IF($B118="","",E118*F118)</f>
        <v/>
      </c>
      <c r="H118" s="40" t="n">
        <f aca="false">IFERROR(INDEX('4. Costeo y Precios'!$P$14:$P$64,MATCH($B118,'4. Costeo y Precios'!$A$14:$A$64,0)),0)</f>
        <v>0</v>
      </c>
      <c r="I118" s="31" t="str">
        <f aca="false">IF($B118="","",E118*H118)</f>
        <v/>
      </c>
      <c r="J118" s="52"/>
      <c r="K118" s="31" t="str">
        <f aca="false">IF($B118="","",G118*J118)</f>
        <v/>
      </c>
      <c r="L118" s="42" t="str">
        <f aca="false">IF($B118="","",G118-I118-K118)</f>
        <v/>
      </c>
      <c r="M118" s="43" t="str">
        <f aca="false">IFERROR(L118/G118,"")</f>
        <v/>
      </c>
      <c r="N118" s="51"/>
    </row>
    <row r="119" customFormat="false" ht="15" hidden="false" customHeight="false" outlineLevel="0" collapsed="false">
      <c r="A119" s="25"/>
      <c r="B119" s="21"/>
      <c r="C119" s="50" t="str">
        <f aca="false">IFERROR(INDEX('4. Costeo y Precios'!$B$14:$B$64,MATCH($B119,'4. Costeo y Precios'!$A$14:$A$64,0)),"")</f>
        <v/>
      </c>
      <c r="D119" s="24"/>
      <c r="E119" s="21"/>
      <c r="F119" s="22"/>
      <c r="G119" s="31" t="str">
        <f aca="false">IF($B119="","",E119*F119)</f>
        <v/>
      </c>
      <c r="H119" s="40" t="n">
        <f aca="false">IFERROR(INDEX('4. Costeo y Precios'!$P$14:$P$64,MATCH($B119,'4. Costeo y Precios'!$A$14:$A$64,0)),0)</f>
        <v>0</v>
      </c>
      <c r="I119" s="31" t="str">
        <f aca="false">IF($B119="","",E119*H119)</f>
        <v/>
      </c>
      <c r="J119" s="52"/>
      <c r="K119" s="31" t="str">
        <f aca="false">IF($B119="","",G119*J119)</f>
        <v/>
      </c>
      <c r="L119" s="42" t="str">
        <f aca="false">IF($B119="","",G119-I119-K119)</f>
        <v/>
      </c>
      <c r="M119" s="43" t="str">
        <f aca="false">IFERROR(L119/G119,"")</f>
        <v/>
      </c>
      <c r="N119" s="51"/>
    </row>
    <row r="120" customFormat="false" ht="15" hidden="false" customHeight="false" outlineLevel="0" collapsed="false">
      <c r="A120" s="25"/>
      <c r="B120" s="21"/>
      <c r="C120" s="50" t="str">
        <f aca="false">IFERROR(INDEX('4. Costeo y Precios'!$B$14:$B$64,MATCH($B120,'4. Costeo y Precios'!$A$14:$A$64,0)),"")</f>
        <v/>
      </c>
      <c r="D120" s="24"/>
      <c r="E120" s="21"/>
      <c r="F120" s="22"/>
      <c r="G120" s="31" t="str">
        <f aca="false">IF($B120="","",E120*F120)</f>
        <v/>
      </c>
      <c r="H120" s="40" t="n">
        <f aca="false">IFERROR(INDEX('4. Costeo y Precios'!$P$14:$P$64,MATCH($B120,'4. Costeo y Precios'!$A$14:$A$64,0)),0)</f>
        <v>0</v>
      </c>
      <c r="I120" s="31" t="str">
        <f aca="false">IF($B120="","",E120*H120)</f>
        <v/>
      </c>
      <c r="J120" s="52"/>
      <c r="K120" s="31" t="str">
        <f aca="false">IF($B120="","",G120*J120)</f>
        <v/>
      </c>
      <c r="L120" s="42" t="str">
        <f aca="false">IF($B120="","",G120-I120-K120)</f>
        <v/>
      </c>
      <c r="M120" s="43" t="str">
        <f aca="false">IFERROR(L120/G120,"")</f>
        <v/>
      </c>
      <c r="N120" s="51"/>
    </row>
    <row r="121" customFormat="false" ht="15" hidden="false" customHeight="false" outlineLevel="0" collapsed="false">
      <c r="A121" s="25"/>
      <c r="B121" s="21"/>
      <c r="C121" s="50" t="str">
        <f aca="false">IFERROR(INDEX('4. Costeo y Precios'!$B$14:$B$64,MATCH($B121,'4. Costeo y Precios'!$A$14:$A$64,0)),"")</f>
        <v/>
      </c>
      <c r="D121" s="24"/>
      <c r="E121" s="21"/>
      <c r="F121" s="22"/>
      <c r="G121" s="31" t="str">
        <f aca="false">IF($B121="","",E121*F121)</f>
        <v/>
      </c>
      <c r="H121" s="40" t="n">
        <f aca="false">IFERROR(INDEX('4. Costeo y Precios'!$P$14:$P$64,MATCH($B121,'4. Costeo y Precios'!$A$14:$A$64,0)),0)</f>
        <v>0</v>
      </c>
      <c r="I121" s="31" t="str">
        <f aca="false">IF($B121="","",E121*H121)</f>
        <v/>
      </c>
      <c r="J121" s="52"/>
      <c r="K121" s="31" t="str">
        <f aca="false">IF($B121="","",G121*J121)</f>
        <v/>
      </c>
      <c r="L121" s="42" t="str">
        <f aca="false">IF($B121="","",G121-I121-K121)</f>
        <v/>
      </c>
      <c r="M121" s="43" t="str">
        <f aca="false">IFERROR(L121/G121,"")</f>
        <v/>
      </c>
      <c r="N121" s="51"/>
    </row>
    <row r="122" customFormat="false" ht="15" hidden="false" customHeight="false" outlineLevel="0" collapsed="false">
      <c r="A122" s="25"/>
      <c r="B122" s="21"/>
      <c r="C122" s="50" t="str">
        <f aca="false">IFERROR(INDEX('4. Costeo y Precios'!$B$14:$B$64,MATCH($B122,'4. Costeo y Precios'!$A$14:$A$64,0)),"")</f>
        <v/>
      </c>
      <c r="D122" s="24"/>
      <c r="E122" s="21"/>
      <c r="F122" s="22"/>
      <c r="G122" s="31" t="str">
        <f aca="false">IF($B122="","",E122*F122)</f>
        <v/>
      </c>
      <c r="H122" s="40" t="n">
        <f aca="false">IFERROR(INDEX('4. Costeo y Precios'!$P$14:$P$64,MATCH($B122,'4. Costeo y Precios'!$A$14:$A$64,0)),0)</f>
        <v>0</v>
      </c>
      <c r="I122" s="31" t="str">
        <f aca="false">IF($B122="","",E122*H122)</f>
        <v/>
      </c>
      <c r="J122" s="52"/>
      <c r="K122" s="31" t="str">
        <f aca="false">IF($B122="","",G122*J122)</f>
        <v/>
      </c>
      <c r="L122" s="42" t="str">
        <f aca="false">IF($B122="","",G122-I122-K122)</f>
        <v/>
      </c>
      <c r="M122" s="43" t="str">
        <f aca="false">IFERROR(L122/G122,"")</f>
        <v/>
      </c>
      <c r="N122" s="51"/>
    </row>
    <row r="123" customFormat="false" ht="15" hidden="false" customHeight="false" outlineLevel="0" collapsed="false">
      <c r="A123" s="25"/>
      <c r="B123" s="21"/>
      <c r="C123" s="50" t="str">
        <f aca="false">IFERROR(INDEX('4. Costeo y Precios'!$B$14:$B$64,MATCH($B123,'4. Costeo y Precios'!$A$14:$A$64,0)),"")</f>
        <v/>
      </c>
      <c r="D123" s="24"/>
      <c r="E123" s="21"/>
      <c r="F123" s="22"/>
      <c r="G123" s="31" t="str">
        <f aca="false">IF($B123="","",E123*F123)</f>
        <v/>
      </c>
      <c r="H123" s="40" t="n">
        <f aca="false">IFERROR(INDEX('4. Costeo y Precios'!$P$14:$P$64,MATCH($B123,'4. Costeo y Precios'!$A$14:$A$64,0)),0)</f>
        <v>0</v>
      </c>
      <c r="I123" s="31" t="str">
        <f aca="false">IF($B123="","",E123*H123)</f>
        <v/>
      </c>
      <c r="J123" s="52"/>
      <c r="K123" s="31" t="str">
        <f aca="false">IF($B123="","",G123*J123)</f>
        <v/>
      </c>
      <c r="L123" s="42" t="str">
        <f aca="false">IF($B123="","",G123-I123-K123)</f>
        <v/>
      </c>
      <c r="M123" s="43" t="str">
        <f aca="false">IFERROR(L123/G123,"")</f>
        <v/>
      </c>
      <c r="N123" s="51"/>
    </row>
    <row r="124" customFormat="false" ht="15" hidden="false" customHeight="false" outlineLevel="0" collapsed="false">
      <c r="A124" s="25"/>
      <c r="B124" s="21"/>
      <c r="C124" s="50" t="str">
        <f aca="false">IFERROR(INDEX('4. Costeo y Precios'!$B$14:$B$64,MATCH($B124,'4. Costeo y Precios'!$A$14:$A$64,0)),"")</f>
        <v/>
      </c>
      <c r="D124" s="24"/>
      <c r="E124" s="21"/>
      <c r="F124" s="22"/>
      <c r="G124" s="31" t="str">
        <f aca="false">IF($B124="","",E124*F124)</f>
        <v/>
      </c>
      <c r="H124" s="40" t="n">
        <f aca="false">IFERROR(INDEX('4. Costeo y Precios'!$P$14:$P$64,MATCH($B124,'4. Costeo y Precios'!$A$14:$A$64,0)),0)</f>
        <v>0</v>
      </c>
      <c r="I124" s="31" t="str">
        <f aca="false">IF($B124="","",E124*H124)</f>
        <v/>
      </c>
      <c r="J124" s="52"/>
      <c r="K124" s="31" t="str">
        <f aca="false">IF($B124="","",G124*J124)</f>
        <v/>
      </c>
      <c r="L124" s="42" t="str">
        <f aca="false">IF($B124="","",G124-I124-K124)</f>
        <v/>
      </c>
      <c r="M124" s="43" t="str">
        <f aca="false">IFERROR(L124/G124,"")</f>
        <v/>
      </c>
      <c r="N124" s="51"/>
    </row>
    <row r="125" customFormat="false" ht="15" hidden="false" customHeight="false" outlineLevel="0" collapsed="false">
      <c r="A125" s="25"/>
      <c r="B125" s="21"/>
      <c r="C125" s="50" t="str">
        <f aca="false">IFERROR(INDEX('4. Costeo y Precios'!$B$14:$B$64,MATCH($B125,'4. Costeo y Precios'!$A$14:$A$64,0)),"")</f>
        <v/>
      </c>
      <c r="D125" s="24"/>
      <c r="E125" s="21"/>
      <c r="F125" s="22"/>
      <c r="G125" s="31" t="str">
        <f aca="false">IF($B125="","",E125*F125)</f>
        <v/>
      </c>
      <c r="H125" s="40" t="n">
        <f aca="false">IFERROR(INDEX('4. Costeo y Precios'!$P$14:$P$64,MATCH($B125,'4. Costeo y Precios'!$A$14:$A$64,0)),0)</f>
        <v>0</v>
      </c>
      <c r="I125" s="31" t="str">
        <f aca="false">IF($B125="","",E125*H125)</f>
        <v/>
      </c>
      <c r="J125" s="52"/>
      <c r="K125" s="31" t="str">
        <f aca="false">IF($B125="","",G125*J125)</f>
        <v/>
      </c>
      <c r="L125" s="42" t="str">
        <f aca="false">IF($B125="","",G125-I125-K125)</f>
        <v/>
      </c>
      <c r="M125" s="43" t="str">
        <f aca="false">IFERROR(L125/G125,"")</f>
        <v/>
      </c>
      <c r="N125" s="51"/>
    </row>
    <row r="126" customFormat="false" ht="15" hidden="false" customHeight="false" outlineLevel="0" collapsed="false">
      <c r="A126" s="25"/>
      <c r="B126" s="21"/>
      <c r="C126" s="50" t="str">
        <f aca="false">IFERROR(INDEX('4. Costeo y Precios'!$B$14:$B$64,MATCH($B126,'4. Costeo y Precios'!$A$14:$A$64,0)),"")</f>
        <v/>
      </c>
      <c r="D126" s="24"/>
      <c r="E126" s="21"/>
      <c r="F126" s="22"/>
      <c r="G126" s="31" t="str">
        <f aca="false">IF($B126="","",E126*F126)</f>
        <v/>
      </c>
      <c r="H126" s="40" t="n">
        <f aca="false">IFERROR(INDEX('4. Costeo y Precios'!$P$14:$P$64,MATCH($B126,'4. Costeo y Precios'!$A$14:$A$64,0)),0)</f>
        <v>0</v>
      </c>
      <c r="I126" s="31" t="str">
        <f aca="false">IF($B126="","",E126*H126)</f>
        <v/>
      </c>
      <c r="J126" s="52"/>
      <c r="K126" s="31" t="str">
        <f aca="false">IF($B126="","",G126*J126)</f>
        <v/>
      </c>
      <c r="L126" s="42" t="str">
        <f aca="false">IF($B126="","",G126-I126-K126)</f>
        <v/>
      </c>
      <c r="M126" s="43" t="str">
        <f aca="false">IFERROR(L126/G126,"")</f>
        <v/>
      </c>
      <c r="N126" s="51"/>
    </row>
    <row r="127" customFormat="false" ht="15" hidden="false" customHeight="false" outlineLevel="0" collapsed="false">
      <c r="A127" s="25"/>
      <c r="B127" s="21"/>
      <c r="C127" s="50" t="str">
        <f aca="false">IFERROR(INDEX('4. Costeo y Precios'!$B$14:$B$64,MATCH($B127,'4. Costeo y Precios'!$A$14:$A$64,0)),"")</f>
        <v/>
      </c>
      <c r="D127" s="24"/>
      <c r="E127" s="21"/>
      <c r="F127" s="22"/>
      <c r="G127" s="31" t="str">
        <f aca="false">IF($B127="","",E127*F127)</f>
        <v/>
      </c>
      <c r="H127" s="40" t="n">
        <f aca="false">IFERROR(INDEX('4. Costeo y Precios'!$P$14:$P$64,MATCH($B127,'4. Costeo y Precios'!$A$14:$A$64,0)),0)</f>
        <v>0</v>
      </c>
      <c r="I127" s="31" t="str">
        <f aca="false">IF($B127="","",E127*H127)</f>
        <v/>
      </c>
      <c r="J127" s="52"/>
      <c r="K127" s="31" t="str">
        <f aca="false">IF($B127="","",G127*J127)</f>
        <v/>
      </c>
      <c r="L127" s="42" t="str">
        <f aca="false">IF($B127="","",G127-I127-K127)</f>
        <v/>
      </c>
      <c r="M127" s="43" t="str">
        <f aca="false">IFERROR(L127/G127,"")</f>
        <v/>
      </c>
      <c r="N127" s="51"/>
    </row>
    <row r="128" customFormat="false" ht="15" hidden="false" customHeight="false" outlineLevel="0" collapsed="false">
      <c r="A128" s="25"/>
      <c r="B128" s="21"/>
      <c r="C128" s="50" t="str">
        <f aca="false">IFERROR(INDEX('4. Costeo y Precios'!$B$14:$B$64,MATCH($B128,'4. Costeo y Precios'!$A$14:$A$64,0)),"")</f>
        <v/>
      </c>
      <c r="D128" s="24"/>
      <c r="E128" s="21"/>
      <c r="F128" s="22"/>
      <c r="G128" s="31" t="str">
        <f aca="false">IF($B128="","",E128*F128)</f>
        <v/>
      </c>
      <c r="H128" s="40" t="n">
        <f aca="false">IFERROR(INDEX('4. Costeo y Precios'!$P$14:$P$64,MATCH($B128,'4. Costeo y Precios'!$A$14:$A$64,0)),0)</f>
        <v>0</v>
      </c>
      <c r="I128" s="31" t="str">
        <f aca="false">IF($B128="","",E128*H128)</f>
        <v/>
      </c>
      <c r="J128" s="52"/>
      <c r="K128" s="31" t="str">
        <f aca="false">IF($B128="","",G128*J128)</f>
        <v/>
      </c>
      <c r="L128" s="42" t="str">
        <f aca="false">IF($B128="","",G128-I128-K128)</f>
        <v/>
      </c>
      <c r="M128" s="43" t="str">
        <f aca="false">IFERROR(L128/G128,"")</f>
        <v/>
      </c>
      <c r="N128" s="51"/>
    </row>
    <row r="129" customFormat="false" ht="15" hidden="false" customHeight="false" outlineLevel="0" collapsed="false">
      <c r="A129" s="25"/>
      <c r="B129" s="21"/>
      <c r="C129" s="50" t="str">
        <f aca="false">IFERROR(INDEX('4. Costeo y Precios'!$B$14:$B$64,MATCH($B129,'4. Costeo y Precios'!$A$14:$A$64,0)),"")</f>
        <v/>
      </c>
      <c r="D129" s="24"/>
      <c r="E129" s="21"/>
      <c r="F129" s="22"/>
      <c r="G129" s="31" t="str">
        <f aca="false">IF($B129="","",E129*F129)</f>
        <v/>
      </c>
      <c r="H129" s="40" t="n">
        <f aca="false">IFERROR(INDEX('4. Costeo y Precios'!$P$14:$P$64,MATCH($B129,'4. Costeo y Precios'!$A$14:$A$64,0)),0)</f>
        <v>0</v>
      </c>
      <c r="I129" s="31" t="str">
        <f aca="false">IF($B129="","",E129*H129)</f>
        <v/>
      </c>
      <c r="J129" s="52"/>
      <c r="K129" s="31" t="str">
        <f aca="false">IF($B129="","",G129*J129)</f>
        <v/>
      </c>
      <c r="L129" s="42" t="str">
        <f aca="false">IF($B129="","",G129-I129-K129)</f>
        <v/>
      </c>
      <c r="M129" s="43" t="str">
        <f aca="false">IFERROR(L129/G129,"")</f>
        <v/>
      </c>
      <c r="N129" s="51"/>
    </row>
    <row r="130" customFormat="false" ht="15" hidden="false" customHeight="false" outlineLevel="0" collapsed="false">
      <c r="A130" s="25"/>
      <c r="B130" s="21"/>
      <c r="C130" s="50" t="str">
        <f aca="false">IFERROR(INDEX('4. Costeo y Precios'!$B$14:$B$64,MATCH($B130,'4. Costeo y Precios'!$A$14:$A$64,0)),"")</f>
        <v/>
      </c>
      <c r="D130" s="24"/>
      <c r="E130" s="21"/>
      <c r="F130" s="22"/>
      <c r="G130" s="31" t="str">
        <f aca="false">IF($B130="","",E130*F130)</f>
        <v/>
      </c>
      <c r="H130" s="40" t="n">
        <f aca="false">IFERROR(INDEX('4. Costeo y Precios'!$P$14:$P$64,MATCH($B130,'4. Costeo y Precios'!$A$14:$A$64,0)),0)</f>
        <v>0</v>
      </c>
      <c r="I130" s="31" t="str">
        <f aca="false">IF($B130="","",E130*H130)</f>
        <v/>
      </c>
      <c r="J130" s="52"/>
      <c r="K130" s="31" t="str">
        <f aca="false">IF($B130="","",G130*J130)</f>
        <v/>
      </c>
      <c r="L130" s="42" t="str">
        <f aca="false">IF($B130="","",G130-I130-K130)</f>
        <v/>
      </c>
      <c r="M130" s="43" t="str">
        <f aca="false">IFERROR(L130/G130,"")</f>
        <v/>
      </c>
      <c r="N130" s="51"/>
    </row>
    <row r="131" customFormat="false" ht="15" hidden="false" customHeight="false" outlineLevel="0" collapsed="false">
      <c r="A131" s="25"/>
      <c r="B131" s="21"/>
      <c r="C131" s="50" t="str">
        <f aca="false">IFERROR(INDEX('4. Costeo y Precios'!$B$14:$B$64,MATCH($B131,'4. Costeo y Precios'!$A$14:$A$64,0)),"")</f>
        <v/>
      </c>
      <c r="D131" s="24"/>
      <c r="E131" s="21"/>
      <c r="F131" s="22"/>
      <c r="G131" s="31" t="str">
        <f aca="false">IF($B131="","",E131*F131)</f>
        <v/>
      </c>
      <c r="H131" s="40" t="n">
        <f aca="false">IFERROR(INDEX('4. Costeo y Precios'!$P$14:$P$64,MATCH($B131,'4. Costeo y Precios'!$A$14:$A$64,0)),0)</f>
        <v>0</v>
      </c>
      <c r="I131" s="31" t="str">
        <f aca="false">IF($B131="","",E131*H131)</f>
        <v/>
      </c>
      <c r="J131" s="52"/>
      <c r="K131" s="31" t="str">
        <f aca="false">IF($B131="","",G131*J131)</f>
        <v/>
      </c>
      <c r="L131" s="42" t="str">
        <f aca="false">IF($B131="","",G131-I131-K131)</f>
        <v/>
      </c>
      <c r="M131" s="43" t="str">
        <f aca="false">IFERROR(L131/G131,"")</f>
        <v/>
      </c>
      <c r="N131" s="51"/>
    </row>
    <row r="132" customFormat="false" ht="15" hidden="false" customHeight="false" outlineLevel="0" collapsed="false">
      <c r="A132" s="25"/>
      <c r="B132" s="21"/>
      <c r="C132" s="50" t="str">
        <f aca="false">IFERROR(INDEX('4. Costeo y Precios'!$B$14:$B$64,MATCH($B132,'4. Costeo y Precios'!$A$14:$A$64,0)),"")</f>
        <v/>
      </c>
      <c r="D132" s="24"/>
      <c r="E132" s="21"/>
      <c r="F132" s="22"/>
      <c r="G132" s="31" t="str">
        <f aca="false">IF($B132="","",E132*F132)</f>
        <v/>
      </c>
      <c r="H132" s="40" t="n">
        <f aca="false">IFERROR(INDEX('4. Costeo y Precios'!$P$14:$P$64,MATCH($B132,'4. Costeo y Precios'!$A$14:$A$64,0)),0)</f>
        <v>0</v>
      </c>
      <c r="I132" s="31" t="str">
        <f aca="false">IF($B132="","",E132*H132)</f>
        <v/>
      </c>
      <c r="J132" s="52"/>
      <c r="K132" s="31" t="str">
        <f aca="false">IF($B132="","",G132*J132)</f>
        <v/>
      </c>
      <c r="L132" s="42" t="str">
        <f aca="false">IF($B132="","",G132-I132-K132)</f>
        <v/>
      </c>
      <c r="M132" s="43" t="str">
        <f aca="false">IFERROR(L132/G132,"")</f>
        <v/>
      </c>
      <c r="N132" s="51"/>
    </row>
    <row r="133" customFormat="false" ht="15" hidden="false" customHeight="false" outlineLevel="0" collapsed="false">
      <c r="A133" s="25"/>
      <c r="B133" s="21"/>
      <c r="C133" s="50" t="str">
        <f aca="false">IFERROR(INDEX('4. Costeo y Precios'!$B$14:$B$64,MATCH($B133,'4. Costeo y Precios'!$A$14:$A$64,0)),"")</f>
        <v/>
      </c>
      <c r="D133" s="24"/>
      <c r="E133" s="21"/>
      <c r="F133" s="22"/>
      <c r="G133" s="31" t="str">
        <f aca="false">IF($B133="","",E133*F133)</f>
        <v/>
      </c>
      <c r="H133" s="40" t="n">
        <f aca="false">IFERROR(INDEX('4. Costeo y Precios'!$P$14:$P$64,MATCH($B133,'4. Costeo y Precios'!$A$14:$A$64,0)),0)</f>
        <v>0</v>
      </c>
      <c r="I133" s="31" t="str">
        <f aca="false">IF($B133="","",E133*H133)</f>
        <v/>
      </c>
      <c r="J133" s="52"/>
      <c r="K133" s="31" t="str">
        <f aca="false">IF($B133="","",G133*J133)</f>
        <v/>
      </c>
      <c r="L133" s="42" t="str">
        <f aca="false">IF($B133="","",G133-I133-K133)</f>
        <v/>
      </c>
      <c r="M133" s="43" t="str">
        <f aca="false">IFERROR(L133/G133,"")</f>
        <v/>
      </c>
      <c r="N133" s="51"/>
    </row>
    <row r="134" customFormat="false" ht="15" hidden="false" customHeight="false" outlineLevel="0" collapsed="false">
      <c r="A134" s="25"/>
      <c r="B134" s="21"/>
      <c r="C134" s="50" t="str">
        <f aca="false">IFERROR(INDEX('4. Costeo y Precios'!$B$14:$B$64,MATCH($B134,'4. Costeo y Precios'!$A$14:$A$64,0)),"")</f>
        <v/>
      </c>
      <c r="D134" s="24"/>
      <c r="E134" s="21"/>
      <c r="F134" s="22"/>
      <c r="G134" s="31" t="str">
        <f aca="false">IF($B134="","",E134*F134)</f>
        <v/>
      </c>
      <c r="H134" s="40" t="n">
        <f aca="false">IFERROR(INDEX('4. Costeo y Precios'!$P$14:$P$64,MATCH($B134,'4. Costeo y Precios'!$A$14:$A$64,0)),0)</f>
        <v>0</v>
      </c>
      <c r="I134" s="31" t="str">
        <f aca="false">IF($B134="","",E134*H134)</f>
        <v/>
      </c>
      <c r="J134" s="52"/>
      <c r="K134" s="31" t="str">
        <f aca="false">IF($B134="","",G134*J134)</f>
        <v/>
      </c>
      <c r="L134" s="42" t="str">
        <f aca="false">IF($B134="","",G134-I134-K134)</f>
        <v/>
      </c>
      <c r="M134" s="43" t="str">
        <f aca="false">IFERROR(L134/G134,"")</f>
        <v/>
      </c>
      <c r="N134" s="51"/>
    </row>
    <row r="135" customFormat="false" ht="15" hidden="false" customHeight="false" outlineLevel="0" collapsed="false">
      <c r="A135" s="25"/>
      <c r="B135" s="21"/>
      <c r="C135" s="50" t="str">
        <f aca="false">IFERROR(INDEX('4. Costeo y Precios'!$B$14:$B$64,MATCH($B135,'4. Costeo y Precios'!$A$14:$A$64,0)),"")</f>
        <v/>
      </c>
      <c r="D135" s="24"/>
      <c r="E135" s="21"/>
      <c r="F135" s="22"/>
      <c r="G135" s="31" t="str">
        <f aca="false">IF($B135="","",E135*F135)</f>
        <v/>
      </c>
      <c r="H135" s="40" t="n">
        <f aca="false">IFERROR(INDEX('4. Costeo y Precios'!$P$14:$P$64,MATCH($B135,'4. Costeo y Precios'!$A$14:$A$64,0)),0)</f>
        <v>0</v>
      </c>
      <c r="I135" s="31" t="str">
        <f aca="false">IF($B135="","",E135*H135)</f>
        <v/>
      </c>
      <c r="J135" s="52"/>
      <c r="K135" s="31" t="str">
        <f aca="false">IF($B135="","",G135*J135)</f>
        <v/>
      </c>
      <c r="L135" s="42" t="str">
        <f aca="false">IF($B135="","",G135-I135-K135)</f>
        <v/>
      </c>
      <c r="M135" s="43" t="str">
        <f aca="false">IFERROR(L135/G135,"")</f>
        <v/>
      </c>
      <c r="N135" s="51"/>
    </row>
    <row r="136" customFormat="false" ht="15" hidden="false" customHeight="false" outlineLevel="0" collapsed="false">
      <c r="A136" s="25"/>
      <c r="B136" s="21"/>
      <c r="C136" s="50" t="str">
        <f aca="false">IFERROR(INDEX('4. Costeo y Precios'!$B$14:$B$64,MATCH($B136,'4. Costeo y Precios'!$A$14:$A$64,0)),"")</f>
        <v/>
      </c>
      <c r="D136" s="24"/>
      <c r="E136" s="21"/>
      <c r="F136" s="22"/>
      <c r="G136" s="31" t="str">
        <f aca="false">IF($B136="","",E136*F136)</f>
        <v/>
      </c>
      <c r="H136" s="40" t="n">
        <f aca="false">IFERROR(INDEX('4. Costeo y Precios'!$P$14:$P$64,MATCH($B136,'4. Costeo y Precios'!$A$14:$A$64,0)),0)</f>
        <v>0</v>
      </c>
      <c r="I136" s="31" t="str">
        <f aca="false">IF($B136="","",E136*H136)</f>
        <v/>
      </c>
      <c r="J136" s="52"/>
      <c r="K136" s="31" t="str">
        <f aca="false">IF($B136="","",G136*J136)</f>
        <v/>
      </c>
      <c r="L136" s="42" t="str">
        <f aca="false">IF($B136="","",G136-I136-K136)</f>
        <v/>
      </c>
      <c r="M136" s="43" t="str">
        <f aca="false">IFERROR(L136/G136,"")</f>
        <v/>
      </c>
      <c r="N136" s="51"/>
    </row>
    <row r="137" customFormat="false" ht="15" hidden="false" customHeight="false" outlineLevel="0" collapsed="false">
      <c r="A137" s="25"/>
      <c r="B137" s="21"/>
      <c r="C137" s="50" t="str">
        <f aca="false">IFERROR(INDEX('4. Costeo y Precios'!$B$14:$B$64,MATCH($B137,'4. Costeo y Precios'!$A$14:$A$64,0)),"")</f>
        <v/>
      </c>
      <c r="D137" s="24"/>
      <c r="E137" s="21"/>
      <c r="F137" s="22"/>
      <c r="G137" s="31" t="str">
        <f aca="false">IF($B137="","",E137*F137)</f>
        <v/>
      </c>
      <c r="H137" s="40" t="n">
        <f aca="false">IFERROR(INDEX('4. Costeo y Precios'!$P$14:$P$64,MATCH($B137,'4. Costeo y Precios'!$A$14:$A$64,0)),0)</f>
        <v>0</v>
      </c>
      <c r="I137" s="31" t="str">
        <f aca="false">IF($B137="","",E137*H137)</f>
        <v/>
      </c>
      <c r="J137" s="52"/>
      <c r="K137" s="31" t="str">
        <f aca="false">IF($B137="","",G137*J137)</f>
        <v/>
      </c>
      <c r="L137" s="42" t="str">
        <f aca="false">IF($B137="","",G137-I137-K137)</f>
        <v/>
      </c>
      <c r="M137" s="43" t="str">
        <f aca="false">IFERROR(L137/G137,"")</f>
        <v/>
      </c>
      <c r="N137" s="51"/>
    </row>
    <row r="138" customFormat="false" ht="15" hidden="false" customHeight="false" outlineLevel="0" collapsed="false">
      <c r="A138" s="25"/>
      <c r="B138" s="21"/>
      <c r="C138" s="50" t="str">
        <f aca="false">IFERROR(INDEX('4. Costeo y Precios'!$B$14:$B$64,MATCH($B138,'4. Costeo y Precios'!$A$14:$A$64,0)),"")</f>
        <v/>
      </c>
      <c r="D138" s="24"/>
      <c r="E138" s="21"/>
      <c r="F138" s="22"/>
      <c r="G138" s="31" t="str">
        <f aca="false">IF($B138="","",E138*F138)</f>
        <v/>
      </c>
      <c r="H138" s="40" t="n">
        <f aca="false">IFERROR(INDEX('4. Costeo y Precios'!$P$14:$P$64,MATCH($B138,'4. Costeo y Precios'!$A$14:$A$64,0)),0)</f>
        <v>0</v>
      </c>
      <c r="I138" s="31" t="str">
        <f aca="false">IF($B138="","",E138*H138)</f>
        <v/>
      </c>
      <c r="J138" s="52"/>
      <c r="K138" s="31" t="str">
        <f aca="false">IF($B138="","",G138*J138)</f>
        <v/>
      </c>
      <c r="L138" s="42" t="str">
        <f aca="false">IF($B138="","",G138-I138-K138)</f>
        <v/>
      </c>
      <c r="M138" s="43" t="str">
        <f aca="false">IFERROR(L138/G138,"")</f>
        <v/>
      </c>
      <c r="N138" s="51"/>
    </row>
    <row r="139" customFormat="false" ht="15" hidden="false" customHeight="false" outlineLevel="0" collapsed="false">
      <c r="A139" s="25"/>
      <c r="B139" s="21"/>
      <c r="C139" s="50" t="str">
        <f aca="false">IFERROR(INDEX('4. Costeo y Precios'!$B$14:$B$64,MATCH($B139,'4. Costeo y Precios'!$A$14:$A$64,0)),"")</f>
        <v/>
      </c>
      <c r="D139" s="24"/>
      <c r="E139" s="21"/>
      <c r="F139" s="22"/>
      <c r="G139" s="31" t="str">
        <f aca="false">IF($B139="","",E139*F139)</f>
        <v/>
      </c>
      <c r="H139" s="40" t="n">
        <f aca="false">IFERROR(INDEX('4. Costeo y Precios'!$P$14:$P$64,MATCH($B139,'4. Costeo y Precios'!$A$14:$A$64,0)),0)</f>
        <v>0</v>
      </c>
      <c r="I139" s="31" t="str">
        <f aca="false">IF($B139="","",E139*H139)</f>
        <v/>
      </c>
      <c r="J139" s="52"/>
      <c r="K139" s="31" t="str">
        <f aca="false">IF($B139="","",G139*J139)</f>
        <v/>
      </c>
      <c r="L139" s="42" t="str">
        <f aca="false">IF($B139="","",G139-I139-K139)</f>
        <v/>
      </c>
      <c r="M139" s="43" t="str">
        <f aca="false">IFERROR(L139/G139,"")</f>
        <v/>
      </c>
      <c r="N139" s="51"/>
    </row>
    <row r="140" customFormat="false" ht="15" hidden="false" customHeight="false" outlineLevel="0" collapsed="false">
      <c r="A140" s="25"/>
      <c r="B140" s="21"/>
      <c r="C140" s="50" t="str">
        <f aca="false">IFERROR(INDEX('4. Costeo y Precios'!$B$14:$B$64,MATCH($B140,'4. Costeo y Precios'!$A$14:$A$64,0)),"")</f>
        <v/>
      </c>
      <c r="D140" s="24"/>
      <c r="E140" s="21"/>
      <c r="F140" s="22"/>
      <c r="G140" s="31" t="str">
        <f aca="false">IF($B140="","",E140*F140)</f>
        <v/>
      </c>
      <c r="H140" s="40" t="n">
        <f aca="false">IFERROR(INDEX('4. Costeo y Precios'!$P$14:$P$64,MATCH($B140,'4. Costeo y Precios'!$A$14:$A$64,0)),0)</f>
        <v>0</v>
      </c>
      <c r="I140" s="31" t="str">
        <f aca="false">IF($B140="","",E140*H140)</f>
        <v/>
      </c>
      <c r="J140" s="52"/>
      <c r="K140" s="31" t="str">
        <f aca="false">IF($B140="","",G140*J140)</f>
        <v/>
      </c>
      <c r="L140" s="42" t="str">
        <f aca="false">IF($B140="","",G140-I140-K140)</f>
        <v/>
      </c>
      <c r="M140" s="43" t="str">
        <f aca="false">IFERROR(L140/G140,"")</f>
        <v/>
      </c>
      <c r="N140" s="51"/>
    </row>
    <row r="141" customFormat="false" ht="15" hidden="false" customHeight="false" outlineLevel="0" collapsed="false">
      <c r="A141" s="25"/>
      <c r="B141" s="21"/>
      <c r="C141" s="50" t="str">
        <f aca="false">IFERROR(INDEX('4. Costeo y Precios'!$B$14:$B$64,MATCH($B141,'4. Costeo y Precios'!$A$14:$A$64,0)),"")</f>
        <v/>
      </c>
      <c r="D141" s="24"/>
      <c r="E141" s="21"/>
      <c r="F141" s="22"/>
      <c r="G141" s="31" t="str">
        <f aca="false">IF($B141="","",E141*F141)</f>
        <v/>
      </c>
      <c r="H141" s="40" t="n">
        <f aca="false">IFERROR(INDEX('4. Costeo y Precios'!$P$14:$P$64,MATCH($B141,'4. Costeo y Precios'!$A$14:$A$64,0)),0)</f>
        <v>0</v>
      </c>
      <c r="I141" s="31" t="str">
        <f aca="false">IF($B141="","",E141*H141)</f>
        <v/>
      </c>
      <c r="J141" s="52"/>
      <c r="K141" s="31" t="str">
        <f aca="false">IF($B141="","",G141*J141)</f>
        <v/>
      </c>
      <c r="L141" s="42" t="str">
        <f aca="false">IF($B141="","",G141-I141-K141)</f>
        <v/>
      </c>
      <c r="M141" s="43" t="str">
        <f aca="false">IFERROR(L141/G141,"")</f>
        <v/>
      </c>
      <c r="N141" s="51"/>
    </row>
    <row r="142" customFormat="false" ht="15" hidden="false" customHeight="false" outlineLevel="0" collapsed="false">
      <c r="A142" s="25"/>
      <c r="B142" s="21"/>
      <c r="C142" s="50" t="str">
        <f aca="false">IFERROR(INDEX('4. Costeo y Precios'!$B$14:$B$64,MATCH($B142,'4. Costeo y Precios'!$A$14:$A$64,0)),"")</f>
        <v/>
      </c>
      <c r="D142" s="24"/>
      <c r="E142" s="21"/>
      <c r="F142" s="22"/>
      <c r="G142" s="31" t="str">
        <f aca="false">IF($B142="","",E142*F142)</f>
        <v/>
      </c>
      <c r="H142" s="40" t="n">
        <f aca="false">IFERROR(INDEX('4. Costeo y Precios'!$P$14:$P$64,MATCH($B142,'4. Costeo y Precios'!$A$14:$A$64,0)),0)</f>
        <v>0</v>
      </c>
      <c r="I142" s="31" t="str">
        <f aca="false">IF($B142="","",E142*H142)</f>
        <v/>
      </c>
      <c r="J142" s="52"/>
      <c r="K142" s="31" t="str">
        <f aca="false">IF($B142="","",G142*J142)</f>
        <v/>
      </c>
      <c r="L142" s="42" t="str">
        <f aca="false">IF($B142="","",G142-I142-K142)</f>
        <v/>
      </c>
      <c r="M142" s="43" t="str">
        <f aca="false">IFERROR(L142/G142,"")</f>
        <v/>
      </c>
      <c r="N142" s="51"/>
    </row>
    <row r="143" customFormat="false" ht="15" hidden="false" customHeight="false" outlineLevel="0" collapsed="false">
      <c r="A143" s="25"/>
      <c r="B143" s="21"/>
      <c r="C143" s="50" t="str">
        <f aca="false">IFERROR(INDEX('4. Costeo y Precios'!$B$14:$B$64,MATCH($B143,'4. Costeo y Precios'!$A$14:$A$64,0)),"")</f>
        <v/>
      </c>
      <c r="D143" s="24"/>
      <c r="E143" s="21"/>
      <c r="F143" s="22"/>
      <c r="G143" s="31" t="str">
        <f aca="false">IF($B143="","",E143*F143)</f>
        <v/>
      </c>
      <c r="H143" s="40" t="n">
        <f aca="false">IFERROR(INDEX('4. Costeo y Precios'!$P$14:$P$64,MATCH($B143,'4. Costeo y Precios'!$A$14:$A$64,0)),0)</f>
        <v>0</v>
      </c>
      <c r="I143" s="31" t="str">
        <f aca="false">IF($B143="","",E143*H143)</f>
        <v/>
      </c>
      <c r="J143" s="52"/>
      <c r="K143" s="31" t="str">
        <f aca="false">IF($B143="","",G143*J143)</f>
        <v/>
      </c>
      <c r="L143" s="42" t="str">
        <f aca="false">IF($B143="","",G143-I143-K143)</f>
        <v/>
      </c>
      <c r="M143" s="43" t="str">
        <f aca="false">IFERROR(L143/G143,"")</f>
        <v/>
      </c>
      <c r="N143" s="51"/>
    </row>
    <row r="144" customFormat="false" ht="15" hidden="false" customHeight="false" outlineLevel="0" collapsed="false">
      <c r="A144" s="25"/>
      <c r="B144" s="21"/>
      <c r="C144" s="50" t="str">
        <f aca="false">IFERROR(INDEX('4. Costeo y Precios'!$B$14:$B$64,MATCH($B144,'4. Costeo y Precios'!$A$14:$A$64,0)),"")</f>
        <v/>
      </c>
      <c r="D144" s="24"/>
      <c r="E144" s="21"/>
      <c r="F144" s="22"/>
      <c r="G144" s="31" t="str">
        <f aca="false">IF($B144="","",E144*F144)</f>
        <v/>
      </c>
      <c r="H144" s="40" t="n">
        <f aca="false">IFERROR(INDEX('4. Costeo y Precios'!$P$14:$P$64,MATCH($B144,'4. Costeo y Precios'!$A$14:$A$64,0)),0)</f>
        <v>0</v>
      </c>
      <c r="I144" s="31" t="str">
        <f aca="false">IF($B144="","",E144*H144)</f>
        <v/>
      </c>
      <c r="J144" s="52"/>
      <c r="K144" s="31" t="str">
        <f aca="false">IF($B144="","",G144*J144)</f>
        <v/>
      </c>
      <c r="L144" s="42" t="str">
        <f aca="false">IF($B144="","",G144-I144-K144)</f>
        <v/>
      </c>
      <c r="M144" s="43" t="str">
        <f aca="false">IFERROR(L144/G144,"")</f>
        <v/>
      </c>
      <c r="N144" s="51"/>
    </row>
    <row r="145" customFormat="false" ht="15" hidden="false" customHeight="false" outlineLevel="0" collapsed="false">
      <c r="A145" s="25"/>
      <c r="B145" s="21"/>
      <c r="C145" s="50" t="str">
        <f aca="false">IFERROR(INDEX('4. Costeo y Precios'!$B$14:$B$64,MATCH($B145,'4. Costeo y Precios'!$A$14:$A$64,0)),"")</f>
        <v/>
      </c>
      <c r="D145" s="24"/>
      <c r="E145" s="21"/>
      <c r="F145" s="22"/>
      <c r="G145" s="31" t="str">
        <f aca="false">IF($B145="","",E145*F145)</f>
        <v/>
      </c>
      <c r="H145" s="40" t="n">
        <f aca="false">IFERROR(INDEX('4. Costeo y Precios'!$P$14:$P$64,MATCH($B145,'4. Costeo y Precios'!$A$14:$A$64,0)),0)</f>
        <v>0</v>
      </c>
      <c r="I145" s="31" t="str">
        <f aca="false">IF($B145="","",E145*H145)</f>
        <v/>
      </c>
      <c r="J145" s="52"/>
      <c r="K145" s="31" t="str">
        <f aca="false">IF($B145="","",G145*J145)</f>
        <v/>
      </c>
      <c r="L145" s="42" t="str">
        <f aca="false">IF($B145="","",G145-I145-K145)</f>
        <v/>
      </c>
      <c r="M145" s="43" t="str">
        <f aca="false">IFERROR(L145/G145,"")</f>
        <v/>
      </c>
      <c r="N145" s="51"/>
    </row>
    <row r="146" customFormat="false" ht="15" hidden="false" customHeight="false" outlineLevel="0" collapsed="false">
      <c r="A146" s="25"/>
      <c r="B146" s="21"/>
      <c r="C146" s="50" t="str">
        <f aca="false">IFERROR(INDEX('4. Costeo y Precios'!$B$14:$B$64,MATCH($B146,'4. Costeo y Precios'!$A$14:$A$64,0)),"")</f>
        <v/>
      </c>
      <c r="D146" s="24"/>
      <c r="E146" s="21"/>
      <c r="F146" s="22"/>
      <c r="G146" s="31" t="str">
        <f aca="false">IF($B146="","",E146*F146)</f>
        <v/>
      </c>
      <c r="H146" s="40" t="n">
        <f aca="false">IFERROR(INDEX('4. Costeo y Precios'!$P$14:$P$64,MATCH($B146,'4. Costeo y Precios'!$A$14:$A$64,0)),0)</f>
        <v>0</v>
      </c>
      <c r="I146" s="31" t="str">
        <f aca="false">IF($B146="","",E146*H146)</f>
        <v/>
      </c>
      <c r="J146" s="52"/>
      <c r="K146" s="31" t="str">
        <f aca="false">IF($B146="","",G146*J146)</f>
        <v/>
      </c>
      <c r="L146" s="42" t="str">
        <f aca="false">IF($B146="","",G146-I146-K146)</f>
        <v/>
      </c>
      <c r="M146" s="43" t="str">
        <f aca="false">IFERROR(L146/G146,"")</f>
        <v/>
      </c>
      <c r="N146" s="51"/>
    </row>
    <row r="147" customFormat="false" ht="15" hidden="false" customHeight="false" outlineLevel="0" collapsed="false">
      <c r="A147" s="25"/>
      <c r="B147" s="21"/>
      <c r="C147" s="50" t="str">
        <f aca="false">IFERROR(INDEX('4. Costeo y Precios'!$B$14:$B$64,MATCH($B147,'4. Costeo y Precios'!$A$14:$A$64,0)),"")</f>
        <v/>
      </c>
      <c r="D147" s="24"/>
      <c r="E147" s="21"/>
      <c r="F147" s="22"/>
      <c r="G147" s="31" t="str">
        <f aca="false">IF($B147="","",E147*F147)</f>
        <v/>
      </c>
      <c r="H147" s="40" t="n">
        <f aca="false">IFERROR(INDEX('4. Costeo y Precios'!$P$14:$P$64,MATCH($B147,'4. Costeo y Precios'!$A$14:$A$64,0)),0)</f>
        <v>0</v>
      </c>
      <c r="I147" s="31" t="str">
        <f aca="false">IF($B147="","",E147*H147)</f>
        <v/>
      </c>
      <c r="J147" s="52"/>
      <c r="K147" s="31" t="str">
        <f aca="false">IF($B147="","",G147*J147)</f>
        <v/>
      </c>
      <c r="L147" s="42" t="str">
        <f aca="false">IF($B147="","",G147-I147-K147)</f>
        <v/>
      </c>
      <c r="M147" s="43" t="str">
        <f aca="false">IFERROR(L147/G147,"")</f>
        <v/>
      </c>
      <c r="N147" s="51"/>
    </row>
    <row r="148" customFormat="false" ht="15" hidden="false" customHeight="false" outlineLevel="0" collapsed="false">
      <c r="A148" s="25"/>
      <c r="B148" s="21"/>
      <c r="C148" s="50" t="str">
        <f aca="false">IFERROR(INDEX('4. Costeo y Precios'!$B$14:$B$64,MATCH($B148,'4. Costeo y Precios'!$A$14:$A$64,0)),"")</f>
        <v/>
      </c>
      <c r="D148" s="24"/>
      <c r="E148" s="21"/>
      <c r="F148" s="22"/>
      <c r="G148" s="31" t="str">
        <f aca="false">IF($B148="","",E148*F148)</f>
        <v/>
      </c>
      <c r="H148" s="40" t="n">
        <f aca="false">IFERROR(INDEX('4. Costeo y Precios'!$P$14:$P$64,MATCH($B148,'4. Costeo y Precios'!$A$14:$A$64,0)),0)</f>
        <v>0</v>
      </c>
      <c r="I148" s="31" t="str">
        <f aca="false">IF($B148="","",E148*H148)</f>
        <v/>
      </c>
      <c r="J148" s="52"/>
      <c r="K148" s="31" t="str">
        <f aca="false">IF($B148="","",G148*J148)</f>
        <v/>
      </c>
      <c r="L148" s="42" t="str">
        <f aca="false">IF($B148="","",G148-I148-K148)</f>
        <v/>
      </c>
      <c r="M148" s="43" t="str">
        <f aca="false">IFERROR(L148/G148,"")</f>
        <v/>
      </c>
      <c r="N148" s="51"/>
    </row>
    <row r="149" customFormat="false" ht="15" hidden="false" customHeight="false" outlineLevel="0" collapsed="false">
      <c r="A149" s="25"/>
      <c r="B149" s="21"/>
      <c r="C149" s="50" t="str">
        <f aca="false">IFERROR(INDEX('4. Costeo y Precios'!$B$14:$B$64,MATCH($B149,'4. Costeo y Precios'!$A$14:$A$64,0)),"")</f>
        <v/>
      </c>
      <c r="D149" s="24"/>
      <c r="E149" s="21"/>
      <c r="F149" s="22"/>
      <c r="G149" s="31" t="str">
        <f aca="false">IF($B149="","",E149*F149)</f>
        <v/>
      </c>
      <c r="H149" s="40" t="n">
        <f aca="false">IFERROR(INDEX('4. Costeo y Precios'!$P$14:$P$64,MATCH($B149,'4. Costeo y Precios'!$A$14:$A$64,0)),0)</f>
        <v>0</v>
      </c>
      <c r="I149" s="31" t="str">
        <f aca="false">IF($B149="","",E149*H149)</f>
        <v/>
      </c>
      <c r="J149" s="52"/>
      <c r="K149" s="31" t="str">
        <f aca="false">IF($B149="","",G149*J149)</f>
        <v/>
      </c>
      <c r="L149" s="42" t="str">
        <f aca="false">IF($B149="","",G149-I149-K149)</f>
        <v/>
      </c>
      <c r="M149" s="43" t="str">
        <f aca="false">IFERROR(L149/G149,"")</f>
        <v/>
      </c>
      <c r="N149" s="51"/>
    </row>
    <row r="150" customFormat="false" ht="15" hidden="false" customHeight="false" outlineLevel="0" collapsed="false">
      <c r="A150" s="25"/>
      <c r="B150" s="21"/>
      <c r="C150" s="50" t="str">
        <f aca="false">IFERROR(INDEX('4. Costeo y Precios'!$B$14:$B$64,MATCH($B150,'4. Costeo y Precios'!$A$14:$A$64,0)),"")</f>
        <v/>
      </c>
      <c r="D150" s="24"/>
      <c r="E150" s="21"/>
      <c r="F150" s="22"/>
      <c r="G150" s="31" t="str">
        <f aca="false">IF($B150="","",E150*F150)</f>
        <v/>
      </c>
      <c r="H150" s="40" t="n">
        <f aca="false">IFERROR(INDEX('4. Costeo y Precios'!$P$14:$P$64,MATCH($B150,'4. Costeo y Precios'!$A$14:$A$64,0)),0)</f>
        <v>0</v>
      </c>
      <c r="I150" s="31" t="str">
        <f aca="false">IF($B150="","",E150*H150)</f>
        <v/>
      </c>
      <c r="J150" s="52"/>
      <c r="K150" s="31" t="str">
        <f aca="false">IF($B150="","",G150*J150)</f>
        <v/>
      </c>
      <c r="L150" s="42" t="str">
        <f aca="false">IF($B150="","",G150-I150-K150)</f>
        <v/>
      </c>
      <c r="M150" s="43" t="str">
        <f aca="false">IFERROR(L150/G150,"")</f>
        <v/>
      </c>
      <c r="N150" s="51"/>
    </row>
    <row r="151" customFormat="false" ht="15" hidden="false" customHeight="false" outlineLevel="0" collapsed="false">
      <c r="A151" s="25"/>
      <c r="B151" s="21"/>
      <c r="C151" s="50" t="str">
        <f aca="false">IFERROR(INDEX('4. Costeo y Precios'!$B$14:$B$64,MATCH($B151,'4. Costeo y Precios'!$A$14:$A$64,0)),"")</f>
        <v/>
      </c>
      <c r="D151" s="24"/>
      <c r="E151" s="21"/>
      <c r="F151" s="22"/>
      <c r="G151" s="31" t="str">
        <f aca="false">IF($B151="","",E151*F151)</f>
        <v/>
      </c>
      <c r="H151" s="40" t="n">
        <f aca="false">IFERROR(INDEX('4. Costeo y Precios'!$P$14:$P$64,MATCH($B151,'4. Costeo y Precios'!$A$14:$A$64,0)),0)</f>
        <v>0</v>
      </c>
      <c r="I151" s="31" t="str">
        <f aca="false">IF($B151="","",E151*H151)</f>
        <v/>
      </c>
      <c r="J151" s="52"/>
      <c r="K151" s="31" t="str">
        <f aca="false">IF($B151="","",G151*J151)</f>
        <v/>
      </c>
      <c r="L151" s="42" t="str">
        <f aca="false">IF($B151="","",G151-I151-K151)</f>
        <v/>
      </c>
      <c r="M151" s="43" t="str">
        <f aca="false">IFERROR(L151/G151,"")</f>
        <v/>
      </c>
      <c r="N151" s="51"/>
    </row>
    <row r="152" customFormat="false" ht="15" hidden="false" customHeight="false" outlineLevel="0" collapsed="false">
      <c r="A152" s="25"/>
      <c r="B152" s="21"/>
      <c r="C152" s="50" t="str">
        <f aca="false">IFERROR(INDEX('4. Costeo y Precios'!$B$14:$B$64,MATCH($B152,'4. Costeo y Precios'!$A$14:$A$64,0)),"")</f>
        <v/>
      </c>
      <c r="D152" s="24"/>
      <c r="E152" s="21"/>
      <c r="F152" s="22"/>
      <c r="G152" s="31" t="str">
        <f aca="false">IF($B152="","",E152*F152)</f>
        <v/>
      </c>
      <c r="H152" s="40" t="n">
        <f aca="false">IFERROR(INDEX('4. Costeo y Precios'!$P$14:$P$64,MATCH($B152,'4. Costeo y Precios'!$A$14:$A$64,0)),0)</f>
        <v>0</v>
      </c>
      <c r="I152" s="31" t="str">
        <f aca="false">IF($B152="","",E152*H152)</f>
        <v/>
      </c>
      <c r="J152" s="52"/>
      <c r="K152" s="31" t="str">
        <f aca="false">IF($B152="","",G152*J152)</f>
        <v/>
      </c>
      <c r="L152" s="42" t="str">
        <f aca="false">IF($B152="","",G152-I152-K152)</f>
        <v/>
      </c>
      <c r="M152" s="43" t="str">
        <f aca="false">IFERROR(L152/G152,"")</f>
        <v/>
      </c>
      <c r="N152" s="51"/>
    </row>
    <row r="153" customFormat="false" ht="15" hidden="false" customHeight="false" outlineLevel="0" collapsed="false">
      <c r="A153" s="25"/>
      <c r="B153" s="21"/>
      <c r="C153" s="50" t="str">
        <f aca="false">IFERROR(INDEX('4. Costeo y Precios'!$B$14:$B$64,MATCH($B153,'4. Costeo y Precios'!$A$14:$A$64,0)),"")</f>
        <v/>
      </c>
      <c r="D153" s="24"/>
      <c r="E153" s="21"/>
      <c r="F153" s="22"/>
      <c r="G153" s="31" t="str">
        <f aca="false">IF($B153="","",E153*F153)</f>
        <v/>
      </c>
      <c r="H153" s="40" t="n">
        <f aca="false">IFERROR(INDEX('4. Costeo y Precios'!$P$14:$P$64,MATCH($B153,'4. Costeo y Precios'!$A$14:$A$64,0)),0)</f>
        <v>0</v>
      </c>
      <c r="I153" s="31" t="str">
        <f aca="false">IF($B153="","",E153*H153)</f>
        <v/>
      </c>
      <c r="J153" s="52"/>
      <c r="K153" s="31" t="str">
        <f aca="false">IF($B153="","",G153*J153)</f>
        <v/>
      </c>
      <c r="L153" s="42" t="str">
        <f aca="false">IF($B153="","",G153-I153-K153)</f>
        <v/>
      </c>
      <c r="M153" s="43" t="str">
        <f aca="false">IFERROR(L153/G153,"")</f>
        <v/>
      </c>
      <c r="N153" s="51"/>
    </row>
    <row r="154" customFormat="false" ht="15" hidden="false" customHeight="false" outlineLevel="0" collapsed="false">
      <c r="A154" s="25"/>
      <c r="B154" s="21"/>
      <c r="C154" s="50" t="str">
        <f aca="false">IFERROR(INDEX('4. Costeo y Precios'!$B$14:$B$64,MATCH($B154,'4. Costeo y Precios'!$A$14:$A$64,0)),"")</f>
        <v/>
      </c>
      <c r="D154" s="24"/>
      <c r="E154" s="21"/>
      <c r="F154" s="22"/>
      <c r="G154" s="31" t="str">
        <f aca="false">IF($B154="","",E154*F154)</f>
        <v/>
      </c>
      <c r="H154" s="40" t="n">
        <f aca="false">IFERROR(INDEX('4. Costeo y Precios'!$P$14:$P$64,MATCH($B154,'4. Costeo y Precios'!$A$14:$A$64,0)),0)</f>
        <v>0</v>
      </c>
      <c r="I154" s="31" t="str">
        <f aca="false">IF($B154="","",E154*H154)</f>
        <v/>
      </c>
      <c r="J154" s="52"/>
      <c r="K154" s="31" t="str">
        <f aca="false">IF($B154="","",G154*J154)</f>
        <v/>
      </c>
      <c r="L154" s="42" t="str">
        <f aca="false">IF($B154="","",G154-I154-K154)</f>
        <v/>
      </c>
      <c r="M154" s="43" t="str">
        <f aca="false">IFERROR(L154/G154,"")</f>
        <v/>
      </c>
      <c r="N154" s="51"/>
    </row>
    <row r="155" customFormat="false" ht="15" hidden="false" customHeight="false" outlineLevel="0" collapsed="false">
      <c r="A155" s="25"/>
      <c r="B155" s="21"/>
      <c r="C155" s="50" t="str">
        <f aca="false">IFERROR(INDEX('4. Costeo y Precios'!$B$14:$B$64,MATCH($B155,'4. Costeo y Precios'!$A$14:$A$64,0)),"")</f>
        <v/>
      </c>
      <c r="D155" s="24"/>
      <c r="E155" s="21"/>
      <c r="F155" s="22"/>
      <c r="G155" s="31" t="str">
        <f aca="false">IF($B155="","",E155*F155)</f>
        <v/>
      </c>
      <c r="H155" s="40" t="n">
        <f aca="false">IFERROR(INDEX('4. Costeo y Precios'!$P$14:$P$64,MATCH($B155,'4. Costeo y Precios'!$A$14:$A$64,0)),0)</f>
        <v>0</v>
      </c>
      <c r="I155" s="31" t="str">
        <f aca="false">IF($B155="","",E155*H155)</f>
        <v/>
      </c>
      <c r="J155" s="52"/>
      <c r="K155" s="31" t="str">
        <f aca="false">IF($B155="","",G155*J155)</f>
        <v/>
      </c>
      <c r="L155" s="42" t="str">
        <f aca="false">IF($B155="","",G155-I155-K155)</f>
        <v/>
      </c>
      <c r="M155" s="43" t="str">
        <f aca="false">IFERROR(L155/G155,"")</f>
        <v/>
      </c>
      <c r="N155" s="51"/>
    </row>
    <row r="156" customFormat="false" ht="15" hidden="false" customHeight="false" outlineLevel="0" collapsed="false">
      <c r="A156" s="25"/>
      <c r="B156" s="21"/>
      <c r="C156" s="50" t="str">
        <f aca="false">IFERROR(INDEX('4. Costeo y Precios'!$B$14:$B$64,MATCH($B156,'4. Costeo y Precios'!$A$14:$A$64,0)),"")</f>
        <v/>
      </c>
      <c r="D156" s="24"/>
      <c r="E156" s="21"/>
      <c r="F156" s="22"/>
      <c r="G156" s="31" t="str">
        <f aca="false">IF($B156="","",E156*F156)</f>
        <v/>
      </c>
      <c r="H156" s="40" t="n">
        <f aca="false">IFERROR(INDEX('4. Costeo y Precios'!$P$14:$P$64,MATCH($B156,'4. Costeo y Precios'!$A$14:$A$64,0)),0)</f>
        <v>0</v>
      </c>
      <c r="I156" s="31" t="str">
        <f aca="false">IF($B156="","",E156*H156)</f>
        <v/>
      </c>
      <c r="J156" s="52"/>
      <c r="K156" s="31" t="str">
        <f aca="false">IF($B156="","",G156*J156)</f>
        <v/>
      </c>
      <c r="L156" s="42" t="str">
        <f aca="false">IF($B156="","",G156-I156-K156)</f>
        <v/>
      </c>
      <c r="M156" s="43" t="str">
        <f aca="false">IFERROR(L156/G156,"")</f>
        <v/>
      </c>
      <c r="N156" s="51"/>
    </row>
    <row r="157" customFormat="false" ht="15" hidden="false" customHeight="false" outlineLevel="0" collapsed="false">
      <c r="A157" s="25"/>
      <c r="B157" s="21"/>
      <c r="C157" s="50" t="str">
        <f aca="false">IFERROR(INDEX('4. Costeo y Precios'!$B$14:$B$64,MATCH($B157,'4. Costeo y Precios'!$A$14:$A$64,0)),"")</f>
        <v/>
      </c>
      <c r="D157" s="24"/>
      <c r="E157" s="21"/>
      <c r="F157" s="22"/>
      <c r="G157" s="31" t="str">
        <f aca="false">IF($B157="","",E157*F157)</f>
        <v/>
      </c>
      <c r="H157" s="40" t="n">
        <f aca="false">IFERROR(INDEX('4. Costeo y Precios'!$P$14:$P$64,MATCH($B157,'4. Costeo y Precios'!$A$14:$A$64,0)),0)</f>
        <v>0</v>
      </c>
      <c r="I157" s="31" t="str">
        <f aca="false">IF($B157="","",E157*H157)</f>
        <v/>
      </c>
      <c r="J157" s="52"/>
      <c r="K157" s="31" t="str">
        <f aca="false">IF($B157="","",G157*J157)</f>
        <v/>
      </c>
      <c r="L157" s="42" t="str">
        <f aca="false">IF($B157="","",G157-I157-K157)</f>
        <v/>
      </c>
      <c r="M157" s="43" t="str">
        <f aca="false">IFERROR(L157/G157,"")</f>
        <v/>
      </c>
      <c r="N157" s="51"/>
    </row>
    <row r="158" customFormat="false" ht="15" hidden="false" customHeight="false" outlineLevel="0" collapsed="false">
      <c r="A158" s="25"/>
      <c r="B158" s="21"/>
      <c r="C158" s="50" t="str">
        <f aca="false">IFERROR(INDEX('4. Costeo y Precios'!$B$14:$B$64,MATCH($B158,'4. Costeo y Precios'!$A$14:$A$64,0)),"")</f>
        <v/>
      </c>
      <c r="D158" s="24"/>
      <c r="E158" s="21"/>
      <c r="F158" s="22"/>
      <c r="G158" s="31" t="str">
        <f aca="false">IF($B158="","",E158*F158)</f>
        <v/>
      </c>
      <c r="H158" s="40" t="n">
        <f aca="false">IFERROR(INDEX('4. Costeo y Precios'!$P$14:$P$64,MATCH($B158,'4. Costeo y Precios'!$A$14:$A$64,0)),0)</f>
        <v>0</v>
      </c>
      <c r="I158" s="31" t="str">
        <f aca="false">IF($B158="","",E158*H158)</f>
        <v/>
      </c>
      <c r="J158" s="52"/>
      <c r="K158" s="31" t="str">
        <f aca="false">IF($B158="","",G158*J158)</f>
        <v/>
      </c>
      <c r="L158" s="42" t="str">
        <f aca="false">IF($B158="","",G158-I158-K158)</f>
        <v/>
      </c>
      <c r="M158" s="43" t="str">
        <f aca="false">IFERROR(L158/G158,"")</f>
        <v/>
      </c>
      <c r="N158" s="51"/>
    </row>
    <row r="159" customFormat="false" ht="15" hidden="false" customHeight="false" outlineLevel="0" collapsed="false">
      <c r="A159" s="25"/>
      <c r="B159" s="21"/>
      <c r="C159" s="50" t="str">
        <f aca="false">IFERROR(INDEX('4. Costeo y Precios'!$B$14:$B$64,MATCH($B159,'4. Costeo y Precios'!$A$14:$A$64,0)),"")</f>
        <v/>
      </c>
      <c r="D159" s="24"/>
      <c r="E159" s="21"/>
      <c r="F159" s="22"/>
      <c r="G159" s="31" t="str">
        <f aca="false">IF($B159="","",E159*F159)</f>
        <v/>
      </c>
      <c r="H159" s="40" t="n">
        <f aca="false">IFERROR(INDEX('4. Costeo y Precios'!$P$14:$P$64,MATCH($B159,'4. Costeo y Precios'!$A$14:$A$64,0)),0)</f>
        <v>0</v>
      </c>
      <c r="I159" s="31" t="str">
        <f aca="false">IF($B159="","",E159*H159)</f>
        <v/>
      </c>
      <c r="J159" s="52"/>
      <c r="K159" s="31" t="str">
        <f aca="false">IF($B159="","",G159*J159)</f>
        <v/>
      </c>
      <c r="L159" s="42" t="str">
        <f aca="false">IF($B159="","",G159-I159-K159)</f>
        <v/>
      </c>
      <c r="M159" s="43" t="str">
        <f aca="false">IFERROR(L159/G159,"")</f>
        <v/>
      </c>
      <c r="N159" s="51"/>
    </row>
    <row r="160" customFormat="false" ht="15" hidden="false" customHeight="false" outlineLevel="0" collapsed="false">
      <c r="A160" s="25"/>
      <c r="B160" s="21"/>
      <c r="C160" s="50" t="str">
        <f aca="false">IFERROR(INDEX('4. Costeo y Precios'!$B$14:$B$64,MATCH($B160,'4. Costeo y Precios'!$A$14:$A$64,0)),"")</f>
        <v/>
      </c>
      <c r="D160" s="24"/>
      <c r="E160" s="21"/>
      <c r="F160" s="22"/>
      <c r="G160" s="31" t="str">
        <f aca="false">IF($B160="","",E160*F160)</f>
        <v/>
      </c>
      <c r="H160" s="40" t="n">
        <f aca="false">IFERROR(INDEX('4. Costeo y Precios'!$P$14:$P$64,MATCH($B160,'4. Costeo y Precios'!$A$14:$A$64,0)),0)</f>
        <v>0</v>
      </c>
      <c r="I160" s="31" t="str">
        <f aca="false">IF($B160="","",E160*H160)</f>
        <v/>
      </c>
      <c r="J160" s="52"/>
      <c r="K160" s="31" t="str">
        <f aca="false">IF($B160="","",G160*J160)</f>
        <v/>
      </c>
      <c r="L160" s="42" t="str">
        <f aca="false">IF($B160="","",G160-I160-K160)</f>
        <v/>
      </c>
      <c r="M160" s="43" t="str">
        <f aca="false">IFERROR(L160/G160,"")</f>
        <v/>
      </c>
      <c r="N160" s="51"/>
    </row>
    <row r="161" customFormat="false" ht="15" hidden="false" customHeight="false" outlineLevel="0" collapsed="false">
      <c r="A161" s="25"/>
      <c r="B161" s="21"/>
      <c r="C161" s="50" t="str">
        <f aca="false">IFERROR(INDEX('4. Costeo y Precios'!$B$14:$B$64,MATCH($B161,'4. Costeo y Precios'!$A$14:$A$64,0)),"")</f>
        <v/>
      </c>
      <c r="D161" s="24"/>
      <c r="E161" s="21"/>
      <c r="F161" s="22"/>
      <c r="G161" s="31" t="str">
        <f aca="false">IF($B161="","",E161*F161)</f>
        <v/>
      </c>
      <c r="H161" s="40" t="n">
        <f aca="false">IFERROR(INDEX('4. Costeo y Precios'!$P$14:$P$64,MATCH($B161,'4. Costeo y Precios'!$A$14:$A$64,0)),0)</f>
        <v>0</v>
      </c>
      <c r="I161" s="31" t="str">
        <f aca="false">IF($B161="","",E161*H161)</f>
        <v/>
      </c>
      <c r="J161" s="52"/>
      <c r="K161" s="31" t="str">
        <f aca="false">IF($B161="","",G161*J161)</f>
        <v/>
      </c>
      <c r="L161" s="42" t="str">
        <f aca="false">IF($B161="","",G161-I161-K161)</f>
        <v/>
      </c>
      <c r="M161" s="43" t="str">
        <f aca="false">IFERROR(L161/G161,"")</f>
        <v/>
      </c>
      <c r="N161" s="51"/>
    </row>
    <row r="162" customFormat="false" ht="15" hidden="false" customHeight="false" outlineLevel="0" collapsed="false">
      <c r="A162" s="25"/>
      <c r="B162" s="21"/>
      <c r="C162" s="50" t="str">
        <f aca="false">IFERROR(INDEX('4. Costeo y Precios'!$B$14:$B$64,MATCH($B162,'4. Costeo y Precios'!$A$14:$A$64,0)),"")</f>
        <v/>
      </c>
      <c r="D162" s="24"/>
      <c r="E162" s="21"/>
      <c r="F162" s="22"/>
      <c r="G162" s="31" t="str">
        <f aca="false">IF($B162="","",E162*F162)</f>
        <v/>
      </c>
      <c r="H162" s="40" t="n">
        <f aca="false">IFERROR(INDEX('4. Costeo y Precios'!$P$14:$P$64,MATCH($B162,'4. Costeo y Precios'!$A$14:$A$64,0)),0)</f>
        <v>0</v>
      </c>
      <c r="I162" s="31" t="str">
        <f aca="false">IF($B162="","",E162*H162)</f>
        <v/>
      </c>
      <c r="J162" s="52"/>
      <c r="K162" s="31" t="str">
        <f aca="false">IF($B162="","",G162*J162)</f>
        <v/>
      </c>
      <c r="L162" s="42" t="str">
        <f aca="false">IF($B162="","",G162-I162-K162)</f>
        <v/>
      </c>
      <c r="M162" s="43" t="str">
        <f aca="false">IFERROR(L162/G162,"")</f>
        <v/>
      </c>
      <c r="N162" s="51"/>
    </row>
    <row r="163" customFormat="false" ht="15" hidden="false" customHeight="false" outlineLevel="0" collapsed="false">
      <c r="A163" s="25"/>
      <c r="B163" s="21"/>
      <c r="C163" s="50" t="str">
        <f aca="false">IFERROR(INDEX('4. Costeo y Precios'!$B$14:$B$64,MATCH($B163,'4. Costeo y Precios'!$A$14:$A$64,0)),"")</f>
        <v/>
      </c>
      <c r="D163" s="24"/>
      <c r="E163" s="21"/>
      <c r="F163" s="22"/>
      <c r="G163" s="31" t="str">
        <f aca="false">IF($B163="","",E163*F163)</f>
        <v/>
      </c>
      <c r="H163" s="40" t="n">
        <f aca="false">IFERROR(INDEX('4. Costeo y Precios'!$P$14:$P$64,MATCH($B163,'4. Costeo y Precios'!$A$14:$A$64,0)),0)</f>
        <v>0</v>
      </c>
      <c r="I163" s="31" t="str">
        <f aca="false">IF($B163="","",E163*H163)</f>
        <v/>
      </c>
      <c r="J163" s="52"/>
      <c r="K163" s="31" t="str">
        <f aca="false">IF($B163="","",G163*J163)</f>
        <v/>
      </c>
      <c r="L163" s="42" t="str">
        <f aca="false">IF($B163="","",G163-I163-K163)</f>
        <v/>
      </c>
      <c r="M163" s="43" t="str">
        <f aca="false">IFERROR(L163/G163,"")</f>
        <v/>
      </c>
      <c r="N163" s="51"/>
    </row>
    <row r="164" customFormat="false" ht="15" hidden="false" customHeight="false" outlineLevel="0" collapsed="false">
      <c r="A164" s="25"/>
      <c r="B164" s="21"/>
      <c r="C164" s="50" t="str">
        <f aca="false">IFERROR(INDEX('4. Costeo y Precios'!$B$14:$B$64,MATCH($B164,'4. Costeo y Precios'!$A$14:$A$64,0)),"")</f>
        <v/>
      </c>
      <c r="D164" s="24"/>
      <c r="E164" s="21"/>
      <c r="F164" s="22"/>
      <c r="G164" s="31" t="str">
        <f aca="false">IF($B164="","",E164*F164)</f>
        <v/>
      </c>
      <c r="H164" s="40" t="n">
        <f aca="false">IFERROR(INDEX('4. Costeo y Precios'!$P$14:$P$64,MATCH($B164,'4. Costeo y Precios'!$A$14:$A$64,0)),0)</f>
        <v>0</v>
      </c>
      <c r="I164" s="31" t="str">
        <f aca="false">IF($B164="","",E164*H164)</f>
        <v/>
      </c>
      <c r="J164" s="52"/>
      <c r="K164" s="31" t="str">
        <f aca="false">IF($B164="","",G164*J164)</f>
        <v/>
      </c>
      <c r="L164" s="42" t="str">
        <f aca="false">IF($B164="","",G164-I164-K164)</f>
        <v/>
      </c>
      <c r="M164" s="43" t="str">
        <f aca="false">IFERROR(L164/G164,"")</f>
        <v/>
      </c>
      <c r="N164" s="51"/>
    </row>
    <row r="165" customFormat="false" ht="15" hidden="false" customHeight="false" outlineLevel="0" collapsed="false">
      <c r="A165" s="25"/>
      <c r="B165" s="21"/>
      <c r="C165" s="50" t="str">
        <f aca="false">IFERROR(INDEX('4. Costeo y Precios'!$B$14:$B$64,MATCH($B165,'4. Costeo y Precios'!$A$14:$A$64,0)),"")</f>
        <v/>
      </c>
      <c r="D165" s="24"/>
      <c r="E165" s="21"/>
      <c r="F165" s="22"/>
      <c r="G165" s="31" t="str">
        <f aca="false">IF($B165="","",E165*F165)</f>
        <v/>
      </c>
      <c r="H165" s="40" t="n">
        <f aca="false">IFERROR(INDEX('4. Costeo y Precios'!$P$14:$P$64,MATCH($B165,'4. Costeo y Precios'!$A$14:$A$64,0)),0)</f>
        <v>0</v>
      </c>
      <c r="I165" s="31" t="str">
        <f aca="false">IF($B165="","",E165*H165)</f>
        <v/>
      </c>
      <c r="J165" s="52"/>
      <c r="K165" s="31" t="str">
        <f aca="false">IF($B165="","",G165*J165)</f>
        <v/>
      </c>
      <c r="L165" s="42" t="str">
        <f aca="false">IF($B165="","",G165-I165-K165)</f>
        <v/>
      </c>
      <c r="M165" s="43" t="str">
        <f aca="false">IFERROR(L165/G165,"")</f>
        <v/>
      </c>
      <c r="N165" s="51"/>
    </row>
    <row r="166" customFormat="false" ht="15" hidden="false" customHeight="false" outlineLevel="0" collapsed="false">
      <c r="A166" s="25"/>
      <c r="B166" s="21"/>
      <c r="C166" s="50" t="str">
        <f aca="false">IFERROR(INDEX('4. Costeo y Precios'!$B$14:$B$64,MATCH($B166,'4. Costeo y Precios'!$A$14:$A$64,0)),"")</f>
        <v/>
      </c>
      <c r="D166" s="24"/>
      <c r="E166" s="21"/>
      <c r="F166" s="22"/>
      <c r="G166" s="31" t="str">
        <f aca="false">IF($B166="","",E166*F166)</f>
        <v/>
      </c>
      <c r="H166" s="40" t="n">
        <f aca="false">IFERROR(INDEX('4. Costeo y Precios'!$P$14:$P$64,MATCH($B166,'4. Costeo y Precios'!$A$14:$A$64,0)),0)</f>
        <v>0</v>
      </c>
      <c r="I166" s="31" t="str">
        <f aca="false">IF($B166="","",E166*H166)</f>
        <v/>
      </c>
      <c r="J166" s="52"/>
      <c r="K166" s="31" t="str">
        <f aca="false">IF($B166="","",G166*J166)</f>
        <v/>
      </c>
      <c r="L166" s="42" t="str">
        <f aca="false">IF($B166="","",G166-I166-K166)</f>
        <v/>
      </c>
      <c r="M166" s="43" t="str">
        <f aca="false">IFERROR(L166/G166,"")</f>
        <v/>
      </c>
      <c r="N166" s="51"/>
    </row>
    <row r="167" customFormat="false" ht="15" hidden="false" customHeight="false" outlineLevel="0" collapsed="false">
      <c r="A167" s="25"/>
      <c r="B167" s="21"/>
      <c r="C167" s="50" t="str">
        <f aca="false">IFERROR(INDEX('4. Costeo y Precios'!$B$14:$B$64,MATCH($B167,'4. Costeo y Precios'!$A$14:$A$64,0)),"")</f>
        <v/>
      </c>
      <c r="D167" s="24"/>
      <c r="E167" s="21"/>
      <c r="F167" s="22"/>
      <c r="G167" s="31" t="str">
        <f aca="false">IF($B167="","",E167*F167)</f>
        <v/>
      </c>
      <c r="H167" s="40" t="n">
        <f aca="false">IFERROR(INDEX('4. Costeo y Precios'!$P$14:$P$64,MATCH($B167,'4. Costeo y Precios'!$A$14:$A$64,0)),0)</f>
        <v>0</v>
      </c>
      <c r="I167" s="31" t="str">
        <f aca="false">IF($B167="","",E167*H167)</f>
        <v/>
      </c>
      <c r="J167" s="52"/>
      <c r="K167" s="31" t="str">
        <f aca="false">IF($B167="","",G167*J167)</f>
        <v/>
      </c>
      <c r="L167" s="42" t="str">
        <f aca="false">IF($B167="","",G167-I167-K167)</f>
        <v/>
      </c>
      <c r="M167" s="43" t="str">
        <f aca="false">IFERROR(L167/G167,"")</f>
        <v/>
      </c>
      <c r="N167" s="51"/>
    </row>
    <row r="168" customFormat="false" ht="15" hidden="false" customHeight="false" outlineLevel="0" collapsed="false">
      <c r="A168" s="25"/>
      <c r="B168" s="21"/>
      <c r="C168" s="50" t="str">
        <f aca="false">IFERROR(INDEX('4. Costeo y Precios'!$B$14:$B$64,MATCH($B168,'4. Costeo y Precios'!$A$14:$A$64,0)),"")</f>
        <v/>
      </c>
      <c r="D168" s="24"/>
      <c r="E168" s="21"/>
      <c r="F168" s="22"/>
      <c r="G168" s="31" t="str">
        <f aca="false">IF($B168="","",E168*F168)</f>
        <v/>
      </c>
      <c r="H168" s="40" t="n">
        <f aca="false">IFERROR(INDEX('4. Costeo y Precios'!$P$14:$P$64,MATCH($B168,'4. Costeo y Precios'!$A$14:$A$64,0)),0)</f>
        <v>0</v>
      </c>
      <c r="I168" s="31" t="str">
        <f aca="false">IF($B168="","",E168*H168)</f>
        <v/>
      </c>
      <c r="J168" s="52"/>
      <c r="K168" s="31" t="str">
        <f aca="false">IF($B168="","",G168*J168)</f>
        <v/>
      </c>
      <c r="L168" s="42" t="str">
        <f aca="false">IF($B168="","",G168-I168-K168)</f>
        <v/>
      </c>
      <c r="M168" s="43" t="str">
        <f aca="false">IFERROR(L168/G168,"")</f>
        <v/>
      </c>
      <c r="N168" s="51"/>
    </row>
    <row r="169" customFormat="false" ht="15" hidden="false" customHeight="false" outlineLevel="0" collapsed="false">
      <c r="A169" s="25"/>
      <c r="B169" s="21"/>
      <c r="C169" s="50" t="str">
        <f aca="false">IFERROR(INDEX('4. Costeo y Precios'!$B$14:$B$64,MATCH($B169,'4. Costeo y Precios'!$A$14:$A$64,0)),"")</f>
        <v/>
      </c>
      <c r="D169" s="24"/>
      <c r="E169" s="21"/>
      <c r="F169" s="22"/>
      <c r="G169" s="31" t="str">
        <f aca="false">IF($B169="","",E169*F169)</f>
        <v/>
      </c>
      <c r="H169" s="40" t="n">
        <f aca="false">IFERROR(INDEX('4. Costeo y Precios'!$P$14:$P$64,MATCH($B169,'4. Costeo y Precios'!$A$14:$A$64,0)),0)</f>
        <v>0</v>
      </c>
      <c r="I169" s="31" t="str">
        <f aca="false">IF($B169="","",E169*H169)</f>
        <v/>
      </c>
      <c r="J169" s="52"/>
      <c r="K169" s="31" t="str">
        <f aca="false">IF($B169="","",G169*J169)</f>
        <v/>
      </c>
      <c r="L169" s="42" t="str">
        <f aca="false">IF($B169="","",G169-I169-K169)</f>
        <v/>
      </c>
      <c r="M169" s="43" t="str">
        <f aca="false">IFERROR(L169/G169,"")</f>
        <v/>
      </c>
      <c r="N169" s="51"/>
    </row>
    <row r="170" customFormat="false" ht="15" hidden="false" customHeight="false" outlineLevel="0" collapsed="false">
      <c r="A170" s="25"/>
      <c r="B170" s="21"/>
      <c r="C170" s="50" t="str">
        <f aca="false">IFERROR(INDEX('4. Costeo y Precios'!$B$14:$B$64,MATCH($B170,'4. Costeo y Precios'!$A$14:$A$64,0)),"")</f>
        <v/>
      </c>
      <c r="D170" s="24"/>
      <c r="E170" s="21"/>
      <c r="F170" s="22"/>
      <c r="G170" s="31" t="str">
        <f aca="false">IF($B170="","",E170*F170)</f>
        <v/>
      </c>
      <c r="H170" s="40" t="n">
        <f aca="false">IFERROR(INDEX('4. Costeo y Precios'!$P$14:$P$64,MATCH($B170,'4. Costeo y Precios'!$A$14:$A$64,0)),0)</f>
        <v>0</v>
      </c>
      <c r="I170" s="31" t="str">
        <f aca="false">IF($B170="","",E170*H170)</f>
        <v/>
      </c>
      <c r="J170" s="52"/>
      <c r="K170" s="31" t="str">
        <f aca="false">IF($B170="","",G170*J170)</f>
        <v/>
      </c>
      <c r="L170" s="42" t="str">
        <f aca="false">IF($B170="","",G170-I170-K170)</f>
        <v/>
      </c>
      <c r="M170" s="43" t="str">
        <f aca="false">IFERROR(L170/G170,"")</f>
        <v/>
      </c>
      <c r="N170" s="51"/>
    </row>
    <row r="171" customFormat="false" ht="15" hidden="false" customHeight="false" outlineLevel="0" collapsed="false">
      <c r="A171" s="25"/>
      <c r="B171" s="21"/>
      <c r="C171" s="50" t="str">
        <f aca="false">IFERROR(INDEX('4. Costeo y Precios'!$B$14:$B$64,MATCH($B171,'4. Costeo y Precios'!$A$14:$A$64,0)),"")</f>
        <v/>
      </c>
      <c r="D171" s="24"/>
      <c r="E171" s="21"/>
      <c r="F171" s="22"/>
      <c r="G171" s="31" t="str">
        <f aca="false">IF($B171="","",E171*F171)</f>
        <v/>
      </c>
      <c r="H171" s="40" t="n">
        <f aca="false">IFERROR(INDEX('4. Costeo y Precios'!$P$14:$P$64,MATCH($B171,'4. Costeo y Precios'!$A$14:$A$64,0)),0)</f>
        <v>0</v>
      </c>
      <c r="I171" s="31" t="str">
        <f aca="false">IF($B171="","",E171*H171)</f>
        <v/>
      </c>
      <c r="J171" s="52"/>
      <c r="K171" s="31" t="str">
        <f aca="false">IF($B171="","",G171*J171)</f>
        <v/>
      </c>
      <c r="L171" s="42" t="str">
        <f aca="false">IF($B171="","",G171-I171-K171)</f>
        <v/>
      </c>
      <c r="M171" s="43" t="str">
        <f aca="false">IFERROR(L171/G171,"")</f>
        <v/>
      </c>
      <c r="N171" s="51"/>
    </row>
    <row r="172" customFormat="false" ht="15" hidden="false" customHeight="false" outlineLevel="0" collapsed="false">
      <c r="A172" s="25"/>
      <c r="B172" s="21"/>
      <c r="C172" s="50" t="str">
        <f aca="false">IFERROR(INDEX('4. Costeo y Precios'!$B$14:$B$64,MATCH($B172,'4. Costeo y Precios'!$A$14:$A$64,0)),"")</f>
        <v/>
      </c>
      <c r="D172" s="24"/>
      <c r="E172" s="21"/>
      <c r="F172" s="22"/>
      <c r="G172" s="31" t="str">
        <f aca="false">IF($B172="","",E172*F172)</f>
        <v/>
      </c>
      <c r="H172" s="40" t="n">
        <f aca="false">IFERROR(INDEX('4. Costeo y Precios'!$P$14:$P$64,MATCH($B172,'4. Costeo y Precios'!$A$14:$A$64,0)),0)</f>
        <v>0</v>
      </c>
      <c r="I172" s="31" t="str">
        <f aca="false">IF($B172="","",E172*H172)</f>
        <v/>
      </c>
      <c r="J172" s="52"/>
      <c r="K172" s="31" t="str">
        <f aca="false">IF($B172="","",G172*J172)</f>
        <v/>
      </c>
      <c r="L172" s="42" t="str">
        <f aca="false">IF($B172="","",G172-I172-K172)</f>
        <v/>
      </c>
      <c r="M172" s="43" t="str">
        <f aca="false">IFERROR(L172/G172,"")</f>
        <v/>
      </c>
      <c r="N172" s="51"/>
    </row>
    <row r="173" customFormat="false" ht="15" hidden="false" customHeight="false" outlineLevel="0" collapsed="false">
      <c r="A173" s="25"/>
      <c r="B173" s="21"/>
      <c r="C173" s="50" t="str">
        <f aca="false">IFERROR(INDEX('4. Costeo y Precios'!$B$14:$B$64,MATCH($B173,'4. Costeo y Precios'!$A$14:$A$64,0)),"")</f>
        <v/>
      </c>
      <c r="D173" s="24"/>
      <c r="E173" s="21"/>
      <c r="F173" s="22"/>
      <c r="G173" s="31" t="str">
        <f aca="false">IF($B173="","",E173*F173)</f>
        <v/>
      </c>
      <c r="H173" s="40" t="n">
        <f aca="false">IFERROR(INDEX('4. Costeo y Precios'!$P$14:$P$64,MATCH($B173,'4. Costeo y Precios'!$A$14:$A$64,0)),0)</f>
        <v>0</v>
      </c>
      <c r="I173" s="31" t="str">
        <f aca="false">IF($B173="","",E173*H173)</f>
        <v/>
      </c>
      <c r="J173" s="52"/>
      <c r="K173" s="31" t="str">
        <f aca="false">IF($B173="","",G173*J173)</f>
        <v/>
      </c>
      <c r="L173" s="42" t="str">
        <f aca="false">IF($B173="","",G173-I173-K173)</f>
        <v/>
      </c>
      <c r="M173" s="43" t="str">
        <f aca="false">IFERROR(L173/G173,"")</f>
        <v/>
      </c>
      <c r="N173" s="51"/>
    </row>
    <row r="174" customFormat="false" ht="15" hidden="false" customHeight="false" outlineLevel="0" collapsed="false">
      <c r="A174" s="25"/>
      <c r="B174" s="21"/>
      <c r="C174" s="50" t="str">
        <f aca="false">IFERROR(INDEX('4. Costeo y Precios'!$B$14:$B$64,MATCH($B174,'4. Costeo y Precios'!$A$14:$A$64,0)),"")</f>
        <v/>
      </c>
      <c r="D174" s="24"/>
      <c r="E174" s="21"/>
      <c r="F174" s="22"/>
      <c r="G174" s="31" t="str">
        <f aca="false">IF($B174="","",E174*F174)</f>
        <v/>
      </c>
      <c r="H174" s="40" t="n">
        <f aca="false">IFERROR(INDEX('4. Costeo y Precios'!$P$14:$P$64,MATCH($B174,'4. Costeo y Precios'!$A$14:$A$64,0)),0)</f>
        <v>0</v>
      </c>
      <c r="I174" s="31" t="str">
        <f aca="false">IF($B174="","",E174*H174)</f>
        <v/>
      </c>
      <c r="J174" s="52"/>
      <c r="K174" s="31" t="str">
        <f aca="false">IF($B174="","",G174*J174)</f>
        <v/>
      </c>
      <c r="L174" s="42" t="str">
        <f aca="false">IF($B174="","",G174-I174-K174)</f>
        <v/>
      </c>
      <c r="M174" s="43" t="str">
        <f aca="false">IFERROR(L174/G174,"")</f>
        <v/>
      </c>
      <c r="N174" s="51"/>
    </row>
    <row r="175" customFormat="false" ht="15" hidden="false" customHeight="false" outlineLevel="0" collapsed="false">
      <c r="A175" s="25"/>
      <c r="B175" s="21"/>
      <c r="C175" s="50" t="str">
        <f aca="false">IFERROR(INDEX('4. Costeo y Precios'!$B$14:$B$64,MATCH($B175,'4. Costeo y Precios'!$A$14:$A$64,0)),"")</f>
        <v/>
      </c>
      <c r="D175" s="24"/>
      <c r="E175" s="21"/>
      <c r="F175" s="22"/>
      <c r="G175" s="31" t="str">
        <f aca="false">IF($B175="","",E175*F175)</f>
        <v/>
      </c>
      <c r="H175" s="40" t="n">
        <f aca="false">IFERROR(INDEX('4. Costeo y Precios'!$P$14:$P$64,MATCH($B175,'4. Costeo y Precios'!$A$14:$A$64,0)),0)</f>
        <v>0</v>
      </c>
      <c r="I175" s="31" t="str">
        <f aca="false">IF($B175="","",E175*H175)</f>
        <v/>
      </c>
      <c r="J175" s="52"/>
      <c r="K175" s="31" t="str">
        <f aca="false">IF($B175="","",G175*J175)</f>
        <v/>
      </c>
      <c r="L175" s="42" t="str">
        <f aca="false">IF($B175="","",G175-I175-K175)</f>
        <v/>
      </c>
      <c r="M175" s="43" t="str">
        <f aca="false">IFERROR(L175/G175,"")</f>
        <v/>
      </c>
      <c r="N175" s="51"/>
    </row>
    <row r="176" customFormat="false" ht="15" hidden="false" customHeight="false" outlineLevel="0" collapsed="false">
      <c r="A176" s="25"/>
      <c r="B176" s="21"/>
      <c r="C176" s="50" t="str">
        <f aca="false">IFERROR(INDEX('4. Costeo y Precios'!$B$14:$B$64,MATCH($B176,'4. Costeo y Precios'!$A$14:$A$64,0)),"")</f>
        <v/>
      </c>
      <c r="D176" s="24"/>
      <c r="E176" s="21"/>
      <c r="F176" s="22"/>
      <c r="G176" s="31" t="str">
        <f aca="false">IF($B176="","",E176*F176)</f>
        <v/>
      </c>
      <c r="H176" s="40" t="n">
        <f aca="false">IFERROR(INDEX('4. Costeo y Precios'!$P$14:$P$64,MATCH($B176,'4. Costeo y Precios'!$A$14:$A$64,0)),0)</f>
        <v>0</v>
      </c>
      <c r="I176" s="31" t="str">
        <f aca="false">IF($B176="","",E176*H176)</f>
        <v/>
      </c>
      <c r="J176" s="52"/>
      <c r="K176" s="31" t="str">
        <f aca="false">IF($B176="","",G176*J176)</f>
        <v/>
      </c>
      <c r="L176" s="42" t="str">
        <f aca="false">IF($B176="","",G176-I176-K176)</f>
        <v/>
      </c>
      <c r="M176" s="43" t="str">
        <f aca="false">IFERROR(L176/G176,"")</f>
        <v/>
      </c>
      <c r="N176" s="51"/>
    </row>
    <row r="177" customFormat="false" ht="15" hidden="false" customHeight="false" outlineLevel="0" collapsed="false">
      <c r="A177" s="25"/>
      <c r="B177" s="21"/>
      <c r="C177" s="50" t="str">
        <f aca="false">IFERROR(INDEX('4. Costeo y Precios'!$B$14:$B$64,MATCH($B177,'4. Costeo y Precios'!$A$14:$A$64,0)),"")</f>
        <v/>
      </c>
      <c r="D177" s="24"/>
      <c r="E177" s="21"/>
      <c r="F177" s="22"/>
      <c r="G177" s="31" t="str">
        <f aca="false">IF($B177="","",E177*F177)</f>
        <v/>
      </c>
      <c r="H177" s="40" t="n">
        <f aca="false">IFERROR(INDEX('4. Costeo y Precios'!$P$14:$P$64,MATCH($B177,'4. Costeo y Precios'!$A$14:$A$64,0)),0)</f>
        <v>0</v>
      </c>
      <c r="I177" s="31" t="str">
        <f aca="false">IF($B177="","",E177*H177)</f>
        <v/>
      </c>
      <c r="J177" s="52"/>
      <c r="K177" s="31" t="str">
        <f aca="false">IF($B177="","",G177*J177)</f>
        <v/>
      </c>
      <c r="L177" s="42" t="str">
        <f aca="false">IF($B177="","",G177-I177-K177)</f>
        <v/>
      </c>
      <c r="M177" s="43" t="str">
        <f aca="false">IFERROR(L177/G177,"")</f>
        <v/>
      </c>
      <c r="N177" s="51"/>
    </row>
    <row r="178" customFormat="false" ht="15" hidden="false" customHeight="false" outlineLevel="0" collapsed="false">
      <c r="A178" s="25"/>
      <c r="B178" s="21"/>
      <c r="C178" s="50" t="str">
        <f aca="false">IFERROR(INDEX('4. Costeo y Precios'!$B$14:$B$64,MATCH($B178,'4. Costeo y Precios'!$A$14:$A$64,0)),"")</f>
        <v/>
      </c>
      <c r="D178" s="24"/>
      <c r="E178" s="21"/>
      <c r="F178" s="22"/>
      <c r="G178" s="31" t="str">
        <f aca="false">IF($B178="","",E178*F178)</f>
        <v/>
      </c>
      <c r="H178" s="40" t="n">
        <f aca="false">IFERROR(INDEX('4. Costeo y Precios'!$P$14:$P$64,MATCH($B178,'4. Costeo y Precios'!$A$14:$A$64,0)),0)</f>
        <v>0</v>
      </c>
      <c r="I178" s="31" t="str">
        <f aca="false">IF($B178="","",E178*H178)</f>
        <v/>
      </c>
      <c r="J178" s="52"/>
      <c r="K178" s="31" t="str">
        <f aca="false">IF($B178="","",G178*J178)</f>
        <v/>
      </c>
      <c r="L178" s="42" t="str">
        <f aca="false">IF($B178="","",G178-I178-K178)</f>
        <v/>
      </c>
      <c r="M178" s="43" t="str">
        <f aca="false">IFERROR(L178/G178,"")</f>
        <v/>
      </c>
      <c r="N178" s="51"/>
    </row>
    <row r="179" customFormat="false" ht="15" hidden="false" customHeight="false" outlineLevel="0" collapsed="false">
      <c r="A179" s="25"/>
      <c r="B179" s="21"/>
      <c r="C179" s="50" t="str">
        <f aca="false">IFERROR(INDEX('4. Costeo y Precios'!$B$14:$B$64,MATCH($B179,'4. Costeo y Precios'!$A$14:$A$64,0)),"")</f>
        <v/>
      </c>
      <c r="D179" s="24"/>
      <c r="E179" s="21"/>
      <c r="F179" s="22"/>
      <c r="G179" s="31" t="str">
        <f aca="false">IF($B179="","",E179*F179)</f>
        <v/>
      </c>
      <c r="H179" s="40" t="n">
        <f aca="false">IFERROR(INDEX('4. Costeo y Precios'!$P$14:$P$64,MATCH($B179,'4. Costeo y Precios'!$A$14:$A$64,0)),0)</f>
        <v>0</v>
      </c>
      <c r="I179" s="31" t="str">
        <f aca="false">IF($B179="","",E179*H179)</f>
        <v/>
      </c>
      <c r="J179" s="52"/>
      <c r="K179" s="31" t="str">
        <f aca="false">IF($B179="","",G179*J179)</f>
        <v/>
      </c>
      <c r="L179" s="42" t="str">
        <f aca="false">IF($B179="","",G179-I179-K179)</f>
        <v/>
      </c>
      <c r="M179" s="43" t="str">
        <f aca="false">IFERROR(L179/G179,"")</f>
        <v/>
      </c>
      <c r="N179" s="51"/>
    </row>
    <row r="180" customFormat="false" ht="15" hidden="false" customHeight="false" outlineLevel="0" collapsed="false">
      <c r="A180" s="25"/>
      <c r="B180" s="21"/>
      <c r="C180" s="50" t="str">
        <f aca="false">IFERROR(INDEX('4. Costeo y Precios'!$B$14:$B$64,MATCH($B180,'4. Costeo y Precios'!$A$14:$A$64,0)),"")</f>
        <v/>
      </c>
      <c r="D180" s="24"/>
      <c r="E180" s="21"/>
      <c r="F180" s="22"/>
      <c r="G180" s="31" t="str">
        <f aca="false">IF($B180="","",E180*F180)</f>
        <v/>
      </c>
      <c r="H180" s="40" t="n">
        <f aca="false">IFERROR(INDEX('4. Costeo y Precios'!$P$14:$P$64,MATCH($B180,'4. Costeo y Precios'!$A$14:$A$64,0)),0)</f>
        <v>0</v>
      </c>
      <c r="I180" s="31" t="str">
        <f aca="false">IF($B180="","",E180*H180)</f>
        <v/>
      </c>
      <c r="J180" s="52"/>
      <c r="K180" s="31" t="str">
        <f aca="false">IF($B180="","",G180*J180)</f>
        <v/>
      </c>
      <c r="L180" s="42" t="str">
        <f aca="false">IF($B180="","",G180-I180-K180)</f>
        <v/>
      </c>
      <c r="M180" s="43" t="str">
        <f aca="false">IFERROR(L180/G180,"")</f>
        <v/>
      </c>
      <c r="N180" s="51"/>
    </row>
    <row r="181" customFormat="false" ht="15" hidden="false" customHeight="false" outlineLevel="0" collapsed="false">
      <c r="A181" s="25"/>
      <c r="B181" s="21"/>
      <c r="C181" s="50" t="str">
        <f aca="false">IFERROR(INDEX('4. Costeo y Precios'!$B$14:$B$64,MATCH($B181,'4. Costeo y Precios'!$A$14:$A$64,0)),"")</f>
        <v/>
      </c>
      <c r="D181" s="24"/>
      <c r="E181" s="21"/>
      <c r="F181" s="22"/>
      <c r="G181" s="31" t="str">
        <f aca="false">IF($B181="","",E181*F181)</f>
        <v/>
      </c>
      <c r="H181" s="40" t="n">
        <f aca="false">IFERROR(INDEX('4. Costeo y Precios'!$P$14:$P$64,MATCH($B181,'4. Costeo y Precios'!$A$14:$A$64,0)),0)</f>
        <v>0</v>
      </c>
      <c r="I181" s="31" t="str">
        <f aca="false">IF($B181="","",E181*H181)</f>
        <v/>
      </c>
      <c r="J181" s="52"/>
      <c r="K181" s="31" t="str">
        <f aca="false">IF($B181="","",G181*J181)</f>
        <v/>
      </c>
      <c r="L181" s="42" t="str">
        <f aca="false">IF($B181="","",G181-I181-K181)</f>
        <v/>
      </c>
      <c r="M181" s="43" t="str">
        <f aca="false">IFERROR(L181/G181,"")</f>
        <v/>
      </c>
      <c r="N181" s="51"/>
    </row>
    <row r="182" customFormat="false" ht="15" hidden="false" customHeight="false" outlineLevel="0" collapsed="false">
      <c r="A182" s="25"/>
      <c r="B182" s="21"/>
      <c r="C182" s="50" t="str">
        <f aca="false">IFERROR(INDEX('4. Costeo y Precios'!$B$14:$B$64,MATCH($B182,'4. Costeo y Precios'!$A$14:$A$64,0)),"")</f>
        <v/>
      </c>
      <c r="D182" s="24"/>
      <c r="E182" s="21"/>
      <c r="F182" s="22"/>
      <c r="G182" s="31" t="str">
        <f aca="false">IF($B182="","",E182*F182)</f>
        <v/>
      </c>
      <c r="H182" s="40" t="n">
        <f aca="false">IFERROR(INDEX('4. Costeo y Precios'!$P$14:$P$64,MATCH($B182,'4. Costeo y Precios'!$A$14:$A$64,0)),0)</f>
        <v>0</v>
      </c>
      <c r="I182" s="31" t="str">
        <f aca="false">IF($B182="","",E182*H182)</f>
        <v/>
      </c>
      <c r="J182" s="52"/>
      <c r="K182" s="31" t="str">
        <f aca="false">IF($B182="","",G182*J182)</f>
        <v/>
      </c>
      <c r="L182" s="42" t="str">
        <f aca="false">IF($B182="","",G182-I182-K182)</f>
        <v/>
      </c>
      <c r="M182" s="43" t="str">
        <f aca="false">IFERROR(L182/G182,"")</f>
        <v/>
      </c>
      <c r="N182" s="51"/>
    </row>
    <row r="183" customFormat="false" ht="15" hidden="false" customHeight="false" outlineLevel="0" collapsed="false">
      <c r="A183" s="25"/>
      <c r="B183" s="21"/>
      <c r="C183" s="50" t="str">
        <f aca="false">IFERROR(INDEX('4. Costeo y Precios'!$B$14:$B$64,MATCH($B183,'4. Costeo y Precios'!$A$14:$A$64,0)),"")</f>
        <v/>
      </c>
      <c r="D183" s="24"/>
      <c r="E183" s="21"/>
      <c r="F183" s="22"/>
      <c r="G183" s="31" t="str">
        <f aca="false">IF($B183="","",E183*F183)</f>
        <v/>
      </c>
      <c r="H183" s="40" t="n">
        <f aca="false">IFERROR(INDEX('4. Costeo y Precios'!$P$14:$P$64,MATCH($B183,'4. Costeo y Precios'!$A$14:$A$64,0)),0)</f>
        <v>0</v>
      </c>
      <c r="I183" s="31" t="str">
        <f aca="false">IF($B183="","",E183*H183)</f>
        <v/>
      </c>
      <c r="J183" s="52"/>
      <c r="K183" s="31" t="str">
        <f aca="false">IF($B183="","",G183*J183)</f>
        <v/>
      </c>
      <c r="L183" s="42" t="str">
        <f aca="false">IF($B183="","",G183-I183-K183)</f>
        <v/>
      </c>
      <c r="M183" s="43" t="str">
        <f aca="false">IFERROR(L183/G183,"")</f>
        <v/>
      </c>
      <c r="N183" s="51"/>
    </row>
    <row r="184" customFormat="false" ht="15" hidden="false" customHeight="false" outlineLevel="0" collapsed="false">
      <c r="A184" s="25"/>
      <c r="B184" s="21"/>
      <c r="C184" s="50" t="str">
        <f aca="false">IFERROR(INDEX('4. Costeo y Precios'!$B$14:$B$64,MATCH($B184,'4. Costeo y Precios'!$A$14:$A$64,0)),"")</f>
        <v/>
      </c>
      <c r="D184" s="24"/>
      <c r="E184" s="21"/>
      <c r="F184" s="22"/>
      <c r="G184" s="31" t="str">
        <f aca="false">IF($B184="","",E184*F184)</f>
        <v/>
      </c>
      <c r="H184" s="40" t="n">
        <f aca="false">IFERROR(INDEX('4. Costeo y Precios'!$P$14:$P$64,MATCH($B184,'4. Costeo y Precios'!$A$14:$A$64,0)),0)</f>
        <v>0</v>
      </c>
      <c r="I184" s="31" t="str">
        <f aca="false">IF($B184="","",E184*H184)</f>
        <v/>
      </c>
      <c r="J184" s="52"/>
      <c r="K184" s="31" t="str">
        <f aca="false">IF($B184="","",G184*J184)</f>
        <v/>
      </c>
      <c r="L184" s="42" t="str">
        <f aca="false">IF($B184="","",G184-I184-K184)</f>
        <v/>
      </c>
      <c r="M184" s="43" t="str">
        <f aca="false">IFERROR(L184/G184,"")</f>
        <v/>
      </c>
      <c r="N184" s="51"/>
    </row>
    <row r="185" customFormat="false" ht="15" hidden="false" customHeight="false" outlineLevel="0" collapsed="false">
      <c r="A185" s="25"/>
      <c r="B185" s="21"/>
      <c r="C185" s="50" t="str">
        <f aca="false">IFERROR(INDEX('4. Costeo y Precios'!$B$14:$B$64,MATCH($B185,'4. Costeo y Precios'!$A$14:$A$64,0)),"")</f>
        <v/>
      </c>
      <c r="D185" s="24"/>
      <c r="E185" s="21"/>
      <c r="F185" s="22"/>
      <c r="G185" s="31" t="str">
        <f aca="false">IF($B185="","",E185*F185)</f>
        <v/>
      </c>
      <c r="H185" s="40" t="n">
        <f aca="false">IFERROR(INDEX('4. Costeo y Precios'!$P$14:$P$64,MATCH($B185,'4. Costeo y Precios'!$A$14:$A$64,0)),0)</f>
        <v>0</v>
      </c>
      <c r="I185" s="31" t="str">
        <f aca="false">IF($B185="","",E185*H185)</f>
        <v/>
      </c>
      <c r="J185" s="52"/>
      <c r="K185" s="31" t="str">
        <f aca="false">IF($B185="","",G185*J185)</f>
        <v/>
      </c>
      <c r="L185" s="42" t="str">
        <f aca="false">IF($B185="","",G185-I185-K185)</f>
        <v/>
      </c>
      <c r="M185" s="43" t="str">
        <f aca="false">IFERROR(L185/G185,"")</f>
        <v/>
      </c>
      <c r="N185" s="51"/>
    </row>
    <row r="186" customFormat="false" ht="15" hidden="false" customHeight="false" outlineLevel="0" collapsed="false">
      <c r="A186" s="25"/>
      <c r="B186" s="21"/>
      <c r="C186" s="50" t="str">
        <f aca="false">IFERROR(INDEX('4. Costeo y Precios'!$B$14:$B$64,MATCH($B186,'4. Costeo y Precios'!$A$14:$A$64,0)),"")</f>
        <v/>
      </c>
      <c r="D186" s="24"/>
      <c r="E186" s="21"/>
      <c r="F186" s="22"/>
      <c r="G186" s="31" t="str">
        <f aca="false">IF($B186="","",E186*F186)</f>
        <v/>
      </c>
      <c r="H186" s="40" t="n">
        <f aca="false">IFERROR(INDEX('4. Costeo y Precios'!$P$14:$P$64,MATCH($B186,'4. Costeo y Precios'!$A$14:$A$64,0)),0)</f>
        <v>0</v>
      </c>
      <c r="I186" s="31" t="str">
        <f aca="false">IF($B186="","",E186*H186)</f>
        <v/>
      </c>
      <c r="J186" s="52"/>
      <c r="K186" s="31" t="str">
        <f aca="false">IF($B186="","",G186*J186)</f>
        <v/>
      </c>
      <c r="L186" s="42" t="str">
        <f aca="false">IF($B186="","",G186-I186-K186)</f>
        <v/>
      </c>
      <c r="M186" s="43" t="str">
        <f aca="false">IFERROR(L186/G186,"")</f>
        <v/>
      </c>
      <c r="N186" s="51"/>
    </row>
    <row r="187" customFormat="false" ht="15" hidden="false" customHeight="false" outlineLevel="0" collapsed="false">
      <c r="A187" s="25"/>
      <c r="B187" s="21"/>
      <c r="C187" s="50" t="str">
        <f aca="false">IFERROR(INDEX('4. Costeo y Precios'!$B$14:$B$64,MATCH($B187,'4. Costeo y Precios'!$A$14:$A$64,0)),"")</f>
        <v/>
      </c>
      <c r="D187" s="24"/>
      <c r="E187" s="21"/>
      <c r="F187" s="22"/>
      <c r="G187" s="31" t="str">
        <f aca="false">IF($B187="","",E187*F187)</f>
        <v/>
      </c>
      <c r="H187" s="40" t="n">
        <f aca="false">IFERROR(INDEX('4. Costeo y Precios'!$P$14:$P$64,MATCH($B187,'4. Costeo y Precios'!$A$14:$A$64,0)),0)</f>
        <v>0</v>
      </c>
      <c r="I187" s="31" t="str">
        <f aca="false">IF($B187="","",E187*H187)</f>
        <v/>
      </c>
      <c r="J187" s="52"/>
      <c r="K187" s="31" t="str">
        <f aca="false">IF($B187="","",G187*J187)</f>
        <v/>
      </c>
      <c r="L187" s="42" t="str">
        <f aca="false">IF($B187="","",G187-I187-K187)</f>
        <v/>
      </c>
      <c r="M187" s="43" t="str">
        <f aca="false">IFERROR(L187/G187,"")</f>
        <v/>
      </c>
      <c r="N187" s="51"/>
    </row>
    <row r="188" customFormat="false" ht="15" hidden="false" customHeight="false" outlineLevel="0" collapsed="false">
      <c r="A188" s="25"/>
      <c r="B188" s="21"/>
      <c r="C188" s="50" t="str">
        <f aca="false">IFERROR(INDEX('4. Costeo y Precios'!$B$14:$B$64,MATCH($B188,'4. Costeo y Precios'!$A$14:$A$64,0)),"")</f>
        <v/>
      </c>
      <c r="D188" s="24"/>
      <c r="E188" s="21"/>
      <c r="F188" s="22"/>
      <c r="G188" s="31" t="str">
        <f aca="false">IF($B188="","",E188*F188)</f>
        <v/>
      </c>
      <c r="H188" s="40" t="n">
        <f aca="false">IFERROR(INDEX('4. Costeo y Precios'!$P$14:$P$64,MATCH($B188,'4. Costeo y Precios'!$A$14:$A$64,0)),0)</f>
        <v>0</v>
      </c>
      <c r="I188" s="31" t="str">
        <f aca="false">IF($B188="","",E188*H188)</f>
        <v/>
      </c>
      <c r="J188" s="52"/>
      <c r="K188" s="31" t="str">
        <f aca="false">IF($B188="","",G188*J188)</f>
        <v/>
      </c>
      <c r="L188" s="42" t="str">
        <f aca="false">IF($B188="","",G188-I188-K188)</f>
        <v/>
      </c>
      <c r="M188" s="43" t="str">
        <f aca="false">IFERROR(L188/G188,"")</f>
        <v/>
      </c>
      <c r="N188" s="51"/>
    </row>
    <row r="189" customFormat="false" ht="15" hidden="false" customHeight="false" outlineLevel="0" collapsed="false">
      <c r="A189" s="25"/>
      <c r="B189" s="21"/>
      <c r="C189" s="50" t="str">
        <f aca="false">IFERROR(INDEX('4. Costeo y Precios'!$B$14:$B$64,MATCH($B189,'4. Costeo y Precios'!$A$14:$A$64,0)),"")</f>
        <v/>
      </c>
      <c r="D189" s="24"/>
      <c r="E189" s="21"/>
      <c r="F189" s="22"/>
      <c r="G189" s="31" t="str">
        <f aca="false">IF($B189="","",E189*F189)</f>
        <v/>
      </c>
      <c r="H189" s="40" t="n">
        <f aca="false">IFERROR(INDEX('4. Costeo y Precios'!$P$14:$P$64,MATCH($B189,'4. Costeo y Precios'!$A$14:$A$64,0)),0)</f>
        <v>0</v>
      </c>
      <c r="I189" s="31" t="str">
        <f aca="false">IF($B189="","",E189*H189)</f>
        <v/>
      </c>
      <c r="J189" s="52"/>
      <c r="K189" s="31" t="str">
        <f aca="false">IF($B189="","",G189*J189)</f>
        <v/>
      </c>
      <c r="L189" s="42" t="str">
        <f aca="false">IF($B189="","",G189-I189-K189)</f>
        <v/>
      </c>
      <c r="M189" s="43" t="str">
        <f aca="false">IFERROR(L189/G189,"")</f>
        <v/>
      </c>
      <c r="N189" s="51"/>
    </row>
    <row r="190" customFormat="false" ht="15" hidden="false" customHeight="false" outlineLevel="0" collapsed="false">
      <c r="A190" s="25"/>
      <c r="B190" s="21"/>
      <c r="C190" s="50" t="str">
        <f aca="false">IFERROR(INDEX('4. Costeo y Precios'!$B$14:$B$64,MATCH($B190,'4. Costeo y Precios'!$A$14:$A$64,0)),"")</f>
        <v/>
      </c>
      <c r="D190" s="24"/>
      <c r="E190" s="21"/>
      <c r="F190" s="22"/>
      <c r="G190" s="31" t="str">
        <f aca="false">IF($B190="","",E190*F190)</f>
        <v/>
      </c>
      <c r="H190" s="40" t="n">
        <f aca="false">IFERROR(INDEX('4. Costeo y Precios'!$P$14:$P$64,MATCH($B190,'4. Costeo y Precios'!$A$14:$A$64,0)),0)</f>
        <v>0</v>
      </c>
      <c r="I190" s="31" t="str">
        <f aca="false">IF($B190="","",E190*H190)</f>
        <v/>
      </c>
      <c r="J190" s="52"/>
      <c r="K190" s="31" t="str">
        <f aca="false">IF($B190="","",G190*J190)</f>
        <v/>
      </c>
      <c r="L190" s="42" t="str">
        <f aca="false">IF($B190="","",G190-I190-K190)</f>
        <v/>
      </c>
      <c r="M190" s="43" t="str">
        <f aca="false">IFERROR(L190/G190,"")</f>
        <v/>
      </c>
      <c r="N190" s="51"/>
    </row>
    <row r="191" customFormat="false" ht="15" hidden="false" customHeight="false" outlineLevel="0" collapsed="false">
      <c r="A191" s="25"/>
      <c r="B191" s="21"/>
      <c r="C191" s="50" t="str">
        <f aca="false">IFERROR(INDEX('4. Costeo y Precios'!$B$14:$B$64,MATCH($B191,'4. Costeo y Precios'!$A$14:$A$64,0)),"")</f>
        <v/>
      </c>
      <c r="D191" s="24"/>
      <c r="E191" s="21"/>
      <c r="F191" s="22"/>
      <c r="G191" s="31" t="str">
        <f aca="false">IF($B191="","",E191*F191)</f>
        <v/>
      </c>
      <c r="H191" s="40" t="n">
        <f aca="false">IFERROR(INDEX('4. Costeo y Precios'!$P$14:$P$64,MATCH($B191,'4. Costeo y Precios'!$A$14:$A$64,0)),0)</f>
        <v>0</v>
      </c>
      <c r="I191" s="31" t="str">
        <f aca="false">IF($B191="","",E191*H191)</f>
        <v/>
      </c>
      <c r="J191" s="52"/>
      <c r="K191" s="31" t="str">
        <f aca="false">IF($B191="","",G191*J191)</f>
        <v/>
      </c>
      <c r="L191" s="42" t="str">
        <f aca="false">IF($B191="","",G191-I191-K191)</f>
        <v/>
      </c>
      <c r="M191" s="43" t="str">
        <f aca="false">IFERROR(L191/G191,"")</f>
        <v/>
      </c>
      <c r="N191" s="51"/>
    </row>
    <row r="192" customFormat="false" ht="15" hidden="false" customHeight="false" outlineLevel="0" collapsed="false">
      <c r="A192" s="25"/>
      <c r="B192" s="21"/>
      <c r="C192" s="50" t="str">
        <f aca="false">IFERROR(INDEX('4. Costeo y Precios'!$B$14:$B$64,MATCH($B192,'4. Costeo y Precios'!$A$14:$A$64,0)),"")</f>
        <v/>
      </c>
      <c r="D192" s="24"/>
      <c r="E192" s="21"/>
      <c r="F192" s="22"/>
      <c r="G192" s="31" t="str">
        <f aca="false">IF($B192="","",E192*F192)</f>
        <v/>
      </c>
      <c r="H192" s="40" t="n">
        <f aca="false">IFERROR(INDEX('4. Costeo y Precios'!$P$14:$P$64,MATCH($B192,'4. Costeo y Precios'!$A$14:$A$64,0)),0)</f>
        <v>0</v>
      </c>
      <c r="I192" s="31" t="str">
        <f aca="false">IF($B192="","",E192*H192)</f>
        <v/>
      </c>
      <c r="J192" s="52"/>
      <c r="K192" s="31" t="str">
        <f aca="false">IF($B192="","",G192*J192)</f>
        <v/>
      </c>
      <c r="L192" s="42" t="str">
        <f aca="false">IF($B192="","",G192-I192-K192)</f>
        <v/>
      </c>
      <c r="M192" s="43" t="str">
        <f aca="false">IFERROR(L192/G192,"")</f>
        <v/>
      </c>
      <c r="N192" s="51"/>
    </row>
    <row r="193" customFormat="false" ht="15" hidden="false" customHeight="false" outlineLevel="0" collapsed="false">
      <c r="A193" s="25"/>
      <c r="B193" s="21"/>
      <c r="C193" s="50" t="str">
        <f aca="false">IFERROR(INDEX('4. Costeo y Precios'!$B$14:$B$64,MATCH($B193,'4. Costeo y Precios'!$A$14:$A$64,0)),"")</f>
        <v/>
      </c>
      <c r="D193" s="24"/>
      <c r="E193" s="21"/>
      <c r="F193" s="22"/>
      <c r="G193" s="31" t="str">
        <f aca="false">IF($B193="","",E193*F193)</f>
        <v/>
      </c>
      <c r="H193" s="40" t="n">
        <f aca="false">IFERROR(INDEX('4. Costeo y Precios'!$P$14:$P$64,MATCH($B193,'4. Costeo y Precios'!$A$14:$A$64,0)),0)</f>
        <v>0</v>
      </c>
      <c r="I193" s="31" t="str">
        <f aca="false">IF($B193="","",E193*H193)</f>
        <v/>
      </c>
      <c r="J193" s="52"/>
      <c r="K193" s="31" t="str">
        <f aca="false">IF($B193="","",G193*J193)</f>
        <v/>
      </c>
      <c r="L193" s="42" t="str">
        <f aca="false">IF($B193="","",G193-I193-K193)</f>
        <v/>
      </c>
      <c r="M193" s="43" t="str">
        <f aca="false">IFERROR(L193/G193,"")</f>
        <v/>
      </c>
      <c r="N193" s="51"/>
    </row>
    <row r="194" customFormat="false" ht="15" hidden="false" customHeight="false" outlineLevel="0" collapsed="false">
      <c r="A194" s="25"/>
      <c r="B194" s="21"/>
      <c r="C194" s="50" t="str">
        <f aca="false">IFERROR(INDEX('4. Costeo y Precios'!$B$14:$B$64,MATCH($B194,'4. Costeo y Precios'!$A$14:$A$64,0)),"")</f>
        <v/>
      </c>
      <c r="D194" s="24"/>
      <c r="E194" s="21"/>
      <c r="F194" s="22"/>
      <c r="G194" s="31" t="str">
        <f aca="false">IF($B194="","",E194*F194)</f>
        <v/>
      </c>
      <c r="H194" s="40" t="n">
        <f aca="false">IFERROR(INDEX('4. Costeo y Precios'!$P$14:$P$64,MATCH($B194,'4. Costeo y Precios'!$A$14:$A$64,0)),0)</f>
        <v>0</v>
      </c>
      <c r="I194" s="31" t="str">
        <f aca="false">IF($B194="","",E194*H194)</f>
        <v/>
      </c>
      <c r="J194" s="52"/>
      <c r="K194" s="31" t="str">
        <f aca="false">IF($B194="","",G194*J194)</f>
        <v/>
      </c>
      <c r="L194" s="42" t="str">
        <f aca="false">IF($B194="","",G194-I194-K194)</f>
        <v/>
      </c>
      <c r="M194" s="43" t="str">
        <f aca="false">IFERROR(L194/G194,"")</f>
        <v/>
      </c>
      <c r="N194" s="51"/>
    </row>
    <row r="195" customFormat="false" ht="15" hidden="false" customHeight="false" outlineLevel="0" collapsed="false">
      <c r="A195" s="25"/>
      <c r="B195" s="21"/>
      <c r="C195" s="50" t="str">
        <f aca="false">IFERROR(INDEX('4. Costeo y Precios'!$B$14:$B$64,MATCH($B195,'4. Costeo y Precios'!$A$14:$A$64,0)),"")</f>
        <v/>
      </c>
      <c r="D195" s="24"/>
      <c r="E195" s="21"/>
      <c r="F195" s="22"/>
      <c r="G195" s="31" t="str">
        <f aca="false">IF($B195="","",E195*F195)</f>
        <v/>
      </c>
      <c r="H195" s="40" t="n">
        <f aca="false">IFERROR(INDEX('4. Costeo y Precios'!$P$14:$P$64,MATCH($B195,'4. Costeo y Precios'!$A$14:$A$64,0)),0)</f>
        <v>0</v>
      </c>
      <c r="I195" s="31" t="str">
        <f aca="false">IF($B195="","",E195*H195)</f>
        <v/>
      </c>
      <c r="J195" s="52"/>
      <c r="K195" s="31" t="str">
        <f aca="false">IF($B195="","",G195*J195)</f>
        <v/>
      </c>
      <c r="L195" s="42" t="str">
        <f aca="false">IF($B195="","",G195-I195-K195)</f>
        <v/>
      </c>
      <c r="M195" s="43" t="str">
        <f aca="false">IFERROR(L195/G195,"")</f>
        <v/>
      </c>
      <c r="N195" s="51"/>
    </row>
    <row r="196" customFormat="false" ht="15" hidden="false" customHeight="false" outlineLevel="0" collapsed="false">
      <c r="A196" s="25"/>
      <c r="B196" s="21"/>
      <c r="C196" s="50" t="str">
        <f aca="false">IFERROR(INDEX('4. Costeo y Precios'!$B$14:$B$64,MATCH($B196,'4. Costeo y Precios'!$A$14:$A$64,0)),"")</f>
        <v/>
      </c>
      <c r="D196" s="24"/>
      <c r="E196" s="21"/>
      <c r="F196" s="22"/>
      <c r="G196" s="31" t="str">
        <f aca="false">IF($B196="","",E196*F196)</f>
        <v/>
      </c>
      <c r="H196" s="40" t="n">
        <f aca="false">IFERROR(INDEX('4. Costeo y Precios'!$P$14:$P$64,MATCH($B196,'4. Costeo y Precios'!$A$14:$A$64,0)),0)</f>
        <v>0</v>
      </c>
      <c r="I196" s="31" t="str">
        <f aca="false">IF($B196="","",E196*H196)</f>
        <v/>
      </c>
      <c r="J196" s="52"/>
      <c r="K196" s="31" t="str">
        <f aca="false">IF($B196="","",G196*J196)</f>
        <v/>
      </c>
      <c r="L196" s="42" t="str">
        <f aca="false">IF($B196="","",G196-I196-K196)</f>
        <v/>
      </c>
      <c r="M196" s="43" t="str">
        <f aca="false">IFERROR(L196/G196,"")</f>
        <v/>
      </c>
      <c r="N196" s="51"/>
    </row>
    <row r="197" customFormat="false" ht="15" hidden="false" customHeight="false" outlineLevel="0" collapsed="false">
      <c r="A197" s="25"/>
      <c r="B197" s="21"/>
      <c r="C197" s="50" t="str">
        <f aca="false">IFERROR(INDEX('4. Costeo y Precios'!$B$14:$B$64,MATCH($B197,'4. Costeo y Precios'!$A$14:$A$64,0)),"")</f>
        <v/>
      </c>
      <c r="D197" s="24"/>
      <c r="E197" s="21"/>
      <c r="F197" s="22"/>
      <c r="G197" s="31" t="str">
        <f aca="false">IF($B197="","",E197*F197)</f>
        <v/>
      </c>
      <c r="H197" s="40" t="n">
        <f aca="false">IFERROR(INDEX('4. Costeo y Precios'!$P$14:$P$64,MATCH($B197,'4. Costeo y Precios'!$A$14:$A$64,0)),0)</f>
        <v>0</v>
      </c>
      <c r="I197" s="31" t="str">
        <f aca="false">IF($B197="","",E197*H197)</f>
        <v/>
      </c>
      <c r="J197" s="52"/>
      <c r="K197" s="31" t="str">
        <f aca="false">IF($B197="","",G197*J197)</f>
        <v/>
      </c>
      <c r="L197" s="42" t="str">
        <f aca="false">IF($B197="","",G197-I197-K197)</f>
        <v/>
      </c>
      <c r="M197" s="43" t="str">
        <f aca="false">IFERROR(L197/G197,"")</f>
        <v/>
      </c>
      <c r="N197" s="51"/>
    </row>
    <row r="198" customFormat="false" ht="15" hidden="false" customHeight="false" outlineLevel="0" collapsed="false">
      <c r="A198" s="25"/>
      <c r="B198" s="21"/>
      <c r="C198" s="50" t="str">
        <f aca="false">IFERROR(INDEX('4. Costeo y Precios'!$B$14:$B$64,MATCH($B198,'4. Costeo y Precios'!$A$14:$A$64,0)),"")</f>
        <v/>
      </c>
      <c r="D198" s="24"/>
      <c r="E198" s="21"/>
      <c r="F198" s="22"/>
      <c r="G198" s="31" t="str">
        <f aca="false">IF($B198="","",E198*F198)</f>
        <v/>
      </c>
      <c r="H198" s="40" t="n">
        <f aca="false">IFERROR(INDEX('4. Costeo y Precios'!$P$14:$P$64,MATCH($B198,'4. Costeo y Precios'!$A$14:$A$64,0)),0)</f>
        <v>0</v>
      </c>
      <c r="I198" s="31" t="str">
        <f aca="false">IF($B198="","",E198*H198)</f>
        <v/>
      </c>
      <c r="J198" s="52"/>
      <c r="K198" s="31" t="str">
        <f aca="false">IF($B198="","",G198*J198)</f>
        <v/>
      </c>
      <c r="L198" s="42" t="str">
        <f aca="false">IF($B198="","",G198-I198-K198)</f>
        <v/>
      </c>
      <c r="M198" s="43" t="str">
        <f aca="false">IFERROR(L198/G198,"")</f>
        <v/>
      </c>
      <c r="N198" s="51"/>
    </row>
    <row r="199" customFormat="false" ht="15" hidden="false" customHeight="false" outlineLevel="0" collapsed="false">
      <c r="A199" s="25"/>
      <c r="B199" s="21"/>
      <c r="C199" s="50" t="str">
        <f aca="false">IFERROR(INDEX('4. Costeo y Precios'!$B$14:$B$64,MATCH($B199,'4. Costeo y Precios'!$A$14:$A$64,0)),"")</f>
        <v/>
      </c>
      <c r="D199" s="24"/>
      <c r="E199" s="21"/>
      <c r="F199" s="22"/>
      <c r="G199" s="31" t="str">
        <f aca="false">IF($B199="","",E199*F199)</f>
        <v/>
      </c>
      <c r="H199" s="40" t="n">
        <f aca="false">IFERROR(INDEX('4. Costeo y Precios'!$P$14:$P$64,MATCH($B199,'4. Costeo y Precios'!$A$14:$A$64,0)),0)</f>
        <v>0</v>
      </c>
      <c r="I199" s="31" t="str">
        <f aca="false">IF($B199="","",E199*H199)</f>
        <v/>
      </c>
      <c r="J199" s="52"/>
      <c r="K199" s="31" t="str">
        <f aca="false">IF($B199="","",G199*J199)</f>
        <v/>
      </c>
      <c r="L199" s="42" t="str">
        <f aca="false">IF($B199="","",G199-I199-K199)</f>
        <v/>
      </c>
      <c r="M199" s="43" t="str">
        <f aca="false">IFERROR(L199/G199,"")</f>
        <v/>
      </c>
      <c r="N199" s="51"/>
    </row>
    <row r="200" customFormat="false" ht="15" hidden="false" customHeight="false" outlineLevel="0" collapsed="false">
      <c r="A200" s="25"/>
      <c r="B200" s="21"/>
      <c r="C200" s="50" t="str">
        <f aca="false">IFERROR(INDEX('4. Costeo y Precios'!$B$14:$B$64,MATCH($B200,'4. Costeo y Precios'!$A$14:$A$64,0)),"")</f>
        <v/>
      </c>
      <c r="D200" s="24"/>
      <c r="E200" s="21"/>
      <c r="F200" s="22"/>
      <c r="G200" s="31" t="str">
        <f aca="false">IF($B200="","",E200*F200)</f>
        <v/>
      </c>
      <c r="H200" s="40" t="n">
        <f aca="false">IFERROR(INDEX('4. Costeo y Precios'!$P$14:$P$64,MATCH($B200,'4. Costeo y Precios'!$A$14:$A$64,0)),0)</f>
        <v>0</v>
      </c>
      <c r="I200" s="31" t="str">
        <f aca="false">IF($B200="","",E200*H200)</f>
        <v/>
      </c>
      <c r="J200" s="52"/>
      <c r="K200" s="31" t="str">
        <f aca="false">IF($B200="","",G200*J200)</f>
        <v/>
      </c>
      <c r="L200" s="42" t="str">
        <f aca="false">IF($B200="","",G200-I200-K200)</f>
        <v/>
      </c>
      <c r="M200" s="43" t="str">
        <f aca="false">IFERROR(L200/G200,"")</f>
        <v/>
      </c>
      <c r="N200" s="51"/>
    </row>
    <row r="201" customFormat="false" ht="15" hidden="false" customHeight="false" outlineLevel="0" collapsed="false">
      <c r="A201" s="25"/>
      <c r="B201" s="21"/>
      <c r="C201" s="50" t="str">
        <f aca="false">IFERROR(INDEX('4. Costeo y Precios'!$B$14:$B$64,MATCH($B201,'4. Costeo y Precios'!$A$14:$A$64,0)),"")</f>
        <v/>
      </c>
      <c r="D201" s="24"/>
      <c r="E201" s="21"/>
      <c r="F201" s="22"/>
      <c r="G201" s="31" t="str">
        <f aca="false">IF($B201="","",E201*F201)</f>
        <v/>
      </c>
      <c r="H201" s="40" t="n">
        <f aca="false">IFERROR(INDEX('4. Costeo y Precios'!$P$14:$P$64,MATCH($B201,'4. Costeo y Precios'!$A$14:$A$64,0)),0)</f>
        <v>0</v>
      </c>
      <c r="I201" s="31" t="str">
        <f aca="false">IF($B201="","",E201*H201)</f>
        <v/>
      </c>
      <c r="J201" s="52"/>
      <c r="K201" s="31" t="str">
        <f aca="false">IF($B201="","",G201*J201)</f>
        <v/>
      </c>
      <c r="L201" s="42" t="str">
        <f aca="false">IF($B201="","",G201-I201-K201)</f>
        <v/>
      </c>
      <c r="M201" s="43" t="str">
        <f aca="false">IFERROR(L201/G201,"")</f>
        <v/>
      </c>
      <c r="N201" s="51"/>
    </row>
    <row r="202" customFormat="false" ht="15" hidden="false" customHeight="false" outlineLevel="0" collapsed="false">
      <c r="A202" s="25"/>
      <c r="B202" s="21"/>
      <c r="C202" s="50" t="str">
        <f aca="false">IFERROR(INDEX('4. Costeo y Precios'!$B$14:$B$64,MATCH($B202,'4. Costeo y Precios'!$A$14:$A$64,0)),"")</f>
        <v/>
      </c>
      <c r="D202" s="24"/>
      <c r="E202" s="21"/>
      <c r="F202" s="22"/>
      <c r="G202" s="31" t="str">
        <f aca="false">IF($B202="","",E202*F202)</f>
        <v/>
      </c>
      <c r="H202" s="40" t="n">
        <f aca="false">IFERROR(INDEX('4. Costeo y Precios'!$P$14:$P$64,MATCH($B202,'4. Costeo y Precios'!$A$14:$A$64,0)),0)</f>
        <v>0</v>
      </c>
      <c r="I202" s="31" t="str">
        <f aca="false">IF($B202="","",E202*H202)</f>
        <v/>
      </c>
      <c r="J202" s="52"/>
      <c r="K202" s="31" t="str">
        <f aca="false">IF($B202="","",G202*J202)</f>
        <v/>
      </c>
      <c r="L202" s="42" t="str">
        <f aca="false">IF($B202="","",G202-I202-K202)</f>
        <v/>
      </c>
      <c r="M202" s="43" t="str">
        <f aca="false">IFERROR(L202/G202,"")</f>
        <v/>
      </c>
      <c r="N202" s="51"/>
    </row>
    <row r="203" customFormat="false" ht="15" hidden="false" customHeight="false" outlineLevel="0" collapsed="false">
      <c r="A203" s="25"/>
      <c r="B203" s="21"/>
      <c r="C203" s="50" t="str">
        <f aca="false">IFERROR(INDEX('4. Costeo y Precios'!$B$14:$B$64,MATCH($B203,'4. Costeo y Precios'!$A$14:$A$64,0)),"")</f>
        <v/>
      </c>
      <c r="D203" s="24"/>
      <c r="E203" s="21"/>
      <c r="F203" s="22"/>
      <c r="G203" s="31" t="str">
        <f aca="false">IF($B203="","",E203*F203)</f>
        <v/>
      </c>
      <c r="H203" s="40" t="n">
        <f aca="false">IFERROR(INDEX('4. Costeo y Precios'!$P$14:$P$64,MATCH($B203,'4. Costeo y Precios'!$A$14:$A$64,0)),0)</f>
        <v>0</v>
      </c>
      <c r="I203" s="31" t="str">
        <f aca="false">IF($B203="","",E203*H203)</f>
        <v/>
      </c>
      <c r="J203" s="52"/>
      <c r="K203" s="31" t="str">
        <f aca="false">IF($B203="","",G203*J203)</f>
        <v/>
      </c>
      <c r="L203" s="42" t="str">
        <f aca="false">IF($B203="","",G203-I203-K203)</f>
        <v/>
      </c>
      <c r="M203" s="43" t="str">
        <f aca="false">IFERROR(L203/G203,"")</f>
        <v/>
      </c>
      <c r="N203" s="51"/>
    </row>
    <row r="204" customFormat="false" ht="15" hidden="false" customHeight="false" outlineLevel="0" collapsed="false">
      <c r="A204" s="25"/>
      <c r="B204" s="21"/>
      <c r="C204" s="50" t="str">
        <f aca="false">IFERROR(INDEX('4. Costeo y Precios'!$B$14:$B$64,MATCH($B204,'4. Costeo y Precios'!$A$14:$A$64,0)),"")</f>
        <v/>
      </c>
      <c r="D204" s="24"/>
      <c r="E204" s="21"/>
      <c r="F204" s="22"/>
      <c r="G204" s="31" t="str">
        <f aca="false">IF($B204="","",E204*F204)</f>
        <v/>
      </c>
      <c r="H204" s="40" t="n">
        <f aca="false">IFERROR(INDEX('4. Costeo y Precios'!$P$14:$P$64,MATCH($B204,'4. Costeo y Precios'!$A$14:$A$64,0)),0)</f>
        <v>0</v>
      </c>
      <c r="I204" s="31" t="str">
        <f aca="false">IF($B204="","",E204*H204)</f>
        <v/>
      </c>
      <c r="J204" s="52"/>
      <c r="K204" s="31" t="str">
        <f aca="false">IF($B204="","",G204*J204)</f>
        <v/>
      </c>
      <c r="L204" s="42" t="str">
        <f aca="false">IF($B204="","",G204-I204-K204)</f>
        <v/>
      </c>
      <c r="M204" s="43" t="str">
        <f aca="false">IFERROR(L204/G204,"")</f>
        <v/>
      </c>
      <c r="N204" s="51"/>
    </row>
    <row r="205" customFormat="false" ht="15" hidden="false" customHeight="false" outlineLevel="0" collapsed="false">
      <c r="A205" s="25"/>
      <c r="B205" s="21"/>
      <c r="C205" s="50" t="str">
        <f aca="false">IFERROR(INDEX('4. Costeo y Precios'!$B$14:$B$64,MATCH($B205,'4. Costeo y Precios'!$A$14:$A$64,0)),"")</f>
        <v/>
      </c>
      <c r="D205" s="24"/>
      <c r="E205" s="21"/>
      <c r="F205" s="22"/>
      <c r="G205" s="31" t="str">
        <f aca="false">IF($B205="","",E205*F205)</f>
        <v/>
      </c>
      <c r="H205" s="40" t="n">
        <f aca="false">IFERROR(INDEX('4. Costeo y Precios'!$P$14:$P$64,MATCH($B205,'4. Costeo y Precios'!$A$14:$A$64,0)),0)</f>
        <v>0</v>
      </c>
      <c r="I205" s="31" t="str">
        <f aca="false">IF($B205="","",E205*H205)</f>
        <v/>
      </c>
      <c r="J205" s="52"/>
      <c r="K205" s="31" t="str">
        <f aca="false">IF($B205="","",G205*J205)</f>
        <v/>
      </c>
      <c r="L205" s="42" t="str">
        <f aca="false">IF($B205="","",G205-I205-K205)</f>
        <v/>
      </c>
      <c r="M205" s="43" t="str">
        <f aca="false">IFERROR(L205/G205,"")</f>
        <v/>
      </c>
      <c r="N205" s="51"/>
    </row>
    <row r="206" customFormat="false" ht="15" hidden="false" customHeight="false" outlineLevel="0" collapsed="false">
      <c r="A206" s="25"/>
      <c r="B206" s="21"/>
      <c r="C206" s="50" t="str">
        <f aca="false">IFERROR(INDEX('4. Costeo y Precios'!$B$14:$B$64,MATCH($B206,'4. Costeo y Precios'!$A$14:$A$64,0)),"")</f>
        <v/>
      </c>
      <c r="D206" s="24"/>
      <c r="E206" s="21"/>
      <c r="F206" s="22"/>
      <c r="G206" s="31" t="str">
        <f aca="false">IF($B206="","",E206*F206)</f>
        <v/>
      </c>
      <c r="H206" s="40" t="n">
        <f aca="false">IFERROR(INDEX('4. Costeo y Precios'!$P$14:$P$64,MATCH($B206,'4. Costeo y Precios'!$A$14:$A$64,0)),0)</f>
        <v>0</v>
      </c>
      <c r="I206" s="31" t="str">
        <f aca="false">IF($B206="","",E206*H206)</f>
        <v/>
      </c>
      <c r="J206" s="52"/>
      <c r="K206" s="31" t="str">
        <f aca="false">IF($B206="","",G206*J206)</f>
        <v/>
      </c>
      <c r="L206" s="42" t="str">
        <f aca="false">IF($B206="","",G206-I206-K206)</f>
        <v/>
      </c>
      <c r="M206" s="43" t="str">
        <f aca="false">IFERROR(L206/G206,"")</f>
        <v/>
      </c>
      <c r="N206" s="51"/>
    </row>
    <row r="207" customFormat="false" ht="15" hidden="false" customHeight="false" outlineLevel="0" collapsed="false">
      <c r="A207" s="25"/>
      <c r="B207" s="21"/>
      <c r="C207" s="50" t="str">
        <f aca="false">IFERROR(INDEX('4. Costeo y Precios'!$B$14:$B$64,MATCH($B207,'4. Costeo y Precios'!$A$14:$A$64,0)),"")</f>
        <v/>
      </c>
      <c r="D207" s="24"/>
      <c r="E207" s="21"/>
      <c r="F207" s="22"/>
      <c r="G207" s="31" t="str">
        <f aca="false">IF($B207="","",E207*F207)</f>
        <v/>
      </c>
      <c r="H207" s="40" t="n">
        <f aca="false">IFERROR(INDEX('4. Costeo y Precios'!$P$14:$P$64,MATCH($B207,'4. Costeo y Precios'!$A$14:$A$64,0)),0)</f>
        <v>0</v>
      </c>
      <c r="I207" s="31" t="str">
        <f aca="false">IF($B207="","",E207*H207)</f>
        <v/>
      </c>
      <c r="J207" s="52"/>
      <c r="K207" s="31" t="str">
        <f aca="false">IF($B207="","",G207*J207)</f>
        <v/>
      </c>
      <c r="L207" s="42" t="str">
        <f aca="false">IF($B207="","",G207-I207-K207)</f>
        <v/>
      </c>
      <c r="M207" s="43" t="str">
        <f aca="false">IFERROR(L207/G207,"")</f>
        <v/>
      </c>
      <c r="N207" s="51"/>
    </row>
    <row r="208" customFormat="false" ht="15" hidden="false" customHeight="false" outlineLevel="0" collapsed="false">
      <c r="A208" s="25"/>
      <c r="B208" s="21"/>
      <c r="C208" s="50" t="str">
        <f aca="false">IFERROR(INDEX('4. Costeo y Precios'!$B$14:$B$64,MATCH($B208,'4. Costeo y Precios'!$A$14:$A$64,0)),"")</f>
        <v/>
      </c>
      <c r="D208" s="24"/>
      <c r="E208" s="21"/>
      <c r="F208" s="22"/>
      <c r="G208" s="31" t="str">
        <f aca="false">IF($B208="","",E208*F208)</f>
        <v/>
      </c>
      <c r="H208" s="40" t="n">
        <f aca="false">IFERROR(INDEX('4. Costeo y Precios'!$P$14:$P$64,MATCH($B208,'4. Costeo y Precios'!$A$14:$A$64,0)),0)</f>
        <v>0</v>
      </c>
      <c r="I208" s="31" t="str">
        <f aca="false">IF($B208="","",E208*H208)</f>
        <v/>
      </c>
      <c r="J208" s="52"/>
      <c r="K208" s="31" t="str">
        <f aca="false">IF($B208="","",G208*J208)</f>
        <v/>
      </c>
      <c r="L208" s="42" t="str">
        <f aca="false">IF($B208="","",G208-I208-K208)</f>
        <v/>
      </c>
      <c r="M208" s="43" t="str">
        <f aca="false">IFERROR(L208/G208,"")</f>
        <v/>
      </c>
      <c r="N208" s="51"/>
    </row>
    <row r="209" customFormat="false" ht="15" hidden="false" customHeight="false" outlineLevel="0" collapsed="false">
      <c r="A209" s="25"/>
      <c r="B209" s="21"/>
      <c r="C209" s="50" t="str">
        <f aca="false">IFERROR(INDEX('4. Costeo y Precios'!$B$14:$B$64,MATCH($B209,'4. Costeo y Precios'!$A$14:$A$64,0)),"")</f>
        <v/>
      </c>
      <c r="D209" s="24"/>
      <c r="E209" s="21"/>
      <c r="F209" s="22"/>
      <c r="G209" s="31" t="str">
        <f aca="false">IF($B209="","",E209*F209)</f>
        <v/>
      </c>
      <c r="H209" s="40" t="n">
        <f aca="false">IFERROR(INDEX('4. Costeo y Precios'!$P$14:$P$64,MATCH($B209,'4. Costeo y Precios'!$A$14:$A$64,0)),0)</f>
        <v>0</v>
      </c>
      <c r="I209" s="31" t="str">
        <f aca="false">IF($B209="","",E209*H209)</f>
        <v/>
      </c>
      <c r="J209" s="52"/>
      <c r="K209" s="31" t="str">
        <f aca="false">IF($B209="","",G209*J209)</f>
        <v/>
      </c>
      <c r="L209" s="42" t="str">
        <f aca="false">IF($B209="","",G209-I209-K209)</f>
        <v/>
      </c>
      <c r="M209" s="43" t="str">
        <f aca="false">IFERROR(L209/G209,"")</f>
        <v/>
      </c>
      <c r="N209" s="51"/>
    </row>
    <row r="210" customFormat="false" ht="15" hidden="false" customHeight="false" outlineLevel="0" collapsed="false">
      <c r="A210" s="25"/>
      <c r="B210" s="21"/>
      <c r="C210" s="50" t="str">
        <f aca="false">IFERROR(INDEX('4. Costeo y Precios'!$B$14:$B$64,MATCH($B210,'4. Costeo y Precios'!$A$14:$A$64,0)),"")</f>
        <v/>
      </c>
      <c r="D210" s="24"/>
      <c r="E210" s="21"/>
      <c r="F210" s="22"/>
      <c r="G210" s="31" t="str">
        <f aca="false">IF($B210="","",E210*F210)</f>
        <v/>
      </c>
      <c r="H210" s="40" t="n">
        <f aca="false">IFERROR(INDEX('4. Costeo y Precios'!$P$14:$P$64,MATCH($B210,'4. Costeo y Precios'!$A$14:$A$64,0)),0)</f>
        <v>0</v>
      </c>
      <c r="I210" s="31" t="str">
        <f aca="false">IF($B210="","",E210*H210)</f>
        <v/>
      </c>
      <c r="J210" s="52"/>
      <c r="K210" s="31" t="str">
        <f aca="false">IF($B210="","",G210*J210)</f>
        <v/>
      </c>
      <c r="L210" s="42" t="str">
        <f aca="false">IF($B210="","",G210-I210-K210)</f>
        <v/>
      </c>
      <c r="M210" s="43" t="str">
        <f aca="false">IFERROR(L210/G210,"")</f>
        <v/>
      </c>
      <c r="N210" s="51"/>
    </row>
    <row r="211" customFormat="false" ht="15" hidden="false" customHeight="false" outlineLevel="0" collapsed="false">
      <c r="A211" s="25"/>
      <c r="B211" s="21"/>
      <c r="C211" s="50" t="str">
        <f aca="false">IFERROR(INDEX('4. Costeo y Precios'!$B$14:$B$64,MATCH($B211,'4. Costeo y Precios'!$A$14:$A$64,0)),"")</f>
        <v/>
      </c>
      <c r="D211" s="24"/>
      <c r="E211" s="21"/>
      <c r="F211" s="22"/>
      <c r="G211" s="31" t="str">
        <f aca="false">IF($B211="","",E211*F211)</f>
        <v/>
      </c>
      <c r="H211" s="40" t="n">
        <f aca="false">IFERROR(INDEX('4. Costeo y Precios'!$P$14:$P$64,MATCH($B211,'4. Costeo y Precios'!$A$14:$A$64,0)),0)</f>
        <v>0</v>
      </c>
      <c r="I211" s="31" t="str">
        <f aca="false">IF($B211="","",E211*H211)</f>
        <v/>
      </c>
      <c r="J211" s="52"/>
      <c r="K211" s="31" t="str">
        <f aca="false">IF($B211="","",G211*J211)</f>
        <v/>
      </c>
      <c r="L211" s="42" t="str">
        <f aca="false">IF($B211="","",G211-I211-K211)</f>
        <v/>
      </c>
      <c r="M211" s="43" t="str">
        <f aca="false">IFERROR(L211/G211,"")</f>
        <v/>
      </c>
      <c r="N211" s="51"/>
    </row>
    <row r="212" customFormat="false" ht="15" hidden="false" customHeight="false" outlineLevel="0" collapsed="false">
      <c r="A212" s="25"/>
      <c r="B212" s="21"/>
      <c r="C212" s="50" t="str">
        <f aca="false">IFERROR(INDEX('4. Costeo y Precios'!$B$14:$B$64,MATCH($B212,'4. Costeo y Precios'!$A$14:$A$64,0)),"")</f>
        <v/>
      </c>
      <c r="D212" s="24"/>
      <c r="E212" s="21"/>
      <c r="F212" s="22"/>
      <c r="G212" s="31" t="str">
        <f aca="false">IF($B212="","",E212*F212)</f>
        <v/>
      </c>
      <c r="H212" s="40" t="n">
        <f aca="false">IFERROR(INDEX('4. Costeo y Precios'!$P$14:$P$64,MATCH($B212,'4. Costeo y Precios'!$A$14:$A$64,0)),0)</f>
        <v>0</v>
      </c>
      <c r="I212" s="31" t="str">
        <f aca="false">IF($B212="","",E212*H212)</f>
        <v/>
      </c>
      <c r="J212" s="52"/>
      <c r="K212" s="31" t="str">
        <f aca="false">IF($B212="","",G212*J212)</f>
        <v/>
      </c>
      <c r="L212" s="42" t="str">
        <f aca="false">IF($B212="","",G212-I212-K212)</f>
        <v/>
      </c>
      <c r="M212" s="43" t="str">
        <f aca="false">IFERROR(L212/G212,"")</f>
        <v/>
      </c>
      <c r="N212" s="51"/>
    </row>
    <row r="213" customFormat="false" ht="15" hidden="false" customHeight="false" outlineLevel="0" collapsed="false">
      <c r="A213" s="25"/>
      <c r="B213" s="21"/>
      <c r="C213" s="50" t="str">
        <f aca="false">IFERROR(INDEX('4. Costeo y Precios'!$B$14:$B$64,MATCH($B213,'4. Costeo y Precios'!$A$14:$A$64,0)),"")</f>
        <v/>
      </c>
      <c r="D213" s="24"/>
      <c r="E213" s="21"/>
      <c r="F213" s="22"/>
      <c r="G213" s="31" t="str">
        <f aca="false">IF($B213="","",E213*F213)</f>
        <v/>
      </c>
      <c r="H213" s="40" t="n">
        <f aca="false">IFERROR(INDEX('4. Costeo y Precios'!$P$14:$P$64,MATCH($B213,'4. Costeo y Precios'!$A$14:$A$64,0)),0)</f>
        <v>0</v>
      </c>
      <c r="I213" s="31" t="str">
        <f aca="false">IF($B213="","",E213*H213)</f>
        <v/>
      </c>
      <c r="J213" s="52"/>
      <c r="K213" s="31" t="str">
        <f aca="false">IF($B213="","",G213*J213)</f>
        <v/>
      </c>
      <c r="L213" s="42" t="str">
        <f aca="false">IF($B213="","",G213-I213-K213)</f>
        <v/>
      </c>
      <c r="M213" s="43" t="str">
        <f aca="false">IFERROR(L213/G213,"")</f>
        <v/>
      </c>
      <c r="N213" s="51"/>
    </row>
    <row r="214" customFormat="false" ht="15" hidden="false" customHeight="false" outlineLevel="0" collapsed="false">
      <c r="A214" s="25"/>
      <c r="B214" s="21"/>
      <c r="C214" s="50" t="str">
        <f aca="false">IFERROR(INDEX('4. Costeo y Precios'!$B$14:$B$64,MATCH($B214,'4. Costeo y Precios'!$A$14:$A$64,0)),"")</f>
        <v/>
      </c>
      <c r="D214" s="24"/>
      <c r="E214" s="21"/>
      <c r="F214" s="22"/>
      <c r="G214" s="31" t="str">
        <f aca="false">IF($B214="","",E214*F214)</f>
        <v/>
      </c>
      <c r="H214" s="40" t="n">
        <f aca="false">IFERROR(INDEX('4. Costeo y Precios'!$P$14:$P$64,MATCH($B214,'4. Costeo y Precios'!$A$14:$A$64,0)),0)</f>
        <v>0</v>
      </c>
      <c r="I214" s="31" t="str">
        <f aca="false">IF($B214="","",E214*H214)</f>
        <v/>
      </c>
      <c r="J214" s="52"/>
      <c r="K214" s="31" t="str">
        <f aca="false">IF($B214="","",G214*J214)</f>
        <v/>
      </c>
      <c r="L214" s="42" t="str">
        <f aca="false">IF($B214="","",G214-I214-K214)</f>
        <v/>
      </c>
      <c r="M214" s="43" t="str">
        <f aca="false">IFERROR(L214/G214,"")</f>
        <v/>
      </c>
      <c r="N214" s="51"/>
    </row>
    <row r="215" customFormat="false" ht="15" hidden="false" customHeight="false" outlineLevel="0" collapsed="false">
      <c r="A215" s="25"/>
      <c r="B215" s="21"/>
      <c r="C215" s="50" t="str">
        <f aca="false">IFERROR(INDEX('4. Costeo y Precios'!$B$14:$B$64,MATCH($B215,'4. Costeo y Precios'!$A$14:$A$64,0)),"")</f>
        <v/>
      </c>
      <c r="D215" s="24"/>
      <c r="E215" s="21"/>
      <c r="F215" s="22"/>
      <c r="G215" s="31" t="str">
        <f aca="false">IF($B215="","",E215*F215)</f>
        <v/>
      </c>
      <c r="H215" s="40" t="n">
        <f aca="false">IFERROR(INDEX('4. Costeo y Precios'!$P$14:$P$64,MATCH($B215,'4. Costeo y Precios'!$A$14:$A$64,0)),0)</f>
        <v>0</v>
      </c>
      <c r="I215" s="31" t="str">
        <f aca="false">IF($B215="","",E215*H215)</f>
        <v/>
      </c>
      <c r="J215" s="52"/>
      <c r="K215" s="31" t="str">
        <f aca="false">IF($B215="","",G215*J215)</f>
        <v/>
      </c>
      <c r="L215" s="42" t="str">
        <f aca="false">IF($B215="","",G215-I215-K215)</f>
        <v/>
      </c>
      <c r="M215" s="43" t="str">
        <f aca="false">IFERROR(L215/G215,"")</f>
        <v/>
      </c>
      <c r="N215" s="51"/>
    </row>
    <row r="216" customFormat="false" ht="15" hidden="false" customHeight="false" outlineLevel="0" collapsed="false">
      <c r="A216" s="25"/>
      <c r="B216" s="21"/>
      <c r="C216" s="50" t="str">
        <f aca="false">IFERROR(INDEX('4. Costeo y Precios'!$B$14:$B$64,MATCH($B216,'4. Costeo y Precios'!$A$14:$A$64,0)),"")</f>
        <v/>
      </c>
      <c r="D216" s="24"/>
      <c r="E216" s="21"/>
      <c r="F216" s="22"/>
      <c r="G216" s="31" t="str">
        <f aca="false">IF($B216="","",E216*F216)</f>
        <v/>
      </c>
      <c r="H216" s="40" t="n">
        <f aca="false">IFERROR(INDEX('4. Costeo y Precios'!$P$14:$P$64,MATCH($B216,'4. Costeo y Precios'!$A$14:$A$64,0)),0)</f>
        <v>0</v>
      </c>
      <c r="I216" s="31" t="str">
        <f aca="false">IF($B216="","",E216*H216)</f>
        <v/>
      </c>
      <c r="J216" s="52"/>
      <c r="K216" s="31" t="str">
        <f aca="false">IF($B216="","",G216*J216)</f>
        <v/>
      </c>
      <c r="L216" s="42" t="str">
        <f aca="false">IF($B216="","",G216-I216-K216)</f>
        <v/>
      </c>
      <c r="M216" s="43" t="str">
        <f aca="false">IFERROR(L216/G216,"")</f>
        <v/>
      </c>
      <c r="N216" s="51"/>
    </row>
    <row r="217" customFormat="false" ht="15" hidden="false" customHeight="false" outlineLevel="0" collapsed="false">
      <c r="A217" s="25"/>
      <c r="B217" s="21"/>
      <c r="C217" s="50" t="str">
        <f aca="false">IFERROR(INDEX('4. Costeo y Precios'!$B$14:$B$64,MATCH($B217,'4. Costeo y Precios'!$A$14:$A$64,0)),"")</f>
        <v/>
      </c>
      <c r="D217" s="24"/>
      <c r="E217" s="21"/>
      <c r="F217" s="22"/>
      <c r="G217" s="31" t="str">
        <f aca="false">IF($B217="","",E217*F217)</f>
        <v/>
      </c>
      <c r="H217" s="40" t="n">
        <f aca="false">IFERROR(INDEX('4. Costeo y Precios'!$P$14:$P$64,MATCH($B217,'4. Costeo y Precios'!$A$14:$A$64,0)),0)</f>
        <v>0</v>
      </c>
      <c r="I217" s="31" t="str">
        <f aca="false">IF($B217="","",E217*H217)</f>
        <v/>
      </c>
      <c r="J217" s="52"/>
      <c r="K217" s="31" t="str">
        <f aca="false">IF($B217="","",G217*J217)</f>
        <v/>
      </c>
      <c r="L217" s="42" t="str">
        <f aca="false">IF($B217="","",G217-I217-K217)</f>
        <v/>
      </c>
      <c r="M217" s="43" t="str">
        <f aca="false">IFERROR(L217/G217,"")</f>
        <v/>
      </c>
      <c r="N217" s="51"/>
    </row>
    <row r="218" customFormat="false" ht="15" hidden="false" customHeight="false" outlineLevel="0" collapsed="false">
      <c r="A218" s="25"/>
      <c r="B218" s="21"/>
      <c r="C218" s="50" t="str">
        <f aca="false">IFERROR(INDEX('4. Costeo y Precios'!$B$14:$B$64,MATCH($B218,'4. Costeo y Precios'!$A$14:$A$64,0)),"")</f>
        <v/>
      </c>
      <c r="D218" s="24"/>
      <c r="E218" s="21"/>
      <c r="F218" s="22"/>
      <c r="G218" s="31" t="str">
        <f aca="false">IF($B218="","",E218*F218)</f>
        <v/>
      </c>
      <c r="H218" s="40" t="n">
        <f aca="false">IFERROR(INDEX('4. Costeo y Precios'!$P$14:$P$64,MATCH($B218,'4. Costeo y Precios'!$A$14:$A$64,0)),0)</f>
        <v>0</v>
      </c>
      <c r="I218" s="31" t="str">
        <f aca="false">IF($B218="","",E218*H218)</f>
        <v/>
      </c>
      <c r="J218" s="52"/>
      <c r="K218" s="31" t="str">
        <f aca="false">IF($B218="","",G218*J218)</f>
        <v/>
      </c>
      <c r="L218" s="42" t="str">
        <f aca="false">IF($B218="","",G218-I218-K218)</f>
        <v/>
      </c>
      <c r="M218" s="43" t="str">
        <f aca="false">IFERROR(L218/G218,"")</f>
        <v/>
      </c>
      <c r="N218" s="51"/>
    </row>
    <row r="219" customFormat="false" ht="15" hidden="false" customHeight="false" outlineLevel="0" collapsed="false">
      <c r="A219" s="25"/>
      <c r="B219" s="21"/>
      <c r="C219" s="50" t="str">
        <f aca="false">IFERROR(INDEX('4. Costeo y Precios'!$B$14:$B$64,MATCH($B219,'4. Costeo y Precios'!$A$14:$A$64,0)),"")</f>
        <v/>
      </c>
      <c r="D219" s="24"/>
      <c r="E219" s="21"/>
      <c r="F219" s="22"/>
      <c r="G219" s="31" t="str">
        <f aca="false">IF($B219="","",E219*F219)</f>
        <v/>
      </c>
      <c r="H219" s="40" t="n">
        <f aca="false">IFERROR(INDEX('4. Costeo y Precios'!$P$14:$P$64,MATCH($B219,'4. Costeo y Precios'!$A$14:$A$64,0)),0)</f>
        <v>0</v>
      </c>
      <c r="I219" s="31" t="str">
        <f aca="false">IF($B219="","",E219*H219)</f>
        <v/>
      </c>
      <c r="J219" s="52"/>
      <c r="K219" s="31" t="str">
        <f aca="false">IF($B219="","",G219*J219)</f>
        <v/>
      </c>
      <c r="L219" s="42" t="str">
        <f aca="false">IF($B219="","",G219-I219-K219)</f>
        <v/>
      </c>
      <c r="M219" s="43" t="str">
        <f aca="false">IFERROR(L219/G219,"")</f>
        <v/>
      </c>
      <c r="N219" s="51"/>
    </row>
    <row r="220" customFormat="false" ht="15" hidden="false" customHeight="false" outlineLevel="0" collapsed="false">
      <c r="A220" s="25"/>
      <c r="B220" s="21"/>
      <c r="C220" s="50" t="str">
        <f aca="false">IFERROR(INDEX('4. Costeo y Precios'!$B$14:$B$64,MATCH($B220,'4. Costeo y Precios'!$A$14:$A$64,0)),"")</f>
        <v/>
      </c>
      <c r="D220" s="24"/>
      <c r="E220" s="21"/>
      <c r="F220" s="22"/>
      <c r="G220" s="31" t="str">
        <f aca="false">IF($B220="","",E220*F220)</f>
        <v/>
      </c>
      <c r="H220" s="40" t="n">
        <f aca="false">IFERROR(INDEX('4. Costeo y Precios'!$P$14:$P$64,MATCH($B220,'4. Costeo y Precios'!$A$14:$A$64,0)),0)</f>
        <v>0</v>
      </c>
      <c r="I220" s="31" t="str">
        <f aca="false">IF($B220="","",E220*H220)</f>
        <v/>
      </c>
      <c r="J220" s="52"/>
      <c r="K220" s="31" t="str">
        <f aca="false">IF($B220="","",G220*J220)</f>
        <v/>
      </c>
      <c r="L220" s="42" t="str">
        <f aca="false">IF($B220="","",G220-I220-K220)</f>
        <v/>
      </c>
      <c r="M220" s="43" t="str">
        <f aca="false">IFERROR(L220/G220,"")</f>
        <v/>
      </c>
      <c r="N220" s="51"/>
    </row>
    <row r="221" customFormat="false" ht="15" hidden="false" customHeight="false" outlineLevel="0" collapsed="false">
      <c r="A221" s="25"/>
      <c r="B221" s="21"/>
      <c r="C221" s="50" t="str">
        <f aca="false">IFERROR(INDEX('4. Costeo y Precios'!$B$14:$B$64,MATCH($B221,'4. Costeo y Precios'!$A$14:$A$64,0)),"")</f>
        <v/>
      </c>
      <c r="D221" s="24"/>
      <c r="E221" s="21"/>
      <c r="F221" s="22"/>
      <c r="G221" s="31" t="str">
        <f aca="false">IF($B221="","",E221*F221)</f>
        <v/>
      </c>
      <c r="H221" s="40" t="n">
        <f aca="false">IFERROR(INDEX('4. Costeo y Precios'!$P$14:$P$64,MATCH($B221,'4. Costeo y Precios'!$A$14:$A$64,0)),0)</f>
        <v>0</v>
      </c>
      <c r="I221" s="31" t="str">
        <f aca="false">IF($B221="","",E221*H221)</f>
        <v/>
      </c>
      <c r="J221" s="52"/>
      <c r="K221" s="31" t="str">
        <f aca="false">IF($B221="","",G221*J221)</f>
        <v/>
      </c>
      <c r="L221" s="42" t="str">
        <f aca="false">IF($B221="","",G221-I221-K221)</f>
        <v/>
      </c>
      <c r="M221" s="43" t="str">
        <f aca="false">IFERROR(L221/G221,"")</f>
        <v/>
      </c>
      <c r="N221" s="51"/>
    </row>
    <row r="222" customFormat="false" ht="15" hidden="false" customHeight="false" outlineLevel="0" collapsed="false">
      <c r="A222" s="25"/>
      <c r="B222" s="21"/>
      <c r="C222" s="50" t="str">
        <f aca="false">IFERROR(INDEX('4. Costeo y Precios'!$B$14:$B$64,MATCH($B222,'4. Costeo y Precios'!$A$14:$A$64,0)),"")</f>
        <v/>
      </c>
      <c r="D222" s="24"/>
      <c r="E222" s="21"/>
      <c r="F222" s="22"/>
      <c r="G222" s="31" t="str">
        <f aca="false">IF($B222="","",E222*F222)</f>
        <v/>
      </c>
      <c r="H222" s="40" t="n">
        <f aca="false">IFERROR(INDEX('4. Costeo y Precios'!$P$14:$P$64,MATCH($B222,'4. Costeo y Precios'!$A$14:$A$64,0)),0)</f>
        <v>0</v>
      </c>
      <c r="I222" s="31" t="str">
        <f aca="false">IF($B222="","",E222*H222)</f>
        <v/>
      </c>
      <c r="J222" s="52"/>
      <c r="K222" s="31" t="str">
        <f aca="false">IF($B222="","",G222*J222)</f>
        <v/>
      </c>
      <c r="L222" s="42" t="str">
        <f aca="false">IF($B222="","",G222-I222-K222)</f>
        <v/>
      </c>
      <c r="M222" s="43" t="str">
        <f aca="false">IFERROR(L222/G222,"")</f>
        <v/>
      </c>
      <c r="N222" s="51"/>
    </row>
    <row r="223" customFormat="false" ht="15" hidden="false" customHeight="false" outlineLevel="0" collapsed="false">
      <c r="A223" s="25"/>
      <c r="B223" s="21"/>
      <c r="C223" s="50" t="str">
        <f aca="false">IFERROR(INDEX('4. Costeo y Precios'!$B$14:$B$64,MATCH($B223,'4. Costeo y Precios'!$A$14:$A$64,0)),"")</f>
        <v/>
      </c>
      <c r="D223" s="24"/>
      <c r="E223" s="21"/>
      <c r="F223" s="22"/>
      <c r="G223" s="31" t="str">
        <f aca="false">IF($B223="","",E223*F223)</f>
        <v/>
      </c>
      <c r="H223" s="40" t="n">
        <f aca="false">IFERROR(INDEX('4. Costeo y Precios'!$P$14:$P$64,MATCH($B223,'4. Costeo y Precios'!$A$14:$A$64,0)),0)</f>
        <v>0</v>
      </c>
      <c r="I223" s="31" t="str">
        <f aca="false">IF($B223="","",E223*H223)</f>
        <v/>
      </c>
      <c r="J223" s="52"/>
      <c r="K223" s="31" t="str">
        <f aca="false">IF($B223="","",G223*J223)</f>
        <v/>
      </c>
      <c r="L223" s="42" t="str">
        <f aca="false">IF($B223="","",G223-I223-K223)</f>
        <v/>
      </c>
      <c r="M223" s="43" t="str">
        <f aca="false">IFERROR(L223/G223,"")</f>
        <v/>
      </c>
      <c r="N223" s="51"/>
    </row>
    <row r="224" customFormat="false" ht="15" hidden="false" customHeight="false" outlineLevel="0" collapsed="false">
      <c r="A224" s="25"/>
      <c r="B224" s="21"/>
      <c r="C224" s="50" t="str">
        <f aca="false">IFERROR(INDEX('4. Costeo y Precios'!$B$14:$B$64,MATCH($B224,'4. Costeo y Precios'!$A$14:$A$64,0)),"")</f>
        <v/>
      </c>
      <c r="D224" s="24"/>
      <c r="E224" s="21"/>
      <c r="F224" s="22"/>
      <c r="G224" s="31" t="str">
        <f aca="false">IF($B224="","",E224*F224)</f>
        <v/>
      </c>
      <c r="H224" s="40" t="n">
        <f aca="false">IFERROR(INDEX('4. Costeo y Precios'!$P$14:$P$64,MATCH($B224,'4. Costeo y Precios'!$A$14:$A$64,0)),0)</f>
        <v>0</v>
      </c>
      <c r="I224" s="31" t="str">
        <f aca="false">IF($B224="","",E224*H224)</f>
        <v/>
      </c>
      <c r="J224" s="52"/>
      <c r="K224" s="31" t="str">
        <f aca="false">IF($B224="","",G224*J224)</f>
        <v/>
      </c>
      <c r="L224" s="42" t="str">
        <f aca="false">IF($B224="","",G224-I224-K224)</f>
        <v/>
      </c>
      <c r="M224" s="43" t="str">
        <f aca="false">IFERROR(L224/G224,"")</f>
        <v/>
      </c>
      <c r="N224" s="51"/>
    </row>
    <row r="225" customFormat="false" ht="15" hidden="false" customHeight="false" outlineLevel="0" collapsed="false">
      <c r="A225" s="25"/>
      <c r="B225" s="21"/>
      <c r="C225" s="50" t="str">
        <f aca="false">IFERROR(INDEX('4. Costeo y Precios'!$B$14:$B$64,MATCH($B225,'4. Costeo y Precios'!$A$14:$A$64,0)),"")</f>
        <v/>
      </c>
      <c r="D225" s="24"/>
      <c r="E225" s="21"/>
      <c r="F225" s="22"/>
      <c r="G225" s="31" t="str">
        <f aca="false">IF($B225="","",E225*F225)</f>
        <v/>
      </c>
      <c r="H225" s="40" t="n">
        <f aca="false">IFERROR(INDEX('4. Costeo y Precios'!$P$14:$P$64,MATCH($B225,'4. Costeo y Precios'!$A$14:$A$64,0)),0)</f>
        <v>0</v>
      </c>
      <c r="I225" s="31" t="str">
        <f aca="false">IF($B225="","",E225*H225)</f>
        <v/>
      </c>
      <c r="J225" s="52"/>
      <c r="K225" s="31" t="str">
        <f aca="false">IF($B225="","",G225*J225)</f>
        <v/>
      </c>
      <c r="L225" s="42" t="str">
        <f aca="false">IF($B225="","",G225-I225-K225)</f>
        <v/>
      </c>
      <c r="M225" s="43" t="str">
        <f aca="false">IFERROR(L225/G225,"")</f>
        <v/>
      </c>
      <c r="N225" s="51"/>
    </row>
    <row r="226" customFormat="false" ht="15" hidden="false" customHeight="false" outlineLevel="0" collapsed="false">
      <c r="A226" s="25"/>
      <c r="B226" s="21"/>
      <c r="C226" s="50" t="str">
        <f aca="false">IFERROR(INDEX('4. Costeo y Precios'!$B$14:$B$64,MATCH($B226,'4. Costeo y Precios'!$A$14:$A$64,0)),"")</f>
        <v/>
      </c>
      <c r="D226" s="24"/>
      <c r="E226" s="21"/>
      <c r="F226" s="22"/>
      <c r="G226" s="31" t="str">
        <f aca="false">IF($B226="","",E226*F226)</f>
        <v/>
      </c>
      <c r="H226" s="40" t="n">
        <f aca="false">IFERROR(INDEX('4. Costeo y Precios'!$P$14:$P$64,MATCH($B226,'4. Costeo y Precios'!$A$14:$A$64,0)),0)</f>
        <v>0</v>
      </c>
      <c r="I226" s="31" t="str">
        <f aca="false">IF($B226="","",E226*H226)</f>
        <v/>
      </c>
      <c r="J226" s="52"/>
      <c r="K226" s="31" t="str">
        <f aca="false">IF($B226="","",G226*J226)</f>
        <v/>
      </c>
      <c r="L226" s="42" t="str">
        <f aca="false">IF($B226="","",G226-I226-K226)</f>
        <v/>
      </c>
      <c r="M226" s="43" t="str">
        <f aca="false">IFERROR(L226/G226,"")</f>
        <v/>
      </c>
      <c r="N226" s="51"/>
    </row>
    <row r="227" customFormat="false" ht="15" hidden="false" customHeight="false" outlineLevel="0" collapsed="false">
      <c r="A227" s="25"/>
      <c r="B227" s="21"/>
      <c r="C227" s="50" t="str">
        <f aca="false">IFERROR(INDEX('4. Costeo y Precios'!$B$14:$B$64,MATCH($B227,'4. Costeo y Precios'!$A$14:$A$64,0)),"")</f>
        <v/>
      </c>
      <c r="D227" s="24"/>
      <c r="E227" s="21"/>
      <c r="F227" s="22"/>
      <c r="G227" s="31" t="str">
        <f aca="false">IF($B227="","",E227*F227)</f>
        <v/>
      </c>
      <c r="H227" s="40" t="n">
        <f aca="false">IFERROR(INDEX('4. Costeo y Precios'!$P$14:$P$64,MATCH($B227,'4. Costeo y Precios'!$A$14:$A$64,0)),0)</f>
        <v>0</v>
      </c>
      <c r="I227" s="31" t="str">
        <f aca="false">IF($B227="","",E227*H227)</f>
        <v/>
      </c>
      <c r="J227" s="52"/>
      <c r="K227" s="31" t="str">
        <f aca="false">IF($B227="","",G227*J227)</f>
        <v/>
      </c>
      <c r="L227" s="42" t="str">
        <f aca="false">IF($B227="","",G227-I227-K227)</f>
        <v/>
      </c>
      <c r="M227" s="43" t="str">
        <f aca="false">IFERROR(L227/G227,"")</f>
        <v/>
      </c>
      <c r="N227" s="51"/>
    </row>
    <row r="228" customFormat="false" ht="15" hidden="false" customHeight="false" outlineLevel="0" collapsed="false">
      <c r="A228" s="25"/>
      <c r="B228" s="21"/>
      <c r="C228" s="50" t="str">
        <f aca="false">IFERROR(INDEX('4. Costeo y Precios'!$B$14:$B$64,MATCH($B228,'4. Costeo y Precios'!$A$14:$A$64,0)),"")</f>
        <v/>
      </c>
      <c r="D228" s="24"/>
      <c r="E228" s="21"/>
      <c r="F228" s="22"/>
      <c r="G228" s="31" t="str">
        <f aca="false">IF($B228="","",E228*F228)</f>
        <v/>
      </c>
      <c r="H228" s="40" t="n">
        <f aca="false">IFERROR(INDEX('4. Costeo y Precios'!$P$14:$P$64,MATCH($B228,'4. Costeo y Precios'!$A$14:$A$64,0)),0)</f>
        <v>0</v>
      </c>
      <c r="I228" s="31" t="str">
        <f aca="false">IF($B228="","",E228*H228)</f>
        <v/>
      </c>
      <c r="J228" s="52"/>
      <c r="K228" s="31" t="str">
        <f aca="false">IF($B228="","",G228*J228)</f>
        <v/>
      </c>
      <c r="L228" s="42" t="str">
        <f aca="false">IF($B228="","",G228-I228-K228)</f>
        <v/>
      </c>
      <c r="M228" s="43" t="str">
        <f aca="false">IFERROR(L228/G228,"")</f>
        <v/>
      </c>
      <c r="N228" s="51"/>
    </row>
    <row r="229" customFormat="false" ht="15" hidden="false" customHeight="false" outlineLevel="0" collapsed="false">
      <c r="A229" s="25"/>
      <c r="B229" s="21"/>
      <c r="C229" s="50" t="str">
        <f aca="false">IFERROR(INDEX('4. Costeo y Precios'!$B$14:$B$64,MATCH($B229,'4. Costeo y Precios'!$A$14:$A$64,0)),"")</f>
        <v/>
      </c>
      <c r="D229" s="24"/>
      <c r="E229" s="21"/>
      <c r="F229" s="22"/>
      <c r="G229" s="31" t="str">
        <f aca="false">IF($B229="","",E229*F229)</f>
        <v/>
      </c>
      <c r="H229" s="40" t="n">
        <f aca="false">IFERROR(INDEX('4. Costeo y Precios'!$P$14:$P$64,MATCH($B229,'4. Costeo y Precios'!$A$14:$A$64,0)),0)</f>
        <v>0</v>
      </c>
      <c r="I229" s="31" t="str">
        <f aca="false">IF($B229="","",E229*H229)</f>
        <v/>
      </c>
      <c r="J229" s="52"/>
      <c r="K229" s="31" t="str">
        <f aca="false">IF($B229="","",G229*J229)</f>
        <v/>
      </c>
      <c r="L229" s="42" t="str">
        <f aca="false">IF($B229="","",G229-I229-K229)</f>
        <v/>
      </c>
      <c r="M229" s="43" t="str">
        <f aca="false">IFERROR(L229/G229,"")</f>
        <v/>
      </c>
      <c r="N229" s="51"/>
    </row>
    <row r="230" customFormat="false" ht="15" hidden="false" customHeight="false" outlineLevel="0" collapsed="false">
      <c r="A230" s="25"/>
      <c r="B230" s="21"/>
      <c r="C230" s="50" t="str">
        <f aca="false">IFERROR(INDEX('4. Costeo y Precios'!$B$14:$B$64,MATCH($B230,'4. Costeo y Precios'!$A$14:$A$64,0)),"")</f>
        <v/>
      </c>
      <c r="D230" s="24"/>
      <c r="E230" s="21"/>
      <c r="F230" s="22"/>
      <c r="G230" s="31" t="str">
        <f aca="false">IF($B230="","",E230*F230)</f>
        <v/>
      </c>
      <c r="H230" s="40" t="n">
        <f aca="false">IFERROR(INDEX('4. Costeo y Precios'!$P$14:$P$64,MATCH($B230,'4. Costeo y Precios'!$A$14:$A$64,0)),0)</f>
        <v>0</v>
      </c>
      <c r="I230" s="31" t="str">
        <f aca="false">IF($B230="","",E230*H230)</f>
        <v/>
      </c>
      <c r="J230" s="52"/>
      <c r="K230" s="31" t="str">
        <f aca="false">IF($B230="","",G230*J230)</f>
        <v/>
      </c>
      <c r="L230" s="42" t="str">
        <f aca="false">IF($B230="","",G230-I230-K230)</f>
        <v/>
      </c>
      <c r="M230" s="43" t="str">
        <f aca="false">IFERROR(L230/G230,"")</f>
        <v/>
      </c>
      <c r="N230" s="51"/>
    </row>
    <row r="231" customFormat="false" ht="15" hidden="false" customHeight="false" outlineLevel="0" collapsed="false">
      <c r="A231" s="25"/>
      <c r="B231" s="21"/>
      <c r="C231" s="50" t="str">
        <f aca="false">IFERROR(INDEX('4. Costeo y Precios'!$B$14:$B$64,MATCH($B231,'4. Costeo y Precios'!$A$14:$A$64,0)),"")</f>
        <v/>
      </c>
      <c r="D231" s="24"/>
      <c r="E231" s="21"/>
      <c r="F231" s="22"/>
      <c r="G231" s="31" t="str">
        <f aca="false">IF($B231="","",E231*F231)</f>
        <v/>
      </c>
      <c r="H231" s="40" t="n">
        <f aca="false">IFERROR(INDEX('4. Costeo y Precios'!$P$14:$P$64,MATCH($B231,'4. Costeo y Precios'!$A$14:$A$64,0)),0)</f>
        <v>0</v>
      </c>
      <c r="I231" s="31" t="str">
        <f aca="false">IF($B231="","",E231*H231)</f>
        <v/>
      </c>
      <c r="J231" s="52"/>
      <c r="K231" s="31" t="str">
        <f aca="false">IF($B231="","",G231*J231)</f>
        <v/>
      </c>
      <c r="L231" s="42" t="str">
        <f aca="false">IF($B231="","",G231-I231-K231)</f>
        <v/>
      </c>
      <c r="M231" s="43" t="str">
        <f aca="false">IFERROR(L231/G231,"")</f>
        <v/>
      </c>
      <c r="N231" s="51"/>
    </row>
    <row r="232" customFormat="false" ht="15" hidden="false" customHeight="false" outlineLevel="0" collapsed="false">
      <c r="A232" s="25"/>
      <c r="B232" s="21"/>
      <c r="C232" s="50" t="str">
        <f aca="false">IFERROR(INDEX('4. Costeo y Precios'!$B$14:$B$64,MATCH($B232,'4. Costeo y Precios'!$A$14:$A$64,0)),"")</f>
        <v/>
      </c>
      <c r="D232" s="24"/>
      <c r="E232" s="21"/>
      <c r="F232" s="22"/>
      <c r="G232" s="31" t="str">
        <f aca="false">IF($B232="","",E232*F232)</f>
        <v/>
      </c>
      <c r="H232" s="40" t="n">
        <f aca="false">IFERROR(INDEX('4. Costeo y Precios'!$P$14:$P$64,MATCH($B232,'4. Costeo y Precios'!$A$14:$A$64,0)),0)</f>
        <v>0</v>
      </c>
      <c r="I232" s="31" t="str">
        <f aca="false">IF($B232="","",E232*H232)</f>
        <v/>
      </c>
      <c r="J232" s="52"/>
      <c r="K232" s="31" t="str">
        <f aca="false">IF($B232="","",G232*J232)</f>
        <v/>
      </c>
      <c r="L232" s="42" t="str">
        <f aca="false">IF($B232="","",G232-I232-K232)</f>
        <v/>
      </c>
      <c r="M232" s="43" t="str">
        <f aca="false">IFERROR(L232/G232,"")</f>
        <v/>
      </c>
      <c r="N232" s="51"/>
    </row>
    <row r="233" customFormat="false" ht="15" hidden="false" customHeight="false" outlineLevel="0" collapsed="false">
      <c r="A233" s="25"/>
      <c r="B233" s="21"/>
      <c r="C233" s="50" t="str">
        <f aca="false">IFERROR(INDEX('4. Costeo y Precios'!$B$14:$B$64,MATCH($B233,'4. Costeo y Precios'!$A$14:$A$64,0)),"")</f>
        <v/>
      </c>
      <c r="D233" s="24"/>
      <c r="E233" s="21"/>
      <c r="F233" s="22"/>
      <c r="G233" s="31" t="str">
        <f aca="false">IF($B233="","",E233*F233)</f>
        <v/>
      </c>
      <c r="H233" s="40" t="n">
        <f aca="false">IFERROR(INDEX('4. Costeo y Precios'!$P$14:$P$64,MATCH($B233,'4. Costeo y Precios'!$A$14:$A$64,0)),0)</f>
        <v>0</v>
      </c>
      <c r="I233" s="31" t="str">
        <f aca="false">IF($B233="","",E233*H233)</f>
        <v/>
      </c>
      <c r="J233" s="52"/>
      <c r="K233" s="31" t="str">
        <f aca="false">IF($B233="","",G233*J233)</f>
        <v/>
      </c>
      <c r="L233" s="42" t="str">
        <f aca="false">IF($B233="","",G233-I233-K233)</f>
        <v/>
      </c>
      <c r="M233" s="43" t="str">
        <f aca="false">IFERROR(L233/G233,"")</f>
        <v/>
      </c>
      <c r="N233" s="51"/>
    </row>
    <row r="234" customFormat="false" ht="15" hidden="false" customHeight="false" outlineLevel="0" collapsed="false">
      <c r="A234" s="25"/>
      <c r="B234" s="21"/>
      <c r="C234" s="50" t="str">
        <f aca="false">IFERROR(INDEX('4. Costeo y Precios'!$B$14:$B$64,MATCH($B234,'4. Costeo y Precios'!$A$14:$A$64,0)),"")</f>
        <v/>
      </c>
      <c r="D234" s="24"/>
      <c r="E234" s="21"/>
      <c r="F234" s="22"/>
      <c r="G234" s="31" t="str">
        <f aca="false">IF($B234="","",E234*F234)</f>
        <v/>
      </c>
      <c r="H234" s="40" t="n">
        <f aca="false">IFERROR(INDEX('4. Costeo y Precios'!$P$14:$P$64,MATCH($B234,'4. Costeo y Precios'!$A$14:$A$64,0)),0)</f>
        <v>0</v>
      </c>
      <c r="I234" s="31" t="str">
        <f aca="false">IF($B234="","",E234*H234)</f>
        <v/>
      </c>
      <c r="J234" s="52"/>
      <c r="K234" s="31" t="str">
        <f aca="false">IF($B234="","",G234*J234)</f>
        <v/>
      </c>
      <c r="L234" s="42" t="str">
        <f aca="false">IF($B234="","",G234-I234-K234)</f>
        <v/>
      </c>
      <c r="M234" s="43" t="str">
        <f aca="false">IFERROR(L234/G234,"")</f>
        <v/>
      </c>
      <c r="N234" s="51"/>
    </row>
    <row r="235" customFormat="false" ht="15" hidden="false" customHeight="false" outlineLevel="0" collapsed="false">
      <c r="A235" s="25"/>
      <c r="B235" s="21"/>
      <c r="C235" s="50" t="str">
        <f aca="false">IFERROR(INDEX('4. Costeo y Precios'!$B$14:$B$64,MATCH($B235,'4. Costeo y Precios'!$A$14:$A$64,0)),"")</f>
        <v/>
      </c>
      <c r="D235" s="24"/>
      <c r="E235" s="21"/>
      <c r="F235" s="22"/>
      <c r="G235" s="31" t="str">
        <f aca="false">IF($B235="","",E235*F235)</f>
        <v/>
      </c>
      <c r="H235" s="40" t="n">
        <f aca="false">IFERROR(INDEX('4. Costeo y Precios'!$P$14:$P$64,MATCH($B235,'4. Costeo y Precios'!$A$14:$A$64,0)),0)</f>
        <v>0</v>
      </c>
      <c r="I235" s="31" t="str">
        <f aca="false">IF($B235="","",E235*H235)</f>
        <v/>
      </c>
      <c r="J235" s="52"/>
      <c r="K235" s="31" t="str">
        <f aca="false">IF($B235="","",G235*J235)</f>
        <v/>
      </c>
      <c r="L235" s="42" t="str">
        <f aca="false">IF($B235="","",G235-I235-K235)</f>
        <v/>
      </c>
      <c r="M235" s="43" t="str">
        <f aca="false">IFERROR(L235/G235,"")</f>
        <v/>
      </c>
      <c r="N235" s="51"/>
    </row>
    <row r="236" customFormat="false" ht="15" hidden="false" customHeight="false" outlineLevel="0" collapsed="false">
      <c r="A236" s="25"/>
      <c r="B236" s="21"/>
      <c r="C236" s="50" t="str">
        <f aca="false">IFERROR(INDEX('4. Costeo y Precios'!$B$14:$B$64,MATCH($B236,'4. Costeo y Precios'!$A$14:$A$64,0)),"")</f>
        <v/>
      </c>
      <c r="D236" s="24"/>
      <c r="E236" s="21"/>
      <c r="F236" s="22"/>
      <c r="G236" s="31" t="str">
        <f aca="false">IF($B236="","",E236*F236)</f>
        <v/>
      </c>
      <c r="H236" s="40" t="n">
        <f aca="false">IFERROR(INDEX('4. Costeo y Precios'!$P$14:$P$64,MATCH($B236,'4. Costeo y Precios'!$A$14:$A$64,0)),0)</f>
        <v>0</v>
      </c>
      <c r="I236" s="31" t="str">
        <f aca="false">IF($B236="","",E236*H236)</f>
        <v/>
      </c>
      <c r="J236" s="52"/>
      <c r="K236" s="31" t="str">
        <f aca="false">IF($B236="","",G236*J236)</f>
        <v/>
      </c>
      <c r="L236" s="42" t="str">
        <f aca="false">IF($B236="","",G236-I236-K236)</f>
        <v/>
      </c>
      <c r="M236" s="43" t="str">
        <f aca="false">IFERROR(L236/G236,"")</f>
        <v/>
      </c>
      <c r="N236" s="51"/>
    </row>
    <row r="237" customFormat="false" ht="15" hidden="false" customHeight="false" outlineLevel="0" collapsed="false">
      <c r="A237" s="25"/>
      <c r="B237" s="21"/>
      <c r="C237" s="50" t="str">
        <f aca="false">IFERROR(INDEX('4. Costeo y Precios'!$B$14:$B$64,MATCH($B237,'4. Costeo y Precios'!$A$14:$A$64,0)),"")</f>
        <v/>
      </c>
      <c r="D237" s="24"/>
      <c r="E237" s="21"/>
      <c r="F237" s="22"/>
      <c r="G237" s="31" t="str">
        <f aca="false">IF($B237="","",E237*F237)</f>
        <v/>
      </c>
      <c r="H237" s="40" t="n">
        <f aca="false">IFERROR(INDEX('4. Costeo y Precios'!$P$14:$P$64,MATCH($B237,'4. Costeo y Precios'!$A$14:$A$64,0)),0)</f>
        <v>0</v>
      </c>
      <c r="I237" s="31" t="str">
        <f aca="false">IF($B237="","",E237*H237)</f>
        <v/>
      </c>
      <c r="J237" s="52"/>
      <c r="K237" s="31" t="str">
        <f aca="false">IF($B237="","",G237*J237)</f>
        <v/>
      </c>
      <c r="L237" s="42" t="str">
        <f aca="false">IF($B237="","",G237-I237-K237)</f>
        <v/>
      </c>
      <c r="M237" s="43" t="str">
        <f aca="false">IFERROR(L237/G237,"")</f>
        <v/>
      </c>
      <c r="N237" s="51"/>
    </row>
    <row r="238" customFormat="false" ht="15" hidden="false" customHeight="false" outlineLevel="0" collapsed="false">
      <c r="A238" s="25"/>
      <c r="B238" s="21"/>
      <c r="C238" s="50" t="str">
        <f aca="false">IFERROR(INDEX('4. Costeo y Precios'!$B$14:$B$64,MATCH($B238,'4. Costeo y Precios'!$A$14:$A$64,0)),"")</f>
        <v/>
      </c>
      <c r="D238" s="24"/>
      <c r="E238" s="21"/>
      <c r="F238" s="22"/>
      <c r="G238" s="31" t="str">
        <f aca="false">IF($B238="","",E238*F238)</f>
        <v/>
      </c>
      <c r="H238" s="40" t="n">
        <f aca="false">IFERROR(INDEX('4. Costeo y Precios'!$P$14:$P$64,MATCH($B238,'4. Costeo y Precios'!$A$14:$A$64,0)),0)</f>
        <v>0</v>
      </c>
      <c r="I238" s="31" t="str">
        <f aca="false">IF($B238="","",E238*H238)</f>
        <v/>
      </c>
      <c r="J238" s="52"/>
      <c r="K238" s="31" t="str">
        <f aca="false">IF($B238="","",G238*J238)</f>
        <v/>
      </c>
      <c r="L238" s="42" t="str">
        <f aca="false">IF($B238="","",G238-I238-K238)</f>
        <v/>
      </c>
      <c r="M238" s="43" t="str">
        <f aca="false">IFERROR(L238/G238,"")</f>
        <v/>
      </c>
      <c r="N238" s="51"/>
    </row>
    <row r="239" customFormat="false" ht="15" hidden="false" customHeight="false" outlineLevel="0" collapsed="false">
      <c r="A239" s="25"/>
      <c r="B239" s="21"/>
      <c r="C239" s="50" t="str">
        <f aca="false">IFERROR(INDEX('4. Costeo y Precios'!$B$14:$B$64,MATCH($B239,'4. Costeo y Precios'!$A$14:$A$64,0)),"")</f>
        <v/>
      </c>
      <c r="D239" s="24"/>
      <c r="E239" s="21"/>
      <c r="F239" s="22"/>
      <c r="G239" s="31" t="str">
        <f aca="false">IF($B239="","",E239*F239)</f>
        <v/>
      </c>
      <c r="H239" s="40" t="n">
        <f aca="false">IFERROR(INDEX('4. Costeo y Precios'!$P$14:$P$64,MATCH($B239,'4. Costeo y Precios'!$A$14:$A$64,0)),0)</f>
        <v>0</v>
      </c>
      <c r="I239" s="31" t="str">
        <f aca="false">IF($B239="","",E239*H239)</f>
        <v/>
      </c>
      <c r="J239" s="52"/>
      <c r="K239" s="31" t="str">
        <f aca="false">IF($B239="","",G239*J239)</f>
        <v/>
      </c>
      <c r="L239" s="42" t="str">
        <f aca="false">IF($B239="","",G239-I239-K239)</f>
        <v/>
      </c>
      <c r="M239" s="43" t="str">
        <f aca="false">IFERROR(L239/G239,"")</f>
        <v/>
      </c>
      <c r="N239" s="51"/>
    </row>
    <row r="240" customFormat="false" ht="15" hidden="false" customHeight="false" outlineLevel="0" collapsed="false">
      <c r="A240" s="25"/>
      <c r="B240" s="21"/>
      <c r="C240" s="50" t="str">
        <f aca="false">IFERROR(INDEX('4. Costeo y Precios'!$B$14:$B$64,MATCH($B240,'4. Costeo y Precios'!$A$14:$A$64,0)),"")</f>
        <v/>
      </c>
      <c r="D240" s="24"/>
      <c r="E240" s="21"/>
      <c r="F240" s="22"/>
      <c r="G240" s="31" t="str">
        <f aca="false">IF($B240="","",E240*F240)</f>
        <v/>
      </c>
      <c r="H240" s="40" t="n">
        <f aca="false">IFERROR(INDEX('4. Costeo y Precios'!$P$14:$P$64,MATCH($B240,'4. Costeo y Precios'!$A$14:$A$64,0)),0)</f>
        <v>0</v>
      </c>
      <c r="I240" s="31" t="str">
        <f aca="false">IF($B240="","",E240*H240)</f>
        <v/>
      </c>
      <c r="J240" s="52"/>
      <c r="K240" s="31" t="str">
        <f aca="false">IF($B240="","",G240*J240)</f>
        <v/>
      </c>
      <c r="L240" s="42" t="str">
        <f aca="false">IF($B240="","",G240-I240-K240)</f>
        <v/>
      </c>
      <c r="M240" s="43" t="str">
        <f aca="false">IFERROR(L240/G240,"")</f>
        <v/>
      </c>
      <c r="N240" s="51"/>
    </row>
    <row r="241" customFormat="false" ht="15" hidden="false" customHeight="false" outlineLevel="0" collapsed="false">
      <c r="A241" s="25"/>
      <c r="B241" s="21"/>
      <c r="C241" s="50" t="str">
        <f aca="false">IFERROR(INDEX('4. Costeo y Precios'!$B$14:$B$64,MATCH($B241,'4. Costeo y Precios'!$A$14:$A$64,0)),"")</f>
        <v/>
      </c>
      <c r="D241" s="24"/>
      <c r="E241" s="21"/>
      <c r="F241" s="22"/>
      <c r="G241" s="31" t="str">
        <f aca="false">IF($B241="","",E241*F241)</f>
        <v/>
      </c>
      <c r="H241" s="40" t="n">
        <f aca="false">IFERROR(INDEX('4. Costeo y Precios'!$P$14:$P$64,MATCH($B241,'4. Costeo y Precios'!$A$14:$A$64,0)),0)</f>
        <v>0</v>
      </c>
      <c r="I241" s="31" t="str">
        <f aca="false">IF($B241="","",E241*H241)</f>
        <v/>
      </c>
      <c r="J241" s="52"/>
      <c r="K241" s="31" t="str">
        <f aca="false">IF($B241="","",G241*J241)</f>
        <v/>
      </c>
      <c r="L241" s="42" t="str">
        <f aca="false">IF($B241="","",G241-I241-K241)</f>
        <v/>
      </c>
      <c r="M241" s="43" t="str">
        <f aca="false">IFERROR(L241/G241,"")</f>
        <v/>
      </c>
      <c r="N241" s="51"/>
    </row>
    <row r="242" customFormat="false" ht="15" hidden="false" customHeight="false" outlineLevel="0" collapsed="false">
      <c r="A242" s="25"/>
      <c r="B242" s="21"/>
      <c r="C242" s="50" t="str">
        <f aca="false">IFERROR(INDEX('4. Costeo y Precios'!$B$14:$B$64,MATCH($B242,'4. Costeo y Precios'!$A$14:$A$64,0)),"")</f>
        <v/>
      </c>
      <c r="D242" s="24"/>
      <c r="E242" s="21"/>
      <c r="F242" s="22"/>
      <c r="G242" s="31" t="str">
        <f aca="false">IF($B242="","",E242*F242)</f>
        <v/>
      </c>
      <c r="H242" s="40" t="n">
        <f aca="false">IFERROR(INDEX('4. Costeo y Precios'!$P$14:$P$64,MATCH($B242,'4. Costeo y Precios'!$A$14:$A$64,0)),0)</f>
        <v>0</v>
      </c>
      <c r="I242" s="31" t="str">
        <f aca="false">IF($B242="","",E242*H242)</f>
        <v/>
      </c>
      <c r="J242" s="52"/>
      <c r="K242" s="31" t="str">
        <f aca="false">IF($B242="","",G242*J242)</f>
        <v/>
      </c>
      <c r="L242" s="42" t="str">
        <f aca="false">IF($B242="","",G242-I242-K242)</f>
        <v/>
      </c>
      <c r="M242" s="43" t="str">
        <f aca="false">IFERROR(L242/G242,"")</f>
        <v/>
      </c>
      <c r="N242" s="51"/>
    </row>
    <row r="243" customFormat="false" ht="15" hidden="false" customHeight="false" outlineLevel="0" collapsed="false">
      <c r="A243" s="25"/>
      <c r="B243" s="21"/>
      <c r="C243" s="50" t="str">
        <f aca="false">IFERROR(INDEX('4. Costeo y Precios'!$B$14:$B$64,MATCH($B243,'4. Costeo y Precios'!$A$14:$A$64,0)),"")</f>
        <v/>
      </c>
      <c r="D243" s="24"/>
      <c r="E243" s="21"/>
      <c r="F243" s="22"/>
      <c r="G243" s="31" t="str">
        <f aca="false">IF($B243="","",E243*F243)</f>
        <v/>
      </c>
      <c r="H243" s="40" t="n">
        <f aca="false">IFERROR(INDEX('4. Costeo y Precios'!$P$14:$P$64,MATCH($B243,'4. Costeo y Precios'!$A$14:$A$64,0)),0)</f>
        <v>0</v>
      </c>
      <c r="I243" s="31" t="str">
        <f aca="false">IF($B243="","",E243*H243)</f>
        <v/>
      </c>
      <c r="J243" s="52"/>
      <c r="K243" s="31" t="str">
        <f aca="false">IF($B243="","",G243*J243)</f>
        <v/>
      </c>
      <c r="L243" s="42" t="str">
        <f aca="false">IF($B243="","",G243-I243-K243)</f>
        <v/>
      </c>
      <c r="M243" s="43" t="str">
        <f aca="false">IFERROR(L243/G243,"")</f>
        <v/>
      </c>
      <c r="N243" s="51"/>
    </row>
    <row r="244" customFormat="false" ht="15" hidden="false" customHeight="false" outlineLevel="0" collapsed="false">
      <c r="A244" s="25"/>
      <c r="B244" s="21"/>
      <c r="C244" s="50" t="str">
        <f aca="false">IFERROR(INDEX('4. Costeo y Precios'!$B$14:$B$64,MATCH($B244,'4. Costeo y Precios'!$A$14:$A$64,0)),"")</f>
        <v/>
      </c>
      <c r="D244" s="24"/>
      <c r="E244" s="21"/>
      <c r="F244" s="22"/>
      <c r="G244" s="31" t="str">
        <f aca="false">IF($B244="","",E244*F244)</f>
        <v/>
      </c>
      <c r="H244" s="40" t="n">
        <f aca="false">IFERROR(INDEX('4. Costeo y Precios'!$P$14:$P$64,MATCH($B244,'4. Costeo y Precios'!$A$14:$A$64,0)),0)</f>
        <v>0</v>
      </c>
      <c r="I244" s="31" t="str">
        <f aca="false">IF($B244="","",E244*H244)</f>
        <v/>
      </c>
      <c r="J244" s="52"/>
      <c r="K244" s="31" t="str">
        <f aca="false">IF($B244="","",G244*J244)</f>
        <v/>
      </c>
      <c r="L244" s="42" t="str">
        <f aca="false">IF($B244="","",G244-I244-K244)</f>
        <v/>
      </c>
      <c r="M244" s="43" t="str">
        <f aca="false">IFERROR(L244/G244,"")</f>
        <v/>
      </c>
      <c r="N244" s="51"/>
    </row>
    <row r="245" customFormat="false" ht="15" hidden="false" customHeight="false" outlineLevel="0" collapsed="false">
      <c r="A245" s="25"/>
      <c r="B245" s="21"/>
      <c r="C245" s="50" t="str">
        <f aca="false">IFERROR(INDEX('4. Costeo y Precios'!$B$14:$B$64,MATCH($B245,'4. Costeo y Precios'!$A$14:$A$64,0)),"")</f>
        <v/>
      </c>
      <c r="D245" s="24"/>
      <c r="E245" s="21"/>
      <c r="F245" s="22"/>
      <c r="G245" s="31" t="str">
        <f aca="false">IF($B245="","",E245*F245)</f>
        <v/>
      </c>
      <c r="H245" s="40" t="n">
        <f aca="false">IFERROR(INDEX('4. Costeo y Precios'!$P$14:$P$64,MATCH($B245,'4. Costeo y Precios'!$A$14:$A$64,0)),0)</f>
        <v>0</v>
      </c>
      <c r="I245" s="31" t="str">
        <f aca="false">IF($B245="","",E245*H245)</f>
        <v/>
      </c>
      <c r="J245" s="52"/>
      <c r="K245" s="31" t="str">
        <f aca="false">IF($B245="","",G245*J245)</f>
        <v/>
      </c>
      <c r="L245" s="42" t="str">
        <f aca="false">IF($B245="","",G245-I245-K245)</f>
        <v/>
      </c>
      <c r="M245" s="43" t="str">
        <f aca="false">IFERROR(L245/G245,"")</f>
        <v/>
      </c>
      <c r="N245" s="51"/>
    </row>
    <row r="246" customFormat="false" ht="15" hidden="false" customHeight="false" outlineLevel="0" collapsed="false">
      <c r="A246" s="25"/>
      <c r="B246" s="21"/>
      <c r="C246" s="50" t="str">
        <f aca="false">IFERROR(INDEX('4. Costeo y Precios'!$B$14:$B$64,MATCH($B246,'4. Costeo y Precios'!$A$14:$A$64,0)),"")</f>
        <v/>
      </c>
      <c r="D246" s="24"/>
      <c r="E246" s="21"/>
      <c r="F246" s="22"/>
      <c r="G246" s="31" t="str">
        <f aca="false">IF($B246="","",E246*F246)</f>
        <v/>
      </c>
      <c r="H246" s="40" t="n">
        <f aca="false">IFERROR(INDEX('4. Costeo y Precios'!$P$14:$P$64,MATCH($B246,'4. Costeo y Precios'!$A$14:$A$64,0)),0)</f>
        <v>0</v>
      </c>
      <c r="I246" s="31" t="str">
        <f aca="false">IF($B246="","",E246*H246)</f>
        <v/>
      </c>
      <c r="J246" s="52"/>
      <c r="K246" s="31" t="str">
        <f aca="false">IF($B246="","",G246*J246)</f>
        <v/>
      </c>
      <c r="L246" s="42" t="str">
        <f aca="false">IF($B246="","",G246-I246-K246)</f>
        <v/>
      </c>
      <c r="M246" s="43" t="str">
        <f aca="false">IFERROR(L246/G246,"")</f>
        <v/>
      </c>
      <c r="N246" s="51"/>
    </row>
    <row r="247" customFormat="false" ht="15" hidden="false" customHeight="false" outlineLevel="0" collapsed="false">
      <c r="A247" s="25"/>
      <c r="B247" s="21"/>
      <c r="C247" s="50" t="str">
        <f aca="false">IFERROR(INDEX('4. Costeo y Precios'!$B$14:$B$64,MATCH($B247,'4. Costeo y Precios'!$A$14:$A$64,0)),"")</f>
        <v/>
      </c>
      <c r="D247" s="24"/>
      <c r="E247" s="21"/>
      <c r="F247" s="22"/>
      <c r="G247" s="31" t="str">
        <f aca="false">IF($B247="","",E247*F247)</f>
        <v/>
      </c>
      <c r="H247" s="40" t="n">
        <f aca="false">IFERROR(INDEX('4. Costeo y Precios'!$P$14:$P$64,MATCH($B247,'4. Costeo y Precios'!$A$14:$A$64,0)),0)</f>
        <v>0</v>
      </c>
      <c r="I247" s="31" t="str">
        <f aca="false">IF($B247="","",E247*H247)</f>
        <v/>
      </c>
      <c r="J247" s="52"/>
      <c r="K247" s="31" t="str">
        <f aca="false">IF($B247="","",G247*J247)</f>
        <v/>
      </c>
      <c r="L247" s="42" t="str">
        <f aca="false">IF($B247="","",G247-I247-K247)</f>
        <v/>
      </c>
      <c r="M247" s="43" t="str">
        <f aca="false">IFERROR(L247/G247,"")</f>
        <v/>
      </c>
      <c r="N247" s="51"/>
    </row>
    <row r="248" customFormat="false" ht="15" hidden="false" customHeight="false" outlineLevel="0" collapsed="false">
      <c r="A248" s="25"/>
      <c r="B248" s="21"/>
      <c r="C248" s="50" t="str">
        <f aca="false">IFERROR(INDEX('4. Costeo y Precios'!$B$14:$B$64,MATCH($B248,'4. Costeo y Precios'!$A$14:$A$64,0)),"")</f>
        <v/>
      </c>
      <c r="D248" s="24"/>
      <c r="E248" s="21"/>
      <c r="F248" s="22"/>
      <c r="G248" s="31" t="str">
        <f aca="false">IF($B248="","",E248*F248)</f>
        <v/>
      </c>
      <c r="H248" s="40" t="n">
        <f aca="false">IFERROR(INDEX('4. Costeo y Precios'!$P$14:$P$64,MATCH($B248,'4. Costeo y Precios'!$A$14:$A$64,0)),0)</f>
        <v>0</v>
      </c>
      <c r="I248" s="31" t="str">
        <f aca="false">IF($B248="","",E248*H248)</f>
        <v/>
      </c>
      <c r="J248" s="52"/>
      <c r="K248" s="31" t="str">
        <f aca="false">IF($B248="","",G248*J248)</f>
        <v/>
      </c>
      <c r="L248" s="42" t="str">
        <f aca="false">IF($B248="","",G248-I248-K248)</f>
        <v/>
      </c>
      <c r="M248" s="43" t="str">
        <f aca="false">IFERROR(L248/G248,"")</f>
        <v/>
      </c>
      <c r="N248" s="51"/>
    </row>
    <row r="249" customFormat="false" ht="15" hidden="false" customHeight="false" outlineLevel="0" collapsed="false">
      <c r="A249" s="25"/>
      <c r="B249" s="21"/>
      <c r="C249" s="50" t="str">
        <f aca="false">IFERROR(INDEX('4. Costeo y Precios'!$B$14:$B$64,MATCH($B249,'4. Costeo y Precios'!$A$14:$A$64,0)),"")</f>
        <v/>
      </c>
      <c r="D249" s="24"/>
      <c r="E249" s="21"/>
      <c r="F249" s="22"/>
      <c r="G249" s="31" t="str">
        <f aca="false">IF($B249="","",E249*F249)</f>
        <v/>
      </c>
      <c r="H249" s="40" t="n">
        <f aca="false">IFERROR(INDEX('4. Costeo y Precios'!$P$14:$P$64,MATCH($B249,'4. Costeo y Precios'!$A$14:$A$64,0)),0)</f>
        <v>0</v>
      </c>
      <c r="I249" s="31" t="str">
        <f aca="false">IF($B249="","",E249*H249)</f>
        <v/>
      </c>
      <c r="J249" s="52"/>
      <c r="K249" s="31" t="str">
        <f aca="false">IF($B249="","",G249*J249)</f>
        <v/>
      </c>
      <c r="L249" s="42" t="str">
        <f aca="false">IF($B249="","",G249-I249-K249)</f>
        <v/>
      </c>
      <c r="M249" s="43" t="str">
        <f aca="false">IFERROR(L249/G249,"")</f>
        <v/>
      </c>
      <c r="N249" s="51"/>
    </row>
    <row r="250" customFormat="false" ht="15" hidden="false" customHeight="false" outlineLevel="0" collapsed="false">
      <c r="A250" s="25"/>
      <c r="B250" s="21"/>
      <c r="C250" s="50" t="str">
        <f aca="false">IFERROR(INDEX('4. Costeo y Precios'!$B$14:$B$64,MATCH($B250,'4. Costeo y Precios'!$A$14:$A$64,0)),"")</f>
        <v/>
      </c>
      <c r="D250" s="24"/>
      <c r="E250" s="21"/>
      <c r="F250" s="22"/>
      <c r="G250" s="31" t="str">
        <f aca="false">IF($B250="","",E250*F250)</f>
        <v/>
      </c>
      <c r="H250" s="40" t="n">
        <f aca="false">IFERROR(INDEX('4. Costeo y Precios'!$P$14:$P$64,MATCH($B250,'4. Costeo y Precios'!$A$14:$A$64,0)),0)</f>
        <v>0</v>
      </c>
      <c r="I250" s="31" t="str">
        <f aca="false">IF($B250="","",E250*H250)</f>
        <v/>
      </c>
      <c r="J250" s="52"/>
      <c r="K250" s="31" t="str">
        <f aca="false">IF($B250="","",G250*J250)</f>
        <v/>
      </c>
      <c r="L250" s="42" t="str">
        <f aca="false">IF($B250="","",G250-I250-K250)</f>
        <v/>
      </c>
      <c r="M250" s="43" t="str">
        <f aca="false">IFERROR(L250/G250,"")</f>
        <v/>
      </c>
      <c r="N250" s="51"/>
    </row>
    <row r="251" customFormat="false" ht="15" hidden="false" customHeight="false" outlineLevel="0" collapsed="false">
      <c r="A251" s="25"/>
      <c r="B251" s="21"/>
      <c r="C251" s="50" t="str">
        <f aca="false">IFERROR(INDEX('4. Costeo y Precios'!$B$14:$B$64,MATCH($B251,'4. Costeo y Precios'!$A$14:$A$64,0)),"")</f>
        <v/>
      </c>
      <c r="D251" s="24"/>
      <c r="E251" s="21"/>
      <c r="F251" s="22"/>
      <c r="G251" s="31" t="str">
        <f aca="false">IF($B251="","",E251*F251)</f>
        <v/>
      </c>
      <c r="H251" s="40" t="n">
        <f aca="false">IFERROR(INDEX('4. Costeo y Precios'!$P$14:$P$64,MATCH($B251,'4. Costeo y Precios'!$A$14:$A$64,0)),0)</f>
        <v>0</v>
      </c>
      <c r="I251" s="31" t="str">
        <f aca="false">IF($B251="","",E251*H251)</f>
        <v/>
      </c>
      <c r="J251" s="52"/>
      <c r="K251" s="31" t="str">
        <f aca="false">IF($B251="","",G251*J251)</f>
        <v/>
      </c>
      <c r="L251" s="42" t="str">
        <f aca="false">IF($B251="","",G251-I251-K251)</f>
        <v/>
      </c>
      <c r="M251" s="43" t="str">
        <f aca="false">IFERROR(L251/G251,"")</f>
        <v/>
      </c>
      <c r="N251" s="51"/>
    </row>
    <row r="252" customFormat="false" ht="15" hidden="false" customHeight="false" outlineLevel="0" collapsed="false">
      <c r="A252" s="25"/>
      <c r="B252" s="21"/>
      <c r="C252" s="50" t="str">
        <f aca="false">IFERROR(INDEX('4. Costeo y Precios'!$B$14:$B$64,MATCH($B252,'4. Costeo y Precios'!$A$14:$A$64,0)),"")</f>
        <v/>
      </c>
      <c r="D252" s="24"/>
      <c r="E252" s="21"/>
      <c r="F252" s="22"/>
      <c r="G252" s="31" t="str">
        <f aca="false">IF($B252="","",E252*F252)</f>
        <v/>
      </c>
      <c r="H252" s="40" t="n">
        <f aca="false">IFERROR(INDEX('4. Costeo y Precios'!$P$14:$P$64,MATCH($B252,'4. Costeo y Precios'!$A$14:$A$64,0)),0)</f>
        <v>0</v>
      </c>
      <c r="I252" s="31" t="str">
        <f aca="false">IF($B252="","",E252*H252)</f>
        <v/>
      </c>
      <c r="J252" s="52"/>
      <c r="K252" s="31" t="str">
        <f aca="false">IF($B252="","",G252*J252)</f>
        <v/>
      </c>
      <c r="L252" s="42" t="str">
        <f aca="false">IF($B252="","",G252-I252-K252)</f>
        <v/>
      </c>
      <c r="M252" s="43" t="str">
        <f aca="false">IFERROR(L252/G252,"")</f>
        <v/>
      </c>
      <c r="N252" s="51"/>
    </row>
    <row r="253" customFormat="false" ht="15" hidden="false" customHeight="false" outlineLevel="0" collapsed="false">
      <c r="A253" s="25"/>
      <c r="B253" s="21"/>
      <c r="C253" s="50" t="str">
        <f aca="false">IFERROR(INDEX('4. Costeo y Precios'!$B$14:$B$64,MATCH($B253,'4. Costeo y Precios'!$A$14:$A$64,0)),"")</f>
        <v/>
      </c>
      <c r="D253" s="24"/>
      <c r="E253" s="21"/>
      <c r="F253" s="22"/>
      <c r="G253" s="31" t="str">
        <f aca="false">IF($B253="","",E253*F253)</f>
        <v/>
      </c>
      <c r="H253" s="40" t="n">
        <f aca="false">IFERROR(INDEX('4. Costeo y Precios'!$P$14:$P$64,MATCH($B253,'4. Costeo y Precios'!$A$14:$A$64,0)),0)</f>
        <v>0</v>
      </c>
      <c r="I253" s="31" t="str">
        <f aca="false">IF($B253="","",E253*H253)</f>
        <v/>
      </c>
      <c r="J253" s="52"/>
      <c r="K253" s="31" t="str">
        <f aca="false">IF($B253="","",G253*J253)</f>
        <v/>
      </c>
      <c r="L253" s="42" t="str">
        <f aca="false">IF($B253="","",G253-I253-K253)</f>
        <v/>
      </c>
      <c r="M253" s="43" t="str">
        <f aca="false">IFERROR(L253/G253,"")</f>
        <v/>
      </c>
      <c r="N253" s="51"/>
    </row>
    <row r="254" customFormat="false" ht="15" hidden="false" customHeight="false" outlineLevel="0" collapsed="false">
      <c r="A254" s="25"/>
      <c r="B254" s="21"/>
      <c r="C254" s="50" t="str">
        <f aca="false">IFERROR(INDEX('4. Costeo y Precios'!$B$14:$B$64,MATCH($B254,'4. Costeo y Precios'!$A$14:$A$64,0)),"")</f>
        <v/>
      </c>
      <c r="D254" s="24"/>
      <c r="E254" s="21"/>
      <c r="F254" s="22"/>
      <c r="G254" s="31" t="str">
        <f aca="false">IF($B254="","",E254*F254)</f>
        <v/>
      </c>
      <c r="H254" s="40" t="n">
        <f aca="false">IFERROR(INDEX('4. Costeo y Precios'!$P$14:$P$64,MATCH($B254,'4. Costeo y Precios'!$A$14:$A$64,0)),0)</f>
        <v>0</v>
      </c>
      <c r="I254" s="31" t="str">
        <f aca="false">IF($B254="","",E254*H254)</f>
        <v/>
      </c>
      <c r="J254" s="52"/>
      <c r="K254" s="31" t="str">
        <f aca="false">IF($B254="","",G254*J254)</f>
        <v/>
      </c>
      <c r="L254" s="42" t="str">
        <f aca="false">IF($B254="","",G254-I254-K254)</f>
        <v/>
      </c>
      <c r="M254" s="43" t="str">
        <f aca="false">IFERROR(L254/G254,"")</f>
        <v/>
      </c>
      <c r="N254" s="51"/>
    </row>
    <row r="255" customFormat="false" ht="15" hidden="false" customHeight="false" outlineLevel="0" collapsed="false">
      <c r="A255" s="25"/>
      <c r="B255" s="21"/>
      <c r="C255" s="50" t="str">
        <f aca="false">IFERROR(INDEX('4. Costeo y Precios'!$B$14:$B$64,MATCH($B255,'4. Costeo y Precios'!$A$14:$A$64,0)),"")</f>
        <v/>
      </c>
      <c r="D255" s="24"/>
      <c r="E255" s="21"/>
      <c r="F255" s="22"/>
      <c r="G255" s="31" t="str">
        <f aca="false">IF($B255="","",E255*F255)</f>
        <v/>
      </c>
      <c r="H255" s="40" t="n">
        <f aca="false">IFERROR(INDEX('4. Costeo y Precios'!$P$14:$P$64,MATCH($B255,'4. Costeo y Precios'!$A$14:$A$64,0)),0)</f>
        <v>0</v>
      </c>
      <c r="I255" s="31" t="str">
        <f aca="false">IF($B255="","",E255*H255)</f>
        <v/>
      </c>
      <c r="J255" s="52"/>
      <c r="K255" s="31" t="str">
        <f aca="false">IF($B255="","",G255*J255)</f>
        <v/>
      </c>
      <c r="L255" s="42" t="str">
        <f aca="false">IF($B255="","",G255-I255-K255)</f>
        <v/>
      </c>
      <c r="M255" s="43" t="str">
        <f aca="false">IFERROR(L255/G255,"")</f>
        <v/>
      </c>
      <c r="N255" s="51"/>
    </row>
    <row r="256" customFormat="false" ht="15" hidden="false" customHeight="false" outlineLevel="0" collapsed="false">
      <c r="A256" s="25"/>
      <c r="B256" s="21"/>
      <c r="C256" s="50" t="str">
        <f aca="false">IFERROR(INDEX('4. Costeo y Precios'!$B$14:$B$64,MATCH($B256,'4. Costeo y Precios'!$A$14:$A$64,0)),"")</f>
        <v/>
      </c>
      <c r="D256" s="24"/>
      <c r="E256" s="21"/>
      <c r="F256" s="22"/>
      <c r="G256" s="31" t="str">
        <f aca="false">IF($B256="","",E256*F256)</f>
        <v/>
      </c>
      <c r="H256" s="40" t="n">
        <f aca="false">IFERROR(INDEX('4. Costeo y Precios'!$P$14:$P$64,MATCH($B256,'4. Costeo y Precios'!$A$14:$A$64,0)),0)</f>
        <v>0</v>
      </c>
      <c r="I256" s="31" t="str">
        <f aca="false">IF($B256="","",E256*H256)</f>
        <v/>
      </c>
      <c r="J256" s="52"/>
      <c r="K256" s="31" t="str">
        <f aca="false">IF($B256="","",G256*J256)</f>
        <v/>
      </c>
      <c r="L256" s="42" t="str">
        <f aca="false">IF($B256="","",G256-I256-K256)</f>
        <v/>
      </c>
      <c r="M256" s="43" t="str">
        <f aca="false">IFERROR(L256/G256,"")</f>
        <v/>
      </c>
      <c r="N256" s="51"/>
    </row>
    <row r="257" customFormat="false" ht="15" hidden="false" customHeight="false" outlineLevel="0" collapsed="false">
      <c r="A257" s="25"/>
      <c r="B257" s="21"/>
      <c r="C257" s="50" t="str">
        <f aca="false">IFERROR(INDEX('4. Costeo y Precios'!$B$14:$B$64,MATCH($B257,'4. Costeo y Precios'!$A$14:$A$64,0)),"")</f>
        <v/>
      </c>
      <c r="D257" s="24"/>
      <c r="E257" s="21"/>
      <c r="F257" s="22"/>
      <c r="G257" s="31" t="str">
        <f aca="false">IF($B257="","",E257*F257)</f>
        <v/>
      </c>
      <c r="H257" s="40" t="n">
        <f aca="false">IFERROR(INDEX('4. Costeo y Precios'!$P$14:$P$64,MATCH($B257,'4. Costeo y Precios'!$A$14:$A$64,0)),0)</f>
        <v>0</v>
      </c>
      <c r="I257" s="31" t="str">
        <f aca="false">IF($B257="","",E257*H257)</f>
        <v/>
      </c>
      <c r="J257" s="52"/>
      <c r="K257" s="31" t="str">
        <f aca="false">IF($B257="","",G257*J257)</f>
        <v/>
      </c>
      <c r="L257" s="42" t="str">
        <f aca="false">IF($B257="","",G257-I257-K257)</f>
        <v/>
      </c>
      <c r="M257" s="43" t="str">
        <f aca="false">IFERROR(L257/G257,"")</f>
        <v/>
      </c>
      <c r="N257" s="51"/>
    </row>
    <row r="258" customFormat="false" ht="15" hidden="false" customHeight="false" outlineLevel="0" collapsed="false">
      <c r="A258" s="25"/>
      <c r="B258" s="21"/>
      <c r="C258" s="50" t="str">
        <f aca="false">IFERROR(INDEX('4. Costeo y Precios'!$B$14:$B$64,MATCH($B258,'4. Costeo y Precios'!$A$14:$A$64,0)),"")</f>
        <v/>
      </c>
      <c r="D258" s="24"/>
      <c r="E258" s="21"/>
      <c r="F258" s="22"/>
      <c r="G258" s="31" t="str">
        <f aca="false">IF($B258="","",E258*F258)</f>
        <v/>
      </c>
      <c r="H258" s="40" t="n">
        <f aca="false">IFERROR(INDEX('4. Costeo y Precios'!$P$14:$P$64,MATCH($B258,'4. Costeo y Precios'!$A$14:$A$64,0)),0)</f>
        <v>0</v>
      </c>
      <c r="I258" s="31" t="str">
        <f aca="false">IF($B258="","",E258*H258)</f>
        <v/>
      </c>
      <c r="J258" s="52"/>
      <c r="K258" s="31" t="str">
        <f aca="false">IF($B258="","",G258*J258)</f>
        <v/>
      </c>
      <c r="L258" s="42" t="str">
        <f aca="false">IF($B258="","",G258-I258-K258)</f>
        <v/>
      </c>
      <c r="M258" s="43" t="str">
        <f aca="false">IFERROR(L258/G258,"")</f>
        <v/>
      </c>
      <c r="N258" s="51"/>
    </row>
    <row r="259" customFormat="false" ht="15" hidden="false" customHeight="false" outlineLevel="0" collapsed="false">
      <c r="A259" s="25"/>
      <c r="B259" s="21"/>
      <c r="C259" s="50" t="str">
        <f aca="false">IFERROR(INDEX('4. Costeo y Precios'!$B$14:$B$64,MATCH($B259,'4. Costeo y Precios'!$A$14:$A$64,0)),"")</f>
        <v/>
      </c>
      <c r="D259" s="24"/>
      <c r="E259" s="21"/>
      <c r="F259" s="22"/>
      <c r="G259" s="31" t="str">
        <f aca="false">IF($B259="","",E259*F259)</f>
        <v/>
      </c>
      <c r="H259" s="40" t="n">
        <f aca="false">IFERROR(INDEX('4. Costeo y Precios'!$P$14:$P$64,MATCH($B259,'4. Costeo y Precios'!$A$14:$A$64,0)),0)</f>
        <v>0</v>
      </c>
      <c r="I259" s="31" t="str">
        <f aca="false">IF($B259="","",E259*H259)</f>
        <v/>
      </c>
      <c r="J259" s="52"/>
      <c r="K259" s="31" t="str">
        <f aca="false">IF($B259="","",G259*J259)</f>
        <v/>
      </c>
      <c r="L259" s="42" t="str">
        <f aca="false">IF($B259="","",G259-I259-K259)</f>
        <v/>
      </c>
      <c r="M259" s="43" t="str">
        <f aca="false">IFERROR(L259/G259,"")</f>
        <v/>
      </c>
      <c r="N259" s="51"/>
    </row>
    <row r="260" customFormat="false" ht="15" hidden="false" customHeight="false" outlineLevel="0" collapsed="false">
      <c r="A260" s="25"/>
      <c r="B260" s="21"/>
      <c r="C260" s="50" t="str">
        <f aca="false">IFERROR(INDEX('4. Costeo y Precios'!$B$14:$B$64,MATCH($B260,'4. Costeo y Precios'!$A$14:$A$64,0)),"")</f>
        <v/>
      </c>
      <c r="D260" s="24"/>
      <c r="E260" s="21"/>
      <c r="F260" s="22"/>
      <c r="G260" s="31" t="str">
        <f aca="false">IF($B260="","",E260*F260)</f>
        <v/>
      </c>
      <c r="H260" s="40" t="n">
        <f aca="false">IFERROR(INDEX('4. Costeo y Precios'!$P$14:$P$64,MATCH($B260,'4. Costeo y Precios'!$A$14:$A$64,0)),0)</f>
        <v>0</v>
      </c>
      <c r="I260" s="31" t="str">
        <f aca="false">IF($B260="","",E260*H260)</f>
        <v/>
      </c>
      <c r="J260" s="52"/>
      <c r="K260" s="31" t="str">
        <f aca="false">IF($B260="","",G260*J260)</f>
        <v/>
      </c>
      <c r="L260" s="42" t="str">
        <f aca="false">IF($B260="","",G260-I260-K260)</f>
        <v/>
      </c>
      <c r="M260" s="43" t="str">
        <f aca="false">IFERROR(L260/G260,"")</f>
        <v/>
      </c>
      <c r="N260" s="51"/>
    </row>
    <row r="261" customFormat="false" ht="15" hidden="false" customHeight="false" outlineLevel="0" collapsed="false">
      <c r="A261" s="25"/>
      <c r="B261" s="21"/>
      <c r="C261" s="50" t="str">
        <f aca="false">IFERROR(INDEX('4. Costeo y Precios'!$B$14:$B$64,MATCH($B261,'4. Costeo y Precios'!$A$14:$A$64,0)),"")</f>
        <v/>
      </c>
      <c r="D261" s="24"/>
      <c r="E261" s="21"/>
      <c r="F261" s="22"/>
      <c r="G261" s="31" t="str">
        <f aca="false">IF($B261="","",E261*F261)</f>
        <v/>
      </c>
      <c r="H261" s="40" t="n">
        <f aca="false">IFERROR(INDEX('4. Costeo y Precios'!$P$14:$P$64,MATCH($B261,'4. Costeo y Precios'!$A$14:$A$64,0)),0)</f>
        <v>0</v>
      </c>
      <c r="I261" s="31" t="str">
        <f aca="false">IF($B261="","",E261*H261)</f>
        <v/>
      </c>
      <c r="J261" s="52"/>
      <c r="K261" s="31" t="str">
        <f aca="false">IF($B261="","",G261*J261)</f>
        <v/>
      </c>
      <c r="L261" s="42" t="str">
        <f aca="false">IF($B261="","",G261-I261-K261)</f>
        <v/>
      </c>
      <c r="M261" s="43" t="str">
        <f aca="false">IFERROR(L261/G261,"")</f>
        <v/>
      </c>
      <c r="N261" s="51"/>
    </row>
    <row r="262" customFormat="false" ht="15" hidden="false" customHeight="false" outlineLevel="0" collapsed="false">
      <c r="A262" s="25"/>
      <c r="B262" s="21"/>
      <c r="C262" s="50" t="str">
        <f aca="false">IFERROR(INDEX('4. Costeo y Precios'!$B$14:$B$64,MATCH($B262,'4. Costeo y Precios'!$A$14:$A$64,0)),"")</f>
        <v/>
      </c>
      <c r="D262" s="24"/>
      <c r="E262" s="21"/>
      <c r="F262" s="22"/>
      <c r="G262" s="31" t="str">
        <f aca="false">IF($B262="","",E262*F262)</f>
        <v/>
      </c>
      <c r="H262" s="40" t="n">
        <f aca="false">IFERROR(INDEX('4. Costeo y Precios'!$P$14:$P$64,MATCH($B262,'4. Costeo y Precios'!$A$14:$A$64,0)),0)</f>
        <v>0</v>
      </c>
      <c r="I262" s="31" t="str">
        <f aca="false">IF($B262="","",E262*H262)</f>
        <v/>
      </c>
      <c r="J262" s="52"/>
      <c r="K262" s="31" t="str">
        <f aca="false">IF($B262="","",G262*J262)</f>
        <v/>
      </c>
      <c r="L262" s="42" t="str">
        <f aca="false">IF($B262="","",G262-I262-K262)</f>
        <v/>
      </c>
      <c r="M262" s="43" t="str">
        <f aca="false">IFERROR(L262/G262,"")</f>
        <v/>
      </c>
      <c r="N262" s="51"/>
    </row>
    <row r="263" customFormat="false" ht="15" hidden="false" customHeight="false" outlineLevel="0" collapsed="false">
      <c r="A263" s="25"/>
      <c r="B263" s="21"/>
      <c r="C263" s="50" t="str">
        <f aca="false">IFERROR(INDEX('4. Costeo y Precios'!$B$14:$B$64,MATCH($B263,'4. Costeo y Precios'!$A$14:$A$64,0)),"")</f>
        <v/>
      </c>
      <c r="D263" s="24"/>
      <c r="E263" s="21"/>
      <c r="F263" s="22"/>
      <c r="G263" s="31" t="str">
        <f aca="false">IF($B263="","",E263*F263)</f>
        <v/>
      </c>
      <c r="H263" s="40" t="n">
        <f aca="false">IFERROR(INDEX('4. Costeo y Precios'!$P$14:$P$64,MATCH($B263,'4. Costeo y Precios'!$A$14:$A$64,0)),0)</f>
        <v>0</v>
      </c>
      <c r="I263" s="31" t="str">
        <f aca="false">IF($B263="","",E263*H263)</f>
        <v/>
      </c>
      <c r="J263" s="52"/>
      <c r="K263" s="31" t="str">
        <f aca="false">IF($B263="","",G263*J263)</f>
        <v/>
      </c>
      <c r="L263" s="42" t="str">
        <f aca="false">IF($B263="","",G263-I263-K263)</f>
        <v/>
      </c>
      <c r="M263" s="43" t="str">
        <f aca="false">IFERROR(L263/G263,"")</f>
        <v/>
      </c>
      <c r="N263" s="51"/>
    </row>
    <row r="264" customFormat="false" ht="15" hidden="false" customHeight="false" outlineLevel="0" collapsed="false">
      <c r="A264" s="25"/>
      <c r="B264" s="21"/>
      <c r="C264" s="50" t="str">
        <f aca="false">IFERROR(INDEX('4. Costeo y Precios'!$B$14:$B$64,MATCH($B264,'4. Costeo y Precios'!$A$14:$A$64,0)),"")</f>
        <v/>
      </c>
      <c r="D264" s="24"/>
      <c r="E264" s="21"/>
      <c r="F264" s="22"/>
      <c r="G264" s="31" t="str">
        <f aca="false">IF($B264="","",E264*F264)</f>
        <v/>
      </c>
      <c r="H264" s="40" t="n">
        <f aca="false">IFERROR(INDEX('4. Costeo y Precios'!$P$14:$P$64,MATCH($B264,'4. Costeo y Precios'!$A$14:$A$64,0)),0)</f>
        <v>0</v>
      </c>
      <c r="I264" s="31" t="str">
        <f aca="false">IF($B264="","",E264*H264)</f>
        <v/>
      </c>
      <c r="J264" s="52"/>
      <c r="K264" s="31" t="str">
        <f aca="false">IF($B264="","",G264*J264)</f>
        <v/>
      </c>
      <c r="L264" s="42" t="str">
        <f aca="false">IF($B264="","",G264-I264-K264)</f>
        <v/>
      </c>
      <c r="M264" s="43" t="str">
        <f aca="false">IFERROR(L264/G264,"")</f>
        <v/>
      </c>
      <c r="N264" s="51"/>
    </row>
    <row r="265" customFormat="false" ht="15" hidden="false" customHeight="false" outlineLevel="0" collapsed="false">
      <c r="A265" s="25"/>
      <c r="B265" s="21"/>
      <c r="C265" s="50" t="str">
        <f aca="false">IFERROR(INDEX('4. Costeo y Precios'!$B$14:$B$64,MATCH($B265,'4. Costeo y Precios'!$A$14:$A$64,0)),"")</f>
        <v/>
      </c>
      <c r="D265" s="24"/>
      <c r="E265" s="21"/>
      <c r="F265" s="22"/>
      <c r="G265" s="31" t="str">
        <f aca="false">IF($B265="","",E265*F265)</f>
        <v/>
      </c>
      <c r="H265" s="40" t="n">
        <f aca="false">IFERROR(INDEX('4. Costeo y Precios'!$P$14:$P$64,MATCH($B265,'4. Costeo y Precios'!$A$14:$A$64,0)),0)</f>
        <v>0</v>
      </c>
      <c r="I265" s="31" t="str">
        <f aca="false">IF($B265="","",E265*H265)</f>
        <v/>
      </c>
      <c r="J265" s="52"/>
      <c r="K265" s="31" t="str">
        <f aca="false">IF($B265="","",G265*J265)</f>
        <v/>
      </c>
      <c r="L265" s="42" t="str">
        <f aca="false">IF($B265="","",G265-I265-K265)</f>
        <v/>
      </c>
      <c r="M265" s="43" t="str">
        <f aca="false">IFERROR(L265/G265,"")</f>
        <v/>
      </c>
      <c r="N265" s="51"/>
    </row>
    <row r="266" customFormat="false" ht="15" hidden="false" customHeight="false" outlineLevel="0" collapsed="false">
      <c r="A266" s="25"/>
      <c r="B266" s="21"/>
      <c r="C266" s="50" t="str">
        <f aca="false">IFERROR(INDEX('4. Costeo y Precios'!$B$14:$B$64,MATCH($B266,'4. Costeo y Precios'!$A$14:$A$64,0)),"")</f>
        <v/>
      </c>
      <c r="D266" s="24"/>
      <c r="E266" s="21"/>
      <c r="F266" s="22"/>
      <c r="G266" s="31" t="str">
        <f aca="false">IF($B266="","",E266*F266)</f>
        <v/>
      </c>
      <c r="H266" s="40" t="n">
        <f aca="false">IFERROR(INDEX('4. Costeo y Precios'!$P$14:$P$64,MATCH($B266,'4. Costeo y Precios'!$A$14:$A$64,0)),0)</f>
        <v>0</v>
      </c>
      <c r="I266" s="31" t="str">
        <f aca="false">IF($B266="","",E266*H266)</f>
        <v/>
      </c>
      <c r="J266" s="52"/>
      <c r="K266" s="31" t="str">
        <f aca="false">IF($B266="","",G266*J266)</f>
        <v/>
      </c>
      <c r="L266" s="42" t="str">
        <f aca="false">IF($B266="","",G266-I266-K266)</f>
        <v/>
      </c>
      <c r="M266" s="43" t="str">
        <f aca="false">IFERROR(L266/G266,"")</f>
        <v/>
      </c>
      <c r="N266" s="51"/>
    </row>
    <row r="267" customFormat="false" ht="15" hidden="false" customHeight="false" outlineLevel="0" collapsed="false">
      <c r="A267" s="25"/>
      <c r="B267" s="21"/>
      <c r="C267" s="50" t="str">
        <f aca="false">IFERROR(INDEX('4. Costeo y Precios'!$B$14:$B$64,MATCH($B267,'4. Costeo y Precios'!$A$14:$A$64,0)),"")</f>
        <v/>
      </c>
      <c r="D267" s="24"/>
      <c r="E267" s="21"/>
      <c r="F267" s="22"/>
      <c r="G267" s="31" t="str">
        <f aca="false">IF($B267="","",E267*F267)</f>
        <v/>
      </c>
      <c r="H267" s="40" t="n">
        <f aca="false">IFERROR(INDEX('4. Costeo y Precios'!$P$14:$P$64,MATCH($B267,'4. Costeo y Precios'!$A$14:$A$64,0)),0)</f>
        <v>0</v>
      </c>
      <c r="I267" s="31" t="str">
        <f aca="false">IF($B267="","",E267*H267)</f>
        <v/>
      </c>
      <c r="J267" s="52"/>
      <c r="K267" s="31" t="str">
        <f aca="false">IF($B267="","",G267*J267)</f>
        <v/>
      </c>
      <c r="L267" s="42" t="str">
        <f aca="false">IF($B267="","",G267-I267-K267)</f>
        <v/>
      </c>
      <c r="M267" s="43" t="str">
        <f aca="false">IFERROR(L267/G267,"")</f>
        <v/>
      </c>
      <c r="N267" s="51"/>
    </row>
    <row r="268" customFormat="false" ht="15" hidden="false" customHeight="false" outlineLevel="0" collapsed="false">
      <c r="A268" s="25"/>
      <c r="B268" s="21"/>
      <c r="C268" s="50" t="str">
        <f aca="false">IFERROR(INDEX('4. Costeo y Precios'!$B$14:$B$64,MATCH($B268,'4. Costeo y Precios'!$A$14:$A$64,0)),"")</f>
        <v/>
      </c>
      <c r="D268" s="24"/>
      <c r="E268" s="21"/>
      <c r="F268" s="22"/>
      <c r="G268" s="31" t="str">
        <f aca="false">IF($B268="","",E268*F268)</f>
        <v/>
      </c>
      <c r="H268" s="40" t="n">
        <f aca="false">IFERROR(INDEX('4. Costeo y Precios'!$P$14:$P$64,MATCH($B268,'4. Costeo y Precios'!$A$14:$A$64,0)),0)</f>
        <v>0</v>
      </c>
      <c r="I268" s="31" t="str">
        <f aca="false">IF($B268="","",E268*H268)</f>
        <v/>
      </c>
      <c r="J268" s="52"/>
      <c r="K268" s="31" t="str">
        <f aca="false">IF($B268="","",G268*J268)</f>
        <v/>
      </c>
      <c r="L268" s="42" t="str">
        <f aca="false">IF($B268="","",G268-I268-K268)</f>
        <v/>
      </c>
      <c r="M268" s="43" t="str">
        <f aca="false">IFERROR(L268/G268,"")</f>
        <v/>
      </c>
      <c r="N268" s="51"/>
    </row>
    <row r="269" customFormat="false" ht="15" hidden="false" customHeight="false" outlineLevel="0" collapsed="false">
      <c r="A269" s="25"/>
      <c r="B269" s="21"/>
      <c r="C269" s="50" t="str">
        <f aca="false">IFERROR(INDEX('4. Costeo y Precios'!$B$14:$B$64,MATCH($B269,'4. Costeo y Precios'!$A$14:$A$64,0)),"")</f>
        <v/>
      </c>
      <c r="D269" s="24"/>
      <c r="E269" s="21"/>
      <c r="F269" s="22"/>
      <c r="G269" s="31" t="str">
        <f aca="false">IF($B269="","",E269*F269)</f>
        <v/>
      </c>
      <c r="H269" s="40" t="n">
        <f aca="false">IFERROR(INDEX('4. Costeo y Precios'!$P$14:$P$64,MATCH($B269,'4. Costeo y Precios'!$A$14:$A$64,0)),0)</f>
        <v>0</v>
      </c>
      <c r="I269" s="31" t="str">
        <f aca="false">IF($B269="","",E269*H269)</f>
        <v/>
      </c>
      <c r="J269" s="52"/>
      <c r="K269" s="31" t="str">
        <f aca="false">IF($B269="","",G269*J269)</f>
        <v/>
      </c>
      <c r="L269" s="42" t="str">
        <f aca="false">IF($B269="","",G269-I269-K269)</f>
        <v/>
      </c>
      <c r="M269" s="43" t="str">
        <f aca="false">IFERROR(L269/G269,"")</f>
        <v/>
      </c>
      <c r="N269" s="51"/>
    </row>
    <row r="270" customFormat="false" ht="15" hidden="false" customHeight="false" outlineLevel="0" collapsed="false">
      <c r="A270" s="25"/>
      <c r="B270" s="21"/>
      <c r="C270" s="50" t="str">
        <f aca="false">IFERROR(INDEX('4. Costeo y Precios'!$B$14:$B$64,MATCH($B270,'4. Costeo y Precios'!$A$14:$A$64,0)),"")</f>
        <v/>
      </c>
      <c r="D270" s="24"/>
      <c r="E270" s="21"/>
      <c r="F270" s="22"/>
      <c r="G270" s="31" t="str">
        <f aca="false">IF($B270="","",E270*F270)</f>
        <v/>
      </c>
      <c r="H270" s="40" t="n">
        <f aca="false">IFERROR(INDEX('4. Costeo y Precios'!$P$14:$P$64,MATCH($B270,'4. Costeo y Precios'!$A$14:$A$64,0)),0)</f>
        <v>0</v>
      </c>
      <c r="I270" s="31" t="str">
        <f aca="false">IF($B270="","",E270*H270)</f>
        <v/>
      </c>
      <c r="J270" s="52"/>
      <c r="K270" s="31" t="str">
        <f aca="false">IF($B270="","",G270*J270)</f>
        <v/>
      </c>
      <c r="L270" s="42" t="str">
        <f aca="false">IF($B270="","",G270-I270-K270)</f>
        <v/>
      </c>
      <c r="M270" s="43" t="str">
        <f aca="false">IFERROR(L270/G270,"")</f>
        <v/>
      </c>
      <c r="N270" s="51"/>
    </row>
    <row r="271" customFormat="false" ht="15" hidden="false" customHeight="false" outlineLevel="0" collapsed="false">
      <c r="A271" s="25"/>
      <c r="B271" s="21"/>
      <c r="C271" s="50" t="str">
        <f aca="false">IFERROR(INDEX('4. Costeo y Precios'!$B$14:$B$64,MATCH($B271,'4. Costeo y Precios'!$A$14:$A$64,0)),"")</f>
        <v/>
      </c>
      <c r="D271" s="24"/>
      <c r="E271" s="21"/>
      <c r="F271" s="22"/>
      <c r="G271" s="31" t="str">
        <f aca="false">IF($B271="","",E271*F271)</f>
        <v/>
      </c>
      <c r="H271" s="40" t="n">
        <f aca="false">IFERROR(INDEX('4. Costeo y Precios'!$P$14:$P$64,MATCH($B271,'4. Costeo y Precios'!$A$14:$A$64,0)),0)</f>
        <v>0</v>
      </c>
      <c r="I271" s="31" t="str">
        <f aca="false">IF($B271="","",E271*H271)</f>
        <v/>
      </c>
      <c r="J271" s="52"/>
      <c r="K271" s="31" t="str">
        <f aca="false">IF($B271="","",G271*J271)</f>
        <v/>
      </c>
      <c r="L271" s="42" t="str">
        <f aca="false">IF($B271="","",G271-I271-K271)</f>
        <v/>
      </c>
      <c r="M271" s="43" t="str">
        <f aca="false">IFERROR(L271/G271,"")</f>
        <v/>
      </c>
      <c r="N271" s="51"/>
    </row>
    <row r="272" customFormat="false" ht="15" hidden="false" customHeight="false" outlineLevel="0" collapsed="false">
      <c r="A272" s="25"/>
      <c r="B272" s="21"/>
      <c r="C272" s="50" t="str">
        <f aca="false">IFERROR(INDEX('4. Costeo y Precios'!$B$14:$B$64,MATCH($B272,'4. Costeo y Precios'!$A$14:$A$64,0)),"")</f>
        <v/>
      </c>
      <c r="D272" s="24"/>
      <c r="E272" s="21"/>
      <c r="F272" s="22"/>
      <c r="G272" s="31" t="str">
        <f aca="false">IF($B272="","",E272*F272)</f>
        <v/>
      </c>
      <c r="H272" s="40" t="n">
        <f aca="false">IFERROR(INDEX('4. Costeo y Precios'!$P$14:$P$64,MATCH($B272,'4. Costeo y Precios'!$A$14:$A$64,0)),0)</f>
        <v>0</v>
      </c>
      <c r="I272" s="31" t="str">
        <f aca="false">IF($B272="","",E272*H272)</f>
        <v/>
      </c>
      <c r="J272" s="52"/>
      <c r="K272" s="31" t="str">
        <f aca="false">IF($B272="","",G272*J272)</f>
        <v/>
      </c>
      <c r="L272" s="42" t="str">
        <f aca="false">IF($B272="","",G272-I272-K272)</f>
        <v/>
      </c>
      <c r="M272" s="43" t="str">
        <f aca="false">IFERROR(L272/G272,"")</f>
        <v/>
      </c>
      <c r="N272" s="51"/>
    </row>
    <row r="273" customFormat="false" ht="15" hidden="false" customHeight="false" outlineLevel="0" collapsed="false">
      <c r="A273" s="25"/>
      <c r="B273" s="21"/>
      <c r="C273" s="50" t="str">
        <f aca="false">IFERROR(INDEX('4. Costeo y Precios'!$B$14:$B$64,MATCH($B273,'4. Costeo y Precios'!$A$14:$A$64,0)),"")</f>
        <v/>
      </c>
      <c r="D273" s="24"/>
      <c r="E273" s="21"/>
      <c r="F273" s="22"/>
      <c r="G273" s="31" t="str">
        <f aca="false">IF($B273="","",E273*F273)</f>
        <v/>
      </c>
      <c r="H273" s="40" t="n">
        <f aca="false">IFERROR(INDEX('4. Costeo y Precios'!$P$14:$P$64,MATCH($B273,'4. Costeo y Precios'!$A$14:$A$64,0)),0)</f>
        <v>0</v>
      </c>
      <c r="I273" s="31" t="str">
        <f aca="false">IF($B273="","",E273*H273)</f>
        <v/>
      </c>
      <c r="J273" s="52"/>
      <c r="K273" s="31" t="str">
        <f aca="false">IF($B273="","",G273*J273)</f>
        <v/>
      </c>
      <c r="L273" s="42" t="str">
        <f aca="false">IF($B273="","",G273-I273-K273)</f>
        <v/>
      </c>
      <c r="M273" s="43" t="str">
        <f aca="false">IFERROR(L273/G273,"")</f>
        <v/>
      </c>
      <c r="N273" s="51"/>
    </row>
    <row r="274" customFormat="false" ht="15" hidden="false" customHeight="false" outlineLevel="0" collapsed="false">
      <c r="A274" s="25"/>
      <c r="B274" s="21"/>
      <c r="C274" s="50" t="str">
        <f aca="false">IFERROR(INDEX('4. Costeo y Precios'!$B$14:$B$64,MATCH($B274,'4. Costeo y Precios'!$A$14:$A$64,0)),"")</f>
        <v/>
      </c>
      <c r="D274" s="24"/>
      <c r="E274" s="21"/>
      <c r="F274" s="22"/>
      <c r="G274" s="31" t="str">
        <f aca="false">IF($B274="","",E274*F274)</f>
        <v/>
      </c>
      <c r="H274" s="40" t="n">
        <f aca="false">IFERROR(INDEX('4. Costeo y Precios'!$P$14:$P$64,MATCH($B274,'4. Costeo y Precios'!$A$14:$A$64,0)),0)</f>
        <v>0</v>
      </c>
      <c r="I274" s="31" t="str">
        <f aca="false">IF($B274="","",E274*H274)</f>
        <v/>
      </c>
      <c r="J274" s="52"/>
      <c r="K274" s="31" t="str">
        <f aca="false">IF($B274="","",G274*J274)</f>
        <v/>
      </c>
      <c r="L274" s="42" t="str">
        <f aca="false">IF($B274="","",G274-I274-K274)</f>
        <v/>
      </c>
      <c r="M274" s="43" t="str">
        <f aca="false">IFERROR(L274/G274,"")</f>
        <v/>
      </c>
      <c r="N274" s="51"/>
    </row>
    <row r="275" customFormat="false" ht="15" hidden="false" customHeight="false" outlineLevel="0" collapsed="false">
      <c r="A275" s="25"/>
      <c r="B275" s="21"/>
      <c r="C275" s="50" t="str">
        <f aca="false">IFERROR(INDEX('4. Costeo y Precios'!$B$14:$B$64,MATCH($B275,'4. Costeo y Precios'!$A$14:$A$64,0)),"")</f>
        <v/>
      </c>
      <c r="D275" s="24"/>
      <c r="E275" s="21"/>
      <c r="F275" s="22"/>
      <c r="G275" s="31" t="str">
        <f aca="false">IF($B275="","",E275*F275)</f>
        <v/>
      </c>
      <c r="H275" s="40" t="n">
        <f aca="false">IFERROR(INDEX('4. Costeo y Precios'!$P$14:$P$64,MATCH($B275,'4. Costeo y Precios'!$A$14:$A$64,0)),0)</f>
        <v>0</v>
      </c>
      <c r="I275" s="31" t="str">
        <f aca="false">IF($B275="","",E275*H275)</f>
        <v/>
      </c>
      <c r="J275" s="52"/>
      <c r="K275" s="31" t="str">
        <f aca="false">IF($B275="","",G275*J275)</f>
        <v/>
      </c>
      <c r="L275" s="42" t="str">
        <f aca="false">IF($B275="","",G275-I275-K275)</f>
        <v/>
      </c>
      <c r="M275" s="43" t="str">
        <f aca="false">IFERROR(L275/G275,"")</f>
        <v/>
      </c>
      <c r="N275" s="51"/>
    </row>
    <row r="276" customFormat="false" ht="15" hidden="false" customHeight="false" outlineLevel="0" collapsed="false">
      <c r="A276" s="25"/>
      <c r="B276" s="21"/>
      <c r="C276" s="50" t="str">
        <f aca="false">IFERROR(INDEX('4. Costeo y Precios'!$B$14:$B$64,MATCH($B276,'4. Costeo y Precios'!$A$14:$A$64,0)),"")</f>
        <v/>
      </c>
      <c r="D276" s="24"/>
      <c r="E276" s="21"/>
      <c r="F276" s="22"/>
      <c r="G276" s="31" t="str">
        <f aca="false">IF($B276="","",E276*F276)</f>
        <v/>
      </c>
      <c r="H276" s="40" t="n">
        <f aca="false">IFERROR(INDEX('4. Costeo y Precios'!$P$14:$P$64,MATCH($B276,'4. Costeo y Precios'!$A$14:$A$64,0)),0)</f>
        <v>0</v>
      </c>
      <c r="I276" s="31" t="str">
        <f aca="false">IF($B276="","",E276*H276)</f>
        <v/>
      </c>
      <c r="J276" s="52"/>
      <c r="K276" s="31" t="str">
        <f aca="false">IF($B276="","",G276*J276)</f>
        <v/>
      </c>
      <c r="L276" s="42" t="str">
        <f aca="false">IF($B276="","",G276-I276-K276)</f>
        <v/>
      </c>
      <c r="M276" s="43" t="str">
        <f aca="false">IFERROR(L276/G276,"")</f>
        <v/>
      </c>
      <c r="N276" s="51"/>
    </row>
    <row r="277" customFormat="false" ht="15" hidden="false" customHeight="false" outlineLevel="0" collapsed="false">
      <c r="A277" s="25"/>
      <c r="B277" s="21"/>
      <c r="C277" s="50" t="str">
        <f aca="false">IFERROR(INDEX('4. Costeo y Precios'!$B$14:$B$64,MATCH($B277,'4. Costeo y Precios'!$A$14:$A$64,0)),"")</f>
        <v/>
      </c>
      <c r="D277" s="24"/>
      <c r="E277" s="21"/>
      <c r="F277" s="22"/>
      <c r="G277" s="31" t="str">
        <f aca="false">IF($B277="","",E277*F277)</f>
        <v/>
      </c>
      <c r="H277" s="40" t="n">
        <f aca="false">IFERROR(INDEX('4. Costeo y Precios'!$P$14:$P$64,MATCH($B277,'4. Costeo y Precios'!$A$14:$A$64,0)),0)</f>
        <v>0</v>
      </c>
      <c r="I277" s="31" t="str">
        <f aca="false">IF($B277="","",E277*H277)</f>
        <v/>
      </c>
      <c r="J277" s="52"/>
      <c r="K277" s="31" t="str">
        <f aca="false">IF($B277="","",G277*J277)</f>
        <v/>
      </c>
      <c r="L277" s="42" t="str">
        <f aca="false">IF($B277="","",G277-I277-K277)</f>
        <v/>
      </c>
      <c r="M277" s="43" t="str">
        <f aca="false">IFERROR(L277/G277,"")</f>
        <v/>
      </c>
      <c r="N277" s="51"/>
    </row>
    <row r="278" customFormat="false" ht="15" hidden="false" customHeight="false" outlineLevel="0" collapsed="false">
      <c r="A278" s="25"/>
      <c r="B278" s="21"/>
      <c r="C278" s="50" t="str">
        <f aca="false">IFERROR(INDEX('4. Costeo y Precios'!$B$14:$B$64,MATCH($B278,'4. Costeo y Precios'!$A$14:$A$64,0)),"")</f>
        <v/>
      </c>
      <c r="D278" s="24"/>
      <c r="E278" s="21"/>
      <c r="F278" s="22"/>
      <c r="G278" s="31" t="str">
        <f aca="false">IF($B278="","",E278*F278)</f>
        <v/>
      </c>
      <c r="H278" s="40" t="n">
        <f aca="false">IFERROR(INDEX('4. Costeo y Precios'!$P$14:$P$64,MATCH($B278,'4. Costeo y Precios'!$A$14:$A$64,0)),0)</f>
        <v>0</v>
      </c>
      <c r="I278" s="31" t="str">
        <f aca="false">IF($B278="","",E278*H278)</f>
        <v/>
      </c>
      <c r="J278" s="52"/>
      <c r="K278" s="31" t="str">
        <f aca="false">IF($B278="","",G278*J278)</f>
        <v/>
      </c>
      <c r="L278" s="42" t="str">
        <f aca="false">IF($B278="","",G278-I278-K278)</f>
        <v/>
      </c>
      <c r="M278" s="43" t="str">
        <f aca="false">IFERROR(L278/G278,"")</f>
        <v/>
      </c>
      <c r="N278" s="51"/>
    </row>
    <row r="279" customFormat="false" ht="15" hidden="false" customHeight="false" outlineLevel="0" collapsed="false">
      <c r="A279" s="25"/>
      <c r="B279" s="21"/>
      <c r="C279" s="50" t="str">
        <f aca="false">IFERROR(INDEX('4. Costeo y Precios'!$B$14:$B$64,MATCH($B279,'4. Costeo y Precios'!$A$14:$A$64,0)),"")</f>
        <v/>
      </c>
      <c r="D279" s="24"/>
      <c r="E279" s="21"/>
      <c r="F279" s="22"/>
      <c r="G279" s="31" t="str">
        <f aca="false">IF($B279="","",E279*F279)</f>
        <v/>
      </c>
      <c r="H279" s="40" t="n">
        <f aca="false">IFERROR(INDEX('4. Costeo y Precios'!$P$14:$P$64,MATCH($B279,'4. Costeo y Precios'!$A$14:$A$64,0)),0)</f>
        <v>0</v>
      </c>
      <c r="I279" s="31" t="str">
        <f aca="false">IF($B279="","",E279*H279)</f>
        <v/>
      </c>
      <c r="J279" s="52"/>
      <c r="K279" s="31" t="str">
        <f aca="false">IF($B279="","",G279*J279)</f>
        <v/>
      </c>
      <c r="L279" s="42" t="str">
        <f aca="false">IF($B279="","",G279-I279-K279)</f>
        <v/>
      </c>
      <c r="M279" s="43" t="str">
        <f aca="false">IFERROR(L279/G279,"")</f>
        <v/>
      </c>
      <c r="N279" s="51"/>
    </row>
    <row r="280" customFormat="false" ht="15" hidden="false" customHeight="false" outlineLevel="0" collapsed="false">
      <c r="A280" s="25"/>
      <c r="B280" s="21"/>
      <c r="C280" s="50" t="str">
        <f aca="false">IFERROR(INDEX('4. Costeo y Precios'!$B$14:$B$64,MATCH($B280,'4. Costeo y Precios'!$A$14:$A$64,0)),"")</f>
        <v/>
      </c>
      <c r="D280" s="24"/>
      <c r="E280" s="21"/>
      <c r="F280" s="22"/>
      <c r="G280" s="31" t="str">
        <f aca="false">IF($B280="","",E280*F280)</f>
        <v/>
      </c>
      <c r="H280" s="40" t="n">
        <f aca="false">IFERROR(INDEX('4. Costeo y Precios'!$P$14:$P$64,MATCH($B280,'4. Costeo y Precios'!$A$14:$A$64,0)),0)</f>
        <v>0</v>
      </c>
      <c r="I280" s="31" t="str">
        <f aca="false">IF($B280="","",E280*H280)</f>
        <v/>
      </c>
      <c r="J280" s="52"/>
      <c r="K280" s="31" t="str">
        <f aca="false">IF($B280="","",G280*J280)</f>
        <v/>
      </c>
      <c r="L280" s="42" t="str">
        <f aca="false">IF($B280="","",G280-I280-K280)</f>
        <v/>
      </c>
      <c r="M280" s="43" t="str">
        <f aca="false">IFERROR(L280/G280,"")</f>
        <v/>
      </c>
      <c r="N280" s="51"/>
    </row>
    <row r="281" customFormat="false" ht="15" hidden="false" customHeight="false" outlineLevel="0" collapsed="false">
      <c r="A281" s="25"/>
      <c r="B281" s="21"/>
      <c r="C281" s="50" t="str">
        <f aca="false">IFERROR(INDEX('4. Costeo y Precios'!$B$14:$B$64,MATCH($B281,'4. Costeo y Precios'!$A$14:$A$64,0)),"")</f>
        <v/>
      </c>
      <c r="D281" s="24"/>
      <c r="E281" s="21"/>
      <c r="F281" s="22"/>
      <c r="G281" s="31" t="str">
        <f aca="false">IF($B281="","",E281*F281)</f>
        <v/>
      </c>
      <c r="H281" s="40" t="n">
        <f aca="false">IFERROR(INDEX('4. Costeo y Precios'!$P$14:$P$64,MATCH($B281,'4. Costeo y Precios'!$A$14:$A$64,0)),0)</f>
        <v>0</v>
      </c>
      <c r="I281" s="31" t="str">
        <f aca="false">IF($B281="","",E281*H281)</f>
        <v/>
      </c>
      <c r="J281" s="52"/>
      <c r="K281" s="31" t="str">
        <f aca="false">IF($B281="","",G281*J281)</f>
        <v/>
      </c>
      <c r="L281" s="42" t="str">
        <f aca="false">IF($B281="","",G281-I281-K281)</f>
        <v/>
      </c>
      <c r="M281" s="43" t="str">
        <f aca="false">IFERROR(L281/G281,"")</f>
        <v/>
      </c>
      <c r="N281" s="51"/>
    </row>
    <row r="282" customFormat="false" ht="15" hidden="false" customHeight="false" outlineLevel="0" collapsed="false">
      <c r="A282" s="25"/>
      <c r="B282" s="21"/>
      <c r="C282" s="50" t="str">
        <f aca="false">IFERROR(INDEX('4. Costeo y Precios'!$B$14:$B$64,MATCH($B282,'4. Costeo y Precios'!$A$14:$A$64,0)),"")</f>
        <v/>
      </c>
      <c r="D282" s="24"/>
      <c r="E282" s="21"/>
      <c r="F282" s="22"/>
      <c r="G282" s="31" t="str">
        <f aca="false">IF($B282="","",E282*F282)</f>
        <v/>
      </c>
      <c r="H282" s="40" t="n">
        <f aca="false">IFERROR(INDEX('4. Costeo y Precios'!$P$14:$P$64,MATCH($B282,'4. Costeo y Precios'!$A$14:$A$64,0)),0)</f>
        <v>0</v>
      </c>
      <c r="I282" s="31" t="str">
        <f aca="false">IF($B282="","",E282*H282)</f>
        <v/>
      </c>
      <c r="J282" s="52"/>
      <c r="K282" s="31" t="str">
        <f aca="false">IF($B282="","",G282*J282)</f>
        <v/>
      </c>
      <c r="L282" s="42" t="str">
        <f aca="false">IF($B282="","",G282-I282-K282)</f>
        <v/>
      </c>
      <c r="M282" s="43" t="str">
        <f aca="false">IFERROR(L282/G282,"")</f>
        <v/>
      </c>
      <c r="N282" s="51"/>
    </row>
    <row r="283" customFormat="false" ht="15" hidden="false" customHeight="false" outlineLevel="0" collapsed="false">
      <c r="A283" s="25"/>
      <c r="B283" s="21"/>
      <c r="C283" s="50" t="str">
        <f aca="false">IFERROR(INDEX('4. Costeo y Precios'!$B$14:$B$64,MATCH($B283,'4. Costeo y Precios'!$A$14:$A$64,0)),"")</f>
        <v/>
      </c>
      <c r="D283" s="24"/>
      <c r="E283" s="21"/>
      <c r="F283" s="22"/>
      <c r="G283" s="31" t="str">
        <f aca="false">IF($B283="","",E283*F283)</f>
        <v/>
      </c>
      <c r="H283" s="40" t="n">
        <f aca="false">IFERROR(INDEX('4. Costeo y Precios'!$P$14:$P$64,MATCH($B283,'4. Costeo y Precios'!$A$14:$A$64,0)),0)</f>
        <v>0</v>
      </c>
      <c r="I283" s="31" t="str">
        <f aca="false">IF($B283="","",E283*H283)</f>
        <v/>
      </c>
      <c r="J283" s="52"/>
      <c r="K283" s="31" t="str">
        <f aca="false">IF($B283="","",G283*J283)</f>
        <v/>
      </c>
      <c r="L283" s="42" t="str">
        <f aca="false">IF($B283="","",G283-I283-K283)</f>
        <v/>
      </c>
      <c r="M283" s="43" t="str">
        <f aca="false">IFERROR(L283/G283,"")</f>
        <v/>
      </c>
      <c r="N283" s="51"/>
    </row>
    <row r="284" customFormat="false" ht="15" hidden="false" customHeight="false" outlineLevel="0" collapsed="false">
      <c r="A284" s="25"/>
      <c r="B284" s="21"/>
      <c r="C284" s="50" t="str">
        <f aca="false">IFERROR(INDEX('4. Costeo y Precios'!$B$14:$B$64,MATCH($B284,'4. Costeo y Precios'!$A$14:$A$64,0)),"")</f>
        <v/>
      </c>
      <c r="D284" s="24"/>
      <c r="E284" s="21"/>
      <c r="F284" s="22"/>
      <c r="G284" s="31" t="str">
        <f aca="false">IF($B284="","",E284*F284)</f>
        <v/>
      </c>
      <c r="H284" s="40" t="n">
        <f aca="false">IFERROR(INDEX('4. Costeo y Precios'!$P$14:$P$64,MATCH($B284,'4. Costeo y Precios'!$A$14:$A$64,0)),0)</f>
        <v>0</v>
      </c>
      <c r="I284" s="31" t="str">
        <f aca="false">IF($B284="","",E284*H284)</f>
        <v/>
      </c>
      <c r="J284" s="52"/>
      <c r="K284" s="31" t="str">
        <f aca="false">IF($B284="","",G284*J284)</f>
        <v/>
      </c>
      <c r="L284" s="42" t="str">
        <f aca="false">IF($B284="","",G284-I284-K284)</f>
        <v/>
      </c>
      <c r="M284" s="43" t="str">
        <f aca="false">IFERROR(L284/G284,"")</f>
        <v/>
      </c>
      <c r="N284" s="51"/>
    </row>
    <row r="285" customFormat="false" ht="15" hidden="false" customHeight="false" outlineLevel="0" collapsed="false">
      <c r="A285" s="25"/>
      <c r="B285" s="21"/>
      <c r="C285" s="50" t="str">
        <f aca="false">IFERROR(INDEX('4. Costeo y Precios'!$B$14:$B$64,MATCH($B285,'4. Costeo y Precios'!$A$14:$A$64,0)),"")</f>
        <v/>
      </c>
      <c r="D285" s="24"/>
      <c r="E285" s="21"/>
      <c r="F285" s="22"/>
      <c r="G285" s="31" t="str">
        <f aca="false">IF($B285="","",E285*F285)</f>
        <v/>
      </c>
      <c r="H285" s="40" t="n">
        <f aca="false">IFERROR(INDEX('4. Costeo y Precios'!$P$14:$P$64,MATCH($B285,'4. Costeo y Precios'!$A$14:$A$64,0)),0)</f>
        <v>0</v>
      </c>
      <c r="I285" s="31" t="str">
        <f aca="false">IF($B285="","",E285*H285)</f>
        <v/>
      </c>
      <c r="J285" s="52"/>
      <c r="K285" s="31" t="str">
        <f aca="false">IF($B285="","",G285*J285)</f>
        <v/>
      </c>
      <c r="L285" s="42" t="str">
        <f aca="false">IF($B285="","",G285-I285-K285)</f>
        <v/>
      </c>
      <c r="M285" s="43" t="str">
        <f aca="false">IFERROR(L285/G285,"")</f>
        <v/>
      </c>
      <c r="N285" s="51"/>
    </row>
    <row r="286" customFormat="false" ht="15" hidden="false" customHeight="false" outlineLevel="0" collapsed="false">
      <c r="A286" s="25"/>
      <c r="B286" s="21"/>
      <c r="C286" s="50" t="str">
        <f aca="false">IFERROR(INDEX('4. Costeo y Precios'!$B$14:$B$64,MATCH($B286,'4. Costeo y Precios'!$A$14:$A$64,0)),"")</f>
        <v/>
      </c>
      <c r="D286" s="24"/>
      <c r="E286" s="21"/>
      <c r="F286" s="22"/>
      <c r="G286" s="31" t="str">
        <f aca="false">IF($B286="","",E286*F286)</f>
        <v/>
      </c>
      <c r="H286" s="40" t="n">
        <f aca="false">IFERROR(INDEX('4. Costeo y Precios'!$P$14:$P$64,MATCH($B286,'4. Costeo y Precios'!$A$14:$A$64,0)),0)</f>
        <v>0</v>
      </c>
      <c r="I286" s="31" t="str">
        <f aca="false">IF($B286="","",E286*H286)</f>
        <v/>
      </c>
      <c r="J286" s="52"/>
      <c r="K286" s="31" t="str">
        <f aca="false">IF($B286="","",G286*J286)</f>
        <v/>
      </c>
      <c r="L286" s="42" t="str">
        <f aca="false">IF($B286="","",G286-I286-K286)</f>
        <v/>
      </c>
      <c r="M286" s="43" t="str">
        <f aca="false">IFERROR(L286/G286,"")</f>
        <v/>
      </c>
      <c r="N286" s="51"/>
    </row>
    <row r="287" customFormat="false" ht="15" hidden="false" customHeight="false" outlineLevel="0" collapsed="false">
      <c r="A287" s="25"/>
      <c r="B287" s="21"/>
      <c r="C287" s="50" t="str">
        <f aca="false">IFERROR(INDEX('4. Costeo y Precios'!$B$14:$B$64,MATCH($B287,'4. Costeo y Precios'!$A$14:$A$64,0)),"")</f>
        <v/>
      </c>
      <c r="D287" s="24"/>
      <c r="E287" s="21"/>
      <c r="F287" s="22"/>
      <c r="G287" s="31" t="str">
        <f aca="false">IF($B287="","",E287*F287)</f>
        <v/>
      </c>
      <c r="H287" s="40" t="n">
        <f aca="false">IFERROR(INDEX('4. Costeo y Precios'!$P$14:$P$64,MATCH($B287,'4. Costeo y Precios'!$A$14:$A$64,0)),0)</f>
        <v>0</v>
      </c>
      <c r="I287" s="31" t="str">
        <f aca="false">IF($B287="","",E287*H287)</f>
        <v/>
      </c>
      <c r="J287" s="52"/>
      <c r="K287" s="31" t="str">
        <f aca="false">IF($B287="","",G287*J287)</f>
        <v/>
      </c>
      <c r="L287" s="42" t="str">
        <f aca="false">IF($B287="","",G287-I287-K287)</f>
        <v/>
      </c>
      <c r="M287" s="43" t="str">
        <f aca="false">IFERROR(L287/G287,"")</f>
        <v/>
      </c>
      <c r="N287" s="51"/>
    </row>
    <row r="288" customFormat="false" ht="15" hidden="false" customHeight="false" outlineLevel="0" collapsed="false">
      <c r="A288" s="25"/>
      <c r="B288" s="21"/>
      <c r="C288" s="50" t="str">
        <f aca="false">IFERROR(INDEX('4. Costeo y Precios'!$B$14:$B$64,MATCH($B288,'4. Costeo y Precios'!$A$14:$A$64,0)),"")</f>
        <v/>
      </c>
      <c r="D288" s="24"/>
      <c r="E288" s="21"/>
      <c r="F288" s="22"/>
      <c r="G288" s="31" t="str">
        <f aca="false">IF($B288="","",E288*F288)</f>
        <v/>
      </c>
      <c r="H288" s="40" t="n">
        <f aca="false">IFERROR(INDEX('4. Costeo y Precios'!$P$14:$P$64,MATCH($B288,'4. Costeo y Precios'!$A$14:$A$64,0)),0)</f>
        <v>0</v>
      </c>
      <c r="I288" s="31" t="str">
        <f aca="false">IF($B288="","",E288*H288)</f>
        <v/>
      </c>
      <c r="J288" s="52"/>
      <c r="K288" s="31" t="str">
        <f aca="false">IF($B288="","",G288*J288)</f>
        <v/>
      </c>
      <c r="L288" s="42" t="str">
        <f aca="false">IF($B288="","",G288-I288-K288)</f>
        <v/>
      </c>
      <c r="M288" s="43" t="str">
        <f aca="false">IFERROR(L288/G288,"")</f>
        <v/>
      </c>
      <c r="N288" s="51"/>
    </row>
    <row r="289" customFormat="false" ht="15" hidden="false" customHeight="false" outlineLevel="0" collapsed="false">
      <c r="A289" s="25"/>
      <c r="B289" s="21"/>
      <c r="C289" s="50" t="str">
        <f aca="false">IFERROR(INDEX('4. Costeo y Precios'!$B$14:$B$64,MATCH($B289,'4. Costeo y Precios'!$A$14:$A$64,0)),"")</f>
        <v/>
      </c>
      <c r="D289" s="24"/>
      <c r="E289" s="21"/>
      <c r="F289" s="22"/>
      <c r="G289" s="31" t="str">
        <f aca="false">IF($B289="","",E289*F289)</f>
        <v/>
      </c>
      <c r="H289" s="40" t="n">
        <f aca="false">IFERROR(INDEX('4. Costeo y Precios'!$P$14:$P$64,MATCH($B289,'4. Costeo y Precios'!$A$14:$A$64,0)),0)</f>
        <v>0</v>
      </c>
      <c r="I289" s="31" t="str">
        <f aca="false">IF($B289="","",E289*H289)</f>
        <v/>
      </c>
      <c r="J289" s="52"/>
      <c r="K289" s="31" t="str">
        <f aca="false">IF($B289="","",G289*J289)</f>
        <v/>
      </c>
      <c r="L289" s="42" t="str">
        <f aca="false">IF($B289="","",G289-I289-K289)</f>
        <v/>
      </c>
      <c r="M289" s="43" t="str">
        <f aca="false">IFERROR(L289/G289,"")</f>
        <v/>
      </c>
      <c r="N289" s="51"/>
    </row>
    <row r="290" customFormat="false" ht="15" hidden="false" customHeight="false" outlineLevel="0" collapsed="false">
      <c r="A290" s="25"/>
      <c r="B290" s="21"/>
      <c r="C290" s="50" t="str">
        <f aca="false">IFERROR(INDEX('4. Costeo y Precios'!$B$14:$B$64,MATCH($B290,'4. Costeo y Precios'!$A$14:$A$64,0)),"")</f>
        <v/>
      </c>
      <c r="D290" s="24"/>
      <c r="E290" s="21"/>
      <c r="F290" s="22"/>
      <c r="G290" s="31" t="str">
        <f aca="false">IF($B290="","",E290*F290)</f>
        <v/>
      </c>
      <c r="H290" s="40" t="n">
        <f aca="false">IFERROR(INDEX('4. Costeo y Precios'!$P$14:$P$64,MATCH($B290,'4. Costeo y Precios'!$A$14:$A$64,0)),0)</f>
        <v>0</v>
      </c>
      <c r="I290" s="31" t="str">
        <f aca="false">IF($B290="","",E290*H290)</f>
        <v/>
      </c>
      <c r="J290" s="52"/>
      <c r="K290" s="31" t="str">
        <f aca="false">IF($B290="","",G290*J290)</f>
        <v/>
      </c>
      <c r="L290" s="42" t="str">
        <f aca="false">IF($B290="","",G290-I290-K290)</f>
        <v/>
      </c>
      <c r="M290" s="43" t="str">
        <f aca="false">IFERROR(L290/G290,"")</f>
        <v/>
      </c>
      <c r="N290" s="51"/>
    </row>
    <row r="291" customFormat="false" ht="15" hidden="false" customHeight="false" outlineLevel="0" collapsed="false">
      <c r="A291" s="25"/>
      <c r="B291" s="21"/>
      <c r="C291" s="50" t="str">
        <f aca="false">IFERROR(INDEX('4. Costeo y Precios'!$B$14:$B$64,MATCH($B291,'4. Costeo y Precios'!$A$14:$A$64,0)),"")</f>
        <v/>
      </c>
      <c r="D291" s="24"/>
      <c r="E291" s="21"/>
      <c r="F291" s="22"/>
      <c r="G291" s="31" t="str">
        <f aca="false">IF($B291="","",E291*F291)</f>
        <v/>
      </c>
      <c r="H291" s="40" t="n">
        <f aca="false">IFERROR(INDEX('4. Costeo y Precios'!$P$14:$P$64,MATCH($B291,'4. Costeo y Precios'!$A$14:$A$64,0)),0)</f>
        <v>0</v>
      </c>
      <c r="I291" s="31" t="str">
        <f aca="false">IF($B291="","",E291*H291)</f>
        <v/>
      </c>
      <c r="J291" s="52"/>
      <c r="K291" s="31" t="str">
        <f aca="false">IF($B291="","",G291*J291)</f>
        <v/>
      </c>
      <c r="L291" s="42" t="str">
        <f aca="false">IF($B291="","",G291-I291-K291)</f>
        <v/>
      </c>
      <c r="M291" s="43" t="str">
        <f aca="false">IFERROR(L291/G291,"")</f>
        <v/>
      </c>
      <c r="N291" s="51"/>
    </row>
    <row r="292" customFormat="false" ht="15" hidden="false" customHeight="false" outlineLevel="0" collapsed="false">
      <c r="A292" s="25"/>
      <c r="B292" s="21"/>
      <c r="C292" s="50" t="str">
        <f aca="false">IFERROR(INDEX('4. Costeo y Precios'!$B$14:$B$64,MATCH($B292,'4. Costeo y Precios'!$A$14:$A$64,0)),"")</f>
        <v/>
      </c>
      <c r="D292" s="24"/>
      <c r="E292" s="21"/>
      <c r="F292" s="22"/>
      <c r="G292" s="31" t="str">
        <f aca="false">IF($B292="","",E292*F292)</f>
        <v/>
      </c>
      <c r="H292" s="40" t="n">
        <f aca="false">IFERROR(INDEX('4. Costeo y Precios'!$P$14:$P$64,MATCH($B292,'4. Costeo y Precios'!$A$14:$A$64,0)),0)</f>
        <v>0</v>
      </c>
      <c r="I292" s="31" t="str">
        <f aca="false">IF($B292="","",E292*H292)</f>
        <v/>
      </c>
      <c r="J292" s="52"/>
      <c r="K292" s="31" t="str">
        <f aca="false">IF($B292="","",G292*J292)</f>
        <v/>
      </c>
      <c r="L292" s="42" t="str">
        <f aca="false">IF($B292="","",G292-I292-K292)</f>
        <v/>
      </c>
      <c r="M292" s="43" t="str">
        <f aca="false">IFERROR(L292/G292,"")</f>
        <v/>
      </c>
      <c r="N292" s="51"/>
    </row>
    <row r="293" customFormat="false" ht="15" hidden="false" customHeight="false" outlineLevel="0" collapsed="false">
      <c r="A293" s="25"/>
      <c r="B293" s="21"/>
      <c r="C293" s="50" t="str">
        <f aca="false">IFERROR(INDEX('4. Costeo y Precios'!$B$14:$B$64,MATCH($B293,'4. Costeo y Precios'!$A$14:$A$64,0)),"")</f>
        <v/>
      </c>
      <c r="D293" s="24"/>
      <c r="E293" s="21"/>
      <c r="F293" s="22"/>
      <c r="G293" s="31" t="str">
        <f aca="false">IF($B293="","",E293*F293)</f>
        <v/>
      </c>
      <c r="H293" s="40" t="n">
        <f aca="false">IFERROR(INDEX('4. Costeo y Precios'!$P$14:$P$64,MATCH($B293,'4. Costeo y Precios'!$A$14:$A$64,0)),0)</f>
        <v>0</v>
      </c>
      <c r="I293" s="31" t="str">
        <f aca="false">IF($B293="","",E293*H293)</f>
        <v/>
      </c>
      <c r="J293" s="52"/>
      <c r="K293" s="31" t="str">
        <f aca="false">IF($B293="","",G293*J293)</f>
        <v/>
      </c>
      <c r="L293" s="42" t="str">
        <f aca="false">IF($B293="","",G293-I293-K293)</f>
        <v/>
      </c>
      <c r="M293" s="43" t="str">
        <f aca="false">IFERROR(L293/G293,"")</f>
        <v/>
      </c>
      <c r="N293" s="51"/>
    </row>
    <row r="294" customFormat="false" ht="15" hidden="false" customHeight="false" outlineLevel="0" collapsed="false">
      <c r="A294" s="25"/>
      <c r="B294" s="21"/>
      <c r="C294" s="50" t="str">
        <f aca="false">IFERROR(INDEX('4. Costeo y Precios'!$B$14:$B$64,MATCH($B294,'4. Costeo y Precios'!$A$14:$A$64,0)),"")</f>
        <v/>
      </c>
      <c r="D294" s="24"/>
      <c r="E294" s="21"/>
      <c r="F294" s="22"/>
      <c r="G294" s="31" t="str">
        <f aca="false">IF($B294="","",E294*F294)</f>
        <v/>
      </c>
      <c r="H294" s="40" t="n">
        <f aca="false">IFERROR(INDEX('4. Costeo y Precios'!$P$14:$P$64,MATCH($B294,'4. Costeo y Precios'!$A$14:$A$64,0)),0)</f>
        <v>0</v>
      </c>
      <c r="I294" s="31" t="str">
        <f aca="false">IF($B294="","",E294*H294)</f>
        <v/>
      </c>
      <c r="J294" s="52"/>
      <c r="K294" s="31" t="str">
        <f aca="false">IF($B294="","",G294*J294)</f>
        <v/>
      </c>
      <c r="L294" s="42" t="str">
        <f aca="false">IF($B294="","",G294-I294-K294)</f>
        <v/>
      </c>
      <c r="M294" s="43" t="str">
        <f aca="false">IFERROR(L294/G294,"")</f>
        <v/>
      </c>
      <c r="N294" s="51"/>
    </row>
    <row r="295" customFormat="false" ht="15" hidden="false" customHeight="false" outlineLevel="0" collapsed="false">
      <c r="A295" s="25"/>
      <c r="B295" s="21"/>
      <c r="C295" s="50" t="str">
        <f aca="false">IFERROR(INDEX('4. Costeo y Precios'!$B$14:$B$64,MATCH($B295,'4. Costeo y Precios'!$A$14:$A$64,0)),"")</f>
        <v/>
      </c>
      <c r="D295" s="24"/>
      <c r="E295" s="21"/>
      <c r="F295" s="22"/>
      <c r="G295" s="31" t="str">
        <f aca="false">IF($B295="","",E295*F295)</f>
        <v/>
      </c>
      <c r="H295" s="40" t="n">
        <f aca="false">IFERROR(INDEX('4. Costeo y Precios'!$P$14:$P$64,MATCH($B295,'4. Costeo y Precios'!$A$14:$A$64,0)),0)</f>
        <v>0</v>
      </c>
      <c r="I295" s="31" t="str">
        <f aca="false">IF($B295="","",E295*H295)</f>
        <v/>
      </c>
      <c r="J295" s="52"/>
      <c r="K295" s="31" t="str">
        <f aca="false">IF($B295="","",G295*J295)</f>
        <v/>
      </c>
      <c r="L295" s="42" t="str">
        <f aca="false">IF($B295="","",G295-I295-K295)</f>
        <v/>
      </c>
      <c r="M295" s="43" t="str">
        <f aca="false">IFERROR(L295/G295,"")</f>
        <v/>
      </c>
      <c r="N295" s="51"/>
    </row>
    <row r="296" customFormat="false" ht="15" hidden="false" customHeight="false" outlineLevel="0" collapsed="false">
      <c r="A296" s="25"/>
      <c r="B296" s="21"/>
      <c r="C296" s="50" t="str">
        <f aca="false">IFERROR(INDEX('4. Costeo y Precios'!$B$14:$B$64,MATCH($B296,'4. Costeo y Precios'!$A$14:$A$64,0)),"")</f>
        <v/>
      </c>
      <c r="D296" s="24"/>
      <c r="E296" s="21"/>
      <c r="F296" s="22"/>
      <c r="G296" s="31" t="str">
        <f aca="false">IF($B296="","",E296*F296)</f>
        <v/>
      </c>
      <c r="H296" s="40" t="n">
        <f aca="false">IFERROR(INDEX('4. Costeo y Precios'!$P$14:$P$64,MATCH($B296,'4. Costeo y Precios'!$A$14:$A$64,0)),0)</f>
        <v>0</v>
      </c>
      <c r="I296" s="31" t="str">
        <f aca="false">IF($B296="","",E296*H296)</f>
        <v/>
      </c>
      <c r="J296" s="52"/>
      <c r="K296" s="31" t="str">
        <f aca="false">IF($B296="","",G296*J296)</f>
        <v/>
      </c>
      <c r="L296" s="42" t="str">
        <f aca="false">IF($B296="","",G296-I296-K296)</f>
        <v/>
      </c>
      <c r="M296" s="43" t="str">
        <f aca="false">IFERROR(L296/G296,"")</f>
        <v/>
      </c>
      <c r="N296" s="51"/>
    </row>
    <row r="297" customFormat="false" ht="15" hidden="false" customHeight="false" outlineLevel="0" collapsed="false">
      <c r="A297" s="25"/>
      <c r="B297" s="21"/>
      <c r="C297" s="50" t="str">
        <f aca="false">IFERROR(INDEX('4. Costeo y Precios'!$B$14:$B$64,MATCH($B297,'4. Costeo y Precios'!$A$14:$A$64,0)),"")</f>
        <v/>
      </c>
      <c r="D297" s="24"/>
      <c r="E297" s="21"/>
      <c r="F297" s="22"/>
      <c r="G297" s="31" t="str">
        <f aca="false">IF($B297="","",E297*F297)</f>
        <v/>
      </c>
      <c r="H297" s="40" t="n">
        <f aca="false">IFERROR(INDEX('4. Costeo y Precios'!$P$14:$P$64,MATCH($B297,'4. Costeo y Precios'!$A$14:$A$64,0)),0)</f>
        <v>0</v>
      </c>
      <c r="I297" s="31" t="str">
        <f aca="false">IF($B297="","",E297*H297)</f>
        <v/>
      </c>
      <c r="J297" s="52"/>
      <c r="K297" s="31" t="str">
        <f aca="false">IF($B297="","",G297*J297)</f>
        <v/>
      </c>
      <c r="L297" s="42" t="str">
        <f aca="false">IF($B297="","",G297-I297-K297)</f>
        <v/>
      </c>
      <c r="M297" s="43" t="str">
        <f aca="false">IFERROR(L297/G297,"")</f>
        <v/>
      </c>
      <c r="N297" s="51"/>
    </row>
    <row r="298" customFormat="false" ht="15" hidden="false" customHeight="false" outlineLevel="0" collapsed="false">
      <c r="A298" s="25"/>
      <c r="B298" s="21"/>
      <c r="C298" s="50" t="str">
        <f aca="false">IFERROR(INDEX('4. Costeo y Precios'!$B$14:$B$64,MATCH($B298,'4. Costeo y Precios'!$A$14:$A$64,0)),"")</f>
        <v/>
      </c>
      <c r="D298" s="24"/>
      <c r="E298" s="21"/>
      <c r="F298" s="22"/>
      <c r="G298" s="31" t="str">
        <f aca="false">IF($B298="","",E298*F298)</f>
        <v/>
      </c>
      <c r="H298" s="40" t="n">
        <f aca="false">IFERROR(INDEX('4. Costeo y Precios'!$P$14:$P$64,MATCH($B298,'4. Costeo y Precios'!$A$14:$A$64,0)),0)</f>
        <v>0</v>
      </c>
      <c r="I298" s="31" t="str">
        <f aca="false">IF($B298="","",E298*H298)</f>
        <v/>
      </c>
      <c r="J298" s="52"/>
      <c r="K298" s="31" t="str">
        <f aca="false">IF($B298="","",G298*J298)</f>
        <v/>
      </c>
      <c r="L298" s="42" t="str">
        <f aca="false">IF($B298="","",G298-I298-K298)</f>
        <v/>
      </c>
      <c r="M298" s="43" t="str">
        <f aca="false">IFERROR(L298/G298,"")</f>
        <v/>
      </c>
      <c r="N298" s="51"/>
    </row>
    <row r="299" customFormat="false" ht="15" hidden="false" customHeight="false" outlineLevel="0" collapsed="false">
      <c r="A299" s="25"/>
      <c r="B299" s="21"/>
      <c r="C299" s="50" t="str">
        <f aca="false">IFERROR(INDEX('4. Costeo y Precios'!$B$14:$B$64,MATCH($B299,'4. Costeo y Precios'!$A$14:$A$64,0)),"")</f>
        <v/>
      </c>
      <c r="D299" s="24"/>
      <c r="E299" s="21"/>
      <c r="F299" s="22"/>
      <c r="G299" s="31" t="str">
        <f aca="false">IF($B299="","",E299*F299)</f>
        <v/>
      </c>
      <c r="H299" s="40" t="n">
        <f aca="false">IFERROR(INDEX('4. Costeo y Precios'!$P$14:$P$64,MATCH($B299,'4. Costeo y Precios'!$A$14:$A$64,0)),0)</f>
        <v>0</v>
      </c>
      <c r="I299" s="31" t="str">
        <f aca="false">IF($B299="","",E299*H299)</f>
        <v/>
      </c>
      <c r="J299" s="52"/>
      <c r="K299" s="31" t="str">
        <f aca="false">IF($B299="","",G299*J299)</f>
        <v/>
      </c>
      <c r="L299" s="42" t="str">
        <f aca="false">IF($B299="","",G299-I299-K299)</f>
        <v/>
      </c>
      <c r="M299" s="43" t="str">
        <f aca="false">IFERROR(L299/G299,"")</f>
        <v/>
      </c>
      <c r="N299" s="51"/>
    </row>
    <row r="300" customFormat="false" ht="15" hidden="false" customHeight="false" outlineLevel="0" collapsed="false">
      <c r="A300" s="25"/>
      <c r="B300" s="21"/>
      <c r="C300" s="50" t="str">
        <f aca="false">IFERROR(INDEX('4. Costeo y Precios'!$B$14:$B$64,MATCH($B300,'4. Costeo y Precios'!$A$14:$A$64,0)),"")</f>
        <v/>
      </c>
      <c r="D300" s="24"/>
      <c r="E300" s="21"/>
      <c r="F300" s="22"/>
      <c r="G300" s="31" t="str">
        <f aca="false">IF($B300="","",E300*F300)</f>
        <v/>
      </c>
      <c r="H300" s="40" t="n">
        <f aca="false">IFERROR(INDEX('4. Costeo y Precios'!$P$14:$P$64,MATCH($B300,'4. Costeo y Precios'!$A$14:$A$64,0)),0)</f>
        <v>0</v>
      </c>
      <c r="I300" s="31" t="str">
        <f aca="false">IF($B300="","",E300*H300)</f>
        <v/>
      </c>
      <c r="J300" s="52"/>
      <c r="K300" s="31" t="str">
        <f aca="false">IF($B300="","",G300*J300)</f>
        <v/>
      </c>
      <c r="L300" s="42" t="str">
        <f aca="false">IF($B300="","",G300-I300-K300)</f>
        <v/>
      </c>
      <c r="M300" s="43" t="str">
        <f aca="false">IFERROR(L300/G300,"")</f>
        <v/>
      </c>
      <c r="N300" s="51"/>
    </row>
    <row r="301" customFormat="false" ht="15" hidden="false" customHeight="false" outlineLevel="0" collapsed="false">
      <c r="A301" s="25"/>
      <c r="B301" s="21"/>
      <c r="C301" s="50" t="str">
        <f aca="false">IFERROR(INDEX('4. Costeo y Precios'!$B$14:$B$64,MATCH($B301,'4. Costeo y Precios'!$A$14:$A$64,0)),"")</f>
        <v/>
      </c>
      <c r="D301" s="24"/>
      <c r="E301" s="21"/>
      <c r="F301" s="22"/>
      <c r="G301" s="31" t="str">
        <f aca="false">IF($B301="","",E301*F301)</f>
        <v/>
      </c>
      <c r="H301" s="40" t="n">
        <f aca="false">IFERROR(INDEX('4. Costeo y Precios'!$P$14:$P$64,MATCH($B301,'4. Costeo y Precios'!$A$14:$A$64,0)),0)</f>
        <v>0</v>
      </c>
      <c r="I301" s="31" t="str">
        <f aca="false">IF($B301="","",E301*H301)</f>
        <v/>
      </c>
      <c r="J301" s="52"/>
      <c r="K301" s="31" t="str">
        <f aca="false">IF($B301="","",G301*J301)</f>
        <v/>
      </c>
      <c r="L301" s="42" t="str">
        <f aca="false">IF($B301="","",G301-I301-K301)</f>
        <v/>
      </c>
      <c r="M301" s="43" t="str">
        <f aca="false">IFERROR(L301/G301,"")</f>
        <v/>
      </c>
      <c r="N301" s="51"/>
    </row>
    <row r="302" customFormat="false" ht="15" hidden="false" customHeight="false" outlineLevel="0" collapsed="false">
      <c r="A302" s="25"/>
      <c r="B302" s="21"/>
      <c r="C302" s="50" t="str">
        <f aca="false">IFERROR(INDEX('4. Costeo y Precios'!$B$14:$B$64,MATCH($B302,'4. Costeo y Precios'!$A$14:$A$64,0)),"")</f>
        <v/>
      </c>
      <c r="D302" s="24"/>
      <c r="E302" s="21"/>
      <c r="F302" s="22"/>
      <c r="G302" s="31" t="str">
        <f aca="false">IF($B302="","",E302*F302)</f>
        <v/>
      </c>
      <c r="H302" s="40" t="n">
        <f aca="false">IFERROR(INDEX('4. Costeo y Precios'!$P$14:$P$64,MATCH($B302,'4. Costeo y Precios'!$A$14:$A$64,0)),0)</f>
        <v>0</v>
      </c>
      <c r="I302" s="31" t="str">
        <f aca="false">IF($B302="","",E302*H302)</f>
        <v/>
      </c>
      <c r="J302" s="52"/>
      <c r="K302" s="31" t="str">
        <f aca="false">IF($B302="","",G302*J302)</f>
        <v/>
      </c>
      <c r="L302" s="42" t="str">
        <f aca="false">IF($B302="","",G302-I302-K302)</f>
        <v/>
      </c>
      <c r="M302" s="43" t="str">
        <f aca="false">IFERROR(L302/G302,"")</f>
        <v/>
      </c>
      <c r="N302" s="51"/>
    </row>
    <row r="303" customFormat="false" ht="15" hidden="false" customHeight="false" outlineLevel="0" collapsed="false">
      <c r="A303" s="25"/>
      <c r="B303" s="21"/>
      <c r="C303" s="50" t="str">
        <f aca="false">IFERROR(INDEX('4. Costeo y Precios'!$B$14:$B$64,MATCH($B303,'4. Costeo y Precios'!$A$14:$A$64,0)),"")</f>
        <v/>
      </c>
      <c r="D303" s="24"/>
      <c r="E303" s="21"/>
      <c r="F303" s="22"/>
      <c r="G303" s="31" t="str">
        <f aca="false">IF($B303="","",E303*F303)</f>
        <v/>
      </c>
      <c r="H303" s="40" t="n">
        <f aca="false">IFERROR(INDEX('4. Costeo y Precios'!$P$14:$P$64,MATCH($B303,'4. Costeo y Precios'!$A$14:$A$64,0)),0)</f>
        <v>0</v>
      </c>
      <c r="I303" s="31" t="str">
        <f aca="false">IF($B303="","",E303*H303)</f>
        <v/>
      </c>
      <c r="J303" s="52"/>
      <c r="K303" s="31" t="str">
        <f aca="false">IF($B303="","",G303*J303)</f>
        <v/>
      </c>
      <c r="L303" s="42" t="str">
        <f aca="false">IF($B303="","",G303-I303-K303)</f>
        <v/>
      </c>
      <c r="M303" s="43" t="str">
        <f aca="false">IFERROR(L303/G303,"")</f>
        <v/>
      </c>
      <c r="N303" s="51"/>
    </row>
    <row r="304" customFormat="false" ht="15" hidden="false" customHeight="false" outlineLevel="0" collapsed="false">
      <c r="A304" s="25"/>
      <c r="B304" s="21"/>
      <c r="C304" s="50" t="str">
        <f aca="false">IFERROR(INDEX('4. Costeo y Precios'!$B$14:$B$64,MATCH($B304,'4. Costeo y Precios'!$A$14:$A$64,0)),"")</f>
        <v/>
      </c>
      <c r="D304" s="24"/>
      <c r="E304" s="21"/>
      <c r="F304" s="22"/>
      <c r="G304" s="31" t="str">
        <f aca="false">IF($B304="","",E304*F304)</f>
        <v/>
      </c>
      <c r="H304" s="40" t="n">
        <f aca="false">IFERROR(INDEX('4. Costeo y Precios'!$P$14:$P$64,MATCH($B304,'4. Costeo y Precios'!$A$14:$A$64,0)),0)</f>
        <v>0</v>
      </c>
      <c r="I304" s="31" t="str">
        <f aca="false">IF($B304="","",E304*H304)</f>
        <v/>
      </c>
      <c r="J304" s="52"/>
      <c r="K304" s="31" t="str">
        <f aca="false">IF($B304="","",G304*J304)</f>
        <v/>
      </c>
      <c r="L304" s="42" t="str">
        <f aca="false">IF($B304="","",G304-I304-K304)</f>
        <v/>
      </c>
      <c r="M304" s="43" t="str">
        <f aca="false">IFERROR(L304/G304,"")</f>
        <v/>
      </c>
      <c r="N304" s="51"/>
    </row>
    <row r="305" customFormat="false" ht="15" hidden="false" customHeight="false" outlineLevel="0" collapsed="false">
      <c r="A305" s="25"/>
      <c r="B305" s="21"/>
      <c r="C305" s="50" t="str">
        <f aca="false">IFERROR(INDEX('4. Costeo y Precios'!$B$14:$B$64,MATCH($B305,'4. Costeo y Precios'!$A$14:$A$64,0)),"")</f>
        <v/>
      </c>
      <c r="D305" s="24"/>
      <c r="E305" s="21"/>
      <c r="F305" s="22"/>
      <c r="G305" s="31" t="str">
        <f aca="false">IF($B305="","",E305*F305)</f>
        <v/>
      </c>
      <c r="H305" s="40" t="n">
        <f aca="false">IFERROR(INDEX('4. Costeo y Precios'!$P$14:$P$64,MATCH($B305,'4. Costeo y Precios'!$A$14:$A$64,0)),0)</f>
        <v>0</v>
      </c>
      <c r="I305" s="31" t="str">
        <f aca="false">IF($B305="","",E305*H305)</f>
        <v/>
      </c>
      <c r="J305" s="52"/>
      <c r="K305" s="31" t="str">
        <f aca="false">IF($B305="","",G305*J305)</f>
        <v/>
      </c>
      <c r="L305" s="42" t="str">
        <f aca="false">IF($B305="","",G305-I305-K305)</f>
        <v/>
      </c>
      <c r="M305" s="43" t="str">
        <f aca="false">IFERROR(L305/G305,"")</f>
        <v/>
      </c>
      <c r="N305" s="51"/>
    </row>
    <row r="306" customFormat="false" ht="15" hidden="false" customHeight="false" outlineLevel="0" collapsed="false">
      <c r="A306" s="25"/>
      <c r="B306" s="21"/>
      <c r="C306" s="50" t="str">
        <f aca="false">IFERROR(INDEX('4. Costeo y Precios'!$B$14:$B$64,MATCH($B306,'4. Costeo y Precios'!$A$14:$A$64,0)),"")</f>
        <v/>
      </c>
      <c r="D306" s="24"/>
      <c r="E306" s="21"/>
      <c r="F306" s="22"/>
      <c r="G306" s="31" t="str">
        <f aca="false">IF($B306="","",E306*F306)</f>
        <v/>
      </c>
      <c r="H306" s="40" t="n">
        <f aca="false">IFERROR(INDEX('4. Costeo y Precios'!$P$14:$P$64,MATCH($B306,'4. Costeo y Precios'!$A$14:$A$64,0)),0)</f>
        <v>0</v>
      </c>
      <c r="I306" s="31" t="str">
        <f aca="false">IF($B306="","",E306*H306)</f>
        <v/>
      </c>
      <c r="J306" s="52"/>
      <c r="K306" s="31" t="str">
        <f aca="false">IF($B306="","",G306*J306)</f>
        <v/>
      </c>
      <c r="L306" s="42" t="str">
        <f aca="false">IF($B306="","",G306-I306-K306)</f>
        <v/>
      </c>
      <c r="M306" s="43" t="str">
        <f aca="false">IFERROR(L306/G306,"")</f>
        <v/>
      </c>
      <c r="N306" s="51"/>
    </row>
    <row r="307" customFormat="false" ht="15" hidden="false" customHeight="false" outlineLevel="0" collapsed="false">
      <c r="A307" s="25"/>
      <c r="B307" s="21"/>
      <c r="C307" s="50" t="str">
        <f aca="false">IFERROR(INDEX('4. Costeo y Precios'!$B$14:$B$64,MATCH($B307,'4. Costeo y Precios'!$A$14:$A$64,0)),"")</f>
        <v/>
      </c>
      <c r="D307" s="24"/>
      <c r="E307" s="21"/>
      <c r="F307" s="22"/>
      <c r="G307" s="31" t="str">
        <f aca="false">IF($B307="","",E307*F307)</f>
        <v/>
      </c>
      <c r="H307" s="40" t="n">
        <f aca="false">IFERROR(INDEX('4. Costeo y Precios'!$P$14:$P$64,MATCH($B307,'4. Costeo y Precios'!$A$14:$A$64,0)),0)</f>
        <v>0</v>
      </c>
      <c r="I307" s="31" t="str">
        <f aca="false">IF($B307="","",E307*H307)</f>
        <v/>
      </c>
      <c r="J307" s="52"/>
      <c r="K307" s="31" t="str">
        <f aca="false">IF($B307="","",G307*J307)</f>
        <v/>
      </c>
      <c r="L307" s="42" t="str">
        <f aca="false">IF($B307="","",G307-I307-K307)</f>
        <v/>
      </c>
      <c r="M307" s="43" t="str">
        <f aca="false">IFERROR(L307/G307,"")</f>
        <v/>
      </c>
      <c r="N307" s="51"/>
    </row>
    <row r="308" customFormat="false" ht="15" hidden="false" customHeight="false" outlineLevel="0" collapsed="false">
      <c r="A308" s="25"/>
      <c r="B308" s="21"/>
      <c r="C308" s="50" t="str">
        <f aca="false">IFERROR(INDEX('4. Costeo y Precios'!$B$14:$B$64,MATCH($B308,'4. Costeo y Precios'!$A$14:$A$64,0)),"")</f>
        <v/>
      </c>
      <c r="D308" s="24"/>
      <c r="E308" s="21"/>
      <c r="F308" s="22"/>
      <c r="G308" s="31" t="str">
        <f aca="false">IF($B308="","",E308*F308)</f>
        <v/>
      </c>
      <c r="H308" s="40" t="n">
        <f aca="false">IFERROR(INDEX('4. Costeo y Precios'!$P$14:$P$64,MATCH($B308,'4. Costeo y Precios'!$A$14:$A$64,0)),0)</f>
        <v>0</v>
      </c>
      <c r="I308" s="31" t="str">
        <f aca="false">IF($B308="","",E308*H308)</f>
        <v/>
      </c>
      <c r="J308" s="52"/>
      <c r="K308" s="31" t="str">
        <f aca="false">IF($B308="","",G308*J308)</f>
        <v/>
      </c>
      <c r="L308" s="42" t="str">
        <f aca="false">IF($B308="","",G308-I308-K308)</f>
        <v/>
      </c>
      <c r="M308" s="43" t="str">
        <f aca="false">IFERROR(L308/G308,"")</f>
        <v/>
      </c>
      <c r="N308" s="51"/>
    </row>
    <row r="309" customFormat="false" ht="15" hidden="false" customHeight="false" outlineLevel="0" collapsed="false">
      <c r="A309" s="25"/>
      <c r="B309" s="21"/>
      <c r="C309" s="50" t="str">
        <f aca="false">IFERROR(INDEX('4. Costeo y Precios'!$B$14:$B$64,MATCH($B309,'4. Costeo y Precios'!$A$14:$A$64,0)),"")</f>
        <v/>
      </c>
      <c r="D309" s="24"/>
      <c r="E309" s="21"/>
      <c r="F309" s="22"/>
      <c r="G309" s="31" t="str">
        <f aca="false">IF($B309="","",E309*F309)</f>
        <v/>
      </c>
      <c r="H309" s="40" t="n">
        <f aca="false">IFERROR(INDEX('4. Costeo y Precios'!$P$14:$P$64,MATCH($B309,'4. Costeo y Precios'!$A$14:$A$64,0)),0)</f>
        <v>0</v>
      </c>
      <c r="I309" s="31" t="str">
        <f aca="false">IF($B309="","",E309*H309)</f>
        <v/>
      </c>
      <c r="J309" s="52"/>
      <c r="K309" s="31" t="str">
        <f aca="false">IF($B309="","",G309*J309)</f>
        <v/>
      </c>
      <c r="L309" s="42" t="str">
        <f aca="false">IF($B309="","",G309-I309-K309)</f>
        <v/>
      </c>
      <c r="M309" s="43" t="str">
        <f aca="false">IFERROR(L309/G309,"")</f>
        <v/>
      </c>
      <c r="N309" s="51"/>
    </row>
    <row r="310" customFormat="false" ht="15" hidden="false" customHeight="false" outlineLevel="0" collapsed="false">
      <c r="A310" s="25"/>
      <c r="B310" s="21"/>
      <c r="C310" s="50" t="str">
        <f aca="false">IFERROR(INDEX('4. Costeo y Precios'!$B$14:$B$64,MATCH($B310,'4. Costeo y Precios'!$A$14:$A$64,0)),"")</f>
        <v/>
      </c>
      <c r="D310" s="24"/>
      <c r="E310" s="21"/>
      <c r="F310" s="22"/>
      <c r="G310" s="31" t="str">
        <f aca="false">IF($B310="","",E310*F310)</f>
        <v/>
      </c>
      <c r="H310" s="40" t="n">
        <f aca="false">IFERROR(INDEX('4. Costeo y Precios'!$P$14:$P$64,MATCH($B310,'4. Costeo y Precios'!$A$14:$A$64,0)),0)</f>
        <v>0</v>
      </c>
      <c r="I310" s="31" t="str">
        <f aca="false">IF($B310="","",E310*H310)</f>
        <v/>
      </c>
      <c r="J310" s="52"/>
      <c r="K310" s="31" t="str">
        <f aca="false">IF($B310="","",G310*J310)</f>
        <v/>
      </c>
      <c r="L310" s="42" t="str">
        <f aca="false">IF($B310="","",G310-I310-K310)</f>
        <v/>
      </c>
      <c r="M310" s="43" t="str">
        <f aca="false">IFERROR(L310/G310,"")</f>
        <v/>
      </c>
      <c r="N310" s="51"/>
    </row>
    <row r="311" customFormat="false" ht="15" hidden="false" customHeight="false" outlineLevel="0" collapsed="false">
      <c r="A311" s="25"/>
      <c r="B311" s="21"/>
      <c r="C311" s="50" t="str">
        <f aca="false">IFERROR(INDEX('4. Costeo y Precios'!$B$14:$B$64,MATCH($B311,'4. Costeo y Precios'!$A$14:$A$64,0)),"")</f>
        <v/>
      </c>
      <c r="D311" s="24"/>
      <c r="E311" s="21"/>
      <c r="F311" s="22"/>
      <c r="G311" s="31" t="str">
        <f aca="false">IF($B311="","",E311*F311)</f>
        <v/>
      </c>
      <c r="H311" s="40" t="n">
        <f aca="false">IFERROR(INDEX('4. Costeo y Precios'!$P$14:$P$64,MATCH($B311,'4. Costeo y Precios'!$A$14:$A$64,0)),0)</f>
        <v>0</v>
      </c>
      <c r="I311" s="31" t="str">
        <f aca="false">IF($B311="","",E311*H311)</f>
        <v/>
      </c>
      <c r="J311" s="52"/>
      <c r="K311" s="31" t="str">
        <f aca="false">IF($B311="","",G311*J311)</f>
        <v/>
      </c>
      <c r="L311" s="42" t="str">
        <f aca="false">IF($B311="","",G311-I311-K311)</f>
        <v/>
      </c>
      <c r="M311" s="43" t="str">
        <f aca="false">IFERROR(L311/G311,"")</f>
        <v/>
      </c>
      <c r="N311" s="51"/>
    </row>
    <row r="312" customFormat="false" ht="15" hidden="false" customHeight="false" outlineLevel="0" collapsed="false">
      <c r="A312" s="25"/>
      <c r="B312" s="21"/>
      <c r="C312" s="50" t="str">
        <f aca="false">IFERROR(INDEX('4. Costeo y Precios'!$B$14:$B$64,MATCH($B312,'4. Costeo y Precios'!$A$14:$A$64,0)),"")</f>
        <v/>
      </c>
      <c r="D312" s="24"/>
      <c r="E312" s="21"/>
      <c r="F312" s="22"/>
      <c r="G312" s="31" t="str">
        <f aca="false">IF($B312="","",E312*F312)</f>
        <v/>
      </c>
      <c r="H312" s="40" t="n">
        <f aca="false">IFERROR(INDEX('4. Costeo y Precios'!$P$14:$P$64,MATCH($B312,'4. Costeo y Precios'!$A$14:$A$64,0)),0)</f>
        <v>0</v>
      </c>
      <c r="I312" s="31" t="str">
        <f aca="false">IF($B312="","",E312*H312)</f>
        <v/>
      </c>
      <c r="J312" s="52"/>
      <c r="K312" s="31" t="str">
        <f aca="false">IF($B312="","",G312*J312)</f>
        <v/>
      </c>
      <c r="L312" s="42" t="str">
        <f aca="false">IF($B312="","",G312-I312-K312)</f>
        <v/>
      </c>
      <c r="M312" s="43" t="str">
        <f aca="false">IFERROR(L312/G312,"")</f>
        <v/>
      </c>
      <c r="N312" s="51"/>
    </row>
    <row r="313" customFormat="false" ht="15" hidden="false" customHeight="false" outlineLevel="0" collapsed="false">
      <c r="A313" s="25"/>
      <c r="B313" s="21"/>
      <c r="C313" s="50" t="str">
        <f aca="false">IFERROR(INDEX('4. Costeo y Precios'!$B$14:$B$64,MATCH($B313,'4. Costeo y Precios'!$A$14:$A$64,0)),"")</f>
        <v/>
      </c>
      <c r="D313" s="24"/>
      <c r="E313" s="21"/>
      <c r="F313" s="22"/>
      <c r="G313" s="31" t="str">
        <f aca="false">IF($B313="","",E313*F313)</f>
        <v/>
      </c>
      <c r="H313" s="40" t="n">
        <f aca="false">IFERROR(INDEX('4. Costeo y Precios'!$P$14:$P$64,MATCH($B313,'4. Costeo y Precios'!$A$14:$A$64,0)),0)</f>
        <v>0</v>
      </c>
      <c r="I313" s="31" t="str">
        <f aca="false">IF($B313="","",E313*H313)</f>
        <v/>
      </c>
      <c r="J313" s="52"/>
      <c r="K313" s="31" t="str">
        <f aca="false">IF($B313="","",G313*J313)</f>
        <v/>
      </c>
      <c r="L313" s="42" t="str">
        <f aca="false">IF($B313="","",G313-I313-K313)</f>
        <v/>
      </c>
      <c r="M313" s="43" t="str">
        <f aca="false">IFERROR(L313/G313,"")</f>
        <v/>
      </c>
      <c r="N313" s="51"/>
    </row>
    <row r="314" customFormat="false" ht="15" hidden="false" customHeight="false" outlineLevel="0" collapsed="false">
      <c r="A314" s="25"/>
      <c r="B314" s="21"/>
      <c r="C314" s="50" t="str">
        <f aca="false">IFERROR(INDEX('4. Costeo y Precios'!$B$14:$B$64,MATCH($B314,'4. Costeo y Precios'!$A$14:$A$64,0)),"")</f>
        <v/>
      </c>
      <c r="D314" s="24"/>
      <c r="E314" s="21"/>
      <c r="F314" s="22"/>
      <c r="G314" s="31" t="str">
        <f aca="false">IF($B314="","",E314*F314)</f>
        <v/>
      </c>
      <c r="H314" s="40" t="n">
        <f aca="false">IFERROR(INDEX('4. Costeo y Precios'!$P$14:$P$64,MATCH($B314,'4. Costeo y Precios'!$A$14:$A$64,0)),0)</f>
        <v>0</v>
      </c>
      <c r="I314" s="31" t="str">
        <f aca="false">IF($B314="","",E314*H314)</f>
        <v/>
      </c>
      <c r="J314" s="52"/>
      <c r="K314" s="31" t="str">
        <f aca="false">IF($B314="","",G314*J314)</f>
        <v/>
      </c>
      <c r="L314" s="42" t="str">
        <f aca="false">IF($B314="","",G314-I314-K314)</f>
        <v/>
      </c>
      <c r="M314" s="43" t="str">
        <f aca="false">IFERROR(L314/G314,"")</f>
        <v/>
      </c>
      <c r="N314" s="51"/>
    </row>
    <row r="315" customFormat="false" ht="15" hidden="false" customHeight="false" outlineLevel="0" collapsed="false">
      <c r="A315" s="25"/>
      <c r="B315" s="21"/>
      <c r="C315" s="50" t="str">
        <f aca="false">IFERROR(INDEX('4. Costeo y Precios'!$B$14:$B$64,MATCH($B315,'4. Costeo y Precios'!$A$14:$A$64,0)),"")</f>
        <v/>
      </c>
      <c r="D315" s="24"/>
      <c r="E315" s="21"/>
      <c r="F315" s="22"/>
      <c r="G315" s="31" t="str">
        <f aca="false">IF($B315="","",E315*F315)</f>
        <v/>
      </c>
      <c r="H315" s="40" t="n">
        <f aca="false">IFERROR(INDEX('4. Costeo y Precios'!$P$14:$P$64,MATCH($B315,'4. Costeo y Precios'!$A$14:$A$64,0)),0)</f>
        <v>0</v>
      </c>
      <c r="I315" s="31" t="str">
        <f aca="false">IF($B315="","",E315*H315)</f>
        <v/>
      </c>
      <c r="J315" s="52"/>
      <c r="K315" s="31" t="str">
        <f aca="false">IF($B315="","",G315*J315)</f>
        <v/>
      </c>
      <c r="L315" s="42" t="str">
        <f aca="false">IF($B315="","",G315-I315-K315)</f>
        <v/>
      </c>
      <c r="M315" s="43" t="str">
        <f aca="false">IFERROR(L315/G315,"")</f>
        <v/>
      </c>
      <c r="N315" s="51"/>
    </row>
    <row r="316" customFormat="false" ht="15" hidden="false" customHeight="false" outlineLevel="0" collapsed="false">
      <c r="A316" s="25"/>
      <c r="B316" s="21"/>
      <c r="C316" s="50" t="str">
        <f aca="false">IFERROR(INDEX('4. Costeo y Precios'!$B$14:$B$64,MATCH($B316,'4. Costeo y Precios'!$A$14:$A$64,0)),"")</f>
        <v/>
      </c>
      <c r="D316" s="24"/>
      <c r="E316" s="21"/>
      <c r="F316" s="22"/>
      <c r="G316" s="31" t="str">
        <f aca="false">IF($B316="","",E316*F316)</f>
        <v/>
      </c>
      <c r="H316" s="40" t="n">
        <f aca="false">IFERROR(INDEX('4. Costeo y Precios'!$P$14:$P$64,MATCH($B316,'4. Costeo y Precios'!$A$14:$A$64,0)),0)</f>
        <v>0</v>
      </c>
      <c r="I316" s="31" t="str">
        <f aca="false">IF($B316="","",E316*H316)</f>
        <v/>
      </c>
      <c r="J316" s="52"/>
      <c r="K316" s="31" t="str">
        <f aca="false">IF($B316="","",G316*J316)</f>
        <v/>
      </c>
      <c r="L316" s="42" t="str">
        <f aca="false">IF($B316="","",G316-I316-K316)</f>
        <v/>
      </c>
      <c r="M316" s="43" t="str">
        <f aca="false">IFERROR(L316/G316,"")</f>
        <v/>
      </c>
      <c r="N316" s="51"/>
    </row>
    <row r="317" customFormat="false" ht="15" hidden="false" customHeight="false" outlineLevel="0" collapsed="false">
      <c r="A317" s="25"/>
      <c r="B317" s="21"/>
      <c r="C317" s="50" t="str">
        <f aca="false">IFERROR(INDEX('4. Costeo y Precios'!$B$14:$B$64,MATCH($B317,'4. Costeo y Precios'!$A$14:$A$64,0)),"")</f>
        <v/>
      </c>
      <c r="D317" s="24"/>
      <c r="E317" s="21"/>
      <c r="F317" s="22"/>
      <c r="G317" s="31" t="str">
        <f aca="false">IF($B317="","",E317*F317)</f>
        <v/>
      </c>
      <c r="H317" s="40" t="n">
        <f aca="false">IFERROR(INDEX('4. Costeo y Precios'!$P$14:$P$64,MATCH($B317,'4. Costeo y Precios'!$A$14:$A$64,0)),0)</f>
        <v>0</v>
      </c>
      <c r="I317" s="31" t="str">
        <f aca="false">IF($B317="","",E317*H317)</f>
        <v/>
      </c>
      <c r="J317" s="52"/>
      <c r="K317" s="31" t="str">
        <f aca="false">IF($B317="","",G317*J317)</f>
        <v/>
      </c>
      <c r="L317" s="42" t="str">
        <f aca="false">IF($B317="","",G317-I317-K317)</f>
        <v/>
      </c>
      <c r="M317" s="43" t="str">
        <f aca="false">IFERROR(L317/G317,"")</f>
        <v/>
      </c>
      <c r="N317" s="51"/>
    </row>
    <row r="318" customFormat="false" ht="15" hidden="false" customHeight="false" outlineLevel="0" collapsed="false">
      <c r="A318" s="25"/>
      <c r="B318" s="21"/>
      <c r="C318" s="50" t="str">
        <f aca="false">IFERROR(INDEX('4. Costeo y Precios'!$B$14:$B$64,MATCH($B318,'4. Costeo y Precios'!$A$14:$A$64,0)),"")</f>
        <v/>
      </c>
      <c r="D318" s="24"/>
      <c r="E318" s="21"/>
      <c r="F318" s="22"/>
      <c r="G318" s="31" t="str">
        <f aca="false">IF($B318="","",E318*F318)</f>
        <v/>
      </c>
      <c r="H318" s="40" t="n">
        <f aca="false">IFERROR(INDEX('4. Costeo y Precios'!$P$14:$P$64,MATCH($B318,'4. Costeo y Precios'!$A$14:$A$64,0)),0)</f>
        <v>0</v>
      </c>
      <c r="I318" s="31" t="str">
        <f aca="false">IF($B318="","",E318*H318)</f>
        <v/>
      </c>
      <c r="J318" s="52"/>
      <c r="K318" s="31" t="str">
        <f aca="false">IF($B318="","",G318*J318)</f>
        <v/>
      </c>
      <c r="L318" s="42" t="str">
        <f aca="false">IF($B318="","",G318-I318-K318)</f>
        <v/>
      </c>
      <c r="M318" s="43" t="str">
        <f aca="false">IFERROR(L318/G318,"")</f>
        <v/>
      </c>
      <c r="N318" s="51"/>
    </row>
    <row r="319" customFormat="false" ht="15" hidden="false" customHeight="false" outlineLevel="0" collapsed="false">
      <c r="A319" s="25"/>
      <c r="B319" s="21"/>
      <c r="C319" s="50" t="str">
        <f aca="false">IFERROR(INDEX('4. Costeo y Precios'!$B$14:$B$64,MATCH($B319,'4. Costeo y Precios'!$A$14:$A$64,0)),"")</f>
        <v/>
      </c>
      <c r="D319" s="24"/>
      <c r="E319" s="21"/>
      <c r="F319" s="22"/>
      <c r="G319" s="31" t="str">
        <f aca="false">IF($B319="","",E319*F319)</f>
        <v/>
      </c>
      <c r="H319" s="40" t="n">
        <f aca="false">IFERROR(INDEX('4. Costeo y Precios'!$P$14:$P$64,MATCH($B319,'4. Costeo y Precios'!$A$14:$A$64,0)),0)</f>
        <v>0</v>
      </c>
      <c r="I319" s="31" t="str">
        <f aca="false">IF($B319="","",E319*H319)</f>
        <v/>
      </c>
      <c r="J319" s="52"/>
      <c r="K319" s="31" t="str">
        <f aca="false">IF($B319="","",G319*J319)</f>
        <v/>
      </c>
      <c r="L319" s="42" t="str">
        <f aca="false">IF($B319="","",G319-I319-K319)</f>
        <v/>
      </c>
      <c r="M319" s="43" t="str">
        <f aca="false">IFERROR(L319/G319,"")</f>
        <v/>
      </c>
      <c r="N319" s="51"/>
    </row>
    <row r="320" customFormat="false" ht="15" hidden="false" customHeight="false" outlineLevel="0" collapsed="false">
      <c r="A320" s="25"/>
      <c r="B320" s="21"/>
      <c r="C320" s="50" t="str">
        <f aca="false">IFERROR(INDEX('4. Costeo y Precios'!$B$14:$B$64,MATCH($B320,'4. Costeo y Precios'!$A$14:$A$64,0)),"")</f>
        <v/>
      </c>
      <c r="D320" s="24"/>
      <c r="E320" s="21"/>
      <c r="F320" s="22"/>
      <c r="G320" s="31" t="str">
        <f aca="false">IF($B320="","",E320*F320)</f>
        <v/>
      </c>
      <c r="H320" s="40" t="n">
        <f aca="false">IFERROR(INDEX('4. Costeo y Precios'!$P$14:$P$64,MATCH($B320,'4. Costeo y Precios'!$A$14:$A$64,0)),0)</f>
        <v>0</v>
      </c>
      <c r="I320" s="31" t="str">
        <f aca="false">IF($B320="","",E320*H320)</f>
        <v/>
      </c>
      <c r="J320" s="52"/>
      <c r="K320" s="31" t="str">
        <f aca="false">IF($B320="","",G320*J320)</f>
        <v/>
      </c>
      <c r="L320" s="42" t="str">
        <f aca="false">IF($B320="","",G320-I320-K320)</f>
        <v/>
      </c>
      <c r="M320" s="43" t="str">
        <f aca="false">IFERROR(L320/G320,"")</f>
        <v/>
      </c>
      <c r="N320" s="51"/>
    </row>
    <row r="321" customFormat="false" ht="15" hidden="false" customHeight="false" outlineLevel="0" collapsed="false">
      <c r="A321" s="25"/>
      <c r="B321" s="21"/>
      <c r="C321" s="50" t="str">
        <f aca="false">IFERROR(INDEX('4. Costeo y Precios'!$B$14:$B$64,MATCH($B321,'4. Costeo y Precios'!$A$14:$A$64,0)),"")</f>
        <v/>
      </c>
      <c r="D321" s="24"/>
      <c r="E321" s="21"/>
      <c r="F321" s="22"/>
      <c r="G321" s="31" t="str">
        <f aca="false">IF($B321="","",E321*F321)</f>
        <v/>
      </c>
      <c r="H321" s="40" t="n">
        <f aca="false">IFERROR(INDEX('4. Costeo y Precios'!$P$14:$P$64,MATCH($B321,'4. Costeo y Precios'!$A$14:$A$64,0)),0)</f>
        <v>0</v>
      </c>
      <c r="I321" s="31" t="str">
        <f aca="false">IF($B321="","",E321*H321)</f>
        <v/>
      </c>
      <c r="J321" s="52"/>
      <c r="K321" s="31" t="str">
        <f aca="false">IF($B321="","",G321*J321)</f>
        <v/>
      </c>
      <c r="L321" s="42" t="str">
        <f aca="false">IF($B321="","",G321-I321-K321)</f>
        <v/>
      </c>
      <c r="M321" s="43" t="str">
        <f aca="false">IFERROR(L321/G321,"")</f>
        <v/>
      </c>
      <c r="N321" s="51"/>
    </row>
    <row r="322" customFormat="false" ht="15" hidden="false" customHeight="false" outlineLevel="0" collapsed="false">
      <c r="A322" s="25"/>
      <c r="B322" s="21"/>
      <c r="C322" s="50" t="str">
        <f aca="false">IFERROR(INDEX('4. Costeo y Precios'!$B$14:$B$64,MATCH($B322,'4. Costeo y Precios'!$A$14:$A$64,0)),"")</f>
        <v/>
      </c>
      <c r="D322" s="24"/>
      <c r="E322" s="21"/>
      <c r="F322" s="22"/>
      <c r="G322" s="31" t="str">
        <f aca="false">IF($B322="","",E322*F322)</f>
        <v/>
      </c>
      <c r="H322" s="40" t="n">
        <f aca="false">IFERROR(INDEX('4. Costeo y Precios'!$P$14:$P$64,MATCH($B322,'4. Costeo y Precios'!$A$14:$A$64,0)),0)</f>
        <v>0</v>
      </c>
      <c r="I322" s="31" t="str">
        <f aca="false">IF($B322="","",E322*H322)</f>
        <v/>
      </c>
      <c r="J322" s="52"/>
      <c r="K322" s="31" t="str">
        <f aca="false">IF($B322="","",G322*J322)</f>
        <v/>
      </c>
      <c r="L322" s="42" t="str">
        <f aca="false">IF($B322="","",G322-I322-K322)</f>
        <v/>
      </c>
      <c r="M322" s="43" t="str">
        <f aca="false">IFERROR(L322/G322,"")</f>
        <v/>
      </c>
      <c r="N322" s="51"/>
    </row>
    <row r="323" customFormat="false" ht="15" hidden="false" customHeight="false" outlineLevel="0" collapsed="false">
      <c r="A323" s="25"/>
      <c r="B323" s="21"/>
      <c r="C323" s="50" t="str">
        <f aca="false">IFERROR(INDEX('4. Costeo y Precios'!$B$14:$B$64,MATCH($B323,'4. Costeo y Precios'!$A$14:$A$64,0)),"")</f>
        <v/>
      </c>
      <c r="D323" s="24"/>
      <c r="E323" s="21"/>
      <c r="F323" s="22"/>
      <c r="G323" s="31" t="str">
        <f aca="false">IF($B323="","",E323*F323)</f>
        <v/>
      </c>
      <c r="H323" s="40" t="n">
        <f aca="false">IFERROR(INDEX('4. Costeo y Precios'!$P$14:$P$64,MATCH($B323,'4. Costeo y Precios'!$A$14:$A$64,0)),0)</f>
        <v>0</v>
      </c>
      <c r="I323" s="31" t="str">
        <f aca="false">IF($B323="","",E323*H323)</f>
        <v/>
      </c>
      <c r="J323" s="52"/>
      <c r="K323" s="31" t="str">
        <f aca="false">IF($B323="","",G323*J323)</f>
        <v/>
      </c>
      <c r="L323" s="42" t="str">
        <f aca="false">IF($B323="","",G323-I323-K323)</f>
        <v/>
      </c>
      <c r="M323" s="43" t="str">
        <f aca="false">IFERROR(L323/G323,"")</f>
        <v/>
      </c>
      <c r="N323" s="51"/>
    </row>
    <row r="324" customFormat="false" ht="15" hidden="false" customHeight="false" outlineLevel="0" collapsed="false">
      <c r="A324" s="25"/>
      <c r="B324" s="21"/>
      <c r="C324" s="50" t="str">
        <f aca="false">IFERROR(INDEX('4. Costeo y Precios'!$B$14:$B$64,MATCH($B324,'4. Costeo y Precios'!$A$14:$A$64,0)),"")</f>
        <v/>
      </c>
      <c r="D324" s="24"/>
      <c r="E324" s="21"/>
      <c r="F324" s="22"/>
      <c r="G324" s="31" t="str">
        <f aca="false">IF($B324="","",E324*F324)</f>
        <v/>
      </c>
      <c r="H324" s="40" t="n">
        <f aca="false">IFERROR(INDEX('4. Costeo y Precios'!$P$14:$P$64,MATCH($B324,'4. Costeo y Precios'!$A$14:$A$64,0)),0)</f>
        <v>0</v>
      </c>
      <c r="I324" s="31" t="str">
        <f aca="false">IF($B324="","",E324*H324)</f>
        <v/>
      </c>
      <c r="J324" s="52"/>
      <c r="K324" s="31" t="str">
        <f aca="false">IF($B324="","",G324*J324)</f>
        <v/>
      </c>
      <c r="L324" s="42" t="str">
        <f aca="false">IF($B324="","",G324-I324-K324)</f>
        <v/>
      </c>
      <c r="M324" s="43" t="str">
        <f aca="false">IFERROR(L324/G324,"")</f>
        <v/>
      </c>
      <c r="N324" s="51"/>
    </row>
    <row r="325" customFormat="false" ht="15" hidden="false" customHeight="false" outlineLevel="0" collapsed="false">
      <c r="A325" s="25"/>
      <c r="B325" s="21"/>
      <c r="C325" s="50" t="str">
        <f aca="false">IFERROR(INDEX('4. Costeo y Precios'!$B$14:$B$64,MATCH($B325,'4. Costeo y Precios'!$A$14:$A$64,0)),"")</f>
        <v/>
      </c>
      <c r="D325" s="24"/>
      <c r="E325" s="21"/>
      <c r="F325" s="22"/>
      <c r="G325" s="31" t="str">
        <f aca="false">IF($B325="","",E325*F325)</f>
        <v/>
      </c>
      <c r="H325" s="40" t="n">
        <f aca="false">IFERROR(INDEX('4. Costeo y Precios'!$P$14:$P$64,MATCH($B325,'4. Costeo y Precios'!$A$14:$A$64,0)),0)</f>
        <v>0</v>
      </c>
      <c r="I325" s="31" t="str">
        <f aca="false">IF($B325="","",E325*H325)</f>
        <v/>
      </c>
      <c r="J325" s="52"/>
      <c r="K325" s="31" t="str">
        <f aca="false">IF($B325="","",G325*J325)</f>
        <v/>
      </c>
      <c r="L325" s="42" t="str">
        <f aca="false">IF($B325="","",G325-I325-K325)</f>
        <v/>
      </c>
      <c r="M325" s="43" t="str">
        <f aca="false">IFERROR(L325/G325,"")</f>
        <v/>
      </c>
      <c r="N325" s="51"/>
    </row>
    <row r="326" customFormat="false" ht="15" hidden="false" customHeight="false" outlineLevel="0" collapsed="false">
      <c r="A326" s="25"/>
      <c r="B326" s="21"/>
      <c r="C326" s="50" t="str">
        <f aca="false">IFERROR(INDEX('4. Costeo y Precios'!$B$14:$B$64,MATCH($B326,'4. Costeo y Precios'!$A$14:$A$64,0)),"")</f>
        <v/>
      </c>
      <c r="D326" s="24"/>
      <c r="E326" s="21"/>
      <c r="F326" s="22"/>
      <c r="G326" s="31" t="str">
        <f aca="false">IF($B326="","",E326*F326)</f>
        <v/>
      </c>
      <c r="H326" s="40" t="n">
        <f aca="false">IFERROR(INDEX('4. Costeo y Precios'!$P$14:$P$64,MATCH($B326,'4. Costeo y Precios'!$A$14:$A$64,0)),0)</f>
        <v>0</v>
      </c>
      <c r="I326" s="31" t="str">
        <f aca="false">IF($B326="","",E326*H326)</f>
        <v/>
      </c>
      <c r="J326" s="52"/>
      <c r="K326" s="31" t="str">
        <f aca="false">IF($B326="","",G326*J326)</f>
        <v/>
      </c>
      <c r="L326" s="42" t="str">
        <f aca="false">IF($B326="","",G326-I326-K326)</f>
        <v/>
      </c>
      <c r="M326" s="43" t="str">
        <f aca="false">IFERROR(L326/G326,"")</f>
        <v/>
      </c>
      <c r="N326" s="51"/>
    </row>
    <row r="327" customFormat="false" ht="15" hidden="false" customHeight="false" outlineLevel="0" collapsed="false">
      <c r="A327" s="25"/>
      <c r="B327" s="21"/>
      <c r="C327" s="50" t="str">
        <f aca="false">IFERROR(INDEX('4. Costeo y Precios'!$B$14:$B$64,MATCH($B327,'4. Costeo y Precios'!$A$14:$A$64,0)),"")</f>
        <v/>
      </c>
      <c r="D327" s="24"/>
      <c r="E327" s="21"/>
      <c r="F327" s="22"/>
      <c r="G327" s="31" t="str">
        <f aca="false">IF($B327="","",E327*F327)</f>
        <v/>
      </c>
      <c r="H327" s="40" t="n">
        <f aca="false">IFERROR(INDEX('4. Costeo y Precios'!$P$14:$P$64,MATCH($B327,'4. Costeo y Precios'!$A$14:$A$64,0)),0)</f>
        <v>0</v>
      </c>
      <c r="I327" s="31" t="str">
        <f aca="false">IF($B327="","",E327*H327)</f>
        <v/>
      </c>
      <c r="J327" s="52"/>
      <c r="K327" s="31" t="str">
        <f aca="false">IF($B327="","",G327*J327)</f>
        <v/>
      </c>
      <c r="L327" s="42" t="str">
        <f aca="false">IF($B327="","",G327-I327-K327)</f>
        <v/>
      </c>
      <c r="M327" s="43" t="str">
        <f aca="false">IFERROR(L327/G327,"")</f>
        <v/>
      </c>
      <c r="N327" s="51"/>
    </row>
    <row r="328" customFormat="false" ht="15" hidden="false" customHeight="false" outlineLevel="0" collapsed="false">
      <c r="A328" s="25"/>
      <c r="B328" s="21"/>
      <c r="C328" s="50" t="str">
        <f aca="false">IFERROR(INDEX('4. Costeo y Precios'!$B$14:$B$64,MATCH($B328,'4. Costeo y Precios'!$A$14:$A$64,0)),"")</f>
        <v/>
      </c>
      <c r="D328" s="24"/>
      <c r="E328" s="21"/>
      <c r="F328" s="22"/>
      <c r="G328" s="31" t="str">
        <f aca="false">IF($B328="","",E328*F328)</f>
        <v/>
      </c>
      <c r="H328" s="40" t="n">
        <f aca="false">IFERROR(INDEX('4. Costeo y Precios'!$P$14:$P$64,MATCH($B328,'4. Costeo y Precios'!$A$14:$A$64,0)),0)</f>
        <v>0</v>
      </c>
      <c r="I328" s="31" t="str">
        <f aca="false">IF($B328="","",E328*H328)</f>
        <v/>
      </c>
      <c r="J328" s="52"/>
      <c r="K328" s="31" t="str">
        <f aca="false">IF($B328="","",G328*J328)</f>
        <v/>
      </c>
      <c r="L328" s="42" t="str">
        <f aca="false">IF($B328="","",G328-I328-K328)</f>
        <v/>
      </c>
      <c r="M328" s="43" t="str">
        <f aca="false">IFERROR(L328/G328,"")</f>
        <v/>
      </c>
      <c r="N328" s="51"/>
    </row>
    <row r="329" customFormat="false" ht="15" hidden="false" customHeight="false" outlineLevel="0" collapsed="false">
      <c r="A329" s="25"/>
      <c r="B329" s="21"/>
      <c r="C329" s="50" t="str">
        <f aca="false">IFERROR(INDEX('4. Costeo y Precios'!$B$14:$B$64,MATCH($B329,'4. Costeo y Precios'!$A$14:$A$64,0)),"")</f>
        <v/>
      </c>
      <c r="D329" s="24"/>
      <c r="E329" s="21"/>
      <c r="F329" s="22"/>
      <c r="G329" s="31" t="str">
        <f aca="false">IF($B329="","",E329*F329)</f>
        <v/>
      </c>
      <c r="H329" s="40" t="n">
        <f aca="false">IFERROR(INDEX('4. Costeo y Precios'!$P$14:$P$64,MATCH($B329,'4. Costeo y Precios'!$A$14:$A$64,0)),0)</f>
        <v>0</v>
      </c>
      <c r="I329" s="31" t="str">
        <f aca="false">IF($B329="","",E329*H329)</f>
        <v/>
      </c>
      <c r="J329" s="52"/>
      <c r="K329" s="31" t="str">
        <f aca="false">IF($B329="","",G329*J329)</f>
        <v/>
      </c>
      <c r="L329" s="42" t="str">
        <f aca="false">IF($B329="","",G329-I329-K329)</f>
        <v/>
      </c>
      <c r="M329" s="43" t="str">
        <f aca="false">IFERROR(L329/G329,"")</f>
        <v/>
      </c>
      <c r="N329" s="51"/>
    </row>
    <row r="330" customFormat="false" ht="15" hidden="false" customHeight="false" outlineLevel="0" collapsed="false">
      <c r="A330" s="25"/>
      <c r="B330" s="21"/>
      <c r="C330" s="50" t="str">
        <f aca="false">IFERROR(INDEX('4. Costeo y Precios'!$B$14:$B$64,MATCH($B330,'4. Costeo y Precios'!$A$14:$A$64,0)),"")</f>
        <v/>
      </c>
      <c r="D330" s="24"/>
      <c r="E330" s="21"/>
      <c r="F330" s="22"/>
      <c r="G330" s="31" t="str">
        <f aca="false">IF($B330="","",E330*F330)</f>
        <v/>
      </c>
      <c r="H330" s="40" t="n">
        <f aca="false">IFERROR(INDEX('4. Costeo y Precios'!$P$14:$P$64,MATCH($B330,'4. Costeo y Precios'!$A$14:$A$64,0)),0)</f>
        <v>0</v>
      </c>
      <c r="I330" s="31" t="str">
        <f aca="false">IF($B330="","",E330*H330)</f>
        <v/>
      </c>
      <c r="J330" s="52"/>
      <c r="K330" s="31" t="str">
        <f aca="false">IF($B330="","",G330*J330)</f>
        <v/>
      </c>
      <c r="L330" s="42" t="str">
        <f aca="false">IF($B330="","",G330-I330-K330)</f>
        <v/>
      </c>
      <c r="M330" s="43" t="str">
        <f aca="false">IFERROR(L330/G330,"")</f>
        <v/>
      </c>
      <c r="N330" s="51"/>
    </row>
    <row r="331" customFormat="false" ht="15" hidden="false" customHeight="false" outlineLevel="0" collapsed="false">
      <c r="A331" s="25"/>
      <c r="B331" s="21"/>
      <c r="C331" s="50" t="str">
        <f aca="false">IFERROR(INDEX('4. Costeo y Precios'!$B$14:$B$64,MATCH($B331,'4. Costeo y Precios'!$A$14:$A$64,0)),"")</f>
        <v/>
      </c>
      <c r="D331" s="24"/>
      <c r="E331" s="21"/>
      <c r="F331" s="22"/>
      <c r="G331" s="31" t="str">
        <f aca="false">IF($B331="","",E331*F331)</f>
        <v/>
      </c>
      <c r="H331" s="40" t="n">
        <f aca="false">IFERROR(INDEX('4. Costeo y Precios'!$P$14:$P$64,MATCH($B331,'4. Costeo y Precios'!$A$14:$A$64,0)),0)</f>
        <v>0</v>
      </c>
      <c r="I331" s="31" t="str">
        <f aca="false">IF($B331="","",E331*H331)</f>
        <v/>
      </c>
      <c r="J331" s="52"/>
      <c r="K331" s="31" t="str">
        <f aca="false">IF($B331="","",G331*J331)</f>
        <v/>
      </c>
      <c r="L331" s="42" t="str">
        <f aca="false">IF($B331="","",G331-I331-K331)</f>
        <v/>
      </c>
      <c r="M331" s="43" t="str">
        <f aca="false">IFERROR(L331/G331,"")</f>
        <v/>
      </c>
      <c r="N331" s="51"/>
    </row>
    <row r="332" customFormat="false" ht="15" hidden="false" customHeight="false" outlineLevel="0" collapsed="false">
      <c r="A332" s="25"/>
      <c r="B332" s="21"/>
      <c r="C332" s="50" t="str">
        <f aca="false">IFERROR(INDEX('4. Costeo y Precios'!$B$14:$B$64,MATCH($B332,'4. Costeo y Precios'!$A$14:$A$64,0)),"")</f>
        <v/>
      </c>
      <c r="D332" s="24"/>
      <c r="E332" s="21"/>
      <c r="F332" s="22"/>
      <c r="G332" s="31" t="str">
        <f aca="false">IF($B332="","",E332*F332)</f>
        <v/>
      </c>
      <c r="H332" s="40" t="n">
        <f aca="false">IFERROR(INDEX('4. Costeo y Precios'!$P$14:$P$64,MATCH($B332,'4. Costeo y Precios'!$A$14:$A$64,0)),0)</f>
        <v>0</v>
      </c>
      <c r="I332" s="31" t="str">
        <f aca="false">IF($B332="","",E332*H332)</f>
        <v/>
      </c>
      <c r="J332" s="52"/>
      <c r="K332" s="31" t="str">
        <f aca="false">IF($B332="","",G332*J332)</f>
        <v/>
      </c>
      <c r="L332" s="42" t="str">
        <f aca="false">IF($B332="","",G332-I332-K332)</f>
        <v/>
      </c>
      <c r="M332" s="43" t="str">
        <f aca="false">IFERROR(L332/G332,"")</f>
        <v/>
      </c>
      <c r="N332" s="51"/>
    </row>
    <row r="333" customFormat="false" ht="15" hidden="false" customHeight="false" outlineLevel="0" collapsed="false">
      <c r="A333" s="25"/>
      <c r="B333" s="21"/>
      <c r="C333" s="50" t="str">
        <f aca="false">IFERROR(INDEX('4. Costeo y Precios'!$B$14:$B$64,MATCH($B333,'4. Costeo y Precios'!$A$14:$A$64,0)),"")</f>
        <v/>
      </c>
      <c r="D333" s="24"/>
      <c r="E333" s="21"/>
      <c r="F333" s="22"/>
      <c r="G333" s="31" t="str">
        <f aca="false">IF($B333="","",E333*F333)</f>
        <v/>
      </c>
      <c r="H333" s="40" t="n">
        <f aca="false">IFERROR(INDEX('4. Costeo y Precios'!$P$14:$P$64,MATCH($B333,'4. Costeo y Precios'!$A$14:$A$64,0)),0)</f>
        <v>0</v>
      </c>
      <c r="I333" s="31" t="str">
        <f aca="false">IF($B333="","",E333*H333)</f>
        <v/>
      </c>
      <c r="J333" s="52"/>
      <c r="K333" s="31" t="str">
        <f aca="false">IF($B333="","",G333*J333)</f>
        <v/>
      </c>
      <c r="L333" s="42" t="str">
        <f aca="false">IF($B333="","",G333-I333-K333)</f>
        <v/>
      </c>
      <c r="M333" s="43" t="str">
        <f aca="false">IFERROR(L333/G333,"")</f>
        <v/>
      </c>
      <c r="N333" s="51"/>
    </row>
    <row r="334" customFormat="false" ht="15" hidden="false" customHeight="false" outlineLevel="0" collapsed="false">
      <c r="A334" s="25"/>
      <c r="B334" s="21"/>
      <c r="C334" s="50" t="str">
        <f aca="false">IFERROR(INDEX('4. Costeo y Precios'!$B$14:$B$64,MATCH($B334,'4. Costeo y Precios'!$A$14:$A$64,0)),"")</f>
        <v/>
      </c>
      <c r="D334" s="24"/>
      <c r="E334" s="21"/>
      <c r="F334" s="22"/>
      <c r="G334" s="31" t="str">
        <f aca="false">IF($B334="","",E334*F334)</f>
        <v/>
      </c>
      <c r="H334" s="40" t="n">
        <f aca="false">IFERROR(INDEX('4. Costeo y Precios'!$P$14:$P$64,MATCH($B334,'4. Costeo y Precios'!$A$14:$A$64,0)),0)</f>
        <v>0</v>
      </c>
      <c r="I334" s="31" t="str">
        <f aca="false">IF($B334="","",E334*H334)</f>
        <v/>
      </c>
      <c r="J334" s="52"/>
      <c r="K334" s="31" t="str">
        <f aca="false">IF($B334="","",G334*J334)</f>
        <v/>
      </c>
      <c r="L334" s="42" t="str">
        <f aca="false">IF($B334="","",G334-I334-K334)</f>
        <v/>
      </c>
      <c r="M334" s="43" t="str">
        <f aca="false">IFERROR(L334/G334,"")</f>
        <v/>
      </c>
      <c r="N334" s="51"/>
    </row>
    <row r="335" customFormat="false" ht="15" hidden="false" customHeight="false" outlineLevel="0" collapsed="false">
      <c r="A335" s="25"/>
      <c r="B335" s="21"/>
      <c r="C335" s="50" t="str">
        <f aca="false">IFERROR(INDEX('4. Costeo y Precios'!$B$14:$B$64,MATCH($B335,'4. Costeo y Precios'!$A$14:$A$64,0)),"")</f>
        <v/>
      </c>
      <c r="D335" s="24"/>
      <c r="E335" s="21"/>
      <c r="F335" s="22"/>
      <c r="G335" s="31" t="str">
        <f aca="false">IF($B335="","",E335*F335)</f>
        <v/>
      </c>
      <c r="H335" s="40" t="n">
        <f aca="false">IFERROR(INDEX('4. Costeo y Precios'!$P$14:$P$64,MATCH($B335,'4. Costeo y Precios'!$A$14:$A$64,0)),0)</f>
        <v>0</v>
      </c>
      <c r="I335" s="31" t="str">
        <f aca="false">IF($B335="","",E335*H335)</f>
        <v/>
      </c>
      <c r="J335" s="52"/>
      <c r="K335" s="31" t="str">
        <f aca="false">IF($B335="","",G335*J335)</f>
        <v/>
      </c>
      <c r="L335" s="42" t="str">
        <f aca="false">IF($B335="","",G335-I335-K335)</f>
        <v/>
      </c>
      <c r="M335" s="43" t="str">
        <f aca="false">IFERROR(L335/G335,"")</f>
        <v/>
      </c>
      <c r="N335" s="51"/>
    </row>
    <row r="336" customFormat="false" ht="15" hidden="false" customHeight="false" outlineLevel="0" collapsed="false">
      <c r="A336" s="25"/>
      <c r="B336" s="21"/>
      <c r="C336" s="50" t="str">
        <f aca="false">IFERROR(INDEX('4. Costeo y Precios'!$B$14:$B$64,MATCH($B336,'4. Costeo y Precios'!$A$14:$A$64,0)),"")</f>
        <v/>
      </c>
      <c r="D336" s="24"/>
      <c r="E336" s="21"/>
      <c r="F336" s="22"/>
      <c r="G336" s="31" t="str">
        <f aca="false">IF($B336="","",E336*F336)</f>
        <v/>
      </c>
      <c r="H336" s="40" t="n">
        <f aca="false">IFERROR(INDEX('4. Costeo y Precios'!$P$14:$P$64,MATCH($B336,'4. Costeo y Precios'!$A$14:$A$64,0)),0)</f>
        <v>0</v>
      </c>
      <c r="I336" s="31" t="str">
        <f aca="false">IF($B336="","",E336*H336)</f>
        <v/>
      </c>
      <c r="J336" s="52"/>
      <c r="K336" s="31" t="str">
        <f aca="false">IF($B336="","",G336*J336)</f>
        <v/>
      </c>
      <c r="L336" s="42" t="str">
        <f aca="false">IF($B336="","",G336-I336-K336)</f>
        <v/>
      </c>
      <c r="M336" s="43" t="str">
        <f aca="false">IFERROR(L336/G336,"")</f>
        <v/>
      </c>
      <c r="N336" s="51"/>
    </row>
    <row r="337" customFormat="false" ht="15" hidden="false" customHeight="false" outlineLevel="0" collapsed="false">
      <c r="A337" s="25"/>
      <c r="B337" s="21"/>
      <c r="C337" s="50" t="str">
        <f aca="false">IFERROR(INDEX('4. Costeo y Precios'!$B$14:$B$64,MATCH($B337,'4. Costeo y Precios'!$A$14:$A$64,0)),"")</f>
        <v/>
      </c>
      <c r="D337" s="24"/>
      <c r="E337" s="21"/>
      <c r="F337" s="22"/>
      <c r="G337" s="31" t="str">
        <f aca="false">IF($B337="","",E337*F337)</f>
        <v/>
      </c>
      <c r="H337" s="40" t="n">
        <f aca="false">IFERROR(INDEX('4. Costeo y Precios'!$P$14:$P$64,MATCH($B337,'4. Costeo y Precios'!$A$14:$A$64,0)),0)</f>
        <v>0</v>
      </c>
      <c r="I337" s="31" t="str">
        <f aca="false">IF($B337="","",E337*H337)</f>
        <v/>
      </c>
      <c r="J337" s="52"/>
      <c r="K337" s="31" t="str">
        <f aca="false">IF($B337="","",G337*J337)</f>
        <v/>
      </c>
      <c r="L337" s="42" t="str">
        <f aca="false">IF($B337="","",G337-I337-K337)</f>
        <v/>
      </c>
      <c r="M337" s="43" t="str">
        <f aca="false">IFERROR(L337/G337,"")</f>
        <v/>
      </c>
      <c r="N337" s="51"/>
    </row>
    <row r="338" customFormat="false" ht="15" hidden="false" customHeight="false" outlineLevel="0" collapsed="false">
      <c r="A338" s="25"/>
      <c r="B338" s="21"/>
      <c r="C338" s="50" t="str">
        <f aca="false">IFERROR(INDEX('4. Costeo y Precios'!$B$14:$B$64,MATCH($B338,'4. Costeo y Precios'!$A$14:$A$64,0)),"")</f>
        <v/>
      </c>
      <c r="D338" s="24"/>
      <c r="E338" s="21"/>
      <c r="F338" s="22"/>
      <c r="G338" s="31" t="str">
        <f aca="false">IF($B338="","",E338*F338)</f>
        <v/>
      </c>
      <c r="H338" s="40" t="n">
        <f aca="false">IFERROR(INDEX('4. Costeo y Precios'!$P$14:$P$64,MATCH($B338,'4. Costeo y Precios'!$A$14:$A$64,0)),0)</f>
        <v>0</v>
      </c>
      <c r="I338" s="31" t="str">
        <f aca="false">IF($B338="","",E338*H338)</f>
        <v/>
      </c>
      <c r="J338" s="52"/>
      <c r="K338" s="31" t="str">
        <f aca="false">IF($B338="","",G338*J338)</f>
        <v/>
      </c>
      <c r="L338" s="42" t="str">
        <f aca="false">IF($B338="","",G338-I338-K338)</f>
        <v/>
      </c>
      <c r="M338" s="43" t="str">
        <f aca="false">IFERROR(L338/G338,"")</f>
        <v/>
      </c>
      <c r="N338" s="51"/>
    </row>
    <row r="339" customFormat="false" ht="15" hidden="false" customHeight="false" outlineLevel="0" collapsed="false">
      <c r="A339" s="25"/>
      <c r="B339" s="21"/>
      <c r="C339" s="50" t="str">
        <f aca="false">IFERROR(INDEX('4. Costeo y Precios'!$B$14:$B$64,MATCH($B339,'4. Costeo y Precios'!$A$14:$A$64,0)),"")</f>
        <v/>
      </c>
      <c r="D339" s="24"/>
      <c r="E339" s="21"/>
      <c r="F339" s="22"/>
      <c r="G339" s="31" t="str">
        <f aca="false">IF($B339="","",E339*F339)</f>
        <v/>
      </c>
      <c r="H339" s="40" t="n">
        <f aca="false">IFERROR(INDEX('4. Costeo y Precios'!$P$14:$P$64,MATCH($B339,'4. Costeo y Precios'!$A$14:$A$64,0)),0)</f>
        <v>0</v>
      </c>
      <c r="I339" s="31" t="str">
        <f aca="false">IF($B339="","",E339*H339)</f>
        <v/>
      </c>
      <c r="J339" s="52"/>
      <c r="K339" s="31" t="str">
        <f aca="false">IF($B339="","",G339*J339)</f>
        <v/>
      </c>
      <c r="L339" s="42" t="str">
        <f aca="false">IF($B339="","",G339-I339-K339)</f>
        <v/>
      </c>
      <c r="M339" s="43" t="str">
        <f aca="false">IFERROR(L339/G339,"")</f>
        <v/>
      </c>
      <c r="N339" s="51"/>
    </row>
    <row r="340" customFormat="false" ht="15" hidden="false" customHeight="false" outlineLevel="0" collapsed="false">
      <c r="A340" s="25"/>
      <c r="B340" s="21"/>
      <c r="C340" s="50" t="str">
        <f aca="false">IFERROR(INDEX('4. Costeo y Precios'!$B$14:$B$64,MATCH($B340,'4. Costeo y Precios'!$A$14:$A$64,0)),"")</f>
        <v/>
      </c>
      <c r="D340" s="24"/>
      <c r="E340" s="21"/>
      <c r="F340" s="22"/>
      <c r="G340" s="31" t="str">
        <f aca="false">IF($B340="","",E340*F340)</f>
        <v/>
      </c>
      <c r="H340" s="40" t="n">
        <f aca="false">IFERROR(INDEX('4. Costeo y Precios'!$P$14:$P$64,MATCH($B340,'4. Costeo y Precios'!$A$14:$A$64,0)),0)</f>
        <v>0</v>
      </c>
      <c r="I340" s="31" t="str">
        <f aca="false">IF($B340="","",E340*H340)</f>
        <v/>
      </c>
      <c r="J340" s="52"/>
      <c r="K340" s="31" t="str">
        <f aca="false">IF($B340="","",G340*J340)</f>
        <v/>
      </c>
      <c r="L340" s="42" t="str">
        <f aca="false">IF($B340="","",G340-I340-K340)</f>
        <v/>
      </c>
      <c r="M340" s="43" t="str">
        <f aca="false">IFERROR(L340/G340,"")</f>
        <v/>
      </c>
      <c r="N340" s="51"/>
    </row>
    <row r="341" customFormat="false" ht="15" hidden="false" customHeight="false" outlineLevel="0" collapsed="false">
      <c r="A341" s="25"/>
      <c r="B341" s="21"/>
      <c r="C341" s="50" t="str">
        <f aca="false">IFERROR(INDEX('4. Costeo y Precios'!$B$14:$B$64,MATCH($B341,'4. Costeo y Precios'!$A$14:$A$64,0)),"")</f>
        <v/>
      </c>
      <c r="D341" s="24"/>
      <c r="E341" s="21"/>
      <c r="F341" s="22"/>
      <c r="G341" s="31" t="str">
        <f aca="false">IF($B341="","",E341*F341)</f>
        <v/>
      </c>
      <c r="H341" s="40" t="n">
        <f aca="false">IFERROR(INDEX('4. Costeo y Precios'!$P$14:$P$64,MATCH($B341,'4. Costeo y Precios'!$A$14:$A$64,0)),0)</f>
        <v>0</v>
      </c>
      <c r="I341" s="31" t="str">
        <f aca="false">IF($B341="","",E341*H341)</f>
        <v/>
      </c>
      <c r="J341" s="52"/>
      <c r="K341" s="31" t="str">
        <f aca="false">IF($B341="","",G341*J341)</f>
        <v/>
      </c>
      <c r="L341" s="42" t="str">
        <f aca="false">IF($B341="","",G341-I341-K341)</f>
        <v/>
      </c>
      <c r="M341" s="43" t="str">
        <f aca="false">IFERROR(L341/G341,"")</f>
        <v/>
      </c>
      <c r="N341" s="51"/>
    </row>
    <row r="342" customFormat="false" ht="15" hidden="false" customHeight="false" outlineLevel="0" collapsed="false">
      <c r="A342" s="25"/>
      <c r="B342" s="21"/>
      <c r="C342" s="50" t="str">
        <f aca="false">IFERROR(INDEX('4. Costeo y Precios'!$B$14:$B$64,MATCH($B342,'4. Costeo y Precios'!$A$14:$A$64,0)),"")</f>
        <v/>
      </c>
      <c r="D342" s="24"/>
      <c r="E342" s="21"/>
      <c r="F342" s="22"/>
      <c r="G342" s="31" t="str">
        <f aca="false">IF($B342="","",E342*F342)</f>
        <v/>
      </c>
      <c r="H342" s="40" t="n">
        <f aca="false">IFERROR(INDEX('4. Costeo y Precios'!$P$14:$P$64,MATCH($B342,'4. Costeo y Precios'!$A$14:$A$64,0)),0)</f>
        <v>0</v>
      </c>
      <c r="I342" s="31" t="str">
        <f aca="false">IF($B342="","",E342*H342)</f>
        <v/>
      </c>
      <c r="J342" s="52"/>
      <c r="K342" s="31" t="str">
        <f aca="false">IF($B342="","",G342*J342)</f>
        <v/>
      </c>
      <c r="L342" s="42" t="str">
        <f aca="false">IF($B342="","",G342-I342-K342)</f>
        <v/>
      </c>
      <c r="M342" s="43" t="str">
        <f aca="false">IFERROR(L342/G342,"")</f>
        <v/>
      </c>
      <c r="N342" s="51"/>
    </row>
    <row r="343" customFormat="false" ht="15" hidden="false" customHeight="false" outlineLevel="0" collapsed="false">
      <c r="A343" s="25"/>
      <c r="B343" s="21"/>
      <c r="C343" s="50" t="str">
        <f aca="false">IFERROR(INDEX('4. Costeo y Precios'!$B$14:$B$64,MATCH($B343,'4. Costeo y Precios'!$A$14:$A$64,0)),"")</f>
        <v/>
      </c>
      <c r="D343" s="24"/>
      <c r="E343" s="21"/>
      <c r="F343" s="22"/>
      <c r="G343" s="31" t="str">
        <f aca="false">IF($B343="","",E343*F343)</f>
        <v/>
      </c>
      <c r="H343" s="40" t="n">
        <f aca="false">IFERROR(INDEX('4. Costeo y Precios'!$P$14:$P$64,MATCH($B343,'4. Costeo y Precios'!$A$14:$A$64,0)),0)</f>
        <v>0</v>
      </c>
      <c r="I343" s="31" t="str">
        <f aca="false">IF($B343="","",E343*H343)</f>
        <v/>
      </c>
      <c r="J343" s="52"/>
      <c r="K343" s="31" t="str">
        <f aca="false">IF($B343="","",G343*J343)</f>
        <v/>
      </c>
      <c r="L343" s="42" t="str">
        <f aca="false">IF($B343="","",G343-I343-K343)</f>
        <v/>
      </c>
      <c r="M343" s="43" t="str">
        <f aca="false">IFERROR(L343/G343,"")</f>
        <v/>
      </c>
      <c r="N343" s="51"/>
    </row>
    <row r="344" customFormat="false" ht="15" hidden="false" customHeight="false" outlineLevel="0" collapsed="false">
      <c r="A344" s="25"/>
      <c r="B344" s="21"/>
      <c r="C344" s="50" t="str">
        <f aca="false">IFERROR(INDEX('4. Costeo y Precios'!$B$14:$B$64,MATCH($B344,'4. Costeo y Precios'!$A$14:$A$64,0)),"")</f>
        <v/>
      </c>
      <c r="D344" s="24"/>
      <c r="E344" s="21"/>
      <c r="F344" s="22"/>
      <c r="G344" s="31" t="str">
        <f aca="false">IF($B344="","",E344*F344)</f>
        <v/>
      </c>
      <c r="H344" s="40" t="n">
        <f aca="false">IFERROR(INDEX('4. Costeo y Precios'!$P$14:$P$64,MATCH($B344,'4. Costeo y Precios'!$A$14:$A$64,0)),0)</f>
        <v>0</v>
      </c>
      <c r="I344" s="31" t="str">
        <f aca="false">IF($B344="","",E344*H344)</f>
        <v/>
      </c>
      <c r="J344" s="52"/>
      <c r="K344" s="31" t="str">
        <f aca="false">IF($B344="","",G344*J344)</f>
        <v/>
      </c>
      <c r="L344" s="42" t="str">
        <f aca="false">IF($B344="","",G344-I344-K344)</f>
        <v/>
      </c>
      <c r="M344" s="43" t="str">
        <f aca="false">IFERROR(L344/G344,"")</f>
        <v/>
      </c>
      <c r="N344" s="51"/>
    </row>
    <row r="345" customFormat="false" ht="15" hidden="false" customHeight="false" outlineLevel="0" collapsed="false">
      <c r="A345" s="25"/>
      <c r="B345" s="21"/>
      <c r="C345" s="50" t="str">
        <f aca="false">IFERROR(INDEX('4. Costeo y Precios'!$B$14:$B$64,MATCH($B345,'4. Costeo y Precios'!$A$14:$A$64,0)),"")</f>
        <v/>
      </c>
      <c r="D345" s="24"/>
      <c r="E345" s="21"/>
      <c r="F345" s="22"/>
      <c r="G345" s="31" t="str">
        <f aca="false">IF($B345="","",E345*F345)</f>
        <v/>
      </c>
      <c r="H345" s="40" t="n">
        <f aca="false">IFERROR(INDEX('4. Costeo y Precios'!$P$14:$P$64,MATCH($B345,'4. Costeo y Precios'!$A$14:$A$64,0)),0)</f>
        <v>0</v>
      </c>
      <c r="I345" s="31" t="str">
        <f aca="false">IF($B345="","",E345*H345)</f>
        <v/>
      </c>
      <c r="J345" s="52"/>
      <c r="K345" s="31" t="str">
        <f aca="false">IF($B345="","",G345*J345)</f>
        <v/>
      </c>
      <c r="L345" s="42" t="str">
        <f aca="false">IF($B345="","",G345-I345-K345)</f>
        <v/>
      </c>
      <c r="M345" s="43" t="str">
        <f aca="false">IFERROR(L345/G345,"")</f>
        <v/>
      </c>
      <c r="N345" s="51"/>
    </row>
    <row r="346" customFormat="false" ht="15" hidden="false" customHeight="false" outlineLevel="0" collapsed="false">
      <c r="A346" s="25"/>
      <c r="B346" s="21"/>
      <c r="C346" s="50" t="str">
        <f aca="false">IFERROR(INDEX('4. Costeo y Precios'!$B$14:$B$64,MATCH($B346,'4. Costeo y Precios'!$A$14:$A$64,0)),"")</f>
        <v/>
      </c>
      <c r="D346" s="24"/>
      <c r="E346" s="21"/>
      <c r="F346" s="22"/>
      <c r="G346" s="31" t="str">
        <f aca="false">IF($B346="","",E346*F346)</f>
        <v/>
      </c>
      <c r="H346" s="40" t="n">
        <f aca="false">IFERROR(INDEX('4. Costeo y Precios'!$P$14:$P$64,MATCH($B346,'4. Costeo y Precios'!$A$14:$A$64,0)),0)</f>
        <v>0</v>
      </c>
      <c r="I346" s="31" t="str">
        <f aca="false">IF($B346="","",E346*H346)</f>
        <v/>
      </c>
      <c r="J346" s="52"/>
      <c r="K346" s="31" t="str">
        <f aca="false">IF($B346="","",G346*J346)</f>
        <v/>
      </c>
      <c r="L346" s="42" t="str">
        <f aca="false">IF($B346="","",G346-I346-K346)</f>
        <v/>
      </c>
      <c r="M346" s="43" t="str">
        <f aca="false">IFERROR(L346/G346,"")</f>
        <v/>
      </c>
      <c r="N346" s="51"/>
    </row>
    <row r="347" customFormat="false" ht="15" hidden="false" customHeight="false" outlineLevel="0" collapsed="false">
      <c r="A347" s="25"/>
      <c r="B347" s="21"/>
      <c r="C347" s="50" t="str">
        <f aca="false">IFERROR(INDEX('4. Costeo y Precios'!$B$14:$B$64,MATCH($B347,'4. Costeo y Precios'!$A$14:$A$64,0)),"")</f>
        <v/>
      </c>
      <c r="D347" s="24"/>
      <c r="E347" s="21"/>
      <c r="F347" s="22"/>
      <c r="G347" s="31" t="str">
        <f aca="false">IF($B347="","",E347*F347)</f>
        <v/>
      </c>
      <c r="H347" s="40" t="n">
        <f aca="false">IFERROR(INDEX('4. Costeo y Precios'!$P$14:$P$64,MATCH($B347,'4. Costeo y Precios'!$A$14:$A$64,0)),0)</f>
        <v>0</v>
      </c>
      <c r="I347" s="31" t="str">
        <f aca="false">IF($B347="","",E347*H347)</f>
        <v/>
      </c>
      <c r="J347" s="52"/>
      <c r="K347" s="31" t="str">
        <f aca="false">IF($B347="","",G347*J347)</f>
        <v/>
      </c>
      <c r="L347" s="42" t="str">
        <f aca="false">IF($B347="","",G347-I347-K347)</f>
        <v/>
      </c>
      <c r="M347" s="43" t="str">
        <f aca="false">IFERROR(L347/G347,"")</f>
        <v/>
      </c>
      <c r="N347" s="51"/>
    </row>
    <row r="348" customFormat="false" ht="15" hidden="false" customHeight="false" outlineLevel="0" collapsed="false">
      <c r="A348" s="25"/>
      <c r="B348" s="21"/>
      <c r="C348" s="50" t="str">
        <f aca="false">IFERROR(INDEX('4. Costeo y Precios'!$B$14:$B$64,MATCH($B348,'4. Costeo y Precios'!$A$14:$A$64,0)),"")</f>
        <v/>
      </c>
      <c r="D348" s="24"/>
      <c r="E348" s="21"/>
      <c r="F348" s="22"/>
      <c r="G348" s="31" t="str">
        <f aca="false">IF($B348="","",E348*F348)</f>
        <v/>
      </c>
      <c r="H348" s="40" t="n">
        <f aca="false">IFERROR(INDEX('4. Costeo y Precios'!$P$14:$P$64,MATCH($B348,'4. Costeo y Precios'!$A$14:$A$64,0)),0)</f>
        <v>0</v>
      </c>
      <c r="I348" s="31" t="str">
        <f aca="false">IF($B348="","",E348*H348)</f>
        <v/>
      </c>
      <c r="J348" s="52"/>
      <c r="K348" s="31" t="str">
        <f aca="false">IF($B348="","",G348*J348)</f>
        <v/>
      </c>
      <c r="L348" s="42" t="str">
        <f aca="false">IF($B348="","",G348-I348-K348)</f>
        <v/>
      </c>
      <c r="M348" s="43" t="str">
        <f aca="false">IFERROR(L348/G348,"")</f>
        <v/>
      </c>
      <c r="N348" s="51"/>
    </row>
    <row r="349" customFormat="false" ht="15" hidden="false" customHeight="false" outlineLevel="0" collapsed="false">
      <c r="A349" s="25"/>
      <c r="B349" s="21"/>
      <c r="C349" s="50" t="str">
        <f aca="false">IFERROR(INDEX('4. Costeo y Precios'!$B$14:$B$64,MATCH($B349,'4. Costeo y Precios'!$A$14:$A$64,0)),"")</f>
        <v/>
      </c>
      <c r="D349" s="24"/>
      <c r="E349" s="21"/>
      <c r="F349" s="22"/>
      <c r="G349" s="31" t="str">
        <f aca="false">IF($B349="","",E349*F349)</f>
        <v/>
      </c>
      <c r="H349" s="40" t="n">
        <f aca="false">IFERROR(INDEX('4. Costeo y Precios'!$P$14:$P$64,MATCH($B349,'4. Costeo y Precios'!$A$14:$A$64,0)),0)</f>
        <v>0</v>
      </c>
      <c r="I349" s="31" t="str">
        <f aca="false">IF($B349="","",E349*H349)</f>
        <v/>
      </c>
      <c r="J349" s="52"/>
      <c r="K349" s="31" t="str">
        <f aca="false">IF($B349="","",G349*J349)</f>
        <v/>
      </c>
      <c r="L349" s="42" t="str">
        <f aca="false">IF($B349="","",G349-I349-K349)</f>
        <v/>
      </c>
      <c r="M349" s="43" t="str">
        <f aca="false">IFERROR(L349/G349,"")</f>
        <v/>
      </c>
      <c r="N349" s="51"/>
    </row>
    <row r="350" customFormat="false" ht="15" hidden="false" customHeight="false" outlineLevel="0" collapsed="false">
      <c r="A350" s="25"/>
      <c r="B350" s="21"/>
      <c r="C350" s="50" t="str">
        <f aca="false">IFERROR(INDEX('4. Costeo y Precios'!$B$14:$B$64,MATCH($B350,'4. Costeo y Precios'!$A$14:$A$64,0)),"")</f>
        <v/>
      </c>
      <c r="D350" s="24"/>
      <c r="E350" s="21"/>
      <c r="F350" s="22"/>
      <c r="G350" s="31" t="str">
        <f aca="false">IF($B350="","",E350*F350)</f>
        <v/>
      </c>
      <c r="H350" s="40" t="n">
        <f aca="false">IFERROR(INDEX('4. Costeo y Precios'!$P$14:$P$64,MATCH($B350,'4. Costeo y Precios'!$A$14:$A$64,0)),0)</f>
        <v>0</v>
      </c>
      <c r="I350" s="31" t="str">
        <f aca="false">IF($B350="","",E350*H350)</f>
        <v/>
      </c>
      <c r="J350" s="52"/>
      <c r="K350" s="31" t="str">
        <f aca="false">IF($B350="","",G350*J350)</f>
        <v/>
      </c>
      <c r="L350" s="42" t="str">
        <f aca="false">IF($B350="","",G350-I350-K350)</f>
        <v/>
      </c>
      <c r="M350" s="43" t="str">
        <f aca="false">IFERROR(L350/G350,"")</f>
        <v/>
      </c>
      <c r="N350" s="51"/>
    </row>
    <row r="351" customFormat="false" ht="15" hidden="false" customHeight="false" outlineLevel="0" collapsed="false">
      <c r="A351" s="25"/>
      <c r="B351" s="21"/>
      <c r="C351" s="50" t="str">
        <f aca="false">IFERROR(INDEX('4. Costeo y Precios'!$B$14:$B$64,MATCH($B351,'4. Costeo y Precios'!$A$14:$A$64,0)),"")</f>
        <v/>
      </c>
      <c r="D351" s="24"/>
      <c r="E351" s="21"/>
      <c r="F351" s="22"/>
      <c r="G351" s="31" t="str">
        <f aca="false">IF($B351="","",E351*F351)</f>
        <v/>
      </c>
      <c r="H351" s="40" t="n">
        <f aca="false">IFERROR(INDEX('4. Costeo y Precios'!$P$14:$P$64,MATCH($B351,'4. Costeo y Precios'!$A$14:$A$64,0)),0)</f>
        <v>0</v>
      </c>
      <c r="I351" s="31" t="str">
        <f aca="false">IF($B351="","",E351*H351)</f>
        <v/>
      </c>
      <c r="J351" s="52"/>
      <c r="K351" s="31" t="str">
        <f aca="false">IF($B351="","",G351*J351)</f>
        <v/>
      </c>
      <c r="L351" s="42" t="str">
        <f aca="false">IF($B351="","",G351-I351-K351)</f>
        <v/>
      </c>
      <c r="M351" s="43" t="str">
        <f aca="false">IFERROR(L351/G351,"")</f>
        <v/>
      </c>
      <c r="N351" s="51"/>
    </row>
    <row r="352" customFormat="false" ht="15" hidden="false" customHeight="false" outlineLevel="0" collapsed="false">
      <c r="A352" s="25"/>
      <c r="B352" s="21"/>
      <c r="C352" s="50" t="str">
        <f aca="false">IFERROR(INDEX('4. Costeo y Precios'!$B$14:$B$64,MATCH($B352,'4. Costeo y Precios'!$A$14:$A$64,0)),"")</f>
        <v/>
      </c>
      <c r="D352" s="24"/>
      <c r="E352" s="21"/>
      <c r="F352" s="22"/>
      <c r="G352" s="31" t="str">
        <f aca="false">IF($B352="","",E352*F352)</f>
        <v/>
      </c>
      <c r="H352" s="40" t="n">
        <f aca="false">IFERROR(INDEX('4. Costeo y Precios'!$P$14:$P$64,MATCH($B352,'4. Costeo y Precios'!$A$14:$A$64,0)),0)</f>
        <v>0</v>
      </c>
      <c r="I352" s="31" t="str">
        <f aca="false">IF($B352="","",E352*H352)</f>
        <v/>
      </c>
      <c r="J352" s="52"/>
      <c r="K352" s="31" t="str">
        <f aca="false">IF($B352="","",G352*J352)</f>
        <v/>
      </c>
      <c r="L352" s="42" t="str">
        <f aca="false">IF($B352="","",G352-I352-K352)</f>
        <v/>
      </c>
      <c r="M352" s="43" t="str">
        <f aca="false">IFERROR(L352/G352,"")</f>
        <v/>
      </c>
      <c r="N352" s="51"/>
    </row>
    <row r="353" customFormat="false" ht="15" hidden="false" customHeight="false" outlineLevel="0" collapsed="false">
      <c r="A353" s="25"/>
      <c r="B353" s="21"/>
      <c r="C353" s="50" t="str">
        <f aca="false">IFERROR(INDEX('4. Costeo y Precios'!$B$14:$B$64,MATCH($B353,'4. Costeo y Precios'!$A$14:$A$64,0)),"")</f>
        <v/>
      </c>
      <c r="D353" s="24"/>
      <c r="E353" s="21"/>
      <c r="F353" s="22"/>
      <c r="G353" s="31" t="str">
        <f aca="false">IF($B353="","",E353*F353)</f>
        <v/>
      </c>
      <c r="H353" s="40" t="n">
        <f aca="false">IFERROR(INDEX('4. Costeo y Precios'!$P$14:$P$64,MATCH($B353,'4. Costeo y Precios'!$A$14:$A$64,0)),0)</f>
        <v>0</v>
      </c>
      <c r="I353" s="31" t="str">
        <f aca="false">IF($B353="","",E353*H353)</f>
        <v/>
      </c>
      <c r="J353" s="52"/>
      <c r="K353" s="31" t="str">
        <f aca="false">IF($B353="","",G353*J353)</f>
        <v/>
      </c>
      <c r="L353" s="42" t="str">
        <f aca="false">IF($B353="","",G353-I353-K353)</f>
        <v/>
      </c>
      <c r="M353" s="43" t="str">
        <f aca="false">IFERROR(L353/G353,"")</f>
        <v/>
      </c>
      <c r="N353" s="51"/>
    </row>
    <row r="354" customFormat="false" ht="15" hidden="false" customHeight="false" outlineLevel="0" collapsed="false">
      <c r="A354" s="25"/>
      <c r="B354" s="21"/>
      <c r="C354" s="50" t="str">
        <f aca="false">IFERROR(INDEX('4. Costeo y Precios'!$B$14:$B$64,MATCH($B354,'4. Costeo y Precios'!$A$14:$A$64,0)),"")</f>
        <v/>
      </c>
      <c r="D354" s="24"/>
      <c r="E354" s="21"/>
      <c r="F354" s="22"/>
      <c r="G354" s="31" t="str">
        <f aca="false">IF($B354="","",E354*F354)</f>
        <v/>
      </c>
      <c r="H354" s="40" t="n">
        <f aca="false">IFERROR(INDEX('4. Costeo y Precios'!$P$14:$P$64,MATCH($B354,'4. Costeo y Precios'!$A$14:$A$64,0)),0)</f>
        <v>0</v>
      </c>
      <c r="I354" s="31" t="str">
        <f aca="false">IF($B354="","",E354*H354)</f>
        <v/>
      </c>
      <c r="J354" s="52"/>
      <c r="K354" s="31" t="str">
        <f aca="false">IF($B354="","",G354*J354)</f>
        <v/>
      </c>
      <c r="L354" s="42" t="str">
        <f aca="false">IF($B354="","",G354-I354-K354)</f>
        <v/>
      </c>
      <c r="M354" s="43" t="str">
        <f aca="false">IFERROR(L354/G354,"")</f>
        <v/>
      </c>
      <c r="N354" s="51"/>
    </row>
    <row r="355" customFormat="false" ht="15" hidden="false" customHeight="false" outlineLevel="0" collapsed="false">
      <c r="A355" s="25"/>
      <c r="B355" s="21"/>
      <c r="C355" s="50" t="str">
        <f aca="false">IFERROR(INDEX('4. Costeo y Precios'!$B$14:$B$64,MATCH($B355,'4. Costeo y Precios'!$A$14:$A$64,0)),"")</f>
        <v/>
      </c>
      <c r="D355" s="24"/>
      <c r="E355" s="21"/>
      <c r="F355" s="22"/>
      <c r="G355" s="31" t="str">
        <f aca="false">IF($B355="","",E355*F355)</f>
        <v/>
      </c>
      <c r="H355" s="40" t="n">
        <f aca="false">IFERROR(INDEX('4. Costeo y Precios'!$P$14:$P$64,MATCH($B355,'4. Costeo y Precios'!$A$14:$A$64,0)),0)</f>
        <v>0</v>
      </c>
      <c r="I355" s="31" t="str">
        <f aca="false">IF($B355="","",E355*H355)</f>
        <v/>
      </c>
      <c r="J355" s="52"/>
      <c r="K355" s="31" t="str">
        <f aca="false">IF($B355="","",G355*J355)</f>
        <v/>
      </c>
      <c r="L355" s="42" t="str">
        <f aca="false">IF($B355="","",G355-I355-K355)</f>
        <v/>
      </c>
      <c r="M355" s="43" t="str">
        <f aca="false">IFERROR(L355/G355,"")</f>
        <v/>
      </c>
      <c r="N355" s="51"/>
    </row>
    <row r="356" customFormat="false" ht="15" hidden="false" customHeight="false" outlineLevel="0" collapsed="false">
      <c r="A356" s="25"/>
      <c r="B356" s="21"/>
      <c r="C356" s="50" t="str">
        <f aca="false">IFERROR(INDEX('4. Costeo y Precios'!$B$14:$B$64,MATCH($B356,'4. Costeo y Precios'!$A$14:$A$64,0)),"")</f>
        <v/>
      </c>
      <c r="D356" s="24"/>
      <c r="E356" s="21"/>
      <c r="F356" s="22"/>
      <c r="G356" s="31" t="str">
        <f aca="false">IF($B356="","",E356*F356)</f>
        <v/>
      </c>
      <c r="H356" s="40" t="n">
        <f aca="false">IFERROR(INDEX('4. Costeo y Precios'!$P$14:$P$64,MATCH($B356,'4. Costeo y Precios'!$A$14:$A$64,0)),0)</f>
        <v>0</v>
      </c>
      <c r="I356" s="31" t="str">
        <f aca="false">IF($B356="","",E356*H356)</f>
        <v/>
      </c>
      <c r="J356" s="52"/>
      <c r="K356" s="31" t="str">
        <f aca="false">IF($B356="","",G356*J356)</f>
        <v/>
      </c>
      <c r="L356" s="42" t="str">
        <f aca="false">IF($B356="","",G356-I356-K356)</f>
        <v/>
      </c>
      <c r="M356" s="43" t="str">
        <f aca="false">IFERROR(L356/G356,"")</f>
        <v/>
      </c>
      <c r="N356" s="51"/>
    </row>
    <row r="357" customFormat="false" ht="15" hidden="false" customHeight="false" outlineLevel="0" collapsed="false">
      <c r="A357" s="25"/>
      <c r="B357" s="21"/>
      <c r="C357" s="50" t="str">
        <f aca="false">IFERROR(INDEX('4. Costeo y Precios'!$B$14:$B$64,MATCH($B357,'4. Costeo y Precios'!$A$14:$A$64,0)),"")</f>
        <v/>
      </c>
      <c r="D357" s="24"/>
      <c r="E357" s="21"/>
      <c r="F357" s="22"/>
      <c r="G357" s="31" t="str">
        <f aca="false">IF($B357="","",E357*F357)</f>
        <v/>
      </c>
      <c r="H357" s="40" t="n">
        <f aca="false">IFERROR(INDEX('4. Costeo y Precios'!$P$14:$P$64,MATCH($B357,'4. Costeo y Precios'!$A$14:$A$64,0)),0)</f>
        <v>0</v>
      </c>
      <c r="I357" s="31" t="str">
        <f aca="false">IF($B357="","",E357*H357)</f>
        <v/>
      </c>
      <c r="J357" s="52"/>
      <c r="K357" s="31" t="str">
        <f aca="false">IF($B357="","",G357*J357)</f>
        <v/>
      </c>
      <c r="L357" s="42" t="str">
        <f aca="false">IF($B357="","",G357-I357-K357)</f>
        <v/>
      </c>
      <c r="M357" s="43" t="str">
        <f aca="false">IFERROR(L357/G357,"")</f>
        <v/>
      </c>
      <c r="N357" s="51"/>
    </row>
    <row r="358" customFormat="false" ht="15" hidden="false" customHeight="false" outlineLevel="0" collapsed="false">
      <c r="A358" s="25"/>
      <c r="B358" s="21"/>
      <c r="C358" s="50" t="str">
        <f aca="false">IFERROR(INDEX('4. Costeo y Precios'!$B$14:$B$64,MATCH($B358,'4. Costeo y Precios'!$A$14:$A$64,0)),"")</f>
        <v/>
      </c>
      <c r="D358" s="24"/>
      <c r="E358" s="21"/>
      <c r="F358" s="22"/>
      <c r="G358" s="31" t="str">
        <f aca="false">IF($B358="","",E358*F358)</f>
        <v/>
      </c>
      <c r="H358" s="40" t="n">
        <f aca="false">IFERROR(INDEX('4. Costeo y Precios'!$P$14:$P$64,MATCH($B358,'4. Costeo y Precios'!$A$14:$A$64,0)),0)</f>
        <v>0</v>
      </c>
      <c r="I358" s="31" t="str">
        <f aca="false">IF($B358="","",E358*H358)</f>
        <v/>
      </c>
      <c r="J358" s="52"/>
      <c r="K358" s="31" t="str">
        <f aca="false">IF($B358="","",G358*J358)</f>
        <v/>
      </c>
      <c r="L358" s="42" t="str">
        <f aca="false">IF($B358="","",G358-I358-K358)</f>
        <v/>
      </c>
      <c r="M358" s="43" t="str">
        <f aca="false">IFERROR(L358/G358,"")</f>
        <v/>
      </c>
      <c r="N358" s="51"/>
    </row>
    <row r="359" customFormat="false" ht="15" hidden="false" customHeight="false" outlineLevel="0" collapsed="false">
      <c r="A359" s="25"/>
      <c r="B359" s="21"/>
      <c r="C359" s="50" t="str">
        <f aca="false">IFERROR(INDEX('4. Costeo y Precios'!$B$14:$B$64,MATCH($B359,'4. Costeo y Precios'!$A$14:$A$64,0)),"")</f>
        <v/>
      </c>
      <c r="D359" s="24"/>
      <c r="E359" s="21"/>
      <c r="F359" s="22"/>
      <c r="G359" s="31" t="str">
        <f aca="false">IF($B359="","",E359*F359)</f>
        <v/>
      </c>
      <c r="H359" s="40" t="n">
        <f aca="false">IFERROR(INDEX('4. Costeo y Precios'!$P$14:$P$64,MATCH($B359,'4. Costeo y Precios'!$A$14:$A$64,0)),0)</f>
        <v>0</v>
      </c>
      <c r="I359" s="31" t="str">
        <f aca="false">IF($B359="","",E359*H359)</f>
        <v/>
      </c>
      <c r="J359" s="52"/>
      <c r="K359" s="31" t="str">
        <f aca="false">IF($B359="","",G359*J359)</f>
        <v/>
      </c>
      <c r="L359" s="42" t="str">
        <f aca="false">IF($B359="","",G359-I359-K359)</f>
        <v/>
      </c>
      <c r="M359" s="43" t="str">
        <f aca="false">IFERROR(L359/G359,"")</f>
        <v/>
      </c>
      <c r="N359" s="51"/>
    </row>
    <row r="360" customFormat="false" ht="15" hidden="false" customHeight="false" outlineLevel="0" collapsed="false">
      <c r="A360" s="25"/>
      <c r="B360" s="21"/>
      <c r="C360" s="50" t="str">
        <f aca="false">IFERROR(INDEX('4. Costeo y Precios'!$B$14:$B$64,MATCH($B360,'4. Costeo y Precios'!$A$14:$A$64,0)),"")</f>
        <v/>
      </c>
      <c r="D360" s="24"/>
      <c r="E360" s="21"/>
      <c r="F360" s="22"/>
      <c r="G360" s="31" t="str">
        <f aca="false">IF($B360="","",E360*F360)</f>
        <v/>
      </c>
      <c r="H360" s="40" t="n">
        <f aca="false">IFERROR(INDEX('4. Costeo y Precios'!$P$14:$P$64,MATCH($B360,'4. Costeo y Precios'!$A$14:$A$64,0)),0)</f>
        <v>0</v>
      </c>
      <c r="I360" s="31" t="str">
        <f aca="false">IF($B360="","",E360*H360)</f>
        <v/>
      </c>
      <c r="J360" s="52"/>
      <c r="K360" s="31" t="str">
        <f aca="false">IF($B360="","",G360*J360)</f>
        <v/>
      </c>
      <c r="L360" s="42" t="str">
        <f aca="false">IF($B360="","",G360-I360-K360)</f>
        <v/>
      </c>
      <c r="M360" s="43" t="str">
        <f aca="false">IFERROR(L360/G360,"")</f>
        <v/>
      </c>
      <c r="N360" s="51"/>
    </row>
    <row r="361" customFormat="false" ht="15" hidden="false" customHeight="false" outlineLevel="0" collapsed="false">
      <c r="A361" s="25"/>
      <c r="B361" s="21"/>
      <c r="C361" s="50" t="str">
        <f aca="false">IFERROR(INDEX('4. Costeo y Precios'!$B$14:$B$64,MATCH($B361,'4. Costeo y Precios'!$A$14:$A$64,0)),"")</f>
        <v/>
      </c>
      <c r="D361" s="24"/>
      <c r="E361" s="21"/>
      <c r="F361" s="22"/>
      <c r="G361" s="31" t="str">
        <f aca="false">IF($B361="","",E361*F361)</f>
        <v/>
      </c>
      <c r="H361" s="40" t="n">
        <f aca="false">IFERROR(INDEX('4. Costeo y Precios'!$P$14:$P$64,MATCH($B361,'4. Costeo y Precios'!$A$14:$A$64,0)),0)</f>
        <v>0</v>
      </c>
      <c r="I361" s="31" t="str">
        <f aca="false">IF($B361="","",E361*H361)</f>
        <v/>
      </c>
      <c r="J361" s="52"/>
      <c r="K361" s="31" t="str">
        <f aca="false">IF($B361="","",G361*J361)</f>
        <v/>
      </c>
      <c r="L361" s="42" t="str">
        <f aca="false">IF($B361="","",G361-I361-K361)</f>
        <v/>
      </c>
      <c r="M361" s="43" t="str">
        <f aca="false">IFERROR(L361/G361,"")</f>
        <v/>
      </c>
      <c r="N361" s="51"/>
    </row>
    <row r="362" customFormat="false" ht="15" hidden="false" customHeight="false" outlineLevel="0" collapsed="false">
      <c r="A362" s="25"/>
      <c r="B362" s="21"/>
      <c r="C362" s="50" t="str">
        <f aca="false">IFERROR(INDEX('4. Costeo y Precios'!$B$14:$B$64,MATCH($B362,'4. Costeo y Precios'!$A$14:$A$64,0)),"")</f>
        <v/>
      </c>
      <c r="D362" s="24"/>
      <c r="E362" s="21"/>
      <c r="F362" s="22"/>
      <c r="G362" s="31" t="str">
        <f aca="false">IF($B362="","",E362*F362)</f>
        <v/>
      </c>
      <c r="H362" s="40" t="n">
        <f aca="false">IFERROR(INDEX('4. Costeo y Precios'!$P$14:$P$64,MATCH($B362,'4. Costeo y Precios'!$A$14:$A$64,0)),0)</f>
        <v>0</v>
      </c>
      <c r="I362" s="31" t="str">
        <f aca="false">IF($B362="","",E362*H362)</f>
        <v/>
      </c>
      <c r="J362" s="52"/>
      <c r="K362" s="31" t="str">
        <f aca="false">IF($B362="","",G362*J362)</f>
        <v/>
      </c>
      <c r="L362" s="42" t="str">
        <f aca="false">IF($B362="","",G362-I362-K362)</f>
        <v/>
      </c>
      <c r="M362" s="43" t="str">
        <f aca="false">IFERROR(L362/G362,"")</f>
        <v/>
      </c>
      <c r="N362" s="51"/>
    </row>
    <row r="363" customFormat="false" ht="15" hidden="false" customHeight="false" outlineLevel="0" collapsed="false">
      <c r="A363" s="25"/>
      <c r="B363" s="21"/>
      <c r="C363" s="50" t="str">
        <f aca="false">IFERROR(INDEX('4. Costeo y Precios'!$B$14:$B$64,MATCH($B363,'4. Costeo y Precios'!$A$14:$A$64,0)),"")</f>
        <v/>
      </c>
      <c r="D363" s="24"/>
      <c r="E363" s="21"/>
      <c r="F363" s="22"/>
      <c r="G363" s="31" t="str">
        <f aca="false">IF($B363="","",E363*F363)</f>
        <v/>
      </c>
      <c r="H363" s="40" t="n">
        <f aca="false">IFERROR(INDEX('4. Costeo y Precios'!$P$14:$P$64,MATCH($B363,'4. Costeo y Precios'!$A$14:$A$64,0)),0)</f>
        <v>0</v>
      </c>
      <c r="I363" s="31" t="str">
        <f aca="false">IF($B363="","",E363*H363)</f>
        <v/>
      </c>
      <c r="J363" s="52"/>
      <c r="K363" s="31" t="str">
        <f aca="false">IF($B363="","",G363*J363)</f>
        <v/>
      </c>
      <c r="L363" s="42" t="str">
        <f aca="false">IF($B363="","",G363-I363-K363)</f>
        <v/>
      </c>
      <c r="M363" s="43" t="str">
        <f aca="false">IFERROR(L363/G363,"")</f>
        <v/>
      </c>
      <c r="N363" s="51"/>
    </row>
    <row r="364" customFormat="false" ht="15" hidden="false" customHeight="false" outlineLevel="0" collapsed="false">
      <c r="A364" s="25"/>
      <c r="B364" s="21"/>
      <c r="C364" s="50" t="str">
        <f aca="false">IFERROR(INDEX('4. Costeo y Precios'!$B$14:$B$64,MATCH($B364,'4. Costeo y Precios'!$A$14:$A$64,0)),"")</f>
        <v/>
      </c>
      <c r="D364" s="24"/>
      <c r="E364" s="21"/>
      <c r="F364" s="22"/>
      <c r="G364" s="31" t="str">
        <f aca="false">IF($B364="","",E364*F364)</f>
        <v/>
      </c>
      <c r="H364" s="40" t="n">
        <f aca="false">IFERROR(INDEX('4. Costeo y Precios'!$P$14:$P$64,MATCH($B364,'4. Costeo y Precios'!$A$14:$A$64,0)),0)</f>
        <v>0</v>
      </c>
      <c r="I364" s="31" t="str">
        <f aca="false">IF($B364="","",E364*H364)</f>
        <v/>
      </c>
      <c r="J364" s="52"/>
      <c r="K364" s="31" t="str">
        <f aca="false">IF($B364="","",G364*J364)</f>
        <v/>
      </c>
      <c r="L364" s="42" t="str">
        <f aca="false">IF($B364="","",G364-I364-K364)</f>
        <v/>
      </c>
      <c r="M364" s="43" t="str">
        <f aca="false">IFERROR(L364/G364,"")</f>
        <v/>
      </c>
      <c r="N364" s="51"/>
    </row>
    <row r="365" customFormat="false" ht="15" hidden="false" customHeight="false" outlineLevel="0" collapsed="false">
      <c r="A365" s="25"/>
      <c r="B365" s="21"/>
      <c r="C365" s="50" t="str">
        <f aca="false">IFERROR(INDEX('4. Costeo y Precios'!$B$14:$B$64,MATCH($B365,'4. Costeo y Precios'!$A$14:$A$64,0)),"")</f>
        <v/>
      </c>
      <c r="D365" s="24"/>
      <c r="E365" s="21"/>
      <c r="F365" s="22"/>
      <c r="G365" s="31" t="str">
        <f aca="false">IF($B365="","",E365*F365)</f>
        <v/>
      </c>
      <c r="H365" s="40" t="n">
        <f aca="false">IFERROR(INDEX('4. Costeo y Precios'!$P$14:$P$64,MATCH($B365,'4. Costeo y Precios'!$A$14:$A$64,0)),0)</f>
        <v>0</v>
      </c>
      <c r="I365" s="31" t="str">
        <f aca="false">IF($B365="","",E365*H365)</f>
        <v/>
      </c>
      <c r="J365" s="52"/>
      <c r="K365" s="31" t="str">
        <f aca="false">IF($B365="","",G365*J365)</f>
        <v/>
      </c>
      <c r="L365" s="42" t="str">
        <f aca="false">IF($B365="","",G365-I365-K365)</f>
        <v/>
      </c>
      <c r="M365" s="43" t="str">
        <f aca="false">IFERROR(L365/G365,"")</f>
        <v/>
      </c>
      <c r="N365" s="51"/>
    </row>
    <row r="366" customFormat="false" ht="15" hidden="false" customHeight="false" outlineLevel="0" collapsed="false">
      <c r="A366" s="25"/>
      <c r="B366" s="21"/>
      <c r="C366" s="50" t="str">
        <f aca="false">IFERROR(INDEX('4. Costeo y Precios'!$B$14:$B$64,MATCH($B366,'4. Costeo y Precios'!$A$14:$A$64,0)),"")</f>
        <v/>
      </c>
      <c r="D366" s="24"/>
      <c r="E366" s="21"/>
      <c r="F366" s="22"/>
      <c r="G366" s="31" t="str">
        <f aca="false">IF($B366="","",E366*F366)</f>
        <v/>
      </c>
      <c r="H366" s="40" t="n">
        <f aca="false">IFERROR(INDEX('4. Costeo y Precios'!$P$14:$P$64,MATCH($B366,'4. Costeo y Precios'!$A$14:$A$64,0)),0)</f>
        <v>0</v>
      </c>
      <c r="I366" s="31" t="str">
        <f aca="false">IF($B366="","",E366*H366)</f>
        <v/>
      </c>
      <c r="J366" s="52"/>
      <c r="K366" s="31" t="str">
        <f aca="false">IF($B366="","",G366*J366)</f>
        <v/>
      </c>
      <c r="L366" s="42" t="str">
        <f aca="false">IF($B366="","",G366-I366-K366)</f>
        <v/>
      </c>
      <c r="M366" s="43" t="str">
        <f aca="false">IFERROR(L366/G366,"")</f>
        <v/>
      </c>
      <c r="N366" s="51"/>
    </row>
    <row r="367" customFormat="false" ht="15" hidden="false" customHeight="false" outlineLevel="0" collapsed="false">
      <c r="A367" s="25"/>
      <c r="B367" s="21"/>
      <c r="C367" s="50" t="str">
        <f aca="false">IFERROR(INDEX('4. Costeo y Precios'!$B$14:$B$64,MATCH($B367,'4. Costeo y Precios'!$A$14:$A$64,0)),"")</f>
        <v/>
      </c>
      <c r="D367" s="24"/>
      <c r="E367" s="21"/>
      <c r="F367" s="22"/>
      <c r="G367" s="31" t="str">
        <f aca="false">IF($B367="","",E367*F367)</f>
        <v/>
      </c>
      <c r="H367" s="40" t="n">
        <f aca="false">IFERROR(INDEX('4. Costeo y Precios'!$P$14:$P$64,MATCH($B367,'4. Costeo y Precios'!$A$14:$A$64,0)),0)</f>
        <v>0</v>
      </c>
      <c r="I367" s="31" t="str">
        <f aca="false">IF($B367="","",E367*H367)</f>
        <v/>
      </c>
      <c r="J367" s="52"/>
      <c r="K367" s="31" t="str">
        <f aca="false">IF($B367="","",G367*J367)</f>
        <v/>
      </c>
      <c r="L367" s="42" t="str">
        <f aca="false">IF($B367="","",G367-I367-K367)</f>
        <v/>
      </c>
      <c r="M367" s="43" t="str">
        <f aca="false">IFERROR(L367/G367,"")</f>
        <v/>
      </c>
      <c r="N367" s="51"/>
    </row>
    <row r="368" customFormat="false" ht="15" hidden="false" customHeight="false" outlineLevel="0" collapsed="false">
      <c r="A368" s="25"/>
      <c r="B368" s="21"/>
      <c r="C368" s="50" t="str">
        <f aca="false">IFERROR(INDEX('4. Costeo y Precios'!$B$14:$B$64,MATCH($B368,'4. Costeo y Precios'!$A$14:$A$64,0)),"")</f>
        <v/>
      </c>
      <c r="D368" s="24"/>
      <c r="E368" s="21"/>
      <c r="F368" s="22"/>
      <c r="G368" s="31" t="str">
        <f aca="false">IF($B368="","",E368*F368)</f>
        <v/>
      </c>
      <c r="H368" s="40" t="n">
        <f aca="false">IFERROR(INDEX('4. Costeo y Precios'!$P$14:$P$64,MATCH($B368,'4. Costeo y Precios'!$A$14:$A$64,0)),0)</f>
        <v>0</v>
      </c>
      <c r="I368" s="31" t="str">
        <f aca="false">IF($B368="","",E368*H368)</f>
        <v/>
      </c>
      <c r="J368" s="52"/>
      <c r="K368" s="31" t="str">
        <f aca="false">IF($B368="","",G368*J368)</f>
        <v/>
      </c>
      <c r="L368" s="42" t="str">
        <f aca="false">IF($B368="","",G368-I368-K368)</f>
        <v/>
      </c>
      <c r="M368" s="43" t="str">
        <f aca="false">IFERROR(L368/G368,"")</f>
        <v/>
      </c>
      <c r="N368" s="51"/>
    </row>
    <row r="369" customFormat="false" ht="15" hidden="false" customHeight="false" outlineLevel="0" collapsed="false">
      <c r="A369" s="25"/>
      <c r="B369" s="21"/>
      <c r="C369" s="50" t="str">
        <f aca="false">IFERROR(INDEX('4. Costeo y Precios'!$B$14:$B$64,MATCH($B369,'4. Costeo y Precios'!$A$14:$A$64,0)),"")</f>
        <v/>
      </c>
      <c r="D369" s="24"/>
      <c r="E369" s="21"/>
      <c r="F369" s="22"/>
      <c r="G369" s="31" t="str">
        <f aca="false">IF($B369="","",E369*F369)</f>
        <v/>
      </c>
      <c r="H369" s="40" t="n">
        <f aca="false">IFERROR(INDEX('4. Costeo y Precios'!$P$14:$P$64,MATCH($B369,'4. Costeo y Precios'!$A$14:$A$64,0)),0)</f>
        <v>0</v>
      </c>
      <c r="I369" s="31" t="str">
        <f aca="false">IF($B369="","",E369*H369)</f>
        <v/>
      </c>
      <c r="J369" s="52"/>
      <c r="K369" s="31" t="str">
        <f aca="false">IF($B369="","",G369*J369)</f>
        <v/>
      </c>
      <c r="L369" s="42" t="str">
        <f aca="false">IF($B369="","",G369-I369-K369)</f>
        <v/>
      </c>
      <c r="M369" s="43" t="str">
        <f aca="false">IFERROR(L369/G369,"")</f>
        <v/>
      </c>
      <c r="N369" s="51"/>
    </row>
    <row r="370" customFormat="false" ht="15" hidden="false" customHeight="false" outlineLevel="0" collapsed="false">
      <c r="A370" s="25"/>
      <c r="B370" s="21"/>
      <c r="C370" s="50" t="str">
        <f aca="false">IFERROR(INDEX('4. Costeo y Precios'!$B$14:$B$64,MATCH($B370,'4. Costeo y Precios'!$A$14:$A$64,0)),"")</f>
        <v/>
      </c>
      <c r="D370" s="24"/>
      <c r="E370" s="21"/>
      <c r="F370" s="22"/>
      <c r="G370" s="31" t="str">
        <f aca="false">IF($B370="","",E370*F370)</f>
        <v/>
      </c>
      <c r="H370" s="40" t="n">
        <f aca="false">IFERROR(INDEX('4. Costeo y Precios'!$P$14:$P$64,MATCH($B370,'4. Costeo y Precios'!$A$14:$A$64,0)),0)</f>
        <v>0</v>
      </c>
      <c r="I370" s="31" t="str">
        <f aca="false">IF($B370="","",E370*H370)</f>
        <v/>
      </c>
      <c r="J370" s="52"/>
      <c r="K370" s="31" t="str">
        <f aca="false">IF($B370="","",G370*J370)</f>
        <v/>
      </c>
      <c r="L370" s="42" t="str">
        <f aca="false">IF($B370="","",G370-I370-K370)</f>
        <v/>
      </c>
      <c r="M370" s="43" t="str">
        <f aca="false">IFERROR(L370/G370,"")</f>
        <v/>
      </c>
      <c r="N370" s="51"/>
    </row>
    <row r="371" customFormat="false" ht="15" hidden="false" customHeight="false" outlineLevel="0" collapsed="false">
      <c r="A371" s="25"/>
      <c r="B371" s="21"/>
      <c r="C371" s="50" t="str">
        <f aca="false">IFERROR(INDEX('4. Costeo y Precios'!$B$14:$B$64,MATCH($B371,'4. Costeo y Precios'!$A$14:$A$64,0)),"")</f>
        <v/>
      </c>
      <c r="D371" s="24"/>
      <c r="E371" s="21"/>
      <c r="F371" s="22"/>
      <c r="G371" s="31" t="str">
        <f aca="false">IF($B371="","",E371*F371)</f>
        <v/>
      </c>
      <c r="H371" s="40" t="n">
        <f aca="false">IFERROR(INDEX('4. Costeo y Precios'!$P$14:$P$64,MATCH($B371,'4. Costeo y Precios'!$A$14:$A$64,0)),0)</f>
        <v>0</v>
      </c>
      <c r="I371" s="31" t="str">
        <f aca="false">IF($B371="","",E371*H371)</f>
        <v/>
      </c>
      <c r="J371" s="52"/>
      <c r="K371" s="31" t="str">
        <f aca="false">IF($B371="","",G371*J371)</f>
        <v/>
      </c>
      <c r="L371" s="42" t="str">
        <f aca="false">IF($B371="","",G371-I371-K371)</f>
        <v/>
      </c>
      <c r="M371" s="43" t="str">
        <f aca="false">IFERROR(L371/G371,"")</f>
        <v/>
      </c>
      <c r="N371" s="51"/>
    </row>
    <row r="372" customFormat="false" ht="15" hidden="false" customHeight="false" outlineLevel="0" collapsed="false">
      <c r="A372" s="25"/>
      <c r="B372" s="21"/>
      <c r="C372" s="50" t="str">
        <f aca="false">IFERROR(INDEX('4. Costeo y Precios'!$B$14:$B$64,MATCH($B372,'4. Costeo y Precios'!$A$14:$A$64,0)),"")</f>
        <v/>
      </c>
      <c r="D372" s="24"/>
      <c r="E372" s="21"/>
      <c r="F372" s="22"/>
      <c r="G372" s="31" t="str">
        <f aca="false">IF($B372="","",E372*F372)</f>
        <v/>
      </c>
      <c r="H372" s="40" t="n">
        <f aca="false">IFERROR(INDEX('4. Costeo y Precios'!$P$14:$P$64,MATCH($B372,'4. Costeo y Precios'!$A$14:$A$64,0)),0)</f>
        <v>0</v>
      </c>
      <c r="I372" s="31" t="str">
        <f aca="false">IF($B372="","",E372*H372)</f>
        <v/>
      </c>
      <c r="J372" s="52"/>
      <c r="K372" s="31" t="str">
        <f aca="false">IF($B372="","",G372*J372)</f>
        <v/>
      </c>
      <c r="L372" s="42" t="str">
        <f aca="false">IF($B372="","",G372-I372-K372)</f>
        <v/>
      </c>
      <c r="M372" s="43" t="str">
        <f aca="false">IFERROR(L372/G372,"")</f>
        <v/>
      </c>
      <c r="N372" s="51"/>
    </row>
    <row r="373" customFormat="false" ht="15" hidden="false" customHeight="false" outlineLevel="0" collapsed="false">
      <c r="A373" s="25"/>
      <c r="B373" s="21"/>
      <c r="C373" s="50" t="str">
        <f aca="false">IFERROR(INDEX('4. Costeo y Precios'!$B$14:$B$64,MATCH($B373,'4. Costeo y Precios'!$A$14:$A$64,0)),"")</f>
        <v/>
      </c>
      <c r="D373" s="24"/>
      <c r="E373" s="21"/>
      <c r="F373" s="22"/>
      <c r="G373" s="31" t="str">
        <f aca="false">IF($B373="","",E373*F373)</f>
        <v/>
      </c>
      <c r="H373" s="40" t="n">
        <f aca="false">IFERROR(INDEX('4. Costeo y Precios'!$P$14:$P$64,MATCH($B373,'4. Costeo y Precios'!$A$14:$A$64,0)),0)</f>
        <v>0</v>
      </c>
      <c r="I373" s="31" t="str">
        <f aca="false">IF($B373="","",E373*H373)</f>
        <v/>
      </c>
      <c r="J373" s="52"/>
      <c r="K373" s="31" t="str">
        <f aca="false">IF($B373="","",G373*J373)</f>
        <v/>
      </c>
      <c r="L373" s="42" t="str">
        <f aca="false">IF($B373="","",G373-I373-K373)</f>
        <v/>
      </c>
      <c r="M373" s="43" t="str">
        <f aca="false">IFERROR(L373/G373,"")</f>
        <v/>
      </c>
      <c r="N373" s="51"/>
    </row>
    <row r="374" customFormat="false" ht="15" hidden="false" customHeight="false" outlineLevel="0" collapsed="false">
      <c r="A374" s="25"/>
      <c r="B374" s="21"/>
      <c r="C374" s="50" t="str">
        <f aca="false">IFERROR(INDEX('4. Costeo y Precios'!$B$14:$B$64,MATCH($B374,'4. Costeo y Precios'!$A$14:$A$64,0)),"")</f>
        <v/>
      </c>
      <c r="D374" s="24"/>
      <c r="E374" s="21"/>
      <c r="F374" s="22"/>
      <c r="G374" s="31" t="str">
        <f aca="false">IF($B374="","",E374*F374)</f>
        <v/>
      </c>
      <c r="H374" s="40" t="n">
        <f aca="false">IFERROR(INDEX('4. Costeo y Precios'!$P$14:$P$64,MATCH($B374,'4. Costeo y Precios'!$A$14:$A$64,0)),0)</f>
        <v>0</v>
      </c>
      <c r="I374" s="31" t="str">
        <f aca="false">IF($B374="","",E374*H374)</f>
        <v/>
      </c>
      <c r="J374" s="52"/>
      <c r="K374" s="31" t="str">
        <f aca="false">IF($B374="","",G374*J374)</f>
        <v/>
      </c>
      <c r="L374" s="42" t="str">
        <f aca="false">IF($B374="","",G374-I374-K374)</f>
        <v/>
      </c>
      <c r="M374" s="43" t="str">
        <f aca="false">IFERROR(L374/G374,"")</f>
        <v/>
      </c>
      <c r="N374" s="51"/>
    </row>
    <row r="375" customFormat="false" ht="15" hidden="false" customHeight="false" outlineLevel="0" collapsed="false">
      <c r="A375" s="25"/>
      <c r="B375" s="21"/>
      <c r="C375" s="50" t="str">
        <f aca="false">IFERROR(INDEX('4. Costeo y Precios'!$B$14:$B$64,MATCH($B375,'4. Costeo y Precios'!$A$14:$A$64,0)),"")</f>
        <v/>
      </c>
      <c r="D375" s="24"/>
      <c r="E375" s="21"/>
      <c r="F375" s="22"/>
      <c r="G375" s="31" t="str">
        <f aca="false">IF($B375="","",E375*F375)</f>
        <v/>
      </c>
      <c r="H375" s="40" t="n">
        <f aca="false">IFERROR(INDEX('4. Costeo y Precios'!$P$14:$P$64,MATCH($B375,'4. Costeo y Precios'!$A$14:$A$64,0)),0)</f>
        <v>0</v>
      </c>
      <c r="I375" s="31" t="str">
        <f aca="false">IF($B375="","",E375*H375)</f>
        <v/>
      </c>
      <c r="J375" s="52"/>
      <c r="K375" s="31" t="str">
        <f aca="false">IF($B375="","",G375*J375)</f>
        <v/>
      </c>
      <c r="L375" s="42" t="str">
        <f aca="false">IF($B375="","",G375-I375-K375)</f>
        <v/>
      </c>
      <c r="M375" s="43" t="str">
        <f aca="false">IFERROR(L375/G375,"")</f>
        <v/>
      </c>
      <c r="N375" s="51"/>
    </row>
    <row r="376" customFormat="false" ht="15" hidden="false" customHeight="false" outlineLevel="0" collapsed="false">
      <c r="A376" s="25"/>
      <c r="B376" s="21"/>
      <c r="C376" s="50" t="str">
        <f aca="false">IFERROR(INDEX('4. Costeo y Precios'!$B$14:$B$64,MATCH($B376,'4. Costeo y Precios'!$A$14:$A$64,0)),"")</f>
        <v/>
      </c>
      <c r="D376" s="24"/>
      <c r="E376" s="21"/>
      <c r="F376" s="22"/>
      <c r="G376" s="31" t="str">
        <f aca="false">IF($B376="","",E376*F376)</f>
        <v/>
      </c>
      <c r="H376" s="40" t="n">
        <f aca="false">IFERROR(INDEX('4. Costeo y Precios'!$P$14:$P$64,MATCH($B376,'4. Costeo y Precios'!$A$14:$A$64,0)),0)</f>
        <v>0</v>
      </c>
      <c r="I376" s="31" t="str">
        <f aca="false">IF($B376="","",E376*H376)</f>
        <v/>
      </c>
      <c r="J376" s="52"/>
      <c r="K376" s="31" t="str">
        <f aca="false">IF($B376="","",G376*J376)</f>
        <v/>
      </c>
      <c r="L376" s="42" t="str">
        <f aca="false">IF($B376="","",G376-I376-K376)</f>
        <v/>
      </c>
      <c r="M376" s="43" t="str">
        <f aca="false">IFERROR(L376/G376,"")</f>
        <v/>
      </c>
      <c r="N376" s="51"/>
    </row>
    <row r="377" customFormat="false" ht="15" hidden="false" customHeight="false" outlineLevel="0" collapsed="false">
      <c r="A377" s="25"/>
      <c r="B377" s="21"/>
      <c r="C377" s="50" t="str">
        <f aca="false">IFERROR(INDEX('4. Costeo y Precios'!$B$14:$B$64,MATCH($B377,'4. Costeo y Precios'!$A$14:$A$64,0)),"")</f>
        <v/>
      </c>
      <c r="D377" s="24"/>
      <c r="E377" s="21"/>
      <c r="F377" s="22"/>
      <c r="G377" s="31" t="str">
        <f aca="false">IF($B377="","",E377*F377)</f>
        <v/>
      </c>
      <c r="H377" s="40" t="n">
        <f aca="false">IFERROR(INDEX('4. Costeo y Precios'!$P$14:$P$64,MATCH($B377,'4. Costeo y Precios'!$A$14:$A$64,0)),0)</f>
        <v>0</v>
      </c>
      <c r="I377" s="31" t="str">
        <f aca="false">IF($B377="","",E377*H377)</f>
        <v/>
      </c>
      <c r="J377" s="52"/>
      <c r="K377" s="31" t="str">
        <f aca="false">IF($B377="","",G377*J377)</f>
        <v/>
      </c>
      <c r="L377" s="42" t="str">
        <f aca="false">IF($B377="","",G377-I377-K377)</f>
        <v/>
      </c>
      <c r="M377" s="43" t="str">
        <f aca="false">IFERROR(L377/G377,"")</f>
        <v/>
      </c>
      <c r="N377" s="51"/>
    </row>
    <row r="378" customFormat="false" ht="15" hidden="false" customHeight="false" outlineLevel="0" collapsed="false">
      <c r="A378" s="25"/>
      <c r="B378" s="21"/>
      <c r="C378" s="50" t="str">
        <f aca="false">IFERROR(INDEX('4. Costeo y Precios'!$B$14:$B$64,MATCH($B378,'4. Costeo y Precios'!$A$14:$A$64,0)),"")</f>
        <v/>
      </c>
      <c r="D378" s="24"/>
      <c r="E378" s="21"/>
      <c r="F378" s="22"/>
      <c r="G378" s="31" t="str">
        <f aca="false">IF($B378="","",E378*F378)</f>
        <v/>
      </c>
      <c r="H378" s="40" t="n">
        <f aca="false">IFERROR(INDEX('4. Costeo y Precios'!$P$14:$P$64,MATCH($B378,'4. Costeo y Precios'!$A$14:$A$64,0)),0)</f>
        <v>0</v>
      </c>
      <c r="I378" s="31" t="str">
        <f aca="false">IF($B378="","",E378*H378)</f>
        <v/>
      </c>
      <c r="J378" s="52"/>
      <c r="K378" s="31" t="str">
        <f aca="false">IF($B378="","",G378*J378)</f>
        <v/>
      </c>
      <c r="L378" s="42" t="str">
        <f aca="false">IF($B378="","",G378-I378-K378)</f>
        <v/>
      </c>
      <c r="M378" s="43" t="str">
        <f aca="false">IFERROR(L378/G378,"")</f>
        <v/>
      </c>
      <c r="N378" s="51"/>
    </row>
    <row r="379" customFormat="false" ht="15" hidden="false" customHeight="false" outlineLevel="0" collapsed="false">
      <c r="A379" s="25"/>
      <c r="B379" s="21"/>
      <c r="C379" s="50" t="str">
        <f aca="false">IFERROR(INDEX('4. Costeo y Precios'!$B$14:$B$64,MATCH($B379,'4. Costeo y Precios'!$A$14:$A$64,0)),"")</f>
        <v/>
      </c>
      <c r="D379" s="24"/>
      <c r="E379" s="21"/>
      <c r="F379" s="22"/>
      <c r="G379" s="31" t="str">
        <f aca="false">IF($B379="","",E379*F379)</f>
        <v/>
      </c>
      <c r="H379" s="40" t="n">
        <f aca="false">IFERROR(INDEX('4. Costeo y Precios'!$P$14:$P$64,MATCH($B379,'4. Costeo y Precios'!$A$14:$A$64,0)),0)</f>
        <v>0</v>
      </c>
      <c r="I379" s="31" t="str">
        <f aca="false">IF($B379="","",E379*H379)</f>
        <v/>
      </c>
      <c r="J379" s="52"/>
      <c r="K379" s="31" t="str">
        <f aca="false">IF($B379="","",G379*J379)</f>
        <v/>
      </c>
      <c r="L379" s="42" t="str">
        <f aca="false">IF($B379="","",G379-I379-K379)</f>
        <v/>
      </c>
      <c r="M379" s="43" t="str">
        <f aca="false">IFERROR(L379/G379,"")</f>
        <v/>
      </c>
      <c r="N379" s="51"/>
    </row>
    <row r="380" customFormat="false" ht="15" hidden="false" customHeight="false" outlineLevel="0" collapsed="false">
      <c r="A380" s="25"/>
      <c r="B380" s="21"/>
      <c r="C380" s="50" t="str">
        <f aca="false">IFERROR(INDEX('4. Costeo y Precios'!$B$14:$B$64,MATCH($B380,'4. Costeo y Precios'!$A$14:$A$64,0)),"")</f>
        <v/>
      </c>
      <c r="D380" s="24"/>
      <c r="E380" s="21"/>
      <c r="F380" s="22"/>
      <c r="G380" s="31" t="str">
        <f aca="false">IF($B380="","",E380*F380)</f>
        <v/>
      </c>
      <c r="H380" s="40" t="n">
        <f aca="false">IFERROR(INDEX('4. Costeo y Precios'!$P$14:$P$64,MATCH($B380,'4. Costeo y Precios'!$A$14:$A$64,0)),0)</f>
        <v>0</v>
      </c>
      <c r="I380" s="31" t="str">
        <f aca="false">IF($B380="","",E380*H380)</f>
        <v/>
      </c>
      <c r="J380" s="52"/>
      <c r="K380" s="31" t="str">
        <f aca="false">IF($B380="","",G380*J380)</f>
        <v/>
      </c>
      <c r="L380" s="42" t="str">
        <f aca="false">IF($B380="","",G380-I380-K380)</f>
        <v/>
      </c>
      <c r="M380" s="43" t="str">
        <f aca="false">IFERROR(L380/G380,"")</f>
        <v/>
      </c>
      <c r="N380" s="51"/>
    </row>
    <row r="381" customFormat="false" ht="15" hidden="false" customHeight="false" outlineLevel="0" collapsed="false">
      <c r="A381" s="25"/>
      <c r="B381" s="21"/>
      <c r="C381" s="50" t="str">
        <f aca="false">IFERROR(INDEX('4. Costeo y Precios'!$B$14:$B$64,MATCH($B381,'4. Costeo y Precios'!$A$14:$A$64,0)),"")</f>
        <v/>
      </c>
      <c r="D381" s="24"/>
      <c r="E381" s="21"/>
      <c r="F381" s="22"/>
      <c r="G381" s="31" t="str">
        <f aca="false">IF($B381="","",E381*F381)</f>
        <v/>
      </c>
      <c r="H381" s="40" t="n">
        <f aca="false">IFERROR(INDEX('4. Costeo y Precios'!$P$14:$P$64,MATCH($B381,'4. Costeo y Precios'!$A$14:$A$64,0)),0)</f>
        <v>0</v>
      </c>
      <c r="I381" s="31" t="str">
        <f aca="false">IF($B381="","",E381*H381)</f>
        <v/>
      </c>
      <c r="J381" s="52"/>
      <c r="K381" s="31" t="str">
        <f aca="false">IF($B381="","",G381*J381)</f>
        <v/>
      </c>
      <c r="L381" s="42" t="str">
        <f aca="false">IF($B381="","",G381-I381-K381)</f>
        <v/>
      </c>
      <c r="M381" s="43" t="str">
        <f aca="false">IFERROR(L381/G381,"")</f>
        <v/>
      </c>
      <c r="N381" s="51"/>
    </row>
    <row r="382" customFormat="false" ht="15" hidden="false" customHeight="false" outlineLevel="0" collapsed="false">
      <c r="A382" s="25"/>
      <c r="B382" s="21"/>
      <c r="C382" s="50" t="str">
        <f aca="false">IFERROR(INDEX('4. Costeo y Precios'!$B$14:$B$64,MATCH($B382,'4. Costeo y Precios'!$A$14:$A$64,0)),"")</f>
        <v/>
      </c>
      <c r="D382" s="24"/>
      <c r="E382" s="21"/>
      <c r="F382" s="22"/>
      <c r="G382" s="31" t="str">
        <f aca="false">IF($B382="","",E382*F382)</f>
        <v/>
      </c>
      <c r="H382" s="40" t="n">
        <f aca="false">IFERROR(INDEX('4. Costeo y Precios'!$P$14:$P$64,MATCH($B382,'4. Costeo y Precios'!$A$14:$A$64,0)),0)</f>
        <v>0</v>
      </c>
      <c r="I382" s="31" t="str">
        <f aca="false">IF($B382="","",E382*H382)</f>
        <v/>
      </c>
      <c r="J382" s="52"/>
      <c r="K382" s="31" t="str">
        <f aca="false">IF($B382="","",G382*J382)</f>
        <v/>
      </c>
      <c r="L382" s="42" t="str">
        <f aca="false">IF($B382="","",G382-I382-K382)</f>
        <v/>
      </c>
      <c r="M382" s="43" t="str">
        <f aca="false">IFERROR(L382/G382,"")</f>
        <v/>
      </c>
      <c r="N382" s="51"/>
    </row>
    <row r="383" customFormat="false" ht="15" hidden="false" customHeight="false" outlineLevel="0" collapsed="false">
      <c r="A383" s="25"/>
      <c r="B383" s="21"/>
      <c r="C383" s="50" t="str">
        <f aca="false">IFERROR(INDEX('4. Costeo y Precios'!$B$14:$B$64,MATCH($B383,'4. Costeo y Precios'!$A$14:$A$64,0)),"")</f>
        <v/>
      </c>
      <c r="D383" s="24"/>
      <c r="E383" s="21"/>
      <c r="F383" s="22"/>
      <c r="G383" s="31" t="str">
        <f aca="false">IF($B383="","",E383*F383)</f>
        <v/>
      </c>
      <c r="H383" s="40" t="n">
        <f aca="false">IFERROR(INDEX('4. Costeo y Precios'!$P$14:$P$64,MATCH($B383,'4. Costeo y Precios'!$A$14:$A$64,0)),0)</f>
        <v>0</v>
      </c>
      <c r="I383" s="31" t="str">
        <f aca="false">IF($B383="","",E383*H383)</f>
        <v/>
      </c>
      <c r="J383" s="52"/>
      <c r="K383" s="31" t="str">
        <f aca="false">IF($B383="","",G383*J383)</f>
        <v/>
      </c>
      <c r="L383" s="42" t="str">
        <f aca="false">IF($B383="","",G383-I383-K383)</f>
        <v/>
      </c>
      <c r="M383" s="43" t="str">
        <f aca="false">IFERROR(L383/G383,"")</f>
        <v/>
      </c>
      <c r="N383" s="51"/>
    </row>
    <row r="384" customFormat="false" ht="15" hidden="false" customHeight="false" outlineLevel="0" collapsed="false">
      <c r="A384" s="25"/>
      <c r="B384" s="21"/>
      <c r="C384" s="50" t="str">
        <f aca="false">IFERROR(INDEX('4. Costeo y Precios'!$B$14:$B$64,MATCH($B384,'4. Costeo y Precios'!$A$14:$A$64,0)),"")</f>
        <v/>
      </c>
      <c r="D384" s="24"/>
      <c r="E384" s="21"/>
      <c r="F384" s="22"/>
      <c r="G384" s="31" t="str">
        <f aca="false">IF($B384="","",E384*F384)</f>
        <v/>
      </c>
      <c r="H384" s="40" t="n">
        <f aca="false">IFERROR(INDEX('4. Costeo y Precios'!$P$14:$P$64,MATCH($B384,'4. Costeo y Precios'!$A$14:$A$64,0)),0)</f>
        <v>0</v>
      </c>
      <c r="I384" s="31" t="str">
        <f aca="false">IF($B384="","",E384*H384)</f>
        <v/>
      </c>
      <c r="J384" s="52"/>
      <c r="K384" s="31" t="str">
        <f aca="false">IF($B384="","",G384*J384)</f>
        <v/>
      </c>
      <c r="L384" s="42" t="str">
        <f aca="false">IF($B384="","",G384-I384-K384)</f>
        <v/>
      </c>
      <c r="M384" s="43" t="str">
        <f aca="false">IFERROR(L384/G384,"")</f>
        <v/>
      </c>
      <c r="N384" s="51"/>
    </row>
    <row r="385" customFormat="false" ht="15" hidden="false" customHeight="false" outlineLevel="0" collapsed="false">
      <c r="A385" s="25"/>
      <c r="B385" s="21"/>
      <c r="C385" s="50" t="str">
        <f aca="false">IFERROR(INDEX('4. Costeo y Precios'!$B$14:$B$64,MATCH($B385,'4. Costeo y Precios'!$A$14:$A$64,0)),"")</f>
        <v/>
      </c>
      <c r="D385" s="24"/>
      <c r="E385" s="21"/>
      <c r="F385" s="22"/>
      <c r="G385" s="31" t="str">
        <f aca="false">IF($B385="","",E385*F385)</f>
        <v/>
      </c>
      <c r="H385" s="40" t="n">
        <f aca="false">IFERROR(INDEX('4. Costeo y Precios'!$P$14:$P$64,MATCH($B385,'4. Costeo y Precios'!$A$14:$A$64,0)),0)</f>
        <v>0</v>
      </c>
      <c r="I385" s="31" t="str">
        <f aca="false">IF($B385="","",E385*H385)</f>
        <v/>
      </c>
      <c r="J385" s="52"/>
      <c r="K385" s="31" t="str">
        <f aca="false">IF($B385="","",G385*J385)</f>
        <v/>
      </c>
      <c r="L385" s="42" t="str">
        <f aca="false">IF($B385="","",G385-I385-K385)</f>
        <v/>
      </c>
      <c r="M385" s="43" t="str">
        <f aca="false">IFERROR(L385/G385,"")</f>
        <v/>
      </c>
      <c r="N385" s="51"/>
    </row>
    <row r="386" customFormat="false" ht="15" hidden="false" customHeight="false" outlineLevel="0" collapsed="false">
      <c r="A386" s="25"/>
      <c r="B386" s="21"/>
      <c r="C386" s="50" t="str">
        <f aca="false">IFERROR(INDEX('4. Costeo y Precios'!$B$14:$B$64,MATCH($B386,'4. Costeo y Precios'!$A$14:$A$64,0)),"")</f>
        <v/>
      </c>
      <c r="D386" s="24"/>
      <c r="E386" s="21"/>
      <c r="F386" s="22"/>
      <c r="G386" s="31" t="str">
        <f aca="false">IF($B386="","",E386*F386)</f>
        <v/>
      </c>
      <c r="H386" s="40" t="n">
        <f aca="false">IFERROR(INDEX('4. Costeo y Precios'!$P$14:$P$64,MATCH($B386,'4. Costeo y Precios'!$A$14:$A$64,0)),0)</f>
        <v>0</v>
      </c>
      <c r="I386" s="31" t="str">
        <f aca="false">IF($B386="","",E386*H386)</f>
        <v/>
      </c>
      <c r="J386" s="52"/>
      <c r="K386" s="31" t="str">
        <f aca="false">IF($B386="","",G386*J386)</f>
        <v/>
      </c>
      <c r="L386" s="42" t="str">
        <f aca="false">IF($B386="","",G386-I386-K386)</f>
        <v/>
      </c>
      <c r="M386" s="43" t="str">
        <f aca="false">IFERROR(L386/G386,"")</f>
        <v/>
      </c>
      <c r="N386" s="51"/>
    </row>
    <row r="387" customFormat="false" ht="15" hidden="false" customHeight="false" outlineLevel="0" collapsed="false">
      <c r="A387" s="25"/>
      <c r="B387" s="21"/>
      <c r="C387" s="50" t="str">
        <f aca="false">IFERROR(INDEX('4. Costeo y Precios'!$B$14:$B$64,MATCH($B387,'4. Costeo y Precios'!$A$14:$A$64,0)),"")</f>
        <v/>
      </c>
      <c r="D387" s="24"/>
      <c r="E387" s="21"/>
      <c r="F387" s="22"/>
      <c r="G387" s="31" t="str">
        <f aca="false">IF($B387="","",E387*F387)</f>
        <v/>
      </c>
      <c r="H387" s="40" t="n">
        <f aca="false">IFERROR(INDEX('4. Costeo y Precios'!$P$14:$P$64,MATCH($B387,'4. Costeo y Precios'!$A$14:$A$64,0)),0)</f>
        <v>0</v>
      </c>
      <c r="I387" s="31" t="str">
        <f aca="false">IF($B387="","",E387*H387)</f>
        <v/>
      </c>
      <c r="J387" s="52"/>
      <c r="K387" s="31" t="str">
        <f aca="false">IF($B387="","",G387*J387)</f>
        <v/>
      </c>
      <c r="L387" s="42" t="str">
        <f aca="false">IF($B387="","",G387-I387-K387)</f>
        <v/>
      </c>
      <c r="M387" s="43" t="str">
        <f aca="false">IFERROR(L387/G387,"")</f>
        <v/>
      </c>
      <c r="N387" s="51"/>
    </row>
    <row r="388" customFormat="false" ht="15" hidden="false" customHeight="false" outlineLevel="0" collapsed="false">
      <c r="A388" s="25"/>
      <c r="B388" s="21"/>
      <c r="C388" s="50" t="str">
        <f aca="false">IFERROR(INDEX('4. Costeo y Precios'!$B$14:$B$64,MATCH($B388,'4. Costeo y Precios'!$A$14:$A$64,0)),"")</f>
        <v/>
      </c>
      <c r="D388" s="24"/>
      <c r="E388" s="21"/>
      <c r="F388" s="22"/>
      <c r="G388" s="31" t="str">
        <f aca="false">IF($B388="","",E388*F388)</f>
        <v/>
      </c>
      <c r="H388" s="40" t="n">
        <f aca="false">IFERROR(INDEX('4. Costeo y Precios'!$P$14:$P$64,MATCH($B388,'4. Costeo y Precios'!$A$14:$A$64,0)),0)</f>
        <v>0</v>
      </c>
      <c r="I388" s="31" t="str">
        <f aca="false">IF($B388="","",E388*H388)</f>
        <v/>
      </c>
      <c r="J388" s="52"/>
      <c r="K388" s="31" t="str">
        <f aca="false">IF($B388="","",G388*J388)</f>
        <v/>
      </c>
      <c r="L388" s="42" t="str">
        <f aca="false">IF($B388="","",G388-I388-K388)</f>
        <v/>
      </c>
      <c r="M388" s="43" t="str">
        <f aca="false">IFERROR(L388/G388,"")</f>
        <v/>
      </c>
      <c r="N388" s="51"/>
    </row>
    <row r="389" customFormat="false" ht="15" hidden="false" customHeight="false" outlineLevel="0" collapsed="false">
      <c r="A389" s="25"/>
      <c r="B389" s="21"/>
      <c r="C389" s="50" t="str">
        <f aca="false">IFERROR(INDEX('4. Costeo y Precios'!$B$14:$B$64,MATCH($B389,'4. Costeo y Precios'!$A$14:$A$64,0)),"")</f>
        <v/>
      </c>
      <c r="D389" s="24"/>
      <c r="E389" s="21"/>
      <c r="F389" s="22"/>
      <c r="G389" s="31" t="str">
        <f aca="false">IF($B389="","",E389*F389)</f>
        <v/>
      </c>
      <c r="H389" s="40" t="n">
        <f aca="false">IFERROR(INDEX('4. Costeo y Precios'!$P$14:$P$64,MATCH($B389,'4. Costeo y Precios'!$A$14:$A$64,0)),0)</f>
        <v>0</v>
      </c>
      <c r="I389" s="31" t="str">
        <f aca="false">IF($B389="","",E389*H389)</f>
        <v/>
      </c>
      <c r="J389" s="52"/>
      <c r="K389" s="31" t="str">
        <f aca="false">IF($B389="","",G389*J389)</f>
        <v/>
      </c>
      <c r="L389" s="42" t="str">
        <f aca="false">IF($B389="","",G389-I389-K389)</f>
        <v/>
      </c>
      <c r="M389" s="43" t="str">
        <f aca="false">IFERROR(L389/G389,"")</f>
        <v/>
      </c>
      <c r="N389" s="51"/>
    </row>
    <row r="390" customFormat="false" ht="15" hidden="false" customHeight="false" outlineLevel="0" collapsed="false">
      <c r="A390" s="25"/>
      <c r="B390" s="21"/>
      <c r="C390" s="50" t="str">
        <f aca="false">IFERROR(INDEX('4. Costeo y Precios'!$B$14:$B$64,MATCH($B390,'4. Costeo y Precios'!$A$14:$A$64,0)),"")</f>
        <v/>
      </c>
      <c r="D390" s="24"/>
      <c r="E390" s="21"/>
      <c r="F390" s="22"/>
      <c r="G390" s="31" t="str">
        <f aca="false">IF($B390="","",E390*F390)</f>
        <v/>
      </c>
      <c r="H390" s="40" t="n">
        <f aca="false">IFERROR(INDEX('4. Costeo y Precios'!$P$14:$P$64,MATCH($B390,'4. Costeo y Precios'!$A$14:$A$64,0)),0)</f>
        <v>0</v>
      </c>
      <c r="I390" s="31" t="str">
        <f aca="false">IF($B390="","",E390*H390)</f>
        <v/>
      </c>
      <c r="J390" s="52"/>
      <c r="K390" s="31" t="str">
        <f aca="false">IF($B390="","",G390*J390)</f>
        <v/>
      </c>
      <c r="L390" s="42" t="str">
        <f aca="false">IF($B390="","",G390-I390-K390)</f>
        <v/>
      </c>
      <c r="M390" s="43" t="str">
        <f aca="false">IFERROR(L390/G390,"")</f>
        <v/>
      </c>
      <c r="N390" s="51"/>
    </row>
    <row r="391" customFormat="false" ht="15" hidden="false" customHeight="false" outlineLevel="0" collapsed="false">
      <c r="A391" s="25"/>
      <c r="B391" s="21"/>
      <c r="C391" s="50" t="str">
        <f aca="false">IFERROR(INDEX('4. Costeo y Precios'!$B$14:$B$64,MATCH($B391,'4. Costeo y Precios'!$A$14:$A$64,0)),"")</f>
        <v/>
      </c>
      <c r="D391" s="24"/>
      <c r="E391" s="21"/>
      <c r="F391" s="22"/>
      <c r="G391" s="31" t="str">
        <f aca="false">IF($B391="","",E391*F391)</f>
        <v/>
      </c>
      <c r="H391" s="40" t="n">
        <f aca="false">IFERROR(INDEX('4. Costeo y Precios'!$P$14:$P$64,MATCH($B391,'4. Costeo y Precios'!$A$14:$A$64,0)),0)</f>
        <v>0</v>
      </c>
      <c r="I391" s="31" t="str">
        <f aca="false">IF($B391="","",E391*H391)</f>
        <v/>
      </c>
      <c r="J391" s="52"/>
      <c r="K391" s="31" t="str">
        <f aca="false">IF($B391="","",G391*J391)</f>
        <v/>
      </c>
      <c r="L391" s="42" t="str">
        <f aca="false">IF($B391="","",G391-I391-K391)</f>
        <v/>
      </c>
      <c r="M391" s="43" t="str">
        <f aca="false">IFERROR(L391/G391,"")</f>
        <v/>
      </c>
      <c r="N391" s="51"/>
    </row>
    <row r="392" customFormat="false" ht="15" hidden="false" customHeight="false" outlineLevel="0" collapsed="false">
      <c r="A392" s="25"/>
      <c r="B392" s="21"/>
      <c r="C392" s="50" t="str">
        <f aca="false">IFERROR(INDEX('4. Costeo y Precios'!$B$14:$B$64,MATCH($B392,'4. Costeo y Precios'!$A$14:$A$64,0)),"")</f>
        <v/>
      </c>
      <c r="D392" s="24"/>
      <c r="E392" s="21"/>
      <c r="F392" s="22"/>
      <c r="G392" s="31" t="str">
        <f aca="false">IF($B392="","",E392*F392)</f>
        <v/>
      </c>
      <c r="H392" s="40" t="n">
        <f aca="false">IFERROR(INDEX('4. Costeo y Precios'!$P$14:$P$64,MATCH($B392,'4. Costeo y Precios'!$A$14:$A$64,0)),0)</f>
        <v>0</v>
      </c>
      <c r="I392" s="31" t="str">
        <f aca="false">IF($B392="","",E392*H392)</f>
        <v/>
      </c>
      <c r="J392" s="52"/>
      <c r="K392" s="31" t="str">
        <f aca="false">IF($B392="","",G392*J392)</f>
        <v/>
      </c>
      <c r="L392" s="42" t="str">
        <f aca="false">IF($B392="","",G392-I392-K392)</f>
        <v/>
      </c>
      <c r="M392" s="43" t="str">
        <f aca="false">IFERROR(L392/G392,"")</f>
        <v/>
      </c>
      <c r="N392" s="51"/>
    </row>
    <row r="393" customFormat="false" ht="15" hidden="false" customHeight="false" outlineLevel="0" collapsed="false">
      <c r="A393" s="25"/>
      <c r="B393" s="21"/>
      <c r="C393" s="50" t="str">
        <f aca="false">IFERROR(INDEX('4. Costeo y Precios'!$B$14:$B$64,MATCH($B393,'4. Costeo y Precios'!$A$14:$A$64,0)),"")</f>
        <v/>
      </c>
      <c r="D393" s="24"/>
      <c r="E393" s="21"/>
      <c r="F393" s="22"/>
      <c r="G393" s="31" t="str">
        <f aca="false">IF($B393="","",E393*F393)</f>
        <v/>
      </c>
      <c r="H393" s="40" t="n">
        <f aca="false">IFERROR(INDEX('4. Costeo y Precios'!$P$14:$P$64,MATCH($B393,'4. Costeo y Precios'!$A$14:$A$64,0)),0)</f>
        <v>0</v>
      </c>
      <c r="I393" s="31" t="str">
        <f aca="false">IF($B393="","",E393*H393)</f>
        <v/>
      </c>
      <c r="J393" s="52"/>
      <c r="K393" s="31" t="str">
        <f aca="false">IF($B393="","",G393*J393)</f>
        <v/>
      </c>
      <c r="L393" s="42" t="str">
        <f aca="false">IF($B393="","",G393-I393-K393)</f>
        <v/>
      </c>
      <c r="M393" s="43" t="str">
        <f aca="false">IFERROR(L393/G393,"")</f>
        <v/>
      </c>
      <c r="N393" s="51"/>
    </row>
    <row r="394" customFormat="false" ht="15" hidden="false" customHeight="false" outlineLevel="0" collapsed="false">
      <c r="A394" s="25"/>
      <c r="B394" s="21"/>
      <c r="C394" s="50" t="str">
        <f aca="false">IFERROR(INDEX('4. Costeo y Precios'!$B$14:$B$64,MATCH($B394,'4. Costeo y Precios'!$A$14:$A$64,0)),"")</f>
        <v/>
      </c>
      <c r="D394" s="24"/>
      <c r="E394" s="21"/>
      <c r="F394" s="22"/>
      <c r="G394" s="31" t="str">
        <f aca="false">IF($B394="","",E394*F394)</f>
        <v/>
      </c>
      <c r="H394" s="40" t="n">
        <f aca="false">IFERROR(INDEX('4. Costeo y Precios'!$P$14:$P$64,MATCH($B394,'4. Costeo y Precios'!$A$14:$A$64,0)),0)</f>
        <v>0</v>
      </c>
      <c r="I394" s="31" t="str">
        <f aca="false">IF($B394="","",E394*H394)</f>
        <v/>
      </c>
      <c r="J394" s="52"/>
      <c r="K394" s="31" t="str">
        <f aca="false">IF($B394="","",G394*J394)</f>
        <v/>
      </c>
      <c r="L394" s="42" t="str">
        <f aca="false">IF($B394="","",G394-I394-K394)</f>
        <v/>
      </c>
      <c r="M394" s="43" t="str">
        <f aca="false">IFERROR(L394/G394,"")</f>
        <v/>
      </c>
      <c r="N394" s="51"/>
    </row>
    <row r="395" customFormat="false" ht="15" hidden="false" customHeight="false" outlineLevel="0" collapsed="false">
      <c r="A395" s="25"/>
      <c r="B395" s="21"/>
      <c r="C395" s="50" t="str">
        <f aca="false">IFERROR(INDEX('4. Costeo y Precios'!$B$14:$B$64,MATCH($B395,'4. Costeo y Precios'!$A$14:$A$64,0)),"")</f>
        <v/>
      </c>
      <c r="D395" s="24"/>
      <c r="E395" s="21"/>
      <c r="F395" s="22"/>
      <c r="G395" s="31" t="str">
        <f aca="false">IF($B395="","",E395*F395)</f>
        <v/>
      </c>
      <c r="H395" s="40" t="n">
        <f aca="false">IFERROR(INDEX('4. Costeo y Precios'!$P$14:$P$64,MATCH($B395,'4. Costeo y Precios'!$A$14:$A$64,0)),0)</f>
        <v>0</v>
      </c>
      <c r="I395" s="31" t="str">
        <f aca="false">IF($B395="","",E395*H395)</f>
        <v/>
      </c>
      <c r="J395" s="52"/>
      <c r="K395" s="31" t="str">
        <f aca="false">IF($B395="","",G395*J395)</f>
        <v/>
      </c>
      <c r="L395" s="42" t="str">
        <f aca="false">IF($B395="","",G395-I395-K395)</f>
        <v/>
      </c>
      <c r="M395" s="43" t="str">
        <f aca="false">IFERROR(L395/G395,"")</f>
        <v/>
      </c>
      <c r="N395" s="51"/>
    </row>
    <row r="396" customFormat="false" ht="15" hidden="false" customHeight="false" outlineLevel="0" collapsed="false">
      <c r="A396" s="25"/>
      <c r="B396" s="21"/>
      <c r="C396" s="50" t="str">
        <f aca="false">IFERROR(INDEX('4. Costeo y Precios'!$B$14:$B$64,MATCH($B396,'4. Costeo y Precios'!$A$14:$A$64,0)),"")</f>
        <v/>
      </c>
      <c r="D396" s="24"/>
      <c r="E396" s="21"/>
      <c r="F396" s="22"/>
      <c r="G396" s="31" t="str">
        <f aca="false">IF($B396="","",E396*F396)</f>
        <v/>
      </c>
      <c r="H396" s="40" t="n">
        <f aca="false">IFERROR(INDEX('4. Costeo y Precios'!$P$14:$P$64,MATCH($B396,'4. Costeo y Precios'!$A$14:$A$64,0)),0)</f>
        <v>0</v>
      </c>
      <c r="I396" s="31" t="str">
        <f aca="false">IF($B396="","",E396*H396)</f>
        <v/>
      </c>
      <c r="J396" s="52"/>
      <c r="K396" s="31" t="str">
        <f aca="false">IF($B396="","",G396*J396)</f>
        <v/>
      </c>
      <c r="L396" s="42" t="str">
        <f aca="false">IF($B396="","",G396-I396-K396)</f>
        <v/>
      </c>
      <c r="M396" s="43" t="str">
        <f aca="false">IFERROR(L396/G396,"")</f>
        <v/>
      </c>
      <c r="N396" s="51"/>
    </row>
    <row r="397" customFormat="false" ht="15" hidden="false" customHeight="false" outlineLevel="0" collapsed="false">
      <c r="A397" s="25"/>
      <c r="B397" s="21"/>
      <c r="C397" s="50" t="str">
        <f aca="false">IFERROR(INDEX('4. Costeo y Precios'!$B$14:$B$64,MATCH($B397,'4. Costeo y Precios'!$A$14:$A$64,0)),"")</f>
        <v/>
      </c>
      <c r="D397" s="24"/>
      <c r="E397" s="21"/>
      <c r="F397" s="22"/>
      <c r="G397" s="31" t="str">
        <f aca="false">IF($B397="","",E397*F397)</f>
        <v/>
      </c>
      <c r="H397" s="40" t="n">
        <f aca="false">IFERROR(INDEX('4. Costeo y Precios'!$P$14:$P$64,MATCH($B397,'4. Costeo y Precios'!$A$14:$A$64,0)),0)</f>
        <v>0</v>
      </c>
      <c r="I397" s="31" t="str">
        <f aca="false">IF($B397="","",E397*H397)</f>
        <v/>
      </c>
      <c r="J397" s="52"/>
      <c r="K397" s="31" t="str">
        <f aca="false">IF($B397="","",G397*J397)</f>
        <v/>
      </c>
      <c r="L397" s="42" t="str">
        <f aca="false">IF($B397="","",G397-I397-K397)</f>
        <v/>
      </c>
      <c r="M397" s="43" t="str">
        <f aca="false">IFERROR(L397/G397,"")</f>
        <v/>
      </c>
      <c r="N397" s="51"/>
    </row>
    <row r="398" customFormat="false" ht="15" hidden="false" customHeight="false" outlineLevel="0" collapsed="false">
      <c r="A398" s="25"/>
      <c r="B398" s="21"/>
      <c r="C398" s="50" t="str">
        <f aca="false">IFERROR(INDEX('4. Costeo y Precios'!$B$14:$B$64,MATCH($B398,'4. Costeo y Precios'!$A$14:$A$64,0)),"")</f>
        <v/>
      </c>
      <c r="D398" s="24"/>
      <c r="E398" s="21"/>
      <c r="F398" s="22"/>
      <c r="G398" s="31" t="str">
        <f aca="false">IF($B398="","",E398*F398)</f>
        <v/>
      </c>
      <c r="H398" s="40" t="n">
        <f aca="false">IFERROR(INDEX('4. Costeo y Precios'!$P$14:$P$64,MATCH($B398,'4. Costeo y Precios'!$A$14:$A$64,0)),0)</f>
        <v>0</v>
      </c>
      <c r="I398" s="31" t="str">
        <f aca="false">IF($B398="","",E398*H398)</f>
        <v/>
      </c>
      <c r="J398" s="52"/>
      <c r="K398" s="31" t="str">
        <f aca="false">IF($B398="","",G398*J398)</f>
        <v/>
      </c>
      <c r="L398" s="42" t="str">
        <f aca="false">IF($B398="","",G398-I398-K398)</f>
        <v/>
      </c>
      <c r="M398" s="43" t="str">
        <f aca="false">IFERROR(L398/G398,"")</f>
        <v/>
      </c>
      <c r="N398" s="51"/>
    </row>
    <row r="399" customFormat="false" ht="15" hidden="false" customHeight="false" outlineLevel="0" collapsed="false">
      <c r="A399" s="25"/>
      <c r="B399" s="21"/>
      <c r="C399" s="50" t="str">
        <f aca="false">IFERROR(INDEX('4. Costeo y Precios'!$B$14:$B$64,MATCH($B399,'4. Costeo y Precios'!$A$14:$A$64,0)),"")</f>
        <v/>
      </c>
      <c r="D399" s="24"/>
      <c r="E399" s="21"/>
      <c r="F399" s="22"/>
      <c r="G399" s="31" t="str">
        <f aca="false">IF($B399="","",E399*F399)</f>
        <v/>
      </c>
      <c r="H399" s="40" t="n">
        <f aca="false">IFERROR(INDEX('4. Costeo y Precios'!$P$14:$P$64,MATCH($B399,'4. Costeo y Precios'!$A$14:$A$64,0)),0)</f>
        <v>0</v>
      </c>
      <c r="I399" s="31" t="str">
        <f aca="false">IF($B399="","",E399*H399)</f>
        <v/>
      </c>
      <c r="J399" s="52"/>
      <c r="K399" s="31" t="str">
        <f aca="false">IF($B399="","",G399*J399)</f>
        <v/>
      </c>
      <c r="L399" s="42" t="str">
        <f aca="false">IF($B399="","",G399-I399-K399)</f>
        <v/>
      </c>
      <c r="M399" s="43" t="str">
        <f aca="false">IFERROR(L399/G399,"")</f>
        <v/>
      </c>
      <c r="N399" s="51"/>
    </row>
    <row r="400" customFormat="false" ht="15" hidden="false" customHeight="false" outlineLevel="0" collapsed="false">
      <c r="A400" s="25"/>
      <c r="B400" s="21"/>
      <c r="C400" s="50" t="str">
        <f aca="false">IFERROR(INDEX('4. Costeo y Precios'!$B$14:$B$64,MATCH($B400,'4. Costeo y Precios'!$A$14:$A$64,0)),"")</f>
        <v/>
      </c>
      <c r="D400" s="24"/>
      <c r="E400" s="21"/>
      <c r="F400" s="22"/>
      <c r="G400" s="31" t="str">
        <f aca="false">IF($B400="","",E400*F400)</f>
        <v/>
      </c>
      <c r="H400" s="40" t="n">
        <f aca="false">IFERROR(INDEX('4. Costeo y Precios'!$P$14:$P$64,MATCH($B400,'4. Costeo y Precios'!$A$14:$A$64,0)),0)</f>
        <v>0</v>
      </c>
      <c r="I400" s="31" t="str">
        <f aca="false">IF($B400="","",E400*H400)</f>
        <v/>
      </c>
      <c r="J400" s="52"/>
      <c r="K400" s="31" t="str">
        <f aca="false">IF($B400="","",G400*J400)</f>
        <v/>
      </c>
      <c r="L400" s="42" t="str">
        <f aca="false">IF($B400="","",G400-I400-K400)</f>
        <v/>
      </c>
      <c r="M400" s="43" t="str">
        <f aca="false">IFERROR(L400/G400,"")</f>
        <v/>
      </c>
      <c r="N400" s="51"/>
    </row>
    <row r="401" customFormat="false" ht="15" hidden="false" customHeight="false" outlineLevel="0" collapsed="false">
      <c r="A401" s="25"/>
      <c r="B401" s="21"/>
      <c r="C401" s="50" t="str">
        <f aca="false">IFERROR(INDEX('4. Costeo y Precios'!$B$14:$B$64,MATCH($B401,'4. Costeo y Precios'!$A$14:$A$64,0)),"")</f>
        <v/>
      </c>
      <c r="D401" s="24"/>
      <c r="E401" s="21"/>
      <c r="F401" s="22"/>
      <c r="G401" s="31" t="str">
        <f aca="false">IF($B401="","",E401*F401)</f>
        <v/>
      </c>
      <c r="H401" s="40" t="n">
        <f aca="false">IFERROR(INDEX('4. Costeo y Precios'!$P$14:$P$64,MATCH($B401,'4. Costeo y Precios'!$A$14:$A$64,0)),0)</f>
        <v>0</v>
      </c>
      <c r="I401" s="31" t="str">
        <f aca="false">IF($B401="","",E401*H401)</f>
        <v/>
      </c>
      <c r="J401" s="52"/>
      <c r="K401" s="31" t="str">
        <f aca="false">IF($B401="","",G401*J401)</f>
        <v/>
      </c>
      <c r="L401" s="42" t="str">
        <f aca="false">IF($B401="","",G401-I401-K401)</f>
        <v/>
      </c>
      <c r="M401" s="43" t="str">
        <f aca="false">IFERROR(L401/G401,"")</f>
        <v/>
      </c>
      <c r="N401" s="51"/>
    </row>
    <row r="402" customFormat="false" ht="15" hidden="false" customHeight="false" outlineLevel="0" collapsed="false">
      <c r="A402" s="25"/>
      <c r="B402" s="21"/>
      <c r="C402" s="50" t="str">
        <f aca="false">IFERROR(INDEX('4. Costeo y Precios'!$B$14:$B$64,MATCH($B402,'4. Costeo y Precios'!$A$14:$A$64,0)),"")</f>
        <v/>
      </c>
      <c r="D402" s="24"/>
      <c r="E402" s="21"/>
      <c r="F402" s="22"/>
      <c r="G402" s="31" t="str">
        <f aca="false">IF($B402="","",E402*F402)</f>
        <v/>
      </c>
      <c r="H402" s="40" t="n">
        <f aca="false">IFERROR(INDEX('4. Costeo y Precios'!$P$14:$P$64,MATCH($B402,'4. Costeo y Precios'!$A$14:$A$64,0)),0)</f>
        <v>0</v>
      </c>
      <c r="I402" s="31" t="str">
        <f aca="false">IF($B402="","",E402*H402)</f>
        <v/>
      </c>
      <c r="J402" s="52"/>
      <c r="K402" s="31" t="str">
        <f aca="false">IF($B402="","",G402*J402)</f>
        <v/>
      </c>
      <c r="L402" s="42" t="str">
        <f aca="false">IF($B402="","",G402-I402-K402)</f>
        <v/>
      </c>
      <c r="M402" s="43" t="str">
        <f aca="false">IFERROR(L402/G402,"")</f>
        <v/>
      </c>
      <c r="N402" s="51"/>
    </row>
    <row r="403" customFormat="false" ht="15" hidden="false" customHeight="false" outlineLevel="0" collapsed="false">
      <c r="A403" s="25"/>
      <c r="B403" s="21"/>
      <c r="C403" s="50" t="str">
        <f aca="false">IFERROR(INDEX('4. Costeo y Precios'!$B$14:$B$64,MATCH($B403,'4. Costeo y Precios'!$A$14:$A$64,0)),"")</f>
        <v/>
      </c>
      <c r="D403" s="24"/>
      <c r="E403" s="21"/>
      <c r="F403" s="22"/>
      <c r="G403" s="31" t="str">
        <f aca="false">IF($B403="","",E403*F403)</f>
        <v/>
      </c>
      <c r="H403" s="40" t="n">
        <f aca="false">IFERROR(INDEX('4. Costeo y Precios'!$P$14:$P$64,MATCH($B403,'4. Costeo y Precios'!$A$14:$A$64,0)),0)</f>
        <v>0</v>
      </c>
      <c r="I403" s="31" t="str">
        <f aca="false">IF($B403="","",E403*H403)</f>
        <v/>
      </c>
      <c r="J403" s="52"/>
      <c r="K403" s="31" t="str">
        <f aca="false">IF($B403="","",G403*J403)</f>
        <v/>
      </c>
      <c r="L403" s="42" t="str">
        <f aca="false">IF($B403="","",G403-I403-K403)</f>
        <v/>
      </c>
      <c r="M403" s="43" t="str">
        <f aca="false">IFERROR(L403/G403,"")</f>
        <v/>
      </c>
      <c r="N403" s="51"/>
    </row>
    <row r="404" customFormat="false" ht="15" hidden="false" customHeight="false" outlineLevel="0" collapsed="false">
      <c r="A404" s="25"/>
      <c r="B404" s="21"/>
      <c r="C404" s="50" t="str">
        <f aca="false">IFERROR(INDEX('4. Costeo y Precios'!$B$14:$B$64,MATCH($B404,'4. Costeo y Precios'!$A$14:$A$64,0)),"")</f>
        <v/>
      </c>
      <c r="D404" s="24"/>
      <c r="E404" s="21"/>
      <c r="F404" s="22"/>
      <c r="G404" s="31" t="str">
        <f aca="false">IF($B404="","",E404*F404)</f>
        <v/>
      </c>
      <c r="H404" s="40" t="n">
        <f aca="false">IFERROR(INDEX('4. Costeo y Precios'!$P$14:$P$64,MATCH($B404,'4. Costeo y Precios'!$A$14:$A$64,0)),0)</f>
        <v>0</v>
      </c>
      <c r="I404" s="31" t="str">
        <f aca="false">IF($B404="","",E404*H404)</f>
        <v/>
      </c>
      <c r="J404" s="52"/>
      <c r="K404" s="31" t="str">
        <f aca="false">IF($B404="","",G404*J404)</f>
        <v/>
      </c>
      <c r="L404" s="42" t="str">
        <f aca="false">IF($B404="","",G404-I404-K404)</f>
        <v/>
      </c>
      <c r="M404" s="43" t="str">
        <f aca="false">IFERROR(L404/G404,"")</f>
        <v/>
      </c>
      <c r="N404" s="51"/>
    </row>
    <row r="405" customFormat="false" ht="15" hidden="false" customHeight="false" outlineLevel="0" collapsed="false">
      <c r="A405" s="25"/>
      <c r="B405" s="21"/>
      <c r="C405" s="50" t="str">
        <f aca="false">IFERROR(INDEX('4. Costeo y Precios'!$B$14:$B$64,MATCH($B405,'4. Costeo y Precios'!$A$14:$A$64,0)),"")</f>
        <v/>
      </c>
      <c r="D405" s="24"/>
      <c r="E405" s="21"/>
      <c r="F405" s="22"/>
      <c r="G405" s="31" t="str">
        <f aca="false">IF($B405="","",E405*F405)</f>
        <v/>
      </c>
      <c r="H405" s="40" t="n">
        <f aca="false">IFERROR(INDEX('4. Costeo y Precios'!$P$14:$P$64,MATCH($B405,'4. Costeo y Precios'!$A$14:$A$64,0)),0)</f>
        <v>0</v>
      </c>
      <c r="I405" s="31" t="str">
        <f aca="false">IF($B405="","",E405*H405)</f>
        <v/>
      </c>
      <c r="J405" s="52"/>
      <c r="K405" s="31" t="str">
        <f aca="false">IF($B405="","",G405*J405)</f>
        <v/>
      </c>
      <c r="L405" s="42" t="str">
        <f aca="false">IF($B405="","",G405-I405-K405)</f>
        <v/>
      </c>
      <c r="M405" s="43" t="str">
        <f aca="false">IFERROR(L405/G405,"")</f>
        <v/>
      </c>
      <c r="N405" s="51"/>
    </row>
    <row r="406" customFormat="false" ht="15" hidden="false" customHeight="false" outlineLevel="0" collapsed="false">
      <c r="A406" s="25"/>
      <c r="B406" s="21"/>
      <c r="C406" s="50" t="str">
        <f aca="false">IFERROR(INDEX('4. Costeo y Precios'!$B$14:$B$64,MATCH($B406,'4. Costeo y Precios'!$A$14:$A$64,0)),"")</f>
        <v/>
      </c>
      <c r="D406" s="24"/>
      <c r="E406" s="21"/>
      <c r="F406" s="22"/>
      <c r="G406" s="31" t="str">
        <f aca="false">IF($B406="","",E406*F406)</f>
        <v/>
      </c>
      <c r="H406" s="40" t="n">
        <f aca="false">IFERROR(INDEX('4. Costeo y Precios'!$P$14:$P$64,MATCH($B406,'4. Costeo y Precios'!$A$14:$A$64,0)),0)</f>
        <v>0</v>
      </c>
      <c r="I406" s="31" t="str">
        <f aca="false">IF($B406="","",E406*H406)</f>
        <v/>
      </c>
      <c r="J406" s="52"/>
      <c r="K406" s="31" t="str">
        <f aca="false">IF($B406="","",G406*J406)</f>
        <v/>
      </c>
      <c r="L406" s="42" t="str">
        <f aca="false">IF($B406="","",G406-I406-K406)</f>
        <v/>
      </c>
      <c r="M406" s="43" t="str">
        <f aca="false">IFERROR(L406/G406,"")</f>
        <v/>
      </c>
      <c r="N406" s="51"/>
    </row>
    <row r="407" customFormat="false" ht="15" hidden="false" customHeight="false" outlineLevel="0" collapsed="false">
      <c r="A407" s="25"/>
      <c r="B407" s="21"/>
      <c r="C407" s="50" t="str">
        <f aca="false">IFERROR(INDEX('4. Costeo y Precios'!$B$14:$B$64,MATCH($B407,'4. Costeo y Precios'!$A$14:$A$64,0)),"")</f>
        <v/>
      </c>
      <c r="D407" s="24"/>
      <c r="E407" s="21"/>
      <c r="F407" s="22"/>
      <c r="G407" s="31" t="str">
        <f aca="false">IF($B407="","",E407*F407)</f>
        <v/>
      </c>
      <c r="H407" s="40" t="n">
        <f aca="false">IFERROR(INDEX('4. Costeo y Precios'!$P$14:$P$64,MATCH($B407,'4. Costeo y Precios'!$A$14:$A$64,0)),0)</f>
        <v>0</v>
      </c>
      <c r="I407" s="31" t="str">
        <f aca="false">IF($B407="","",E407*H407)</f>
        <v/>
      </c>
      <c r="J407" s="52"/>
      <c r="K407" s="31" t="str">
        <f aca="false">IF($B407="","",G407*J407)</f>
        <v/>
      </c>
      <c r="L407" s="42" t="str">
        <f aca="false">IF($B407="","",G407-I407-K407)</f>
        <v/>
      </c>
      <c r="M407" s="43" t="str">
        <f aca="false">IFERROR(L407/G407,"")</f>
        <v/>
      </c>
      <c r="N407" s="51"/>
    </row>
  </sheetData>
  <autoFilter ref="A7:N407"/>
  <mergeCells count="5">
    <mergeCell ref="A1:N1"/>
    <mergeCell ref="A3:C3"/>
    <mergeCell ref="A4:C4"/>
    <mergeCell ref="A5:C5"/>
    <mergeCell ref="A6:C6"/>
  </mergeCells>
  <dataValidations count="1">
    <dataValidation allowBlank="true" errorStyle="stop" operator="between" showDropDown="false" showErrorMessage="false" showInputMessage="false" sqref="D8:D407" type="list">
      <formula1>"Mostrador,Caja de regalo,Cafetería / restaurante,Mayoreo / suscripción,Taller,Venta en línea"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30" hidden="false" customHeight="true" outlineLevel="0" collapsed="false">
      <c r="A1" s="1" t="s">
        <v>702</v>
      </c>
      <c r="B1" s="1"/>
      <c r="C1" s="1"/>
      <c r="D1" s="1"/>
    </row>
    <row r="2" customFormat="false" ht="15" hidden="false" customHeight="false" outlineLevel="0" collapsed="false">
      <c r="A2" s="2" t="s">
        <v>703</v>
      </c>
    </row>
    <row r="4" customFormat="false" ht="15" hidden="false" customHeight="false" outlineLevel="0" collapsed="false">
      <c r="B4" s="32" t="s">
        <v>704</v>
      </c>
    </row>
    <row r="5" customFormat="false" ht="15" hidden="false" customHeight="false" outlineLevel="0" collapsed="false">
      <c r="B5" s="37" t="s">
        <v>705</v>
      </c>
      <c r="C5" s="22" t="n">
        <v>3000</v>
      </c>
    </row>
    <row r="6" customFormat="false" ht="15" hidden="false" customHeight="false" outlineLevel="0" collapsed="false">
      <c r="B6" s="37" t="s">
        <v>706</v>
      </c>
      <c r="C6" s="22" t="n">
        <v>700</v>
      </c>
    </row>
    <row r="7" customFormat="false" ht="15" hidden="false" customHeight="false" outlineLevel="0" collapsed="false">
      <c r="B7" s="37" t="s">
        <v>707</v>
      </c>
      <c r="C7" s="22" t="n">
        <v>600</v>
      </c>
    </row>
    <row r="8" customFormat="false" ht="15" hidden="false" customHeight="false" outlineLevel="0" collapsed="false">
      <c r="B8" s="37" t="s">
        <v>708</v>
      </c>
      <c r="C8" s="22" t="n">
        <v>1200</v>
      </c>
    </row>
    <row r="9" customFormat="false" ht="15" hidden="false" customHeight="false" outlineLevel="0" collapsed="false">
      <c r="B9" s="37" t="s">
        <v>709</v>
      </c>
      <c r="C9" s="22" t="n">
        <v>300</v>
      </c>
    </row>
    <row r="10" customFormat="false" ht="15" hidden="false" customHeight="false" outlineLevel="0" collapsed="false">
      <c r="B10" s="37" t="s">
        <v>710</v>
      </c>
      <c r="C10" s="22" t="n">
        <v>200</v>
      </c>
    </row>
    <row r="11" customFormat="false" ht="15" hidden="false" customHeight="false" outlineLevel="0" collapsed="false">
      <c r="B11" s="37" t="s">
        <v>711</v>
      </c>
      <c r="C11" s="22" t="n">
        <v>500</v>
      </c>
    </row>
    <row r="12" customFormat="false" ht="15" hidden="false" customHeight="false" outlineLevel="0" collapsed="false">
      <c r="B12" s="37" t="s">
        <v>712</v>
      </c>
      <c r="C12" s="22" t="n">
        <v>350</v>
      </c>
    </row>
    <row r="13" customFormat="false" ht="15" hidden="false" customHeight="false" outlineLevel="0" collapsed="false">
      <c r="B13" s="37" t="s">
        <v>713</v>
      </c>
      <c r="C13" s="22" t="n">
        <v>2000</v>
      </c>
    </row>
    <row r="14" customFormat="false" ht="15" hidden="false" customHeight="false" outlineLevel="0" collapsed="false">
      <c r="B14" s="37" t="s">
        <v>714</v>
      </c>
      <c r="C14" s="22" t="n">
        <v>700</v>
      </c>
    </row>
    <row r="15" customFormat="false" ht="15" hidden="false" customHeight="false" outlineLevel="0" collapsed="false">
      <c r="B15" s="15" t="s">
        <v>715</v>
      </c>
      <c r="C15" s="34" t="n">
        <f aca="false">SUM(C5:C14)</f>
        <v>9550</v>
      </c>
      <c r="D15" s="39" t="s">
        <v>716</v>
      </c>
    </row>
    <row r="17" customFormat="false" ht="15" hidden="false" customHeight="false" outlineLevel="0" collapsed="false">
      <c r="B17" s="32" t="s">
        <v>717</v>
      </c>
    </row>
    <row r="18" customFormat="false" ht="15" hidden="false" customHeight="false" outlineLevel="0" collapsed="false">
      <c r="B18" s="37" t="s">
        <v>718</v>
      </c>
      <c r="C18" s="21" t="n">
        <v>900</v>
      </c>
    </row>
    <row r="19" customFormat="false" ht="15" hidden="false" customHeight="false" outlineLevel="0" collapsed="false">
      <c r="B19" s="15" t="s">
        <v>719</v>
      </c>
      <c r="C19" s="34" t="n">
        <f aca="false">IFERROR($C$15/$C$18,0)</f>
        <v>10.6111111111111</v>
      </c>
      <c r="D19" s="39" t="s">
        <v>720</v>
      </c>
    </row>
    <row r="21" customFormat="false" ht="15" hidden="false" customHeight="false" outlineLevel="0" collapsed="false">
      <c r="B21" s="32" t="s">
        <v>721</v>
      </c>
    </row>
    <row r="22" customFormat="false" ht="15" hidden="false" customHeight="false" outlineLevel="0" collapsed="false">
      <c r="B22" s="37" t="s">
        <v>722</v>
      </c>
      <c r="C22" s="22" t="n">
        <v>12000</v>
      </c>
    </row>
    <row r="23" customFormat="false" ht="15" hidden="false" customHeight="false" outlineLevel="0" collapsed="false">
      <c r="B23" s="37" t="s">
        <v>723</v>
      </c>
      <c r="C23" s="21" t="n">
        <v>160</v>
      </c>
    </row>
    <row r="24" customFormat="false" ht="15" hidden="false" customHeight="false" outlineLevel="0" collapsed="false">
      <c r="B24" s="15" t="s">
        <v>724</v>
      </c>
      <c r="C24" s="34" t="n">
        <f aca="false">IFERROR($C$22/$C$23,0)</f>
        <v>75</v>
      </c>
      <c r="D24" s="39" t="s">
        <v>725</v>
      </c>
    </row>
    <row r="26" customFormat="false" ht="15" hidden="false" customHeight="false" outlineLevel="0" collapsed="false">
      <c r="B26" s="32" t="s">
        <v>726</v>
      </c>
    </row>
    <row r="27" customFormat="false" ht="15" hidden="false" customHeight="false" outlineLevel="0" collapsed="false">
      <c r="B27" s="37" t="s">
        <v>727</v>
      </c>
      <c r="C27" s="40" t="n">
        <f aca="false">IFERROR(AVERAGE('4. Costeo y Precios'!$Q$14:$Q$64),0)</f>
        <v>149.117647058824</v>
      </c>
    </row>
    <row r="28" customFormat="false" ht="15" hidden="false" customHeight="false" outlineLevel="0" collapsed="false">
      <c r="B28" s="37" t="s">
        <v>728</v>
      </c>
      <c r="C28" s="40" t="n">
        <f aca="false">IFERROR(AVERAGE('4. Costeo y Precios'!$P$14:$P$64),0)</f>
        <v>58.6107174253011</v>
      </c>
    </row>
    <row r="29" customFormat="false" ht="15" hidden="false" customHeight="false" outlineLevel="0" collapsed="false">
      <c r="B29" s="15" t="s">
        <v>729</v>
      </c>
      <c r="C29" s="42" t="n">
        <f aca="false">$C$27-$C$28</f>
        <v>90.5069296335224</v>
      </c>
    </row>
    <row r="30" customFormat="false" ht="15" hidden="false" customHeight="false" outlineLevel="0" collapsed="false">
      <c r="B30" s="15" t="s">
        <v>730</v>
      </c>
      <c r="C30" s="48" t="n">
        <f aca="false">IFERROR(ROUNDUP($C$15/$C$29,0),0)</f>
        <v>106</v>
      </c>
    </row>
    <row r="31" customFormat="false" ht="15" hidden="false" customHeight="false" outlineLevel="0" collapsed="false">
      <c r="B31" s="15" t="s">
        <v>731</v>
      </c>
      <c r="C31" s="34" t="n">
        <f aca="false">$C$30*$C$27</f>
        <v>15806.4705882353</v>
      </c>
    </row>
    <row r="32" customFormat="false" ht="15" hidden="false" customHeight="false" outlineLevel="0" collapsed="false">
      <c r="B32" s="37" t="s">
        <v>732</v>
      </c>
      <c r="C32" s="53" t="n">
        <f aca="false">ROUNDUP($C$30/12,0)</f>
        <v>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40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733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734</v>
      </c>
    </row>
    <row r="4" customFormat="false" ht="15" hidden="false" customHeight="false" outlineLevel="0" collapsed="false">
      <c r="B4" s="15" t="s">
        <v>735</v>
      </c>
      <c r="C4" s="54" t="n">
        <v>46235</v>
      </c>
    </row>
    <row r="5" customFormat="false" ht="15" hidden="false" customHeight="false" outlineLevel="0" collapsed="false">
      <c r="B5" s="37" t="s">
        <v>736</v>
      </c>
      <c r="C5" s="55" t="n">
        <f aca="false">DATE(YEAR(C4),MONTH(C4),1)</f>
        <v>46235</v>
      </c>
    </row>
    <row r="6" customFormat="false" ht="15" hidden="false" customHeight="false" outlineLevel="0" collapsed="false">
      <c r="B6" s="37" t="s">
        <v>737</v>
      </c>
      <c r="C6" s="55" t="n">
        <f aca="false">DATE(YEAR(C4),MONTH(C4)+1,1)</f>
        <v>46266</v>
      </c>
    </row>
    <row r="8" customFormat="false" ht="15" hidden="false" customHeight="false" outlineLevel="0" collapsed="false">
      <c r="B8" s="56" t="s">
        <v>738</v>
      </c>
    </row>
    <row r="9" customFormat="false" ht="15" hidden="false" customHeight="false" outlineLevel="0" collapsed="false">
      <c r="B9" s="15" t="s">
        <v>739</v>
      </c>
      <c r="C9" s="48" t="n">
        <f aca="false">SUMIFS('6. Ventas'!$E$8:$E$407,'6. Ventas'!$A$8:$A$407,"&gt;="&amp;$C$5,'6. Ventas'!$A$8:$A$407,"&lt;"&amp;$C$6)</f>
        <v>26</v>
      </c>
      <c r="E9" s="15" t="s">
        <v>740</v>
      </c>
      <c r="F9" s="48" t="n">
        <f aca="false">SUMIFS('5. Producción y Merma'!$F$8:$F$207,'5. Producción y Merma'!$A$8:$A$207,"&gt;="&amp;$C$5,'5. Producción y Merma'!$A$8:$A$207,"&lt;"&amp;$C$6)</f>
        <v>11</v>
      </c>
    </row>
    <row r="10" customFormat="false" ht="15" hidden="false" customHeight="false" outlineLevel="0" collapsed="false">
      <c r="B10" s="15" t="s">
        <v>741</v>
      </c>
      <c r="C10" s="34" t="n">
        <f aca="false">SUMIFS('6. Ventas'!$G$8:$G$407,'6. Ventas'!$A$8:$A$407,"&gt;="&amp;$C$5,'6. Ventas'!$A$8:$A$407,"&lt;"&amp;$C$6)</f>
        <v>2490</v>
      </c>
      <c r="E10" s="15" t="s">
        <v>675</v>
      </c>
      <c r="F10" s="48" t="n">
        <f aca="false">SUMIFS('5. Producción y Merma'!$G$8:$G$207,'5. Producción y Merma'!$A$8:$A$207,"&gt;="&amp;$C$5,'5. Producción y Merma'!$A$8:$A$207,"&lt;"&amp;$C$6)</f>
        <v>1</v>
      </c>
    </row>
    <row r="11" customFormat="false" ht="15" hidden="false" customHeight="false" outlineLevel="0" collapsed="false">
      <c r="B11" s="15" t="s">
        <v>742</v>
      </c>
      <c r="C11" s="34" t="n">
        <f aca="false">SUMIFS('6. Ventas'!$I$8:$I$407,'6. Ventas'!$A$8:$A$407,"&gt;="&amp;$C$5,'6. Ventas'!$A$8:$A$407,"&lt;"&amp;$C$6)</f>
        <v>1512.57525252525</v>
      </c>
      <c r="E11" s="15" t="s">
        <v>743</v>
      </c>
      <c r="F11" s="49" t="n">
        <f aca="false">IFERROR(F10/(F9+F10),0)</f>
        <v>0.0833333333333333</v>
      </c>
    </row>
    <row r="12" customFormat="false" ht="15" hidden="false" customHeight="false" outlineLevel="0" collapsed="false">
      <c r="B12" s="15" t="s">
        <v>744</v>
      </c>
      <c r="C12" s="34" t="n">
        <f aca="false">SUMIFS('6. Ventas'!$L$8:$L$407,'6. Ventas'!$A$8:$A$407,"&gt;="&amp;$C$5,'6. Ventas'!$A$8:$A$407,"&lt;"&amp;$C$6)</f>
        <v>920.424747474747</v>
      </c>
      <c r="E12" s="15" t="s">
        <v>745</v>
      </c>
      <c r="F12" s="34" t="n">
        <f aca="false">SUMIFS('5. Producción y Merma'!$K$8:$K$207,'5. Producción y Merma'!$A$8:$A$207,"&gt;="&amp;$C$5,'5. Producción y Merma'!$A$8:$A$207,"&lt;"&amp;$C$6)</f>
        <v>51.388952020202</v>
      </c>
    </row>
    <row r="13" customFormat="false" ht="15" hidden="false" customHeight="false" outlineLevel="0" collapsed="false">
      <c r="B13" s="15" t="s">
        <v>746</v>
      </c>
      <c r="C13" s="49" t="n">
        <f aca="false">IFERROR(C12/C10,0)</f>
        <v>0.369648492961746</v>
      </c>
      <c r="E13" s="15" t="s">
        <v>747</v>
      </c>
      <c r="F13" s="49" t="n">
        <f aca="false">IFERROR(F12/C10,0)</f>
        <v>0.0206381333414466</v>
      </c>
    </row>
    <row r="14" customFormat="false" ht="15" hidden="false" customHeight="false" outlineLevel="0" collapsed="false">
      <c r="B14" s="15" t="s">
        <v>748</v>
      </c>
      <c r="C14" s="34" t="n">
        <f aca="false">IFERROR(C10/C9,0)</f>
        <v>95.7692307692308</v>
      </c>
      <c r="E14" s="15" t="s">
        <v>749</v>
      </c>
      <c r="F14" s="48" t="n">
        <f aca="false">'7. Gastos Fijos'!$C$30</f>
        <v>106</v>
      </c>
    </row>
    <row r="15" customFormat="false" ht="15" hidden="false" customHeight="false" outlineLevel="0" collapsed="false">
      <c r="B15" s="15" t="s">
        <v>750</v>
      </c>
      <c r="C15" s="34" t="n">
        <f aca="false">C12-'7. Gastos Fijos'!$C$15</f>
        <v>-8629.57525252525</v>
      </c>
      <c r="E15" s="15" t="s">
        <v>751</v>
      </c>
      <c r="F15" s="49" t="n">
        <f aca="false">IFERROR(C9/F14,0)</f>
        <v>0.245283018867925</v>
      </c>
    </row>
    <row r="18" customFormat="false" ht="15" hidden="false" customHeight="false" outlineLevel="0" collapsed="false">
      <c r="B18" s="56" t="s">
        <v>752</v>
      </c>
    </row>
    <row r="19" customFormat="false" ht="15" hidden="false" customHeight="false" outlineLevel="0" collapsed="false">
      <c r="B19" s="57" t="s">
        <v>689</v>
      </c>
      <c r="C19" s="57" t="s">
        <v>690</v>
      </c>
      <c r="E19" s="57" t="s">
        <v>692</v>
      </c>
      <c r="F19" s="57" t="s">
        <v>696</v>
      </c>
    </row>
    <row r="20" customFormat="false" ht="15" hidden="false" customHeight="false" outlineLevel="0" collapsed="false">
      <c r="B20" s="37" t="s">
        <v>699</v>
      </c>
      <c r="C20" s="53" t="n">
        <f aca="false">SUMIFS('6. Ventas'!$E$8:$E$407,'6. Ventas'!$A$8:$A$407,"&gt;="&amp;$C$5,'6. Ventas'!$A$8:$A$407,"&lt;"&amp;$C$6,'6. Ventas'!$D$8:$D$407,$B20)</f>
        <v>8</v>
      </c>
      <c r="E20" s="31" t="n">
        <f aca="false">SUMIFS('6. Ventas'!$G$8:$G$407,'6. Ventas'!$A$8:$A$407,"&gt;="&amp;$C$5,'6. Ventas'!$A$8:$A$407,"&lt;"&amp;$C$6,'6. Ventas'!$D$8:$D$407,$B20)</f>
        <v>600</v>
      </c>
      <c r="F20" s="31" t="n">
        <f aca="false">SUMIFS('6. Ventas'!$L$8:$L$407,'6. Ventas'!$A$8:$A$407,"&gt;="&amp;$C$5,'6. Ventas'!$A$8:$A$407,"&lt;"&amp;$C$6,'6. Ventas'!$D$8:$D$407,$B20)</f>
        <v>188.888383838384</v>
      </c>
    </row>
    <row r="21" customFormat="false" ht="15" hidden="false" customHeight="false" outlineLevel="0" collapsed="false">
      <c r="B21" s="37" t="s">
        <v>700</v>
      </c>
      <c r="C21" s="53" t="n">
        <f aca="false">SUMIFS('6. Ventas'!$E$8:$E$407,'6. Ventas'!$A$8:$A$407,"&gt;="&amp;$C$5,'6. Ventas'!$A$8:$A$407,"&lt;"&amp;$C$6,'6. Ventas'!$D$8:$D$407,$B21)</f>
        <v>12</v>
      </c>
      <c r="E21" s="31" t="n">
        <f aca="false">SUMIFS('6. Ventas'!$G$8:$G$407,'6. Ventas'!$A$8:$A$407,"&gt;="&amp;$C$5,'6. Ventas'!$A$8:$A$407,"&lt;"&amp;$C$6,'6. Ventas'!$D$8:$D$407,$B21)</f>
        <v>1320</v>
      </c>
      <c r="F21" s="31" t="n">
        <f aca="false">SUMIFS('6. Ventas'!$L$8:$L$407,'6. Ventas'!$A$8:$A$407,"&gt;="&amp;$C$5,'6. Ventas'!$A$8:$A$407,"&lt;"&amp;$C$6,'6. Ventas'!$D$8:$D$407,$B21)</f>
        <v>631.575757575758</v>
      </c>
    </row>
    <row r="22" customFormat="false" ht="15" hidden="false" customHeight="false" outlineLevel="0" collapsed="false">
      <c r="B22" s="37" t="s">
        <v>753</v>
      </c>
      <c r="C22" s="53" t="n">
        <f aca="false">SUMIFS('6. Ventas'!$E$8:$E$407,'6. Ventas'!$A$8:$A$407,"&gt;="&amp;$C$5,'6. Ventas'!$A$8:$A$407,"&lt;"&amp;$C$6,'6. Ventas'!$D$8:$D$407,$B22)</f>
        <v>0</v>
      </c>
      <c r="E22" s="31" t="n">
        <f aca="false">SUMIFS('6. Ventas'!$G$8:$G$407,'6. Ventas'!$A$8:$A$407,"&gt;="&amp;$C$5,'6. Ventas'!$A$8:$A$407,"&lt;"&amp;$C$6,'6. Ventas'!$D$8:$D$407,$B22)</f>
        <v>0</v>
      </c>
      <c r="F22" s="31" t="n">
        <f aca="false">SUMIFS('6. Ventas'!$L$8:$L$407,'6. Ventas'!$A$8:$A$407,"&gt;="&amp;$C$5,'6. Ventas'!$A$8:$A$407,"&lt;"&amp;$C$6,'6. Ventas'!$D$8:$D$407,$B22)</f>
        <v>0</v>
      </c>
    </row>
    <row r="23" customFormat="false" ht="15" hidden="false" customHeight="false" outlineLevel="0" collapsed="false">
      <c r="B23" s="37" t="s">
        <v>754</v>
      </c>
      <c r="C23" s="53" t="n">
        <f aca="false">SUMIFS('6. Ventas'!$E$8:$E$407,'6. Ventas'!$A$8:$A$407,"&gt;="&amp;$C$5,'6. Ventas'!$A$8:$A$407,"&lt;"&amp;$C$6,'6. Ventas'!$D$8:$D$407,$B23)</f>
        <v>0</v>
      </c>
      <c r="E23" s="31" t="n">
        <f aca="false">SUMIFS('6. Ventas'!$G$8:$G$407,'6. Ventas'!$A$8:$A$407,"&gt;="&amp;$C$5,'6. Ventas'!$A$8:$A$407,"&lt;"&amp;$C$6,'6. Ventas'!$D$8:$D$407,$B23)</f>
        <v>0</v>
      </c>
      <c r="F23" s="31" t="n">
        <f aca="false">SUMIFS('6. Ventas'!$L$8:$L$407,'6. Ventas'!$A$8:$A$407,"&gt;="&amp;$C$5,'6. Ventas'!$A$8:$A$407,"&lt;"&amp;$C$6,'6. Ventas'!$D$8:$D$407,$B23)</f>
        <v>0</v>
      </c>
    </row>
    <row r="24" customFormat="false" ht="15" hidden="false" customHeight="false" outlineLevel="0" collapsed="false">
      <c r="B24" s="37" t="s">
        <v>755</v>
      </c>
      <c r="C24" s="53" t="n">
        <f aca="false">SUMIFS('6. Ventas'!$E$8:$E$407,'6. Ventas'!$A$8:$A$407,"&gt;="&amp;$C$5,'6. Ventas'!$A$8:$A$407,"&lt;"&amp;$C$6,'6. Ventas'!$D$8:$D$407,$B24)</f>
        <v>0</v>
      </c>
      <c r="E24" s="31" t="n">
        <f aca="false">SUMIFS('6. Ventas'!$G$8:$G$407,'6. Ventas'!$A$8:$A$407,"&gt;="&amp;$C$5,'6. Ventas'!$A$8:$A$407,"&lt;"&amp;$C$6,'6. Ventas'!$D$8:$D$407,$B24)</f>
        <v>0</v>
      </c>
      <c r="F24" s="31" t="n">
        <f aca="false">SUMIFS('6. Ventas'!$L$8:$L$407,'6. Ventas'!$A$8:$A$407,"&gt;="&amp;$C$5,'6. Ventas'!$A$8:$A$407,"&lt;"&amp;$C$6,'6. Ventas'!$D$8:$D$407,$B24)</f>
        <v>0</v>
      </c>
    </row>
    <row r="25" customFormat="false" ht="15" hidden="false" customHeight="false" outlineLevel="0" collapsed="false">
      <c r="B25" s="37" t="s">
        <v>701</v>
      </c>
      <c r="C25" s="53" t="n">
        <f aca="false">SUMIFS('6. Ventas'!$E$8:$E$407,'6. Ventas'!$A$8:$A$407,"&gt;="&amp;$C$5,'6. Ventas'!$A$8:$A$407,"&lt;"&amp;$C$6,'6. Ventas'!$D$8:$D$407,$B25)</f>
        <v>6</v>
      </c>
      <c r="E25" s="31" t="n">
        <f aca="false">SUMIFS('6. Ventas'!$G$8:$G$407,'6. Ventas'!$A$8:$A$407,"&gt;="&amp;$C$5,'6. Ventas'!$A$8:$A$407,"&lt;"&amp;$C$6,'6. Ventas'!$D$8:$D$407,$B25)</f>
        <v>570</v>
      </c>
      <c r="F25" s="31" t="n">
        <f aca="false">SUMIFS('6. Ventas'!$L$8:$L$407,'6. Ventas'!$A$8:$A$407,"&gt;="&amp;$C$5,'6. Ventas'!$A$8:$A$407,"&lt;"&amp;$C$6,'6. Ventas'!$D$8:$D$407,$B25)</f>
        <v>99.960606060606</v>
      </c>
    </row>
    <row r="28" customFormat="false" ht="15" hidden="false" customHeight="false" outlineLevel="0" collapsed="false">
      <c r="B28" s="56" t="s">
        <v>756</v>
      </c>
    </row>
    <row r="29" customFormat="false" ht="15" hidden="false" customHeight="false" outlineLevel="0" collapsed="false">
      <c r="A29" s="57" t="s">
        <v>243</v>
      </c>
      <c r="B29" s="57" t="s">
        <v>244</v>
      </c>
      <c r="C29" s="57" t="s">
        <v>690</v>
      </c>
      <c r="E29" s="57" t="s">
        <v>692</v>
      </c>
      <c r="F29" s="57" t="s">
        <v>696</v>
      </c>
    </row>
    <row r="30" customFormat="false" ht="15" hidden="false" customHeight="false" outlineLevel="0" collapsed="false">
      <c r="A30" s="35" t="n">
        <v>1</v>
      </c>
      <c r="B30" s="28" t="s">
        <v>246</v>
      </c>
      <c r="C30" s="53" t="n">
        <f aca="false">SUMIFS('6. Ventas'!$E$8:$E$407,'6. Ventas'!$A$8:$A$407,"&gt;="&amp;$C$5,'6. Ventas'!$A$8:$A$407,"&lt;"&amp;$C$6,'6. Ventas'!$B$8:$B$407,$A30)</f>
        <v>8</v>
      </c>
      <c r="E30" s="31" t="n">
        <f aca="false">SUMIFS('6. Ventas'!$G$8:$G$407,'6. Ventas'!$A$8:$A$407,"&gt;="&amp;$C$5,'6. Ventas'!$A$8:$A$407,"&lt;"&amp;$C$6,'6. Ventas'!$B$8:$B$407,$A30)</f>
        <v>600</v>
      </c>
      <c r="F30" s="31" t="n">
        <f aca="false">SUMIFS('6. Ventas'!$L$8:$L$407,'6. Ventas'!$A$8:$A$407,"&gt;="&amp;$C$5,'6. Ventas'!$A$8:$A$407,"&lt;"&amp;$C$6,'6. Ventas'!$B$8:$B$407,$A30)</f>
        <v>188.888383838384</v>
      </c>
    </row>
    <row r="31" customFormat="false" ht="15" hidden="false" customHeight="false" outlineLevel="0" collapsed="false">
      <c r="A31" s="35" t="n">
        <v>2</v>
      </c>
      <c r="B31" s="28" t="s">
        <v>258</v>
      </c>
      <c r="C31" s="53" t="n">
        <f aca="false">SUMIFS('6. Ventas'!$E$8:$E$407,'6. Ventas'!$A$8:$A$407,"&gt;="&amp;$C$5,'6. Ventas'!$A$8:$A$407,"&lt;"&amp;$C$6,'6. Ventas'!$B$8:$B$407,$A31)</f>
        <v>0</v>
      </c>
      <c r="E31" s="31" t="n">
        <f aca="false">SUMIFS('6. Ventas'!$G$8:$G$407,'6. Ventas'!$A$8:$A$407,"&gt;="&amp;$C$5,'6. Ventas'!$A$8:$A$407,"&lt;"&amp;$C$6,'6. Ventas'!$B$8:$B$407,$A31)</f>
        <v>0</v>
      </c>
      <c r="F31" s="31" t="n">
        <f aca="false">SUMIFS('6. Ventas'!$L$8:$L$407,'6. Ventas'!$A$8:$A$407,"&gt;="&amp;$C$5,'6. Ventas'!$A$8:$A$407,"&lt;"&amp;$C$6,'6. Ventas'!$B$8:$B$407,$A31)</f>
        <v>0</v>
      </c>
    </row>
    <row r="32" customFormat="false" ht="15" hidden="false" customHeight="false" outlineLevel="0" collapsed="false">
      <c r="A32" s="35" t="n">
        <v>3</v>
      </c>
      <c r="B32" s="28" t="s">
        <v>268</v>
      </c>
      <c r="C32" s="53" t="n">
        <f aca="false">SUMIFS('6. Ventas'!$E$8:$E$407,'6. Ventas'!$A$8:$A$407,"&gt;="&amp;$C$5,'6. Ventas'!$A$8:$A$407,"&lt;"&amp;$C$6,'6. Ventas'!$B$8:$B$407,$A32)</f>
        <v>0</v>
      </c>
      <c r="E32" s="31" t="n">
        <f aca="false">SUMIFS('6. Ventas'!$G$8:$G$407,'6. Ventas'!$A$8:$A$407,"&gt;="&amp;$C$5,'6. Ventas'!$A$8:$A$407,"&lt;"&amp;$C$6,'6. Ventas'!$B$8:$B$407,$A32)</f>
        <v>0</v>
      </c>
      <c r="F32" s="31" t="n">
        <f aca="false">SUMIFS('6. Ventas'!$L$8:$L$407,'6. Ventas'!$A$8:$A$407,"&gt;="&amp;$C$5,'6. Ventas'!$A$8:$A$407,"&lt;"&amp;$C$6,'6. Ventas'!$B$8:$B$407,$A32)</f>
        <v>0</v>
      </c>
    </row>
    <row r="33" customFormat="false" ht="15" hidden="false" customHeight="false" outlineLevel="0" collapsed="false">
      <c r="A33" s="35" t="n">
        <v>4</v>
      </c>
      <c r="B33" s="28" t="s">
        <v>277</v>
      </c>
      <c r="C33" s="53" t="n">
        <f aca="false">SUMIFS('6. Ventas'!$E$8:$E$407,'6. Ventas'!$A$8:$A$407,"&gt;="&amp;$C$5,'6. Ventas'!$A$8:$A$407,"&lt;"&amp;$C$6,'6. Ventas'!$B$8:$B$407,$A33)</f>
        <v>0</v>
      </c>
      <c r="E33" s="31" t="n">
        <f aca="false">SUMIFS('6. Ventas'!$G$8:$G$407,'6. Ventas'!$A$8:$A$407,"&gt;="&amp;$C$5,'6. Ventas'!$A$8:$A$407,"&lt;"&amp;$C$6,'6. Ventas'!$B$8:$B$407,$A33)</f>
        <v>0</v>
      </c>
      <c r="F33" s="31" t="n">
        <f aca="false">SUMIFS('6. Ventas'!$L$8:$L$407,'6. Ventas'!$A$8:$A$407,"&gt;="&amp;$C$5,'6. Ventas'!$A$8:$A$407,"&lt;"&amp;$C$6,'6. Ventas'!$B$8:$B$407,$A33)</f>
        <v>0</v>
      </c>
    </row>
    <row r="34" customFormat="false" ht="15" hidden="false" customHeight="false" outlineLevel="0" collapsed="false">
      <c r="A34" s="35" t="n">
        <v>5</v>
      </c>
      <c r="B34" s="28" t="s">
        <v>289</v>
      </c>
      <c r="C34" s="53" t="n">
        <f aca="false">SUMIFS('6. Ventas'!$E$8:$E$407,'6. Ventas'!$A$8:$A$407,"&gt;="&amp;$C$5,'6. Ventas'!$A$8:$A$407,"&lt;"&amp;$C$6,'6. Ventas'!$B$8:$B$407,$A34)</f>
        <v>0</v>
      </c>
      <c r="E34" s="31" t="n">
        <f aca="false">SUMIFS('6. Ventas'!$G$8:$G$407,'6. Ventas'!$A$8:$A$407,"&gt;="&amp;$C$5,'6. Ventas'!$A$8:$A$407,"&lt;"&amp;$C$6,'6. Ventas'!$B$8:$B$407,$A34)</f>
        <v>0</v>
      </c>
      <c r="F34" s="31" t="n">
        <f aca="false">SUMIFS('6. Ventas'!$L$8:$L$407,'6. Ventas'!$A$8:$A$407,"&gt;="&amp;$C$5,'6. Ventas'!$A$8:$A$407,"&lt;"&amp;$C$6,'6. Ventas'!$B$8:$B$407,$A34)</f>
        <v>0</v>
      </c>
    </row>
    <row r="35" customFormat="false" ht="15" hidden="false" customHeight="false" outlineLevel="0" collapsed="false">
      <c r="A35" s="35" t="n">
        <v>6</v>
      </c>
      <c r="B35" s="28" t="s">
        <v>299</v>
      </c>
      <c r="C35" s="53" t="n">
        <f aca="false">SUMIFS('6. Ventas'!$E$8:$E$407,'6. Ventas'!$A$8:$A$407,"&gt;="&amp;$C$5,'6. Ventas'!$A$8:$A$407,"&lt;"&amp;$C$6,'6. Ventas'!$B$8:$B$407,$A35)</f>
        <v>0</v>
      </c>
      <c r="E35" s="31" t="n">
        <f aca="false">SUMIFS('6. Ventas'!$G$8:$G$407,'6. Ventas'!$A$8:$A$407,"&gt;="&amp;$C$5,'6. Ventas'!$A$8:$A$407,"&lt;"&amp;$C$6,'6. Ventas'!$B$8:$B$407,$A35)</f>
        <v>0</v>
      </c>
      <c r="F35" s="31" t="n">
        <f aca="false">SUMIFS('6. Ventas'!$L$8:$L$407,'6. Ventas'!$A$8:$A$407,"&gt;="&amp;$C$5,'6. Ventas'!$A$8:$A$407,"&lt;"&amp;$C$6,'6. Ventas'!$B$8:$B$407,$A35)</f>
        <v>0</v>
      </c>
    </row>
    <row r="36" customFormat="false" ht="15" hidden="false" customHeight="false" outlineLevel="0" collapsed="false">
      <c r="A36" s="35" t="n">
        <v>7</v>
      </c>
      <c r="B36" s="28" t="s">
        <v>311</v>
      </c>
      <c r="C36" s="53" t="n">
        <f aca="false">SUMIFS('6. Ventas'!$E$8:$E$407,'6. Ventas'!$A$8:$A$407,"&gt;="&amp;$C$5,'6. Ventas'!$A$8:$A$407,"&lt;"&amp;$C$6,'6. Ventas'!$B$8:$B$407,$A36)</f>
        <v>0</v>
      </c>
      <c r="E36" s="31" t="n">
        <f aca="false">SUMIFS('6. Ventas'!$G$8:$G$407,'6. Ventas'!$A$8:$A$407,"&gt;="&amp;$C$5,'6. Ventas'!$A$8:$A$407,"&lt;"&amp;$C$6,'6. Ventas'!$B$8:$B$407,$A36)</f>
        <v>0</v>
      </c>
      <c r="F36" s="31" t="n">
        <f aca="false">SUMIFS('6. Ventas'!$L$8:$L$407,'6. Ventas'!$A$8:$A$407,"&gt;="&amp;$C$5,'6. Ventas'!$A$8:$A$407,"&lt;"&amp;$C$6,'6. Ventas'!$B$8:$B$407,$A36)</f>
        <v>0</v>
      </c>
    </row>
    <row r="37" customFormat="false" ht="15" hidden="false" customHeight="false" outlineLevel="0" collapsed="false">
      <c r="A37" s="35" t="n">
        <v>8</v>
      </c>
      <c r="B37" s="28" t="s">
        <v>320</v>
      </c>
      <c r="C37" s="53" t="n">
        <f aca="false">SUMIFS('6. Ventas'!$E$8:$E$407,'6. Ventas'!$A$8:$A$407,"&gt;="&amp;$C$5,'6. Ventas'!$A$8:$A$407,"&lt;"&amp;$C$6,'6. Ventas'!$B$8:$B$407,$A37)</f>
        <v>0</v>
      </c>
      <c r="E37" s="31" t="n">
        <f aca="false">SUMIFS('6. Ventas'!$G$8:$G$407,'6. Ventas'!$A$8:$A$407,"&gt;="&amp;$C$5,'6. Ventas'!$A$8:$A$407,"&lt;"&amp;$C$6,'6. Ventas'!$B$8:$B$407,$A37)</f>
        <v>0</v>
      </c>
      <c r="F37" s="31" t="n">
        <f aca="false">SUMIFS('6. Ventas'!$L$8:$L$407,'6. Ventas'!$A$8:$A$407,"&gt;="&amp;$C$5,'6. Ventas'!$A$8:$A$407,"&lt;"&amp;$C$6,'6. Ventas'!$B$8:$B$407,$A37)</f>
        <v>0</v>
      </c>
    </row>
    <row r="38" customFormat="false" ht="15" hidden="false" customHeight="false" outlineLevel="0" collapsed="false">
      <c r="A38" s="35" t="n">
        <v>9</v>
      </c>
      <c r="B38" s="28" t="s">
        <v>331</v>
      </c>
      <c r="C38" s="53" t="n">
        <f aca="false">SUMIFS('6. Ventas'!$E$8:$E$407,'6. Ventas'!$A$8:$A$407,"&gt;="&amp;$C$5,'6. Ventas'!$A$8:$A$407,"&lt;"&amp;$C$6,'6. Ventas'!$B$8:$B$407,$A38)</f>
        <v>0</v>
      </c>
      <c r="E38" s="31" t="n">
        <f aca="false">SUMIFS('6. Ventas'!$G$8:$G$407,'6. Ventas'!$A$8:$A$407,"&gt;="&amp;$C$5,'6. Ventas'!$A$8:$A$407,"&lt;"&amp;$C$6,'6. Ventas'!$B$8:$B$407,$A38)</f>
        <v>0</v>
      </c>
      <c r="F38" s="31" t="n">
        <f aca="false">SUMIFS('6. Ventas'!$L$8:$L$407,'6. Ventas'!$A$8:$A$407,"&gt;="&amp;$C$5,'6. Ventas'!$A$8:$A$407,"&lt;"&amp;$C$6,'6. Ventas'!$B$8:$B$407,$A38)</f>
        <v>0</v>
      </c>
    </row>
    <row r="39" customFormat="false" ht="15" hidden="false" customHeight="false" outlineLevel="0" collapsed="false">
      <c r="A39" s="35" t="n">
        <v>10</v>
      </c>
      <c r="B39" s="28" t="s">
        <v>337</v>
      </c>
      <c r="C39" s="53" t="n">
        <f aca="false">SUMIFS('6. Ventas'!$E$8:$E$407,'6. Ventas'!$A$8:$A$407,"&gt;="&amp;$C$5,'6. Ventas'!$A$8:$A$407,"&lt;"&amp;$C$6,'6. Ventas'!$B$8:$B$407,$A39)</f>
        <v>0</v>
      </c>
      <c r="E39" s="31" t="n">
        <f aca="false">SUMIFS('6. Ventas'!$G$8:$G$407,'6. Ventas'!$A$8:$A$407,"&gt;="&amp;$C$5,'6. Ventas'!$A$8:$A$407,"&lt;"&amp;$C$6,'6. Ventas'!$B$8:$B$407,$A39)</f>
        <v>0</v>
      </c>
      <c r="F39" s="31" t="n">
        <f aca="false">SUMIFS('6. Ventas'!$L$8:$L$407,'6. Ventas'!$A$8:$A$407,"&gt;="&amp;$C$5,'6. Ventas'!$A$8:$A$407,"&lt;"&amp;$C$6,'6. Ventas'!$B$8:$B$407,$A39)</f>
        <v>0</v>
      </c>
    </row>
    <row r="40" customFormat="false" ht="15" hidden="false" customHeight="false" outlineLevel="0" collapsed="false">
      <c r="A40" s="35" t="n">
        <v>11</v>
      </c>
      <c r="B40" s="28" t="s">
        <v>346</v>
      </c>
      <c r="C40" s="53" t="n">
        <f aca="false">SUMIFS('6. Ventas'!$E$8:$E$407,'6. Ventas'!$A$8:$A$407,"&gt;="&amp;$C$5,'6. Ventas'!$A$8:$A$407,"&lt;"&amp;$C$6,'6. Ventas'!$B$8:$B$407,$A40)</f>
        <v>12</v>
      </c>
      <c r="E40" s="31" t="n">
        <f aca="false">SUMIFS('6. Ventas'!$G$8:$G$407,'6. Ventas'!$A$8:$A$407,"&gt;="&amp;$C$5,'6. Ventas'!$A$8:$A$407,"&lt;"&amp;$C$6,'6. Ventas'!$B$8:$B$407,$A40)</f>
        <v>1320</v>
      </c>
      <c r="F40" s="31" t="n">
        <f aca="false">SUMIFS('6. Ventas'!$L$8:$L$407,'6. Ventas'!$A$8:$A$407,"&gt;="&amp;$C$5,'6. Ventas'!$A$8:$A$407,"&lt;"&amp;$C$6,'6. Ventas'!$B$8:$B$407,$A40)</f>
        <v>631.575757575758</v>
      </c>
    </row>
    <row r="41" customFormat="false" ht="15" hidden="false" customHeight="false" outlineLevel="0" collapsed="false">
      <c r="A41" s="35" t="n">
        <v>12</v>
      </c>
      <c r="B41" s="28" t="s">
        <v>353</v>
      </c>
      <c r="C41" s="53" t="n">
        <f aca="false">SUMIFS('6. Ventas'!$E$8:$E$407,'6. Ventas'!$A$8:$A$407,"&gt;="&amp;$C$5,'6. Ventas'!$A$8:$A$407,"&lt;"&amp;$C$6,'6. Ventas'!$B$8:$B$407,$A41)</f>
        <v>0</v>
      </c>
      <c r="E41" s="31" t="n">
        <f aca="false">SUMIFS('6. Ventas'!$G$8:$G$407,'6. Ventas'!$A$8:$A$407,"&gt;="&amp;$C$5,'6. Ventas'!$A$8:$A$407,"&lt;"&amp;$C$6,'6. Ventas'!$B$8:$B$407,$A41)</f>
        <v>0</v>
      </c>
      <c r="F41" s="31" t="n">
        <f aca="false">SUMIFS('6. Ventas'!$L$8:$L$407,'6. Ventas'!$A$8:$A$407,"&gt;="&amp;$C$5,'6. Ventas'!$A$8:$A$407,"&lt;"&amp;$C$6,'6. Ventas'!$B$8:$B$407,$A41)</f>
        <v>0</v>
      </c>
    </row>
    <row r="42" customFormat="false" ht="15" hidden="false" customHeight="false" outlineLevel="0" collapsed="false">
      <c r="A42" s="35" t="n">
        <v>13</v>
      </c>
      <c r="B42" s="28" t="s">
        <v>358</v>
      </c>
      <c r="C42" s="53" t="n">
        <f aca="false">SUMIFS('6. Ventas'!$E$8:$E$407,'6. Ventas'!$A$8:$A$407,"&gt;="&amp;$C$5,'6. Ventas'!$A$8:$A$407,"&lt;"&amp;$C$6,'6. Ventas'!$B$8:$B$407,$A42)</f>
        <v>0</v>
      </c>
      <c r="E42" s="31" t="n">
        <f aca="false">SUMIFS('6. Ventas'!$G$8:$G$407,'6. Ventas'!$A$8:$A$407,"&gt;="&amp;$C$5,'6. Ventas'!$A$8:$A$407,"&lt;"&amp;$C$6,'6. Ventas'!$B$8:$B$407,$A42)</f>
        <v>0</v>
      </c>
      <c r="F42" s="31" t="n">
        <f aca="false">SUMIFS('6. Ventas'!$L$8:$L$407,'6. Ventas'!$A$8:$A$407,"&gt;="&amp;$C$5,'6. Ventas'!$A$8:$A$407,"&lt;"&amp;$C$6,'6. Ventas'!$B$8:$B$407,$A42)</f>
        <v>0</v>
      </c>
    </row>
    <row r="43" customFormat="false" ht="15" hidden="false" customHeight="false" outlineLevel="0" collapsed="false">
      <c r="A43" s="35" t="n">
        <v>14</v>
      </c>
      <c r="B43" s="28" t="s">
        <v>361</v>
      </c>
      <c r="C43" s="53" t="n">
        <f aca="false">SUMIFS('6. Ventas'!$E$8:$E$407,'6. Ventas'!$A$8:$A$407,"&gt;="&amp;$C$5,'6. Ventas'!$A$8:$A$407,"&lt;"&amp;$C$6,'6. Ventas'!$B$8:$B$407,$A43)</f>
        <v>0</v>
      </c>
      <c r="E43" s="31" t="n">
        <f aca="false">SUMIFS('6. Ventas'!$G$8:$G$407,'6. Ventas'!$A$8:$A$407,"&gt;="&amp;$C$5,'6. Ventas'!$A$8:$A$407,"&lt;"&amp;$C$6,'6. Ventas'!$B$8:$B$407,$A43)</f>
        <v>0</v>
      </c>
      <c r="F43" s="31" t="n">
        <f aca="false">SUMIFS('6. Ventas'!$L$8:$L$407,'6. Ventas'!$A$8:$A$407,"&gt;="&amp;$C$5,'6. Ventas'!$A$8:$A$407,"&lt;"&amp;$C$6,'6. Ventas'!$B$8:$B$407,$A43)</f>
        <v>0</v>
      </c>
    </row>
    <row r="44" customFormat="false" ht="15" hidden="false" customHeight="false" outlineLevel="0" collapsed="false">
      <c r="A44" s="35" t="n">
        <v>15</v>
      </c>
      <c r="B44" s="28" t="s">
        <v>366</v>
      </c>
      <c r="C44" s="53" t="n">
        <f aca="false">SUMIFS('6. Ventas'!$E$8:$E$407,'6. Ventas'!$A$8:$A$407,"&gt;="&amp;$C$5,'6. Ventas'!$A$8:$A$407,"&lt;"&amp;$C$6,'6. Ventas'!$B$8:$B$407,$A44)</f>
        <v>0</v>
      </c>
      <c r="E44" s="31" t="n">
        <f aca="false">SUMIFS('6. Ventas'!$G$8:$G$407,'6. Ventas'!$A$8:$A$407,"&gt;="&amp;$C$5,'6. Ventas'!$A$8:$A$407,"&lt;"&amp;$C$6,'6. Ventas'!$B$8:$B$407,$A44)</f>
        <v>0</v>
      </c>
      <c r="F44" s="31" t="n">
        <f aca="false">SUMIFS('6. Ventas'!$L$8:$L$407,'6. Ventas'!$A$8:$A$407,"&gt;="&amp;$C$5,'6. Ventas'!$A$8:$A$407,"&lt;"&amp;$C$6,'6. Ventas'!$B$8:$B$407,$A44)</f>
        <v>0</v>
      </c>
    </row>
    <row r="45" customFormat="false" ht="15" hidden="false" customHeight="false" outlineLevel="0" collapsed="false">
      <c r="A45" s="35" t="n">
        <v>16</v>
      </c>
      <c r="B45" s="28" t="s">
        <v>373</v>
      </c>
      <c r="C45" s="53" t="n">
        <f aca="false">SUMIFS('6. Ventas'!$E$8:$E$407,'6. Ventas'!$A$8:$A$407,"&gt;="&amp;$C$5,'6. Ventas'!$A$8:$A$407,"&lt;"&amp;$C$6,'6. Ventas'!$B$8:$B$407,$A45)</f>
        <v>0</v>
      </c>
      <c r="E45" s="31" t="n">
        <f aca="false">SUMIFS('6. Ventas'!$G$8:$G$407,'6. Ventas'!$A$8:$A$407,"&gt;="&amp;$C$5,'6. Ventas'!$A$8:$A$407,"&lt;"&amp;$C$6,'6. Ventas'!$B$8:$B$407,$A45)</f>
        <v>0</v>
      </c>
      <c r="F45" s="31" t="n">
        <f aca="false">SUMIFS('6. Ventas'!$L$8:$L$407,'6. Ventas'!$A$8:$A$407,"&gt;="&amp;$C$5,'6. Ventas'!$A$8:$A$407,"&lt;"&amp;$C$6,'6. Ventas'!$B$8:$B$407,$A45)</f>
        <v>0</v>
      </c>
    </row>
    <row r="46" customFormat="false" ht="15" hidden="false" customHeight="false" outlineLevel="0" collapsed="false">
      <c r="A46" s="35" t="n">
        <v>17</v>
      </c>
      <c r="B46" s="28" t="s">
        <v>378</v>
      </c>
      <c r="C46" s="53" t="n">
        <f aca="false">SUMIFS('6. Ventas'!$E$8:$E$407,'6. Ventas'!$A$8:$A$407,"&gt;="&amp;$C$5,'6. Ventas'!$A$8:$A$407,"&lt;"&amp;$C$6,'6. Ventas'!$B$8:$B$407,$A46)</f>
        <v>0</v>
      </c>
      <c r="E46" s="31" t="n">
        <f aca="false">SUMIFS('6. Ventas'!$G$8:$G$407,'6. Ventas'!$A$8:$A$407,"&gt;="&amp;$C$5,'6. Ventas'!$A$8:$A$407,"&lt;"&amp;$C$6,'6. Ventas'!$B$8:$B$407,$A46)</f>
        <v>0</v>
      </c>
      <c r="F46" s="31" t="n">
        <f aca="false">SUMIFS('6. Ventas'!$L$8:$L$407,'6. Ventas'!$A$8:$A$407,"&gt;="&amp;$C$5,'6. Ventas'!$A$8:$A$407,"&lt;"&amp;$C$6,'6. Ventas'!$B$8:$B$407,$A46)</f>
        <v>0</v>
      </c>
    </row>
    <row r="47" customFormat="false" ht="15" hidden="false" customHeight="false" outlineLevel="0" collapsed="false">
      <c r="A47" s="35" t="n">
        <v>18</v>
      </c>
      <c r="B47" s="28" t="s">
        <v>386</v>
      </c>
      <c r="C47" s="53" t="n">
        <f aca="false">SUMIFS('6. Ventas'!$E$8:$E$407,'6. Ventas'!$A$8:$A$407,"&gt;="&amp;$C$5,'6. Ventas'!$A$8:$A$407,"&lt;"&amp;$C$6,'6. Ventas'!$B$8:$B$407,$A47)</f>
        <v>0</v>
      </c>
      <c r="E47" s="31" t="n">
        <f aca="false">SUMIFS('6. Ventas'!$G$8:$G$407,'6. Ventas'!$A$8:$A$407,"&gt;="&amp;$C$5,'6. Ventas'!$A$8:$A$407,"&lt;"&amp;$C$6,'6. Ventas'!$B$8:$B$407,$A47)</f>
        <v>0</v>
      </c>
      <c r="F47" s="31" t="n">
        <f aca="false">SUMIFS('6. Ventas'!$L$8:$L$407,'6. Ventas'!$A$8:$A$407,"&gt;="&amp;$C$5,'6. Ventas'!$A$8:$A$407,"&lt;"&amp;$C$6,'6. Ventas'!$B$8:$B$407,$A47)</f>
        <v>0</v>
      </c>
    </row>
    <row r="48" customFormat="false" ht="15" hidden="false" customHeight="false" outlineLevel="0" collapsed="false">
      <c r="A48" s="35" t="n">
        <v>19</v>
      </c>
      <c r="B48" s="28" t="s">
        <v>390</v>
      </c>
      <c r="C48" s="53" t="n">
        <f aca="false">SUMIFS('6. Ventas'!$E$8:$E$407,'6. Ventas'!$A$8:$A$407,"&gt;="&amp;$C$5,'6. Ventas'!$A$8:$A$407,"&lt;"&amp;$C$6,'6. Ventas'!$B$8:$B$407,$A48)</f>
        <v>0</v>
      </c>
      <c r="E48" s="31" t="n">
        <f aca="false">SUMIFS('6. Ventas'!$G$8:$G$407,'6. Ventas'!$A$8:$A$407,"&gt;="&amp;$C$5,'6. Ventas'!$A$8:$A$407,"&lt;"&amp;$C$6,'6. Ventas'!$B$8:$B$407,$A48)</f>
        <v>0</v>
      </c>
      <c r="F48" s="31" t="n">
        <f aca="false">SUMIFS('6. Ventas'!$L$8:$L$407,'6. Ventas'!$A$8:$A$407,"&gt;="&amp;$C$5,'6. Ventas'!$A$8:$A$407,"&lt;"&amp;$C$6,'6. Ventas'!$B$8:$B$407,$A48)</f>
        <v>0</v>
      </c>
    </row>
    <row r="49" customFormat="false" ht="15" hidden="false" customHeight="false" outlineLevel="0" collapsed="false">
      <c r="A49" s="35" t="n">
        <v>20</v>
      </c>
      <c r="B49" s="28" t="s">
        <v>392</v>
      </c>
      <c r="C49" s="53" t="n">
        <f aca="false">SUMIFS('6. Ventas'!$E$8:$E$407,'6. Ventas'!$A$8:$A$407,"&gt;="&amp;$C$5,'6. Ventas'!$A$8:$A$407,"&lt;"&amp;$C$6,'6. Ventas'!$B$8:$B$407,$A49)</f>
        <v>0</v>
      </c>
      <c r="E49" s="31" t="n">
        <f aca="false">SUMIFS('6. Ventas'!$G$8:$G$407,'6. Ventas'!$A$8:$A$407,"&gt;="&amp;$C$5,'6. Ventas'!$A$8:$A$407,"&lt;"&amp;$C$6,'6. Ventas'!$B$8:$B$407,$A49)</f>
        <v>0</v>
      </c>
      <c r="F49" s="31" t="n">
        <f aca="false">SUMIFS('6. Ventas'!$L$8:$L$407,'6. Ventas'!$A$8:$A$407,"&gt;="&amp;$C$5,'6. Ventas'!$A$8:$A$407,"&lt;"&amp;$C$6,'6. Ventas'!$B$8:$B$407,$A49)</f>
        <v>0</v>
      </c>
    </row>
    <row r="50" customFormat="false" ht="15" hidden="false" customHeight="false" outlineLevel="0" collapsed="false">
      <c r="A50" s="35" t="n">
        <v>21</v>
      </c>
      <c r="B50" s="28" t="s">
        <v>396</v>
      </c>
      <c r="C50" s="53" t="n">
        <f aca="false">SUMIFS('6. Ventas'!$E$8:$E$407,'6. Ventas'!$A$8:$A$407,"&gt;="&amp;$C$5,'6. Ventas'!$A$8:$A$407,"&lt;"&amp;$C$6,'6. Ventas'!$B$8:$B$407,$A50)</f>
        <v>0</v>
      </c>
      <c r="E50" s="31" t="n">
        <f aca="false">SUMIFS('6. Ventas'!$G$8:$G$407,'6. Ventas'!$A$8:$A$407,"&gt;="&amp;$C$5,'6. Ventas'!$A$8:$A$407,"&lt;"&amp;$C$6,'6. Ventas'!$B$8:$B$407,$A50)</f>
        <v>0</v>
      </c>
      <c r="F50" s="31" t="n">
        <f aca="false">SUMIFS('6. Ventas'!$L$8:$L$407,'6. Ventas'!$A$8:$A$407,"&gt;="&amp;$C$5,'6. Ventas'!$A$8:$A$407,"&lt;"&amp;$C$6,'6. Ventas'!$B$8:$B$407,$A50)</f>
        <v>0</v>
      </c>
    </row>
    <row r="51" customFormat="false" ht="15" hidden="false" customHeight="false" outlineLevel="0" collapsed="false">
      <c r="A51" s="35" t="n">
        <v>22</v>
      </c>
      <c r="B51" s="28" t="s">
        <v>406</v>
      </c>
      <c r="C51" s="53" t="n">
        <f aca="false">SUMIFS('6. Ventas'!$E$8:$E$407,'6. Ventas'!$A$8:$A$407,"&gt;="&amp;$C$5,'6. Ventas'!$A$8:$A$407,"&lt;"&amp;$C$6,'6. Ventas'!$B$8:$B$407,$A51)</f>
        <v>0</v>
      </c>
      <c r="E51" s="31" t="n">
        <f aca="false">SUMIFS('6. Ventas'!$G$8:$G$407,'6. Ventas'!$A$8:$A$407,"&gt;="&amp;$C$5,'6. Ventas'!$A$8:$A$407,"&lt;"&amp;$C$6,'6. Ventas'!$B$8:$B$407,$A51)</f>
        <v>0</v>
      </c>
      <c r="F51" s="31" t="n">
        <f aca="false">SUMIFS('6. Ventas'!$L$8:$L$407,'6. Ventas'!$A$8:$A$407,"&gt;="&amp;$C$5,'6. Ventas'!$A$8:$A$407,"&lt;"&amp;$C$6,'6. Ventas'!$B$8:$B$407,$A51)</f>
        <v>0</v>
      </c>
    </row>
    <row r="52" customFormat="false" ht="15" hidden="false" customHeight="false" outlineLevel="0" collapsed="false">
      <c r="A52" s="35" t="n">
        <v>23</v>
      </c>
      <c r="B52" s="28" t="s">
        <v>412</v>
      </c>
      <c r="C52" s="53" t="n">
        <f aca="false">SUMIFS('6. Ventas'!$E$8:$E$407,'6. Ventas'!$A$8:$A$407,"&gt;="&amp;$C$5,'6. Ventas'!$A$8:$A$407,"&lt;"&amp;$C$6,'6. Ventas'!$B$8:$B$407,$A52)</f>
        <v>0</v>
      </c>
      <c r="E52" s="31" t="n">
        <f aca="false">SUMIFS('6. Ventas'!$G$8:$G$407,'6. Ventas'!$A$8:$A$407,"&gt;="&amp;$C$5,'6. Ventas'!$A$8:$A$407,"&lt;"&amp;$C$6,'6. Ventas'!$B$8:$B$407,$A52)</f>
        <v>0</v>
      </c>
      <c r="F52" s="31" t="n">
        <f aca="false">SUMIFS('6. Ventas'!$L$8:$L$407,'6. Ventas'!$A$8:$A$407,"&gt;="&amp;$C$5,'6. Ventas'!$A$8:$A$407,"&lt;"&amp;$C$6,'6. Ventas'!$B$8:$B$407,$A52)</f>
        <v>0</v>
      </c>
    </row>
    <row r="53" customFormat="false" ht="15" hidden="false" customHeight="false" outlineLevel="0" collapsed="false">
      <c r="A53" s="35" t="n">
        <v>24</v>
      </c>
      <c r="B53" s="28" t="s">
        <v>420</v>
      </c>
      <c r="C53" s="53" t="n">
        <f aca="false">SUMIFS('6. Ventas'!$E$8:$E$407,'6. Ventas'!$A$8:$A$407,"&gt;="&amp;$C$5,'6. Ventas'!$A$8:$A$407,"&lt;"&amp;$C$6,'6. Ventas'!$B$8:$B$407,$A53)</f>
        <v>0</v>
      </c>
      <c r="E53" s="31" t="n">
        <f aca="false">SUMIFS('6. Ventas'!$G$8:$G$407,'6. Ventas'!$A$8:$A$407,"&gt;="&amp;$C$5,'6. Ventas'!$A$8:$A$407,"&lt;"&amp;$C$6,'6. Ventas'!$B$8:$B$407,$A53)</f>
        <v>0</v>
      </c>
      <c r="F53" s="31" t="n">
        <f aca="false">SUMIFS('6. Ventas'!$L$8:$L$407,'6. Ventas'!$A$8:$A$407,"&gt;="&amp;$C$5,'6. Ventas'!$A$8:$A$407,"&lt;"&amp;$C$6,'6. Ventas'!$B$8:$B$407,$A53)</f>
        <v>0</v>
      </c>
    </row>
    <row r="54" customFormat="false" ht="15" hidden="false" customHeight="false" outlineLevel="0" collapsed="false">
      <c r="A54" s="35" t="n">
        <v>25</v>
      </c>
      <c r="B54" s="28" t="s">
        <v>429</v>
      </c>
      <c r="C54" s="53" t="n">
        <f aca="false">SUMIFS('6. Ventas'!$E$8:$E$407,'6. Ventas'!$A$8:$A$407,"&gt;="&amp;$C$5,'6. Ventas'!$A$8:$A$407,"&lt;"&amp;$C$6,'6. Ventas'!$B$8:$B$407,$A54)</f>
        <v>0</v>
      </c>
      <c r="E54" s="31" t="n">
        <f aca="false">SUMIFS('6. Ventas'!$G$8:$G$407,'6. Ventas'!$A$8:$A$407,"&gt;="&amp;$C$5,'6. Ventas'!$A$8:$A$407,"&lt;"&amp;$C$6,'6. Ventas'!$B$8:$B$407,$A54)</f>
        <v>0</v>
      </c>
      <c r="F54" s="31" t="n">
        <f aca="false">SUMIFS('6. Ventas'!$L$8:$L$407,'6. Ventas'!$A$8:$A$407,"&gt;="&amp;$C$5,'6. Ventas'!$A$8:$A$407,"&lt;"&amp;$C$6,'6. Ventas'!$B$8:$B$407,$A54)</f>
        <v>0</v>
      </c>
    </row>
    <row r="55" customFormat="false" ht="15" hidden="false" customHeight="false" outlineLevel="0" collapsed="false">
      <c r="A55" s="35" t="n">
        <v>26</v>
      </c>
      <c r="B55" s="28" t="s">
        <v>439</v>
      </c>
      <c r="C55" s="53" t="n">
        <f aca="false">SUMIFS('6. Ventas'!$E$8:$E$407,'6. Ventas'!$A$8:$A$407,"&gt;="&amp;$C$5,'6. Ventas'!$A$8:$A$407,"&lt;"&amp;$C$6,'6. Ventas'!$B$8:$B$407,$A55)</f>
        <v>0</v>
      </c>
      <c r="E55" s="31" t="n">
        <f aca="false">SUMIFS('6. Ventas'!$G$8:$G$407,'6. Ventas'!$A$8:$A$407,"&gt;="&amp;$C$5,'6. Ventas'!$A$8:$A$407,"&lt;"&amp;$C$6,'6. Ventas'!$B$8:$B$407,$A55)</f>
        <v>0</v>
      </c>
      <c r="F55" s="31" t="n">
        <f aca="false">SUMIFS('6. Ventas'!$L$8:$L$407,'6. Ventas'!$A$8:$A$407,"&gt;="&amp;$C$5,'6. Ventas'!$A$8:$A$407,"&lt;"&amp;$C$6,'6. Ventas'!$B$8:$B$407,$A55)</f>
        <v>0</v>
      </c>
    </row>
    <row r="56" customFormat="false" ht="15" hidden="false" customHeight="false" outlineLevel="0" collapsed="false">
      <c r="A56" s="35" t="n">
        <v>27</v>
      </c>
      <c r="B56" s="28" t="s">
        <v>447</v>
      </c>
      <c r="C56" s="53" t="n">
        <f aca="false">SUMIFS('6. Ventas'!$E$8:$E$407,'6. Ventas'!$A$8:$A$407,"&gt;="&amp;$C$5,'6. Ventas'!$A$8:$A$407,"&lt;"&amp;$C$6,'6. Ventas'!$B$8:$B$407,$A56)</f>
        <v>0</v>
      </c>
      <c r="E56" s="31" t="n">
        <f aca="false">SUMIFS('6. Ventas'!$G$8:$G$407,'6. Ventas'!$A$8:$A$407,"&gt;="&amp;$C$5,'6. Ventas'!$A$8:$A$407,"&lt;"&amp;$C$6,'6. Ventas'!$B$8:$B$407,$A56)</f>
        <v>0</v>
      </c>
      <c r="F56" s="31" t="n">
        <f aca="false">SUMIFS('6. Ventas'!$L$8:$L$407,'6. Ventas'!$A$8:$A$407,"&gt;="&amp;$C$5,'6. Ventas'!$A$8:$A$407,"&lt;"&amp;$C$6,'6. Ventas'!$B$8:$B$407,$A56)</f>
        <v>0</v>
      </c>
    </row>
    <row r="57" customFormat="false" ht="15" hidden="false" customHeight="false" outlineLevel="0" collapsed="false">
      <c r="A57" s="35" t="n">
        <v>28</v>
      </c>
      <c r="B57" s="28" t="s">
        <v>457</v>
      </c>
      <c r="C57" s="53" t="n">
        <f aca="false">SUMIFS('6. Ventas'!$E$8:$E$407,'6. Ventas'!$A$8:$A$407,"&gt;="&amp;$C$5,'6. Ventas'!$A$8:$A$407,"&lt;"&amp;$C$6,'6. Ventas'!$B$8:$B$407,$A57)</f>
        <v>0</v>
      </c>
      <c r="E57" s="31" t="n">
        <f aca="false">SUMIFS('6. Ventas'!$G$8:$G$407,'6. Ventas'!$A$8:$A$407,"&gt;="&amp;$C$5,'6. Ventas'!$A$8:$A$407,"&lt;"&amp;$C$6,'6. Ventas'!$B$8:$B$407,$A57)</f>
        <v>0</v>
      </c>
      <c r="F57" s="31" t="n">
        <f aca="false">SUMIFS('6. Ventas'!$L$8:$L$407,'6. Ventas'!$A$8:$A$407,"&gt;="&amp;$C$5,'6. Ventas'!$A$8:$A$407,"&lt;"&amp;$C$6,'6. Ventas'!$B$8:$B$407,$A57)</f>
        <v>0</v>
      </c>
    </row>
    <row r="58" customFormat="false" ht="15" hidden="false" customHeight="false" outlineLevel="0" collapsed="false">
      <c r="A58" s="35" t="n">
        <v>29</v>
      </c>
      <c r="B58" s="28" t="s">
        <v>466</v>
      </c>
      <c r="C58" s="53" t="n">
        <f aca="false">SUMIFS('6. Ventas'!$E$8:$E$407,'6. Ventas'!$A$8:$A$407,"&gt;="&amp;$C$5,'6. Ventas'!$A$8:$A$407,"&lt;"&amp;$C$6,'6. Ventas'!$B$8:$B$407,$A58)</f>
        <v>0</v>
      </c>
      <c r="E58" s="31" t="n">
        <f aca="false">SUMIFS('6. Ventas'!$G$8:$G$407,'6. Ventas'!$A$8:$A$407,"&gt;="&amp;$C$5,'6. Ventas'!$A$8:$A$407,"&lt;"&amp;$C$6,'6. Ventas'!$B$8:$B$407,$A58)</f>
        <v>0</v>
      </c>
      <c r="F58" s="31" t="n">
        <f aca="false">SUMIFS('6. Ventas'!$L$8:$L$407,'6. Ventas'!$A$8:$A$407,"&gt;="&amp;$C$5,'6. Ventas'!$A$8:$A$407,"&lt;"&amp;$C$6,'6. Ventas'!$B$8:$B$407,$A58)</f>
        <v>0</v>
      </c>
    </row>
    <row r="59" customFormat="false" ht="15" hidden="false" customHeight="false" outlineLevel="0" collapsed="false">
      <c r="A59" s="35" t="n">
        <v>30</v>
      </c>
      <c r="B59" s="28" t="s">
        <v>475</v>
      </c>
      <c r="C59" s="53" t="n">
        <f aca="false">SUMIFS('6. Ventas'!$E$8:$E$407,'6. Ventas'!$A$8:$A$407,"&gt;="&amp;$C$5,'6. Ventas'!$A$8:$A$407,"&lt;"&amp;$C$6,'6. Ventas'!$B$8:$B$407,$A59)</f>
        <v>0</v>
      </c>
      <c r="E59" s="31" t="n">
        <f aca="false">SUMIFS('6. Ventas'!$G$8:$G$407,'6. Ventas'!$A$8:$A$407,"&gt;="&amp;$C$5,'6. Ventas'!$A$8:$A$407,"&lt;"&amp;$C$6,'6. Ventas'!$B$8:$B$407,$A59)</f>
        <v>0</v>
      </c>
      <c r="F59" s="31" t="n">
        <f aca="false">SUMIFS('6. Ventas'!$L$8:$L$407,'6. Ventas'!$A$8:$A$407,"&gt;="&amp;$C$5,'6. Ventas'!$A$8:$A$407,"&lt;"&amp;$C$6,'6. Ventas'!$B$8:$B$407,$A59)</f>
        <v>0</v>
      </c>
    </row>
    <row r="60" customFormat="false" ht="15" hidden="false" customHeight="false" outlineLevel="0" collapsed="false">
      <c r="A60" s="35" t="n">
        <v>31</v>
      </c>
      <c r="B60" s="28" t="s">
        <v>483</v>
      </c>
      <c r="C60" s="53" t="n">
        <f aca="false">SUMIFS('6. Ventas'!$E$8:$E$407,'6. Ventas'!$A$8:$A$407,"&gt;="&amp;$C$5,'6. Ventas'!$A$8:$A$407,"&lt;"&amp;$C$6,'6. Ventas'!$B$8:$B$407,$A60)</f>
        <v>0</v>
      </c>
      <c r="E60" s="31" t="n">
        <f aca="false">SUMIFS('6. Ventas'!$G$8:$G$407,'6. Ventas'!$A$8:$A$407,"&gt;="&amp;$C$5,'6. Ventas'!$A$8:$A$407,"&lt;"&amp;$C$6,'6. Ventas'!$B$8:$B$407,$A60)</f>
        <v>0</v>
      </c>
      <c r="F60" s="31" t="n">
        <f aca="false">SUMIFS('6. Ventas'!$L$8:$L$407,'6. Ventas'!$A$8:$A$407,"&gt;="&amp;$C$5,'6. Ventas'!$A$8:$A$407,"&lt;"&amp;$C$6,'6. Ventas'!$B$8:$B$407,$A60)</f>
        <v>0</v>
      </c>
    </row>
    <row r="61" customFormat="false" ht="15" hidden="false" customHeight="false" outlineLevel="0" collapsed="false">
      <c r="A61" s="35" t="n">
        <v>32</v>
      </c>
      <c r="B61" s="28" t="s">
        <v>490</v>
      </c>
      <c r="C61" s="53" t="n">
        <f aca="false">SUMIFS('6. Ventas'!$E$8:$E$407,'6. Ventas'!$A$8:$A$407,"&gt;="&amp;$C$5,'6. Ventas'!$A$8:$A$407,"&lt;"&amp;$C$6,'6. Ventas'!$B$8:$B$407,$A61)</f>
        <v>0</v>
      </c>
      <c r="E61" s="31" t="n">
        <f aca="false">SUMIFS('6. Ventas'!$G$8:$G$407,'6. Ventas'!$A$8:$A$407,"&gt;="&amp;$C$5,'6. Ventas'!$A$8:$A$407,"&lt;"&amp;$C$6,'6. Ventas'!$B$8:$B$407,$A61)</f>
        <v>0</v>
      </c>
      <c r="F61" s="31" t="n">
        <f aca="false">SUMIFS('6. Ventas'!$L$8:$L$407,'6. Ventas'!$A$8:$A$407,"&gt;="&amp;$C$5,'6. Ventas'!$A$8:$A$407,"&lt;"&amp;$C$6,'6. Ventas'!$B$8:$B$407,$A61)</f>
        <v>0</v>
      </c>
    </row>
    <row r="62" customFormat="false" ht="15" hidden="false" customHeight="false" outlineLevel="0" collapsed="false">
      <c r="A62" s="35" t="n">
        <v>33</v>
      </c>
      <c r="B62" s="28" t="s">
        <v>498</v>
      </c>
      <c r="C62" s="53" t="n">
        <f aca="false">SUMIFS('6. Ventas'!$E$8:$E$407,'6. Ventas'!$A$8:$A$407,"&gt;="&amp;$C$5,'6. Ventas'!$A$8:$A$407,"&lt;"&amp;$C$6,'6. Ventas'!$B$8:$B$407,$A62)</f>
        <v>0</v>
      </c>
      <c r="E62" s="31" t="n">
        <f aca="false">SUMIFS('6. Ventas'!$G$8:$G$407,'6. Ventas'!$A$8:$A$407,"&gt;="&amp;$C$5,'6. Ventas'!$A$8:$A$407,"&lt;"&amp;$C$6,'6. Ventas'!$B$8:$B$407,$A62)</f>
        <v>0</v>
      </c>
      <c r="F62" s="31" t="n">
        <f aca="false">SUMIFS('6. Ventas'!$L$8:$L$407,'6. Ventas'!$A$8:$A$407,"&gt;="&amp;$C$5,'6. Ventas'!$A$8:$A$407,"&lt;"&amp;$C$6,'6. Ventas'!$B$8:$B$407,$A62)</f>
        <v>0</v>
      </c>
    </row>
    <row r="63" customFormat="false" ht="15" hidden="false" customHeight="false" outlineLevel="0" collapsed="false">
      <c r="A63" s="35" t="n">
        <v>34</v>
      </c>
      <c r="B63" s="28" t="s">
        <v>504</v>
      </c>
      <c r="C63" s="53" t="n">
        <f aca="false">SUMIFS('6. Ventas'!$E$8:$E$407,'6. Ventas'!$A$8:$A$407,"&gt;="&amp;$C$5,'6. Ventas'!$A$8:$A$407,"&lt;"&amp;$C$6,'6. Ventas'!$B$8:$B$407,$A63)</f>
        <v>0</v>
      </c>
      <c r="E63" s="31" t="n">
        <f aca="false">SUMIFS('6. Ventas'!$G$8:$G$407,'6. Ventas'!$A$8:$A$407,"&gt;="&amp;$C$5,'6. Ventas'!$A$8:$A$407,"&lt;"&amp;$C$6,'6. Ventas'!$B$8:$B$407,$A63)</f>
        <v>0</v>
      </c>
      <c r="F63" s="31" t="n">
        <f aca="false">SUMIFS('6. Ventas'!$L$8:$L$407,'6. Ventas'!$A$8:$A$407,"&gt;="&amp;$C$5,'6. Ventas'!$A$8:$A$407,"&lt;"&amp;$C$6,'6. Ventas'!$B$8:$B$407,$A63)</f>
        <v>0</v>
      </c>
    </row>
    <row r="64" customFormat="false" ht="15" hidden="false" customHeight="false" outlineLevel="0" collapsed="false">
      <c r="A64" s="35" t="n">
        <v>35</v>
      </c>
      <c r="B64" s="28" t="s">
        <v>513</v>
      </c>
      <c r="C64" s="53" t="n">
        <f aca="false">SUMIFS('6. Ventas'!$E$8:$E$407,'6. Ventas'!$A$8:$A$407,"&gt;="&amp;$C$5,'6. Ventas'!$A$8:$A$407,"&lt;"&amp;$C$6,'6. Ventas'!$B$8:$B$407,$A64)</f>
        <v>0</v>
      </c>
      <c r="E64" s="31" t="n">
        <f aca="false">SUMIFS('6. Ventas'!$G$8:$G$407,'6. Ventas'!$A$8:$A$407,"&gt;="&amp;$C$5,'6. Ventas'!$A$8:$A$407,"&lt;"&amp;$C$6,'6. Ventas'!$B$8:$B$407,$A64)</f>
        <v>0</v>
      </c>
      <c r="F64" s="31" t="n">
        <f aca="false">SUMIFS('6. Ventas'!$L$8:$L$407,'6. Ventas'!$A$8:$A$407,"&gt;="&amp;$C$5,'6. Ventas'!$A$8:$A$407,"&lt;"&amp;$C$6,'6. Ventas'!$B$8:$B$407,$A64)</f>
        <v>0</v>
      </c>
    </row>
    <row r="65" customFormat="false" ht="15" hidden="false" customHeight="false" outlineLevel="0" collapsed="false">
      <c r="A65" s="35" t="n">
        <v>36</v>
      </c>
      <c r="B65" s="28" t="s">
        <v>519</v>
      </c>
      <c r="C65" s="53" t="n">
        <f aca="false">SUMIFS('6. Ventas'!$E$8:$E$407,'6. Ventas'!$A$8:$A$407,"&gt;="&amp;$C$5,'6. Ventas'!$A$8:$A$407,"&lt;"&amp;$C$6,'6. Ventas'!$B$8:$B$407,$A65)</f>
        <v>0</v>
      </c>
      <c r="E65" s="31" t="n">
        <f aca="false">SUMIFS('6. Ventas'!$G$8:$G$407,'6. Ventas'!$A$8:$A$407,"&gt;="&amp;$C$5,'6. Ventas'!$A$8:$A$407,"&lt;"&amp;$C$6,'6. Ventas'!$B$8:$B$407,$A65)</f>
        <v>0</v>
      </c>
      <c r="F65" s="31" t="n">
        <f aca="false">SUMIFS('6. Ventas'!$L$8:$L$407,'6. Ventas'!$A$8:$A$407,"&gt;="&amp;$C$5,'6. Ventas'!$A$8:$A$407,"&lt;"&amp;$C$6,'6. Ventas'!$B$8:$B$407,$A65)</f>
        <v>0</v>
      </c>
    </row>
    <row r="66" customFormat="false" ht="15" hidden="false" customHeight="false" outlineLevel="0" collapsed="false">
      <c r="A66" s="35" t="n">
        <v>37</v>
      </c>
      <c r="B66" s="28" t="s">
        <v>526</v>
      </c>
      <c r="C66" s="53" t="n">
        <f aca="false">SUMIFS('6. Ventas'!$E$8:$E$407,'6. Ventas'!$A$8:$A$407,"&gt;="&amp;$C$5,'6. Ventas'!$A$8:$A$407,"&lt;"&amp;$C$6,'6. Ventas'!$B$8:$B$407,$A66)</f>
        <v>0</v>
      </c>
      <c r="E66" s="31" t="n">
        <f aca="false">SUMIFS('6. Ventas'!$G$8:$G$407,'6. Ventas'!$A$8:$A$407,"&gt;="&amp;$C$5,'6. Ventas'!$A$8:$A$407,"&lt;"&amp;$C$6,'6. Ventas'!$B$8:$B$407,$A66)</f>
        <v>0</v>
      </c>
      <c r="F66" s="31" t="n">
        <f aca="false">SUMIFS('6. Ventas'!$L$8:$L$407,'6. Ventas'!$A$8:$A$407,"&gt;="&amp;$C$5,'6. Ventas'!$A$8:$A$407,"&lt;"&amp;$C$6,'6. Ventas'!$B$8:$B$407,$A66)</f>
        <v>0</v>
      </c>
    </row>
    <row r="67" customFormat="false" ht="15" hidden="false" customHeight="false" outlineLevel="0" collapsed="false">
      <c r="A67" s="35" t="n">
        <v>38</v>
      </c>
      <c r="B67" s="28" t="s">
        <v>531</v>
      </c>
      <c r="C67" s="53" t="n">
        <f aca="false">SUMIFS('6. Ventas'!$E$8:$E$407,'6. Ventas'!$A$8:$A$407,"&gt;="&amp;$C$5,'6. Ventas'!$A$8:$A$407,"&lt;"&amp;$C$6,'6. Ventas'!$B$8:$B$407,$A67)</f>
        <v>0</v>
      </c>
      <c r="E67" s="31" t="n">
        <f aca="false">SUMIFS('6. Ventas'!$G$8:$G$407,'6. Ventas'!$A$8:$A$407,"&gt;="&amp;$C$5,'6. Ventas'!$A$8:$A$407,"&lt;"&amp;$C$6,'6. Ventas'!$B$8:$B$407,$A67)</f>
        <v>0</v>
      </c>
      <c r="F67" s="31" t="n">
        <f aca="false">SUMIFS('6. Ventas'!$L$8:$L$407,'6. Ventas'!$A$8:$A$407,"&gt;="&amp;$C$5,'6. Ventas'!$A$8:$A$407,"&lt;"&amp;$C$6,'6. Ventas'!$B$8:$B$407,$A67)</f>
        <v>0</v>
      </c>
    </row>
    <row r="68" customFormat="false" ht="15" hidden="false" customHeight="false" outlineLevel="0" collapsed="false">
      <c r="A68" s="35" t="n">
        <v>39</v>
      </c>
      <c r="B68" s="28" t="s">
        <v>540</v>
      </c>
      <c r="C68" s="53" t="n">
        <f aca="false">SUMIFS('6. Ventas'!$E$8:$E$407,'6. Ventas'!$A$8:$A$407,"&gt;="&amp;$C$5,'6. Ventas'!$A$8:$A$407,"&lt;"&amp;$C$6,'6. Ventas'!$B$8:$B$407,$A68)</f>
        <v>0</v>
      </c>
      <c r="E68" s="31" t="n">
        <f aca="false">SUMIFS('6. Ventas'!$G$8:$G$407,'6. Ventas'!$A$8:$A$407,"&gt;="&amp;$C$5,'6. Ventas'!$A$8:$A$407,"&lt;"&amp;$C$6,'6. Ventas'!$B$8:$B$407,$A68)</f>
        <v>0</v>
      </c>
      <c r="F68" s="31" t="n">
        <f aca="false">SUMIFS('6. Ventas'!$L$8:$L$407,'6. Ventas'!$A$8:$A$407,"&gt;="&amp;$C$5,'6. Ventas'!$A$8:$A$407,"&lt;"&amp;$C$6,'6. Ventas'!$B$8:$B$407,$A68)</f>
        <v>0</v>
      </c>
    </row>
    <row r="69" customFormat="false" ht="15" hidden="false" customHeight="false" outlineLevel="0" collapsed="false">
      <c r="A69" s="35" t="n">
        <v>40</v>
      </c>
      <c r="B69" s="28" t="s">
        <v>547</v>
      </c>
      <c r="C69" s="53" t="n">
        <f aca="false">SUMIFS('6. Ventas'!$E$8:$E$407,'6. Ventas'!$A$8:$A$407,"&gt;="&amp;$C$5,'6. Ventas'!$A$8:$A$407,"&lt;"&amp;$C$6,'6. Ventas'!$B$8:$B$407,$A69)</f>
        <v>0</v>
      </c>
      <c r="E69" s="31" t="n">
        <f aca="false">SUMIFS('6. Ventas'!$G$8:$G$407,'6. Ventas'!$A$8:$A$407,"&gt;="&amp;$C$5,'6. Ventas'!$A$8:$A$407,"&lt;"&amp;$C$6,'6. Ventas'!$B$8:$B$407,$A69)</f>
        <v>0</v>
      </c>
      <c r="F69" s="31" t="n">
        <f aca="false">SUMIFS('6. Ventas'!$L$8:$L$407,'6. Ventas'!$A$8:$A$407,"&gt;="&amp;$C$5,'6. Ventas'!$A$8:$A$407,"&lt;"&amp;$C$6,'6. Ventas'!$B$8:$B$407,$A69)</f>
        <v>0</v>
      </c>
    </row>
    <row r="70" customFormat="false" ht="15" hidden="false" customHeight="false" outlineLevel="0" collapsed="false">
      <c r="A70" s="35" t="n">
        <v>41</v>
      </c>
      <c r="B70" s="28" t="s">
        <v>554</v>
      </c>
      <c r="C70" s="53" t="n">
        <f aca="false">SUMIFS('6. Ventas'!$E$8:$E$407,'6. Ventas'!$A$8:$A$407,"&gt;="&amp;$C$5,'6. Ventas'!$A$8:$A$407,"&lt;"&amp;$C$6,'6. Ventas'!$B$8:$B$407,$A70)</f>
        <v>0</v>
      </c>
      <c r="E70" s="31" t="n">
        <f aca="false">SUMIFS('6. Ventas'!$G$8:$G$407,'6. Ventas'!$A$8:$A$407,"&gt;="&amp;$C$5,'6. Ventas'!$A$8:$A$407,"&lt;"&amp;$C$6,'6. Ventas'!$B$8:$B$407,$A70)</f>
        <v>0</v>
      </c>
      <c r="F70" s="31" t="n">
        <f aca="false">SUMIFS('6. Ventas'!$L$8:$L$407,'6. Ventas'!$A$8:$A$407,"&gt;="&amp;$C$5,'6. Ventas'!$A$8:$A$407,"&lt;"&amp;$C$6,'6. Ventas'!$B$8:$B$407,$A70)</f>
        <v>0</v>
      </c>
    </row>
    <row r="71" customFormat="false" ht="15" hidden="false" customHeight="false" outlineLevel="0" collapsed="false">
      <c r="A71" s="35" t="n">
        <v>42</v>
      </c>
      <c r="B71" s="28" t="s">
        <v>559</v>
      </c>
      <c r="C71" s="53" t="n">
        <f aca="false">SUMIFS('6. Ventas'!$E$8:$E$407,'6. Ventas'!$A$8:$A$407,"&gt;="&amp;$C$5,'6. Ventas'!$A$8:$A$407,"&lt;"&amp;$C$6,'6. Ventas'!$B$8:$B$407,$A71)</f>
        <v>6</v>
      </c>
      <c r="E71" s="31" t="n">
        <f aca="false">SUMIFS('6. Ventas'!$G$8:$G$407,'6. Ventas'!$A$8:$A$407,"&gt;="&amp;$C$5,'6. Ventas'!$A$8:$A$407,"&lt;"&amp;$C$6,'6. Ventas'!$B$8:$B$407,$A71)</f>
        <v>570</v>
      </c>
      <c r="F71" s="31" t="n">
        <f aca="false">SUMIFS('6. Ventas'!$L$8:$L$407,'6. Ventas'!$A$8:$A$407,"&gt;="&amp;$C$5,'6. Ventas'!$A$8:$A$407,"&lt;"&amp;$C$6,'6. Ventas'!$B$8:$B$407,$A71)</f>
        <v>99.960606060606</v>
      </c>
    </row>
    <row r="72" customFormat="false" ht="15" hidden="false" customHeight="false" outlineLevel="0" collapsed="false">
      <c r="A72" s="35" t="n">
        <v>43</v>
      </c>
      <c r="B72" s="28" t="s">
        <v>565</v>
      </c>
      <c r="C72" s="53" t="n">
        <f aca="false">SUMIFS('6. Ventas'!$E$8:$E$407,'6. Ventas'!$A$8:$A$407,"&gt;="&amp;$C$5,'6. Ventas'!$A$8:$A$407,"&lt;"&amp;$C$6,'6. Ventas'!$B$8:$B$407,$A72)</f>
        <v>0</v>
      </c>
      <c r="E72" s="31" t="n">
        <f aca="false">SUMIFS('6. Ventas'!$G$8:$G$407,'6. Ventas'!$A$8:$A$407,"&gt;="&amp;$C$5,'6. Ventas'!$A$8:$A$407,"&lt;"&amp;$C$6,'6. Ventas'!$B$8:$B$407,$A72)</f>
        <v>0</v>
      </c>
      <c r="F72" s="31" t="n">
        <f aca="false">SUMIFS('6. Ventas'!$L$8:$L$407,'6. Ventas'!$A$8:$A$407,"&gt;="&amp;$C$5,'6. Ventas'!$A$8:$A$407,"&lt;"&amp;$C$6,'6. Ventas'!$B$8:$B$407,$A72)</f>
        <v>0</v>
      </c>
    </row>
    <row r="73" customFormat="false" ht="15" hidden="false" customHeight="false" outlineLevel="0" collapsed="false">
      <c r="A73" s="35" t="n">
        <v>44</v>
      </c>
      <c r="B73" s="28" t="s">
        <v>569</v>
      </c>
      <c r="C73" s="53" t="n">
        <f aca="false">SUMIFS('6. Ventas'!$E$8:$E$407,'6. Ventas'!$A$8:$A$407,"&gt;="&amp;$C$5,'6. Ventas'!$A$8:$A$407,"&lt;"&amp;$C$6,'6. Ventas'!$B$8:$B$407,$A73)</f>
        <v>0</v>
      </c>
      <c r="E73" s="31" t="n">
        <f aca="false">SUMIFS('6. Ventas'!$G$8:$G$407,'6. Ventas'!$A$8:$A$407,"&gt;="&amp;$C$5,'6. Ventas'!$A$8:$A$407,"&lt;"&amp;$C$6,'6. Ventas'!$B$8:$B$407,$A73)</f>
        <v>0</v>
      </c>
      <c r="F73" s="31" t="n">
        <f aca="false">SUMIFS('6. Ventas'!$L$8:$L$407,'6. Ventas'!$A$8:$A$407,"&gt;="&amp;$C$5,'6. Ventas'!$A$8:$A$407,"&lt;"&amp;$C$6,'6. Ventas'!$B$8:$B$407,$A73)</f>
        <v>0</v>
      </c>
    </row>
    <row r="74" customFormat="false" ht="15" hidden="false" customHeight="false" outlineLevel="0" collapsed="false">
      <c r="A74" s="35" t="n">
        <v>45</v>
      </c>
      <c r="B74" s="28" t="s">
        <v>573</v>
      </c>
      <c r="C74" s="53" t="n">
        <f aca="false">SUMIFS('6. Ventas'!$E$8:$E$407,'6. Ventas'!$A$8:$A$407,"&gt;="&amp;$C$5,'6. Ventas'!$A$8:$A$407,"&lt;"&amp;$C$6,'6. Ventas'!$B$8:$B$407,$A74)</f>
        <v>0</v>
      </c>
      <c r="E74" s="31" t="n">
        <f aca="false">SUMIFS('6. Ventas'!$G$8:$G$407,'6. Ventas'!$A$8:$A$407,"&gt;="&amp;$C$5,'6. Ventas'!$A$8:$A$407,"&lt;"&amp;$C$6,'6. Ventas'!$B$8:$B$407,$A74)</f>
        <v>0</v>
      </c>
      <c r="F74" s="31" t="n">
        <f aca="false">SUMIFS('6. Ventas'!$L$8:$L$407,'6. Ventas'!$A$8:$A$407,"&gt;="&amp;$C$5,'6. Ventas'!$A$8:$A$407,"&lt;"&amp;$C$6,'6. Ventas'!$B$8:$B$407,$A74)</f>
        <v>0</v>
      </c>
    </row>
    <row r="75" customFormat="false" ht="15" hidden="false" customHeight="false" outlineLevel="0" collapsed="false">
      <c r="A75" s="35" t="n">
        <v>46</v>
      </c>
      <c r="B75" s="28" t="s">
        <v>579</v>
      </c>
      <c r="C75" s="53" t="n">
        <f aca="false">SUMIFS('6. Ventas'!$E$8:$E$407,'6. Ventas'!$A$8:$A$407,"&gt;="&amp;$C$5,'6. Ventas'!$A$8:$A$407,"&lt;"&amp;$C$6,'6. Ventas'!$B$8:$B$407,$A75)</f>
        <v>0</v>
      </c>
      <c r="E75" s="31" t="n">
        <f aca="false">SUMIFS('6. Ventas'!$G$8:$G$407,'6. Ventas'!$A$8:$A$407,"&gt;="&amp;$C$5,'6. Ventas'!$A$8:$A$407,"&lt;"&amp;$C$6,'6. Ventas'!$B$8:$B$407,$A75)</f>
        <v>0</v>
      </c>
      <c r="F75" s="31" t="n">
        <f aca="false">SUMIFS('6. Ventas'!$L$8:$L$407,'6. Ventas'!$A$8:$A$407,"&gt;="&amp;$C$5,'6. Ventas'!$A$8:$A$407,"&lt;"&amp;$C$6,'6. Ventas'!$B$8:$B$407,$A75)</f>
        <v>0</v>
      </c>
    </row>
    <row r="76" customFormat="false" ht="15" hidden="false" customHeight="false" outlineLevel="0" collapsed="false">
      <c r="A76" s="35" t="n">
        <v>47</v>
      </c>
      <c r="B76" s="28" t="s">
        <v>586</v>
      </c>
      <c r="C76" s="53" t="n">
        <f aca="false">SUMIFS('6. Ventas'!$E$8:$E$407,'6. Ventas'!$A$8:$A$407,"&gt;="&amp;$C$5,'6. Ventas'!$A$8:$A$407,"&lt;"&amp;$C$6,'6. Ventas'!$B$8:$B$407,$A76)</f>
        <v>0</v>
      </c>
      <c r="E76" s="31" t="n">
        <f aca="false">SUMIFS('6. Ventas'!$G$8:$G$407,'6. Ventas'!$A$8:$A$407,"&gt;="&amp;$C$5,'6. Ventas'!$A$8:$A$407,"&lt;"&amp;$C$6,'6. Ventas'!$B$8:$B$407,$A76)</f>
        <v>0</v>
      </c>
      <c r="F76" s="31" t="n">
        <f aca="false">SUMIFS('6. Ventas'!$L$8:$L$407,'6. Ventas'!$A$8:$A$407,"&gt;="&amp;$C$5,'6. Ventas'!$A$8:$A$407,"&lt;"&amp;$C$6,'6. Ventas'!$B$8:$B$407,$A76)</f>
        <v>0</v>
      </c>
    </row>
    <row r="77" customFormat="false" ht="15" hidden="false" customHeight="false" outlineLevel="0" collapsed="false">
      <c r="A77" s="35" t="n">
        <v>48</v>
      </c>
      <c r="B77" s="28" t="s">
        <v>591</v>
      </c>
      <c r="C77" s="53" t="n">
        <f aca="false">SUMIFS('6. Ventas'!$E$8:$E$407,'6. Ventas'!$A$8:$A$407,"&gt;="&amp;$C$5,'6. Ventas'!$A$8:$A$407,"&lt;"&amp;$C$6,'6. Ventas'!$B$8:$B$407,$A77)</f>
        <v>0</v>
      </c>
      <c r="E77" s="31" t="n">
        <f aca="false">SUMIFS('6. Ventas'!$G$8:$G$407,'6. Ventas'!$A$8:$A$407,"&gt;="&amp;$C$5,'6. Ventas'!$A$8:$A$407,"&lt;"&amp;$C$6,'6. Ventas'!$B$8:$B$407,$A77)</f>
        <v>0</v>
      </c>
      <c r="F77" s="31" t="n">
        <f aca="false">SUMIFS('6. Ventas'!$L$8:$L$407,'6. Ventas'!$A$8:$A$407,"&gt;="&amp;$C$5,'6. Ventas'!$A$8:$A$407,"&lt;"&amp;$C$6,'6. Ventas'!$B$8:$B$407,$A77)</f>
        <v>0</v>
      </c>
    </row>
    <row r="78" customFormat="false" ht="15" hidden="false" customHeight="false" outlineLevel="0" collapsed="false">
      <c r="A78" s="35" t="n">
        <v>49</v>
      </c>
      <c r="B78" s="28" t="s">
        <v>597</v>
      </c>
      <c r="C78" s="53" t="n">
        <f aca="false">SUMIFS('6. Ventas'!$E$8:$E$407,'6. Ventas'!$A$8:$A$407,"&gt;="&amp;$C$5,'6. Ventas'!$A$8:$A$407,"&lt;"&amp;$C$6,'6. Ventas'!$B$8:$B$407,$A78)</f>
        <v>0</v>
      </c>
      <c r="E78" s="31" t="n">
        <f aca="false">SUMIFS('6. Ventas'!$G$8:$G$407,'6. Ventas'!$A$8:$A$407,"&gt;="&amp;$C$5,'6. Ventas'!$A$8:$A$407,"&lt;"&amp;$C$6,'6. Ventas'!$B$8:$B$407,$A78)</f>
        <v>0</v>
      </c>
      <c r="F78" s="31" t="n">
        <f aca="false">SUMIFS('6. Ventas'!$L$8:$L$407,'6. Ventas'!$A$8:$A$407,"&gt;="&amp;$C$5,'6. Ventas'!$A$8:$A$407,"&lt;"&amp;$C$6,'6. Ventas'!$B$8:$B$407,$A78)</f>
        <v>0</v>
      </c>
    </row>
    <row r="79" customFormat="false" ht="15" hidden="false" customHeight="false" outlineLevel="0" collapsed="false">
      <c r="A79" s="35" t="n">
        <v>50</v>
      </c>
      <c r="B79" s="28" t="s">
        <v>607</v>
      </c>
      <c r="C79" s="53" t="n">
        <f aca="false">SUMIFS('6. Ventas'!$E$8:$E$407,'6. Ventas'!$A$8:$A$407,"&gt;="&amp;$C$5,'6. Ventas'!$A$8:$A$407,"&lt;"&amp;$C$6,'6. Ventas'!$B$8:$B$407,$A79)</f>
        <v>0</v>
      </c>
      <c r="E79" s="31" t="n">
        <f aca="false">SUMIFS('6. Ventas'!$G$8:$G$407,'6. Ventas'!$A$8:$A$407,"&gt;="&amp;$C$5,'6. Ventas'!$A$8:$A$407,"&lt;"&amp;$C$6,'6. Ventas'!$B$8:$B$407,$A79)</f>
        <v>0</v>
      </c>
      <c r="F79" s="31" t="n">
        <f aca="false">SUMIFS('6. Ventas'!$L$8:$L$407,'6. Ventas'!$A$8:$A$407,"&gt;="&amp;$C$5,'6. Ventas'!$A$8:$A$407,"&lt;"&amp;$C$6,'6. Ventas'!$B$8:$B$407,$A79)</f>
        <v>0</v>
      </c>
    </row>
    <row r="80" customFormat="false" ht="15" hidden="false" customHeight="false" outlineLevel="0" collapsed="false">
      <c r="A80" s="35" t="n">
        <v>51</v>
      </c>
      <c r="B80" s="28" t="s">
        <v>611</v>
      </c>
      <c r="C80" s="53" t="n">
        <f aca="false">SUMIFS('6. Ventas'!$E$8:$E$407,'6. Ventas'!$A$8:$A$407,"&gt;="&amp;$C$5,'6. Ventas'!$A$8:$A$407,"&lt;"&amp;$C$6,'6. Ventas'!$B$8:$B$407,$A80)</f>
        <v>0</v>
      </c>
      <c r="E80" s="31" t="n">
        <f aca="false">SUMIFS('6. Ventas'!$G$8:$G$407,'6. Ventas'!$A$8:$A$407,"&gt;="&amp;$C$5,'6. Ventas'!$A$8:$A$407,"&lt;"&amp;$C$6,'6. Ventas'!$B$8:$B$407,$A80)</f>
        <v>0</v>
      </c>
      <c r="F80" s="31" t="n">
        <f aca="false">SUMIFS('6. Ventas'!$L$8:$L$407,'6. Ventas'!$A$8:$A$407,"&gt;="&amp;$C$5,'6. Ventas'!$A$8:$A$407,"&lt;"&amp;$C$6,'6. Ventas'!$B$8:$B$407,$A80)</f>
        <v>0</v>
      </c>
    </row>
  </sheetData>
  <autoFilter ref="A29:F80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2026-08-12T19:19:14Z</dcterms:created>
  <dc:creator>openpyxl</dc:creator>
  <dc:description/>
  <dc:language>en-US</dc:language>
  <cp:lastModifiedBy/>
  <dcterms:modified xsi:type="dcterms:W3CDTF">2026-08-12T19:19:15Z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