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éame" sheetId="1" r:id="rId5"/>
    <sheet state="visible" name="1. Insumos" sheetId="2" r:id="rId6"/>
    <sheet state="visible" name="2. Recetas" sheetId="3" r:id="rId7"/>
    <sheet state="visible" name="3. Costeo y Precios" sheetId="4" r:id="rId8"/>
    <sheet state="visible" name="4. Producción y Merma" sheetId="5" r:id="rId9"/>
    <sheet state="visible" name="5. Ventas" sheetId="6" r:id="rId10"/>
    <sheet state="visible" name="6. Gastos Fijos" sheetId="7" r:id="rId11"/>
    <sheet state="visible" name="7. Tablero" sheetId="8" r:id="rId12"/>
  </sheets>
  <definedNames>
    <definedName hidden="1" localSheetId="1" name="_xlnm._FilterDatabase">'1. Insumos'!$A$4:$I$110</definedName>
    <definedName hidden="1" localSheetId="2" name="_xlnm._FilterDatabase">'2. Recetas'!$A$4:$H$275</definedName>
    <definedName hidden="1" localSheetId="3" name="_xlnm._FilterDatabase">'3. Costeo y Precios'!$A$13:$T$63</definedName>
    <definedName hidden="1" localSheetId="4" name="_xlnm._FilterDatabase">'4. Producción y Merma'!$A$7:$L$207</definedName>
    <definedName hidden="1" localSheetId="5" name="_xlnm._FilterDatabase">'5. Ventas'!$A$7:$N$407</definedName>
    <definedName hidden="1" localSheetId="7" name="_xlnm._FilterDatabase">'7. Tablero'!$A$29:$F$79</definedName>
  </definedNames>
  <calcPr/>
</workbook>
</file>

<file path=xl/sharedStrings.xml><?xml version="1.0" encoding="utf-8"?>
<sst xmlns="http://schemas.openxmlformats.org/spreadsheetml/2006/main" count="1724" uniqueCount="499">
  <si>
    <t>VELAS COMESTIBLES · Calculadora de Costos, Merma y Precios</t>
  </si>
  <si>
    <t>1 · CATÁLOGO DE INSUMOS</t>
  </si>
  <si>
    <t>Escribe la presentación que compras y su precio. El costo por unidad se recalcula solo y actualiza las 50 recetas.</t>
  </si>
  <si>
    <t>Endulcora · Estudio Gastronómico — herramienta complementaria del eBook «Velas Comestibles: El Arte de Derretir Sabores»</t>
  </si>
  <si>
    <t>Categoría</t>
  </si>
  <si>
    <t>CÓMO USAR ESTE ARCHIVO</t>
  </si>
  <si>
    <t>Insumo</t>
  </si>
  <si>
    <t>Unidad base</t>
  </si>
  <si>
    <t>Cantidad de la presentación</t>
  </si>
  <si>
    <t>Precio de compra (MXN)</t>
  </si>
  <si>
    <t>Orden de trabajo</t>
  </si>
  <si>
    <t>Costo por unidad (MXN)</t>
  </si>
  <si>
    <t>Proveedor</t>
  </si>
  <si>
    <t>Última actualización</t>
  </si>
  <si>
    <t>1) Actualiza precios en «1. Insumos» → 2) Revisa «3. Costeo y Precios» → 3) Registra cada producción en «4. Producción y Merma» → 4) Registra cada venta en «5. Ventas» → 5) Lee resultados en «7. Tablero».</t>
  </si>
  <si>
    <t>Notas</t>
  </si>
  <si>
    <t>1. Insumos</t>
  </si>
  <si>
    <t>Aceites</t>
  </si>
  <si>
    <t>Catálogo con los 106 insumos que aparecen en las 50 recetas del libro. Escribe la presentación que compras y su precio; el costo por gramo/ml se calcula solo. Los precios vienen precargados como REFERENCIA orientativa (CDMX 2026) y debes reemplazarlos por los tuyos.</t>
  </si>
  <si>
    <t>Aceite de ajonjolí tostado</t>
  </si>
  <si>
    <t>2. Recetas</t>
  </si>
  <si>
    <t>Las 50 formulaciones del libro ya cargadas, con sus 271 líneas de ingredientes. Jala el costo del catálogo y calcula el costo de insumos de cada vela. No necesitas tocar esta hoja salvo que quieras ajustar gramajes.</t>
  </si>
  <si>
    <t>ml</t>
  </si>
  <si>
    <t>3. Costeo y Precios</t>
  </si>
  <si>
    <t>El corazón del archivo. Suma insumos + empaque + energía + mano de obra + overhead, aplica la merma y calcula el precio de venta sugerido para los cuatro canales del libro. Edita solo las columnas azules.</t>
  </si>
  <si>
    <t>4. Producción y Merma</t>
  </si>
  <si>
    <t>Bitácora de cada lote: piezas buenas, piezas falladas, causa y costo real de lo que se perdió. Te dice si tu % de merma supuesto es el verdadero.</t>
  </si>
  <si>
    <t>5. Ventas</t>
  </si>
  <si>
    <t>Bitácora de ventas por pieza y canal, con comisiones de plataforma y utilidad neta automática.</t>
  </si>
  <si>
    <t>6. Gastos Fijos</t>
  </si>
  <si>
    <t>Renta, servicios, publicidad y tu sueldo. De aquí salen el overhead por pieza, el costo por hora de mano de obra y el punto de equilibrio.</t>
  </si>
  <si>
    <t>7. Tablero</t>
  </si>
  <si>
    <t>Resumen del mes que elijas: ingresos, utilidad, margen, merma, ranking de recetas y avance hacia el punto de equilibrio.</t>
  </si>
  <si>
    <t>CÓDIGO DE COLORES</t>
  </si>
  <si>
    <t>Texto azul sobre fondo crema</t>
  </si>
  <si>
    <t>Celda que TÚ editas (dato de entrada). Es lo único que debes escribir.</t>
  </si>
  <si>
    <t>Texto negro</t>
  </si>
  <si>
    <t>Fórmula automática. No la borres.</t>
  </si>
  <si>
    <t>Texto verde</t>
  </si>
  <si>
    <t>3 · COSTEO Y PRECIO DE VENTA POR RECETA</t>
  </si>
  <si>
    <t>Dato que viene de otra hoja del mismo archivo.</t>
  </si>
  <si>
    <t>Fondo amarillo</t>
  </si>
  <si>
    <t>Supuesto clave: revísalo antes de fijar precios.</t>
  </si>
  <si>
    <t>FÓRMULAS QUE USA (Cap. 10 del libro)</t>
  </si>
  <si>
    <t>Costo por unidad</t>
  </si>
  <si>
    <t>Precio de compra ÷ Cantidad de la presentación</t>
  </si>
  <si>
    <t>2 · RECETAS (LISTA DE MATERIALES)</t>
  </si>
  <si>
    <t>Costo de insumos</t>
  </si>
  <si>
    <t>Suma de (cantidad × costo por gramo) de cada ingrediente</t>
  </si>
  <si>
    <t>Edita solo las columnas azules: empaque, energía, minutos de trabajo y % de merma. Todo lo demás se calcula.</t>
  </si>
  <si>
    <t>Costo base</t>
  </si>
  <si>
    <t>Insumos + Empaque + Energía + Mano de obra + Overhead</t>
  </si>
  <si>
    <t>PARÁMETROS GLOBALES  ·  márgenes recomendados por canal (Cap. 10.3 del eBook)</t>
  </si>
  <si>
    <t>Costo total unitario</t>
  </si>
  <si>
    <t>Costo base ÷ (1 − % merma)   ← se divide, no se suma</t>
  </si>
  <si>
    <t>Precio de venta (PVP)</t>
  </si>
  <si>
    <t>Margen objetivo — Regalo gourmet (menudeo)</t>
  </si>
  <si>
    <t>Costo total ÷ (1 − margen objetivo)</t>
  </si>
  <si>
    <t>Utilidad por pieza</t>
  </si>
  <si>
    <t>PVP − Costo total unitario</t>
  </si>
  <si>
    <t>Punto de equilibrio</t>
  </si>
  <si>
    <t>Gastos fijos ÷ (Precio promedio − Costo total unitario promedio)</t>
  </si>
  <si>
    <t>ADVERTENCIAS</t>
  </si>
  <si>
    <t>Rango del libro: 55 % – 70 %</t>
  </si>
  <si>
    <t>Precio de referencia — actualízalo</t>
  </si>
  <si>
    <t>Las 50 formulaciones del eBook. Ajusta la columna «Cantidad» solo si modificas la receta original.</t>
  </si>
  <si>
    <t>Precios de referencia</t>
  </si>
  <si>
    <t>Margen objetivo — Restaurante (platillo de firma)</t>
  </si>
  <si>
    <t>Los precios precargados en «1. Insumos» son estimaciones de mercado, NO cotizaciones. Actualízalos con tus tickets reales antes de tomar cualquier decisión de precio.</t>
  </si>
  <si>
    <t>Rango del libro: 65 % – 80 %</t>
  </si>
  <si>
    <t>Aceite de oliva virgen extra</t>
  </si>
  <si>
    <t>Nº</t>
  </si>
  <si>
    <t>Margen objetivo — Recuerdo de evento personalizado</t>
  </si>
  <si>
    <t>Merma por nivel</t>
  </si>
  <si>
    <t>Principiante 15–25 % · Intermedio 8–15 % · Avanzado 3–8 %. El archivo arranca en 15 %.</t>
  </si>
  <si>
    <t>Rango del libro: 55 % – 75 %</t>
  </si>
  <si>
    <t>Revisión estacional</t>
  </si>
  <si>
    <t>Receta</t>
  </si>
  <si>
    <t>Margen objetivo — Mayoreo / banquete (volumen)</t>
  </si>
  <si>
    <t>Mantequilla, chocolate y empaque cambian de precio. Recostea al menos cada temporada.</t>
  </si>
  <si>
    <t>Rango del libro: 35 % – 50 %</t>
  </si>
  <si>
    <t>Endulcora · Estudio Gastronómico</t>
  </si>
  <si>
    <t>Costo de mano de obra por hora (viene de Gastos Fijos)</t>
  </si>
  <si>
    <t>Contenido: Chef Luis Alfonso Jiménez Cárdenas · Edición: Manuel Ramiro Justo Guzmán · WhatsApp 5665271901</t>
  </si>
  <si>
    <t>Cantidad</t>
  </si>
  <si>
    <t>Aromáticos premium</t>
  </si>
  <si>
    <t>Aceite de trufa negra</t>
  </si>
  <si>
    <t>Unidad</t>
  </si>
  <si>
    <t>Costo del ingrediente (MXN)</t>
  </si>
  <si>
    <t>Descripción original del libro</t>
  </si>
  <si>
    <t>Carpaccio de trufa negra finamente picado</t>
  </si>
  <si>
    <t>g</t>
  </si>
  <si>
    <t>Overhead por pieza (viene de Gastos Fijos)</t>
  </si>
  <si>
    <t>Vela de Mantequilla de Ajo Rostizado y Romero Fresco</t>
  </si>
  <si>
    <t>Mantequilla sin sal</t>
  </si>
  <si>
    <t>% de merma por defecto</t>
  </si>
  <si>
    <t>Flores de lavanda culinaria</t>
  </si>
  <si>
    <t>Principiante 15–25 % · Intermedio 8–15 % · Avanzado 3–8 %</t>
  </si>
  <si>
    <t>Empaque</t>
  </si>
  <si>
    <t>Energía y consumibles</t>
  </si>
  <si>
    <t>Minutos por pieza</t>
  </si>
  <si>
    <t>Mano de obra</t>
  </si>
  <si>
    <t>Frambuesa liofilizada</t>
  </si>
  <si>
    <t>Overhead</t>
  </si>
  <si>
    <t>COSTO BASE</t>
  </si>
  <si>
    <t>% Merma</t>
  </si>
  <si>
    <t>COSTO TOTAL UNITARIO</t>
  </si>
  <si>
    <t>PVP Regalo gourmet</t>
  </si>
  <si>
    <t>Utilidad Regalo</t>
  </si>
  <si>
    <t>Granos de café tostado</t>
  </si>
  <si>
    <t>PVP Restaurante</t>
  </si>
  <si>
    <t>Utilidad Restaurante</t>
  </si>
  <si>
    <t>PVP Recuerdo de evento</t>
  </si>
  <si>
    <t>Utilidad Evento</t>
  </si>
  <si>
    <t>PVP Mayoreo / banquete</t>
  </si>
  <si>
    <t>Utilidad Mayoreo</t>
  </si>
  <si>
    <t>Margen real Regalo</t>
  </si>
  <si>
    <t>Pétalos de rosa comestibles</t>
  </si>
  <si>
    <t>Té Matcha de grado culinario alto</t>
  </si>
  <si>
    <t>Mantequilla sin sal (mín. 82 % materia grasa)</t>
  </si>
  <si>
    <t>Puré de ajo rostizado</t>
  </si>
  <si>
    <t>Vaina de vainilla de Papantla</t>
  </si>
  <si>
    <t>pza</t>
  </si>
  <si>
    <t>Chiles</t>
  </si>
  <si>
    <t>Chile ancho seco</t>
  </si>
  <si>
    <t>Chile chipotle seco</t>
  </si>
  <si>
    <t>Puré de ajo rostizado (~1 cabeza grande)</t>
  </si>
  <si>
    <t>Chile de árbol seco quebrado</t>
  </si>
  <si>
    <t>Chile guajillo seco</t>
  </si>
  <si>
    <t>Aceite de oliva virgen extra (para rostizar)</t>
  </si>
  <si>
    <t>Chile pasilla seco</t>
  </si>
  <si>
    <t>Romero fresco</t>
  </si>
  <si>
    <t>Chocolate y cacao</t>
  </si>
  <si>
    <t>Cacao alcalino en polvo</t>
  </si>
  <si>
    <t>Chocolate Rubí</t>
  </si>
  <si>
    <t>Romero fresco, finamente picado y sin tallo</t>
  </si>
  <si>
    <t>4 · BITÁCORA DE PRODUCCIÓN Y MERMA</t>
  </si>
  <si>
    <t>Chocolate blanco de cobertura</t>
  </si>
  <si>
    <t>Sal en escamas</t>
  </si>
  <si>
    <t>Vela de Mantequilla a las Finas Hierbas (Tomillo, Orégano, Salvia)</t>
  </si>
  <si>
    <t>Registra cada lote. La hoja calcula tu merma real y cuánto dinero se fue a la basura.</t>
  </si>
  <si>
    <t>Chocolate con leche de cobertura</t>
  </si>
  <si>
    <t>Piezas buenas acumuladas</t>
  </si>
  <si>
    <t>Sal de mar en escamas</t>
  </si>
  <si>
    <t>Chocolate oscuro de cobertura</t>
  </si>
  <si>
    <t>Pabilo de algodón orgánico puro</t>
  </si>
  <si>
    <t>Piezas falladas acumuladas</t>
  </si>
  <si>
    <t>Praliné de avellana</t>
  </si>
  <si>
    <t>% de merma real acumulada</t>
  </si>
  <si>
    <t>Cárnicos</t>
  </si>
  <si>
    <t>Tocino ahumado frito</t>
  </si>
  <si>
    <t>Costo acumulado de la merma</t>
  </si>
  <si>
    <t>Endulzantes</t>
  </si>
  <si>
    <t>Azúcar mascabado oscuro</t>
  </si>
  <si>
    <t>Vela de Mantequilla de Trufa Negra y Sal en Escamas</t>
  </si>
  <si>
    <t>Fecha</t>
  </si>
  <si>
    <t>Lote</t>
  </si>
  <si>
    <t>Nº receta</t>
  </si>
  <si>
    <t>Miel de abeja pura</t>
  </si>
  <si>
    <t>Piezas planeadas</t>
  </si>
  <si>
    <t>Mantequilla sin sal (mín. 82 %)</t>
  </si>
  <si>
    <t>Piezas buenas</t>
  </si>
  <si>
    <t>Piezas falladas</t>
  </si>
  <si>
    <t>Tomillo fresco</t>
  </si>
  <si>
    <t>% merma real</t>
  </si>
  <si>
    <t>Causa principal</t>
  </si>
  <si>
    <t>Miel de agave oscura</t>
  </si>
  <si>
    <t>Costo unitario</t>
  </si>
  <si>
    <t>Costo de la merma</t>
  </si>
  <si>
    <t>L-2608-01</t>
  </si>
  <si>
    <t>Tomillo fresco (solo hojas, picadas)</t>
  </si>
  <si>
    <t>Miel de maple pura</t>
  </si>
  <si>
    <t>Orégano fresco</t>
  </si>
  <si>
    <t>Piloncillo</t>
  </si>
  <si>
    <t>Vela de Mantequilla de Tomate Deshidratado y Albahaca</t>
  </si>
  <si>
    <t>Orégano fresco (finamente picado)</t>
  </si>
  <si>
    <t>Salvia fresca</t>
  </si>
  <si>
    <t>Especias y secos</t>
  </si>
  <si>
    <t>Ajo en polvo</t>
  </si>
  <si>
    <t>Alga nori triturada</t>
  </si>
  <si>
    <t>Salvia fresca (finamente picada)</t>
  </si>
  <si>
    <t>Sal fina</t>
  </si>
  <si>
    <t>Canela en polvo</t>
  </si>
  <si>
    <t>Mecha descentrada</t>
  </si>
  <si>
    <t>Sal fina de mesa</t>
  </si>
  <si>
    <t>Vela de Mantequilla de Chile de Árbol, Limón y Sal de Mar</t>
  </si>
  <si>
    <t>Cardamomo en polvo</t>
  </si>
  <si>
    <t>Cebolla morada deshidratada</t>
  </si>
  <si>
    <t>← Fila de ejemplo: puedes borrarla</t>
  </si>
  <si>
    <t>Clavo de olor molido</t>
  </si>
  <si>
    <t>Comino molido</t>
  </si>
  <si>
    <t>Vela de Mantequilla de Cebolla Caramelizada al Balsámico</t>
  </si>
  <si>
    <t>Cúrcuma en polvo</t>
  </si>
  <si>
    <t>Carpaccio de trufa negra finamente picado (o puré/salsa de trufa de alta calidad)</t>
  </si>
  <si>
    <t>Jengibre en polvo</t>
  </si>
  <si>
    <t>Aceite de trufa negra (opcional, refuerza aroma)</t>
  </si>
  <si>
    <t>Mezcla de especias Za'atar</t>
  </si>
  <si>
    <t>Vela de Mantequilla de Cilantro, Jalapeño y Ralladura de Limón Verde</t>
  </si>
  <si>
    <t>Nuez moscada rallada fresca</t>
  </si>
  <si>
    <t>Sal en escamas (tipo Maldon)</t>
  </si>
  <si>
    <t>Orégano seco</t>
  </si>
  <si>
    <t>Perejil deshidratado</t>
  </si>
  <si>
    <t>Pimentón ahumado</t>
  </si>
  <si>
    <t>Vela de Mantequilla de Pimienta Negra Quebrada y Parmesano</t>
  </si>
  <si>
    <t>Tomates deshidratados</t>
  </si>
  <si>
    <t>Pimentón de la Vera dulce</t>
  </si>
  <si>
    <t>Tomates deshidratados (secos, sin aceite), pulverizados</t>
  </si>
  <si>
    <t>Pimentón de la Vera picante</t>
  </si>
  <si>
    <t>Albahaca fresca picada</t>
  </si>
  <si>
    <t>Pimienta blanca molida</t>
  </si>
  <si>
    <t>Albahaca fresca picada (chiffonade fino)</t>
  </si>
  <si>
    <t>Vela de Mantequilla de Tocino Ahumado y Miel de Maple</t>
  </si>
  <si>
    <t>Pimienta negra</t>
  </si>
  <si>
    <t>Polvo de curry amarillo de alta calidad</t>
  </si>
  <si>
    <t>Vinagre blanco deshidratado en polvo</t>
  </si>
  <si>
    <t>Vela de Mantequilla de Queso Azul y Nuez Picada</t>
  </si>
  <si>
    <t>Ácido cítrico en polvo</t>
  </si>
  <si>
    <t>Extractos</t>
  </si>
  <si>
    <t>Extracto de vainilla puro</t>
  </si>
  <si>
    <t>Extracto natural de almendra</t>
  </si>
  <si>
    <t>Vela de Mantequilla de Miso Blanco y Ajonjolí Tostado</t>
  </si>
  <si>
    <t>Chile de árbol seco quebrado (hojuelas, sin exceso de semillas)</t>
  </si>
  <si>
    <t>Extracto natural de naranja</t>
  </si>
  <si>
    <t>Sal de mar</t>
  </si>
  <si>
    <t>Frescos</t>
  </si>
  <si>
    <t>Cebolla amarilla</t>
  </si>
  <si>
    <t>Sal de mar gruesa</t>
  </si>
  <si>
    <t>Chile serrano fresco</t>
  </si>
  <si>
    <t>Habanero fresco</t>
  </si>
  <si>
    <t>Vela de Mantequilla de Pimentón de la Vera (Dulce y Picante)</t>
  </si>
  <si>
    <t>Jalapeño fresco</t>
  </si>
  <si>
    <t>Jengibre fresco</t>
  </si>
  <si>
    <t>Cebolla amarilla (brunoise muy fino)</t>
  </si>
  <si>
    <t>Lemongrass fresco triturado y colado</t>
  </si>
  <si>
    <t>Vela de Mantequilla de Chipotle, Piloncillo y un toque de Cacao</t>
  </si>
  <si>
    <t>Frutos secos</t>
  </si>
  <si>
    <t>Aceite de oliva</t>
  </si>
  <si>
    <t>Coco rallado seco</t>
  </si>
  <si>
    <t>Vinagre balsámico de Módena</t>
  </si>
  <si>
    <t>Crema de cacahuate 100 % natural</t>
  </si>
  <si>
    <t>Vinagre balsámico de Módena (reducción/crema)</t>
  </si>
  <si>
    <t>Crema pura de nuez de la india</t>
  </si>
  <si>
    <t>Vela de Mantequilla de Sriracha y Miel de Abeja</t>
  </si>
  <si>
    <t>Nuez pecana</t>
  </si>
  <si>
    <t>Pistache sin sal</t>
  </si>
  <si>
    <t>Polvo de avellana tostada</t>
  </si>
  <si>
    <t>Semilla de calabaza</t>
  </si>
  <si>
    <t>Vela de Mantequilla de Alga Nori y Sésamo Negro</t>
  </si>
  <si>
    <t>Grasas base</t>
  </si>
  <si>
    <t>Aceite de coco desodorizado</t>
  </si>
  <si>
    <t>Jalapeño fresco (sin venas ni semillas, brunoise extra fino)</t>
  </si>
  <si>
    <t>Cilantro fresco</t>
  </si>
  <si>
    <t>Aceite de coco refinado</t>
  </si>
  <si>
    <t>Cilantro fresco (solo hojas, finamente picadas)</t>
  </si>
  <si>
    <t>Grasa de pato pura</t>
  </si>
  <si>
    <t>Vela de Tuétano Asado con Perejil y Alcaparras Fritas</t>
  </si>
  <si>
    <t>Grasa de res Wagyu</t>
  </si>
  <si>
    <t>Grasa de tocino</t>
  </si>
  <si>
    <t>Grasa de tuétano clarificada</t>
  </si>
  <si>
    <t>Manteca de cacao desodorizada</t>
  </si>
  <si>
    <t>Vela de Tuétano con Costra de Chiles Secos (Pasilla y Guajillo)</t>
  </si>
  <si>
    <t>Parmigiano Reggiano</t>
  </si>
  <si>
    <t>Manteca de cacao pura</t>
  </si>
  <si>
    <t>Parmigiano Reggiano (rallado en polvo fino/microplane)</t>
  </si>
  <si>
    <t>Manteca de cerdo</t>
  </si>
  <si>
    <t>Manteca vegetal</t>
  </si>
  <si>
    <t>Vela de Grasa de Pato Confitado con Tomillo y Ajo</t>
  </si>
  <si>
    <t>Pimienta negra entera (tostada y quebrada en mortero)</t>
  </si>
  <si>
    <t>Sal fina (el queso ya aporta salinidad)</t>
  </si>
  <si>
    <t>Margarina vegana en bloque</t>
  </si>
  <si>
    <t>Sebo de res</t>
  </si>
  <si>
    <t>Vela de Grasa de Pato a la Naranja (Estilo L'Orange)</t>
  </si>
  <si>
    <t>Hierbas frescas</t>
  </si>
  <si>
    <t>Cebollín fresco</t>
  </si>
  <si>
    <t>Grasa de tocino (colada y limpia)</t>
  </si>
  <si>
    <t>Eneldo fresco</t>
  </si>
  <si>
    <t>Vela de Sebo de Res (Tallow) con Ajo Confitado</t>
  </si>
  <si>
    <t>Tocino ahumado frito (triturado en polvo crujiente)</t>
  </si>
  <si>
    <t>Miel de maple pura (grado A)</t>
  </si>
  <si>
    <t>Vela de Sebo de Res con Habanero y Cebolla Morada</t>
  </si>
  <si>
    <t>Lácteos y quesos</t>
  </si>
  <si>
    <t>Queso azul</t>
  </si>
  <si>
    <t>Queso azul (Roquefort o Gorgonzola, desmoronado fino)</t>
  </si>
  <si>
    <t>Mecha y montaje</t>
  </si>
  <si>
    <t>Nuez pecana (tostada y picada muy fina)</t>
  </si>
  <si>
    <t>Vela de Manteca de Cerdo Ibérico con Pimentón y Ajo</t>
  </si>
  <si>
    <t>Preparaciones</t>
  </si>
  <si>
    <t>Alcaparras</t>
  </si>
  <si>
    <t>Pasta de miso blanco</t>
  </si>
  <si>
    <t>Puré de ajo confitado</t>
  </si>
  <si>
    <t>Vela de Manteca de Cerdo con Especias de Chorizo</t>
  </si>
  <si>
    <t>Pasta de miso blanco (Shiro Miso)</t>
  </si>
  <si>
    <t>Semillas de ajonjolí blanco</t>
  </si>
  <si>
    <t>Salsa Sriracha tradicional</t>
  </si>
  <si>
    <t>Semillas de ajonjolí blanco (ligeramente tostadas)</t>
  </si>
  <si>
    <t>Repostería</t>
  </si>
  <si>
    <t>Caramelo duro tipo toffee</t>
  </si>
  <si>
    <t>Vela de Grasa de Wagyu con Sal Ahumada</t>
  </si>
  <si>
    <t>Aceite de ajonjolí tostado (opcional)</t>
  </si>
  <si>
    <t>Galletas Amaretti</t>
  </si>
  <si>
    <t>Pasta seca de higo</t>
  </si>
  <si>
    <t>Piel de naranja confitada</t>
  </si>
  <si>
    <t>Vela de Sebo con Chimichurri Clásico Argentino</t>
  </si>
  <si>
    <t>Sales</t>
  </si>
  <si>
    <t>Sal ahumada</t>
  </si>
  <si>
    <t>Vela de Chocolate Blanco y Vainilla de Papantla</t>
  </si>
  <si>
    <t>Semillas</t>
  </si>
  <si>
    <t>Semillas de ajonjolí negro</t>
  </si>
  <si>
    <t>Sal de mar fina</t>
  </si>
  <si>
    <t>Semillas de cilantro</t>
  </si>
  <si>
    <t>Vela de Manteca de Cacao con Té Matcha y Miel</t>
  </si>
  <si>
    <t>Supuesto: los precios cargados son estimaciones de mercado minorista en CDMX (2026) provistas como punto de partida, no cotizaciones de proveedor. Fuente: estimación del preparador de la hoja. Sustitúyelos por tus tickets reales.</t>
  </si>
  <si>
    <t>Chile chipotle seco (sin semillas, molido fino/polvo)</t>
  </si>
  <si>
    <t>Vela de Mantequilla Dulce de Canela y Azúcar Mascabado</t>
  </si>
  <si>
    <t>Piloncillo rallado fino (o azúcar mascabado)</t>
  </si>
  <si>
    <t>Cacao alcalino en polvo (sin azúcar)</t>
  </si>
  <si>
    <t>Vela de Chocolate Semiamargo con Naranja Confitada</t>
  </si>
  <si>
    <t>Vela de Chocolate Blanco con Polvo de Frambuesa Liofilizada</t>
  </si>
  <si>
    <t>Vela de Praliné de Avellana y Manteca de Cacao</t>
  </si>
  <si>
    <t>Vela de Mantequilla con Reducción de Higo</t>
  </si>
  <si>
    <t>Alga nori triturada (hojuelas o polvo grueso)</t>
  </si>
  <si>
    <t>5 · BITÁCORA DE VENTAS</t>
  </si>
  <si>
    <t>Una línea por venta. La utilidad neta descuenta el costo real y la comisión de plataforma.</t>
  </si>
  <si>
    <t>Vela de Ganache Firme de Cacao y Caramelo Salado</t>
  </si>
  <si>
    <t>Piezas vendidas acumuladas</t>
  </si>
  <si>
    <t>Semillas de sésamo negro (ligeramente tostadas)</t>
  </si>
  <si>
    <t>Ingreso total acumulado</t>
  </si>
  <si>
    <t>Utilidad neta total acumulada</t>
  </si>
  <si>
    <t>Margen neto promedio</t>
  </si>
  <si>
    <t>Vela de Chocolate Rubí con Pétalos de Rosa Comestibles</t>
  </si>
  <si>
    <t>Canal</t>
  </si>
  <si>
    <t>Grasa de tuétano de res (rostizada a 200 °C, colada y clarificada)</t>
  </si>
  <si>
    <t>Piezas</t>
  </si>
  <si>
    <t>Precio unitario</t>
  </si>
  <si>
    <t>Ingreso</t>
  </si>
  <si>
    <t>Costo total</t>
  </si>
  <si>
    <t>Comisión %</t>
  </si>
  <si>
    <t>Comisión $</t>
  </si>
  <si>
    <t>Utilidad neta</t>
  </si>
  <si>
    <t>Margen %</t>
  </si>
  <si>
    <t>Cliente / Notas</t>
  </si>
  <si>
    <t>Sebo de res refinado (beef tallow) grado alimenticio</t>
  </si>
  <si>
    <t>Vela de Nuez Moscada, Clavo y Jengibre (Estilo Gingerbread)</t>
  </si>
  <si>
    <t>Alcaparras (fritas hasta crujientes y picadas finamente)</t>
  </si>
  <si>
    <t>Regalo gourmet</t>
  </si>
  <si>
    <t>Perejil deshidratado (polvo o escamas finas)</t>
  </si>
  <si>
    <t>Vela de Manteca de Cacao con Cardamomo y Pistache</t>
  </si>
  <si>
    <t>Sal en escamas (Maldon)</t>
  </si>
  <si>
    <t>Vela de Chocolate con Leche y Trozos de Galleta Amaretto</t>
  </si>
  <si>
    <t>Sebo de res (tallow)</t>
  </si>
  <si>
    <t>Chile pasilla seco (tostado y molido fino)</t>
  </si>
  <si>
    <t>Vela de Mantequilla con Crema de Cacahuate y Sal de Mar</t>
  </si>
  <si>
    <t>Chile guajillo seco (tostado y molido fino)</t>
  </si>
  <si>
    <t>Vela de Manteca de Cacao Sabor Café de Olla (Canela y Piloncillo)</t>
  </si>
  <si>
    <t>Grasa de pato pura (filtrada y limpia)</t>
  </si>
  <si>
    <t>Manteca de cacao desodorizada (grado alimenticio)</t>
  </si>
  <si>
    <t>Vela de Chocolate Blanco con Coco Tostado y Almendra</t>
  </si>
  <si>
    <t>Tomillo fresco (solo hojas muy finas)</t>
  </si>
  <si>
    <t>Puré de ajo confitado (sin agua)</t>
  </si>
  <si>
    <t>Vela de Aceite de Coco con Curry Amarillo y Lemongrass</t>
  </si>
  <si>
    <t>Grasa de pato pura (filtrada)</t>
  </si>
  <si>
    <t>Vela de Margarina Vegana de Ajo y Cebollín</t>
  </si>
  <si>
    <t>Extracto natural de naranja (base aceite, NO base agua)</t>
  </si>
  <si>
    <t>Vela de Aceite de Coco con Cúrcuma, Jengibre y Pimienta Negra</t>
  </si>
  <si>
    <t>Sebo de res grado alimenticio (tallow refinado, de preferencia grass-fed)</t>
  </si>
  <si>
    <t>Vela de Manteca de Cacao con Lavanda y Miel de Agave</t>
  </si>
  <si>
    <t>Puré fino de ajo confitado (muy procesado, sin grumos)</t>
  </si>
  <si>
    <t>Pimienta negra recién molida</t>
  </si>
  <si>
    <t>Vela de Aceite de Coco Refinado con Eneldo y Limón Eureka</t>
  </si>
  <si>
    <t>Sal en escamas o sal rosa del Himalaya</t>
  </si>
  <si>
    <t>Sebo de res (tallow refinado)</t>
  </si>
  <si>
    <t>Vela de Manteca Vegetal Sabor Mantequilla con Za'atar</t>
  </si>
  <si>
    <t>Habanero fresco (desvenado, brunoise microscópico)</t>
  </si>
  <si>
    <t>Cebolla morada deshidratada (hojuelas o polvo grueso)</t>
  </si>
  <si>
    <t>Vela de Manteca de Anacardo (Nuez de la India) y Cilantro</t>
  </si>
  <si>
    <t>Ácido cítrico en polvo (grado alimenticio)</t>
  </si>
  <si>
    <t>Vela de Aceite de Coco con Jengibre Fresco y Chile Serrano</t>
  </si>
  <si>
    <t>Manteca de cerdo puro (preferentemente raza ibérica)</t>
  </si>
  <si>
    <t>Puré de ajo rostizado (completamente seco, sin humedad visible)</t>
  </si>
  <si>
    <t>Vela Vegana de Semillas de Calabaza (Pepián)</t>
  </si>
  <si>
    <t>Pimentón ahumado (mitad dulce, mitad picante)</t>
  </si>
  <si>
    <t>Vela Vegana Estilo Ghee con Especias Chai</t>
  </si>
  <si>
    <t>Manteca de cerdo limpia</t>
  </si>
  <si>
    <t>Chile ancho seco (tostado, en polvo)</t>
  </si>
  <si>
    <t>PROMEDIO DE LAS 50 RECETAS</t>
  </si>
  <si>
    <t>Semillas de cilantro (molidas)</t>
  </si>
  <si>
    <t>Orégano mexicano seco (molido fino)</t>
  </si>
  <si>
    <t>Supuestos de arranque tomados del ejemplo del Capítulo 10: empaque $18 y energía $4 por pieza, 8 minutos de trabajo por vela, merma 15 % (nivel intermedio). Los costos de insumo salen de precios de mercado actuales, por lo que serán más altos que los del ejemplo didáctico del libro. Ajusta todo a tu operación real.</t>
  </si>
  <si>
    <t>Comino en polvo</t>
  </si>
  <si>
    <t>Vinagre blanco deshidratado en polvo (opcional, perfil clásico)</t>
  </si>
  <si>
    <t>Grasa de res Wagyu (clarificada y colada)</t>
  </si>
  <si>
    <t>Manteca de cacao desodorizada (o sebo puro refinado)</t>
  </si>
  <si>
    <t>Sal ahumada (madera de manzano o mezquite)</t>
  </si>
  <si>
    <t>Perejil seco triturado</t>
  </si>
  <si>
    <t>Ajo en polvo o deshidratado en escamas finas</t>
  </si>
  <si>
    <t>Chile quebrado (ají molido o hojuelas de chile rojo)</t>
  </si>
  <si>
    <t>Chocolate blanco de cobertura (mín. 28 % manteca de cacao, troceado fino)</t>
  </si>
  <si>
    <t>Manteca de cacao desodorizada (firmeza extra)</t>
  </si>
  <si>
    <t>Vaina de vainilla de Papantla (abierta y raspada)</t>
  </si>
  <si>
    <t>Sal fina (potencia el dulzor)</t>
  </si>
  <si>
    <t>Manteca de cacao pura (desodorizada)</t>
  </si>
  <si>
    <t>Miel de agave o miel de abeja clara</t>
  </si>
  <si>
    <t>6 · GASTOS FIJOS, MANO DE OBRA Y PUNTO DE EQUILIBRIO</t>
  </si>
  <si>
    <t>Azúcar mascabado oscuro (pulverizado, evita textura arenosa)</t>
  </si>
  <si>
    <t>De aquí salen el overhead por pieza y el costo por hora que usa la hoja de costeo.</t>
  </si>
  <si>
    <t>A · GASTOS FIJOS MENSUALES (MXN)</t>
  </si>
  <si>
    <t>Canela en polvo (preferiblemente de Ceilán)</t>
  </si>
  <si>
    <t>Renta del espacio de producción</t>
  </si>
  <si>
    <t>Luz, gas y agua</t>
  </si>
  <si>
    <t>Internet y telefonía</t>
  </si>
  <si>
    <t>Publicidad y anuncios pagados</t>
  </si>
  <si>
    <t>Papelería, limpieza y consumibles generales</t>
  </si>
  <si>
    <t>Suscripciones y software (diseño, facturación)</t>
  </si>
  <si>
    <t>Transporte y repartos</t>
  </si>
  <si>
    <t>Depreciación de equipo</t>
  </si>
  <si>
    <t>Sueldos fijos de terceros</t>
  </si>
  <si>
    <t>Otros gastos fijos</t>
  </si>
  <si>
    <t>TOTAL DE GASTOS FIJOS MENSUALES</t>
  </si>
  <si>
    <t>Supuesto: arranque desde casa, sin renta (Cap. 10 del eBook usa ~$2,000 de gastos fijos y 200 piezas = $10 de overhead por vela). Sustituye por tus cifras reales.</t>
  </si>
  <si>
    <t>B · OVERHEAD POR PIEZA</t>
  </si>
  <si>
    <t>Piezas que produces al mes (estimado)</t>
  </si>
  <si>
    <t>Overhead prorrateado por pieza</t>
  </si>
  <si>
    <t>Se enlaza automáticamente a la hoja «3. Costeo y Precios».</t>
  </si>
  <si>
    <t>C · COSTO DE TU MANO DE OBRA</t>
  </si>
  <si>
    <t>Sueldo mensual que quieres cobrarte (MXN)</t>
  </si>
  <si>
    <t>Chocolate oscuro de cobertura (54–60 % cacao)</t>
  </si>
  <si>
    <t>Horas de trabajo al mes</t>
  </si>
  <si>
    <t>Costo de mano de obra por hora</t>
  </si>
  <si>
    <t>D · PUNTO DE EQUILIBRIO</t>
  </si>
  <si>
    <t>Precio de venta promedio por pieza</t>
  </si>
  <si>
    <t>Promedio del PVP sugerido de canal Regalo gourmet.</t>
  </si>
  <si>
    <t>Piel de naranja confitada (brunoise finísimo)</t>
  </si>
  <si>
    <t>Costo total unitario promedio</t>
  </si>
  <si>
    <t>Margen de contribución por pieza</t>
  </si>
  <si>
    <t>PIEZAS QUE DEBES VENDER AL MES PARA NO PERDER</t>
  </si>
  <si>
    <t>Ingreso mensual de equilibrio</t>
  </si>
  <si>
    <t>Frambuesa liofilizada (triturada en polvo muy fino)</t>
  </si>
  <si>
    <t>Praliné de avellana (pasta lisa 50 % avellana / 50 % caramelo)</t>
  </si>
  <si>
    <t>Polvo de avellana tostada (opcional, textura visual)</t>
  </si>
  <si>
    <t>7 · TABLERO DEL MES</t>
  </si>
  <si>
    <t>Escribe cualquier día del mes que quieras analizar y todo el tablero se actualiza.</t>
  </si>
  <si>
    <t>Mes a analizar (escribe cualquier fecha de ese mes)</t>
  </si>
  <si>
    <t>Inicio del periodo</t>
  </si>
  <si>
    <t>Fin del periodo (exclusivo)</t>
  </si>
  <si>
    <t>PRODUCCIÓN Y MERMA DEL MES</t>
  </si>
  <si>
    <t>Pasta seca de higo (mermelada reducida a fuego lento hasta evaporar el agua,</t>
  </si>
  <si>
    <t>Piezas vendidas</t>
  </si>
  <si>
    <t>Piezas buenas producidas</t>
  </si>
  <si>
    <t>Ingreso del mes</t>
  </si>
  <si>
    <t>Costo de producto vendido</t>
  </si>
  <si>
    <t>% de merma del mes</t>
  </si>
  <si>
    <t>Utilidad neta del mes</t>
  </si>
  <si>
    <t>Caramelo duro tipo toffee (triturado en polvo/arena fina)</t>
  </si>
  <si>
    <t>Dinero perdido en merma</t>
  </si>
  <si>
    <t>Margen neto</t>
  </si>
  <si>
    <t>Merma como % del ingreso</t>
  </si>
  <si>
    <t>Ticket promedio por pieza</t>
  </si>
  <si>
    <t>Punto de equilibrio (piezas)</t>
  </si>
  <si>
    <t>Utilidad después de gastos fijos</t>
  </si>
  <si>
    <t>Avance hacia el equilibrio</t>
  </si>
  <si>
    <t>Chocolate Rubí (en callets o troceado fino)</t>
  </si>
  <si>
    <t>VENTAS POR CANAL</t>
  </si>
  <si>
    <t>Pétalos de rosa comestibles (deshidratados)</t>
  </si>
  <si>
    <t>Restaurante</t>
  </si>
  <si>
    <t>Manteca de cacao desodorizada (o mantequilla si se busca consumo rápido)</t>
  </si>
  <si>
    <t>Azúcar mascabado finamente pulverizado</t>
  </si>
  <si>
    <t>Recuerdo de evento</t>
  </si>
  <si>
    <t>Mayoreo / banquete</t>
  </si>
  <si>
    <t>Taller</t>
  </si>
  <si>
    <t>Pistache sin sal (ligeramente tostado y molido fino)</t>
  </si>
  <si>
    <t>Cardamomo en polvo (recién molido de la vaina, de preferencia)</t>
  </si>
  <si>
    <t>Venta directa</t>
  </si>
  <si>
    <t>DESEMPEÑO POR RECETA (usa el filtro para ordenar)</t>
  </si>
  <si>
    <t>Chocolate con leche de cobertura (mín. 33 % cacao)</t>
  </si>
  <si>
    <t>Galletas Amaretti (trituradas en trozos pequeños, sin exceso de polvo)</t>
  </si>
  <si>
    <t>Crema de cacahuate 100 % natural (lisa)</t>
  </si>
  <si>
    <t>Granos de café tostado (troceados gruesos, no molidos)</t>
  </si>
  <si>
    <t>Piloncillo (rallado muy fino)</t>
  </si>
  <si>
    <t>Coco rallado seco (tostado al horno sin azúcar y triturado fino)</t>
  </si>
  <si>
    <t>Extracto natural de almendra (base aceite)</t>
  </si>
  <si>
    <t>Aceite de coco refinado (sin sabor a coco)</t>
  </si>
  <si>
    <t>Manteca de cacao pura (desodorizada, estabiliza)</t>
  </si>
  <si>
    <t>Lemongrass fresco triturado y colado (solo el jugo/aceite esencial) o 2 ml de</t>
  </si>
  <si>
    <t>Margarina vegana en bloque (no untable, alto porcentaje graso)</t>
  </si>
  <si>
    <t>Manteca de cacao pura (rigidez)</t>
  </si>
  <si>
    <t>Puré de ajo asado (completamente seco)</t>
  </si>
  <si>
    <t>Cebollín fresco (picado en aros finos)</t>
  </si>
  <si>
    <t>Pimienta negra recién quebrada</t>
  </si>
  <si>
    <t>Flores de lavanda culinaria (ligeramente trituradas en mortero)</t>
  </si>
  <si>
    <t>Eneldo fresco (finamente picado)</t>
  </si>
  <si>
    <t>Manteca vegetal (grado repostería, sabor mantequilla)</t>
  </si>
  <si>
    <t>Manteca de cacao pura (rigidez estructural)</t>
  </si>
  <si>
    <t>Crema pura de nuez de la india (sin azúcares ni aceites añadidos)</t>
  </si>
  <si>
    <t>Cilantro fresco (finamente picado)</t>
  </si>
  <si>
    <t>Jengibre fresco (pelado y rallado muy fino)</t>
  </si>
  <si>
    <t>Chile serrano fresco (sin semillas, brunoise microscópico)</t>
  </si>
  <si>
    <t>Semilla de calabaza (pepita verde) tostada sin sal (triturada en polvo/crema rústi-</t>
  </si>
  <si>
    <t>Clavo en polvo</t>
  </si>
  <si>
    <t>Miel de maple puro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</si>
</sst>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\$#,##0.00"/>
    <numFmt numFmtId="165" formatCode="\$#,##0.0000"/>
    <numFmt numFmtId="166" formatCode="0.0%"/>
    <numFmt numFmtId="167" formatCode="dd/mm/yyyy"/>
    <numFmt numFmtId="168" formatCode="#,##0.0"/>
    <numFmt numFmtId="169" formatCode="\$#,##0"/>
    <numFmt numFmtId="170" formatCode="mmmm\ yyyy"/>
  </numFmts>
  <fonts count="24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9.0"/>
      <color rgb="FF595959"/>
      <name val="Arial"/>
    </font>
    <font>
      <b/>
      <sz val="9.0"/>
      <color rgb="FFFFFFFF"/>
      <name val="Arial"/>
    </font>
    <font>
      <b/>
      <sz val="11.0"/>
      <color rgb="FF7A2E7E"/>
      <name val="Arial"/>
    </font>
    <font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sz val="9.0"/>
      <color rgb="FF595959"/>
      <name val="Arial"/>
    </font>
    <font>
      <sz val="10.0"/>
      <color rgb="FF0000FF"/>
      <name val="Arial"/>
    </font>
    <font>
      <b/>
      <sz val="10.0"/>
      <color rgb="FF0000FF"/>
      <name val="Arial"/>
    </font>
    <font>
      <b/>
      <sz val="10.0"/>
      <color rgb="FF000000"/>
      <name val="Arial"/>
    </font>
    <font>
      <b/>
      <sz val="10.0"/>
      <color rgb="FF008000"/>
      <name val="Arial"/>
    </font>
    <font>
      <b/>
      <sz val="10.0"/>
      <color rgb="FF7A2E7E"/>
      <name val="Arial"/>
    </font>
    <font>
      <sz val="10.0"/>
      <color rgb="FF000000"/>
      <name val="Arial"/>
    </font>
    <font>
      <i/>
      <sz val="8.0"/>
      <color rgb="FF9C9C9C"/>
      <name val="Arial"/>
    </font>
    <font>
      <i/>
      <sz val="10.0"/>
      <color theme="1"/>
      <name val="Arial"/>
    </font>
    <font>
      <b/>
      <sz val="9.0"/>
      <color rgb="FF7A2E7E"/>
      <name val="Arial"/>
    </font>
    <font>
      <sz val="8.0"/>
      <color rgb="FF9C9C9C"/>
      <name val="Arial"/>
    </font>
    <font>
      <sz val="10.0"/>
      <color rgb="FF008000"/>
      <name val="Arial"/>
    </font>
    <font>
      <i/>
      <sz val="9.0"/>
      <color rgb="FF9C9C9C"/>
      <name val="Arial"/>
    </font>
    <font>
      <b/>
      <sz val="11.0"/>
      <color rgb="FFFFFFFF"/>
      <name val="Arial"/>
    </font>
    <font>
      <sz val="9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4E1454"/>
        <bgColor rgb="FF4E1454"/>
      </patternFill>
    </fill>
    <fill>
      <patternFill patternType="solid">
        <fgColor rgb="FF7A2E7E"/>
        <bgColor rgb="FF7A2E7E"/>
      </patternFill>
    </fill>
    <fill>
      <patternFill patternType="solid">
        <fgColor rgb="FFFBF4E9"/>
        <bgColor rgb="FFFBF4E9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rgb="FFFFF9E3"/>
        <bgColor rgb="FFFFF9E3"/>
      </patternFill>
    </fill>
    <fill>
      <patternFill patternType="solid">
        <fgColor rgb="FFFFFF00"/>
        <bgColor rgb="FFFFFF00"/>
      </patternFill>
    </fill>
    <fill>
      <patternFill patternType="solid">
        <fgColor rgb="FFF8B818"/>
        <bgColor rgb="FFF8B818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</border>
    <border>
      <right style="thin">
        <color rgb="FF000000"/>
      </right>
    </border>
    <border>
      <left/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3" fontId="4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shrinkToFit="0" vertical="bottom" wrapText="0"/>
    </xf>
    <xf borderId="5" fillId="4" fontId="6" numFmtId="0" xfId="0" applyAlignment="1" applyBorder="1" applyFont="1">
      <alignment shrinkToFit="0" vertical="bottom" wrapText="0"/>
    </xf>
    <xf borderId="0" fillId="5" fontId="7" numFmtId="0" xfId="0" applyAlignment="1" applyFill="1" applyFont="1">
      <alignment shrinkToFit="0" vertical="top" wrapText="1"/>
    </xf>
    <xf borderId="0" fillId="5" fontId="8" numFmtId="0" xfId="0" applyAlignment="1" applyFont="1">
      <alignment shrinkToFit="0" vertical="top" wrapText="1"/>
    </xf>
    <xf borderId="0" fillId="6" fontId="7" numFmtId="0" xfId="0" applyAlignment="1" applyFill="1" applyFont="1">
      <alignment shrinkToFit="0" vertical="top" wrapText="1"/>
    </xf>
    <xf borderId="4" fillId="0" fontId="9" numFmtId="0" xfId="0" applyAlignment="1" applyBorder="1" applyFont="1">
      <alignment shrinkToFit="0" vertical="bottom" wrapText="0"/>
    </xf>
    <xf borderId="0" fillId="6" fontId="8" numFmtId="0" xfId="0" applyAlignment="1" applyFont="1">
      <alignment shrinkToFit="0" vertical="top" wrapText="1"/>
    </xf>
    <xf borderId="4" fillId="0" fontId="8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horizontal="center" shrinkToFit="0" vertical="bottom" wrapText="0"/>
    </xf>
    <xf borderId="4" fillId="7" fontId="10" numFmtId="3" xfId="0" applyAlignment="1" applyBorder="1" applyFill="1" applyFont="1" applyNumberFormat="1">
      <alignment shrinkToFit="0" vertical="bottom" wrapText="0"/>
    </xf>
    <xf borderId="4" fillId="7" fontId="10" numFmtId="164" xfId="0" applyAlignment="1" applyBorder="1" applyFont="1" applyNumberFormat="1">
      <alignment shrinkToFit="0" vertical="bottom" wrapText="0"/>
    </xf>
    <xf borderId="6" fillId="5" fontId="8" numFmtId="0" xfId="0" applyAlignment="1" applyBorder="1" applyFont="1">
      <alignment shrinkToFit="0" vertical="top" wrapText="1"/>
    </xf>
    <xf borderId="7" fillId="4" fontId="5" numFmtId="0" xfId="0" applyAlignment="1" applyBorder="1" applyFont="1">
      <alignment shrinkToFit="0" vertical="bottom" wrapText="0"/>
    </xf>
    <xf borderId="7" fillId="4" fontId="6" numFmtId="0" xfId="0" applyAlignment="1" applyBorder="1" applyFont="1">
      <alignment shrinkToFit="0" vertical="bottom" wrapText="0"/>
    </xf>
    <xf borderId="8" fillId="8" fontId="11" numFmtId="0" xfId="0" applyAlignment="1" applyBorder="1" applyFill="1" applyFont="1">
      <alignment shrinkToFit="0" vertical="top" wrapText="1"/>
    </xf>
    <xf borderId="9" fillId="8" fontId="8" numFmtId="0" xfId="0" applyAlignment="1" applyBorder="1" applyFont="1">
      <alignment shrinkToFit="0" vertical="top" wrapText="1"/>
    </xf>
    <xf borderId="0" fillId="0" fontId="12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0" fontId="13" numFmtId="0" xfId="0" applyAlignment="1" applyFont="1">
      <alignment shrinkToFit="0" vertical="top" wrapText="1"/>
    </xf>
    <xf borderId="10" fillId="4" fontId="5" numFmtId="0" xfId="0" applyAlignment="1" applyBorder="1" applyFont="1">
      <alignment shrinkToFit="0" vertical="bottom" wrapText="0"/>
    </xf>
    <xf borderId="10" fillId="4" fontId="6" numFmtId="0" xfId="0" applyAlignment="1" applyBorder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4" fillId="0" fontId="8" numFmtId="165" xfId="0" applyAlignment="1" applyBorder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4" fillId="7" fontId="10" numFmtId="0" xfId="0" applyAlignment="1" applyBorder="1" applyFont="1">
      <alignment shrinkToFit="0" vertical="bottom" wrapText="0"/>
    </xf>
    <xf borderId="4" fillId="9" fontId="10" numFmtId="166" xfId="0" applyAlignment="1" applyBorder="1" applyFill="1" applyFont="1" applyNumberFormat="1">
      <alignment shrinkToFit="0" vertical="bottom" wrapText="0"/>
    </xf>
    <xf borderId="4" fillId="7" fontId="10" numFmtId="167" xfId="0" applyAlignment="1" applyBorder="1" applyFont="1" applyNumberForma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7" numFmtId="0" xfId="0" applyAlignment="1" applyFont="1">
      <alignment shrinkToFit="0" vertical="top" wrapText="1"/>
    </xf>
    <xf borderId="0" fillId="0" fontId="17" numFmtId="0" xfId="0" applyAlignment="1" applyFont="1">
      <alignment shrinkToFit="0" vertical="top" wrapText="1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4" fillId="0" fontId="20" numFmtId="164" xfId="0" applyAlignment="1" applyBorder="1" applyFont="1" applyNumberFormat="1">
      <alignment shrinkToFit="0" vertical="bottom" wrapText="0"/>
    </xf>
    <xf borderId="4" fillId="7" fontId="10" numFmtId="168" xfId="0" applyAlignment="1" applyBorder="1" applyFont="1" applyNumberFormat="1">
      <alignment shrinkToFit="0" vertical="bottom" wrapText="0"/>
    </xf>
    <xf borderId="4" fillId="0" fontId="20" numFmtId="165" xfId="0" applyAlignment="1" applyBorder="1" applyFont="1" applyNumberFormat="1">
      <alignment shrinkToFit="0" vertical="bottom" wrapText="0"/>
    </xf>
    <xf borderId="4" fillId="0" fontId="8" numFmtId="164" xfId="0" applyAlignment="1" applyBorder="1" applyFont="1" applyNumberFormat="1">
      <alignment shrinkToFit="0" vertical="bottom" wrapText="0"/>
    </xf>
    <xf borderId="4" fillId="0" fontId="19" numFmtId="0" xfId="0" applyAlignment="1" applyBorder="1" applyFont="1">
      <alignment shrinkToFit="0" vertical="bottom" wrapText="0"/>
    </xf>
    <xf borderId="4" fillId="0" fontId="7" numFmtId="164" xfId="0" applyAlignment="1" applyBorder="1" applyFont="1" applyNumberFormat="1">
      <alignment shrinkToFit="0" vertical="bottom" wrapText="0"/>
    </xf>
    <xf borderId="4" fillId="7" fontId="10" numFmtId="166" xfId="0" applyAlignment="1" applyBorder="1" applyFont="1" applyNumberFormat="1">
      <alignment shrinkToFit="0" vertical="bottom" wrapText="0"/>
    </xf>
    <xf borderId="4" fillId="4" fontId="7" numFmtId="164" xfId="0" applyAlignment="1" applyBorder="1" applyFont="1" applyNumberFormat="1">
      <alignment shrinkToFit="0" vertical="bottom" wrapText="0"/>
    </xf>
    <xf borderId="4" fillId="4" fontId="7" numFmtId="169" xfId="0" applyAlignment="1" applyBorder="1" applyFont="1" applyNumberFormat="1">
      <alignment shrinkToFit="0" vertical="bottom" wrapText="0"/>
    </xf>
    <xf borderId="4" fillId="0" fontId="8" numFmtId="169" xfId="0" applyAlignment="1" applyBorder="1" applyFont="1" applyNumberFormat="1">
      <alignment shrinkToFit="0" vertical="bottom" wrapText="0"/>
    </xf>
    <xf borderId="4" fillId="0" fontId="8" numFmtId="166" xfId="0" applyAlignment="1" applyBorder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4" fillId="4" fontId="7" numFmtId="3" xfId="0" applyAlignment="1" applyBorder="1" applyFont="1" applyNumberFormat="1">
      <alignment shrinkToFit="0" vertical="bottom" wrapText="0"/>
    </xf>
    <xf borderId="4" fillId="4" fontId="7" numFmtId="166" xfId="0" applyAlignment="1" applyBorder="1" applyFont="1" applyNumberFormat="1">
      <alignment shrinkToFit="0" vertical="bottom" wrapText="0"/>
    </xf>
    <xf borderId="4" fillId="0" fontId="20" numFmtId="0" xfId="0" applyAlignment="1" applyBorder="1" applyFont="1">
      <alignment shrinkToFit="0" vertical="bottom" wrapText="0"/>
    </xf>
    <xf borderId="4" fillId="7" fontId="21" numFmtId="0" xfId="0" applyAlignment="1" applyBorder="1" applyFont="1">
      <alignment shrinkToFit="0" vertical="bottom" wrapText="0"/>
    </xf>
    <xf borderId="4" fillId="7" fontId="10" numFmtId="3" xfId="0" applyAlignment="1" applyBorder="1" applyFont="1" applyNumberFormat="1">
      <alignment readingOrder="0" shrinkToFit="0" vertical="bottom" wrapText="0"/>
    </xf>
    <xf borderId="4" fillId="7" fontId="10" numFmtId="164" xfId="0" applyAlignment="1" applyBorder="1" applyFont="1" applyNumberFormat="1">
      <alignment readingOrder="0" shrinkToFit="0" vertical="bottom" wrapText="0"/>
    </xf>
    <xf borderId="10" fillId="3" fontId="22" numFmtId="0" xfId="0" applyAlignment="1" applyBorder="1" applyFont="1">
      <alignment shrinkToFit="0" vertical="bottom" wrapText="0"/>
    </xf>
    <xf borderId="10" fillId="3" fontId="6" numFmtId="0" xfId="0" applyAlignment="1" applyBorder="1" applyFont="1">
      <alignment shrinkToFit="0" vertical="bottom" wrapText="0"/>
    </xf>
    <xf borderId="4" fillId="7" fontId="10" numFmtId="169" xfId="0" applyAlignment="1" applyBorder="1" applyFont="1" applyNumberFormat="1">
      <alignment readingOrder="0" shrinkToFit="0" vertical="bottom" wrapText="0"/>
    </xf>
    <xf borderId="4" fillId="7" fontId="10" numFmtId="169" xfId="0" applyAlignment="1" applyBorder="1" applyFont="1" applyNumberFormat="1">
      <alignment shrinkToFit="0" vertical="bottom" wrapText="0"/>
    </xf>
    <xf borderId="4" fillId="9" fontId="7" numFmtId="164" xfId="0" applyAlignment="1" applyBorder="1" applyFont="1" applyNumberFormat="1">
      <alignment shrinkToFit="0" vertical="bottom" wrapText="0"/>
    </xf>
    <xf borderId="4" fillId="9" fontId="7" numFmtId="3" xfId="0" applyAlignment="1" applyBorder="1" applyFont="1" applyNumberFormat="1">
      <alignment shrinkToFit="0" vertical="bottom" wrapText="0"/>
    </xf>
    <xf borderId="4" fillId="0" fontId="7" numFmtId="169" xfId="0" applyAlignment="1" applyBorder="1" applyFont="1" applyNumberFormat="1">
      <alignment shrinkToFit="0" vertical="bottom" wrapText="0"/>
    </xf>
    <xf borderId="4" fillId="9" fontId="10" numFmtId="170" xfId="0" applyAlignment="1" applyBorder="1" applyFont="1" applyNumberFormat="1">
      <alignment shrinkToFit="0" vertical="bottom" wrapText="0"/>
    </xf>
    <xf borderId="4" fillId="0" fontId="19" numFmtId="167" xfId="0" applyAlignment="1" applyBorder="1" applyFont="1" applyNumberFormat="1">
      <alignment shrinkToFit="0" vertical="bottom" wrapText="0"/>
    </xf>
    <xf borderId="4" fillId="3" fontId="4" numFmtId="0" xfId="0" applyAlignment="1" applyBorder="1" applyFont="1">
      <alignment horizontal="center" shrinkToFit="0" vertical="center" wrapText="0"/>
    </xf>
    <xf borderId="4" fillId="0" fontId="8" numFmtId="3" xfId="0" applyAlignment="1" applyBorder="1" applyFont="1" applyNumberFormat="1">
      <alignment shrinkToFit="0" vertical="bottom" wrapText="0"/>
    </xf>
    <xf borderId="4" fillId="0" fontId="23" numFmtId="0" xfId="0" applyAlignment="1" applyBorder="1" applyFont="1">
      <alignment shrinkToFit="0" vertical="bottom" wrapText="0"/>
    </xf>
  </cellXfs>
  <cellStyles count="1">
    <cellStyle xfId="0" name="Normal" builtinId="0"/>
  </cellStyles>
  <dxfs count="1">
    <dxf>
      <font>
        <b/>
        <sz val="10.0"/>
        <color rgb="FFC00000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3" width="92.0"/>
    <col customWidth="1" min="4" max="26" width="8.71"/>
  </cols>
  <sheetData>
    <row r="1" ht="30.0" customHeight="1">
      <c r="A1" s="1" t="s">
        <v>0</v>
      </c>
      <c r="B1" s="2"/>
      <c r="C1" s="2"/>
      <c r="D1" s="2"/>
      <c r="E1" s="2"/>
      <c r="F1" s="3"/>
    </row>
    <row r="2">
      <c r="A2" s="4" t="s">
        <v>3</v>
      </c>
    </row>
    <row r="4">
      <c r="B4" s="6" t="s">
        <v>5</v>
      </c>
      <c r="C4" s="7"/>
    </row>
    <row r="5">
      <c r="B5" s="8" t="s">
        <v>10</v>
      </c>
      <c r="C5" s="9" t="s">
        <v>14</v>
      </c>
    </row>
    <row r="6">
      <c r="B6" s="10" t="s">
        <v>16</v>
      </c>
      <c r="C6" s="12" t="s">
        <v>18</v>
      </c>
    </row>
    <row r="7">
      <c r="B7" s="8" t="s">
        <v>20</v>
      </c>
      <c r="C7" s="9" t="s">
        <v>21</v>
      </c>
    </row>
    <row r="8">
      <c r="B8" s="10" t="s">
        <v>23</v>
      </c>
      <c r="C8" s="12" t="s">
        <v>24</v>
      </c>
    </row>
    <row r="9">
      <c r="B9" s="8" t="s">
        <v>25</v>
      </c>
      <c r="C9" s="9" t="s">
        <v>26</v>
      </c>
    </row>
    <row r="10">
      <c r="B10" s="10" t="s">
        <v>27</v>
      </c>
      <c r="C10" s="12" t="s">
        <v>28</v>
      </c>
    </row>
    <row r="11">
      <c r="B11" s="8" t="s">
        <v>29</v>
      </c>
      <c r="C11" s="17" t="s">
        <v>30</v>
      </c>
    </row>
    <row r="12">
      <c r="B12" s="10" t="s">
        <v>31</v>
      </c>
      <c r="C12" s="12" t="s">
        <v>32</v>
      </c>
    </row>
    <row r="13">
      <c r="B13" s="18" t="s">
        <v>33</v>
      </c>
      <c r="C13" s="19"/>
    </row>
    <row r="14">
      <c r="B14" s="20" t="s">
        <v>34</v>
      </c>
      <c r="C14" s="21" t="s">
        <v>35</v>
      </c>
    </row>
    <row r="15">
      <c r="B15" s="22" t="s">
        <v>36</v>
      </c>
      <c r="C15" s="23" t="s">
        <v>37</v>
      </c>
    </row>
    <row r="16">
      <c r="B16" s="24" t="s">
        <v>38</v>
      </c>
      <c r="C16" s="23" t="s">
        <v>40</v>
      </c>
    </row>
    <row r="17">
      <c r="B17" s="22" t="s">
        <v>41</v>
      </c>
      <c r="C17" s="23" t="s">
        <v>42</v>
      </c>
    </row>
    <row r="18">
      <c r="B18" s="25" t="s">
        <v>43</v>
      </c>
      <c r="C18" s="26"/>
    </row>
    <row r="19">
      <c r="B19" s="8" t="s">
        <v>44</v>
      </c>
      <c r="C19" s="9" t="s">
        <v>45</v>
      </c>
    </row>
    <row r="20">
      <c r="B20" s="8" t="s">
        <v>47</v>
      </c>
      <c r="C20" s="9" t="s">
        <v>48</v>
      </c>
    </row>
    <row r="21" ht="15.75" customHeight="1">
      <c r="B21" s="10" t="s">
        <v>50</v>
      </c>
      <c r="C21" s="12" t="s">
        <v>51</v>
      </c>
    </row>
    <row r="22" ht="15.75" customHeight="1">
      <c r="B22" s="10" t="s">
        <v>53</v>
      </c>
      <c r="C22" s="12" t="s">
        <v>54</v>
      </c>
    </row>
    <row r="23" ht="15.75" customHeight="1">
      <c r="B23" s="8" t="s">
        <v>55</v>
      </c>
      <c r="C23" s="9" t="s">
        <v>57</v>
      </c>
    </row>
    <row r="24" ht="15.75" customHeight="1">
      <c r="B24" s="8" t="s">
        <v>58</v>
      </c>
      <c r="C24" s="9" t="s">
        <v>59</v>
      </c>
    </row>
    <row r="25" ht="15.75" customHeight="1">
      <c r="B25" s="10" t="s">
        <v>60</v>
      </c>
      <c r="C25" s="12" t="s">
        <v>61</v>
      </c>
    </row>
    <row r="26" ht="15.75" customHeight="1">
      <c r="B26" s="25" t="s">
        <v>62</v>
      </c>
      <c r="C26" s="26"/>
    </row>
    <row r="27" ht="15.75" customHeight="1">
      <c r="B27" s="34" t="s">
        <v>66</v>
      </c>
      <c r="C27" s="35" t="s">
        <v>68</v>
      </c>
    </row>
    <row r="28" ht="15.75" customHeight="1">
      <c r="B28" s="34" t="s">
        <v>73</v>
      </c>
      <c r="C28" s="35" t="s">
        <v>74</v>
      </c>
    </row>
    <row r="29" ht="15.75" customHeight="1">
      <c r="B29" s="34" t="s">
        <v>76</v>
      </c>
      <c r="C29" s="35" t="s">
        <v>79</v>
      </c>
    </row>
    <row r="30" ht="15.75" customHeight="1"/>
    <row r="31" ht="15.75" customHeight="1">
      <c r="B31" s="36" t="s">
        <v>81</v>
      </c>
    </row>
    <row r="32" ht="15.75" customHeight="1">
      <c r="B32" s="37" t="s">
        <v>83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20.0"/>
    <col customWidth="1" min="2" max="2" width="44.0"/>
    <col customWidth="1" min="3" max="3" width="11.0"/>
    <col customWidth="1" min="4" max="4" width="14.0"/>
    <col customWidth="1" min="5" max="5" width="15.0"/>
    <col customWidth="1" min="6" max="6" width="16.0"/>
    <col customWidth="1" min="7" max="7" width="20.0"/>
    <col customWidth="1" min="8" max="8" width="14.0"/>
    <col customWidth="1" min="9" max="9" width="30.0"/>
    <col customWidth="1" min="10" max="26" width="8.71"/>
  </cols>
  <sheetData>
    <row r="1" ht="30.0" customHeight="1">
      <c r="A1" s="1" t="s">
        <v>1</v>
      </c>
      <c r="B1" s="2"/>
      <c r="C1" s="2"/>
      <c r="D1" s="2"/>
      <c r="E1" s="2"/>
      <c r="F1" s="2"/>
      <c r="G1" s="2"/>
      <c r="H1" s="2"/>
      <c r="I1" s="3"/>
    </row>
    <row r="2">
      <c r="A2" s="4" t="s">
        <v>2</v>
      </c>
    </row>
    <row r="4" ht="31.5" customHeight="1">
      <c r="A4" s="5" t="s">
        <v>4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11</v>
      </c>
      <c r="G4" s="5" t="s">
        <v>12</v>
      </c>
      <c r="H4" s="5" t="s">
        <v>13</v>
      </c>
      <c r="I4" s="5" t="s">
        <v>15</v>
      </c>
    </row>
    <row r="5">
      <c r="A5" s="11" t="s">
        <v>17</v>
      </c>
      <c r="B5" s="13" t="s">
        <v>19</v>
      </c>
      <c r="C5" s="14" t="s">
        <v>22</v>
      </c>
      <c r="D5" s="15">
        <v>250.0</v>
      </c>
      <c r="E5" s="16">
        <v>120.0</v>
      </c>
      <c r="F5" s="28">
        <f t="shared" ref="F5:F110" si="1">IFERROR(E5/D5,0)</f>
        <v>0.48</v>
      </c>
      <c r="G5" s="30"/>
      <c r="H5" s="32"/>
      <c r="I5" s="30" t="s">
        <v>64</v>
      </c>
    </row>
    <row r="6">
      <c r="A6" s="11" t="s">
        <v>17</v>
      </c>
      <c r="B6" s="13" t="s">
        <v>70</v>
      </c>
      <c r="C6" s="14" t="s">
        <v>22</v>
      </c>
      <c r="D6" s="15">
        <v>500.0</v>
      </c>
      <c r="E6" s="16">
        <v>165.0</v>
      </c>
      <c r="F6" s="28">
        <f t="shared" si="1"/>
        <v>0.33</v>
      </c>
      <c r="G6" s="30"/>
      <c r="H6" s="32"/>
      <c r="I6" s="30"/>
    </row>
    <row r="7">
      <c r="A7" s="11" t="s">
        <v>85</v>
      </c>
      <c r="B7" s="13" t="s">
        <v>86</v>
      </c>
      <c r="C7" s="14" t="s">
        <v>22</v>
      </c>
      <c r="D7" s="15">
        <v>100.0</v>
      </c>
      <c r="E7" s="16">
        <v>290.0</v>
      </c>
      <c r="F7" s="28">
        <f t="shared" si="1"/>
        <v>2.9</v>
      </c>
      <c r="G7" s="30"/>
      <c r="H7" s="32"/>
      <c r="I7" s="30"/>
    </row>
    <row r="8">
      <c r="A8" s="11" t="s">
        <v>85</v>
      </c>
      <c r="B8" s="13" t="s">
        <v>90</v>
      </c>
      <c r="C8" s="14" t="s">
        <v>91</v>
      </c>
      <c r="D8" s="15">
        <v>50.0</v>
      </c>
      <c r="E8" s="16">
        <v>460.0</v>
      </c>
      <c r="F8" s="28">
        <f t="shared" si="1"/>
        <v>9.2</v>
      </c>
      <c r="G8" s="30"/>
      <c r="H8" s="32"/>
      <c r="I8" s="30"/>
    </row>
    <row r="9">
      <c r="A9" s="11" t="s">
        <v>85</v>
      </c>
      <c r="B9" s="13" t="s">
        <v>96</v>
      </c>
      <c r="C9" s="14" t="s">
        <v>91</v>
      </c>
      <c r="D9" s="15">
        <v>50.0</v>
      </c>
      <c r="E9" s="16">
        <v>150.0</v>
      </c>
      <c r="F9" s="28">
        <f t="shared" si="1"/>
        <v>3</v>
      </c>
      <c r="G9" s="30"/>
      <c r="H9" s="32"/>
      <c r="I9" s="30"/>
    </row>
    <row r="10">
      <c r="A10" s="11" t="s">
        <v>85</v>
      </c>
      <c r="B10" s="13" t="s">
        <v>102</v>
      </c>
      <c r="C10" s="14" t="s">
        <v>91</v>
      </c>
      <c r="D10" s="15">
        <v>50.0</v>
      </c>
      <c r="E10" s="16">
        <v>175.0</v>
      </c>
      <c r="F10" s="28">
        <f t="shared" si="1"/>
        <v>3.5</v>
      </c>
      <c r="G10" s="30"/>
      <c r="H10" s="32"/>
      <c r="I10" s="30"/>
    </row>
    <row r="11">
      <c r="A11" s="11" t="s">
        <v>85</v>
      </c>
      <c r="B11" s="13" t="s">
        <v>109</v>
      </c>
      <c r="C11" s="14" t="s">
        <v>91</v>
      </c>
      <c r="D11" s="15">
        <v>250.0</v>
      </c>
      <c r="E11" s="16">
        <v>145.0</v>
      </c>
      <c r="F11" s="28">
        <f t="shared" si="1"/>
        <v>0.58</v>
      </c>
      <c r="G11" s="30"/>
      <c r="H11" s="32"/>
      <c r="I11" s="30"/>
    </row>
    <row r="12">
      <c r="A12" s="11" t="s">
        <v>85</v>
      </c>
      <c r="B12" s="13" t="s">
        <v>117</v>
      </c>
      <c r="C12" s="14" t="s">
        <v>91</v>
      </c>
      <c r="D12" s="15">
        <v>20.0</v>
      </c>
      <c r="E12" s="16">
        <v>140.0</v>
      </c>
      <c r="F12" s="28">
        <f t="shared" si="1"/>
        <v>7</v>
      </c>
      <c r="G12" s="30"/>
      <c r="H12" s="32"/>
      <c r="I12" s="30"/>
    </row>
    <row r="13">
      <c r="A13" s="11" t="s">
        <v>85</v>
      </c>
      <c r="B13" s="13" t="s">
        <v>118</v>
      </c>
      <c r="C13" s="14" t="s">
        <v>91</v>
      </c>
      <c r="D13" s="15">
        <v>100.0</v>
      </c>
      <c r="E13" s="16">
        <v>340.0</v>
      </c>
      <c r="F13" s="28">
        <f t="shared" si="1"/>
        <v>3.4</v>
      </c>
      <c r="G13" s="30"/>
      <c r="H13" s="32"/>
      <c r="I13" s="30"/>
    </row>
    <row r="14">
      <c r="A14" s="11" t="s">
        <v>85</v>
      </c>
      <c r="B14" s="13" t="s">
        <v>121</v>
      </c>
      <c r="C14" s="14" t="s">
        <v>122</v>
      </c>
      <c r="D14" s="15">
        <v>5.0</v>
      </c>
      <c r="E14" s="16">
        <v>320.0</v>
      </c>
      <c r="F14" s="28">
        <f t="shared" si="1"/>
        <v>64</v>
      </c>
      <c r="G14" s="30"/>
      <c r="H14" s="32"/>
      <c r="I14" s="30"/>
    </row>
    <row r="15">
      <c r="A15" s="11" t="s">
        <v>123</v>
      </c>
      <c r="B15" s="13" t="s">
        <v>124</v>
      </c>
      <c r="C15" s="14" t="s">
        <v>91</v>
      </c>
      <c r="D15" s="15">
        <v>100.0</v>
      </c>
      <c r="E15" s="16">
        <v>45.0</v>
      </c>
      <c r="F15" s="28">
        <f t="shared" si="1"/>
        <v>0.45</v>
      </c>
      <c r="G15" s="30"/>
      <c r="H15" s="32"/>
      <c r="I15" s="30"/>
    </row>
    <row r="16">
      <c r="A16" s="11" t="s">
        <v>123</v>
      </c>
      <c r="B16" s="13" t="s">
        <v>125</v>
      </c>
      <c r="C16" s="14" t="s">
        <v>91</v>
      </c>
      <c r="D16" s="15">
        <v>100.0</v>
      </c>
      <c r="E16" s="16">
        <v>60.0</v>
      </c>
      <c r="F16" s="28">
        <f t="shared" si="1"/>
        <v>0.6</v>
      </c>
      <c r="G16" s="30"/>
      <c r="H16" s="32"/>
      <c r="I16" s="30"/>
    </row>
    <row r="17">
      <c r="A17" s="11" t="s">
        <v>123</v>
      </c>
      <c r="B17" s="13" t="s">
        <v>127</v>
      </c>
      <c r="C17" s="14" t="s">
        <v>91</v>
      </c>
      <c r="D17" s="15">
        <v>100.0</v>
      </c>
      <c r="E17" s="16">
        <v>45.0</v>
      </c>
      <c r="F17" s="28">
        <f t="shared" si="1"/>
        <v>0.45</v>
      </c>
      <c r="G17" s="30"/>
      <c r="H17" s="32"/>
      <c r="I17" s="30"/>
    </row>
    <row r="18">
      <c r="A18" s="11" t="s">
        <v>123</v>
      </c>
      <c r="B18" s="13" t="s">
        <v>128</v>
      </c>
      <c r="C18" s="14" t="s">
        <v>91</v>
      </c>
      <c r="D18" s="15">
        <v>100.0</v>
      </c>
      <c r="E18" s="16">
        <v>40.0</v>
      </c>
      <c r="F18" s="28">
        <f t="shared" si="1"/>
        <v>0.4</v>
      </c>
      <c r="G18" s="30"/>
      <c r="H18" s="32"/>
      <c r="I18" s="30"/>
    </row>
    <row r="19">
      <c r="A19" s="11" t="s">
        <v>123</v>
      </c>
      <c r="B19" s="13" t="s">
        <v>130</v>
      </c>
      <c r="C19" s="14" t="s">
        <v>91</v>
      </c>
      <c r="D19" s="15">
        <v>100.0</v>
      </c>
      <c r="E19" s="16">
        <v>55.0</v>
      </c>
      <c r="F19" s="28">
        <f t="shared" si="1"/>
        <v>0.55</v>
      </c>
      <c r="G19" s="30"/>
      <c r="H19" s="32"/>
      <c r="I19" s="30"/>
    </row>
    <row r="20">
      <c r="A20" s="11" t="s">
        <v>132</v>
      </c>
      <c r="B20" s="13" t="s">
        <v>133</v>
      </c>
      <c r="C20" s="14" t="s">
        <v>91</v>
      </c>
      <c r="D20" s="15">
        <v>500.0</v>
      </c>
      <c r="E20" s="16">
        <v>210.0</v>
      </c>
      <c r="F20" s="28">
        <f t="shared" si="1"/>
        <v>0.42</v>
      </c>
      <c r="G20" s="30"/>
      <c r="H20" s="32"/>
      <c r="I20" s="30"/>
    </row>
    <row r="21" ht="15.75" customHeight="1">
      <c r="A21" s="11" t="s">
        <v>132</v>
      </c>
      <c r="B21" s="13" t="s">
        <v>134</v>
      </c>
      <c r="C21" s="14" t="s">
        <v>91</v>
      </c>
      <c r="D21" s="15">
        <v>1000.0</v>
      </c>
      <c r="E21" s="16">
        <v>780.0</v>
      </c>
      <c r="F21" s="28">
        <f t="shared" si="1"/>
        <v>0.78</v>
      </c>
      <c r="G21" s="30"/>
      <c r="H21" s="32"/>
      <c r="I21" s="30"/>
    </row>
    <row r="22" ht="15.75" customHeight="1">
      <c r="A22" s="11" t="s">
        <v>132</v>
      </c>
      <c r="B22" s="13" t="s">
        <v>137</v>
      </c>
      <c r="C22" s="14" t="s">
        <v>91</v>
      </c>
      <c r="D22" s="15">
        <v>1000.0</v>
      </c>
      <c r="E22" s="16">
        <v>410.0</v>
      </c>
      <c r="F22" s="28">
        <f t="shared" si="1"/>
        <v>0.41</v>
      </c>
      <c r="G22" s="30"/>
      <c r="H22" s="32"/>
      <c r="I22" s="30"/>
    </row>
    <row r="23" ht="15.75" customHeight="1">
      <c r="A23" s="11" t="s">
        <v>132</v>
      </c>
      <c r="B23" s="13" t="s">
        <v>141</v>
      </c>
      <c r="C23" s="14" t="s">
        <v>91</v>
      </c>
      <c r="D23" s="15">
        <v>1000.0</v>
      </c>
      <c r="E23" s="16">
        <v>395.0</v>
      </c>
      <c r="F23" s="28">
        <f t="shared" si="1"/>
        <v>0.395</v>
      </c>
      <c r="G23" s="30"/>
      <c r="H23" s="32"/>
      <c r="I23" s="30"/>
    </row>
    <row r="24" ht="15.75" customHeight="1">
      <c r="A24" s="11" t="s">
        <v>132</v>
      </c>
      <c r="B24" s="13" t="s">
        <v>144</v>
      </c>
      <c r="C24" s="14" t="s">
        <v>91</v>
      </c>
      <c r="D24" s="15">
        <v>1000.0</v>
      </c>
      <c r="E24" s="16">
        <v>380.0</v>
      </c>
      <c r="F24" s="28">
        <f t="shared" si="1"/>
        <v>0.38</v>
      </c>
      <c r="G24" s="30"/>
      <c r="H24" s="32"/>
      <c r="I24" s="30"/>
    </row>
    <row r="25" ht="15.75" customHeight="1">
      <c r="A25" s="11" t="s">
        <v>132</v>
      </c>
      <c r="B25" s="13" t="s">
        <v>147</v>
      </c>
      <c r="C25" s="14" t="s">
        <v>91</v>
      </c>
      <c r="D25" s="15">
        <v>500.0</v>
      </c>
      <c r="E25" s="16">
        <v>480.0</v>
      </c>
      <c r="F25" s="28">
        <f t="shared" si="1"/>
        <v>0.96</v>
      </c>
      <c r="G25" s="30"/>
      <c r="H25" s="32"/>
      <c r="I25" s="30"/>
    </row>
    <row r="26" ht="15.75" customHeight="1">
      <c r="A26" s="11" t="s">
        <v>149</v>
      </c>
      <c r="B26" s="13" t="s">
        <v>150</v>
      </c>
      <c r="C26" s="14" t="s">
        <v>91</v>
      </c>
      <c r="D26" s="15">
        <v>250.0</v>
      </c>
      <c r="E26" s="16">
        <v>110.0</v>
      </c>
      <c r="F26" s="28">
        <f t="shared" si="1"/>
        <v>0.44</v>
      </c>
      <c r="G26" s="30"/>
      <c r="H26" s="32"/>
      <c r="I26" s="30"/>
    </row>
    <row r="27" ht="15.75" customHeight="1">
      <c r="A27" s="11" t="s">
        <v>152</v>
      </c>
      <c r="B27" s="13" t="s">
        <v>153</v>
      </c>
      <c r="C27" s="14" t="s">
        <v>91</v>
      </c>
      <c r="D27" s="15">
        <v>1000.0</v>
      </c>
      <c r="E27" s="16">
        <v>60.0</v>
      </c>
      <c r="F27" s="28">
        <f t="shared" si="1"/>
        <v>0.06</v>
      </c>
      <c r="G27" s="30"/>
      <c r="H27" s="32"/>
      <c r="I27" s="30"/>
    </row>
    <row r="28" ht="15.75" customHeight="1">
      <c r="A28" s="11" t="s">
        <v>152</v>
      </c>
      <c r="B28" s="13" t="s">
        <v>158</v>
      </c>
      <c r="C28" s="14" t="s">
        <v>22</v>
      </c>
      <c r="D28" s="15">
        <v>1000.0</v>
      </c>
      <c r="E28" s="16">
        <v>230.0</v>
      </c>
      <c r="F28" s="28">
        <f t="shared" si="1"/>
        <v>0.23</v>
      </c>
      <c r="G28" s="30"/>
      <c r="H28" s="32"/>
      <c r="I28" s="30"/>
    </row>
    <row r="29" ht="15.75" customHeight="1">
      <c r="A29" s="11" t="s">
        <v>152</v>
      </c>
      <c r="B29" s="13" t="s">
        <v>166</v>
      </c>
      <c r="C29" s="14" t="s">
        <v>22</v>
      </c>
      <c r="D29" s="15">
        <v>1000.0</v>
      </c>
      <c r="E29" s="16">
        <v>155.0</v>
      </c>
      <c r="F29" s="28">
        <f t="shared" si="1"/>
        <v>0.155</v>
      </c>
      <c r="G29" s="30"/>
      <c r="H29" s="32"/>
      <c r="I29" s="30"/>
    </row>
    <row r="30" ht="15.75" customHeight="1">
      <c r="A30" s="11" t="s">
        <v>152</v>
      </c>
      <c r="B30" s="13" t="s">
        <v>171</v>
      </c>
      <c r="C30" s="14" t="s">
        <v>22</v>
      </c>
      <c r="D30" s="15">
        <v>250.0</v>
      </c>
      <c r="E30" s="16">
        <v>185.0</v>
      </c>
      <c r="F30" s="28">
        <f t="shared" si="1"/>
        <v>0.74</v>
      </c>
      <c r="G30" s="30"/>
      <c r="H30" s="32"/>
      <c r="I30" s="30"/>
    </row>
    <row r="31" ht="15.75" customHeight="1">
      <c r="A31" s="11" t="s">
        <v>152</v>
      </c>
      <c r="B31" s="13" t="s">
        <v>173</v>
      </c>
      <c r="C31" s="14" t="s">
        <v>91</v>
      </c>
      <c r="D31" s="15">
        <v>1000.0</v>
      </c>
      <c r="E31" s="16">
        <v>55.0</v>
      </c>
      <c r="F31" s="28">
        <f t="shared" si="1"/>
        <v>0.055</v>
      </c>
      <c r="G31" s="30"/>
      <c r="H31" s="32"/>
      <c r="I31" s="30"/>
    </row>
    <row r="32" ht="15.75" customHeight="1">
      <c r="A32" s="11" t="s">
        <v>177</v>
      </c>
      <c r="B32" s="13" t="s">
        <v>178</v>
      </c>
      <c r="C32" s="14" t="s">
        <v>91</v>
      </c>
      <c r="D32" s="15">
        <v>100.0</v>
      </c>
      <c r="E32" s="16">
        <v>40.0</v>
      </c>
      <c r="F32" s="28">
        <f t="shared" si="1"/>
        <v>0.4</v>
      </c>
      <c r="G32" s="30"/>
      <c r="H32" s="32"/>
      <c r="I32" s="30"/>
    </row>
    <row r="33" ht="15.75" customHeight="1">
      <c r="A33" s="11" t="s">
        <v>177</v>
      </c>
      <c r="B33" s="13" t="s">
        <v>179</v>
      </c>
      <c r="C33" s="14" t="s">
        <v>91</v>
      </c>
      <c r="D33" s="15">
        <v>50.0</v>
      </c>
      <c r="E33" s="16">
        <v>90.0</v>
      </c>
      <c r="F33" s="28">
        <f t="shared" si="1"/>
        <v>1.8</v>
      </c>
      <c r="G33" s="30"/>
      <c r="H33" s="32"/>
      <c r="I33" s="30"/>
    </row>
    <row r="34" ht="15.75" customHeight="1">
      <c r="A34" s="11" t="s">
        <v>177</v>
      </c>
      <c r="B34" s="13" t="s">
        <v>182</v>
      </c>
      <c r="C34" s="14" t="s">
        <v>91</v>
      </c>
      <c r="D34" s="15">
        <v>100.0</v>
      </c>
      <c r="E34" s="16">
        <v>45.0</v>
      </c>
      <c r="F34" s="28">
        <f t="shared" si="1"/>
        <v>0.45</v>
      </c>
      <c r="G34" s="30"/>
      <c r="H34" s="32"/>
      <c r="I34" s="30"/>
    </row>
    <row r="35" ht="15.75" customHeight="1">
      <c r="A35" s="11" t="s">
        <v>177</v>
      </c>
      <c r="B35" s="13" t="s">
        <v>186</v>
      </c>
      <c r="C35" s="14" t="s">
        <v>91</v>
      </c>
      <c r="D35" s="15">
        <v>50.0</v>
      </c>
      <c r="E35" s="16">
        <v>110.0</v>
      </c>
      <c r="F35" s="28">
        <f t="shared" si="1"/>
        <v>2.2</v>
      </c>
      <c r="G35" s="30"/>
      <c r="H35" s="32"/>
      <c r="I35" s="30"/>
    </row>
    <row r="36" ht="15.75" customHeight="1">
      <c r="A36" s="11" t="s">
        <v>177</v>
      </c>
      <c r="B36" s="13" t="s">
        <v>187</v>
      </c>
      <c r="C36" s="14" t="s">
        <v>91</v>
      </c>
      <c r="D36" s="15">
        <v>100.0</v>
      </c>
      <c r="E36" s="16">
        <v>65.0</v>
      </c>
      <c r="F36" s="28">
        <f t="shared" si="1"/>
        <v>0.65</v>
      </c>
      <c r="G36" s="30"/>
      <c r="H36" s="32"/>
      <c r="I36" s="30"/>
    </row>
    <row r="37" ht="15.75" customHeight="1">
      <c r="A37" s="11" t="s">
        <v>177</v>
      </c>
      <c r="B37" s="13" t="s">
        <v>189</v>
      </c>
      <c r="C37" s="14" t="s">
        <v>91</v>
      </c>
      <c r="D37" s="15">
        <v>50.0</v>
      </c>
      <c r="E37" s="16">
        <v>55.0</v>
      </c>
      <c r="F37" s="28">
        <f t="shared" si="1"/>
        <v>1.1</v>
      </c>
      <c r="G37" s="30"/>
      <c r="H37" s="32"/>
      <c r="I37" s="30"/>
    </row>
    <row r="38" ht="15.75" customHeight="1">
      <c r="A38" s="11" t="s">
        <v>177</v>
      </c>
      <c r="B38" s="13" t="s">
        <v>190</v>
      </c>
      <c r="C38" s="14" t="s">
        <v>91</v>
      </c>
      <c r="D38" s="15">
        <v>100.0</v>
      </c>
      <c r="E38" s="16">
        <v>40.0</v>
      </c>
      <c r="F38" s="28">
        <f t="shared" si="1"/>
        <v>0.4</v>
      </c>
      <c r="G38" s="30"/>
      <c r="H38" s="32"/>
      <c r="I38" s="30"/>
    </row>
    <row r="39" ht="15.75" customHeight="1">
      <c r="A39" s="11" t="s">
        <v>177</v>
      </c>
      <c r="B39" s="13" t="s">
        <v>192</v>
      </c>
      <c r="C39" s="14" t="s">
        <v>91</v>
      </c>
      <c r="D39" s="15">
        <v>100.0</v>
      </c>
      <c r="E39" s="16">
        <v>45.0</v>
      </c>
      <c r="F39" s="28">
        <f t="shared" si="1"/>
        <v>0.45</v>
      </c>
      <c r="G39" s="30"/>
      <c r="H39" s="32"/>
      <c r="I39" s="30"/>
    </row>
    <row r="40" ht="15.75" customHeight="1">
      <c r="A40" s="11" t="s">
        <v>177</v>
      </c>
      <c r="B40" s="13" t="s">
        <v>194</v>
      </c>
      <c r="C40" s="14" t="s">
        <v>91</v>
      </c>
      <c r="D40" s="15">
        <v>100.0</v>
      </c>
      <c r="E40" s="16">
        <v>55.0</v>
      </c>
      <c r="F40" s="28">
        <f t="shared" si="1"/>
        <v>0.55</v>
      </c>
      <c r="G40" s="30"/>
      <c r="H40" s="32"/>
      <c r="I40" s="30"/>
    </row>
    <row r="41" ht="15.75" customHeight="1">
      <c r="A41" s="11" t="s">
        <v>177</v>
      </c>
      <c r="B41" s="13" t="s">
        <v>196</v>
      </c>
      <c r="C41" s="14" t="s">
        <v>91</v>
      </c>
      <c r="D41" s="15">
        <v>100.0</v>
      </c>
      <c r="E41" s="16">
        <v>95.0</v>
      </c>
      <c r="F41" s="28">
        <f t="shared" si="1"/>
        <v>0.95</v>
      </c>
      <c r="G41" s="30"/>
      <c r="H41" s="32"/>
      <c r="I41" s="30"/>
    </row>
    <row r="42" ht="15.75" customHeight="1">
      <c r="A42" s="11" t="s">
        <v>177</v>
      </c>
      <c r="B42" s="13" t="s">
        <v>198</v>
      </c>
      <c r="C42" s="14" t="s">
        <v>91</v>
      </c>
      <c r="D42" s="15">
        <v>50.0</v>
      </c>
      <c r="E42" s="16">
        <v>85.0</v>
      </c>
      <c r="F42" s="28">
        <f t="shared" si="1"/>
        <v>1.7</v>
      </c>
      <c r="G42" s="30"/>
      <c r="H42" s="32"/>
      <c r="I42" s="30"/>
    </row>
    <row r="43" ht="15.75" customHeight="1">
      <c r="A43" s="11" t="s">
        <v>177</v>
      </c>
      <c r="B43" s="13" t="s">
        <v>200</v>
      </c>
      <c r="C43" s="14" t="s">
        <v>91</v>
      </c>
      <c r="D43" s="15">
        <v>50.0</v>
      </c>
      <c r="E43" s="16">
        <v>35.0</v>
      </c>
      <c r="F43" s="28">
        <f t="shared" si="1"/>
        <v>0.7</v>
      </c>
      <c r="G43" s="30"/>
      <c r="H43" s="32"/>
      <c r="I43" s="30"/>
    </row>
    <row r="44" ht="15.75" customHeight="1">
      <c r="A44" s="11" t="s">
        <v>177</v>
      </c>
      <c r="B44" s="13" t="s">
        <v>201</v>
      </c>
      <c r="C44" s="14" t="s">
        <v>91</v>
      </c>
      <c r="D44" s="15">
        <v>50.0</v>
      </c>
      <c r="E44" s="16">
        <v>35.0</v>
      </c>
      <c r="F44" s="28">
        <f t="shared" si="1"/>
        <v>0.7</v>
      </c>
      <c r="G44" s="30"/>
      <c r="H44" s="32"/>
      <c r="I44" s="30"/>
    </row>
    <row r="45" ht="15.75" customHeight="1">
      <c r="A45" s="11" t="s">
        <v>177</v>
      </c>
      <c r="B45" s="13" t="s">
        <v>202</v>
      </c>
      <c r="C45" s="14" t="s">
        <v>91</v>
      </c>
      <c r="D45" s="15">
        <v>100.0</v>
      </c>
      <c r="E45" s="16">
        <v>70.0</v>
      </c>
      <c r="F45" s="28">
        <f t="shared" si="1"/>
        <v>0.7</v>
      </c>
      <c r="G45" s="30"/>
      <c r="H45" s="32"/>
      <c r="I45" s="30"/>
    </row>
    <row r="46" ht="15.75" customHeight="1">
      <c r="A46" s="11" t="s">
        <v>177</v>
      </c>
      <c r="B46" s="13" t="s">
        <v>205</v>
      </c>
      <c r="C46" s="14" t="s">
        <v>91</v>
      </c>
      <c r="D46" s="15">
        <v>100.0</v>
      </c>
      <c r="E46" s="16">
        <v>95.0</v>
      </c>
      <c r="F46" s="28">
        <f t="shared" si="1"/>
        <v>0.95</v>
      </c>
      <c r="G46" s="30"/>
      <c r="H46" s="32"/>
      <c r="I46" s="30"/>
    </row>
    <row r="47" ht="15.75" customHeight="1">
      <c r="A47" s="11" t="s">
        <v>177</v>
      </c>
      <c r="B47" s="13" t="s">
        <v>207</v>
      </c>
      <c r="C47" s="14" t="s">
        <v>91</v>
      </c>
      <c r="D47" s="15">
        <v>100.0</v>
      </c>
      <c r="E47" s="16">
        <v>95.0</v>
      </c>
      <c r="F47" s="28">
        <f t="shared" si="1"/>
        <v>0.95</v>
      </c>
      <c r="G47" s="30"/>
      <c r="H47" s="32"/>
      <c r="I47" s="30"/>
    </row>
    <row r="48" ht="15.75" customHeight="1">
      <c r="A48" s="11" t="s">
        <v>177</v>
      </c>
      <c r="B48" s="13" t="s">
        <v>209</v>
      </c>
      <c r="C48" s="14" t="s">
        <v>91</v>
      </c>
      <c r="D48" s="15">
        <v>100.0</v>
      </c>
      <c r="E48" s="16">
        <v>75.0</v>
      </c>
      <c r="F48" s="28">
        <f t="shared" si="1"/>
        <v>0.75</v>
      </c>
      <c r="G48" s="30"/>
      <c r="H48" s="32"/>
      <c r="I48" s="30"/>
    </row>
    <row r="49" ht="15.75" customHeight="1">
      <c r="A49" s="11" t="s">
        <v>177</v>
      </c>
      <c r="B49" s="13" t="s">
        <v>212</v>
      </c>
      <c r="C49" s="14" t="s">
        <v>91</v>
      </c>
      <c r="D49" s="15">
        <v>100.0</v>
      </c>
      <c r="E49" s="16">
        <v>60.0</v>
      </c>
      <c r="F49" s="28">
        <f t="shared" si="1"/>
        <v>0.6</v>
      </c>
      <c r="G49" s="30"/>
      <c r="H49" s="32"/>
      <c r="I49" s="30"/>
    </row>
    <row r="50" ht="15.75" customHeight="1">
      <c r="A50" s="11" t="s">
        <v>177</v>
      </c>
      <c r="B50" s="13" t="s">
        <v>213</v>
      </c>
      <c r="C50" s="14" t="s">
        <v>91</v>
      </c>
      <c r="D50" s="15">
        <v>100.0</v>
      </c>
      <c r="E50" s="16">
        <v>80.0</v>
      </c>
      <c r="F50" s="28">
        <f t="shared" si="1"/>
        <v>0.8</v>
      </c>
      <c r="G50" s="30"/>
      <c r="H50" s="32"/>
      <c r="I50" s="30"/>
    </row>
    <row r="51" ht="15.75" customHeight="1">
      <c r="A51" s="11" t="s">
        <v>177</v>
      </c>
      <c r="B51" s="13" t="s">
        <v>204</v>
      </c>
      <c r="C51" s="14" t="s">
        <v>91</v>
      </c>
      <c r="D51" s="15">
        <v>200.0</v>
      </c>
      <c r="E51" s="16">
        <v>120.0</v>
      </c>
      <c r="F51" s="28">
        <f t="shared" si="1"/>
        <v>0.6</v>
      </c>
      <c r="G51" s="30"/>
      <c r="H51" s="32"/>
      <c r="I51" s="30"/>
    </row>
    <row r="52" ht="15.75" customHeight="1">
      <c r="A52" s="11" t="s">
        <v>177</v>
      </c>
      <c r="B52" s="13" t="s">
        <v>214</v>
      </c>
      <c r="C52" s="14" t="s">
        <v>91</v>
      </c>
      <c r="D52" s="15">
        <v>100.0</v>
      </c>
      <c r="E52" s="16">
        <v>120.0</v>
      </c>
      <c r="F52" s="28">
        <f t="shared" si="1"/>
        <v>1.2</v>
      </c>
      <c r="G52" s="30"/>
      <c r="H52" s="32"/>
      <c r="I52" s="30"/>
    </row>
    <row r="53" ht="15.75" customHeight="1">
      <c r="A53" s="11" t="s">
        <v>177</v>
      </c>
      <c r="B53" s="13" t="s">
        <v>216</v>
      </c>
      <c r="C53" s="14" t="s">
        <v>91</v>
      </c>
      <c r="D53" s="15">
        <v>100.0</v>
      </c>
      <c r="E53" s="16">
        <v>45.0</v>
      </c>
      <c r="F53" s="28">
        <f t="shared" si="1"/>
        <v>0.45</v>
      </c>
      <c r="G53" s="30"/>
      <c r="H53" s="32"/>
      <c r="I53" s="30"/>
    </row>
    <row r="54" ht="15.75" customHeight="1">
      <c r="A54" s="11" t="s">
        <v>217</v>
      </c>
      <c r="B54" s="13" t="s">
        <v>218</v>
      </c>
      <c r="C54" s="14" t="s">
        <v>22</v>
      </c>
      <c r="D54" s="15">
        <v>120.0</v>
      </c>
      <c r="E54" s="16">
        <v>130.0</v>
      </c>
      <c r="F54" s="28">
        <f t="shared" si="1"/>
        <v>1.083333333</v>
      </c>
      <c r="G54" s="30"/>
      <c r="H54" s="32"/>
      <c r="I54" s="30"/>
    </row>
    <row r="55" ht="15.75" customHeight="1">
      <c r="A55" s="11" t="s">
        <v>217</v>
      </c>
      <c r="B55" s="13" t="s">
        <v>219</v>
      </c>
      <c r="C55" s="14" t="s">
        <v>22</v>
      </c>
      <c r="D55" s="15">
        <v>60.0</v>
      </c>
      <c r="E55" s="16">
        <v>95.0</v>
      </c>
      <c r="F55" s="28">
        <f t="shared" si="1"/>
        <v>1.583333333</v>
      </c>
      <c r="G55" s="30"/>
      <c r="H55" s="32"/>
      <c r="I55" s="30"/>
    </row>
    <row r="56" ht="15.75" customHeight="1">
      <c r="A56" s="11" t="s">
        <v>217</v>
      </c>
      <c r="B56" s="13" t="s">
        <v>222</v>
      </c>
      <c r="C56" s="14" t="s">
        <v>22</v>
      </c>
      <c r="D56" s="15">
        <v>60.0</v>
      </c>
      <c r="E56" s="16">
        <v>95.0</v>
      </c>
      <c r="F56" s="28">
        <f t="shared" si="1"/>
        <v>1.583333333</v>
      </c>
      <c r="G56" s="30"/>
      <c r="H56" s="32"/>
      <c r="I56" s="30"/>
    </row>
    <row r="57" ht="15.75" customHeight="1">
      <c r="A57" s="11" t="s">
        <v>224</v>
      </c>
      <c r="B57" s="13" t="s">
        <v>225</v>
      </c>
      <c r="C57" s="14" t="s">
        <v>91</v>
      </c>
      <c r="D57" s="15">
        <v>1000.0</v>
      </c>
      <c r="E57" s="16">
        <v>35.0</v>
      </c>
      <c r="F57" s="28">
        <f t="shared" si="1"/>
        <v>0.035</v>
      </c>
      <c r="G57" s="30"/>
      <c r="H57" s="32"/>
      <c r="I57" s="30"/>
    </row>
    <row r="58" ht="15.75" customHeight="1">
      <c r="A58" s="11" t="s">
        <v>224</v>
      </c>
      <c r="B58" s="13" t="s">
        <v>227</v>
      </c>
      <c r="C58" s="14" t="s">
        <v>91</v>
      </c>
      <c r="D58" s="15">
        <v>250.0</v>
      </c>
      <c r="E58" s="16">
        <v>20.0</v>
      </c>
      <c r="F58" s="28">
        <f t="shared" si="1"/>
        <v>0.08</v>
      </c>
      <c r="G58" s="30"/>
      <c r="H58" s="32"/>
      <c r="I58" s="30"/>
    </row>
    <row r="59" ht="15.75" customHeight="1">
      <c r="A59" s="11" t="s">
        <v>224</v>
      </c>
      <c r="B59" s="13" t="s">
        <v>228</v>
      </c>
      <c r="C59" s="14" t="s">
        <v>91</v>
      </c>
      <c r="D59" s="15">
        <v>100.0</v>
      </c>
      <c r="E59" s="16">
        <v>25.0</v>
      </c>
      <c r="F59" s="28">
        <f t="shared" si="1"/>
        <v>0.25</v>
      </c>
      <c r="G59" s="30"/>
      <c r="H59" s="32"/>
      <c r="I59" s="30"/>
    </row>
    <row r="60" ht="15.75" customHeight="1">
      <c r="A60" s="11" t="s">
        <v>224</v>
      </c>
      <c r="B60" s="13" t="s">
        <v>230</v>
      </c>
      <c r="C60" s="14" t="s">
        <v>91</v>
      </c>
      <c r="D60" s="15">
        <v>250.0</v>
      </c>
      <c r="E60" s="16">
        <v>18.0</v>
      </c>
      <c r="F60" s="28">
        <f t="shared" si="1"/>
        <v>0.072</v>
      </c>
      <c r="G60" s="30"/>
      <c r="H60" s="32"/>
      <c r="I60" s="30"/>
    </row>
    <row r="61" ht="15.75" customHeight="1">
      <c r="A61" s="11" t="s">
        <v>224</v>
      </c>
      <c r="B61" s="13" t="s">
        <v>231</v>
      </c>
      <c r="C61" s="14" t="s">
        <v>91</v>
      </c>
      <c r="D61" s="15">
        <v>250.0</v>
      </c>
      <c r="E61" s="16">
        <v>30.0</v>
      </c>
      <c r="F61" s="28">
        <f t="shared" si="1"/>
        <v>0.12</v>
      </c>
      <c r="G61" s="30"/>
      <c r="H61" s="32"/>
      <c r="I61" s="30"/>
    </row>
    <row r="62" ht="15.75" customHeight="1">
      <c r="A62" s="11" t="s">
        <v>224</v>
      </c>
      <c r="B62" s="13" t="s">
        <v>233</v>
      </c>
      <c r="C62" s="14" t="s">
        <v>91</v>
      </c>
      <c r="D62" s="15">
        <v>100.0</v>
      </c>
      <c r="E62" s="16">
        <v>45.0</v>
      </c>
      <c r="F62" s="28">
        <f t="shared" si="1"/>
        <v>0.45</v>
      </c>
      <c r="G62" s="30"/>
      <c r="H62" s="32"/>
      <c r="I62" s="30"/>
    </row>
    <row r="63" ht="15.75" customHeight="1">
      <c r="A63" s="11" t="s">
        <v>235</v>
      </c>
      <c r="B63" s="13" t="s">
        <v>237</v>
      </c>
      <c r="C63" s="14" t="s">
        <v>91</v>
      </c>
      <c r="D63" s="15">
        <v>250.0</v>
      </c>
      <c r="E63" s="16">
        <v>55.0</v>
      </c>
      <c r="F63" s="28">
        <f t="shared" si="1"/>
        <v>0.22</v>
      </c>
      <c r="G63" s="30"/>
      <c r="H63" s="32"/>
      <c r="I63" s="30"/>
    </row>
    <row r="64" ht="15.75" customHeight="1">
      <c r="A64" s="11" t="s">
        <v>235</v>
      </c>
      <c r="B64" s="13" t="s">
        <v>239</v>
      </c>
      <c r="C64" s="14" t="s">
        <v>91</v>
      </c>
      <c r="D64" s="15">
        <v>500.0</v>
      </c>
      <c r="E64" s="16">
        <v>95.0</v>
      </c>
      <c r="F64" s="28">
        <f t="shared" si="1"/>
        <v>0.19</v>
      </c>
      <c r="G64" s="30"/>
      <c r="H64" s="32"/>
      <c r="I64" s="30"/>
    </row>
    <row r="65" ht="15.75" customHeight="1">
      <c r="A65" s="11" t="s">
        <v>235</v>
      </c>
      <c r="B65" s="13" t="s">
        <v>241</v>
      </c>
      <c r="C65" s="14" t="s">
        <v>91</v>
      </c>
      <c r="D65" s="15">
        <v>300.0</v>
      </c>
      <c r="E65" s="16">
        <v>190.0</v>
      </c>
      <c r="F65" s="28">
        <f t="shared" si="1"/>
        <v>0.6333333333</v>
      </c>
      <c r="G65" s="30"/>
      <c r="H65" s="32"/>
      <c r="I65" s="30"/>
    </row>
    <row r="66" ht="15.75" customHeight="1">
      <c r="A66" s="11" t="s">
        <v>235</v>
      </c>
      <c r="B66" s="13" t="s">
        <v>243</v>
      </c>
      <c r="C66" s="14" t="s">
        <v>91</v>
      </c>
      <c r="D66" s="15">
        <v>250.0</v>
      </c>
      <c r="E66" s="16">
        <v>145.0</v>
      </c>
      <c r="F66" s="28">
        <f t="shared" si="1"/>
        <v>0.58</v>
      </c>
      <c r="G66" s="30"/>
      <c r="H66" s="32"/>
      <c r="I66" s="30"/>
    </row>
    <row r="67" ht="15.75" customHeight="1">
      <c r="A67" s="11" t="s">
        <v>235</v>
      </c>
      <c r="B67" s="13" t="s">
        <v>244</v>
      </c>
      <c r="C67" s="14" t="s">
        <v>91</v>
      </c>
      <c r="D67" s="15">
        <v>250.0</v>
      </c>
      <c r="E67" s="16">
        <v>190.0</v>
      </c>
      <c r="F67" s="28">
        <f t="shared" si="1"/>
        <v>0.76</v>
      </c>
      <c r="G67" s="30"/>
      <c r="H67" s="32"/>
      <c r="I67" s="30"/>
    </row>
    <row r="68" ht="15.75" customHeight="1">
      <c r="A68" s="11" t="s">
        <v>235</v>
      </c>
      <c r="B68" s="13" t="s">
        <v>245</v>
      </c>
      <c r="C68" s="14" t="s">
        <v>91</v>
      </c>
      <c r="D68" s="15">
        <v>250.0</v>
      </c>
      <c r="E68" s="16">
        <v>220.0</v>
      </c>
      <c r="F68" s="28">
        <f t="shared" si="1"/>
        <v>0.88</v>
      </c>
      <c r="G68" s="30"/>
      <c r="H68" s="32"/>
      <c r="I68" s="30"/>
    </row>
    <row r="69" ht="15.75" customHeight="1">
      <c r="A69" s="11" t="s">
        <v>235</v>
      </c>
      <c r="B69" s="13" t="s">
        <v>246</v>
      </c>
      <c r="C69" s="14" t="s">
        <v>91</v>
      </c>
      <c r="D69" s="15">
        <v>250.0</v>
      </c>
      <c r="E69" s="16">
        <v>85.0</v>
      </c>
      <c r="F69" s="28">
        <f t="shared" si="1"/>
        <v>0.34</v>
      </c>
      <c r="G69" s="30"/>
      <c r="H69" s="32"/>
      <c r="I69" s="30"/>
    </row>
    <row r="70" ht="15.75" customHeight="1">
      <c r="A70" s="11" t="s">
        <v>248</v>
      </c>
      <c r="B70" s="13" t="s">
        <v>249</v>
      </c>
      <c r="C70" s="14" t="s">
        <v>91</v>
      </c>
      <c r="D70" s="15">
        <v>1000.0</v>
      </c>
      <c r="E70" s="16">
        <v>210.0</v>
      </c>
      <c r="F70" s="28">
        <f t="shared" si="1"/>
        <v>0.21</v>
      </c>
      <c r="G70" s="30"/>
      <c r="H70" s="32"/>
      <c r="I70" s="30"/>
    </row>
    <row r="71" ht="15.75" customHeight="1">
      <c r="A71" s="11" t="s">
        <v>248</v>
      </c>
      <c r="B71" s="13" t="s">
        <v>252</v>
      </c>
      <c r="C71" s="14" t="s">
        <v>91</v>
      </c>
      <c r="D71" s="15">
        <v>1000.0</v>
      </c>
      <c r="E71" s="16">
        <v>185.0</v>
      </c>
      <c r="F71" s="28">
        <f t="shared" si="1"/>
        <v>0.185</v>
      </c>
      <c r="G71" s="30"/>
      <c r="H71" s="32"/>
      <c r="I71" s="30"/>
    </row>
    <row r="72" ht="15.75" customHeight="1">
      <c r="A72" s="11" t="s">
        <v>248</v>
      </c>
      <c r="B72" s="13" t="s">
        <v>254</v>
      </c>
      <c r="C72" s="14" t="s">
        <v>91</v>
      </c>
      <c r="D72" s="15">
        <v>500.0</v>
      </c>
      <c r="E72" s="16">
        <v>480.0</v>
      </c>
      <c r="F72" s="28">
        <f t="shared" si="1"/>
        <v>0.96</v>
      </c>
      <c r="G72" s="30"/>
      <c r="H72" s="32"/>
      <c r="I72" s="30"/>
    </row>
    <row r="73" ht="15.75" customHeight="1">
      <c r="A73" s="11" t="s">
        <v>248</v>
      </c>
      <c r="B73" s="13" t="s">
        <v>256</v>
      </c>
      <c r="C73" s="14" t="s">
        <v>91</v>
      </c>
      <c r="D73" s="15">
        <v>500.0</v>
      </c>
      <c r="E73" s="16">
        <v>650.0</v>
      </c>
      <c r="F73" s="28">
        <f t="shared" si="1"/>
        <v>1.3</v>
      </c>
      <c r="G73" s="30"/>
      <c r="H73" s="32"/>
      <c r="I73" s="30"/>
    </row>
    <row r="74" ht="15.75" customHeight="1">
      <c r="A74" s="11" t="s">
        <v>248</v>
      </c>
      <c r="B74" s="13" t="s">
        <v>257</v>
      </c>
      <c r="C74" s="14" t="s">
        <v>91</v>
      </c>
      <c r="D74" s="15">
        <v>500.0</v>
      </c>
      <c r="E74" s="16">
        <v>130.0</v>
      </c>
      <c r="F74" s="28">
        <f t="shared" si="1"/>
        <v>0.26</v>
      </c>
      <c r="G74" s="30"/>
      <c r="H74" s="32"/>
      <c r="I74" s="30"/>
    </row>
    <row r="75" ht="15.75" customHeight="1">
      <c r="A75" s="11" t="s">
        <v>248</v>
      </c>
      <c r="B75" s="13" t="s">
        <v>258</v>
      </c>
      <c r="C75" s="14" t="s">
        <v>91</v>
      </c>
      <c r="D75" s="15">
        <v>1000.0</v>
      </c>
      <c r="E75" s="16">
        <v>190.0</v>
      </c>
      <c r="F75" s="28">
        <f t="shared" si="1"/>
        <v>0.19</v>
      </c>
      <c r="G75" s="30"/>
      <c r="H75" s="32"/>
      <c r="I75" s="30"/>
    </row>
    <row r="76" ht="15.75" customHeight="1">
      <c r="A76" s="11" t="s">
        <v>248</v>
      </c>
      <c r="B76" s="13" t="s">
        <v>259</v>
      </c>
      <c r="C76" s="14" t="s">
        <v>91</v>
      </c>
      <c r="D76" s="15">
        <v>1000.0</v>
      </c>
      <c r="E76" s="16">
        <v>720.0</v>
      </c>
      <c r="F76" s="28">
        <f t="shared" si="1"/>
        <v>0.72</v>
      </c>
      <c r="G76" s="30"/>
      <c r="H76" s="32"/>
      <c r="I76" s="30"/>
    </row>
    <row r="77" ht="15.75" customHeight="1">
      <c r="A77" s="11" t="s">
        <v>248</v>
      </c>
      <c r="B77" s="13" t="s">
        <v>262</v>
      </c>
      <c r="C77" s="14" t="s">
        <v>91</v>
      </c>
      <c r="D77" s="15">
        <v>1000.0</v>
      </c>
      <c r="E77" s="16">
        <v>690.0</v>
      </c>
      <c r="F77" s="28">
        <f t="shared" si="1"/>
        <v>0.69</v>
      </c>
      <c r="G77" s="30"/>
      <c r="H77" s="32"/>
      <c r="I77" s="30"/>
    </row>
    <row r="78" ht="15.75" customHeight="1">
      <c r="A78" s="11" t="s">
        <v>248</v>
      </c>
      <c r="B78" s="13" t="s">
        <v>264</v>
      </c>
      <c r="C78" s="14" t="s">
        <v>91</v>
      </c>
      <c r="D78" s="15">
        <v>1000.0</v>
      </c>
      <c r="E78" s="16">
        <v>120.0</v>
      </c>
      <c r="F78" s="28">
        <f t="shared" si="1"/>
        <v>0.12</v>
      </c>
      <c r="G78" s="30"/>
      <c r="H78" s="32"/>
      <c r="I78" s="30"/>
    </row>
    <row r="79" ht="15.75" customHeight="1">
      <c r="A79" s="11" t="s">
        <v>248</v>
      </c>
      <c r="B79" s="13" t="s">
        <v>265</v>
      </c>
      <c r="C79" s="14" t="s">
        <v>91</v>
      </c>
      <c r="D79" s="15">
        <v>1000.0</v>
      </c>
      <c r="E79" s="16">
        <v>85.0</v>
      </c>
      <c r="F79" s="28">
        <f t="shared" si="1"/>
        <v>0.085</v>
      </c>
      <c r="G79" s="30"/>
      <c r="H79" s="32"/>
      <c r="I79" s="30"/>
    </row>
    <row r="80" ht="15.75" customHeight="1">
      <c r="A80" s="11" t="s">
        <v>248</v>
      </c>
      <c r="B80" s="13" t="s">
        <v>94</v>
      </c>
      <c r="C80" s="14" t="s">
        <v>91</v>
      </c>
      <c r="D80" s="15">
        <v>1000.0</v>
      </c>
      <c r="E80" s="16">
        <v>220.0</v>
      </c>
      <c r="F80" s="28">
        <f t="shared" si="1"/>
        <v>0.22</v>
      </c>
      <c r="G80" s="30"/>
      <c r="H80" s="32"/>
      <c r="I80" s="30"/>
    </row>
    <row r="81" ht="15.75" customHeight="1">
      <c r="A81" s="11" t="s">
        <v>248</v>
      </c>
      <c r="B81" s="13" t="s">
        <v>269</v>
      </c>
      <c r="C81" s="14" t="s">
        <v>91</v>
      </c>
      <c r="D81" s="15">
        <v>500.0</v>
      </c>
      <c r="E81" s="16">
        <v>95.0</v>
      </c>
      <c r="F81" s="28">
        <f t="shared" si="1"/>
        <v>0.19</v>
      </c>
      <c r="G81" s="30"/>
      <c r="H81" s="32"/>
      <c r="I81" s="30"/>
    </row>
    <row r="82" ht="15.75" customHeight="1">
      <c r="A82" s="11" t="s">
        <v>248</v>
      </c>
      <c r="B82" s="13" t="s">
        <v>270</v>
      </c>
      <c r="C82" s="14" t="s">
        <v>91</v>
      </c>
      <c r="D82" s="15">
        <v>1000.0</v>
      </c>
      <c r="E82" s="16">
        <v>95.0</v>
      </c>
      <c r="F82" s="28">
        <f t="shared" si="1"/>
        <v>0.095</v>
      </c>
      <c r="G82" s="30"/>
      <c r="H82" s="32"/>
      <c r="I82" s="30"/>
    </row>
    <row r="83" ht="15.75" customHeight="1">
      <c r="A83" s="11" t="s">
        <v>272</v>
      </c>
      <c r="B83" s="13" t="s">
        <v>208</v>
      </c>
      <c r="C83" s="14" t="s">
        <v>91</v>
      </c>
      <c r="D83" s="15">
        <v>50.0</v>
      </c>
      <c r="E83" s="16">
        <v>25.0</v>
      </c>
      <c r="F83" s="28">
        <f t="shared" si="1"/>
        <v>0.5</v>
      </c>
      <c r="G83" s="30"/>
      <c r="H83" s="32"/>
      <c r="I83" s="30"/>
    </row>
    <row r="84" ht="15.75" customHeight="1">
      <c r="A84" s="11" t="s">
        <v>272</v>
      </c>
      <c r="B84" s="13" t="s">
        <v>273</v>
      </c>
      <c r="C84" s="14" t="s">
        <v>91</v>
      </c>
      <c r="D84" s="15">
        <v>50.0</v>
      </c>
      <c r="E84" s="16">
        <v>25.0</v>
      </c>
      <c r="F84" s="28">
        <f t="shared" si="1"/>
        <v>0.5</v>
      </c>
      <c r="G84" s="30"/>
      <c r="H84" s="32"/>
      <c r="I84" s="30"/>
    </row>
    <row r="85" ht="15.75" customHeight="1">
      <c r="A85" s="11" t="s">
        <v>272</v>
      </c>
      <c r="B85" s="13" t="s">
        <v>251</v>
      </c>
      <c r="C85" s="14" t="s">
        <v>91</v>
      </c>
      <c r="D85" s="15">
        <v>100.0</v>
      </c>
      <c r="E85" s="16">
        <v>15.0</v>
      </c>
      <c r="F85" s="28">
        <f t="shared" si="1"/>
        <v>0.15</v>
      </c>
      <c r="G85" s="30"/>
      <c r="H85" s="32"/>
      <c r="I85" s="30"/>
    </row>
    <row r="86" ht="15.75" customHeight="1">
      <c r="A86" s="11" t="s">
        <v>272</v>
      </c>
      <c r="B86" s="13" t="s">
        <v>275</v>
      </c>
      <c r="C86" s="14" t="s">
        <v>91</v>
      </c>
      <c r="D86" s="15">
        <v>50.0</v>
      </c>
      <c r="E86" s="16">
        <v>30.0</v>
      </c>
      <c r="F86" s="28">
        <f t="shared" si="1"/>
        <v>0.6</v>
      </c>
      <c r="G86" s="30"/>
      <c r="H86" s="32"/>
      <c r="I86" s="30"/>
    </row>
    <row r="87" ht="15.75" customHeight="1">
      <c r="A87" s="11" t="s">
        <v>272</v>
      </c>
      <c r="B87" s="13" t="s">
        <v>172</v>
      </c>
      <c r="C87" s="14" t="s">
        <v>91</v>
      </c>
      <c r="D87" s="15">
        <v>50.0</v>
      </c>
      <c r="E87" s="16">
        <v>28.0</v>
      </c>
      <c r="F87" s="28">
        <f t="shared" si="1"/>
        <v>0.56</v>
      </c>
      <c r="G87" s="30"/>
      <c r="H87" s="32"/>
      <c r="I87" s="30"/>
    </row>
    <row r="88" ht="15.75" customHeight="1">
      <c r="A88" s="11" t="s">
        <v>272</v>
      </c>
      <c r="B88" s="13" t="s">
        <v>131</v>
      </c>
      <c r="C88" s="14" t="s">
        <v>91</v>
      </c>
      <c r="D88" s="15">
        <v>50.0</v>
      </c>
      <c r="E88" s="16">
        <v>28.0</v>
      </c>
      <c r="F88" s="28">
        <f t="shared" si="1"/>
        <v>0.56</v>
      </c>
      <c r="G88" s="30"/>
      <c r="H88" s="32"/>
      <c r="I88" s="30"/>
    </row>
    <row r="89" ht="15.75" customHeight="1">
      <c r="A89" s="11" t="s">
        <v>272</v>
      </c>
      <c r="B89" s="13" t="s">
        <v>176</v>
      </c>
      <c r="C89" s="14" t="s">
        <v>91</v>
      </c>
      <c r="D89" s="15">
        <v>50.0</v>
      </c>
      <c r="E89" s="16">
        <v>32.0</v>
      </c>
      <c r="F89" s="28">
        <f t="shared" si="1"/>
        <v>0.64</v>
      </c>
      <c r="G89" s="30"/>
      <c r="H89" s="32"/>
      <c r="I89" s="30"/>
    </row>
    <row r="90" ht="15.75" customHeight="1">
      <c r="A90" s="11" t="s">
        <v>272</v>
      </c>
      <c r="B90" s="13" t="s">
        <v>163</v>
      </c>
      <c r="C90" s="14" t="s">
        <v>91</v>
      </c>
      <c r="D90" s="15">
        <v>50.0</v>
      </c>
      <c r="E90" s="16">
        <v>28.0</v>
      </c>
      <c r="F90" s="28">
        <f t="shared" si="1"/>
        <v>0.56</v>
      </c>
      <c r="G90" s="30"/>
      <c r="H90" s="32"/>
      <c r="I90" s="30"/>
    </row>
    <row r="91" ht="15.75" customHeight="1">
      <c r="A91" s="11" t="s">
        <v>280</v>
      </c>
      <c r="B91" s="13" t="s">
        <v>261</v>
      </c>
      <c r="C91" s="14" t="s">
        <v>91</v>
      </c>
      <c r="D91" s="15">
        <v>200.0</v>
      </c>
      <c r="E91" s="16">
        <v>240.0</v>
      </c>
      <c r="F91" s="28">
        <f t="shared" si="1"/>
        <v>1.2</v>
      </c>
      <c r="G91" s="30"/>
      <c r="H91" s="32"/>
      <c r="I91" s="30"/>
    </row>
    <row r="92" ht="15.75" customHeight="1">
      <c r="A92" s="11" t="s">
        <v>280</v>
      </c>
      <c r="B92" s="13" t="s">
        <v>281</v>
      </c>
      <c r="C92" s="14" t="s">
        <v>91</v>
      </c>
      <c r="D92" s="15">
        <v>200.0</v>
      </c>
      <c r="E92" s="16">
        <v>135.0</v>
      </c>
      <c r="F92" s="28">
        <f t="shared" si="1"/>
        <v>0.675</v>
      </c>
      <c r="G92" s="30"/>
      <c r="H92" s="32"/>
      <c r="I92" s="30"/>
    </row>
    <row r="93" ht="15.75" customHeight="1">
      <c r="A93" s="11" t="s">
        <v>283</v>
      </c>
      <c r="B93" s="13" t="s">
        <v>145</v>
      </c>
      <c r="C93" s="14" t="s">
        <v>122</v>
      </c>
      <c r="D93" s="15">
        <v>50.0</v>
      </c>
      <c r="E93" s="16">
        <v>180.0</v>
      </c>
      <c r="F93" s="28">
        <f t="shared" si="1"/>
        <v>3.6</v>
      </c>
      <c r="G93" s="30"/>
      <c r="H93" s="32"/>
      <c r="I93" s="30"/>
    </row>
    <row r="94" ht="15.75" customHeight="1">
      <c r="A94" s="11" t="s">
        <v>286</v>
      </c>
      <c r="B94" s="13" t="s">
        <v>287</v>
      </c>
      <c r="C94" s="14" t="s">
        <v>91</v>
      </c>
      <c r="D94" s="15">
        <v>200.0</v>
      </c>
      <c r="E94" s="16">
        <v>75.0</v>
      </c>
      <c r="F94" s="28">
        <f t="shared" si="1"/>
        <v>0.375</v>
      </c>
      <c r="G94" s="30"/>
      <c r="H94" s="32"/>
      <c r="I94" s="30"/>
    </row>
    <row r="95" ht="15.75" customHeight="1">
      <c r="A95" s="11" t="s">
        <v>286</v>
      </c>
      <c r="B95" s="13" t="s">
        <v>288</v>
      </c>
      <c r="C95" s="14" t="s">
        <v>91</v>
      </c>
      <c r="D95" s="15">
        <v>500.0</v>
      </c>
      <c r="E95" s="16">
        <v>180.0</v>
      </c>
      <c r="F95" s="28">
        <f t="shared" si="1"/>
        <v>0.36</v>
      </c>
      <c r="G95" s="30"/>
      <c r="H95" s="32"/>
      <c r="I95" s="30"/>
    </row>
    <row r="96" ht="15.75" customHeight="1">
      <c r="A96" s="11" t="s">
        <v>286</v>
      </c>
      <c r="B96" s="13" t="s">
        <v>289</v>
      </c>
      <c r="C96" s="14" t="s">
        <v>91</v>
      </c>
      <c r="D96" s="15">
        <v>250.0</v>
      </c>
      <c r="E96" s="16">
        <v>75.0</v>
      </c>
      <c r="F96" s="28">
        <f t="shared" si="1"/>
        <v>0.3</v>
      </c>
      <c r="G96" s="30"/>
      <c r="H96" s="32"/>
      <c r="I96" s="30"/>
    </row>
    <row r="97" ht="15.75" customHeight="1">
      <c r="A97" s="11" t="s">
        <v>286</v>
      </c>
      <c r="B97" s="13" t="s">
        <v>120</v>
      </c>
      <c r="C97" s="14" t="s">
        <v>91</v>
      </c>
      <c r="D97" s="15">
        <v>250.0</v>
      </c>
      <c r="E97" s="16">
        <v>65.0</v>
      </c>
      <c r="F97" s="28">
        <f t="shared" si="1"/>
        <v>0.26</v>
      </c>
      <c r="G97" s="30"/>
      <c r="H97" s="32"/>
      <c r="I97" s="30"/>
    </row>
    <row r="98" ht="15.75" customHeight="1">
      <c r="A98" s="11" t="s">
        <v>286</v>
      </c>
      <c r="B98" s="13" t="s">
        <v>293</v>
      </c>
      <c r="C98" s="14" t="s">
        <v>22</v>
      </c>
      <c r="D98" s="15">
        <v>500.0</v>
      </c>
      <c r="E98" s="16">
        <v>85.0</v>
      </c>
      <c r="F98" s="28">
        <f t="shared" si="1"/>
        <v>0.17</v>
      </c>
      <c r="G98" s="30"/>
      <c r="H98" s="32"/>
      <c r="I98" s="30"/>
    </row>
    <row r="99" ht="15.75" customHeight="1">
      <c r="A99" s="11" t="s">
        <v>286</v>
      </c>
      <c r="B99" s="13" t="s">
        <v>238</v>
      </c>
      <c r="C99" s="14" t="s">
        <v>22</v>
      </c>
      <c r="D99" s="15">
        <v>500.0</v>
      </c>
      <c r="E99" s="16">
        <v>160.0</v>
      </c>
      <c r="F99" s="28">
        <f t="shared" si="1"/>
        <v>0.32</v>
      </c>
      <c r="G99" s="30"/>
      <c r="H99" s="32"/>
      <c r="I99" s="30"/>
    </row>
    <row r="100" ht="15.75" customHeight="1">
      <c r="A100" s="11" t="s">
        <v>295</v>
      </c>
      <c r="B100" s="13" t="s">
        <v>296</v>
      </c>
      <c r="C100" s="14" t="s">
        <v>91</v>
      </c>
      <c r="D100" s="15">
        <v>250.0</v>
      </c>
      <c r="E100" s="16">
        <v>90.0</v>
      </c>
      <c r="F100" s="28">
        <f t="shared" si="1"/>
        <v>0.36</v>
      </c>
      <c r="G100" s="30"/>
      <c r="H100" s="32"/>
      <c r="I100" s="30"/>
    </row>
    <row r="101" ht="15.75" customHeight="1">
      <c r="A101" s="11" t="s">
        <v>295</v>
      </c>
      <c r="B101" s="13" t="s">
        <v>299</v>
      </c>
      <c r="C101" s="14" t="s">
        <v>91</v>
      </c>
      <c r="D101" s="15">
        <v>200.0</v>
      </c>
      <c r="E101" s="16">
        <v>130.0</v>
      </c>
      <c r="F101" s="28">
        <f t="shared" si="1"/>
        <v>0.65</v>
      </c>
      <c r="G101" s="30"/>
      <c r="H101" s="32"/>
      <c r="I101" s="30"/>
    </row>
    <row r="102" ht="15.75" customHeight="1">
      <c r="A102" s="11" t="s">
        <v>295</v>
      </c>
      <c r="B102" s="13" t="s">
        <v>300</v>
      </c>
      <c r="C102" s="14" t="s">
        <v>91</v>
      </c>
      <c r="D102" s="15">
        <v>250.0</v>
      </c>
      <c r="E102" s="16">
        <v>130.0</v>
      </c>
      <c r="F102" s="28">
        <f t="shared" si="1"/>
        <v>0.52</v>
      </c>
      <c r="G102" s="30"/>
      <c r="H102" s="32"/>
      <c r="I102" s="30"/>
    </row>
    <row r="103" ht="15.75" customHeight="1">
      <c r="A103" s="11" t="s">
        <v>295</v>
      </c>
      <c r="B103" s="13" t="s">
        <v>301</v>
      </c>
      <c r="C103" s="14" t="s">
        <v>91</v>
      </c>
      <c r="D103" s="15">
        <v>200.0</v>
      </c>
      <c r="E103" s="16">
        <v>110.0</v>
      </c>
      <c r="F103" s="28">
        <f t="shared" si="1"/>
        <v>0.55</v>
      </c>
      <c r="G103" s="30"/>
      <c r="H103" s="32"/>
      <c r="I103" s="30"/>
    </row>
    <row r="104" ht="15.75" customHeight="1">
      <c r="A104" s="11" t="s">
        <v>303</v>
      </c>
      <c r="B104" s="13" t="s">
        <v>304</v>
      </c>
      <c r="C104" s="14" t="s">
        <v>91</v>
      </c>
      <c r="D104" s="15">
        <v>100.0</v>
      </c>
      <c r="E104" s="16">
        <v>95.0</v>
      </c>
      <c r="F104" s="28">
        <f t="shared" si="1"/>
        <v>0.95</v>
      </c>
      <c r="G104" s="30"/>
      <c r="H104" s="32"/>
      <c r="I104" s="30"/>
    </row>
    <row r="105" ht="15.75" customHeight="1">
      <c r="A105" s="11" t="s">
        <v>303</v>
      </c>
      <c r="B105" s="13" t="s">
        <v>223</v>
      </c>
      <c r="C105" s="14" t="s">
        <v>91</v>
      </c>
      <c r="D105" s="15">
        <v>500.0</v>
      </c>
      <c r="E105" s="16">
        <v>60.0</v>
      </c>
      <c r="F105" s="28">
        <f t="shared" si="1"/>
        <v>0.12</v>
      </c>
      <c r="G105" s="30"/>
      <c r="H105" s="32"/>
      <c r="I105" s="30"/>
    </row>
    <row r="106" ht="15.75" customHeight="1">
      <c r="A106" s="11" t="s">
        <v>303</v>
      </c>
      <c r="B106" s="13" t="s">
        <v>138</v>
      </c>
      <c r="C106" s="14" t="s">
        <v>91</v>
      </c>
      <c r="D106" s="15">
        <v>250.0</v>
      </c>
      <c r="E106" s="16">
        <v>190.0</v>
      </c>
      <c r="F106" s="28">
        <f t="shared" si="1"/>
        <v>0.76</v>
      </c>
      <c r="G106" s="30"/>
      <c r="H106" s="32"/>
      <c r="I106" s="30"/>
    </row>
    <row r="107" ht="15.75" customHeight="1">
      <c r="A107" s="11" t="s">
        <v>303</v>
      </c>
      <c r="B107" s="13" t="s">
        <v>181</v>
      </c>
      <c r="C107" s="14" t="s">
        <v>91</v>
      </c>
      <c r="D107" s="15">
        <v>1000.0</v>
      </c>
      <c r="E107" s="16">
        <v>25.0</v>
      </c>
      <c r="F107" s="28">
        <f t="shared" si="1"/>
        <v>0.025</v>
      </c>
      <c r="G107" s="30"/>
      <c r="H107" s="32"/>
      <c r="I107" s="30"/>
    </row>
    <row r="108" ht="15.75" customHeight="1">
      <c r="A108" s="11" t="s">
        <v>306</v>
      </c>
      <c r="B108" s="13" t="s">
        <v>292</v>
      </c>
      <c r="C108" s="14" t="s">
        <v>91</v>
      </c>
      <c r="D108" s="15">
        <v>250.0</v>
      </c>
      <c r="E108" s="16">
        <v>55.0</v>
      </c>
      <c r="F108" s="28">
        <f t="shared" si="1"/>
        <v>0.22</v>
      </c>
      <c r="G108" s="30"/>
      <c r="H108" s="32"/>
      <c r="I108" s="30"/>
    </row>
    <row r="109" ht="15.75" customHeight="1">
      <c r="A109" s="11" t="s">
        <v>306</v>
      </c>
      <c r="B109" s="13" t="s">
        <v>307</v>
      </c>
      <c r="C109" s="14" t="s">
        <v>91</v>
      </c>
      <c r="D109" s="15">
        <v>100.0</v>
      </c>
      <c r="E109" s="16">
        <v>70.0</v>
      </c>
      <c r="F109" s="28">
        <f t="shared" si="1"/>
        <v>0.7</v>
      </c>
      <c r="G109" s="30"/>
      <c r="H109" s="32"/>
      <c r="I109" s="30"/>
    </row>
    <row r="110" ht="15.75" customHeight="1">
      <c r="A110" s="11" t="s">
        <v>306</v>
      </c>
      <c r="B110" s="13" t="s">
        <v>309</v>
      </c>
      <c r="C110" s="14" t="s">
        <v>91</v>
      </c>
      <c r="D110" s="15">
        <v>100.0</v>
      </c>
      <c r="E110" s="16">
        <v>45.0</v>
      </c>
      <c r="F110" s="28">
        <f t="shared" si="1"/>
        <v>0.45</v>
      </c>
      <c r="G110" s="30"/>
      <c r="H110" s="32"/>
      <c r="I110" s="30"/>
    </row>
    <row r="111" ht="15.75" customHeight="1"/>
    <row r="112" ht="15.75" customHeight="1">
      <c r="B112" s="33" t="s">
        <v>311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I$110"/>
  <mergeCells count="1">
    <mergeCell ref="A1:I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.0"/>
    <col customWidth="1" min="2" max="2" width="46.0"/>
    <col customWidth="1" min="3" max="3" width="40.0"/>
    <col customWidth="1" min="4" max="4" width="10.0"/>
    <col customWidth="1" min="5" max="5" width="8.0"/>
    <col customWidth="1" min="6" max="7" width="16.0"/>
    <col customWidth="1" min="8" max="8" width="52.0"/>
    <col customWidth="1" min="9" max="26" width="8.71"/>
  </cols>
  <sheetData>
    <row r="1" ht="30.0" customHeight="1">
      <c r="A1" s="1" t="s">
        <v>46</v>
      </c>
      <c r="B1" s="2"/>
      <c r="C1" s="2"/>
      <c r="D1" s="2"/>
      <c r="E1" s="2"/>
      <c r="F1" s="2"/>
      <c r="G1" s="2"/>
      <c r="H1" s="3"/>
    </row>
    <row r="2">
      <c r="A2" s="4" t="s">
        <v>65</v>
      </c>
    </row>
    <row r="4" ht="31.5" customHeight="1">
      <c r="A4" s="5" t="s">
        <v>71</v>
      </c>
      <c r="B4" s="5" t="s">
        <v>77</v>
      </c>
      <c r="C4" s="5" t="s">
        <v>6</v>
      </c>
      <c r="D4" s="5" t="s">
        <v>84</v>
      </c>
      <c r="E4" s="5" t="s">
        <v>87</v>
      </c>
      <c r="F4" s="5" t="s">
        <v>11</v>
      </c>
      <c r="G4" s="5" t="s">
        <v>88</v>
      </c>
      <c r="H4" s="5" t="s">
        <v>89</v>
      </c>
    </row>
    <row r="5">
      <c r="A5" s="14">
        <v>1.0</v>
      </c>
      <c r="B5" s="13" t="s">
        <v>93</v>
      </c>
      <c r="C5" s="13" t="s">
        <v>94</v>
      </c>
      <c r="D5" s="39">
        <v>250.0</v>
      </c>
      <c r="E5" s="14" t="s">
        <v>91</v>
      </c>
      <c r="F5" s="40">
        <f t="array" ref="F5">IFERROR(INDEX('1. Insumos'!$F$5:$F$110,MATCH($C5,'1. Insumos'!$B$5:$B$110,0)),0)</f>
        <v>0.22</v>
      </c>
      <c r="G5" s="41">
        <f t="shared" ref="G5:G275" si="1">D5*F5</f>
        <v>55</v>
      </c>
      <c r="H5" s="42" t="s">
        <v>119</v>
      </c>
    </row>
    <row r="6">
      <c r="A6" s="14">
        <v>1.0</v>
      </c>
      <c r="B6" s="13" t="s">
        <v>93</v>
      </c>
      <c r="C6" s="13" t="s">
        <v>120</v>
      </c>
      <c r="D6" s="39">
        <v>40.0</v>
      </c>
      <c r="E6" s="14" t="s">
        <v>91</v>
      </c>
      <c r="F6" s="40">
        <f t="array" ref="F6">IFERROR(INDEX('1. Insumos'!$F$5:$F$110,MATCH($C6,'1. Insumos'!$B$5:$B$110,0)),0)</f>
        <v>0.26</v>
      </c>
      <c r="G6" s="41">
        <f t="shared" si="1"/>
        <v>10.4</v>
      </c>
      <c r="H6" s="42" t="s">
        <v>126</v>
      </c>
    </row>
    <row r="7">
      <c r="A7" s="14">
        <v>1.0</v>
      </c>
      <c r="B7" s="13" t="s">
        <v>93</v>
      </c>
      <c r="C7" s="13" t="s">
        <v>70</v>
      </c>
      <c r="D7" s="39">
        <v>15.0</v>
      </c>
      <c r="E7" s="14" t="s">
        <v>22</v>
      </c>
      <c r="F7" s="40">
        <f t="array" ref="F7">IFERROR(INDEX('1. Insumos'!$F$5:$F$110,MATCH($C7,'1. Insumos'!$B$5:$B$110,0)),0)</f>
        <v>0.33</v>
      </c>
      <c r="G7" s="41">
        <f t="shared" si="1"/>
        <v>4.95</v>
      </c>
      <c r="H7" s="42" t="s">
        <v>129</v>
      </c>
    </row>
    <row r="8">
      <c r="A8" s="14">
        <v>1.0</v>
      </c>
      <c r="B8" s="13" t="s">
        <v>93</v>
      </c>
      <c r="C8" s="13" t="s">
        <v>131</v>
      </c>
      <c r="D8" s="39">
        <v>6.0</v>
      </c>
      <c r="E8" s="14" t="s">
        <v>91</v>
      </c>
      <c r="F8" s="40">
        <f t="array" ref="F8">IFERROR(INDEX('1. Insumos'!$F$5:$F$110,MATCH($C8,'1. Insumos'!$B$5:$B$110,0)),0)</f>
        <v>0.56</v>
      </c>
      <c r="G8" s="41">
        <f t="shared" si="1"/>
        <v>3.36</v>
      </c>
      <c r="H8" s="42" t="s">
        <v>135</v>
      </c>
    </row>
    <row r="9">
      <c r="A9" s="14">
        <v>1.0</v>
      </c>
      <c r="B9" s="13" t="s">
        <v>93</v>
      </c>
      <c r="C9" s="13" t="s">
        <v>138</v>
      </c>
      <c r="D9" s="39">
        <v>4.0</v>
      </c>
      <c r="E9" s="14" t="s">
        <v>91</v>
      </c>
      <c r="F9" s="40">
        <f t="array" ref="F9">IFERROR(INDEX('1. Insumos'!$F$5:$F$110,MATCH($C9,'1. Insumos'!$B$5:$B$110,0)),0)</f>
        <v>0.76</v>
      </c>
      <c r="G9" s="41">
        <f t="shared" si="1"/>
        <v>3.04</v>
      </c>
      <c r="H9" s="42" t="s">
        <v>143</v>
      </c>
    </row>
    <row r="10">
      <c r="A10" s="14">
        <v>1.0</v>
      </c>
      <c r="B10" s="13" t="s">
        <v>93</v>
      </c>
      <c r="C10" s="13" t="s">
        <v>145</v>
      </c>
      <c r="D10" s="39">
        <v>1.0</v>
      </c>
      <c r="E10" s="14" t="s">
        <v>122</v>
      </c>
      <c r="F10" s="40">
        <f t="array" ref="F10">IFERROR(INDEX('1. Insumos'!$F$5:$F$110,MATCH($C10,'1. Insumos'!$B$5:$B$110,0)),0)</f>
        <v>3.6</v>
      </c>
      <c r="G10" s="41">
        <f t="shared" si="1"/>
        <v>3.6</v>
      </c>
      <c r="H10" s="42" t="s">
        <v>145</v>
      </c>
    </row>
    <row r="11">
      <c r="A11" s="14">
        <v>2.0</v>
      </c>
      <c r="B11" s="13" t="s">
        <v>139</v>
      </c>
      <c r="C11" s="13" t="s">
        <v>94</v>
      </c>
      <c r="D11" s="39">
        <v>250.0</v>
      </c>
      <c r="E11" s="14" t="s">
        <v>91</v>
      </c>
      <c r="F11" s="40">
        <f t="array" ref="F11">IFERROR(INDEX('1. Insumos'!$F$5:$F$110,MATCH($C11,'1. Insumos'!$B$5:$B$110,0)),0)</f>
        <v>0.22</v>
      </c>
      <c r="G11" s="41">
        <f t="shared" si="1"/>
        <v>55</v>
      </c>
      <c r="H11" s="42" t="s">
        <v>160</v>
      </c>
    </row>
    <row r="12">
      <c r="A12" s="14">
        <v>2.0</v>
      </c>
      <c r="B12" s="13" t="s">
        <v>139</v>
      </c>
      <c r="C12" s="13" t="s">
        <v>163</v>
      </c>
      <c r="D12" s="39">
        <v>3.0</v>
      </c>
      <c r="E12" s="14" t="s">
        <v>91</v>
      </c>
      <c r="F12" s="40">
        <f t="array" ref="F12">IFERROR(INDEX('1. Insumos'!$F$5:$F$110,MATCH($C12,'1. Insumos'!$B$5:$B$110,0)),0)</f>
        <v>0.56</v>
      </c>
      <c r="G12" s="41">
        <f t="shared" si="1"/>
        <v>1.68</v>
      </c>
      <c r="H12" s="42" t="s">
        <v>170</v>
      </c>
    </row>
    <row r="13">
      <c r="A13" s="14">
        <v>2.0</v>
      </c>
      <c r="B13" s="13" t="s">
        <v>139</v>
      </c>
      <c r="C13" s="13" t="s">
        <v>172</v>
      </c>
      <c r="D13" s="39">
        <v>3.0</v>
      </c>
      <c r="E13" s="14" t="s">
        <v>91</v>
      </c>
      <c r="F13" s="40">
        <f t="array" ref="F13">IFERROR(INDEX('1. Insumos'!$F$5:$F$110,MATCH($C13,'1. Insumos'!$B$5:$B$110,0)),0)</f>
        <v>0.56</v>
      </c>
      <c r="G13" s="41">
        <f t="shared" si="1"/>
        <v>1.68</v>
      </c>
      <c r="H13" s="42" t="s">
        <v>175</v>
      </c>
    </row>
    <row r="14">
      <c r="A14" s="14">
        <v>2.0</v>
      </c>
      <c r="B14" s="13" t="s">
        <v>139</v>
      </c>
      <c r="C14" s="13" t="s">
        <v>176</v>
      </c>
      <c r="D14" s="39">
        <v>4.0</v>
      </c>
      <c r="E14" s="14" t="s">
        <v>91</v>
      </c>
      <c r="F14" s="40">
        <f t="array" ref="F14">IFERROR(INDEX('1. Insumos'!$F$5:$F$110,MATCH($C14,'1. Insumos'!$B$5:$B$110,0)),0)</f>
        <v>0.64</v>
      </c>
      <c r="G14" s="41">
        <f t="shared" si="1"/>
        <v>2.56</v>
      </c>
      <c r="H14" s="42" t="s">
        <v>180</v>
      </c>
    </row>
    <row r="15">
      <c r="A15" s="14">
        <v>2.0</v>
      </c>
      <c r="B15" s="13" t="s">
        <v>139</v>
      </c>
      <c r="C15" s="13" t="s">
        <v>181</v>
      </c>
      <c r="D15" s="39">
        <v>4.0</v>
      </c>
      <c r="E15" s="14" t="s">
        <v>91</v>
      </c>
      <c r="F15" s="40">
        <f t="array" ref="F15">IFERROR(INDEX('1. Insumos'!$F$5:$F$110,MATCH($C15,'1. Insumos'!$B$5:$B$110,0)),0)</f>
        <v>0.025</v>
      </c>
      <c r="G15" s="41">
        <f t="shared" si="1"/>
        <v>0.1</v>
      </c>
      <c r="H15" s="42" t="s">
        <v>184</v>
      </c>
    </row>
    <row r="16">
      <c r="A16" s="14">
        <v>2.0</v>
      </c>
      <c r="B16" s="13" t="s">
        <v>139</v>
      </c>
      <c r="C16" s="13" t="s">
        <v>145</v>
      </c>
      <c r="D16" s="39">
        <v>1.0</v>
      </c>
      <c r="E16" s="14" t="s">
        <v>122</v>
      </c>
      <c r="F16" s="40">
        <f t="array" ref="F16">IFERROR(INDEX('1. Insumos'!$F$5:$F$110,MATCH($C16,'1. Insumos'!$B$5:$B$110,0)),0)</f>
        <v>3.6</v>
      </c>
      <c r="G16" s="41">
        <f t="shared" si="1"/>
        <v>3.6</v>
      </c>
      <c r="H16" s="42" t="s">
        <v>145</v>
      </c>
    </row>
    <row r="17">
      <c r="A17" s="14">
        <v>3.0</v>
      </c>
      <c r="B17" s="13" t="s">
        <v>154</v>
      </c>
      <c r="C17" s="13" t="s">
        <v>94</v>
      </c>
      <c r="D17" s="39">
        <v>250.0</v>
      </c>
      <c r="E17" s="14" t="s">
        <v>91</v>
      </c>
      <c r="F17" s="40">
        <f t="array" ref="F17">IFERROR(INDEX('1. Insumos'!$F$5:$F$110,MATCH($C17,'1. Insumos'!$B$5:$B$110,0)),0)</f>
        <v>0.22</v>
      </c>
      <c r="G17" s="41">
        <f t="shared" si="1"/>
        <v>55</v>
      </c>
      <c r="H17" s="42" t="s">
        <v>160</v>
      </c>
    </row>
    <row r="18">
      <c r="A18" s="14">
        <v>3.0</v>
      </c>
      <c r="B18" s="13" t="s">
        <v>154</v>
      </c>
      <c r="C18" s="13" t="s">
        <v>90</v>
      </c>
      <c r="D18" s="39">
        <v>15.0</v>
      </c>
      <c r="E18" s="14" t="s">
        <v>91</v>
      </c>
      <c r="F18" s="40">
        <f t="array" ref="F18">IFERROR(INDEX('1. Insumos'!$F$5:$F$110,MATCH($C18,'1. Insumos'!$B$5:$B$110,0)),0)</f>
        <v>9.2</v>
      </c>
      <c r="G18" s="41">
        <f t="shared" si="1"/>
        <v>138</v>
      </c>
      <c r="H18" s="42" t="s">
        <v>193</v>
      </c>
    </row>
    <row r="19">
      <c r="A19" s="14">
        <v>3.0</v>
      </c>
      <c r="B19" s="13" t="s">
        <v>154</v>
      </c>
      <c r="C19" s="13" t="s">
        <v>86</v>
      </c>
      <c r="D19" s="39">
        <v>5.0</v>
      </c>
      <c r="E19" s="14" t="s">
        <v>22</v>
      </c>
      <c r="F19" s="40">
        <f t="array" ref="F19">IFERROR(INDEX('1. Insumos'!$F$5:$F$110,MATCH($C19,'1. Insumos'!$B$5:$B$110,0)),0)</f>
        <v>2.9</v>
      </c>
      <c r="G19" s="41">
        <f t="shared" si="1"/>
        <v>14.5</v>
      </c>
      <c r="H19" s="42" t="s">
        <v>195</v>
      </c>
    </row>
    <row r="20">
      <c r="A20" s="14">
        <v>3.0</v>
      </c>
      <c r="B20" s="13" t="s">
        <v>154</v>
      </c>
      <c r="C20" s="13" t="s">
        <v>138</v>
      </c>
      <c r="D20" s="39">
        <v>4.0</v>
      </c>
      <c r="E20" s="14" t="s">
        <v>91</v>
      </c>
      <c r="F20" s="40">
        <f t="array" ref="F20">IFERROR(INDEX('1. Insumos'!$F$5:$F$110,MATCH($C20,'1. Insumos'!$B$5:$B$110,0)),0)</f>
        <v>0.76</v>
      </c>
      <c r="G20" s="41">
        <f t="shared" si="1"/>
        <v>3.04</v>
      </c>
      <c r="H20" s="42" t="s">
        <v>199</v>
      </c>
    </row>
    <row r="21" ht="15.75" customHeight="1">
      <c r="A21" s="14">
        <v>3.0</v>
      </c>
      <c r="B21" s="13" t="s">
        <v>154</v>
      </c>
      <c r="C21" s="13" t="s">
        <v>145</v>
      </c>
      <c r="D21" s="39">
        <v>1.0</v>
      </c>
      <c r="E21" s="14" t="s">
        <v>122</v>
      </c>
      <c r="F21" s="40">
        <f t="array" ref="F21">IFERROR(INDEX('1. Insumos'!$F$5:$F$110,MATCH($C21,'1. Insumos'!$B$5:$B$110,0)),0)</f>
        <v>3.6</v>
      </c>
      <c r="G21" s="41">
        <f t="shared" si="1"/>
        <v>3.6</v>
      </c>
      <c r="H21" s="42" t="s">
        <v>145</v>
      </c>
    </row>
    <row r="22" ht="15.75" customHeight="1">
      <c r="A22" s="14">
        <v>4.0</v>
      </c>
      <c r="B22" s="13" t="s">
        <v>174</v>
      </c>
      <c r="C22" s="13" t="s">
        <v>94</v>
      </c>
      <c r="D22" s="39">
        <v>250.0</v>
      </c>
      <c r="E22" s="14" t="s">
        <v>91</v>
      </c>
      <c r="F22" s="40">
        <f t="array" ref="F22">IFERROR(INDEX('1. Insumos'!$F$5:$F$110,MATCH($C22,'1. Insumos'!$B$5:$B$110,0)),0)</f>
        <v>0.22</v>
      </c>
      <c r="G22" s="41">
        <f t="shared" si="1"/>
        <v>55</v>
      </c>
      <c r="H22" s="42" t="s">
        <v>94</v>
      </c>
    </row>
    <row r="23" ht="15.75" customHeight="1">
      <c r="A23" s="14">
        <v>4.0</v>
      </c>
      <c r="B23" s="13" t="s">
        <v>174</v>
      </c>
      <c r="C23" s="13" t="s">
        <v>204</v>
      </c>
      <c r="D23" s="39">
        <v>30.0</v>
      </c>
      <c r="E23" s="14" t="s">
        <v>91</v>
      </c>
      <c r="F23" s="40">
        <f t="array" ref="F23">IFERROR(INDEX('1. Insumos'!$F$5:$F$110,MATCH($C23,'1. Insumos'!$B$5:$B$110,0)),0)</f>
        <v>0.6</v>
      </c>
      <c r="G23" s="41">
        <f t="shared" si="1"/>
        <v>18</v>
      </c>
      <c r="H23" s="42" t="s">
        <v>206</v>
      </c>
    </row>
    <row r="24" ht="15.75" customHeight="1">
      <c r="A24" s="14">
        <v>4.0</v>
      </c>
      <c r="B24" s="13" t="s">
        <v>174</v>
      </c>
      <c r="C24" s="13" t="s">
        <v>208</v>
      </c>
      <c r="D24" s="39">
        <v>8.0</v>
      </c>
      <c r="E24" s="14" t="s">
        <v>91</v>
      </c>
      <c r="F24" s="40">
        <f t="array" ref="F24">IFERROR(INDEX('1. Insumos'!$F$5:$F$110,MATCH($C24,'1. Insumos'!$B$5:$B$110,0)),0)</f>
        <v>0.5</v>
      </c>
      <c r="G24" s="41">
        <f t="shared" si="1"/>
        <v>4</v>
      </c>
      <c r="H24" s="42" t="s">
        <v>210</v>
      </c>
    </row>
    <row r="25" ht="15.75" customHeight="1">
      <c r="A25" s="14">
        <v>4.0</v>
      </c>
      <c r="B25" s="13" t="s">
        <v>174</v>
      </c>
      <c r="C25" s="13" t="s">
        <v>178</v>
      </c>
      <c r="D25" s="39">
        <v>3.0</v>
      </c>
      <c r="E25" s="14" t="s">
        <v>91</v>
      </c>
      <c r="F25" s="40">
        <f t="array" ref="F25">IFERROR(INDEX('1. Insumos'!$F$5:$F$110,MATCH($C25,'1. Insumos'!$B$5:$B$110,0)),0)</f>
        <v>0.4</v>
      </c>
      <c r="G25" s="41">
        <f t="shared" si="1"/>
        <v>1.2</v>
      </c>
      <c r="H25" s="42" t="s">
        <v>178</v>
      </c>
    </row>
    <row r="26" ht="15.75" customHeight="1">
      <c r="A26" s="14">
        <v>4.0</v>
      </c>
      <c r="B26" s="13" t="s">
        <v>174</v>
      </c>
      <c r="C26" s="13" t="s">
        <v>181</v>
      </c>
      <c r="D26" s="39">
        <v>4.0</v>
      </c>
      <c r="E26" s="14" t="s">
        <v>91</v>
      </c>
      <c r="F26" s="40">
        <f t="array" ref="F26">IFERROR(INDEX('1. Insumos'!$F$5:$F$110,MATCH($C26,'1. Insumos'!$B$5:$B$110,0)),0)</f>
        <v>0.025</v>
      </c>
      <c r="G26" s="41">
        <f t="shared" si="1"/>
        <v>0.1</v>
      </c>
      <c r="H26" s="42" t="s">
        <v>181</v>
      </c>
    </row>
    <row r="27" ht="15.75" customHeight="1">
      <c r="A27" s="14">
        <v>4.0</v>
      </c>
      <c r="B27" s="13" t="s">
        <v>174</v>
      </c>
      <c r="C27" s="13" t="s">
        <v>145</v>
      </c>
      <c r="D27" s="39">
        <v>1.0</v>
      </c>
      <c r="E27" s="14" t="s">
        <v>122</v>
      </c>
      <c r="F27" s="40">
        <f t="array" ref="F27">IFERROR(INDEX('1. Insumos'!$F$5:$F$110,MATCH($C27,'1. Insumos'!$B$5:$B$110,0)),0)</f>
        <v>3.6</v>
      </c>
      <c r="G27" s="41">
        <f t="shared" si="1"/>
        <v>3.6</v>
      </c>
      <c r="H27" s="42" t="s">
        <v>145</v>
      </c>
    </row>
    <row r="28" ht="15.75" customHeight="1">
      <c r="A28" s="14">
        <v>5.0</v>
      </c>
      <c r="B28" s="13" t="s">
        <v>185</v>
      </c>
      <c r="C28" s="13" t="s">
        <v>94</v>
      </c>
      <c r="D28" s="39">
        <v>250.0</v>
      </c>
      <c r="E28" s="14" t="s">
        <v>91</v>
      </c>
      <c r="F28" s="40">
        <f t="array" ref="F28">IFERROR(INDEX('1. Insumos'!$F$5:$F$110,MATCH($C28,'1. Insumos'!$B$5:$B$110,0)),0)</f>
        <v>0.22</v>
      </c>
      <c r="G28" s="41">
        <f t="shared" si="1"/>
        <v>55</v>
      </c>
      <c r="H28" s="42" t="s">
        <v>94</v>
      </c>
    </row>
    <row r="29" ht="15.75" customHeight="1">
      <c r="A29" s="14">
        <v>5.0</v>
      </c>
      <c r="B29" s="13" t="s">
        <v>185</v>
      </c>
      <c r="C29" s="13" t="s">
        <v>127</v>
      </c>
      <c r="D29" s="39">
        <v>5.0</v>
      </c>
      <c r="E29" s="14" t="s">
        <v>91</v>
      </c>
      <c r="F29" s="40">
        <f t="array" ref="F29">IFERROR(INDEX('1. Insumos'!$F$5:$F$110,MATCH($C29,'1. Insumos'!$B$5:$B$110,0)),0)</f>
        <v>0.45</v>
      </c>
      <c r="G29" s="41">
        <f t="shared" si="1"/>
        <v>2.25</v>
      </c>
      <c r="H29" s="42" t="s">
        <v>221</v>
      </c>
    </row>
    <row r="30" ht="15.75" customHeight="1">
      <c r="A30" s="14">
        <v>5.0</v>
      </c>
      <c r="B30" s="13" t="s">
        <v>185</v>
      </c>
      <c r="C30" s="13" t="s">
        <v>223</v>
      </c>
      <c r="D30" s="39">
        <v>5.0</v>
      </c>
      <c r="E30" s="14" t="s">
        <v>91</v>
      </c>
      <c r="F30" s="40">
        <f t="array" ref="F30">IFERROR(INDEX('1. Insumos'!$F$5:$F$110,MATCH($C30,'1. Insumos'!$B$5:$B$110,0)),0)</f>
        <v>0.12</v>
      </c>
      <c r="G30" s="41">
        <f t="shared" si="1"/>
        <v>0.6</v>
      </c>
      <c r="H30" s="42" t="s">
        <v>226</v>
      </c>
    </row>
    <row r="31" ht="15.75" customHeight="1">
      <c r="A31" s="14">
        <v>5.0</v>
      </c>
      <c r="B31" s="13" t="s">
        <v>185</v>
      </c>
      <c r="C31" s="13" t="s">
        <v>145</v>
      </c>
      <c r="D31" s="39">
        <v>1.0</v>
      </c>
      <c r="E31" s="14" t="s">
        <v>122</v>
      </c>
      <c r="F31" s="40">
        <f t="array" ref="F31">IFERROR(INDEX('1. Insumos'!$F$5:$F$110,MATCH($C31,'1. Insumos'!$B$5:$B$110,0)),0)</f>
        <v>3.6</v>
      </c>
      <c r="G31" s="41">
        <f t="shared" si="1"/>
        <v>3.6</v>
      </c>
      <c r="H31" s="42" t="s">
        <v>145</v>
      </c>
    </row>
    <row r="32" ht="15.75" customHeight="1">
      <c r="A32" s="14">
        <v>6.0</v>
      </c>
      <c r="B32" s="13" t="s">
        <v>191</v>
      </c>
      <c r="C32" s="13" t="s">
        <v>94</v>
      </c>
      <c r="D32" s="39">
        <v>230.0</v>
      </c>
      <c r="E32" s="14" t="s">
        <v>91</v>
      </c>
      <c r="F32" s="40">
        <f t="array" ref="F32">IFERROR(INDEX('1. Insumos'!$F$5:$F$110,MATCH($C32,'1. Insumos'!$B$5:$B$110,0)),0)</f>
        <v>0.22</v>
      </c>
      <c r="G32" s="41">
        <f t="shared" si="1"/>
        <v>50.6</v>
      </c>
      <c r="H32" s="42" t="s">
        <v>160</v>
      </c>
    </row>
    <row r="33" ht="15.75" customHeight="1">
      <c r="A33" s="14">
        <v>6.0</v>
      </c>
      <c r="B33" s="13" t="s">
        <v>191</v>
      </c>
      <c r="C33" s="13" t="s">
        <v>225</v>
      </c>
      <c r="D33" s="39">
        <v>60.0</v>
      </c>
      <c r="E33" s="14" t="s">
        <v>91</v>
      </c>
      <c r="F33" s="40">
        <f t="array" ref="F33">IFERROR(INDEX('1. Insumos'!$F$5:$F$110,MATCH($C33,'1. Insumos'!$B$5:$B$110,0)),0)</f>
        <v>0.035</v>
      </c>
      <c r="G33" s="41">
        <f t="shared" si="1"/>
        <v>2.1</v>
      </c>
      <c r="H33" s="42" t="s">
        <v>232</v>
      </c>
    </row>
    <row r="34" ht="15.75" customHeight="1">
      <c r="A34" s="14">
        <v>6.0</v>
      </c>
      <c r="B34" s="13" t="s">
        <v>191</v>
      </c>
      <c r="C34" s="13" t="s">
        <v>70</v>
      </c>
      <c r="D34" s="39">
        <v>10.0</v>
      </c>
      <c r="E34" s="14" t="s">
        <v>22</v>
      </c>
      <c r="F34" s="40">
        <f t="array" ref="F34">IFERROR(INDEX('1. Insumos'!$F$5:$F$110,MATCH($C34,'1. Insumos'!$B$5:$B$110,0)),0)</f>
        <v>0.33</v>
      </c>
      <c r="G34" s="41">
        <f t="shared" si="1"/>
        <v>3.3</v>
      </c>
      <c r="H34" s="42" t="s">
        <v>236</v>
      </c>
    </row>
    <row r="35" ht="15.75" customHeight="1">
      <c r="A35" s="14">
        <v>6.0</v>
      </c>
      <c r="B35" s="13" t="s">
        <v>191</v>
      </c>
      <c r="C35" s="13" t="s">
        <v>238</v>
      </c>
      <c r="D35" s="39">
        <v>15.0</v>
      </c>
      <c r="E35" s="14" t="s">
        <v>22</v>
      </c>
      <c r="F35" s="40">
        <f t="array" ref="F35">IFERROR(INDEX('1. Insumos'!$F$5:$F$110,MATCH($C35,'1. Insumos'!$B$5:$B$110,0)),0)</f>
        <v>0.32</v>
      </c>
      <c r="G35" s="41">
        <f t="shared" si="1"/>
        <v>4.8</v>
      </c>
      <c r="H35" s="42" t="s">
        <v>240</v>
      </c>
    </row>
    <row r="36" ht="15.75" customHeight="1">
      <c r="A36" s="14">
        <v>6.0</v>
      </c>
      <c r="B36" s="13" t="s">
        <v>191</v>
      </c>
      <c r="C36" s="13" t="s">
        <v>181</v>
      </c>
      <c r="D36" s="39">
        <v>3.0</v>
      </c>
      <c r="E36" s="14" t="s">
        <v>91</v>
      </c>
      <c r="F36" s="40">
        <f t="array" ref="F36">IFERROR(INDEX('1. Insumos'!$F$5:$F$110,MATCH($C36,'1. Insumos'!$B$5:$B$110,0)),0)</f>
        <v>0.025</v>
      </c>
      <c r="G36" s="41">
        <f t="shared" si="1"/>
        <v>0.075</v>
      </c>
      <c r="H36" s="42" t="s">
        <v>181</v>
      </c>
    </row>
    <row r="37" ht="15.75" customHeight="1">
      <c r="A37" s="14">
        <v>6.0</v>
      </c>
      <c r="B37" s="13" t="s">
        <v>191</v>
      </c>
      <c r="C37" s="13" t="s">
        <v>145</v>
      </c>
      <c r="D37" s="39">
        <v>1.0</v>
      </c>
      <c r="E37" s="14" t="s">
        <v>122</v>
      </c>
      <c r="F37" s="40">
        <f t="array" ref="F37">IFERROR(INDEX('1. Insumos'!$F$5:$F$110,MATCH($C37,'1. Insumos'!$B$5:$B$110,0)),0)</f>
        <v>3.6</v>
      </c>
      <c r="G37" s="41">
        <f t="shared" si="1"/>
        <v>3.6</v>
      </c>
      <c r="H37" s="42" t="s">
        <v>145</v>
      </c>
    </row>
    <row r="38" ht="15.75" customHeight="1">
      <c r="A38" s="14">
        <v>7.0</v>
      </c>
      <c r="B38" s="13" t="s">
        <v>197</v>
      </c>
      <c r="C38" s="13" t="s">
        <v>94</v>
      </c>
      <c r="D38" s="39">
        <v>250.0</v>
      </c>
      <c r="E38" s="14" t="s">
        <v>91</v>
      </c>
      <c r="F38" s="40">
        <f t="array" ref="F38">IFERROR(INDEX('1. Insumos'!$F$5:$F$110,MATCH($C38,'1. Insumos'!$B$5:$B$110,0)),0)</f>
        <v>0.22</v>
      </c>
      <c r="G38" s="41">
        <f t="shared" si="1"/>
        <v>55</v>
      </c>
      <c r="H38" s="42" t="s">
        <v>94</v>
      </c>
    </row>
    <row r="39" ht="15.75" customHeight="1">
      <c r="A39" s="14">
        <v>7.0</v>
      </c>
      <c r="B39" s="13" t="s">
        <v>197</v>
      </c>
      <c r="C39" s="13" t="s">
        <v>230</v>
      </c>
      <c r="D39" s="39">
        <v>15.0</v>
      </c>
      <c r="E39" s="14" t="s">
        <v>91</v>
      </c>
      <c r="F39" s="40">
        <f t="array" ref="F39">IFERROR(INDEX('1. Insumos'!$F$5:$F$110,MATCH($C39,'1. Insumos'!$B$5:$B$110,0)),0)</f>
        <v>0.072</v>
      </c>
      <c r="G39" s="41">
        <f t="shared" si="1"/>
        <v>1.08</v>
      </c>
      <c r="H39" s="42" t="s">
        <v>250</v>
      </c>
    </row>
    <row r="40" ht="15.75" customHeight="1">
      <c r="A40" s="14">
        <v>7.0</v>
      </c>
      <c r="B40" s="13" t="s">
        <v>197</v>
      </c>
      <c r="C40" s="13" t="s">
        <v>251</v>
      </c>
      <c r="D40" s="39">
        <v>8.0</v>
      </c>
      <c r="E40" s="14" t="s">
        <v>91</v>
      </c>
      <c r="F40" s="40">
        <f t="array" ref="F40">IFERROR(INDEX('1. Insumos'!$F$5:$F$110,MATCH($C40,'1. Insumos'!$B$5:$B$110,0)),0)</f>
        <v>0.15</v>
      </c>
      <c r="G40" s="41">
        <f t="shared" si="1"/>
        <v>1.2</v>
      </c>
      <c r="H40" s="42" t="s">
        <v>253</v>
      </c>
    </row>
    <row r="41" ht="15.75" customHeight="1">
      <c r="A41" s="14">
        <v>7.0</v>
      </c>
      <c r="B41" s="13" t="s">
        <v>197</v>
      </c>
      <c r="C41" s="13" t="s">
        <v>223</v>
      </c>
      <c r="D41" s="39">
        <v>4.0</v>
      </c>
      <c r="E41" s="14" t="s">
        <v>91</v>
      </c>
      <c r="F41" s="40">
        <f t="array" ref="F41">IFERROR(INDEX('1. Insumos'!$F$5:$F$110,MATCH($C41,'1. Insumos'!$B$5:$B$110,0)),0)</f>
        <v>0.12</v>
      </c>
      <c r="G41" s="41">
        <f t="shared" si="1"/>
        <v>0.48</v>
      </c>
      <c r="H41" s="42" t="s">
        <v>223</v>
      </c>
    </row>
    <row r="42" ht="15.75" customHeight="1">
      <c r="A42" s="14">
        <v>7.0</v>
      </c>
      <c r="B42" s="13" t="s">
        <v>197</v>
      </c>
      <c r="C42" s="13" t="s">
        <v>145</v>
      </c>
      <c r="D42" s="39">
        <v>1.0</v>
      </c>
      <c r="E42" s="14" t="s">
        <v>122</v>
      </c>
      <c r="F42" s="40">
        <f t="array" ref="F42">IFERROR(INDEX('1. Insumos'!$F$5:$F$110,MATCH($C42,'1. Insumos'!$B$5:$B$110,0)),0)</f>
        <v>3.6</v>
      </c>
      <c r="G42" s="41">
        <f t="shared" si="1"/>
        <v>3.6</v>
      </c>
      <c r="H42" s="42" t="s">
        <v>145</v>
      </c>
    </row>
    <row r="43" ht="15.75" customHeight="1">
      <c r="A43" s="14">
        <v>8.0</v>
      </c>
      <c r="B43" s="13" t="s">
        <v>203</v>
      </c>
      <c r="C43" s="13" t="s">
        <v>94</v>
      </c>
      <c r="D43" s="39">
        <v>230.0</v>
      </c>
      <c r="E43" s="14" t="s">
        <v>91</v>
      </c>
      <c r="F43" s="40">
        <f t="array" ref="F43">IFERROR(INDEX('1. Insumos'!$F$5:$F$110,MATCH($C43,'1. Insumos'!$B$5:$B$110,0)),0)</f>
        <v>0.22</v>
      </c>
      <c r="G43" s="41">
        <f t="shared" si="1"/>
        <v>50.6</v>
      </c>
      <c r="H43" s="42" t="s">
        <v>94</v>
      </c>
    </row>
    <row r="44" ht="15.75" customHeight="1">
      <c r="A44" s="14">
        <v>8.0</v>
      </c>
      <c r="B44" s="13" t="s">
        <v>203</v>
      </c>
      <c r="C44" s="13" t="s">
        <v>261</v>
      </c>
      <c r="D44" s="39">
        <v>25.0</v>
      </c>
      <c r="E44" s="14" t="s">
        <v>91</v>
      </c>
      <c r="F44" s="40">
        <f t="array" ref="F44">IFERROR(INDEX('1. Insumos'!$F$5:$F$110,MATCH($C44,'1. Insumos'!$B$5:$B$110,0)),0)</f>
        <v>1.2</v>
      </c>
      <c r="G44" s="41">
        <f t="shared" si="1"/>
        <v>30</v>
      </c>
      <c r="H44" s="42" t="s">
        <v>263</v>
      </c>
    </row>
    <row r="45" ht="15.75" customHeight="1">
      <c r="A45" s="14">
        <v>8.0</v>
      </c>
      <c r="B45" s="13" t="s">
        <v>203</v>
      </c>
      <c r="C45" s="13" t="s">
        <v>212</v>
      </c>
      <c r="D45" s="39">
        <v>4.0</v>
      </c>
      <c r="E45" s="14" t="s">
        <v>91</v>
      </c>
      <c r="F45" s="40">
        <f t="array" ref="F45">IFERROR(INDEX('1. Insumos'!$F$5:$F$110,MATCH($C45,'1. Insumos'!$B$5:$B$110,0)),0)</f>
        <v>0.6</v>
      </c>
      <c r="G45" s="41">
        <f t="shared" si="1"/>
        <v>2.4</v>
      </c>
      <c r="H45" s="42" t="s">
        <v>267</v>
      </c>
    </row>
    <row r="46" ht="15.75" customHeight="1">
      <c r="A46" s="14">
        <v>8.0</v>
      </c>
      <c r="B46" s="13" t="s">
        <v>203</v>
      </c>
      <c r="C46" s="13" t="s">
        <v>181</v>
      </c>
      <c r="D46" s="39">
        <v>2.0</v>
      </c>
      <c r="E46" s="14" t="s">
        <v>91</v>
      </c>
      <c r="F46" s="40">
        <f t="array" ref="F46">IFERROR(INDEX('1. Insumos'!$F$5:$F$110,MATCH($C46,'1. Insumos'!$B$5:$B$110,0)),0)</f>
        <v>0.025</v>
      </c>
      <c r="G46" s="41">
        <f t="shared" si="1"/>
        <v>0.05</v>
      </c>
      <c r="H46" s="42" t="s">
        <v>268</v>
      </c>
    </row>
    <row r="47" ht="15.75" customHeight="1">
      <c r="A47" s="14">
        <v>8.0</v>
      </c>
      <c r="B47" s="13" t="s">
        <v>203</v>
      </c>
      <c r="C47" s="13" t="s">
        <v>145</v>
      </c>
      <c r="D47" s="39">
        <v>1.0</v>
      </c>
      <c r="E47" s="14" t="s">
        <v>122</v>
      </c>
      <c r="F47" s="40">
        <f t="array" ref="F47">IFERROR(INDEX('1. Insumos'!$F$5:$F$110,MATCH($C47,'1. Insumos'!$B$5:$B$110,0)),0)</f>
        <v>3.6</v>
      </c>
      <c r="G47" s="41">
        <f t="shared" si="1"/>
        <v>3.6</v>
      </c>
      <c r="H47" s="42" t="s">
        <v>145</v>
      </c>
    </row>
    <row r="48" ht="15.75" customHeight="1">
      <c r="A48" s="14">
        <v>9.0</v>
      </c>
      <c r="B48" s="13" t="s">
        <v>211</v>
      </c>
      <c r="C48" s="13" t="s">
        <v>94</v>
      </c>
      <c r="D48" s="39">
        <v>200.0</v>
      </c>
      <c r="E48" s="14" t="s">
        <v>91</v>
      </c>
      <c r="F48" s="40">
        <f t="array" ref="F48">IFERROR(INDEX('1. Insumos'!$F$5:$F$110,MATCH($C48,'1. Insumos'!$B$5:$B$110,0)),0)</f>
        <v>0.22</v>
      </c>
      <c r="G48" s="41">
        <f t="shared" si="1"/>
        <v>44</v>
      </c>
      <c r="H48" s="42" t="s">
        <v>94</v>
      </c>
    </row>
    <row r="49" ht="15.75" customHeight="1">
      <c r="A49" s="14">
        <v>9.0</v>
      </c>
      <c r="B49" s="13" t="s">
        <v>211</v>
      </c>
      <c r="C49" s="13" t="s">
        <v>257</v>
      </c>
      <c r="D49" s="39">
        <v>30.0</v>
      </c>
      <c r="E49" s="14" t="s">
        <v>91</v>
      </c>
      <c r="F49" s="40">
        <f t="array" ref="F49">IFERROR(INDEX('1. Insumos'!$F$5:$F$110,MATCH($C49,'1. Insumos'!$B$5:$B$110,0)),0)</f>
        <v>0.26</v>
      </c>
      <c r="G49" s="41">
        <f t="shared" si="1"/>
        <v>7.8</v>
      </c>
      <c r="H49" s="42" t="s">
        <v>274</v>
      </c>
    </row>
    <row r="50" ht="15.75" customHeight="1">
      <c r="A50" s="14">
        <v>9.0</v>
      </c>
      <c r="B50" s="13" t="s">
        <v>211</v>
      </c>
      <c r="C50" s="13" t="s">
        <v>150</v>
      </c>
      <c r="D50" s="39">
        <v>20.0</v>
      </c>
      <c r="E50" s="14" t="s">
        <v>91</v>
      </c>
      <c r="F50" s="40">
        <f t="array" ref="F50">IFERROR(INDEX('1. Insumos'!$F$5:$F$110,MATCH($C50,'1. Insumos'!$B$5:$B$110,0)),0)</f>
        <v>0.44</v>
      </c>
      <c r="G50" s="41">
        <f t="shared" si="1"/>
        <v>8.8</v>
      </c>
      <c r="H50" s="42" t="s">
        <v>277</v>
      </c>
    </row>
    <row r="51" ht="15.75" customHeight="1">
      <c r="A51" s="14">
        <v>9.0</v>
      </c>
      <c r="B51" s="13" t="s">
        <v>211</v>
      </c>
      <c r="C51" s="13" t="s">
        <v>171</v>
      </c>
      <c r="D51" s="39">
        <v>15.0</v>
      </c>
      <c r="E51" s="14" t="s">
        <v>22</v>
      </c>
      <c r="F51" s="40">
        <f t="array" ref="F51">IFERROR(INDEX('1. Insumos'!$F$5:$F$110,MATCH($C51,'1. Insumos'!$B$5:$B$110,0)),0)</f>
        <v>0.74</v>
      </c>
      <c r="G51" s="41">
        <f t="shared" si="1"/>
        <v>11.1</v>
      </c>
      <c r="H51" s="42" t="s">
        <v>278</v>
      </c>
    </row>
    <row r="52" ht="15.75" customHeight="1">
      <c r="A52" s="14">
        <v>9.0</v>
      </c>
      <c r="B52" s="13" t="s">
        <v>211</v>
      </c>
      <c r="C52" s="13" t="s">
        <v>145</v>
      </c>
      <c r="D52" s="39">
        <v>1.0</v>
      </c>
      <c r="E52" s="14" t="s">
        <v>122</v>
      </c>
      <c r="F52" s="40">
        <f t="array" ref="F52">IFERROR(INDEX('1. Insumos'!$F$5:$F$110,MATCH($C52,'1. Insumos'!$B$5:$B$110,0)),0)</f>
        <v>3.6</v>
      </c>
      <c r="G52" s="41">
        <f t="shared" si="1"/>
        <v>3.6</v>
      </c>
      <c r="H52" s="42" t="s">
        <v>145</v>
      </c>
    </row>
    <row r="53" ht="15.75" customHeight="1">
      <c r="A53" s="14">
        <v>10.0</v>
      </c>
      <c r="B53" s="13" t="s">
        <v>215</v>
      </c>
      <c r="C53" s="13" t="s">
        <v>94</v>
      </c>
      <c r="D53" s="39">
        <v>210.0</v>
      </c>
      <c r="E53" s="14" t="s">
        <v>91</v>
      </c>
      <c r="F53" s="40">
        <f t="array" ref="F53">IFERROR(INDEX('1. Insumos'!$F$5:$F$110,MATCH($C53,'1. Insumos'!$B$5:$B$110,0)),0)</f>
        <v>0.22</v>
      </c>
      <c r="G53" s="41">
        <f t="shared" si="1"/>
        <v>46.2</v>
      </c>
      <c r="H53" s="42" t="s">
        <v>94</v>
      </c>
    </row>
    <row r="54" ht="15.75" customHeight="1">
      <c r="A54" s="14">
        <v>10.0</v>
      </c>
      <c r="B54" s="13" t="s">
        <v>215</v>
      </c>
      <c r="C54" s="13" t="s">
        <v>281</v>
      </c>
      <c r="D54" s="39">
        <v>40.0</v>
      </c>
      <c r="E54" s="14" t="s">
        <v>91</v>
      </c>
      <c r="F54" s="40">
        <f t="array" ref="F54">IFERROR(INDEX('1. Insumos'!$F$5:$F$110,MATCH($C54,'1. Insumos'!$B$5:$B$110,0)),0)</f>
        <v>0.675</v>
      </c>
      <c r="G54" s="41">
        <f t="shared" si="1"/>
        <v>27</v>
      </c>
      <c r="H54" s="42" t="s">
        <v>282</v>
      </c>
    </row>
    <row r="55" ht="15.75" customHeight="1">
      <c r="A55" s="14">
        <v>10.0</v>
      </c>
      <c r="B55" s="13" t="s">
        <v>215</v>
      </c>
      <c r="C55" s="13" t="s">
        <v>243</v>
      </c>
      <c r="D55" s="39">
        <v>15.0</v>
      </c>
      <c r="E55" s="14" t="s">
        <v>91</v>
      </c>
      <c r="F55" s="40">
        <f t="array" ref="F55">IFERROR(INDEX('1. Insumos'!$F$5:$F$110,MATCH($C55,'1. Insumos'!$B$5:$B$110,0)),0)</f>
        <v>0.58</v>
      </c>
      <c r="G55" s="41">
        <f t="shared" si="1"/>
        <v>8.7</v>
      </c>
      <c r="H55" s="42" t="s">
        <v>284</v>
      </c>
    </row>
    <row r="56" ht="15.75" customHeight="1">
      <c r="A56" s="14">
        <v>10.0</v>
      </c>
      <c r="B56" s="13" t="s">
        <v>215</v>
      </c>
      <c r="C56" s="13" t="s">
        <v>145</v>
      </c>
      <c r="D56" s="39">
        <v>1.0</v>
      </c>
      <c r="E56" s="14" t="s">
        <v>122</v>
      </c>
      <c r="F56" s="40">
        <f t="array" ref="F56">IFERROR(INDEX('1. Insumos'!$F$5:$F$110,MATCH($C56,'1. Insumos'!$B$5:$B$110,0)),0)</f>
        <v>3.6</v>
      </c>
      <c r="G56" s="41">
        <f t="shared" si="1"/>
        <v>3.6</v>
      </c>
      <c r="H56" s="42" t="s">
        <v>145</v>
      </c>
    </row>
    <row r="57" ht="15.75" customHeight="1">
      <c r="A57" s="14">
        <v>11.0</v>
      </c>
      <c r="B57" s="13" t="s">
        <v>220</v>
      </c>
      <c r="C57" s="13" t="s">
        <v>94</v>
      </c>
      <c r="D57" s="39">
        <v>230.0</v>
      </c>
      <c r="E57" s="14" t="s">
        <v>91</v>
      </c>
      <c r="F57" s="40">
        <f t="array" ref="F57">IFERROR(INDEX('1. Insumos'!$F$5:$F$110,MATCH($C57,'1. Insumos'!$B$5:$B$110,0)),0)</f>
        <v>0.22</v>
      </c>
      <c r="G57" s="41">
        <f t="shared" si="1"/>
        <v>50.6</v>
      </c>
      <c r="H57" s="42" t="s">
        <v>94</v>
      </c>
    </row>
    <row r="58" ht="15.75" customHeight="1">
      <c r="A58" s="14">
        <v>11.0</v>
      </c>
      <c r="B58" s="13" t="s">
        <v>220</v>
      </c>
      <c r="C58" s="13" t="s">
        <v>288</v>
      </c>
      <c r="D58" s="39">
        <v>25.0</v>
      </c>
      <c r="E58" s="14" t="s">
        <v>91</v>
      </c>
      <c r="F58" s="40">
        <f t="array" ref="F58">IFERROR(INDEX('1. Insumos'!$F$5:$F$110,MATCH($C58,'1. Insumos'!$B$5:$B$110,0)),0)</f>
        <v>0.36</v>
      </c>
      <c r="G58" s="41">
        <f t="shared" si="1"/>
        <v>9</v>
      </c>
      <c r="H58" s="42" t="s">
        <v>291</v>
      </c>
    </row>
    <row r="59" ht="15.75" customHeight="1">
      <c r="A59" s="14">
        <v>11.0</v>
      </c>
      <c r="B59" s="13" t="s">
        <v>220</v>
      </c>
      <c r="C59" s="13" t="s">
        <v>292</v>
      </c>
      <c r="D59" s="39">
        <v>5.0</v>
      </c>
      <c r="E59" s="14" t="s">
        <v>91</v>
      </c>
      <c r="F59" s="40">
        <f t="array" ref="F59">IFERROR(INDEX('1. Insumos'!$F$5:$F$110,MATCH($C59,'1. Insumos'!$B$5:$B$110,0)),0)</f>
        <v>0.22</v>
      </c>
      <c r="G59" s="41">
        <f t="shared" si="1"/>
        <v>1.1</v>
      </c>
      <c r="H59" s="42" t="s">
        <v>294</v>
      </c>
    </row>
    <row r="60" ht="15.75" customHeight="1">
      <c r="A60" s="14">
        <v>11.0</v>
      </c>
      <c r="B60" s="13" t="s">
        <v>220</v>
      </c>
      <c r="C60" s="13" t="s">
        <v>19</v>
      </c>
      <c r="D60" s="39">
        <v>2.0</v>
      </c>
      <c r="E60" s="14" t="s">
        <v>22</v>
      </c>
      <c r="F60" s="40">
        <f t="array" ref="F60">IFERROR(INDEX('1. Insumos'!$F$5:$F$110,MATCH($C60,'1. Insumos'!$B$5:$B$110,0)),0)</f>
        <v>0.48</v>
      </c>
      <c r="G60" s="41">
        <f t="shared" si="1"/>
        <v>0.96</v>
      </c>
      <c r="H60" s="42" t="s">
        <v>298</v>
      </c>
    </row>
    <row r="61" ht="15.75" customHeight="1">
      <c r="A61" s="14">
        <v>11.0</v>
      </c>
      <c r="B61" s="13" t="s">
        <v>220</v>
      </c>
      <c r="C61" s="13" t="s">
        <v>145</v>
      </c>
      <c r="D61" s="39">
        <v>1.0</v>
      </c>
      <c r="E61" s="14" t="s">
        <v>122</v>
      </c>
      <c r="F61" s="40">
        <f t="array" ref="F61">IFERROR(INDEX('1. Insumos'!$F$5:$F$110,MATCH($C61,'1. Insumos'!$B$5:$B$110,0)),0)</f>
        <v>3.6</v>
      </c>
      <c r="G61" s="41">
        <f t="shared" si="1"/>
        <v>3.6</v>
      </c>
      <c r="H61" s="42" t="s">
        <v>145</v>
      </c>
    </row>
    <row r="62" ht="15.75" customHeight="1">
      <c r="A62" s="14">
        <v>12.0</v>
      </c>
      <c r="B62" s="13" t="s">
        <v>229</v>
      </c>
      <c r="C62" s="13" t="s">
        <v>94</v>
      </c>
      <c r="D62" s="39">
        <v>250.0</v>
      </c>
      <c r="E62" s="14" t="s">
        <v>91</v>
      </c>
      <c r="F62" s="40">
        <f t="array" ref="F62">IFERROR(INDEX('1. Insumos'!$F$5:$F$110,MATCH($C62,'1. Insumos'!$B$5:$B$110,0)),0)</f>
        <v>0.22</v>
      </c>
      <c r="G62" s="41">
        <f t="shared" si="1"/>
        <v>55</v>
      </c>
      <c r="H62" s="42" t="s">
        <v>94</v>
      </c>
    </row>
    <row r="63" ht="15.75" customHeight="1">
      <c r="A63" s="14">
        <v>12.0</v>
      </c>
      <c r="B63" s="13" t="s">
        <v>229</v>
      </c>
      <c r="C63" s="13" t="s">
        <v>205</v>
      </c>
      <c r="D63" s="39">
        <v>4.0</v>
      </c>
      <c r="E63" s="14" t="s">
        <v>91</v>
      </c>
      <c r="F63" s="40">
        <f t="array" ref="F63">IFERROR(INDEX('1. Insumos'!$F$5:$F$110,MATCH($C63,'1. Insumos'!$B$5:$B$110,0)),0)</f>
        <v>0.95</v>
      </c>
      <c r="G63" s="41">
        <f t="shared" si="1"/>
        <v>3.8</v>
      </c>
      <c r="H63" s="42" t="s">
        <v>205</v>
      </c>
    </row>
    <row r="64" ht="15.75" customHeight="1">
      <c r="A64" s="14">
        <v>12.0</v>
      </c>
      <c r="B64" s="13" t="s">
        <v>229</v>
      </c>
      <c r="C64" s="13" t="s">
        <v>207</v>
      </c>
      <c r="D64" s="39">
        <v>2.0</v>
      </c>
      <c r="E64" s="14" t="s">
        <v>91</v>
      </c>
      <c r="F64" s="40">
        <f t="array" ref="F64">IFERROR(INDEX('1. Insumos'!$F$5:$F$110,MATCH($C64,'1. Insumos'!$B$5:$B$110,0)),0)</f>
        <v>0.95</v>
      </c>
      <c r="G64" s="41">
        <f t="shared" si="1"/>
        <v>1.9</v>
      </c>
      <c r="H64" s="42" t="s">
        <v>207</v>
      </c>
    </row>
    <row r="65" ht="15.75" customHeight="1">
      <c r="A65" s="14">
        <v>12.0</v>
      </c>
      <c r="B65" s="13" t="s">
        <v>229</v>
      </c>
      <c r="C65" s="13" t="s">
        <v>178</v>
      </c>
      <c r="D65" s="39">
        <v>3.0</v>
      </c>
      <c r="E65" s="14" t="s">
        <v>91</v>
      </c>
      <c r="F65" s="40">
        <f t="array" ref="F65">IFERROR(INDEX('1. Insumos'!$F$5:$F$110,MATCH($C65,'1. Insumos'!$B$5:$B$110,0)),0)</f>
        <v>0.4</v>
      </c>
      <c r="G65" s="41">
        <f t="shared" si="1"/>
        <v>1.2</v>
      </c>
      <c r="H65" s="42" t="s">
        <v>178</v>
      </c>
    </row>
    <row r="66" ht="15.75" customHeight="1">
      <c r="A66" s="14">
        <v>12.0</v>
      </c>
      <c r="B66" s="13" t="s">
        <v>229</v>
      </c>
      <c r="C66" s="13" t="s">
        <v>223</v>
      </c>
      <c r="D66" s="39">
        <v>4.0</v>
      </c>
      <c r="E66" s="14" t="s">
        <v>91</v>
      </c>
      <c r="F66" s="40">
        <f t="array" ref="F66">IFERROR(INDEX('1. Insumos'!$F$5:$F$110,MATCH($C66,'1. Insumos'!$B$5:$B$110,0)),0)</f>
        <v>0.12</v>
      </c>
      <c r="G66" s="41">
        <f t="shared" si="1"/>
        <v>0.48</v>
      </c>
      <c r="H66" s="42" t="s">
        <v>308</v>
      </c>
    </row>
    <row r="67" ht="15.75" customHeight="1">
      <c r="A67" s="14">
        <v>12.0</v>
      </c>
      <c r="B67" s="13" t="s">
        <v>229</v>
      </c>
      <c r="C67" s="13" t="s">
        <v>145</v>
      </c>
      <c r="D67" s="39">
        <v>1.0</v>
      </c>
      <c r="E67" s="14" t="s">
        <v>122</v>
      </c>
      <c r="F67" s="40">
        <f t="array" ref="F67">IFERROR(INDEX('1. Insumos'!$F$5:$F$110,MATCH($C67,'1. Insumos'!$B$5:$B$110,0)),0)</f>
        <v>3.6</v>
      </c>
      <c r="G67" s="41">
        <f t="shared" si="1"/>
        <v>3.6</v>
      </c>
      <c r="H67" s="42" t="s">
        <v>145</v>
      </c>
    </row>
    <row r="68" ht="15.75" customHeight="1">
      <c r="A68" s="14">
        <v>13.0</v>
      </c>
      <c r="B68" s="13" t="s">
        <v>234</v>
      </c>
      <c r="C68" s="13" t="s">
        <v>94</v>
      </c>
      <c r="D68" s="39">
        <v>240.0</v>
      </c>
      <c r="E68" s="14" t="s">
        <v>91</v>
      </c>
      <c r="F68" s="40">
        <f t="array" ref="F68">IFERROR(INDEX('1. Insumos'!$F$5:$F$110,MATCH($C68,'1. Insumos'!$B$5:$B$110,0)),0)</f>
        <v>0.22</v>
      </c>
      <c r="G68" s="41">
        <f t="shared" si="1"/>
        <v>52.8</v>
      </c>
      <c r="H68" s="42" t="s">
        <v>94</v>
      </c>
    </row>
    <row r="69" ht="15.75" customHeight="1">
      <c r="A69" s="14">
        <v>13.0</v>
      </c>
      <c r="B69" s="13" t="s">
        <v>234</v>
      </c>
      <c r="C69" s="13" t="s">
        <v>125</v>
      </c>
      <c r="D69" s="39">
        <v>10.0</v>
      </c>
      <c r="E69" s="14" t="s">
        <v>91</v>
      </c>
      <c r="F69" s="40">
        <f t="array" ref="F69">IFERROR(INDEX('1. Insumos'!$F$5:$F$110,MATCH($C69,'1. Insumos'!$B$5:$B$110,0)),0)</f>
        <v>0.6</v>
      </c>
      <c r="G69" s="41">
        <f t="shared" si="1"/>
        <v>6</v>
      </c>
      <c r="H69" s="42" t="s">
        <v>312</v>
      </c>
    </row>
    <row r="70" ht="15.75" customHeight="1">
      <c r="A70" s="14">
        <v>13.0</v>
      </c>
      <c r="B70" s="13" t="s">
        <v>234</v>
      </c>
      <c r="C70" s="13" t="s">
        <v>173</v>
      </c>
      <c r="D70" s="39">
        <v>12.0</v>
      </c>
      <c r="E70" s="14" t="s">
        <v>91</v>
      </c>
      <c r="F70" s="40">
        <f t="array" ref="F70">IFERROR(INDEX('1. Insumos'!$F$5:$F$110,MATCH($C70,'1. Insumos'!$B$5:$B$110,0)),0)</f>
        <v>0.055</v>
      </c>
      <c r="G70" s="41">
        <f t="shared" si="1"/>
        <v>0.66</v>
      </c>
      <c r="H70" s="42" t="s">
        <v>314</v>
      </c>
    </row>
    <row r="71" ht="15.75" customHeight="1">
      <c r="A71" s="14">
        <v>13.0</v>
      </c>
      <c r="B71" s="13" t="s">
        <v>234</v>
      </c>
      <c r="C71" s="13" t="s">
        <v>133</v>
      </c>
      <c r="D71" s="39">
        <v>3.0</v>
      </c>
      <c r="E71" s="14" t="s">
        <v>91</v>
      </c>
      <c r="F71" s="40">
        <f t="array" ref="F71">IFERROR(INDEX('1. Insumos'!$F$5:$F$110,MATCH($C71,'1. Insumos'!$B$5:$B$110,0)),0)</f>
        <v>0.42</v>
      </c>
      <c r="G71" s="41">
        <f t="shared" si="1"/>
        <v>1.26</v>
      </c>
      <c r="H71" s="42" t="s">
        <v>315</v>
      </c>
    </row>
    <row r="72" ht="15.75" customHeight="1">
      <c r="A72" s="14">
        <v>13.0</v>
      </c>
      <c r="B72" s="13" t="s">
        <v>234</v>
      </c>
      <c r="C72" s="13" t="s">
        <v>181</v>
      </c>
      <c r="D72" s="39">
        <v>3.0</v>
      </c>
      <c r="E72" s="14" t="s">
        <v>91</v>
      </c>
      <c r="F72" s="40">
        <f t="array" ref="F72">IFERROR(INDEX('1. Insumos'!$F$5:$F$110,MATCH($C72,'1. Insumos'!$B$5:$B$110,0)),0)</f>
        <v>0.025</v>
      </c>
      <c r="G72" s="41">
        <f t="shared" si="1"/>
        <v>0.075</v>
      </c>
      <c r="H72" s="42" t="s">
        <v>181</v>
      </c>
    </row>
    <row r="73" ht="15.75" customHeight="1">
      <c r="A73" s="14">
        <v>13.0</v>
      </c>
      <c r="B73" s="13" t="s">
        <v>234</v>
      </c>
      <c r="C73" s="13" t="s">
        <v>145</v>
      </c>
      <c r="D73" s="39">
        <v>1.0</v>
      </c>
      <c r="E73" s="14" t="s">
        <v>122</v>
      </c>
      <c r="F73" s="40">
        <f t="array" ref="F73">IFERROR(INDEX('1. Insumos'!$F$5:$F$110,MATCH($C73,'1. Insumos'!$B$5:$B$110,0)),0)</f>
        <v>3.6</v>
      </c>
      <c r="G73" s="41">
        <f t="shared" si="1"/>
        <v>3.6</v>
      </c>
      <c r="H73" s="42" t="s">
        <v>145</v>
      </c>
    </row>
    <row r="74" ht="15.75" customHeight="1">
      <c r="A74" s="14">
        <v>14.0</v>
      </c>
      <c r="B74" s="13" t="s">
        <v>242</v>
      </c>
      <c r="C74" s="13" t="s">
        <v>94</v>
      </c>
      <c r="D74" s="39">
        <v>220.0</v>
      </c>
      <c r="E74" s="14" t="s">
        <v>91</v>
      </c>
      <c r="F74" s="40">
        <f t="array" ref="F74">IFERROR(INDEX('1. Insumos'!$F$5:$F$110,MATCH($C74,'1. Insumos'!$B$5:$B$110,0)),0)</f>
        <v>0.22</v>
      </c>
      <c r="G74" s="41">
        <f t="shared" si="1"/>
        <v>48.4</v>
      </c>
      <c r="H74" s="42" t="s">
        <v>94</v>
      </c>
    </row>
    <row r="75" ht="15.75" customHeight="1">
      <c r="A75" s="14">
        <v>14.0</v>
      </c>
      <c r="B75" s="13" t="s">
        <v>242</v>
      </c>
      <c r="C75" s="13" t="s">
        <v>293</v>
      </c>
      <c r="D75" s="39">
        <v>20.0</v>
      </c>
      <c r="E75" s="14" t="s">
        <v>22</v>
      </c>
      <c r="F75" s="40">
        <f t="array" ref="F75">IFERROR(INDEX('1. Insumos'!$F$5:$F$110,MATCH($C75,'1. Insumos'!$B$5:$B$110,0)),0)</f>
        <v>0.17</v>
      </c>
      <c r="G75" s="41">
        <f t="shared" si="1"/>
        <v>3.4</v>
      </c>
      <c r="H75" s="42" t="s">
        <v>293</v>
      </c>
    </row>
    <row r="76" ht="15.75" customHeight="1">
      <c r="A76" s="14">
        <v>14.0</v>
      </c>
      <c r="B76" s="13" t="s">
        <v>242</v>
      </c>
      <c r="C76" s="13" t="s">
        <v>158</v>
      </c>
      <c r="D76" s="39">
        <v>15.0</v>
      </c>
      <c r="E76" s="14" t="s">
        <v>22</v>
      </c>
      <c r="F76" s="40">
        <f t="array" ref="F76">IFERROR(INDEX('1. Insumos'!$F$5:$F$110,MATCH($C76,'1. Insumos'!$B$5:$B$110,0)),0)</f>
        <v>0.23</v>
      </c>
      <c r="G76" s="41">
        <f t="shared" si="1"/>
        <v>3.45</v>
      </c>
      <c r="H76" s="42" t="s">
        <v>158</v>
      </c>
    </row>
    <row r="77" ht="15.75" customHeight="1">
      <c r="A77" s="14">
        <v>14.0</v>
      </c>
      <c r="B77" s="13" t="s">
        <v>242</v>
      </c>
      <c r="C77" s="13" t="s">
        <v>181</v>
      </c>
      <c r="D77" s="39">
        <v>2.0</v>
      </c>
      <c r="E77" s="14" t="s">
        <v>91</v>
      </c>
      <c r="F77" s="40">
        <f t="array" ref="F77">IFERROR(INDEX('1. Insumos'!$F$5:$F$110,MATCH($C77,'1. Insumos'!$B$5:$B$110,0)),0)</f>
        <v>0.025</v>
      </c>
      <c r="G77" s="41">
        <f t="shared" si="1"/>
        <v>0.05</v>
      </c>
      <c r="H77" s="42" t="s">
        <v>181</v>
      </c>
    </row>
    <row r="78" ht="15.75" customHeight="1">
      <c r="A78" s="14">
        <v>14.0</v>
      </c>
      <c r="B78" s="13" t="s">
        <v>242</v>
      </c>
      <c r="C78" s="13" t="s">
        <v>145</v>
      </c>
      <c r="D78" s="39">
        <v>1.0</v>
      </c>
      <c r="E78" s="14" t="s">
        <v>122</v>
      </c>
      <c r="F78" s="40">
        <f t="array" ref="F78">IFERROR(INDEX('1. Insumos'!$F$5:$F$110,MATCH($C78,'1. Insumos'!$B$5:$B$110,0)),0)</f>
        <v>3.6</v>
      </c>
      <c r="G78" s="41">
        <f t="shared" si="1"/>
        <v>3.6</v>
      </c>
      <c r="H78" s="42" t="s">
        <v>145</v>
      </c>
    </row>
    <row r="79" ht="15.75" customHeight="1">
      <c r="A79" s="14">
        <v>15.0</v>
      </c>
      <c r="B79" s="13" t="s">
        <v>247</v>
      </c>
      <c r="C79" s="13" t="s">
        <v>94</v>
      </c>
      <c r="D79" s="39">
        <v>250.0</v>
      </c>
      <c r="E79" s="14" t="s">
        <v>91</v>
      </c>
      <c r="F79" s="40">
        <f t="array" ref="F79">IFERROR(INDEX('1. Insumos'!$F$5:$F$110,MATCH($C79,'1. Insumos'!$B$5:$B$110,0)),0)</f>
        <v>0.22</v>
      </c>
      <c r="G79" s="41">
        <f t="shared" si="1"/>
        <v>55</v>
      </c>
      <c r="H79" s="42" t="s">
        <v>94</v>
      </c>
    </row>
    <row r="80" ht="15.75" customHeight="1">
      <c r="A80" s="14">
        <v>15.0</v>
      </c>
      <c r="B80" s="13" t="s">
        <v>247</v>
      </c>
      <c r="C80" s="13" t="s">
        <v>179</v>
      </c>
      <c r="D80" s="39">
        <v>4.0</v>
      </c>
      <c r="E80" s="14" t="s">
        <v>91</v>
      </c>
      <c r="F80" s="40">
        <f t="array" ref="F80">IFERROR(INDEX('1. Insumos'!$F$5:$F$110,MATCH($C80,'1. Insumos'!$B$5:$B$110,0)),0)</f>
        <v>1.8</v>
      </c>
      <c r="G80" s="41">
        <f t="shared" si="1"/>
        <v>7.2</v>
      </c>
      <c r="H80" s="42" t="s">
        <v>320</v>
      </c>
    </row>
    <row r="81" ht="15.75" customHeight="1">
      <c r="A81" s="14">
        <v>15.0</v>
      </c>
      <c r="B81" s="13" t="s">
        <v>247</v>
      </c>
      <c r="C81" s="13" t="s">
        <v>307</v>
      </c>
      <c r="D81" s="39">
        <v>5.0</v>
      </c>
      <c r="E81" s="14" t="s">
        <v>91</v>
      </c>
      <c r="F81" s="40">
        <f t="array" ref="F81">IFERROR(INDEX('1. Insumos'!$F$5:$F$110,MATCH($C81,'1. Insumos'!$B$5:$B$110,0)),0)</f>
        <v>0.7</v>
      </c>
      <c r="G81" s="41">
        <f t="shared" si="1"/>
        <v>3.5</v>
      </c>
      <c r="H81" s="42" t="s">
        <v>325</v>
      </c>
    </row>
    <row r="82" ht="15.75" customHeight="1">
      <c r="A82" s="14">
        <v>15.0</v>
      </c>
      <c r="B82" s="13" t="s">
        <v>247</v>
      </c>
      <c r="C82" s="13" t="s">
        <v>223</v>
      </c>
      <c r="D82" s="39">
        <v>3.0</v>
      </c>
      <c r="E82" s="14" t="s">
        <v>91</v>
      </c>
      <c r="F82" s="40">
        <f t="array" ref="F82">IFERROR(INDEX('1. Insumos'!$F$5:$F$110,MATCH($C82,'1. Insumos'!$B$5:$B$110,0)),0)</f>
        <v>0.12</v>
      </c>
      <c r="G82" s="41">
        <f t="shared" si="1"/>
        <v>0.36</v>
      </c>
      <c r="H82" s="42" t="s">
        <v>308</v>
      </c>
    </row>
    <row r="83" ht="15.75" customHeight="1">
      <c r="A83" s="14">
        <v>15.0</v>
      </c>
      <c r="B83" s="13" t="s">
        <v>247</v>
      </c>
      <c r="C83" s="13" t="s">
        <v>145</v>
      </c>
      <c r="D83" s="39">
        <v>1.0</v>
      </c>
      <c r="E83" s="14" t="s">
        <v>122</v>
      </c>
      <c r="F83" s="40">
        <f t="array" ref="F83">IFERROR(INDEX('1. Insumos'!$F$5:$F$110,MATCH($C83,'1. Insumos'!$B$5:$B$110,0)),0)</f>
        <v>3.6</v>
      </c>
      <c r="G83" s="41">
        <f t="shared" si="1"/>
        <v>3.6</v>
      </c>
      <c r="H83" s="42" t="s">
        <v>145</v>
      </c>
    </row>
    <row r="84" ht="15.75" customHeight="1">
      <c r="A84" s="14">
        <v>16.0</v>
      </c>
      <c r="B84" s="13" t="s">
        <v>255</v>
      </c>
      <c r="C84" s="13" t="s">
        <v>258</v>
      </c>
      <c r="D84" s="39">
        <v>150.0</v>
      </c>
      <c r="E84" s="14" t="s">
        <v>91</v>
      </c>
      <c r="F84" s="40">
        <f t="array" ref="F84">IFERROR(INDEX('1. Insumos'!$F$5:$F$110,MATCH($C84,'1. Insumos'!$B$5:$B$110,0)),0)</f>
        <v>0.19</v>
      </c>
      <c r="G84" s="41">
        <f t="shared" si="1"/>
        <v>28.5</v>
      </c>
      <c r="H84" s="42" t="s">
        <v>331</v>
      </c>
    </row>
    <row r="85" ht="15.75" customHeight="1">
      <c r="A85" s="14">
        <v>16.0</v>
      </c>
      <c r="B85" s="13" t="s">
        <v>255</v>
      </c>
      <c r="C85" s="13" t="s">
        <v>270</v>
      </c>
      <c r="D85" s="39">
        <v>100.0</v>
      </c>
      <c r="E85" s="14" t="s">
        <v>91</v>
      </c>
      <c r="F85" s="40">
        <f t="array" ref="F85">IFERROR(INDEX('1. Insumos'!$F$5:$F$110,MATCH($C85,'1. Insumos'!$B$5:$B$110,0)),0)</f>
        <v>0.095</v>
      </c>
      <c r="G85" s="41">
        <f t="shared" si="1"/>
        <v>9.5</v>
      </c>
      <c r="H85" s="42" t="s">
        <v>341</v>
      </c>
    </row>
    <row r="86" ht="15.75" customHeight="1">
      <c r="A86" s="14">
        <v>16.0</v>
      </c>
      <c r="B86" s="13" t="s">
        <v>255</v>
      </c>
      <c r="C86" s="13" t="s">
        <v>287</v>
      </c>
      <c r="D86" s="39">
        <v>10.0</v>
      </c>
      <c r="E86" s="14" t="s">
        <v>91</v>
      </c>
      <c r="F86" s="40">
        <f t="array" ref="F86">IFERROR(INDEX('1. Insumos'!$F$5:$F$110,MATCH($C86,'1. Insumos'!$B$5:$B$110,0)),0)</f>
        <v>0.375</v>
      </c>
      <c r="G86" s="41">
        <f t="shared" si="1"/>
        <v>3.75</v>
      </c>
      <c r="H86" s="42" t="s">
        <v>343</v>
      </c>
    </row>
    <row r="87" ht="15.75" customHeight="1">
      <c r="A87" s="14">
        <v>16.0</v>
      </c>
      <c r="B87" s="13" t="s">
        <v>255</v>
      </c>
      <c r="C87" s="13" t="s">
        <v>201</v>
      </c>
      <c r="D87" s="39">
        <v>3.0</v>
      </c>
      <c r="E87" s="14" t="s">
        <v>91</v>
      </c>
      <c r="F87" s="40">
        <f t="array" ref="F87">IFERROR(INDEX('1. Insumos'!$F$5:$F$110,MATCH($C87,'1. Insumos'!$B$5:$B$110,0)),0)</f>
        <v>0.7</v>
      </c>
      <c r="G87" s="41">
        <f t="shared" si="1"/>
        <v>2.1</v>
      </c>
      <c r="H87" s="42" t="s">
        <v>345</v>
      </c>
    </row>
    <row r="88" ht="15.75" customHeight="1">
      <c r="A88" s="14">
        <v>16.0</v>
      </c>
      <c r="B88" s="13" t="s">
        <v>255</v>
      </c>
      <c r="C88" s="13" t="s">
        <v>138</v>
      </c>
      <c r="D88" s="39">
        <v>4.0</v>
      </c>
      <c r="E88" s="14" t="s">
        <v>91</v>
      </c>
      <c r="F88" s="40">
        <f t="array" ref="F88">IFERROR(INDEX('1. Insumos'!$F$5:$F$110,MATCH($C88,'1. Insumos'!$B$5:$B$110,0)),0)</f>
        <v>0.76</v>
      </c>
      <c r="G88" s="41">
        <f t="shared" si="1"/>
        <v>3.04</v>
      </c>
      <c r="H88" s="42" t="s">
        <v>347</v>
      </c>
    </row>
    <row r="89" ht="15.75" customHeight="1">
      <c r="A89" s="14">
        <v>16.0</v>
      </c>
      <c r="B89" s="13" t="s">
        <v>255</v>
      </c>
      <c r="C89" s="13" t="s">
        <v>145</v>
      </c>
      <c r="D89" s="39">
        <v>1.0</v>
      </c>
      <c r="E89" s="14" t="s">
        <v>122</v>
      </c>
      <c r="F89" s="40">
        <f t="array" ref="F89">IFERROR(INDEX('1. Insumos'!$F$5:$F$110,MATCH($C89,'1. Insumos'!$B$5:$B$110,0)),0)</f>
        <v>3.6</v>
      </c>
      <c r="G89" s="41">
        <f t="shared" si="1"/>
        <v>3.6</v>
      </c>
      <c r="H89" s="42" t="s">
        <v>145</v>
      </c>
    </row>
    <row r="90" ht="15.75" customHeight="1">
      <c r="A90" s="14">
        <v>17.0</v>
      </c>
      <c r="B90" s="13" t="s">
        <v>260</v>
      </c>
      <c r="C90" s="13" t="s">
        <v>258</v>
      </c>
      <c r="D90" s="39">
        <v>150.0</v>
      </c>
      <c r="E90" s="14" t="s">
        <v>91</v>
      </c>
      <c r="F90" s="40">
        <f t="array" ref="F90">IFERROR(INDEX('1. Insumos'!$F$5:$F$110,MATCH($C90,'1. Insumos'!$B$5:$B$110,0)),0)</f>
        <v>0.19</v>
      </c>
      <c r="G90" s="41">
        <f t="shared" si="1"/>
        <v>28.5</v>
      </c>
      <c r="H90" s="42" t="s">
        <v>258</v>
      </c>
    </row>
    <row r="91" ht="15.75" customHeight="1">
      <c r="A91" s="14">
        <v>17.0</v>
      </c>
      <c r="B91" s="13" t="s">
        <v>260</v>
      </c>
      <c r="C91" s="13" t="s">
        <v>270</v>
      </c>
      <c r="D91" s="39">
        <v>100.0</v>
      </c>
      <c r="E91" s="14" t="s">
        <v>91</v>
      </c>
      <c r="F91" s="40">
        <f t="array" ref="F91">IFERROR(INDEX('1. Insumos'!$F$5:$F$110,MATCH($C91,'1. Insumos'!$B$5:$B$110,0)),0)</f>
        <v>0.095</v>
      </c>
      <c r="G91" s="41">
        <f t="shared" si="1"/>
        <v>9.5</v>
      </c>
      <c r="H91" s="42" t="s">
        <v>349</v>
      </c>
    </row>
    <row r="92" ht="15.75" customHeight="1">
      <c r="A92" s="14">
        <v>17.0</v>
      </c>
      <c r="B92" s="13" t="s">
        <v>260</v>
      </c>
      <c r="C92" s="13" t="s">
        <v>130</v>
      </c>
      <c r="D92" s="39">
        <v>4.0</v>
      </c>
      <c r="E92" s="14" t="s">
        <v>91</v>
      </c>
      <c r="F92" s="40">
        <f t="array" ref="F92">IFERROR(INDEX('1. Insumos'!$F$5:$F$110,MATCH($C92,'1. Insumos'!$B$5:$B$110,0)),0)</f>
        <v>0.55</v>
      </c>
      <c r="G92" s="41">
        <f t="shared" si="1"/>
        <v>2.2</v>
      </c>
      <c r="H92" s="42" t="s">
        <v>350</v>
      </c>
    </row>
    <row r="93" ht="15.75" customHeight="1">
      <c r="A93" s="14">
        <v>17.0</v>
      </c>
      <c r="B93" s="13" t="s">
        <v>260</v>
      </c>
      <c r="C93" s="13" t="s">
        <v>128</v>
      </c>
      <c r="D93" s="39">
        <v>4.0</v>
      </c>
      <c r="E93" s="14" t="s">
        <v>91</v>
      </c>
      <c r="F93" s="40">
        <f t="array" ref="F93">IFERROR(INDEX('1. Insumos'!$F$5:$F$110,MATCH($C93,'1. Insumos'!$B$5:$B$110,0)),0)</f>
        <v>0.4</v>
      </c>
      <c r="G93" s="41">
        <f t="shared" si="1"/>
        <v>1.6</v>
      </c>
      <c r="H93" s="42" t="s">
        <v>352</v>
      </c>
    </row>
    <row r="94" ht="15.75" customHeight="1">
      <c r="A94" s="14">
        <v>17.0</v>
      </c>
      <c r="B94" s="13" t="s">
        <v>260</v>
      </c>
      <c r="C94" s="13" t="s">
        <v>178</v>
      </c>
      <c r="D94" s="39">
        <v>3.0</v>
      </c>
      <c r="E94" s="14" t="s">
        <v>91</v>
      </c>
      <c r="F94" s="40">
        <f t="array" ref="F94">IFERROR(INDEX('1. Insumos'!$F$5:$F$110,MATCH($C94,'1. Insumos'!$B$5:$B$110,0)),0)</f>
        <v>0.4</v>
      </c>
      <c r="G94" s="41">
        <f t="shared" si="1"/>
        <v>1.2</v>
      </c>
      <c r="H94" s="42" t="s">
        <v>178</v>
      </c>
    </row>
    <row r="95" ht="15.75" customHeight="1">
      <c r="A95" s="14">
        <v>17.0</v>
      </c>
      <c r="B95" s="13" t="s">
        <v>260</v>
      </c>
      <c r="C95" s="13" t="s">
        <v>223</v>
      </c>
      <c r="D95" s="39">
        <v>5.0</v>
      </c>
      <c r="E95" s="14" t="s">
        <v>91</v>
      </c>
      <c r="F95" s="40">
        <f t="array" ref="F95">IFERROR(INDEX('1. Insumos'!$F$5:$F$110,MATCH($C95,'1. Insumos'!$B$5:$B$110,0)),0)</f>
        <v>0.12</v>
      </c>
      <c r="G95" s="41">
        <f t="shared" si="1"/>
        <v>0.6</v>
      </c>
      <c r="H95" s="42" t="s">
        <v>226</v>
      </c>
    </row>
    <row r="96" ht="15.75" customHeight="1">
      <c r="A96" s="14">
        <v>17.0</v>
      </c>
      <c r="B96" s="13" t="s">
        <v>260</v>
      </c>
      <c r="C96" s="13" t="s">
        <v>145</v>
      </c>
      <c r="D96" s="39">
        <v>1.0</v>
      </c>
      <c r="E96" s="14" t="s">
        <v>122</v>
      </c>
      <c r="F96" s="40">
        <f t="array" ref="F96">IFERROR(INDEX('1. Insumos'!$F$5:$F$110,MATCH($C96,'1. Insumos'!$B$5:$B$110,0)),0)</f>
        <v>3.6</v>
      </c>
      <c r="G96" s="41">
        <f t="shared" si="1"/>
        <v>3.6</v>
      </c>
      <c r="H96" s="42" t="s">
        <v>145</v>
      </c>
    </row>
    <row r="97" ht="15.75" customHeight="1">
      <c r="A97" s="14">
        <v>18.0</v>
      </c>
      <c r="B97" s="13" t="s">
        <v>266</v>
      </c>
      <c r="C97" s="13" t="s">
        <v>254</v>
      </c>
      <c r="D97" s="39">
        <v>180.0</v>
      </c>
      <c r="E97" s="14" t="s">
        <v>91</v>
      </c>
      <c r="F97" s="40">
        <f t="array" ref="F97">IFERROR(INDEX('1. Insumos'!$F$5:$F$110,MATCH($C97,'1. Insumos'!$B$5:$B$110,0)),0)</f>
        <v>0.96</v>
      </c>
      <c r="G97" s="41">
        <f t="shared" si="1"/>
        <v>172.8</v>
      </c>
      <c r="H97" s="42" t="s">
        <v>354</v>
      </c>
    </row>
    <row r="98" ht="15.75" customHeight="1">
      <c r="A98" s="14">
        <v>18.0</v>
      </c>
      <c r="B98" s="13" t="s">
        <v>266</v>
      </c>
      <c r="C98" s="13" t="s">
        <v>259</v>
      </c>
      <c r="D98" s="39">
        <v>70.0</v>
      </c>
      <c r="E98" s="14" t="s">
        <v>91</v>
      </c>
      <c r="F98" s="40">
        <f t="array" ref="F98">IFERROR(INDEX('1. Insumos'!$F$5:$F$110,MATCH($C98,'1. Insumos'!$B$5:$B$110,0)),0)</f>
        <v>0.72</v>
      </c>
      <c r="G98" s="41">
        <f t="shared" si="1"/>
        <v>50.4</v>
      </c>
      <c r="H98" s="42" t="s">
        <v>355</v>
      </c>
    </row>
    <row r="99" ht="15.75" customHeight="1">
      <c r="A99" s="14">
        <v>18.0</v>
      </c>
      <c r="B99" s="13" t="s">
        <v>266</v>
      </c>
      <c r="C99" s="13" t="s">
        <v>163</v>
      </c>
      <c r="D99" s="39">
        <v>4.0</v>
      </c>
      <c r="E99" s="14" t="s">
        <v>91</v>
      </c>
      <c r="F99" s="40">
        <f t="array" ref="F99">IFERROR(INDEX('1. Insumos'!$F$5:$F$110,MATCH($C99,'1. Insumos'!$B$5:$B$110,0)),0)</f>
        <v>0.56</v>
      </c>
      <c r="G99" s="41">
        <f t="shared" si="1"/>
        <v>2.24</v>
      </c>
      <c r="H99" s="42" t="s">
        <v>357</v>
      </c>
    </row>
    <row r="100" ht="15.75" customHeight="1">
      <c r="A100" s="14">
        <v>18.0</v>
      </c>
      <c r="B100" s="13" t="s">
        <v>266</v>
      </c>
      <c r="C100" s="13" t="s">
        <v>289</v>
      </c>
      <c r="D100" s="39">
        <v>5.0</v>
      </c>
      <c r="E100" s="14" t="s">
        <v>91</v>
      </c>
      <c r="F100" s="40">
        <f t="array" ref="F100">IFERROR(INDEX('1. Insumos'!$F$5:$F$110,MATCH($C100,'1. Insumos'!$B$5:$B$110,0)),0)</f>
        <v>0.3</v>
      </c>
      <c r="G100" s="41">
        <f t="shared" si="1"/>
        <v>1.5</v>
      </c>
      <c r="H100" s="42" t="s">
        <v>358</v>
      </c>
    </row>
    <row r="101" ht="15.75" customHeight="1">
      <c r="A101" s="14">
        <v>18.0</v>
      </c>
      <c r="B101" s="13" t="s">
        <v>266</v>
      </c>
      <c r="C101" s="13" t="s">
        <v>223</v>
      </c>
      <c r="D101" s="39">
        <v>4.0</v>
      </c>
      <c r="E101" s="14" t="s">
        <v>91</v>
      </c>
      <c r="F101" s="40">
        <f t="array" ref="F101">IFERROR(INDEX('1. Insumos'!$F$5:$F$110,MATCH($C101,'1. Insumos'!$B$5:$B$110,0)),0)</f>
        <v>0.12</v>
      </c>
      <c r="G101" s="41">
        <f t="shared" si="1"/>
        <v>0.48</v>
      </c>
      <c r="H101" s="42" t="s">
        <v>308</v>
      </c>
    </row>
    <row r="102" ht="15.75" customHeight="1">
      <c r="A102" s="14">
        <v>18.0</v>
      </c>
      <c r="B102" s="13" t="s">
        <v>266</v>
      </c>
      <c r="C102" s="13" t="s">
        <v>145</v>
      </c>
      <c r="D102" s="39">
        <v>1.0</v>
      </c>
      <c r="E102" s="14" t="s">
        <v>122</v>
      </c>
      <c r="F102" s="40">
        <f t="array" ref="F102">IFERROR(INDEX('1. Insumos'!$F$5:$F$110,MATCH($C102,'1. Insumos'!$B$5:$B$110,0)),0)</f>
        <v>3.6</v>
      </c>
      <c r="G102" s="41">
        <f t="shared" si="1"/>
        <v>3.6</v>
      </c>
      <c r="H102" s="42" t="s">
        <v>145</v>
      </c>
    </row>
    <row r="103" ht="15.75" customHeight="1">
      <c r="A103" s="14">
        <v>19.0</v>
      </c>
      <c r="B103" s="13" t="s">
        <v>271</v>
      </c>
      <c r="C103" s="13" t="s">
        <v>254</v>
      </c>
      <c r="D103" s="39">
        <v>180.0</v>
      </c>
      <c r="E103" s="14" t="s">
        <v>91</v>
      </c>
      <c r="F103" s="40">
        <f t="array" ref="F103">IFERROR(INDEX('1. Insumos'!$F$5:$F$110,MATCH($C103,'1. Insumos'!$B$5:$B$110,0)),0)</f>
        <v>0.96</v>
      </c>
      <c r="G103" s="41">
        <f t="shared" si="1"/>
        <v>172.8</v>
      </c>
      <c r="H103" s="42" t="s">
        <v>360</v>
      </c>
    </row>
    <row r="104" ht="15.75" customHeight="1">
      <c r="A104" s="14">
        <v>19.0</v>
      </c>
      <c r="B104" s="13" t="s">
        <v>271</v>
      </c>
      <c r="C104" s="13" t="s">
        <v>259</v>
      </c>
      <c r="D104" s="39">
        <v>70.0</v>
      </c>
      <c r="E104" s="14" t="s">
        <v>91</v>
      </c>
      <c r="F104" s="40">
        <f t="array" ref="F104">IFERROR(INDEX('1. Insumos'!$F$5:$F$110,MATCH($C104,'1. Insumos'!$B$5:$B$110,0)),0)</f>
        <v>0.72</v>
      </c>
      <c r="G104" s="41">
        <f t="shared" si="1"/>
        <v>50.4</v>
      </c>
      <c r="H104" s="42" t="s">
        <v>259</v>
      </c>
    </row>
    <row r="105" ht="15.75" customHeight="1">
      <c r="A105" s="14">
        <v>19.0</v>
      </c>
      <c r="B105" s="13" t="s">
        <v>271</v>
      </c>
      <c r="C105" s="13" t="s">
        <v>222</v>
      </c>
      <c r="D105" s="39">
        <v>2.0</v>
      </c>
      <c r="E105" s="14" t="s">
        <v>22</v>
      </c>
      <c r="F105" s="40">
        <f t="array" ref="F105">IFERROR(INDEX('1. Insumos'!$F$5:$F$110,MATCH($C105,'1. Insumos'!$B$5:$B$110,0)),0)</f>
        <v>1.583333333</v>
      </c>
      <c r="G105" s="41">
        <f t="shared" si="1"/>
        <v>3.166666667</v>
      </c>
      <c r="H105" s="42" t="s">
        <v>362</v>
      </c>
    </row>
    <row r="106" ht="15.75" customHeight="1">
      <c r="A106" s="14">
        <v>19.0</v>
      </c>
      <c r="B106" s="13" t="s">
        <v>271</v>
      </c>
      <c r="C106" s="13" t="s">
        <v>209</v>
      </c>
      <c r="D106" s="39">
        <v>3.0</v>
      </c>
      <c r="E106" s="14" t="s">
        <v>91</v>
      </c>
      <c r="F106" s="40">
        <f t="array" ref="F106">IFERROR(INDEX('1. Insumos'!$F$5:$F$110,MATCH($C106,'1. Insumos'!$B$5:$B$110,0)),0)</f>
        <v>0.75</v>
      </c>
      <c r="G106" s="41">
        <f t="shared" si="1"/>
        <v>2.25</v>
      </c>
      <c r="H106" s="42" t="s">
        <v>209</v>
      </c>
    </row>
    <row r="107" ht="15.75" customHeight="1">
      <c r="A107" s="14">
        <v>19.0</v>
      </c>
      <c r="B107" s="13" t="s">
        <v>271</v>
      </c>
      <c r="C107" s="13" t="s">
        <v>181</v>
      </c>
      <c r="D107" s="39">
        <v>3.0</v>
      </c>
      <c r="E107" s="14" t="s">
        <v>91</v>
      </c>
      <c r="F107" s="40">
        <f t="array" ref="F107">IFERROR(INDEX('1. Insumos'!$F$5:$F$110,MATCH($C107,'1. Insumos'!$B$5:$B$110,0)),0)</f>
        <v>0.025</v>
      </c>
      <c r="G107" s="41">
        <f t="shared" si="1"/>
        <v>0.075</v>
      </c>
      <c r="H107" s="42" t="s">
        <v>181</v>
      </c>
    </row>
    <row r="108" ht="15.75" customHeight="1">
      <c r="A108" s="14">
        <v>19.0</v>
      </c>
      <c r="B108" s="13" t="s">
        <v>271</v>
      </c>
      <c r="C108" s="13" t="s">
        <v>145</v>
      </c>
      <c r="D108" s="39">
        <v>1.0</v>
      </c>
      <c r="E108" s="14" t="s">
        <v>122</v>
      </c>
      <c r="F108" s="40">
        <f t="array" ref="F108">IFERROR(INDEX('1. Insumos'!$F$5:$F$110,MATCH($C108,'1. Insumos'!$B$5:$B$110,0)),0)</f>
        <v>3.6</v>
      </c>
      <c r="G108" s="41">
        <f t="shared" si="1"/>
        <v>3.6</v>
      </c>
      <c r="H108" s="42" t="s">
        <v>145</v>
      </c>
    </row>
    <row r="109" ht="15.75" customHeight="1">
      <c r="A109" s="14">
        <v>20.0</v>
      </c>
      <c r="B109" s="13" t="s">
        <v>276</v>
      </c>
      <c r="C109" s="13" t="s">
        <v>270</v>
      </c>
      <c r="D109" s="39">
        <v>230.0</v>
      </c>
      <c r="E109" s="14" t="s">
        <v>91</v>
      </c>
      <c r="F109" s="40">
        <f t="array" ref="F109">IFERROR(INDEX('1. Insumos'!$F$5:$F$110,MATCH($C109,'1. Insumos'!$B$5:$B$110,0)),0)</f>
        <v>0.095</v>
      </c>
      <c r="G109" s="41">
        <f t="shared" si="1"/>
        <v>21.85</v>
      </c>
      <c r="H109" s="42" t="s">
        <v>364</v>
      </c>
    </row>
    <row r="110" ht="15.75" customHeight="1">
      <c r="A110" s="14">
        <v>20.0</v>
      </c>
      <c r="B110" s="13" t="s">
        <v>276</v>
      </c>
      <c r="C110" s="13" t="s">
        <v>289</v>
      </c>
      <c r="D110" s="39">
        <v>30.0</v>
      </c>
      <c r="E110" s="14" t="s">
        <v>91</v>
      </c>
      <c r="F110" s="40">
        <f t="array" ref="F110">IFERROR(INDEX('1. Insumos'!$F$5:$F$110,MATCH($C110,'1. Insumos'!$B$5:$B$110,0)),0)</f>
        <v>0.3</v>
      </c>
      <c r="G110" s="41">
        <f t="shared" si="1"/>
        <v>9</v>
      </c>
      <c r="H110" s="42" t="s">
        <v>366</v>
      </c>
    </row>
    <row r="111" ht="15.75" customHeight="1">
      <c r="A111" s="14">
        <v>20.0</v>
      </c>
      <c r="B111" s="13" t="s">
        <v>276</v>
      </c>
      <c r="C111" s="13" t="s">
        <v>212</v>
      </c>
      <c r="D111" s="39">
        <v>3.0</v>
      </c>
      <c r="E111" s="14" t="s">
        <v>91</v>
      </c>
      <c r="F111" s="40">
        <f t="array" ref="F111">IFERROR(INDEX('1. Insumos'!$F$5:$F$110,MATCH($C111,'1. Insumos'!$B$5:$B$110,0)),0)</f>
        <v>0.6</v>
      </c>
      <c r="G111" s="41">
        <f t="shared" si="1"/>
        <v>1.8</v>
      </c>
      <c r="H111" s="42" t="s">
        <v>367</v>
      </c>
    </row>
    <row r="112" ht="15.75" customHeight="1">
      <c r="A112" s="14">
        <v>20.0</v>
      </c>
      <c r="B112" s="13" t="s">
        <v>276</v>
      </c>
      <c r="C112" s="13" t="s">
        <v>138</v>
      </c>
      <c r="D112" s="39">
        <v>5.0</v>
      </c>
      <c r="E112" s="14" t="s">
        <v>91</v>
      </c>
      <c r="F112" s="40">
        <f t="array" ref="F112">IFERROR(INDEX('1. Insumos'!$F$5:$F$110,MATCH($C112,'1. Insumos'!$B$5:$B$110,0)),0)</f>
        <v>0.76</v>
      </c>
      <c r="G112" s="41">
        <f t="shared" si="1"/>
        <v>3.8</v>
      </c>
      <c r="H112" s="42" t="s">
        <v>369</v>
      </c>
    </row>
    <row r="113" ht="15.75" customHeight="1">
      <c r="A113" s="14">
        <v>20.0</v>
      </c>
      <c r="B113" s="13" t="s">
        <v>276</v>
      </c>
      <c r="C113" s="13" t="s">
        <v>145</v>
      </c>
      <c r="D113" s="39">
        <v>1.0</v>
      </c>
      <c r="E113" s="14" t="s">
        <v>122</v>
      </c>
      <c r="F113" s="40">
        <f t="array" ref="F113">IFERROR(INDEX('1. Insumos'!$F$5:$F$110,MATCH($C113,'1. Insumos'!$B$5:$B$110,0)),0)</f>
        <v>3.6</v>
      </c>
      <c r="G113" s="41">
        <f t="shared" si="1"/>
        <v>3.6</v>
      </c>
      <c r="H113" s="42" t="s">
        <v>145</v>
      </c>
    </row>
    <row r="114" ht="15.75" customHeight="1">
      <c r="A114" s="14">
        <v>21.0</v>
      </c>
      <c r="B114" s="13" t="s">
        <v>279</v>
      </c>
      <c r="C114" s="13" t="s">
        <v>270</v>
      </c>
      <c r="D114" s="39">
        <v>240.0</v>
      </c>
      <c r="E114" s="14" t="s">
        <v>91</v>
      </c>
      <c r="F114" s="40">
        <f t="array" ref="F114">IFERROR(INDEX('1. Insumos'!$F$5:$F$110,MATCH($C114,'1. Insumos'!$B$5:$B$110,0)),0)</f>
        <v>0.095</v>
      </c>
      <c r="G114" s="41">
        <f t="shared" si="1"/>
        <v>22.8</v>
      </c>
      <c r="H114" s="42" t="s">
        <v>370</v>
      </c>
    </row>
    <row r="115" ht="15.75" customHeight="1">
      <c r="A115" s="14">
        <v>21.0</v>
      </c>
      <c r="B115" s="13" t="s">
        <v>279</v>
      </c>
      <c r="C115" s="13" t="s">
        <v>228</v>
      </c>
      <c r="D115" s="39">
        <v>5.0</v>
      </c>
      <c r="E115" s="14" t="s">
        <v>91</v>
      </c>
      <c r="F115" s="40">
        <f t="array" ref="F115">IFERROR(INDEX('1. Insumos'!$F$5:$F$110,MATCH($C115,'1. Insumos'!$B$5:$B$110,0)),0)</f>
        <v>0.25</v>
      </c>
      <c r="G115" s="41">
        <f t="shared" si="1"/>
        <v>1.25</v>
      </c>
      <c r="H115" s="42" t="s">
        <v>372</v>
      </c>
    </row>
    <row r="116" ht="15.75" customHeight="1">
      <c r="A116" s="14">
        <v>21.0</v>
      </c>
      <c r="B116" s="13" t="s">
        <v>279</v>
      </c>
      <c r="C116" s="13" t="s">
        <v>187</v>
      </c>
      <c r="D116" s="39">
        <v>6.0</v>
      </c>
      <c r="E116" s="14" t="s">
        <v>91</v>
      </c>
      <c r="F116" s="40">
        <f t="array" ref="F116">IFERROR(INDEX('1. Insumos'!$F$5:$F$110,MATCH($C116,'1. Insumos'!$B$5:$B$110,0)),0)</f>
        <v>0.65</v>
      </c>
      <c r="G116" s="41">
        <f t="shared" si="1"/>
        <v>3.9</v>
      </c>
      <c r="H116" s="42" t="s">
        <v>373</v>
      </c>
    </row>
    <row r="117" ht="15.75" customHeight="1">
      <c r="A117" s="14">
        <v>21.0</v>
      </c>
      <c r="B117" s="13" t="s">
        <v>279</v>
      </c>
      <c r="C117" s="13" t="s">
        <v>216</v>
      </c>
      <c r="D117" s="39">
        <v>2.0</v>
      </c>
      <c r="E117" s="14" t="s">
        <v>91</v>
      </c>
      <c r="F117" s="40">
        <f t="array" ref="F117">IFERROR(INDEX('1. Insumos'!$F$5:$F$110,MATCH($C117,'1. Insumos'!$B$5:$B$110,0)),0)</f>
        <v>0.45</v>
      </c>
      <c r="G117" s="41">
        <f t="shared" si="1"/>
        <v>0.9</v>
      </c>
      <c r="H117" s="42" t="s">
        <v>375</v>
      </c>
    </row>
    <row r="118" ht="15.75" customHeight="1">
      <c r="A118" s="14">
        <v>21.0</v>
      </c>
      <c r="B118" s="13" t="s">
        <v>279</v>
      </c>
      <c r="C118" s="13" t="s">
        <v>181</v>
      </c>
      <c r="D118" s="39">
        <v>4.0</v>
      </c>
      <c r="E118" s="14" t="s">
        <v>91</v>
      </c>
      <c r="F118" s="40">
        <f t="array" ref="F118">IFERROR(INDEX('1. Insumos'!$F$5:$F$110,MATCH($C118,'1. Insumos'!$B$5:$B$110,0)),0)</f>
        <v>0.025</v>
      </c>
      <c r="G118" s="41">
        <f t="shared" si="1"/>
        <v>0.1</v>
      </c>
      <c r="H118" s="42" t="s">
        <v>181</v>
      </c>
    </row>
    <row r="119" ht="15.75" customHeight="1">
      <c r="A119" s="14">
        <v>21.0</v>
      </c>
      <c r="B119" s="13" t="s">
        <v>279</v>
      </c>
      <c r="C119" s="13" t="s">
        <v>145</v>
      </c>
      <c r="D119" s="39">
        <v>1.0</v>
      </c>
      <c r="E119" s="14" t="s">
        <v>122</v>
      </c>
      <c r="F119" s="40">
        <f t="array" ref="F119">IFERROR(INDEX('1. Insumos'!$F$5:$F$110,MATCH($C119,'1. Insumos'!$B$5:$B$110,0)),0)</f>
        <v>3.6</v>
      </c>
      <c r="G119" s="41">
        <f t="shared" si="1"/>
        <v>3.6</v>
      </c>
      <c r="H119" s="42" t="s">
        <v>145</v>
      </c>
    </row>
    <row r="120" ht="15.75" customHeight="1">
      <c r="A120" s="14">
        <v>22.0</v>
      </c>
      <c r="B120" s="13" t="s">
        <v>285</v>
      </c>
      <c r="C120" s="13" t="s">
        <v>264</v>
      </c>
      <c r="D120" s="39">
        <v>240.0</v>
      </c>
      <c r="E120" s="14" t="s">
        <v>91</v>
      </c>
      <c r="F120" s="40">
        <f t="array" ref="F120">IFERROR(INDEX('1. Insumos'!$F$5:$F$110,MATCH($C120,'1. Insumos'!$B$5:$B$110,0)),0)</f>
        <v>0.12</v>
      </c>
      <c r="G120" s="41">
        <f t="shared" si="1"/>
        <v>28.8</v>
      </c>
      <c r="H120" s="42" t="s">
        <v>377</v>
      </c>
    </row>
    <row r="121" ht="15.75" customHeight="1">
      <c r="A121" s="14">
        <v>22.0</v>
      </c>
      <c r="B121" s="13" t="s">
        <v>285</v>
      </c>
      <c r="C121" s="13" t="s">
        <v>120</v>
      </c>
      <c r="D121" s="39">
        <v>15.0</v>
      </c>
      <c r="E121" s="14" t="s">
        <v>91</v>
      </c>
      <c r="F121" s="40">
        <f t="array" ref="F121">IFERROR(INDEX('1. Insumos'!$F$5:$F$110,MATCH($C121,'1. Insumos'!$B$5:$B$110,0)),0)</f>
        <v>0.26</v>
      </c>
      <c r="G121" s="41">
        <f t="shared" si="1"/>
        <v>3.9</v>
      </c>
      <c r="H121" s="42" t="s">
        <v>378</v>
      </c>
    </row>
    <row r="122" ht="15.75" customHeight="1">
      <c r="A122" s="14">
        <v>22.0</v>
      </c>
      <c r="B122" s="13" t="s">
        <v>285</v>
      </c>
      <c r="C122" s="13" t="s">
        <v>202</v>
      </c>
      <c r="D122" s="39">
        <v>4.0</v>
      </c>
      <c r="E122" s="14" t="s">
        <v>91</v>
      </c>
      <c r="F122" s="40">
        <f t="array" ref="F122">IFERROR(INDEX('1. Insumos'!$F$5:$F$110,MATCH($C122,'1. Insumos'!$B$5:$B$110,0)),0)</f>
        <v>0.7</v>
      </c>
      <c r="G122" s="41">
        <f t="shared" si="1"/>
        <v>2.8</v>
      </c>
      <c r="H122" s="42" t="s">
        <v>380</v>
      </c>
    </row>
    <row r="123" ht="15.75" customHeight="1">
      <c r="A123" s="14">
        <v>22.0</v>
      </c>
      <c r="B123" s="13" t="s">
        <v>285</v>
      </c>
      <c r="C123" s="13" t="s">
        <v>138</v>
      </c>
      <c r="D123" s="39">
        <v>3.0</v>
      </c>
      <c r="E123" s="14" t="s">
        <v>91</v>
      </c>
      <c r="F123" s="40">
        <f t="array" ref="F123">IFERROR(INDEX('1. Insumos'!$F$5:$F$110,MATCH($C123,'1. Insumos'!$B$5:$B$110,0)),0)</f>
        <v>0.76</v>
      </c>
      <c r="G123" s="41">
        <f t="shared" si="1"/>
        <v>2.28</v>
      </c>
      <c r="H123" s="42" t="s">
        <v>143</v>
      </c>
    </row>
    <row r="124" ht="15.75" customHeight="1">
      <c r="A124" s="14">
        <v>22.0</v>
      </c>
      <c r="B124" s="13" t="s">
        <v>285</v>
      </c>
      <c r="C124" s="13" t="s">
        <v>145</v>
      </c>
      <c r="D124" s="39">
        <v>1.0</v>
      </c>
      <c r="E124" s="14" t="s">
        <v>122</v>
      </c>
      <c r="F124" s="40">
        <f t="array" ref="F124">IFERROR(INDEX('1. Insumos'!$F$5:$F$110,MATCH($C124,'1. Insumos'!$B$5:$B$110,0)),0)</f>
        <v>3.6</v>
      </c>
      <c r="G124" s="41">
        <f t="shared" si="1"/>
        <v>3.6</v>
      </c>
      <c r="H124" s="42" t="s">
        <v>145</v>
      </c>
    </row>
    <row r="125" ht="15.75" customHeight="1">
      <c r="A125" s="14">
        <v>23.0</v>
      </c>
      <c r="B125" s="13" t="s">
        <v>290</v>
      </c>
      <c r="C125" s="13" t="s">
        <v>264</v>
      </c>
      <c r="D125" s="39">
        <v>240.0</v>
      </c>
      <c r="E125" s="14" t="s">
        <v>91</v>
      </c>
      <c r="F125" s="40">
        <f t="array" ref="F125">IFERROR(INDEX('1. Insumos'!$F$5:$F$110,MATCH($C125,'1. Insumos'!$B$5:$B$110,0)),0)</f>
        <v>0.12</v>
      </c>
      <c r="G125" s="41">
        <f t="shared" si="1"/>
        <v>28.8</v>
      </c>
      <c r="H125" s="42" t="s">
        <v>382</v>
      </c>
    </row>
    <row r="126" ht="15.75" customHeight="1">
      <c r="A126" s="14">
        <v>23.0</v>
      </c>
      <c r="B126" s="13" t="s">
        <v>290</v>
      </c>
      <c r="C126" s="13" t="s">
        <v>124</v>
      </c>
      <c r="D126" s="39">
        <v>3.0</v>
      </c>
      <c r="E126" s="14" t="s">
        <v>91</v>
      </c>
      <c r="F126" s="40">
        <f t="array" ref="F126">IFERROR(INDEX('1. Insumos'!$F$5:$F$110,MATCH($C126,'1. Insumos'!$B$5:$B$110,0)),0)</f>
        <v>0.45</v>
      </c>
      <c r="G126" s="41">
        <f t="shared" si="1"/>
        <v>1.35</v>
      </c>
      <c r="H126" s="42" t="s">
        <v>383</v>
      </c>
    </row>
    <row r="127" ht="15.75" customHeight="1">
      <c r="A127" s="14">
        <v>23.0</v>
      </c>
      <c r="B127" s="13" t="s">
        <v>290</v>
      </c>
      <c r="C127" s="13" t="s">
        <v>309</v>
      </c>
      <c r="D127" s="39">
        <v>2.0</v>
      </c>
      <c r="E127" s="14" t="s">
        <v>91</v>
      </c>
      <c r="F127" s="40">
        <f t="array" ref="F127">IFERROR(INDEX('1. Insumos'!$F$5:$F$110,MATCH($C127,'1. Insumos'!$B$5:$B$110,0)),0)</f>
        <v>0.45</v>
      </c>
      <c r="G127" s="41">
        <f t="shared" si="1"/>
        <v>0.9</v>
      </c>
      <c r="H127" s="42" t="s">
        <v>385</v>
      </c>
    </row>
    <row r="128" ht="15.75" customHeight="1">
      <c r="A128" s="14">
        <v>23.0</v>
      </c>
      <c r="B128" s="13" t="s">
        <v>290</v>
      </c>
      <c r="C128" s="13" t="s">
        <v>200</v>
      </c>
      <c r="D128" s="39">
        <v>1.0</v>
      </c>
      <c r="E128" s="14" t="s">
        <v>91</v>
      </c>
      <c r="F128" s="40">
        <f t="array" ref="F128">IFERROR(INDEX('1. Insumos'!$F$5:$F$110,MATCH($C128,'1. Insumos'!$B$5:$B$110,0)),0)</f>
        <v>0.7</v>
      </c>
      <c r="G128" s="41">
        <f t="shared" si="1"/>
        <v>0.7</v>
      </c>
      <c r="H128" s="42" t="s">
        <v>386</v>
      </c>
    </row>
    <row r="129" ht="15.75" customHeight="1">
      <c r="A129" s="14">
        <v>23.0</v>
      </c>
      <c r="B129" s="13" t="s">
        <v>290</v>
      </c>
      <c r="C129" s="13" t="s">
        <v>190</v>
      </c>
      <c r="D129" s="39">
        <v>1.0</v>
      </c>
      <c r="E129" s="14" t="s">
        <v>91</v>
      </c>
      <c r="F129" s="40">
        <f t="array" ref="F129">IFERROR(INDEX('1. Insumos'!$F$5:$F$110,MATCH($C129,'1. Insumos'!$B$5:$B$110,0)),0)</f>
        <v>0.4</v>
      </c>
      <c r="G129" s="41">
        <f t="shared" si="1"/>
        <v>0.4</v>
      </c>
      <c r="H129" s="42" t="s">
        <v>388</v>
      </c>
    </row>
    <row r="130" ht="15.75" customHeight="1">
      <c r="A130" s="14">
        <v>23.0</v>
      </c>
      <c r="B130" s="13" t="s">
        <v>290</v>
      </c>
      <c r="C130" s="13" t="s">
        <v>214</v>
      </c>
      <c r="D130" s="39">
        <v>2.0</v>
      </c>
      <c r="E130" s="14" t="s">
        <v>91</v>
      </c>
      <c r="F130" s="40">
        <f t="array" ref="F130">IFERROR(INDEX('1. Insumos'!$F$5:$F$110,MATCH($C130,'1. Insumos'!$B$5:$B$110,0)),0)</f>
        <v>1.2</v>
      </c>
      <c r="G130" s="41">
        <f t="shared" si="1"/>
        <v>2.4</v>
      </c>
      <c r="H130" s="42" t="s">
        <v>389</v>
      </c>
    </row>
    <row r="131" ht="15.75" customHeight="1">
      <c r="A131" s="14">
        <v>23.0</v>
      </c>
      <c r="B131" s="13" t="s">
        <v>290</v>
      </c>
      <c r="C131" s="13" t="s">
        <v>181</v>
      </c>
      <c r="D131" s="39">
        <v>4.0</v>
      </c>
      <c r="E131" s="14" t="s">
        <v>91</v>
      </c>
      <c r="F131" s="40">
        <f t="array" ref="F131">IFERROR(INDEX('1. Insumos'!$F$5:$F$110,MATCH($C131,'1. Insumos'!$B$5:$B$110,0)),0)</f>
        <v>0.025</v>
      </c>
      <c r="G131" s="41">
        <f t="shared" si="1"/>
        <v>0.1</v>
      </c>
      <c r="H131" s="42" t="s">
        <v>181</v>
      </c>
    </row>
    <row r="132" ht="15.75" customHeight="1">
      <c r="A132" s="14">
        <v>23.0</v>
      </c>
      <c r="B132" s="13" t="s">
        <v>290</v>
      </c>
      <c r="C132" s="13" t="s">
        <v>145</v>
      </c>
      <c r="D132" s="39">
        <v>1.0</v>
      </c>
      <c r="E132" s="14" t="s">
        <v>122</v>
      </c>
      <c r="F132" s="40">
        <f t="array" ref="F132">IFERROR(INDEX('1. Insumos'!$F$5:$F$110,MATCH($C132,'1. Insumos'!$B$5:$B$110,0)),0)</f>
        <v>3.6</v>
      </c>
      <c r="G132" s="41">
        <f t="shared" si="1"/>
        <v>3.6</v>
      </c>
      <c r="H132" s="42" t="s">
        <v>145</v>
      </c>
    </row>
    <row r="133" ht="15.75" customHeight="1">
      <c r="A133" s="14">
        <v>24.0</v>
      </c>
      <c r="B133" s="13" t="s">
        <v>297</v>
      </c>
      <c r="C133" s="13" t="s">
        <v>256</v>
      </c>
      <c r="D133" s="39">
        <v>160.0</v>
      </c>
      <c r="E133" s="14" t="s">
        <v>91</v>
      </c>
      <c r="F133" s="40">
        <f t="array" ref="F133">IFERROR(INDEX('1. Insumos'!$F$5:$F$110,MATCH($C133,'1. Insumos'!$B$5:$B$110,0)),0)</f>
        <v>1.3</v>
      </c>
      <c r="G133" s="41">
        <f t="shared" si="1"/>
        <v>208</v>
      </c>
      <c r="H133" s="42" t="s">
        <v>390</v>
      </c>
    </row>
    <row r="134" ht="15.75" customHeight="1">
      <c r="A134" s="14">
        <v>24.0</v>
      </c>
      <c r="B134" s="13" t="s">
        <v>297</v>
      </c>
      <c r="C134" s="13" t="s">
        <v>259</v>
      </c>
      <c r="D134" s="39">
        <v>85.0</v>
      </c>
      <c r="E134" s="14" t="s">
        <v>91</v>
      </c>
      <c r="F134" s="40">
        <f t="array" ref="F134">IFERROR(INDEX('1. Insumos'!$F$5:$F$110,MATCH($C134,'1. Insumos'!$B$5:$B$110,0)),0)</f>
        <v>0.72</v>
      </c>
      <c r="G134" s="41">
        <f t="shared" si="1"/>
        <v>61.2</v>
      </c>
      <c r="H134" s="42" t="s">
        <v>391</v>
      </c>
    </row>
    <row r="135" ht="15.75" customHeight="1">
      <c r="A135" s="14">
        <v>24.0</v>
      </c>
      <c r="B135" s="13" t="s">
        <v>297</v>
      </c>
      <c r="C135" s="13" t="s">
        <v>304</v>
      </c>
      <c r="D135" s="39">
        <v>5.0</v>
      </c>
      <c r="E135" s="14" t="s">
        <v>91</v>
      </c>
      <c r="F135" s="40">
        <f t="array" ref="F135">IFERROR(INDEX('1. Insumos'!$F$5:$F$110,MATCH($C135,'1. Insumos'!$B$5:$B$110,0)),0)</f>
        <v>0.95</v>
      </c>
      <c r="G135" s="41">
        <f t="shared" si="1"/>
        <v>4.75</v>
      </c>
      <c r="H135" s="42" t="s">
        <v>392</v>
      </c>
    </row>
    <row r="136" ht="15.75" customHeight="1">
      <c r="A136" s="14">
        <v>24.0</v>
      </c>
      <c r="B136" s="13" t="s">
        <v>297</v>
      </c>
      <c r="C136" s="13" t="s">
        <v>145</v>
      </c>
      <c r="D136" s="39">
        <v>1.0</v>
      </c>
      <c r="E136" s="14" t="s">
        <v>122</v>
      </c>
      <c r="F136" s="40">
        <f t="array" ref="F136">IFERROR(INDEX('1. Insumos'!$F$5:$F$110,MATCH($C136,'1. Insumos'!$B$5:$B$110,0)),0)</f>
        <v>3.6</v>
      </c>
      <c r="G136" s="41">
        <f t="shared" si="1"/>
        <v>3.6</v>
      </c>
      <c r="H136" s="42" t="s">
        <v>145</v>
      </c>
    </row>
    <row r="137" ht="15.75" customHeight="1">
      <c r="A137" s="14">
        <v>25.0</v>
      </c>
      <c r="B137" s="13" t="s">
        <v>302</v>
      </c>
      <c r="C137" s="13" t="s">
        <v>270</v>
      </c>
      <c r="D137" s="39">
        <v>230.0</v>
      </c>
      <c r="E137" s="14" t="s">
        <v>91</v>
      </c>
      <c r="F137" s="40">
        <f t="array" ref="F137">IFERROR(INDEX('1. Insumos'!$F$5:$F$110,MATCH($C137,'1. Insumos'!$B$5:$B$110,0)),0)</f>
        <v>0.095</v>
      </c>
      <c r="G137" s="41">
        <f t="shared" si="1"/>
        <v>21.85</v>
      </c>
      <c r="H137" s="42" t="s">
        <v>370</v>
      </c>
    </row>
    <row r="138" ht="15.75" customHeight="1">
      <c r="A138" s="14">
        <v>25.0</v>
      </c>
      <c r="B138" s="13" t="s">
        <v>302</v>
      </c>
      <c r="C138" s="13" t="s">
        <v>201</v>
      </c>
      <c r="D138" s="39">
        <v>6.0</v>
      </c>
      <c r="E138" s="14" t="s">
        <v>91</v>
      </c>
      <c r="F138" s="40">
        <f t="array" ref="F138">IFERROR(INDEX('1. Insumos'!$F$5:$F$110,MATCH($C138,'1. Insumos'!$B$5:$B$110,0)),0)</f>
        <v>0.7</v>
      </c>
      <c r="G138" s="41">
        <f t="shared" si="1"/>
        <v>4.2</v>
      </c>
      <c r="H138" s="42" t="s">
        <v>393</v>
      </c>
    </row>
    <row r="139" ht="15.75" customHeight="1">
      <c r="A139" s="14">
        <v>25.0</v>
      </c>
      <c r="B139" s="13" t="s">
        <v>302</v>
      </c>
      <c r="C139" s="13" t="s">
        <v>200</v>
      </c>
      <c r="D139" s="39">
        <v>3.0</v>
      </c>
      <c r="E139" s="14" t="s">
        <v>91</v>
      </c>
      <c r="F139" s="40">
        <f t="array" ref="F139">IFERROR(INDEX('1. Insumos'!$F$5:$F$110,MATCH($C139,'1. Insumos'!$B$5:$B$110,0)),0)</f>
        <v>0.7</v>
      </c>
      <c r="G139" s="41">
        <f t="shared" si="1"/>
        <v>2.1</v>
      </c>
      <c r="H139" s="42" t="s">
        <v>200</v>
      </c>
    </row>
    <row r="140" ht="15.75" customHeight="1">
      <c r="A140" s="14">
        <v>25.0</v>
      </c>
      <c r="B140" s="13" t="s">
        <v>302</v>
      </c>
      <c r="C140" s="13" t="s">
        <v>178</v>
      </c>
      <c r="D140" s="39">
        <v>4.0</v>
      </c>
      <c r="E140" s="14" t="s">
        <v>91</v>
      </c>
      <c r="F140" s="40">
        <f t="array" ref="F140">IFERROR(INDEX('1. Insumos'!$F$5:$F$110,MATCH($C140,'1. Insumos'!$B$5:$B$110,0)),0)</f>
        <v>0.4</v>
      </c>
      <c r="G140" s="41">
        <f t="shared" si="1"/>
        <v>1.6</v>
      </c>
      <c r="H140" s="42" t="s">
        <v>394</v>
      </c>
    </row>
    <row r="141" ht="15.75" customHeight="1">
      <c r="A141" s="14">
        <v>25.0</v>
      </c>
      <c r="B141" s="13" t="s">
        <v>302</v>
      </c>
      <c r="C141" s="13" t="s">
        <v>127</v>
      </c>
      <c r="D141" s="39">
        <v>2.0</v>
      </c>
      <c r="E141" s="14" t="s">
        <v>91</v>
      </c>
      <c r="F141" s="40">
        <f t="array" ref="F141">IFERROR(INDEX('1. Insumos'!$F$5:$F$110,MATCH($C141,'1. Insumos'!$B$5:$B$110,0)),0)</f>
        <v>0.45</v>
      </c>
      <c r="G141" s="41">
        <f t="shared" si="1"/>
        <v>0.9</v>
      </c>
      <c r="H141" s="42" t="s">
        <v>395</v>
      </c>
    </row>
    <row r="142" ht="15.75" customHeight="1">
      <c r="A142" s="14">
        <v>25.0</v>
      </c>
      <c r="B142" s="13" t="s">
        <v>302</v>
      </c>
      <c r="C142" s="13" t="s">
        <v>223</v>
      </c>
      <c r="D142" s="39">
        <v>5.0</v>
      </c>
      <c r="E142" s="14" t="s">
        <v>91</v>
      </c>
      <c r="F142" s="40">
        <f t="array" ref="F142">IFERROR(INDEX('1. Insumos'!$F$5:$F$110,MATCH($C142,'1. Insumos'!$B$5:$B$110,0)),0)</f>
        <v>0.12</v>
      </c>
      <c r="G142" s="41">
        <f t="shared" si="1"/>
        <v>0.6</v>
      </c>
      <c r="H142" s="42" t="s">
        <v>226</v>
      </c>
    </row>
    <row r="143" ht="15.75" customHeight="1">
      <c r="A143" s="14">
        <v>25.0</v>
      </c>
      <c r="B143" s="13" t="s">
        <v>302</v>
      </c>
      <c r="C143" s="13" t="s">
        <v>145</v>
      </c>
      <c r="D143" s="39">
        <v>1.0</v>
      </c>
      <c r="E143" s="14" t="s">
        <v>122</v>
      </c>
      <c r="F143" s="40">
        <f t="array" ref="F143">IFERROR(INDEX('1. Insumos'!$F$5:$F$110,MATCH($C143,'1. Insumos'!$B$5:$B$110,0)),0)</f>
        <v>3.6</v>
      </c>
      <c r="G143" s="41">
        <f t="shared" si="1"/>
        <v>3.6</v>
      </c>
      <c r="H143" s="42" t="s">
        <v>145</v>
      </c>
    </row>
    <row r="144" ht="15.75" customHeight="1">
      <c r="A144" s="14">
        <v>26.0</v>
      </c>
      <c r="B144" s="13" t="s">
        <v>305</v>
      </c>
      <c r="C144" s="13" t="s">
        <v>137</v>
      </c>
      <c r="D144" s="39">
        <v>240.0</v>
      </c>
      <c r="E144" s="14" t="s">
        <v>91</v>
      </c>
      <c r="F144" s="40">
        <f t="array" ref="F144">IFERROR(INDEX('1. Insumos'!$F$5:$F$110,MATCH($C144,'1. Insumos'!$B$5:$B$110,0)),0)</f>
        <v>0.41</v>
      </c>
      <c r="G144" s="41">
        <f t="shared" si="1"/>
        <v>98.4</v>
      </c>
      <c r="H144" s="42" t="s">
        <v>396</v>
      </c>
    </row>
    <row r="145" ht="15.75" customHeight="1">
      <c r="A145" s="14">
        <v>26.0</v>
      </c>
      <c r="B145" s="13" t="s">
        <v>305</v>
      </c>
      <c r="C145" s="13" t="s">
        <v>259</v>
      </c>
      <c r="D145" s="39">
        <v>10.0</v>
      </c>
      <c r="E145" s="14" t="s">
        <v>91</v>
      </c>
      <c r="F145" s="40">
        <f t="array" ref="F145">IFERROR(INDEX('1. Insumos'!$F$5:$F$110,MATCH($C145,'1. Insumos'!$B$5:$B$110,0)),0)</f>
        <v>0.72</v>
      </c>
      <c r="G145" s="41">
        <f t="shared" si="1"/>
        <v>7.2</v>
      </c>
      <c r="H145" s="42" t="s">
        <v>397</v>
      </c>
    </row>
    <row r="146" ht="15.75" customHeight="1">
      <c r="A146" s="14">
        <v>26.0</v>
      </c>
      <c r="B146" s="13" t="s">
        <v>305</v>
      </c>
      <c r="C146" s="13" t="s">
        <v>121</v>
      </c>
      <c r="D146" s="39">
        <v>1.0</v>
      </c>
      <c r="E146" s="14" t="s">
        <v>122</v>
      </c>
      <c r="F146" s="40">
        <f t="array" ref="F146">IFERROR(INDEX('1. Insumos'!$F$5:$F$110,MATCH($C146,'1. Insumos'!$B$5:$B$110,0)),0)</f>
        <v>64</v>
      </c>
      <c r="G146" s="41">
        <f t="shared" si="1"/>
        <v>64</v>
      </c>
      <c r="H146" s="42" t="s">
        <v>398</v>
      </c>
    </row>
    <row r="147" ht="15.75" customHeight="1">
      <c r="A147" s="14">
        <v>26.0</v>
      </c>
      <c r="B147" s="13" t="s">
        <v>305</v>
      </c>
      <c r="C147" s="13" t="s">
        <v>181</v>
      </c>
      <c r="D147" s="39">
        <v>1.0</v>
      </c>
      <c r="E147" s="14" t="s">
        <v>91</v>
      </c>
      <c r="F147" s="40">
        <f t="array" ref="F147">IFERROR(INDEX('1. Insumos'!$F$5:$F$110,MATCH($C147,'1. Insumos'!$B$5:$B$110,0)),0)</f>
        <v>0.025</v>
      </c>
      <c r="G147" s="41">
        <f t="shared" si="1"/>
        <v>0.025</v>
      </c>
      <c r="H147" s="42" t="s">
        <v>399</v>
      </c>
    </row>
    <row r="148" ht="15.75" customHeight="1">
      <c r="A148" s="14">
        <v>26.0</v>
      </c>
      <c r="B148" s="13" t="s">
        <v>305</v>
      </c>
      <c r="C148" s="13" t="s">
        <v>145</v>
      </c>
      <c r="D148" s="39">
        <v>1.0</v>
      </c>
      <c r="E148" s="14" t="s">
        <v>122</v>
      </c>
      <c r="F148" s="40">
        <f t="array" ref="F148">IFERROR(INDEX('1. Insumos'!$F$5:$F$110,MATCH($C148,'1. Insumos'!$B$5:$B$110,0)),0)</f>
        <v>3.6</v>
      </c>
      <c r="G148" s="41">
        <f t="shared" si="1"/>
        <v>3.6</v>
      </c>
      <c r="H148" s="42" t="s">
        <v>145</v>
      </c>
    </row>
    <row r="149" ht="15.75" customHeight="1">
      <c r="A149" s="14">
        <v>27.0</v>
      </c>
      <c r="B149" s="13" t="s">
        <v>310</v>
      </c>
      <c r="C149" s="13" t="s">
        <v>262</v>
      </c>
      <c r="D149" s="39">
        <v>230.0</v>
      </c>
      <c r="E149" s="14" t="s">
        <v>91</v>
      </c>
      <c r="F149" s="40">
        <f t="array" ref="F149">IFERROR(INDEX('1. Insumos'!$F$5:$F$110,MATCH($C149,'1. Insumos'!$B$5:$B$110,0)),0)</f>
        <v>0.69</v>
      </c>
      <c r="G149" s="41">
        <f t="shared" si="1"/>
        <v>158.7</v>
      </c>
      <c r="H149" s="42" t="s">
        <v>400</v>
      </c>
    </row>
    <row r="150" ht="15.75" customHeight="1">
      <c r="A150" s="14">
        <v>27.0</v>
      </c>
      <c r="B150" s="13" t="s">
        <v>310</v>
      </c>
      <c r="C150" s="13" t="s">
        <v>118</v>
      </c>
      <c r="D150" s="39">
        <v>6.0</v>
      </c>
      <c r="E150" s="14" t="s">
        <v>91</v>
      </c>
      <c r="F150" s="40">
        <f t="array" ref="F150">IFERROR(INDEX('1. Insumos'!$F$5:$F$110,MATCH($C150,'1. Insumos'!$B$5:$B$110,0)),0)</f>
        <v>3.4</v>
      </c>
      <c r="G150" s="41">
        <f t="shared" si="1"/>
        <v>20.4</v>
      </c>
      <c r="H150" s="42" t="s">
        <v>118</v>
      </c>
    </row>
    <row r="151" ht="15.75" customHeight="1">
      <c r="A151" s="14">
        <v>27.0</v>
      </c>
      <c r="B151" s="13" t="s">
        <v>310</v>
      </c>
      <c r="C151" s="13" t="s">
        <v>158</v>
      </c>
      <c r="D151" s="39">
        <v>15.0</v>
      </c>
      <c r="E151" s="14" t="s">
        <v>22</v>
      </c>
      <c r="F151" s="40">
        <f t="array" ref="F151">IFERROR(INDEX('1. Insumos'!$F$5:$F$110,MATCH($C151,'1. Insumos'!$B$5:$B$110,0)),0)</f>
        <v>0.23</v>
      </c>
      <c r="G151" s="41">
        <f t="shared" si="1"/>
        <v>3.45</v>
      </c>
      <c r="H151" s="42" t="s">
        <v>401</v>
      </c>
    </row>
    <row r="152" ht="15.75" customHeight="1">
      <c r="A152" s="14">
        <v>27.0</v>
      </c>
      <c r="B152" s="13" t="s">
        <v>310</v>
      </c>
      <c r="C152" s="13" t="s">
        <v>145</v>
      </c>
      <c r="D152" s="39">
        <v>1.0</v>
      </c>
      <c r="E152" s="14" t="s">
        <v>122</v>
      </c>
      <c r="F152" s="40">
        <f t="array" ref="F152">IFERROR(INDEX('1. Insumos'!$F$5:$F$110,MATCH($C152,'1. Insumos'!$B$5:$B$110,0)),0)</f>
        <v>3.6</v>
      </c>
      <c r="G152" s="41">
        <f t="shared" si="1"/>
        <v>3.6</v>
      </c>
      <c r="H152" s="42" t="s">
        <v>145</v>
      </c>
    </row>
    <row r="153" ht="15.75" customHeight="1">
      <c r="A153" s="14">
        <v>28.0</v>
      </c>
      <c r="B153" s="13" t="s">
        <v>313</v>
      </c>
      <c r="C153" s="13" t="s">
        <v>94</v>
      </c>
      <c r="D153" s="39">
        <v>230.0</v>
      </c>
      <c r="E153" s="14" t="s">
        <v>91</v>
      </c>
      <c r="F153" s="40">
        <f t="array" ref="F153">IFERROR(INDEX('1. Insumos'!$F$5:$F$110,MATCH($C153,'1. Insumos'!$B$5:$B$110,0)),0)</f>
        <v>0.22</v>
      </c>
      <c r="G153" s="41">
        <f t="shared" si="1"/>
        <v>50.6</v>
      </c>
      <c r="H153" s="42" t="s">
        <v>160</v>
      </c>
    </row>
    <row r="154" ht="15.75" customHeight="1">
      <c r="A154" s="14">
        <v>28.0</v>
      </c>
      <c r="B154" s="13" t="s">
        <v>313</v>
      </c>
      <c r="C154" s="13" t="s">
        <v>153</v>
      </c>
      <c r="D154" s="39">
        <v>15.0</v>
      </c>
      <c r="E154" s="14" t="s">
        <v>91</v>
      </c>
      <c r="F154" s="40">
        <f t="array" ref="F154">IFERROR(INDEX('1. Insumos'!$F$5:$F$110,MATCH($C154,'1. Insumos'!$B$5:$B$110,0)),0)</f>
        <v>0.06</v>
      </c>
      <c r="G154" s="41">
        <f t="shared" si="1"/>
        <v>0.9</v>
      </c>
      <c r="H154" s="42" t="s">
        <v>403</v>
      </c>
    </row>
    <row r="155" ht="15.75" customHeight="1">
      <c r="A155" s="14">
        <v>28.0</v>
      </c>
      <c r="B155" s="13" t="s">
        <v>313</v>
      </c>
      <c r="C155" s="13" t="s">
        <v>182</v>
      </c>
      <c r="D155" s="39">
        <v>5.0</v>
      </c>
      <c r="E155" s="14" t="s">
        <v>91</v>
      </c>
      <c r="F155" s="40">
        <f t="array" ref="F155">IFERROR(INDEX('1. Insumos'!$F$5:$F$110,MATCH($C155,'1. Insumos'!$B$5:$B$110,0)),0)</f>
        <v>0.45</v>
      </c>
      <c r="G155" s="41">
        <f t="shared" si="1"/>
        <v>2.25</v>
      </c>
      <c r="H155" s="42" t="s">
        <v>406</v>
      </c>
    </row>
    <row r="156" ht="15.75" customHeight="1">
      <c r="A156" s="14">
        <v>28.0</v>
      </c>
      <c r="B156" s="13" t="s">
        <v>313</v>
      </c>
      <c r="C156" s="13" t="s">
        <v>218</v>
      </c>
      <c r="D156" s="39">
        <v>2.0</v>
      </c>
      <c r="E156" s="14" t="s">
        <v>22</v>
      </c>
      <c r="F156" s="40">
        <f t="array" ref="F156">IFERROR(INDEX('1. Insumos'!$F$5:$F$110,MATCH($C156,'1. Insumos'!$B$5:$B$110,0)),0)</f>
        <v>1.083333333</v>
      </c>
      <c r="G156" s="41">
        <f t="shared" si="1"/>
        <v>2.166666667</v>
      </c>
      <c r="H156" s="42" t="s">
        <v>218</v>
      </c>
    </row>
    <row r="157" ht="15.75" customHeight="1">
      <c r="A157" s="14">
        <v>28.0</v>
      </c>
      <c r="B157" s="13" t="s">
        <v>313</v>
      </c>
      <c r="C157" s="13" t="s">
        <v>145</v>
      </c>
      <c r="D157" s="39">
        <v>1.0</v>
      </c>
      <c r="E157" s="14" t="s">
        <v>122</v>
      </c>
      <c r="F157" s="40">
        <f t="array" ref="F157">IFERROR(INDEX('1. Insumos'!$F$5:$F$110,MATCH($C157,'1. Insumos'!$B$5:$B$110,0)),0)</f>
        <v>3.6</v>
      </c>
      <c r="G157" s="41">
        <f t="shared" si="1"/>
        <v>3.6</v>
      </c>
      <c r="H157" s="42" t="s">
        <v>145</v>
      </c>
    </row>
    <row r="158" ht="15.75" customHeight="1">
      <c r="A158" s="14">
        <v>29.0</v>
      </c>
      <c r="B158" s="13" t="s">
        <v>316</v>
      </c>
      <c r="C158" s="13" t="s">
        <v>144</v>
      </c>
      <c r="D158" s="39">
        <v>230.0</v>
      </c>
      <c r="E158" s="14" t="s">
        <v>91</v>
      </c>
      <c r="F158" s="40">
        <f t="array" ref="F158">IFERROR(INDEX('1. Insumos'!$F$5:$F$110,MATCH($C158,'1. Insumos'!$B$5:$B$110,0)),0)</f>
        <v>0.38</v>
      </c>
      <c r="G158" s="41">
        <f t="shared" si="1"/>
        <v>87.4</v>
      </c>
      <c r="H158" s="42" t="s">
        <v>425</v>
      </c>
    </row>
    <row r="159" ht="15.75" customHeight="1">
      <c r="A159" s="14">
        <v>29.0</v>
      </c>
      <c r="B159" s="13" t="s">
        <v>316</v>
      </c>
      <c r="C159" s="13" t="s">
        <v>259</v>
      </c>
      <c r="D159" s="39">
        <v>15.0</v>
      </c>
      <c r="E159" s="14" t="s">
        <v>91</v>
      </c>
      <c r="F159" s="40">
        <f t="array" ref="F159">IFERROR(INDEX('1. Insumos'!$F$5:$F$110,MATCH($C159,'1. Insumos'!$B$5:$B$110,0)),0)</f>
        <v>0.72</v>
      </c>
      <c r="G159" s="41">
        <f t="shared" si="1"/>
        <v>10.8</v>
      </c>
      <c r="H159" s="42" t="s">
        <v>259</v>
      </c>
    </row>
    <row r="160" ht="15.75" customHeight="1">
      <c r="A160" s="14">
        <v>29.0</v>
      </c>
      <c r="B160" s="13" t="s">
        <v>316</v>
      </c>
      <c r="C160" s="13" t="s">
        <v>301</v>
      </c>
      <c r="D160" s="39">
        <v>10.0</v>
      </c>
      <c r="E160" s="14" t="s">
        <v>91</v>
      </c>
      <c r="F160" s="40">
        <f t="array" ref="F160">IFERROR(INDEX('1. Insumos'!$F$5:$F$110,MATCH($C160,'1. Insumos'!$B$5:$B$110,0)),0)</f>
        <v>0.55</v>
      </c>
      <c r="G160" s="41">
        <f t="shared" si="1"/>
        <v>5.5</v>
      </c>
      <c r="H160" s="42" t="s">
        <v>431</v>
      </c>
    </row>
    <row r="161" ht="15.75" customHeight="1">
      <c r="A161" s="14">
        <v>29.0</v>
      </c>
      <c r="B161" s="13" t="s">
        <v>316</v>
      </c>
      <c r="C161" s="13" t="s">
        <v>138</v>
      </c>
      <c r="D161" s="39">
        <v>1.0</v>
      </c>
      <c r="E161" s="14" t="s">
        <v>91</v>
      </c>
      <c r="F161" s="40">
        <f t="array" ref="F161">IFERROR(INDEX('1. Insumos'!$F$5:$F$110,MATCH($C161,'1. Insumos'!$B$5:$B$110,0)),0)</f>
        <v>0.76</v>
      </c>
      <c r="G161" s="41">
        <f t="shared" si="1"/>
        <v>0.76</v>
      </c>
      <c r="H161" s="42" t="s">
        <v>138</v>
      </c>
    </row>
    <row r="162" ht="15.75" customHeight="1">
      <c r="A162" s="14">
        <v>29.0</v>
      </c>
      <c r="B162" s="13" t="s">
        <v>316</v>
      </c>
      <c r="C162" s="13" t="s">
        <v>145</v>
      </c>
      <c r="D162" s="39">
        <v>1.0</v>
      </c>
      <c r="E162" s="14" t="s">
        <v>122</v>
      </c>
      <c r="F162" s="40">
        <f t="array" ref="F162">IFERROR(INDEX('1. Insumos'!$F$5:$F$110,MATCH($C162,'1. Insumos'!$B$5:$B$110,0)),0)</f>
        <v>3.6</v>
      </c>
      <c r="G162" s="41">
        <f t="shared" si="1"/>
        <v>3.6</v>
      </c>
      <c r="H162" s="42" t="s">
        <v>145</v>
      </c>
    </row>
    <row r="163" ht="15.75" customHeight="1">
      <c r="A163" s="14">
        <v>30.0</v>
      </c>
      <c r="B163" s="13" t="s">
        <v>317</v>
      </c>
      <c r="C163" s="13" t="s">
        <v>137</v>
      </c>
      <c r="D163" s="39">
        <v>240.0</v>
      </c>
      <c r="E163" s="14" t="s">
        <v>91</v>
      </c>
      <c r="F163" s="40">
        <f t="array" ref="F163">IFERROR(INDEX('1. Insumos'!$F$5:$F$110,MATCH($C163,'1. Insumos'!$B$5:$B$110,0)),0)</f>
        <v>0.41</v>
      </c>
      <c r="G163" s="41">
        <f t="shared" si="1"/>
        <v>98.4</v>
      </c>
      <c r="H163" s="42" t="s">
        <v>137</v>
      </c>
    </row>
    <row r="164" ht="15.75" customHeight="1">
      <c r="A164" s="14">
        <v>30.0</v>
      </c>
      <c r="B164" s="13" t="s">
        <v>317</v>
      </c>
      <c r="C164" s="13" t="s">
        <v>262</v>
      </c>
      <c r="D164" s="39">
        <v>10.0</v>
      </c>
      <c r="E164" s="14" t="s">
        <v>91</v>
      </c>
      <c r="F164" s="40">
        <f t="array" ref="F164">IFERROR(INDEX('1. Insumos'!$F$5:$F$110,MATCH($C164,'1. Insumos'!$B$5:$B$110,0)),0)</f>
        <v>0.69</v>
      </c>
      <c r="G164" s="41">
        <f t="shared" si="1"/>
        <v>6.9</v>
      </c>
      <c r="H164" s="42" t="s">
        <v>262</v>
      </c>
    </row>
    <row r="165" ht="15.75" customHeight="1">
      <c r="A165" s="14">
        <v>30.0</v>
      </c>
      <c r="B165" s="13" t="s">
        <v>317</v>
      </c>
      <c r="C165" s="13" t="s">
        <v>102</v>
      </c>
      <c r="D165" s="39">
        <v>8.0</v>
      </c>
      <c r="E165" s="14" t="s">
        <v>91</v>
      </c>
      <c r="F165" s="40">
        <f t="array" ref="F165">IFERROR(INDEX('1. Insumos'!$F$5:$F$110,MATCH($C165,'1. Insumos'!$B$5:$B$110,0)),0)</f>
        <v>3.5</v>
      </c>
      <c r="G165" s="41">
        <f t="shared" si="1"/>
        <v>28</v>
      </c>
      <c r="H165" s="42" t="s">
        <v>436</v>
      </c>
    </row>
    <row r="166" ht="15.75" customHeight="1">
      <c r="A166" s="14">
        <v>30.0</v>
      </c>
      <c r="B166" s="13" t="s">
        <v>317</v>
      </c>
      <c r="C166" s="13" t="s">
        <v>145</v>
      </c>
      <c r="D166" s="39">
        <v>1.0</v>
      </c>
      <c r="E166" s="14" t="s">
        <v>122</v>
      </c>
      <c r="F166" s="40">
        <f t="array" ref="F166">IFERROR(INDEX('1. Insumos'!$F$5:$F$110,MATCH($C166,'1. Insumos'!$B$5:$B$110,0)),0)</f>
        <v>3.6</v>
      </c>
      <c r="G166" s="41">
        <f t="shared" si="1"/>
        <v>3.6</v>
      </c>
      <c r="H166" s="42" t="s">
        <v>145</v>
      </c>
    </row>
    <row r="167" ht="15.75" customHeight="1">
      <c r="A167" s="14">
        <v>31.0</v>
      </c>
      <c r="B167" s="13" t="s">
        <v>318</v>
      </c>
      <c r="C167" s="13" t="s">
        <v>262</v>
      </c>
      <c r="D167" s="39">
        <v>150.0</v>
      </c>
      <c r="E167" s="14" t="s">
        <v>91</v>
      </c>
      <c r="F167" s="40">
        <f t="array" ref="F167">IFERROR(INDEX('1. Insumos'!$F$5:$F$110,MATCH($C167,'1. Insumos'!$B$5:$B$110,0)),0)</f>
        <v>0.69</v>
      </c>
      <c r="G167" s="41">
        <f t="shared" si="1"/>
        <v>103.5</v>
      </c>
      <c r="H167" s="42" t="s">
        <v>400</v>
      </c>
    </row>
    <row r="168" ht="15.75" customHeight="1">
      <c r="A168" s="14">
        <v>31.0</v>
      </c>
      <c r="B168" s="13" t="s">
        <v>318</v>
      </c>
      <c r="C168" s="13" t="s">
        <v>147</v>
      </c>
      <c r="D168" s="39">
        <v>95.0</v>
      </c>
      <c r="E168" s="14" t="s">
        <v>91</v>
      </c>
      <c r="F168" s="40">
        <f t="array" ref="F168">IFERROR(INDEX('1. Insumos'!$F$5:$F$110,MATCH($C168,'1. Insumos'!$B$5:$B$110,0)),0)</f>
        <v>0.96</v>
      </c>
      <c r="G168" s="41">
        <f t="shared" si="1"/>
        <v>91.2</v>
      </c>
      <c r="H168" s="42" t="s">
        <v>437</v>
      </c>
    </row>
    <row r="169" ht="15.75" customHeight="1">
      <c r="A169" s="14">
        <v>31.0</v>
      </c>
      <c r="B169" s="13" t="s">
        <v>318</v>
      </c>
      <c r="C169" s="13" t="s">
        <v>245</v>
      </c>
      <c r="D169" s="39">
        <v>5.0</v>
      </c>
      <c r="E169" s="14" t="s">
        <v>91</v>
      </c>
      <c r="F169" s="40">
        <f t="array" ref="F169">IFERROR(INDEX('1. Insumos'!$F$5:$F$110,MATCH($C169,'1. Insumos'!$B$5:$B$110,0)),0)</f>
        <v>0.88</v>
      </c>
      <c r="G169" s="41">
        <f t="shared" si="1"/>
        <v>4.4</v>
      </c>
      <c r="H169" s="42" t="s">
        <v>438</v>
      </c>
    </row>
    <row r="170" ht="15.75" customHeight="1">
      <c r="A170" s="14">
        <v>31.0</v>
      </c>
      <c r="B170" s="13" t="s">
        <v>318</v>
      </c>
      <c r="C170" s="13" t="s">
        <v>223</v>
      </c>
      <c r="D170" s="39">
        <v>1.0</v>
      </c>
      <c r="E170" s="14" t="s">
        <v>91</v>
      </c>
      <c r="F170" s="40">
        <f t="array" ref="F170">IFERROR(INDEX('1. Insumos'!$F$5:$F$110,MATCH($C170,'1. Insumos'!$B$5:$B$110,0)),0)</f>
        <v>0.12</v>
      </c>
      <c r="G170" s="41">
        <f t="shared" si="1"/>
        <v>0.12</v>
      </c>
      <c r="H170" s="42" t="s">
        <v>308</v>
      </c>
    </row>
    <row r="171" ht="15.75" customHeight="1">
      <c r="A171" s="14">
        <v>31.0</v>
      </c>
      <c r="B171" s="13" t="s">
        <v>318</v>
      </c>
      <c r="C171" s="13" t="s">
        <v>145</v>
      </c>
      <c r="D171" s="39">
        <v>1.0</v>
      </c>
      <c r="E171" s="14" t="s">
        <v>122</v>
      </c>
      <c r="F171" s="40">
        <f t="array" ref="F171">IFERROR(INDEX('1. Insumos'!$F$5:$F$110,MATCH($C171,'1. Insumos'!$B$5:$B$110,0)),0)</f>
        <v>3.6</v>
      </c>
      <c r="G171" s="41">
        <f t="shared" si="1"/>
        <v>3.6</v>
      </c>
      <c r="H171" s="42" t="s">
        <v>145</v>
      </c>
    </row>
    <row r="172" ht="15.75" customHeight="1">
      <c r="A172" s="14">
        <v>32.0</v>
      </c>
      <c r="B172" s="13" t="s">
        <v>319</v>
      </c>
      <c r="C172" s="13" t="s">
        <v>94</v>
      </c>
      <c r="D172" s="39">
        <v>210.0</v>
      </c>
      <c r="E172" s="14" t="s">
        <v>91</v>
      </c>
      <c r="F172" s="40">
        <f t="array" ref="F172">IFERROR(INDEX('1. Insumos'!$F$5:$F$110,MATCH($C172,'1. Insumos'!$B$5:$B$110,0)),0)</f>
        <v>0.22</v>
      </c>
      <c r="G172" s="41">
        <f t="shared" si="1"/>
        <v>46.2</v>
      </c>
      <c r="H172" s="42" t="s">
        <v>160</v>
      </c>
    </row>
    <row r="173" ht="15.75" customHeight="1">
      <c r="A173" s="14">
        <v>32.0</v>
      </c>
      <c r="B173" s="13" t="s">
        <v>319</v>
      </c>
      <c r="C173" s="13" t="s">
        <v>300</v>
      </c>
      <c r="D173" s="39">
        <v>40.0</v>
      </c>
      <c r="E173" s="14" t="s">
        <v>91</v>
      </c>
      <c r="F173" s="40">
        <f t="array" ref="F173">IFERROR(INDEX('1. Insumos'!$F$5:$F$110,MATCH($C173,'1. Insumos'!$B$5:$B$110,0)),0)</f>
        <v>0.52</v>
      </c>
      <c r="G173" s="41">
        <f t="shared" si="1"/>
        <v>20.8</v>
      </c>
      <c r="H173" s="42" t="s">
        <v>445</v>
      </c>
    </row>
    <row r="174" ht="15.75" customHeight="1">
      <c r="A174" s="14">
        <v>32.0</v>
      </c>
      <c r="B174" s="13" t="s">
        <v>319</v>
      </c>
      <c r="C174" s="13" t="s">
        <v>182</v>
      </c>
      <c r="D174" s="39">
        <v>2.0</v>
      </c>
      <c r="E174" s="14" t="s">
        <v>91</v>
      </c>
      <c r="F174" s="40">
        <f t="array" ref="F174">IFERROR(INDEX('1. Insumos'!$F$5:$F$110,MATCH($C174,'1. Insumos'!$B$5:$B$110,0)),0)</f>
        <v>0.45</v>
      </c>
      <c r="G174" s="41">
        <f t="shared" si="1"/>
        <v>0.9</v>
      </c>
      <c r="H174" s="42" t="s">
        <v>182</v>
      </c>
    </row>
    <row r="175" ht="15.75" customHeight="1">
      <c r="A175" s="14">
        <v>32.0</v>
      </c>
      <c r="B175" s="13" t="s">
        <v>319</v>
      </c>
      <c r="C175" s="13" t="s">
        <v>145</v>
      </c>
      <c r="D175" s="39">
        <v>1.0</v>
      </c>
      <c r="E175" s="14" t="s">
        <v>122</v>
      </c>
      <c r="F175" s="40">
        <f t="array" ref="F175">IFERROR(INDEX('1. Insumos'!$F$5:$F$110,MATCH($C175,'1. Insumos'!$B$5:$B$110,0)),0)</f>
        <v>3.6</v>
      </c>
      <c r="G175" s="41">
        <f t="shared" si="1"/>
        <v>3.6</v>
      </c>
      <c r="H175" s="42" t="s">
        <v>145</v>
      </c>
    </row>
    <row r="176" ht="15.75" customHeight="1">
      <c r="A176" s="14">
        <v>33.0</v>
      </c>
      <c r="B176" s="13" t="s">
        <v>323</v>
      </c>
      <c r="C176" s="13" t="s">
        <v>259</v>
      </c>
      <c r="D176" s="39">
        <v>180.0</v>
      </c>
      <c r="E176" s="14" t="s">
        <v>91</v>
      </c>
      <c r="F176" s="40">
        <f t="array" ref="F176">IFERROR(INDEX('1. Insumos'!$F$5:$F$110,MATCH($C176,'1. Insumos'!$B$5:$B$110,0)),0)</f>
        <v>0.72</v>
      </c>
      <c r="G176" s="41">
        <f t="shared" si="1"/>
        <v>129.6</v>
      </c>
      <c r="H176" s="42" t="s">
        <v>259</v>
      </c>
    </row>
    <row r="177" ht="15.75" customHeight="1">
      <c r="A177" s="14">
        <v>33.0</v>
      </c>
      <c r="B177" s="13" t="s">
        <v>323</v>
      </c>
      <c r="C177" s="13" t="s">
        <v>133</v>
      </c>
      <c r="D177" s="39">
        <v>40.0</v>
      </c>
      <c r="E177" s="14" t="s">
        <v>91</v>
      </c>
      <c r="F177" s="40">
        <f t="array" ref="F177">IFERROR(INDEX('1. Insumos'!$F$5:$F$110,MATCH($C177,'1. Insumos'!$B$5:$B$110,0)),0)</f>
        <v>0.42</v>
      </c>
      <c r="G177" s="41">
        <f t="shared" si="1"/>
        <v>16.8</v>
      </c>
      <c r="H177" s="42" t="s">
        <v>315</v>
      </c>
    </row>
    <row r="178" ht="15.75" customHeight="1">
      <c r="A178" s="14">
        <v>33.0</v>
      </c>
      <c r="B178" s="13" t="s">
        <v>323</v>
      </c>
      <c r="C178" s="13" t="s">
        <v>296</v>
      </c>
      <c r="D178" s="39">
        <v>30.0</v>
      </c>
      <c r="E178" s="14" t="s">
        <v>91</v>
      </c>
      <c r="F178" s="40">
        <f t="array" ref="F178">IFERROR(INDEX('1. Insumos'!$F$5:$F$110,MATCH($C178,'1. Insumos'!$B$5:$B$110,0)),0)</f>
        <v>0.36</v>
      </c>
      <c r="G178" s="41">
        <f t="shared" si="1"/>
        <v>10.8</v>
      </c>
      <c r="H178" s="42" t="s">
        <v>452</v>
      </c>
    </row>
    <row r="179" ht="15.75" customHeight="1">
      <c r="A179" s="14">
        <v>33.0</v>
      </c>
      <c r="B179" s="13" t="s">
        <v>323</v>
      </c>
      <c r="C179" s="13" t="s">
        <v>138</v>
      </c>
      <c r="D179" s="39">
        <v>2.0</v>
      </c>
      <c r="E179" s="14" t="s">
        <v>91</v>
      </c>
      <c r="F179" s="40">
        <f t="array" ref="F179">IFERROR(INDEX('1. Insumos'!$F$5:$F$110,MATCH($C179,'1. Insumos'!$B$5:$B$110,0)),0)</f>
        <v>0.76</v>
      </c>
      <c r="G179" s="41">
        <f t="shared" si="1"/>
        <v>1.52</v>
      </c>
      <c r="H179" s="42" t="s">
        <v>138</v>
      </c>
    </row>
    <row r="180" ht="15.75" customHeight="1">
      <c r="A180" s="14">
        <v>33.0</v>
      </c>
      <c r="B180" s="13" t="s">
        <v>323</v>
      </c>
      <c r="C180" s="13" t="s">
        <v>145</v>
      </c>
      <c r="D180" s="39">
        <v>1.0</v>
      </c>
      <c r="E180" s="14" t="s">
        <v>122</v>
      </c>
      <c r="F180" s="40">
        <f t="array" ref="F180">IFERROR(INDEX('1. Insumos'!$F$5:$F$110,MATCH($C180,'1. Insumos'!$B$5:$B$110,0)),0)</f>
        <v>3.6</v>
      </c>
      <c r="G180" s="41">
        <f t="shared" si="1"/>
        <v>3.6</v>
      </c>
      <c r="H180" s="42" t="s">
        <v>145</v>
      </c>
    </row>
    <row r="181" ht="15.75" customHeight="1">
      <c r="A181" s="14">
        <v>34.0</v>
      </c>
      <c r="B181" s="13" t="s">
        <v>329</v>
      </c>
      <c r="C181" s="13" t="s">
        <v>134</v>
      </c>
      <c r="D181" s="39">
        <v>240.0</v>
      </c>
      <c r="E181" s="14" t="s">
        <v>91</v>
      </c>
      <c r="F181" s="40">
        <f t="array" ref="F181">IFERROR(INDEX('1. Insumos'!$F$5:$F$110,MATCH($C181,'1. Insumos'!$B$5:$B$110,0)),0)</f>
        <v>0.78</v>
      </c>
      <c r="G181" s="41">
        <f t="shared" si="1"/>
        <v>187.2</v>
      </c>
      <c r="H181" s="42" t="s">
        <v>460</v>
      </c>
    </row>
    <row r="182" ht="15.75" customHeight="1">
      <c r="A182" s="14">
        <v>34.0</v>
      </c>
      <c r="B182" s="13" t="s">
        <v>329</v>
      </c>
      <c r="C182" s="13" t="s">
        <v>262</v>
      </c>
      <c r="D182" s="39">
        <v>10.0</v>
      </c>
      <c r="E182" s="14" t="s">
        <v>91</v>
      </c>
      <c r="F182" s="40">
        <f t="array" ref="F182">IFERROR(INDEX('1. Insumos'!$F$5:$F$110,MATCH($C182,'1. Insumos'!$B$5:$B$110,0)),0)</f>
        <v>0.69</v>
      </c>
      <c r="G182" s="41">
        <f t="shared" si="1"/>
        <v>6.9</v>
      </c>
      <c r="H182" s="42" t="s">
        <v>262</v>
      </c>
    </row>
    <row r="183" ht="15.75" customHeight="1">
      <c r="A183" s="14">
        <v>34.0</v>
      </c>
      <c r="B183" s="13" t="s">
        <v>329</v>
      </c>
      <c r="C183" s="13" t="s">
        <v>117</v>
      </c>
      <c r="D183" s="39">
        <v>2.0</v>
      </c>
      <c r="E183" s="14" t="s">
        <v>91</v>
      </c>
      <c r="F183" s="40">
        <f t="array" ref="F183">IFERROR(INDEX('1. Insumos'!$F$5:$F$110,MATCH($C183,'1. Insumos'!$B$5:$B$110,0)),0)</f>
        <v>7</v>
      </c>
      <c r="G183" s="41">
        <f t="shared" si="1"/>
        <v>14</v>
      </c>
      <c r="H183" s="42" t="s">
        <v>462</v>
      </c>
    </row>
    <row r="184" ht="15.75" customHeight="1">
      <c r="A184" s="14">
        <v>34.0</v>
      </c>
      <c r="B184" s="13" t="s">
        <v>329</v>
      </c>
      <c r="C184" s="13" t="s">
        <v>145</v>
      </c>
      <c r="D184" s="39">
        <v>1.0</v>
      </c>
      <c r="E184" s="14" t="s">
        <v>122</v>
      </c>
      <c r="F184" s="40">
        <f t="array" ref="F184">IFERROR(INDEX('1. Insumos'!$F$5:$F$110,MATCH($C184,'1. Insumos'!$B$5:$B$110,0)),0)</f>
        <v>3.6</v>
      </c>
      <c r="G184" s="41">
        <f t="shared" si="1"/>
        <v>3.6</v>
      </c>
      <c r="H184" s="42" t="s">
        <v>145</v>
      </c>
    </row>
    <row r="185" ht="15.75" customHeight="1">
      <c r="A185" s="14">
        <v>35.0</v>
      </c>
      <c r="B185" s="13" t="s">
        <v>342</v>
      </c>
      <c r="C185" s="13" t="s">
        <v>259</v>
      </c>
      <c r="D185" s="39">
        <v>230.0</v>
      </c>
      <c r="E185" s="14" t="s">
        <v>91</v>
      </c>
      <c r="F185" s="40">
        <f t="array" ref="F185">IFERROR(INDEX('1. Insumos'!$F$5:$F$110,MATCH($C185,'1. Insumos'!$B$5:$B$110,0)),0)</f>
        <v>0.72</v>
      </c>
      <c r="G185" s="41">
        <f t="shared" si="1"/>
        <v>165.6</v>
      </c>
      <c r="H185" s="42" t="s">
        <v>464</v>
      </c>
    </row>
    <row r="186" ht="15.75" customHeight="1">
      <c r="A186" s="14">
        <v>35.0</v>
      </c>
      <c r="B186" s="13" t="s">
        <v>342</v>
      </c>
      <c r="C186" s="13" t="s">
        <v>153</v>
      </c>
      <c r="D186" s="39">
        <v>15.0</v>
      </c>
      <c r="E186" s="14" t="s">
        <v>91</v>
      </c>
      <c r="F186" s="40">
        <f t="array" ref="F186">IFERROR(INDEX('1. Insumos'!$F$5:$F$110,MATCH($C186,'1. Insumos'!$B$5:$B$110,0)),0)</f>
        <v>0.06</v>
      </c>
      <c r="G186" s="41">
        <f t="shared" si="1"/>
        <v>0.9</v>
      </c>
      <c r="H186" s="42" t="s">
        <v>465</v>
      </c>
    </row>
    <row r="187" ht="15.75" customHeight="1">
      <c r="A187" s="14">
        <v>35.0</v>
      </c>
      <c r="B187" s="13" t="s">
        <v>342</v>
      </c>
      <c r="C187" s="13" t="s">
        <v>194</v>
      </c>
      <c r="D187" s="39">
        <v>4.0</v>
      </c>
      <c r="E187" s="14" t="s">
        <v>91</v>
      </c>
      <c r="F187" s="40">
        <f t="array" ref="F187">IFERROR(INDEX('1. Insumos'!$F$5:$F$110,MATCH($C187,'1. Insumos'!$B$5:$B$110,0)),0)</f>
        <v>0.55</v>
      </c>
      <c r="G187" s="41">
        <f t="shared" si="1"/>
        <v>2.2</v>
      </c>
      <c r="H187" s="42" t="s">
        <v>194</v>
      </c>
    </row>
    <row r="188" ht="15.75" customHeight="1">
      <c r="A188" s="14">
        <v>35.0</v>
      </c>
      <c r="B188" s="13" t="s">
        <v>342</v>
      </c>
      <c r="C188" s="13" t="s">
        <v>182</v>
      </c>
      <c r="D188" s="39">
        <v>2.0</v>
      </c>
      <c r="E188" s="14" t="s">
        <v>91</v>
      </c>
      <c r="F188" s="40">
        <f t="array" ref="F188">IFERROR(INDEX('1. Insumos'!$F$5:$F$110,MATCH($C188,'1. Insumos'!$B$5:$B$110,0)),0)</f>
        <v>0.45</v>
      </c>
      <c r="G188" s="41">
        <f t="shared" si="1"/>
        <v>0.9</v>
      </c>
      <c r="H188" s="42" t="s">
        <v>182</v>
      </c>
    </row>
    <row r="189" ht="15.75" customHeight="1">
      <c r="A189" s="14">
        <v>35.0</v>
      </c>
      <c r="B189" s="13" t="s">
        <v>342</v>
      </c>
      <c r="C189" s="13" t="s">
        <v>198</v>
      </c>
      <c r="D189" s="39">
        <v>1.0</v>
      </c>
      <c r="E189" s="14" t="s">
        <v>91</v>
      </c>
      <c r="F189" s="40">
        <f t="array" ref="F189">IFERROR(INDEX('1. Insumos'!$F$5:$F$110,MATCH($C189,'1. Insumos'!$B$5:$B$110,0)),0)</f>
        <v>1.7</v>
      </c>
      <c r="G189" s="41">
        <f t="shared" si="1"/>
        <v>1.7</v>
      </c>
      <c r="H189" s="42" t="s">
        <v>198</v>
      </c>
    </row>
    <row r="190" ht="15.75" customHeight="1">
      <c r="A190" s="14">
        <v>35.0</v>
      </c>
      <c r="B190" s="13" t="s">
        <v>342</v>
      </c>
      <c r="C190" s="13" t="s">
        <v>189</v>
      </c>
      <c r="D190" s="39">
        <v>1.0</v>
      </c>
      <c r="E190" s="14" t="s">
        <v>91</v>
      </c>
      <c r="F190" s="40">
        <f t="array" ref="F190">IFERROR(INDEX('1. Insumos'!$F$5:$F$110,MATCH($C190,'1. Insumos'!$B$5:$B$110,0)),0)</f>
        <v>1.1</v>
      </c>
      <c r="G190" s="41">
        <f t="shared" si="1"/>
        <v>1.1</v>
      </c>
      <c r="H190" s="42" t="s">
        <v>189</v>
      </c>
    </row>
    <row r="191" ht="15.75" customHeight="1">
      <c r="A191" s="14">
        <v>35.0</v>
      </c>
      <c r="B191" s="13" t="s">
        <v>342</v>
      </c>
      <c r="C191" s="13" t="s">
        <v>145</v>
      </c>
      <c r="D191" s="39">
        <v>1.0</v>
      </c>
      <c r="E191" s="14" t="s">
        <v>122</v>
      </c>
      <c r="F191" s="40">
        <f t="array" ref="F191">IFERROR(INDEX('1. Insumos'!$F$5:$F$110,MATCH($C191,'1. Insumos'!$B$5:$B$110,0)),0)</f>
        <v>3.6</v>
      </c>
      <c r="G191" s="41">
        <f t="shared" si="1"/>
        <v>3.6</v>
      </c>
      <c r="H191" s="42" t="s">
        <v>145</v>
      </c>
    </row>
    <row r="192" ht="15.75" customHeight="1">
      <c r="A192" s="14">
        <v>36.0</v>
      </c>
      <c r="B192" s="13" t="s">
        <v>346</v>
      </c>
      <c r="C192" s="13" t="s">
        <v>262</v>
      </c>
      <c r="D192" s="39">
        <v>220.0</v>
      </c>
      <c r="E192" s="14" t="s">
        <v>91</v>
      </c>
      <c r="F192" s="40">
        <f t="array" ref="F192">IFERROR(INDEX('1. Insumos'!$F$5:$F$110,MATCH($C192,'1. Insumos'!$B$5:$B$110,0)),0)</f>
        <v>0.69</v>
      </c>
      <c r="G192" s="41">
        <f t="shared" si="1"/>
        <v>151.8</v>
      </c>
      <c r="H192" s="42" t="s">
        <v>400</v>
      </c>
    </row>
    <row r="193" ht="15.75" customHeight="1">
      <c r="A193" s="14">
        <v>36.0</v>
      </c>
      <c r="B193" s="13" t="s">
        <v>346</v>
      </c>
      <c r="C193" s="13" t="s">
        <v>244</v>
      </c>
      <c r="D193" s="39">
        <v>25.0</v>
      </c>
      <c r="E193" s="14" t="s">
        <v>91</v>
      </c>
      <c r="F193" s="40">
        <f t="array" ref="F193">IFERROR(INDEX('1. Insumos'!$F$5:$F$110,MATCH($C193,'1. Insumos'!$B$5:$B$110,0)),0)</f>
        <v>0.76</v>
      </c>
      <c r="G193" s="41">
        <f t="shared" si="1"/>
        <v>19</v>
      </c>
      <c r="H193" s="42" t="s">
        <v>469</v>
      </c>
    </row>
    <row r="194" ht="15.75" customHeight="1">
      <c r="A194" s="14">
        <v>36.0</v>
      </c>
      <c r="B194" s="13" t="s">
        <v>346</v>
      </c>
      <c r="C194" s="13" t="s">
        <v>186</v>
      </c>
      <c r="D194" s="39">
        <v>3.0</v>
      </c>
      <c r="E194" s="14" t="s">
        <v>91</v>
      </c>
      <c r="F194" s="40">
        <f t="array" ref="F194">IFERROR(INDEX('1. Insumos'!$F$5:$F$110,MATCH($C194,'1. Insumos'!$B$5:$B$110,0)),0)</f>
        <v>2.2</v>
      </c>
      <c r="G194" s="41">
        <f t="shared" si="1"/>
        <v>6.6</v>
      </c>
      <c r="H194" s="42" t="s">
        <v>470</v>
      </c>
    </row>
    <row r="195" ht="15.75" customHeight="1">
      <c r="A195" s="14">
        <v>36.0</v>
      </c>
      <c r="B195" s="13" t="s">
        <v>346</v>
      </c>
      <c r="C195" s="13" t="s">
        <v>181</v>
      </c>
      <c r="D195" s="39">
        <v>2.0</v>
      </c>
      <c r="E195" s="14" t="s">
        <v>91</v>
      </c>
      <c r="F195" s="40">
        <f t="array" ref="F195">IFERROR(INDEX('1. Insumos'!$F$5:$F$110,MATCH($C195,'1. Insumos'!$B$5:$B$110,0)),0)</f>
        <v>0.025</v>
      </c>
      <c r="G195" s="41">
        <f t="shared" si="1"/>
        <v>0.05</v>
      </c>
      <c r="H195" s="42" t="s">
        <v>181</v>
      </c>
    </row>
    <row r="196" ht="15.75" customHeight="1">
      <c r="A196" s="14">
        <v>36.0</v>
      </c>
      <c r="B196" s="13" t="s">
        <v>346</v>
      </c>
      <c r="C196" s="13" t="s">
        <v>145</v>
      </c>
      <c r="D196" s="39">
        <v>1.0</v>
      </c>
      <c r="E196" s="14" t="s">
        <v>122</v>
      </c>
      <c r="F196" s="40">
        <f t="array" ref="F196">IFERROR(INDEX('1. Insumos'!$F$5:$F$110,MATCH($C196,'1. Insumos'!$B$5:$B$110,0)),0)</f>
        <v>3.6</v>
      </c>
      <c r="G196" s="41">
        <f t="shared" si="1"/>
        <v>3.6</v>
      </c>
      <c r="H196" s="42" t="s">
        <v>145</v>
      </c>
    </row>
    <row r="197" ht="15.75" customHeight="1">
      <c r="A197" s="14">
        <v>37.0</v>
      </c>
      <c r="B197" s="13" t="s">
        <v>348</v>
      </c>
      <c r="C197" s="13" t="s">
        <v>141</v>
      </c>
      <c r="D197" s="39">
        <v>230.0</v>
      </c>
      <c r="E197" s="14" t="s">
        <v>91</v>
      </c>
      <c r="F197" s="40">
        <f t="array" ref="F197">IFERROR(INDEX('1. Insumos'!$F$5:$F$110,MATCH($C197,'1. Insumos'!$B$5:$B$110,0)),0)</f>
        <v>0.395</v>
      </c>
      <c r="G197" s="41">
        <f t="shared" si="1"/>
        <v>90.85</v>
      </c>
      <c r="H197" s="42" t="s">
        <v>473</v>
      </c>
    </row>
    <row r="198" ht="15.75" customHeight="1">
      <c r="A198" s="14">
        <v>37.0</v>
      </c>
      <c r="B198" s="13" t="s">
        <v>348</v>
      </c>
      <c r="C198" s="13" t="s">
        <v>262</v>
      </c>
      <c r="D198" s="39">
        <v>20.0</v>
      </c>
      <c r="E198" s="14" t="s">
        <v>91</v>
      </c>
      <c r="F198" s="40">
        <f t="array" ref="F198">IFERROR(INDEX('1. Insumos'!$F$5:$F$110,MATCH($C198,'1. Insumos'!$B$5:$B$110,0)),0)</f>
        <v>0.69</v>
      </c>
      <c r="G198" s="41">
        <f t="shared" si="1"/>
        <v>13.8</v>
      </c>
      <c r="H198" s="42" t="s">
        <v>262</v>
      </c>
    </row>
    <row r="199" ht="15.75" customHeight="1">
      <c r="A199" s="14">
        <v>37.0</v>
      </c>
      <c r="B199" s="13" t="s">
        <v>348</v>
      </c>
      <c r="C199" s="13" t="s">
        <v>299</v>
      </c>
      <c r="D199" s="39">
        <v>15.0</v>
      </c>
      <c r="E199" s="14" t="s">
        <v>91</v>
      </c>
      <c r="F199" s="40">
        <f t="array" ref="F199">IFERROR(INDEX('1. Insumos'!$F$5:$F$110,MATCH($C199,'1. Insumos'!$B$5:$B$110,0)),0)</f>
        <v>0.65</v>
      </c>
      <c r="G199" s="41">
        <f t="shared" si="1"/>
        <v>9.75</v>
      </c>
      <c r="H199" s="42" t="s">
        <v>474</v>
      </c>
    </row>
    <row r="200" ht="15.75" customHeight="1">
      <c r="A200" s="14">
        <v>37.0</v>
      </c>
      <c r="B200" s="13" t="s">
        <v>348</v>
      </c>
      <c r="C200" s="13" t="s">
        <v>145</v>
      </c>
      <c r="D200" s="39">
        <v>1.0</v>
      </c>
      <c r="E200" s="14" t="s">
        <v>122</v>
      </c>
      <c r="F200" s="40">
        <f t="array" ref="F200">IFERROR(INDEX('1. Insumos'!$F$5:$F$110,MATCH($C200,'1. Insumos'!$B$5:$B$110,0)),0)</f>
        <v>3.6</v>
      </c>
      <c r="G200" s="41">
        <f t="shared" si="1"/>
        <v>3.6</v>
      </c>
      <c r="H200" s="42" t="s">
        <v>145</v>
      </c>
    </row>
    <row r="201" ht="15.75" customHeight="1">
      <c r="A201" s="14">
        <v>38.0</v>
      </c>
      <c r="B201" s="13" t="s">
        <v>351</v>
      </c>
      <c r="C201" s="13" t="s">
        <v>94</v>
      </c>
      <c r="D201" s="39">
        <v>180.0</v>
      </c>
      <c r="E201" s="14" t="s">
        <v>91</v>
      </c>
      <c r="F201" s="40">
        <f t="array" ref="F201">IFERROR(INDEX('1. Insumos'!$F$5:$F$110,MATCH($C201,'1. Insumos'!$B$5:$B$110,0)),0)</f>
        <v>0.22</v>
      </c>
      <c r="G201" s="41">
        <f t="shared" si="1"/>
        <v>39.6</v>
      </c>
      <c r="H201" s="42" t="s">
        <v>160</v>
      </c>
    </row>
    <row r="202" ht="15.75" customHeight="1">
      <c r="A202" s="14">
        <v>38.0</v>
      </c>
      <c r="B202" s="13" t="s">
        <v>351</v>
      </c>
      <c r="C202" s="13" t="s">
        <v>239</v>
      </c>
      <c r="D202" s="39">
        <v>70.0</v>
      </c>
      <c r="E202" s="14" t="s">
        <v>91</v>
      </c>
      <c r="F202" s="40">
        <f t="array" ref="F202">IFERROR(INDEX('1. Insumos'!$F$5:$F$110,MATCH($C202,'1. Insumos'!$B$5:$B$110,0)),0)</f>
        <v>0.19</v>
      </c>
      <c r="G202" s="41">
        <f t="shared" si="1"/>
        <v>13.3</v>
      </c>
      <c r="H202" s="42" t="s">
        <v>475</v>
      </c>
    </row>
    <row r="203" ht="15.75" customHeight="1">
      <c r="A203" s="14">
        <v>38.0</v>
      </c>
      <c r="B203" s="13" t="s">
        <v>351</v>
      </c>
      <c r="C203" s="13" t="s">
        <v>138</v>
      </c>
      <c r="D203" s="39">
        <v>4.0</v>
      </c>
      <c r="E203" s="14" t="s">
        <v>91</v>
      </c>
      <c r="F203" s="40">
        <f t="array" ref="F203">IFERROR(INDEX('1. Insumos'!$F$5:$F$110,MATCH($C203,'1. Insumos'!$B$5:$B$110,0)),0)</f>
        <v>0.76</v>
      </c>
      <c r="G203" s="41">
        <f t="shared" si="1"/>
        <v>3.04</v>
      </c>
      <c r="H203" s="42" t="s">
        <v>143</v>
      </c>
    </row>
    <row r="204" ht="15.75" customHeight="1">
      <c r="A204" s="14">
        <v>38.0</v>
      </c>
      <c r="B204" s="13" t="s">
        <v>351</v>
      </c>
      <c r="C204" s="13" t="s">
        <v>145</v>
      </c>
      <c r="D204" s="39">
        <v>1.0</v>
      </c>
      <c r="E204" s="14" t="s">
        <v>122</v>
      </c>
      <c r="F204" s="40">
        <f t="array" ref="F204">IFERROR(INDEX('1. Insumos'!$F$5:$F$110,MATCH($C204,'1. Insumos'!$B$5:$B$110,0)),0)</f>
        <v>3.6</v>
      </c>
      <c r="G204" s="41">
        <f t="shared" si="1"/>
        <v>3.6</v>
      </c>
      <c r="H204" s="42" t="s">
        <v>145</v>
      </c>
    </row>
    <row r="205" ht="15.75" customHeight="1">
      <c r="A205" s="14">
        <v>39.0</v>
      </c>
      <c r="B205" s="13" t="s">
        <v>353</v>
      </c>
      <c r="C205" s="13" t="s">
        <v>262</v>
      </c>
      <c r="D205" s="39">
        <v>230.0</v>
      </c>
      <c r="E205" s="14" t="s">
        <v>91</v>
      </c>
      <c r="F205" s="40">
        <f t="array" ref="F205">IFERROR(INDEX('1. Insumos'!$F$5:$F$110,MATCH($C205,'1. Insumos'!$B$5:$B$110,0)),0)</f>
        <v>0.69</v>
      </c>
      <c r="G205" s="41">
        <f t="shared" si="1"/>
        <v>158.7</v>
      </c>
      <c r="H205" s="42" t="s">
        <v>400</v>
      </c>
    </row>
    <row r="206" ht="15.75" customHeight="1">
      <c r="A206" s="14">
        <v>39.0</v>
      </c>
      <c r="B206" s="13" t="s">
        <v>353</v>
      </c>
      <c r="C206" s="13" t="s">
        <v>109</v>
      </c>
      <c r="D206" s="39">
        <v>30.0</v>
      </c>
      <c r="E206" s="14" t="s">
        <v>91</v>
      </c>
      <c r="F206" s="40">
        <f t="array" ref="F206">IFERROR(INDEX('1. Insumos'!$F$5:$F$110,MATCH($C206,'1. Insumos'!$B$5:$B$110,0)),0)</f>
        <v>0.58</v>
      </c>
      <c r="G206" s="41">
        <f t="shared" si="1"/>
        <v>17.4</v>
      </c>
      <c r="H206" s="42" t="s">
        <v>476</v>
      </c>
    </row>
    <row r="207" ht="15.75" customHeight="1">
      <c r="A207" s="14">
        <v>39.0</v>
      </c>
      <c r="B207" s="13" t="s">
        <v>353</v>
      </c>
      <c r="C207" s="13" t="s">
        <v>173</v>
      </c>
      <c r="D207" s="39">
        <v>15.0</v>
      </c>
      <c r="E207" s="14" t="s">
        <v>91</v>
      </c>
      <c r="F207" s="40">
        <f t="array" ref="F207">IFERROR(INDEX('1. Insumos'!$F$5:$F$110,MATCH($C207,'1. Insumos'!$B$5:$B$110,0)),0)</f>
        <v>0.055</v>
      </c>
      <c r="G207" s="41">
        <f t="shared" si="1"/>
        <v>0.825</v>
      </c>
      <c r="H207" s="42" t="s">
        <v>477</v>
      </c>
    </row>
    <row r="208" ht="15.75" customHeight="1">
      <c r="A208" s="14">
        <v>39.0</v>
      </c>
      <c r="B208" s="13" t="s">
        <v>353</v>
      </c>
      <c r="C208" s="13" t="s">
        <v>182</v>
      </c>
      <c r="D208" s="39">
        <v>3.0</v>
      </c>
      <c r="E208" s="14" t="s">
        <v>91</v>
      </c>
      <c r="F208" s="40">
        <f t="array" ref="F208">IFERROR(INDEX('1. Insumos'!$F$5:$F$110,MATCH($C208,'1. Insumos'!$B$5:$B$110,0)),0)</f>
        <v>0.45</v>
      </c>
      <c r="G208" s="41">
        <f t="shared" si="1"/>
        <v>1.35</v>
      </c>
      <c r="H208" s="42" t="s">
        <v>182</v>
      </c>
    </row>
    <row r="209" ht="15.75" customHeight="1">
      <c r="A209" s="14">
        <v>39.0</v>
      </c>
      <c r="B209" s="13" t="s">
        <v>353</v>
      </c>
      <c r="C209" s="13" t="s">
        <v>181</v>
      </c>
      <c r="D209" s="39">
        <v>1.0</v>
      </c>
      <c r="E209" s="14" t="s">
        <v>91</v>
      </c>
      <c r="F209" s="40">
        <f t="array" ref="F209">IFERROR(INDEX('1. Insumos'!$F$5:$F$110,MATCH($C209,'1. Insumos'!$B$5:$B$110,0)),0)</f>
        <v>0.025</v>
      </c>
      <c r="G209" s="41">
        <f t="shared" si="1"/>
        <v>0.025</v>
      </c>
      <c r="H209" s="42" t="s">
        <v>181</v>
      </c>
    </row>
    <row r="210" ht="15.75" customHeight="1">
      <c r="A210" s="14">
        <v>39.0</v>
      </c>
      <c r="B210" s="13" t="s">
        <v>353</v>
      </c>
      <c r="C210" s="13" t="s">
        <v>145</v>
      </c>
      <c r="D210" s="39">
        <v>1.0</v>
      </c>
      <c r="E210" s="14" t="s">
        <v>122</v>
      </c>
      <c r="F210" s="40">
        <f t="array" ref="F210">IFERROR(INDEX('1. Insumos'!$F$5:$F$110,MATCH($C210,'1. Insumos'!$B$5:$B$110,0)),0)</f>
        <v>3.6</v>
      </c>
      <c r="G210" s="41">
        <f t="shared" si="1"/>
        <v>3.6</v>
      </c>
      <c r="H210" s="42" t="s">
        <v>145</v>
      </c>
    </row>
    <row r="211" ht="15.75" customHeight="1">
      <c r="A211" s="14">
        <v>40.0</v>
      </c>
      <c r="B211" s="13" t="s">
        <v>356</v>
      </c>
      <c r="C211" s="13" t="s">
        <v>137</v>
      </c>
      <c r="D211" s="39">
        <v>220.0</v>
      </c>
      <c r="E211" s="14" t="s">
        <v>91</v>
      </c>
      <c r="F211" s="40">
        <f t="array" ref="F211">IFERROR(INDEX('1. Insumos'!$F$5:$F$110,MATCH($C211,'1. Insumos'!$B$5:$B$110,0)),0)</f>
        <v>0.41</v>
      </c>
      <c r="G211" s="41">
        <f t="shared" si="1"/>
        <v>90.2</v>
      </c>
      <c r="H211" s="42" t="s">
        <v>137</v>
      </c>
    </row>
    <row r="212" ht="15.75" customHeight="1">
      <c r="A212" s="14">
        <v>40.0</v>
      </c>
      <c r="B212" s="13" t="s">
        <v>356</v>
      </c>
      <c r="C212" s="13" t="s">
        <v>262</v>
      </c>
      <c r="D212" s="39">
        <v>20.0</v>
      </c>
      <c r="E212" s="14" t="s">
        <v>91</v>
      </c>
      <c r="F212" s="40">
        <f t="array" ref="F212">IFERROR(INDEX('1. Insumos'!$F$5:$F$110,MATCH($C212,'1. Insumos'!$B$5:$B$110,0)),0)</f>
        <v>0.69</v>
      </c>
      <c r="G212" s="41">
        <f t="shared" si="1"/>
        <v>13.8</v>
      </c>
      <c r="H212" s="42" t="s">
        <v>262</v>
      </c>
    </row>
    <row r="213" ht="15.75" customHeight="1">
      <c r="A213" s="14">
        <v>40.0</v>
      </c>
      <c r="B213" s="13" t="s">
        <v>356</v>
      </c>
      <c r="C213" s="13" t="s">
        <v>237</v>
      </c>
      <c r="D213" s="39">
        <v>15.0</v>
      </c>
      <c r="E213" s="14" t="s">
        <v>91</v>
      </c>
      <c r="F213" s="40">
        <f t="array" ref="F213">IFERROR(INDEX('1. Insumos'!$F$5:$F$110,MATCH($C213,'1. Insumos'!$B$5:$B$110,0)),0)</f>
        <v>0.22</v>
      </c>
      <c r="G213" s="41">
        <f t="shared" si="1"/>
        <v>3.3</v>
      </c>
      <c r="H213" s="42" t="s">
        <v>478</v>
      </c>
    </row>
    <row r="214" ht="15.75" customHeight="1">
      <c r="A214" s="14">
        <v>40.0</v>
      </c>
      <c r="B214" s="13" t="s">
        <v>356</v>
      </c>
      <c r="C214" s="13" t="s">
        <v>219</v>
      </c>
      <c r="D214" s="39">
        <v>2.0</v>
      </c>
      <c r="E214" s="14" t="s">
        <v>22</v>
      </c>
      <c r="F214" s="40">
        <f t="array" ref="F214">IFERROR(INDEX('1. Insumos'!$F$5:$F$110,MATCH($C214,'1. Insumos'!$B$5:$B$110,0)),0)</f>
        <v>1.583333333</v>
      </c>
      <c r="G214" s="41">
        <f t="shared" si="1"/>
        <v>3.166666667</v>
      </c>
      <c r="H214" s="42" t="s">
        <v>479</v>
      </c>
    </row>
    <row r="215" ht="15.75" customHeight="1">
      <c r="A215" s="14">
        <v>40.0</v>
      </c>
      <c r="B215" s="13" t="s">
        <v>356</v>
      </c>
      <c r="C215" s="13" t="s">
        <v>145</v>
      </c>
      <c r="D215" s="39">
        <v>1.0</v>
      </c>
      <c r="E215" s="14" t="s">
        <v>122</v>
      </c>
      <c r="F215" s="40">
        <f t="array" ref="F215">IFERROR(INDEX('1. Insumos'!$F$5:$F$110,MATCH($C215,'1. Insumos'!$B$5:$B$110,0)),0)</f>
        <v>3.6</v>
      </c>
      <c r="G215" s="41">
        <f t="shared" si="1"/>
        <v>3.6</v>
      </c>
      <c r="H215" s="42" t="s">
        <v>145</v>
      </c>
    </row>
    <row r="216" ht="15.75" customHeight="1">
      <c r="A216" s="14">
        <v>41.0</v>
      </c>
      <c r="B216" s="13" t="s">
        <v>359</v>
      </c>
      <c r="C216" s="13" t="s">
        <v>252</v>
      </c>
      <c r="D216" s="39">
        <v>130.0</v>
      </c>
      <c r="E216" s="14" t="s">
        <v>91</v>
      </c>
      <c r="F216" s="40">
        <f t="array" ref="F216">IFERROR(INDEX('1. Insumos'!$F$5:$F$110,MATCH($C216,'1. Insumos'!$B$5:$B$110,0)),0)</f>
        <v>0.185</v>
      </c>
      <c r="G216" s="41">
        <f t="shared" si="1"/>
        <v>24.05</v>
      </c>
      <c r="H216" s="42" t="s">
        <v>480</v>
      </c>
    </row>
    <row r="217" ht="15.75" customHeight="1">
      <c r="A217" s="14">
        <v>41.0</v>
      </c>
      <c r="B217" s="13" t="s">
        <v>359</v>
      </c>
      <c r="C217" s="13" t="s">
        <v>262</v>
      </c>
      <c r="D217" s="39">
        <v>120.0</v>
      </c>
      <c r="E217" s="14" t="s">
        <v>91</v>
      </c>
      <c r="F217" s="40">
        <f t="array" ref="F217">IFERROR(INDEX('1. Insumos'!$F$5:$F$110,MATCH($C217,'1. Insumos'!$B$5:$B$110,0)),0)</f>
        <v>0.69</v>
      </c>
      <c r="G217" s="41">
        <f t="shared" si="1"/>
        <v>82.8</v>
      </c>
      <c r="H217" s="42" t="s">
        <v>481</v>
      </c>
    </row>
    <row r="218" ht="15.75" customHeight="1">
      <c r="A218" s="14">
        <v>41.0</v>
      </c>
      <c r="B218" s="13" t="s">
        <v>359</v>
      </c>
      <c r="C218" s="13" t="s">
        <v>213</v>
      </c>
      <c r="D218" s="39">
        <v>5.0</v>
      </c>
      <c r="E218" s="14" t="s">
        <v>91</v>
      </c>
      <c r="F218" s="40">
        <f t="array" ref="F218">IFERROR(INDEX('1. Insumos'!$F$5:$F$110,MATCH($C218,'1. Insumos'!$B$5:$B$110,0)),0)</f>
        <v>0.8</v>
      </c>
      <c r="G218" s="41">
        <f t="shared" si="1"/>
        <v>4</v>
      </c>
      <c r="H218" s="42" t="s">
        <v>213</v>
      </c>
    </row>
    <row r="219" ht="15.75" customHeight="1">
      <c r="A219" s="14">
        <v>41.0</v>
      </c>
      <c r="B219" s="13" t="s">
        <v>359</v>
      </c>
      <c r="C219" s="13" t="s">
        <v>233</v>
      </c>
      <c r="D219" s="39">
        <v>4.0</v>
      </c>
      <c r="E219" s="14" t="s">
        <v>91</v>
      </c>
      <c r="F219" s="40">
        <f t="array" ref="F219">IFERROR(INDEX('1. Insumos'!$F$5:$F$110,MATCH($C219,'1. Insumos'!$B$5:$B$110,0)),0)</f>
        <v>0.45</v>
      </c>
      <c r="G219" s="41">
        <f t="shared" si="1"/>
        <v>1.8</v>
      </c>
      <c r="H219" s="42" t="s">
        <v>482</v>
      </c>
    </row>
    <row r="220" ht="15.75" customHeight="1">
      <c r="A220" s="14">
        <v>41.0</v>
      </c>
      <c r="B220" s="13" t="s">
        <v>359</v>
      </c>
      <c r="C220" s="13" t="s">
        <v>181</v>
      </c>
      <c r="D220" s="39">
        <v>3.0</v>
      </c>
      <c r="E220" s="14" t="s">
        <v>91</v>
      </c>
      <c r="F220" s="40">
        <f t="array" ref="F220">IFERROR(INDEX('1. Insumos'!$F$5:$F$110,MATCH($C220,'1. Insumos'!$B$5:$B$110,0)),0)</f>
        <v>0.025</v>
      </c>
      <c r="G220" s="41">
        <f t="shared" si="1"/>
        <v>0.075</v>
      </c>
      <c r="H220" s="42" t="s">
        <v>181</v>
      </c>
    </row>
    <row r="221" ht="15.75" customHeight="1">
      <c r="A221" s="14">
        <v>41.0</v>
      </c>
      <c r="B221" s="13" t="s">
        <v>359</v>
      </c>
      <c r="C221" s="13" t="s">
        <v>145</v>
      </c>
      <c r="D221" s="39">
        <v>1.0</v>
      </c>
      <c r="E221" s="14" t="s">
        <v>122</v>
      </c>
      <c r="F221" s="40">
        <f t="array" ref="F221">IFERROR(INDEX('1. Insumos'!$F$5:$F$110,MATCH($C221,'1. Insumos'!$B$5:$B$110,0)),0)</f>
        <v>3.6</v>
      </c>
      <c r="G221" s="41">
        <f t="shared" si="1"/>
        <v>3.6</v>
      </c>
      <c r="H221" s="42" t="s">
        <v>145</v>
      </c>
    </row>
    <row r="222" ht="15.75" customHeight="1">
      <c r="A222" s="14">
        <v>42.0</v>
      </c>
      <c r="B222" s="13" t="s">
        <v>361</v>
      </c>
      <c r="C222" s="13" t="s">
        <v>269</v>
      </c>
      <c r="D222" s="39">
        <v>150.0</v>
      </c>
      <c r="E222" s="14" t="s">
        <v>91</v>
      </c>
      <c r="F222" s="40">
        <f t="array" ref="F222">IFERROR(INDEX('1. Insumos'!$F$5:$F$110,MATCH($C222,'1. Insumos'!$B$5:$B$110,0)),0)</f>
        <v>0.19</v>
      </c>
      <c r="G222" s="41">
        <f t="shared" si="1"/>
        <v>28.5</v>
      </c>
      <c r="H222" s="42" t="s">
        <v>483</v>
      </c>
    </row>
    <row r="223" ht="15.75" customHeight="1">
      <c r="A223" s="14">
        <v>42.0</v>
      </c>
      <c r="B223" s="13" t="s">
        <v>361</v>
      </c>
      <c r="C223" s="13" t="s">
        <v>262</v>
      </c>
      <c r="D223" s="39">
        <v>100.0</v>
      </c>
      <c r="E223" s="14" t="s">
        <v>91</v>
      </c>
      <c r="F223" s="40">
        <f t="array" ref="F223">IFERROR(INDEX('1. Insumos'!$F$5:$F$110,MATCH($C223,'1. Insumos'!$B$5:$B$110,0)),0)</f>
        <v>0.69</v>
      </c>
      <c r="G223" s="41">
        <f t="shared" si="1"/>
        <v>69</v>
      </c>
      <c r="H223" s="42" t="s">
        <v>484</v>
      </c>
    </row>
    <row r="224" ht="15.75" customHeight="1">
      <c r="A224" s="14">
        <v>42.0</v>
      </c>
      <c r="B224" s="13" t="s">
        <v>361</v>
      </c>
      <c r="C224" s="13" t="s">
        <v>120</v>
      </c>
      <c r="D224" s="39">
        <v>12.0</v>
      </c>
      <c r="E224" s="14" t="s">
        <v>91</v>
      </c>
      <c r="F224" s="40">
        <f t="array" ref="F224">IFERROR(INDEX('1. Insumos'!$F$5:$F$110,MATCH($C224,'1. Insumos'!$B$5:$B$110,0)),0)</f>
        <v>0.26</v>
      </c>
      <c r="G224" s="41">
        <f t="shared" si="1"/>
        <v>3.12</v>
      </c>
      <c r="H224" s="42" t="s">
        <v>485</v>
      </c>
    </row>
    <row r="225" ht="15.75" customHeight="1">
      <c r="A225" s="14">
        <v>42.0</v>
      </c>
      <c r="B225" s="13" t="s">
        <v>361</v>
      </c>
      <c r="C225" s="13" t="s">
        <v>273</v>
      </c>
      <c r="D225" s="39">
        <v>6.0</v>
      </c>
      <c r="E225" s="14" t="s">
        <v>91</v>
      </c>
      <c r="F225" s="40">
        <f t="array" ref="F225">IFERROR(INDEX('1. Insumos'!$F$5:$F$110,MATCH($C225,'1. Insumos'!$B$5:$B$110,0)),0)</f>
        <v>0.5</v>
      </c>
      <c r="G225" s="41">
        <f t="shared" si="1"/>
        <v>3</v>
      </c>
      <c r="H225" s="42" t="s">
        <v>486</v>
      </c>
    </row>
    <row r="226" ht="15.75" customHeight="1">
      <c r="A226" s="14">
        <v>42.0</v>
      </c>
      <c r="B226" s="13" t="s">
        <v>361</v>
      </c>
      <c r="C226" s="13" t="s">
        <v>223</v>
      </c>
      <c r="D226" s="39">
        <v>4.0</v>
      </c>
      <c r="E226" s="14" t="s">
        <v>91</v>
      </c>
      <c r="F226" s="40">
        <f t="array" ref="F226">IFERROR(INDEX('1. Insumos'!$F$5:$F$110,MATCH($C226,'1. Insumos'!$B$5:$B$110,0)),0)</f>
        <v>0.12</v>
      </c>
      <c r="G226" s="41">
        <f t="shared" si="1"/>
        <v>0.48</v>
      </c>
      <c r="H226" s="42" t="s">
        <v>223</v>
      </c>
    </row>
    <row r="227" ht="15.75" customHeight="1">
      <c r="A227" s="14">
        <v>42.0</v>
      </c>
      <c r="B227" s="13" t="s">
        <v>361</v>
      </c>
      <c r="C227" s="13" t="s">
        <v>145</v>
      </c>
      <c r="D227" s="39">
        <v>1.0</v>
      </c>
      <c r="E227" s="14" t="s">
        <v>122</v>
      </c>
      <c r="F227" s="40">
        <f t="array" ref="F227">IFERROR(INDEX('1. Insumos'!$F$5:$F$110,MATCH($C227,'1. Insumos'!$B$5:$B$110,0)),0)</f>
        <v>3.6</v>
      </c>
      <c r="G227" s="41">
        <f t="shared" si="1"/>
        <v>3.6</v>
      </c>
      <c r="H227" s="42" t="s">
        <v>145</v>
      </c>
    </row>
    <row r="228" ht="15.75" customHeight="1">
      <c r="A228" s="14">
        <v>43.0</v>
      </c>
      <c r="B228" s="13" t="s">
        <v>363</v>
      </c>
      <c r="C228" s="13" t="s">
        <v>252</v>
      </c>
      <c r="D228" s="39">
        <v>130.0</v>
      </c>
      <c r="E228" s="14" t="s">
        <v>91</v>
      </c>
      <c r="F228" s="40">
        <f t="array" ref="F228">IFERROR(INDEX('1. Insumos'!$F$5:$F$110,MATCH($C228,'1. Insumos'!$B$5:$B$110,0)),0)</f>
        <v>0.185</v>
      </c>
      <c r="G228" s="41">
        <f t="shared" si="1"/>
        <v>24.05</v>
      </c>
      <c r="H228" s="42" t="s">
        <v>252</v>
      </c>
    </row>
    <row r="229" ht="15.75" customHeight="1">
      <c r="A229" s="14">
        <v>43.0</v>
      </c>
      <c r="B229" s="13" t="s">
        <v>363</v>
      </c>
      <c r="C229" s="13" t="s">
        <v>262</v>
      </c>
      <c r="D229" s="39">
        <v>120.0</v>
      </c>
      <c r="E229" s="14" t="s">
        <v>91</v>
      </c>
      <c r="F229" s="40">
        <f t="array" ref="F229">IFERROR(INDEX('1. Insumos'!$F$5:$F$110,MATCH($C229,'1. Insumos'!$B$5:$B$110,0)),0)</f>
        <v>0.69</v>
      </c>
      <c r="G229" s="41">
        <f t="shared" si="1"/>
        <v>82.8</v>
      </c>
      <c r="H229" s="42" t="s">
        <v>262</v>
      </c>
    </row>
    <row r="230" ht="15.75" customHeight="1">
      <c r="A230" s="14">
        <v>43.0</v>
      </c>
      <c r="B230" s="13" t="s">
        <v>363</v>
      </c>
      <c r="C230" s="13" t="s">
        <v>192</v>
      </c>
      <c r="D230" s="39">
        <v>5.0</v>
      </c>
      <c r="E230" s="14" t="s">
        <v>91</v>
      </c>
      <c r="F230" s="40">
        <f t="array" ref="F230">IFERROR(INDEX('1. Insumos'!$F$5:$F$110,MATCH($C230,'1. Insumos'!$B$5:$B$110,0)),0)</f>
        <v>0.45</v>
      </c>
      <c r="G230" s="41">
        <f t="shared" si="1"/>
        <v>2.25</v>
      </c>
      <c r="H230" s="42" t="s">
        <v>192</v>
      </c>
    </row>
    <row r="231" ht="15.75" customHeight="1">
      <c r="A231" s="14">
        <v>43.0</v>
      </c>
      <c r="B231" s="13" t="s">
        <v>363</v>
      </c>
      <c r="C231" s="13" t="s">
        <v>194</v>
      </c>
      <c r="D231" s="39">
        <v>3.0</v>
      </c>
      <c r="E231" s="14" t="s">
        <v>91</v>
      </c>
      <c r="F231" s="40">
        <f t="array" ref="F231">IFERROR(INDEX('1. Insumos'!$F$5:$F$110,MATCH($C231,'1. Insumos'!$B$5:$B$110,0)),0)</f>
        <v>0.55</v>
      </c>
      <c r="G231" s="41">
        <f t="shared" si="1"/>
        <v>1.65</v>
      </c>
      <c r="H231" s="42" t="s">
        <v>194</v>
      </c>
    </row>
    <row r="232" ht="15.75" customHeight="1">
      <c r="A232" s="14">
        <v>43.0</v>
      </c>
      <c r="B232" s="13" t="s">
        <v>363</v>
      </c>
      <c r="C232" s="13" t="s">
        <v>212</v>
      </c>
      <c r="D232" s="39">
        <v>2.0</v>
      </c>
      <c r="E232" s="14" t="s">
        <v>91</v>
      </c>
      <c r="F232" s="40">
        <f t="array" ref="F232">IFERROR(INDEX('1. Insumos'!$F$5:$F$110,MATCH($C232,'1. Insumos'!$B$5:$B$110,0)),0)</f>
        <v>0.6</v>
      </c>
      <c r="G232" s="41">
        <f t="shared" si="1"/>
        <v>1.2</v>
      </c>
      <c r="H232" s="42" t="s">
        <v>487</v>
      </c>
    </row>
    <row r="233" ht="15.75" customHeight="1">
      <c r="A233" s="14">
        <v>43.0</v>
      </c>
      <c r="B233" s="13" t="s">
        <v>363</v>
      </c>
      <c r="C233" s="13" t="s">
        <v>181</v>
      </c>
      <c r="D233" s="39">
        <v>3.0</v>
      </c>
      <c r="E233" s="14" t="s">
        <v>91</v>
      </c>
      <c r="F233" s="40">
        <f t="array" ref="F233">IFERROR(INDEX('1. Insumos'!$F$5:$F$110,MATCH($C233,'1. Insumos'!$B$5:$B$110,0)),0)</f>
        <v>0.025</v>
      </c>
      <c r="G233" s="41">
        <f t="shared" si="1"/>
        <v>0.075</v>
      </c>
      <c r="H233" s="42" t="s">
        <v>181</v>
      </c>
    </row>
    <row r="234" ht="15.75" customHeight="1">
      <c r="A234" s="14">
        <v>43.0</v>
      </c>
      <c r="B234" s="13" t="s">
        <v>363</v>
      </c>
      <c r="C234" s="13" t="s">
        <v>145</v>
      </c>
      <c r="D234" s="39">
        <v>1.0</v>
      </c>
      <c r="E234" s="14" t="s">
        <v>122</v>
      </c>
      <c r="F234" s="40">
        <f t="array" ref="F234">IFERROR(INDEX('1. Insumos'!$F$5:$F$110,MATCH($C234,'1. Insumos'!$B$5:$B$110,0)),0)</f>
        <v>3.6</v>
      </c>
      <c r="G234" s="41">
        <f t="shared" si="1"/>
        <v>3.6</v>
      </c>
      <c r="H234" s="42" t="s">
        <v>145</v>
      </c>
    </row>
    <row r="235" ht="15.75" customHeight="1">
      <c r="A235" s="14">
        <v>44.0</v>
      </c>
      <c r="B235" s="13" t="s">
        <v>365</v>
      </c>
      <c r="C235" s="13" t="s">
        <v>262</v>
      </c>
      <c r="D235" s="39">
        <v>235.0</v>
      </c>
      <c r="E235" s="14" t="s">
        <v>91</v>
      </c>
      <c r="F235" s="40">
        <f t="array" ref="F235">IFERROR(INDEX('1. Insumos'!$F$5:$F$110,MATCH($C235,'1. Insumos'!$B$5:$B$110,0)),0)</f>
        <v>0.69</v>
      </c>
      <c r="G235" s="41">
        <f t="shared" si="1"/>
        <v>162.15</v>
      </c>
      <c r="H235" s="42" t="s">
        <v>400</v>
      </c>
    </row>
    <row r="236" ht="15.75" customHeight="1">
      <c r="A236" s="14">
        <v>44.0</v>
      </c>
      <c r="B236" s="13" t="s">
        <v>365</v>
      </c>
      <c r="C236" s="13" t="s">
        <v>166</v>
      </c>
      <c r="D236" s="39">
        <v>15.0</v>
      </c>
      <c r="E236" s="14" t="s">
        <v>22</v>
      </c>
      <c r="F236" s="40">
        <f t="array" ref="F236">IFERROR(INDEX('1. Insumos'!$F$5:$F$110,MATCH($C236,'1. Insumos'!$B$5:$B$110,0)),0)</f>
        <v>0.155</v>
      </c>
      <c r="G236" s="41">
        <f t="shared" si="1"/>
        <v>2.325</v>
      </c>
      <c r="H236" s="42" t="s">
        <v>166</v>
      </c>
    </row>
    <row r="237" ht="15.75" customHeight="1">
      <c r="A237" s="14">
        <v>44.0</v>
      </c>
      <c r="B237" s="13" t="s">
        <v>365</v>
      </c>
      <c r="C237" s="13" t="s">
        <v>96</v>
      </c>
      <c r="D237" s="39">
        <v>3.0</v>
      </c>
      <c r="E237" s="14" t="s">
        <v>91</v>
      </c>
      <c r="F237" s="40">
        <f t="array" ref="F237">IFERROR(INDEX('1. Insumos'!$F$5:$F$110,MATCH($C237,'1. Insumos'!$B$5:$B$110,0)),0)</f>
        <v>3</v>
      </c>
      <c r="G237" s="41">
        <f t="shared" si="1"/>
        <v>9</v>
      </c>
      <c r="H237" s="42" t="s">
        <v>488</v>
      </c>
    </row>
    <row r="238" ht="15.75" customHeight="1">
      <c r="A238" s="14">
        <v>44.0</v>
      </c>
      <c r="B238" s="13" t="s">
        <v>365</v>
      </c>
      <c r="C238" s="13" t="s">
        <v>145</v>
      </c>
      <c r="D238" s="39">
        <v>1.0</v>
      </c>
      <c r="E238" s="14" t="s">
        <v>122</v>
      </c>
      <c r="F238" s="40">
        <f t="array" ref="F238">IFERROR(INDEX('1. Insumos'!$F$5:$F$110,MATCH($C238,'1. Insumos'!$B$5:$B$110,0)),0)</f>
        <v>3.6</v>
      </c>
      <c r="G238" s="41">
        <f t="shared" si="1"/>
        <v>3.6</v>
      </c>
      <c r="H238" s="42" t="s">
        <v>145</v>
      </c>
    </row>
    <row r="239" ht="15.75" customHeight="1">
      <c r="A239" s="14">
        <v>45.0</v>
      </c>
      <c r="B239" s="13" t="s">
        <v>368</v>
      </c>
      <c r="C239" s="13" t="s">
        <v>252</v>
      </c>
      <c r="D239" s="39">
        <v>140.0</v>
      </c>
      <c r="E239" s="14" t="s">
        <v>91</v>
      </c>
      <c r="F239" s="40">
        <f t="array" ref="F239">IFERROR(INDEX('1. Insumos'!$F$5:$F$110,MATCH($C239,'1. Insumos'!$B$5:$B$110,0)),0)</f>
        <v>0.185</v>
      </c>
      <c r="G239" s="41">
        <f t="shared" si="1"/>
        <v>25.9</v>
      </c>
      <c r="H239" s="42" t="s">
        <v>252</v>
      </c>
    </row>
    <row r="240" ht="15.75" customHeight="1">
      <c r="A240" s="14">
        <v>45.0</v>
      </c>
      <c r="B240" s="13" t="s">
        <v>368</v>
      </c>
      <c r="C240" s="13" t="s">
        <v>262</v>
      </c>
      <c r="D240" s="39">
        <v>110.0</v>
      </c>
      <c r="E240" s="14" t="s">
        <v>91</v>
      </c>
      <c r="F240" s="40">
        <f t="array" ref="F240">IFERROR(INDEX('1. Insumos'!$F$5:$F$110,MATCH($C240,'1. Insumos'!$B$5:$B$110,0)),0)</f>
        <v>0.69</v>
      </c>
      <c r="G240" s="41">
        <f t="shared" si="1"/>
        <v>75.9</v>
      </c>
      <c r="H240" s="42" t="s">
        <v>262</v>
      </c>
    </row>
    <row r="241" ht="15.75" customHeight="1">
      <c r="A241" s="14">
        <v>45.0</v>
      </c>
      <c r="B241" s="13" t="s">
        <v>368</v>
      </c>
      <c r="C241" s="13" t="s">
        <v>275</v>
      </c>
      <c r="D241" s="39">
        <v>4.0</v>
      </c>
      <c r="E241" s="14" t="s">
        <v>91</v>
      </c>
      <c r="F241" s="40">
        <f t="array" ref="F241">IFERROR(INDEX('1. Insumos'!$F$5:$F$110,MATCH($C241,'1. Insumos'!$B$5:$B$110,0)),0)</f>
        <v>0.6</v>
      </c>
      <c r="G241" s="41">
        <f t="shared" si="1"/>
        <v>2.4</v>
      </c>
      <c r="H241" s="42" t="s">
        <v>489</v>
      </c>
    </row>
    <row r="242" ht="15.75" customHeight="1">
      <c r="A242" s="14">
        <v>45.0</v>
      </c>
      <c r="B242" s="13" t="s">
        <v>368</v>
      </c>
      <c r="C242" s="13" t="s">
        <v>138</v>
      </c>
      <c r="D242" s="39">
        <v>3.0</v>
      </c>
      <c r="E242" s="14" t="s">
        <v>91</v>
      </c>
      <c r="F242" s="40">
        <f t="array" ref="F242">IFERROR(INDEX('1. Insumos'!$F$5:$F$110,MATCH($C242,'1. Insumos'!$B$5:$B$110,0)),0)</f>
        <v>0.76</v>
      </c>
      <c r="G242" s="41">
        <f t="shared" si="1"/>
        <v>2.28</v>
      </c>
      <c r="H242" s="42" t="s">
        <v>138</v>
      </c>
    </row>
    <row r="243" ht="15.75" customHeight="1">
      <c r="A243" s="14">
        <v>45.0</v>
      </c>
      <c r="B243" s="13" t="s">
        <v>368</v>
      </c>
      <c r="C243" s="13" t="s">
        <v>145</v>
      </c>
      <c r="D243" s="39">
        <v>1.0</v>
      </c>
      <c r="E243" s="14" t="s">
        <v>122</v>
      </c>
      <c r="F243" s="40">
        <f t="array" ref="F243">IFERROR(INDEX('1. Insumos'!$F$5:$F$110,MATCH($C243,'1. Insumos'!$B$5:$B$110,0)),0)</f>
        <v>3.6</v>
      </c>
      <c r="G243" s="41">
        <f t="shared" si="1"/>
        <v>3.6</v>
      </c>
      <c r="H243" s="42" t="s">
        <v>145</v>
      </c>
    </row>
    <row r="244" ht="15.75" customHeight="1">
      <c r="A244" s="14">
        <v>46.0</v>
      </c>
      <c r="B244" s="13" t="s">
        <v>371</v>
      </c>
      <c r="C244" s="13" t="s">
        <v>265</v>
      </c>
      <c r="D244" s="39">
        <v>150.0</v>
      </c>
      <c r="E244" s="14" t="s">
        <v>91</v>
      </c>
      <c r="F244" s="40">
        <f t="array" ref="F244">IFERROR(INDEX('1. Insumos'!$F$5:$F$110,MATCH($C244,'1. Insumos'!$B$5:$B$110,0)),0)</f>
        <v>0.085</v>
      </c>
      <c r="G244" s="41">
        <f t="shared" si="1"/>
        <v>12.75</v>
      </c>
      <c r="H244" s="42" t="s">
        <v>490</v>
      </c>
    </row>
    <row r="245" ht="15.75" customHeight="1">
      <c r="A245" s="14">
        <v>46.0</v>
      </c>
      <c r="B245" s="13" t="s">
        <v>371</v>
      </c>
      <c r="C245" s="13" t="s">
        <v>262</v>
      </c>
      <c r="D245" s="39">
        <v>100.0</v>
      </c>
      <c r="E245" s="14" t="s">
        <v>91</v>
      </c>
      <c r="F245" s="40">
        <f t="array" ref="F245">IFERROR(INDEX('1. Insumos'!$F$5:$F$110,MATCH($C245,'1. Insumos'!$B$5:$B$110,0)),0)</f>
        <v>0.69</v>
      </c>
      <c r="G245" s="41">
        <f t="shared" si="1"/>
        <v>69</v>
      </c>
      <c r="H245" s="42" t="s">
        <v>491</v>
      </c>
    </row>
    <row r="246" ht="15.75" customHeight="1">
      <c r="A246" s="14">
        <v>46.0</v>
      </c>
      <c r="B246" s="13" t="s">
        <v>371</v>
      </c>
      <c r="C246" s="13" t="s">
        <v>196</v>
      </c>
      <c r="D246" s="39">
        <v>8.0</v>
      </c>
      <c r="E246" s="14" t="s">
        <v>91</v>
      </c>
      <c r="F246" s="40">
        <f t="array" ref="F246">IFERROR(INDEX('1. Insumos'!$F$5:$F$110,MATCH($C246,'1. Insumos'!$B$5:$B$110,0)),0)</f>
        <v>0.95</v>
      </c>
      <c r="G246" s="41">
        <f t="shared" si="1"/>
        <v>7.6</v>
      </c>
      <c r="H246" s="42" t="s">
        <v>196</v>
      </c>
    </row>
    <row r="247" ht="15.75" customHeight="1">
      <c r="A247" s="14">
        <v>46.0</v>
      </c>
      <c r="B247" s="13" t="s">
        <v>371</v>
      </c>
      <c r="C247" s="13" t="s">
        <v>138</v>
      </c>
      <c r="D247" s="39">
        <v>2.0</v>
      </c>
      <c r="E247" s="14" t="s">
        <v>91</v>
      </c>
      <c r="F247" s="40">
        <f t="array" ref="F247">IFERROR(INDEX('1. Insumos'!$F$5:$F$110,MATCH($C247,'1. Insumos'!$B$5:$B$110,0)),0)</f>
        <v>0.76</v>
      </c>
      <c r="G247" s="41">
        <f t="shared" si="1"/>
        <v>1.52</v>
      </c>
      <c r="H247" s="42" t="s">
        <v>143</v>
      </c>
    </row>
    <row r="248" ht="15.75" customHeight="1">
      <c r="A248" s="14">
        <v>46.0</v>
      </c>
      <c r="B248" s="13" t="s">
        <v>371</v>
      </c>
      <c r="C248" s="13" t="s">
        <v>145</v>
      </c>
      <c r="D248" s="39">
        <v>1.0</v>
      </c>
      <c r="E248" s="14" t="s">
        <v>122</v>
      </c>
      <c r="F248" s="40">
        <f t="array" ref="F248">IFERROR(INDEX('1. Insumos'!$F$5:$F$110,MATCH($C248,'1. Insumos'!$B$5:$B$110,0)),0)</f>
        <v>3.6</v>
      </c>
      <c r="G248" s="41">
        <f t="shared" si="1"/>
        <v>3.6</v>
      </c>
      <c r="H248" s="42" t="s">
        <v>145</v>
      </c>
    </row>
    <row r="249" ht="15.75" customHeight="1">
      <c r="A249" s="14">
        <v>47.0</v>
      </c>
      <c r="B249" s="13" t="s">
        <v>374</v>
      </c>
      <c r="C249" s="13" t="s">
        <v>262</v>
      </c>
      <c r="D249" s="39">
        <v>130.0</v>
      </c>
      <c r="E249" s="14" t="s">
        <v>91</v>
      </c>
      <c r="F249" s="40">
        <f t="array" ref="F249">IFERROR(INDEX('1. Insumos'!$F$5:$F$110,MATCH($C249,'1. Insumos'!$B$5:$B$110,0)),0)</f>
        <v>0.69</v>
      </c>
      <c r="G249" s="41">
        <f t="shared" si="1"/>
        <v>89.7</v>
      </c>
      <c r="H249" s="42" t="s">
        <v>262</v>
      </c>
    </row>
    <row r="250" ht="15.75" customHeight="1">
      <c r="A250" s="14">
        <v>47.0</v>
      </c>
      <c r="B250" s="13" t="s">
        <v>374</v>
      </c>
      <c r="C250" s="13" t="s">
        <v>252</v>
      </c>
      <c r="D250" s="39">
        <v>50.0</v>
      </c>
      <c r="E250" s="14" t="s">
        <v>91</v>
      </c>
      <c r="F250" s="40">
        <f t="array" ref="F250">IFERROR(INDEX('1. Insumos'!$F$5:$F$110,MATCH($C250,'1. Insumos'!$B$5:$B$110,0)),0)</f>
        <v>0.185</v>
      </c>
      <c r="G250" s="41">
        <f t="shared" si="1"/>
        <v>9.25</v>
      </c>
      <c r="H250" s="42" t="s">
        <v>252</v>
      </c>
    </row>
    <row r="251" ht="15.75" customHeight="1">
      <c r="A251" s="14">
        <v>47.0</v>
      </c>
      <c r="B251" s="13" t="s">
        <v>374</v>
      </c>
      <c r="C251" s="13" t="s">
        <v>241</v>
      </c>
      <c r="D251" s="39">
        <v>70.0</v>
      </c>
      <c r="E251" s="14" t="s">
        <v>91</v>
      </c>
      <c r="F251" s="40">
        <f t="array" ref="F251">IFERROR(INDEX('1. Insumos'!$F$5:$F$110,MATCH($C251,'1. Insumos'!$B$5:$B$110,0)),0)</f>
        <v>0.6333333333</v>
      </c>
      <c r="G251" s="41">
        <f t="shared" si="1"/>
        <v>44.33333333</v>
      </c>
      <c r="H251" s="42" t="s">
        <v>492</v>
      </c>
    </row>
    <row r="252" ht="15.75" customHeight="1">
      <c r="A252" s="14">
        <v>47.0</v>
      </c>
      <c r="B252" s="13" t="s">
        <v>374</v>
      </c>
      <c r="C252" s="13" t="s">
        <v>251</v>
      </c>
      <c r="D252" s="39">
        <v>5.0</v>
      </c>
      <c r="E252" s="14" t="s">
        <v>91</v>
      </c>
      <c r="F252" s="40">
        <f t="array" ref="F252">IFERROR(INDEX('1. Insumos'!$F$5:$F$110,MATCH($C252,'1. Insumos'!$B$5:$B$110,0)),0)</f>
        <v>0.15</v>
      </c>
      <c r="G252" s="41">
        <f t="shared" si="1"/>
        <v>0.75</v>
      </c>
      <c r="H252" s="42" t="s">
        <v>493</v>
      </c>
    </row>
    <row r="253" ht="15.75" customHeight="1">
      <c r="A253" s="14">
        <v>47.0</v>
      </c>
      <c r="B253" s="13" t="s">
        <v>374</v>
      </c>
      <c r="C253" s="13" t="s">
        <v>178</v>
      </c>
      <c r="D253" s="39">
        <v>3.0</v>
      </c>
      <c r="E253" s="14" t="s">
        <v>91</v>
      </c>
      <c r="F253" s="40">
        <f t="array" ref="F253">IFERROR(INDEX('1. Insumos'!$F$5:$F$110,MATCH($C253,'1. Insumos'!$B$5:$B$110,0)),0)</f>
        <v>0.4</v>
      </c>
      <c r="G253" s="41">
        <f t="shared" si="1"/>
        <v>1.2</v>
      </c>
      <c r="H253" s="42" t="s">
        <v>178</v>
      </c>
    </row>
    <row r="254" ht="15.75" customHeight="1">
      <c r="A254" s="14">
        <v>47.0</v>
      </c>
      <c r="B254" s="13" t="s">
        <v>374</v>
      </c>
      <c r="C254" s="13" t="s">
        <v>181</v>
      </c>
      <c r="D254" s="39">
        <v>3.0</v>
      </c>
      <c r="E254" s="14" t="s">
        <v>91</v>
      </c>
      <c r="F254" s="40">
        <f t="array" ref="F254">IFERROR(INDEX('1. Insumos'!$F$5:$F$110,MATCH($C254,'1. Insumos'!$B$5:$B$110,0)),0)</f>
        <v>0.025</v>
      </c>
      <c r="G254" s="41">
        <f t="shared" si="1"/>
        <v>0.075</v>
      </c>
      <c r="H254" s="42" t="s">
        <v>181</v>
      </c>
    </row>
    <row r="255" ht="15.75" customHeight="1">
      <c r="A255" s="14">
        <v>47.0</v>
      </c>
      <c r="B255" s="13" t="s">
        <v>374</v>
      </c>
      <c r="C255" s="13" t="s">
        <v>145</v>
      </c>
      <c r="D255" s="39">
        <v>1.0</v>
      </c>
      <c r="E255" s="14" t="s">
        <v>122</v>
      </c>
      <c r="F255" s="40">
        <f t="array" ref="F255">IFERROR(INDEX('1. Insumos'!$F$5:$F$110,MATCH($C255,'1. Insumos'!$B$5:$B$110,0)),0)</f>
        <v>3.6</v>
      </c>
      <c r="G255" s="41">
        <f t="shared" si="1"/>
        <v>3.6</v>
      </c>
      <c r="H255" s="42" t="s">
        <v>145</v>
      </c>
    </row>
    <row r="256" ht="15.75" customHeight="1">
      <c r="A256" s="14">
        <v>48.0</v>
      </c>
      <c r="B256" s="13" t="s">
        <v>376</v>
      </c>
      <c r="C256" s="13" t="s">
        <v>252</v>
      </c>
      <c r="D256" s="39">
        <v>140.0</v>
      </c>
      <c r="E256" s="14" t="s">
        <v>91</v>
      </c>
      <c r="F256" s="40">
        <f t="array" ref="F256">IFERROR(INDEX('1. Insumos'!$F$5:$F$110,MATCH($C256,'1. Insumos'!$B$5:$B$110,0)),0)</f>
        <v>0.185</v>
      </c>
      <c r="G256" s="41">
        <f t="shared" si="1"/>
        <v>25.9</v>
      </c>
      <c r="H256" s="42" t="s">
        <v>252</v>
      </c>
    </row>
    <row r="257" ht="15.75" customHeight="1">
      <c r="A257" s="14">
        <v>48.0</v>
      </c>
      <c r="B257" s="13" t="s">
        <v>376</v>
      </c>
      <c r="C257" s="13" t="s">
        <v>262</v>
      </c>
      <c r="D257" s="39">
        <v>110.0</v>
      </c>
      <c r="E257" s="14" t="s">
        <v>91</v>
      </c>
      <c r="F257" s="40">
        <f t="array" ref="F257">IFERROR(INDEX('1. Insumos'!$F$5:$F$110,MATCH($C257,'1. Insumos'!$B$5:$B$110,0)),0)</f>
        <v>0.69</v>
      </c>
      <c r="G257" s="41">
        <f t="shared" si="1"/>
        <v>75.9</v>
      </c>
      <c r="H257" s="42" t="s">
        <v>262</v>
      </c>
    </row>
    <row r="258" ht="15.75" customHeight="1">
      <c r="A258" s="14">
        <v>48.0</v>
      </c>
      <c r="B258" s="13" t="s">
        <v>376</v>
      </c>
      <c r="C258" s="13" t="s">
        <v>231</v>
      </c>
      <c r="D258" s="39">
        <v>15.0</v>
      </c>
      <c r="E258" s="14" t="s">
        <v>91</v>
      </c>
      <c r="F258" s="40">
        <f t="array" ref="F258">IFERROR(INDEX('1. Insumos'!$F$5:$F$110,MATCH($C258,'1. Insumos'!$B$5:$B$110,0)),0)</f>
        <v>0.12</v>
      </c>
      <c r="G258" s="41">
        <f t="shared" si="1"/>
        <v>1.8</v>
      </c>
      <c r="H258" s="42" t="s">
        <v>494</v>
      </c>
    </row>
    <row r="259" ht="15.75" customHeight="1">
      <c r="A259" s="14">
        <v>48.0</v>
      </c>
      <c r="B259" s="13" t="s">
        <v>376</v>
      </c>
      <c r="C259" s="13" t="s">
        <v>227</v>
      </c>
      <c r="D259" s="39">
        <v>10.0</v>
      </c>
      <c r="E259" s="14" t="s">
        <v>91</v>
      </c>
      <c r="F259" s="40">
        <f t="array" ref="F259">IFERROR(INDEX('1. Insumos'!$F$5:$F$110,MATCH($C259,'1. Insumos'!$B$5:$B$110,0)),0)</f>
        <v>0.08</v>
      </c>
      <c r="G259" s="41">
        <f t="shared" si="1"/>
        <v>0.8</v>
      </c>
      <c r="H259" s="42" t="s">
        <v>495</v>
      </c>
    </row>
    <row r="260" ht="15.75" customHeight="1">
      <c r="A260" s="14">
        <v>48.0</v>
      </c>
      <c r="B260" s="13" t="s">
        <v>376</v>
      </c>
      <c r="C260" s="13" t="s">
        <v>223</v>
      </c>
      <c r="D260" s="39">
        <v>4.0</v>
      </c>
      <c r="E260" s="14" t="s">
        <v>91</v>
      </c>
      <c r="F260" s="40">
        <f t="array" ref="F260">IFERROR(INDEX('1. Insumos'!$F$5:$F$110,MATCH($C260,'1. Insumos'!$B$5:$B$110,0)),0)</f>
        <v>0.12</v>
      </c>
      <c r="G260" s="41">
        <f t="shared" si="1"/>
        <v>0.48</v>
      </c>
      <c r="H260" s="42" t="s">
        <v>223</v>
      </c>
    </row>
    <row r="261" ht="15.75" customHeight="1">
      <c r="A261" s="14">
        <v>48.0</v>
      </c>
      <c r="B261" s="13" t="s">
        <v>376</v>
      </c>
      <c r="C261" s="13" t="s">
        <v>145</v>
      </c>
      <c r="D261" s="39">
        <v>1.0</v>
      </c>
      <c r="E261" s="14" t="s">
        <v>122</v>
      </c>
      <c r="F261" s="40">
        <f t="array" ref="F261">IFERROR(INDEX('1. Insumos'!$F$5:$F$110,MATCH($C261,'1. Insumos'!$B$5:$B$110,0)),0)</f>
        <v>3.6</v>
      </c>
      <c r="G261" s="41">
        <f t="shared" si="1"/>
        <v>3.6</v>
      </c>
      <c r="H261" s="42" t="s">
        <v>145</v>
      </c>
    </row>
    <row r="262" ht="15.75" customHeight="1">
      <c r="A262" s="14">
        <v>49.0</v>
      </c>
      <c r="B262" s="13" t="s">
        <v>379</v>
      </c>
      <c r="C262" s="13" t="s">
        <v>262</v>
      </c>
      <c r="D262" s="39">
        <v>150.0</v>
      </c>
      <c r="E262" s="14" t="s">
        <v>91</v>
      </c>
      <c r="F262" s="40">
        <f t="array" ref="F262">IFERROR(INDEX('1. Insumos'!$F$5:$F$110,MATCH($C262,'1. Insumos'!$B$5:$B$110,0)),0)</f>
        <v>0.69</v>
      </c>
      <c r="G262" s="41">
        <f t="shared" si="1"/>
        <v>103.5</v>
      </c>
      <c r="H262" s="42" t="s">
        <v>262</v>
      </c>
    </row>
    <row r="263" ht="15.75" customHeight="1">
      <c r="A263" s="14">
        <v>49.0</v>
      </c>
      <c r="B263" s="13" t="s">
        <v>379</v>
      </c>
      <c r="C263" s="13" t="s">
        <v>252</v>
      </c>
      <c r="D263" s="39">
        <v>70.0</v>
      </c>
      <c r="E263" s="14" t="s">
        <v>91</v>
      </c>
      <c r="F263" s="40">
        <f t="array" ref="F263">IFERROR(INDEX('1. Insumos'!$F$5:$F$110,MATCH($C263,'1. Insumos'!$B$5:$B$110,0)),0)</f>
        <v>0.185</v>
      </c>
      <c r="G263" s="41">
        <f t="shared" si="1"/>
        <v>12.95</v>
      </c>
      <c r="H263" s="42" t="s">
        <v>252</v>
      </c>
    </row>
    <row r="264" ht="15.75" customHeight="1">
      <c r="A264" s="14">
        <v>49.0</v>
      </c>
      <c r="B264" s="13" t="s">
        <v>379</v>
      </c>
      <c r="C264" s="13" t="s">
        <v>246</v>
      </c>
      <c r="D264" s="39">
        <v>30.0</v>
      </c>
      <c r="E264" s="14" t="s">
        <v>91</v>
      </c>
      <c r="F264" s="40">
        <f t="array" ref="F264">IFERROR(INDEX('1. Insumos'!$F$5:$F$110,MATCH($C264,'1. Insumos'!$B$5:$B$110,0)),0)</f>
        <v>0.34</v>
      </c>
      <c r="G264" s="41">
        <f t="shared" si="1"/>
        <v>10.2</v>
      </c>
      <c r="H264" s="42" t="s">
        <v>496</v>
      </c>
    </row>
    <row r="265" ht="15.75" customHeight="1">
      <c r="A265" s="14">
        <v>49.0</v>
      </c>
      <c r="B265" s="13" t="s">
        <v>379</v>
      </c>
      <c r="C265" s="13" t="s">
        <v>190</v>
      </c>
      <c r="D265" s="39">
        <v>1.0</v>
      </c>
      <c r="E265" s="14" t="s">
        <v>91</v>
      </c>
      <c r="F265" s="40">
        <f t="array" ref="F265">IFERROR(INDEX('1. Insumos'!$F$5:$F$110,MATCH($C265,'1. Insumos'!$B$5:$B$110,0)),0)</f>
        <v>0.4</v>
      </c>
      <c r="G265" s="41">
        <f t="shared" si="1"/>
        <v>0.4</v>
      </c>
      <c r="H265" s="42" t="s">
        <v>190</v>
      </c>
    </row>
    <row r="266" ht="15.75" customHeight="1">
      <c r="A266" s="14">
        <v>49.0</v>
      </c>
      <c r="B266" s="13" t="s">
        <v>379</v>
      </c>
      <c r="C266" s="13" t="s">
        <v>181</v>
      </c>
      <c r="D266" s="39">
        <v>3.0</v>
      </c>
      <c r="E266" s="14" t="s">
        <v>91</v>
      </c>
      <c r="F266" s="40">
        <f t="array" ref="F266">IFERROR(INDEX('1. Insumos'!$F$5:$F$110,MATCH($C266,'1. Insumos'!$B$5:$B$110,0)),0)</f>
        <v>0.025</v>
      </c>
      <c r="G266" s="41">
        <f t="shared" si="1"/>
        <v>0.075</v>
      </c>
      <c r="H266" s="42" t="s">
        <v>181</v>
      </c>
    </row>
    <row r="267" ht="15.75" customHeight="1">
      <c r="A267" s="14">
        <v>49.0</v>
      </c>
      <c r="B267" s="13" t="s">
        <v>379</v>
      </c>
      <c r="C267" s="13" t="s">
        <v>145</v>
      </c>
      <c r="D267" s="39">
        <v>1.0</v>
      </c>
      <c r="E267" s="14" t="s">
        <v>122</v>
      </c>
      <c r="F267" s="40">
        <f t="array" ref="F267">IFERROR(INDEX('1. Insumos'!$F$5:$F$110,MATCH($C267,'1. Insumos'!$B$5:$B$110,0)),0)</f>
        <v>3.6</v>
      </c>
      <c r="G267" s="41">
        <f t="shared" si="1"/>
        <v>3.6</v>
      </c>
      <c r="H267" s="42" t="s">
        <v>145</v>
      </c>
    </row>
    <row r="268" ht="15.75" customHeight="1">
      <c r="A268" s="14">
        <v>50.0</v>
      </c>
      <c r="B268" s="13" t="s">
        <v>381</v>
      </c>
      <c r="C268" s="13" t="s">
        <v>249</v>
      </c>
      <c r="D268" s="39">
        <v>130.0</v>
      </c>
      <c r="E268" s="14" t="s">
        <v>91</v>
      </c>
      <c r="F268" s="40">
        <f t="array" ref="F268">IFERROR(INDEX('1. Insumos'!$F$5:$F$110,MATCH($C268,'1. Insumos'!$B$5:$B$110,0)),0)</f>
        <v>0.21</v>
      </c>
      <c r="G268" s="41">
        <f t="shared" si="1"/>
        <v>27.3</v>
      </c>
      <c r="H268" s="42" t="s">
        <v>249</v>
      </c>
    </row>
    <row r="269" ht="15.75" customHeight="1">
      <c r="A269" s="14">
        <v>50.0</v>
      </c>
      <c r="B269" s="13" t="s">
        <v>381</v>
      </c>
      <c r="C269" s="13" t="s">
        <v>262</v>
      </c>
      <c r="D269" s="39">
        <v>120.0</v>
      </c>
      <c r="E269" s="14" t="s">
        <v>91</v>
      </c>
      <c r="F269" s="40">
        <f t="array" ref="F269">IFERROR(INDEX('1. Insumos'!$F$5:$F$110,MATCH($C269,'1. Insumos'!$B$5:$B$110,0)),0)</f>
        <v>0.69</v>
      </c>
      <c r="G269" s="41">
        <f t="shared" si="1"/>
        <v>82.8</v>
      </c>
      <c r="H269" s="42" t="s">
        <v>262</v>
      </c>
    </row>
    <row r="270" ht="15.75" customHeight="1">
      <c r="A270" s="14">
        <v>50.0</v>
      </c>
      <c r="B270" s="13" t="s">
        <v>381</v>
      </c>
      <c r="C270" s="13" t="s">
        <v>182</v>
      </c>
      <c r="D270" s="39">
        <v>4.0</v>
      </c>
      <c r="E270" s="14" t="s">
        <v>91</v>
      </c>
      <c r="F270" s="40">
        <f t="array" ref="F270">IFERROR(INDEX('1. Insumos'!$F$5:$F$110,MATCH($C270,'1. Insumos'!$B$5:$B$110,0)),0)</f>
        <v>0.45</v>
      </c>
      <c r="G270" s="41">
        <f t="shared" si="1"/>
        <v>1.8</v>
      </c>
      <c r="H270" s="42" t="s">
        <v>182</v>
      </c>
    </row>
    <row r="271" ht="15.75" customHeight="1">
      <c r="A271" s="14">
        <v>50.0</v>
      </c>
      <c r="B271" s="13" t="s">
        <v>381</v>
      </c>
      <c r="C271" s="13" t="s">
        <v>186</v>
      </c>
      <c r="D271" s="39">
        <v>2.0</v>
      </c>
      <c r="E271" s="14" t="s">
        <v>91</v>
      </c>
      <c r="F271" s="40">
        <f t="array" ref="F271">IFERROR(INDEX('1. Insumos'!$F$5:$F$110,MATCH($C271,'1. Insumos'!$B$5:$B$110,0)),0)</f>
        <v>2.2</v>
      </c>
      <c r="G271" s="41">
        <f t="shared" si="1"/>
        <v>4.4</v>
      </c>
      <c r="H271" s="42" t="s">
        <v>186</v>
      </c>
    </row>
    <row r="272" ht="15.75" customHeight="1">
      <c r="A272" s="14">
        <v>50.0</v>
      </c>
      <c r="B272" s="13" t="s">
        <v>381</v>
      </c>
      <c r="C272" s="13" t="s">
        <v>189</v>
      </c>
      <c r="D272" s="39">
        <v>1.0</v>
      </c>
      <c r="E272" s="14" t="s">
        <v>91</v>
      </c>
      <c r="F272" s="40">
        <f t="array" ref="F272">IFERROR(INDEX('1. Insumos'!$F$5:$F$110,MATCH($C272,'1. Insumos'!$B$5:$B$110,0)),0)</f>
        <v>1.1</v>
      </c>
      <c r="G272" s="41">
        <f t="shared" si="1"/>
        <v>1.1</v>
      </c>
      <c r="H272" s="42" t="s">
        <v>497</v>
      </c>
    </row>
    <row r="273" ht="15.75" customHeight="1">
      <c r="A273" s="14">
        <v>50.0</v>
      </c>
      <c r="B273" s="13" t="s">
        <v>381</v>
      </c>
      <c r="C273" s="13" t="s">
        <v>194</v>
      </c>
      <c r="D273" s="39">
        <v>1.0</v>
      </c>
      <c r="E273" s="14" t="s">
        <v>91</v>
      </c>
      <c r="F273" s="40">
        <f t="array" ref="F273">IFERROR(INDEX('1. Insumos'!$F$5:$F$110,MATCH($C273,'1. Insumos'!$B$5:$B$110,0)),0)</f>
        <v>0.55</v>
      </c>
      <c r="G273" s="41">
        <f t="shared" si="1"/>
        <v>0.55</v>
      </c>
      <c r="H273" s="42" t="s">
        <v>194</v>
      </c>
    </row>
    <row r="274" ht="15.75" customHeight="1">
      <c r="A274" s="14">
        <v>50.0</v>
      </c>
      <c r="B274" s="13" t="s">
        <v>381</v>
      </c>
      <c r="C274" s="13" t="s">
        <v>171</v>
      </c>
      <c r="D274" s="39">
        <v>10.0</v>
      </c>
      <c r="E274" s="14" t="s">
        <v>22</v>
      </c>
      <c r="F274" s="40">
        <f t="array" ref="F274">IFERROR(INDEX('1. Insumos'!$F$5:$F$110,MATCH($C274,'1. Insumos'!$B$5:$B$110,0)),0)</f>
        <v>0.74</v>
      </c>
      <c r="G274" s="41">
        <f t="shared" si="1"/>
        <v>7.4</v>
      </c>
      <c r="H274" s="42" t="s">
        <v>498</v>
      </c>
    </row>
    <row r="275" ht="15.75" customHeight="1">
      <c r="A275" s="14">
        <v>50.0</v>
      </c>
      <c r="B275" s="13" t="s">
        <v>381</v>
      </c>
      <c r="C275" s="13" t="s">
        <v>145</v>
      </c>
      <c r="D275" s="39">
        <v>1.0</v>
      </c>
      <c r="E275" s="14" t="s">
        <v>122</v>
      </c>
      <c r="F275" s="40">
        <f t="array" ref="F275">IFERROR(INDEX('1. Insumos'!$F$5:$F$110,MATCH($C275,'1. Insumos'!$B$5:$B$110,0)),0)</f>
        <v>3.6</v>
      </c>
      <c r="G275" s="41">
        <f t="shared" si="1"/>
        <v>3.6</v>
      </c>
      <c r="H275" s="42" t="s">
        <v>145</v>
      </c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H$275"/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3.0" topLeftCell="C14" activePane="bottomRight" state="frozen"/>
      <selection activeCell="C1" sqref="C1" pane="topRight"/>
      <selection activeCell="A14" sqref="A14" pane="bottomLeft"/>
      <selection activeCell="C14" sqref="C14" pane="bottomRight"/>
    </sheetView>
  </sheetViews>
  <sheetFormatPr customHeight="1" defaultColWidth="14.43" defaultRowHeight="15.0"/>
  <cols>
    <col customWidth="1" min="1" max="1" width="6.0"/>
    <col customWidth="1" min="2" max="2" width="46.0"/>
    <col customWidth="1" min="3" max="3" width="13.0"/>
    <col customWidth="1" min="4" max="4" width="11.0"/>
    <col customWidth="1" min="5" max="5" width="13.0"/>
    <col customWidth="1" min="6" max="6" width="11.0"/>
    <col customWidth="1" min="7" max="7" width="12.0"/>
    <col customWidth="1" min="8" max="8" width="11.0"/>
    <col customWidth="1" min="9" max="9" width="13.0"/>
    <col customWidth="1" min="10" max="10" width="9.0"/>
    <col customWidth="1" min="11" max="11" width="15.0"/>
    <col customWidth="1" min="12" max="12" width="14.0"/>
    <col customWidth="1" min="13" max="13" width="12.0"/>
    <col customWidth="1" min="14" max="15" width="13.0"/>
    <col customWidth="1" min="16" max="16" width="15.0"/>
    <col customWidth="1" min="17" max="17" width="12.0"/>
    <col customWidth="1" min="18" max="18" width="14.0"/>
    <col customWidth="1" min="19" max="19" width="13.0"/>
    <col customWidth="1" min="20" max="20" width="12.0"/>
    <col customWidth="1" min="21" max="26" width="8.71"/>
  </cols>
  <sheetData>
    <row r="1" ht="30.0" customHeight="1">
      <c r="A1" s="1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>
      <c r="A2" s="4" t="s">
        <v>49</v>
      </c>
    </row>
    <row r="4">
      <c r="A4" s="27" t="s">
        <v>52</v>
      </c>
    </row>
    <row r="5">
      <c r="A5" s="29" t="s">
        <v>56</v>
      </c>
      <c r="C5" s="31">
        <v>0.6</v>
      </c>
      <c r="D5" s="33" t="s">
        <v>63</v>
      </c>
    </row>
    <row r="6">
      <c r="A6" s="29" t="s">
        <v>67</v>
      </c>
      <c r="C6" s="31">
        <v>0.7</v>
      </c>
      <c r="D6" s="33" t="s">
        <v>69</v>
      </c>
    </row>
    <row r="7">
      <c r="A7" s="29" t="s">
        <v>72</v>
      </c>
      <c r="C7" s="31">
        <v>0.65</v>
      </c>
      <c r="D7" s="33" t="s">
        <v>75</v>
      </c>
    </row>
    <row r="8">
      <c r="A8" s="29" t="s">
        <v>78</v>
      </c>
      <c r="C8" s="31">
        <v>0.4</v>
      </c>
      <c r="D8" s="33" t="s">
        <v>80</v>
      </c>
    </row>
    <row r="9">
      <c r="A9" s="29" t="s">
        <v>82</v>
      </c>
      <c r="C9" s="38">
        <f>'6. Gastos Fijos'!$C$24</f>
        <v>75</v>
      </c>
    </row>
    <row r="10">
      <c r="A10" s="29" t="s">
        <v>92</v>
      </c>
      <c r="C10" s="38">
        <f>'6. Gastos Fijos'!$C$19</f>
        <v>35.75</v>
      </c>
    </row>
    <row r="11">
      <c r="A11" s="29" t="s">
        <v>95</v>
      </c>
      <c r="C11" s="31">
        <v>0.15</v>
      </c>
      <c r="D11" s="33" t="s">
        <v>97</v>
      </c>
    </row>
    <row r="13" ht="31.5" customHeight="1">
      <c r="A13" s="5" t="s">
        <v>71</v>
      </c>
      <c r="B13" s="5" t="s">
        <v>77</v>
      </c>
      <c r="C13" s="5" t="s">
        <v>47</v>
      </c>
      <c r="D13" s="5" t="s">
        <v>98</v>
      </c>
      <c r="E13" s="5" t="s">
        <v>99</v>
      </c>
      <c r="F13" s="5" t="s">
        <v>100</v>
      </c>
      <c r="G13" s="5" t="s">
        <v>101</v>
      </c>
      <c r="H13" s="5" t="s">
        <v>103</v>
      </c>
      <c r="I13" s="5" t="s">
        <v>104</v>
      </c>
      <c r="J13" s="5" t="s">
        <v>105</v>
      </c>
      <c r="K13" s="5" t="s">
        <v>106</v>
      </c>
      <c r="L13" s="5" t="s">
        <v>107</v>
      </c>
      <c r="M13" s="5" t="s">
        <v>108</v>
      </c>
      <c r="N13" s="5" t="s">
        <v>110</v>
      </c>
      <c r="O13" s="5" t="s">
        <v>111</v>
      </c>
      <c r="P13" s="5" t="s">
        <v>112</v>
      </c>
      <c r="Q13" s="5" t="s">
        <v>113</v>
      </c>
      <c r="R13" s="5" t="s">
        <v>114</v>
      </c>
      <c r="S13" s="5" t="s">
        <v>115</v>
      </c>
      <c r="T13" s="5" t="s">
        <v>116</v>
      </c>
    </row>
    <row r="14">
      <c r="A14" s="14">
        <v>1.0</v>
      </c>
      <c r="B14" s="13" t="s">
        <v>93</v>
      </c>
      <c r="C14" s="38">
        <f>SUMIFS('2. Recetas'!$G$5:$G$275,'2. Recetas'!$A$5:$A$275,$A14)</f>
        <v>80.35</v>
      </c>
      <c r="D14" s="16">
        <v>18.0</v>
      </c>
      <c r="E14" s="16">
        <v>4.0</v>
      </c>
      <c r="F14" s="15">
        <v>8.0</v>
      </c>
      <c r="G14" s="41">
        <f t="shared" ref="G14:G63" si="1">$C$9*F14/60</f>
        <v>10</v>
      </c>
      <c r="H14" s="41">
        <f t="shared" ref="H14:H63" si="2">$C$10</f>
        <v>35.75</v>
      </c>
      <c r="I14" s="43">
        <f t="shared" ref="I14:I63" si="3">C14+D14+E14+G14+H14</f>
        <v>148.1</v>
      </c>
      <c r="J14" s="44">
        <f t="shared" ref="J14:J63" si="4">$C$11</f>
        <v>0.15</v>
      </c>
      <c r="K14" s="45">
        <f t="shared" ref="K14:K63" si="5">IFERROR(I14/(1-J14),0)</f>
        <v>174.2352941</v>
      </c>
      <c r="L14" s="46">
        <f t="shared" ref="L14:L63" si="6">IFERROR(CEILING(K14/(1-$C$5),10),0)</f>
        <v>440</v>
      </c>
      <c r="M14" s="41">
        <f t="shared" ref="M14:M63" si="7">L14-K14</f>
        <v>265.7647059</v>
      </c>
      <c r="N14" s="47">
        <f t="shared" ref="N14:N63" si="8">IFERROR(CEILING(K14/(1-$C$6),10),0)</f>
        <v>590</v>
      </c>
      <c r="O14" s="41">
        <f t="shared" ref="O14:O63" si="9">N14-K14</f>
        <v>415.7647059</v>
      </c>
      <c r="P14" s="47">
        <f t="shared" ref="P14:P63" si="10">IFERROR(CEILING(K14/(1-$C$7),10),0)</f>
        <v>500</v>
      </c>
      <c r="Q14" s="41">
        <f t="shared" ref="Q14:Q63" si="11">P14-K14</f>
        <v>325.7647059</v>
      </c>
      <c r="R14" s="47">
        <f t="shared" ref="R14:R63" si="12">IFERROR(CEILING(K14/(1-$C$8),10),0)</f>
        <v>300</v>
      </c>
      <c r="S14" s="41">
        <f t="shared" ref="S14:S63" si="13">R14-K14</f>
        <v>125.7647059</v>
      </c>
      <c r="T14" s="48">
        <f t="shared" ref="T14:T63" si="14">IFERROR(M14/L14,0)</f>
        <v>0.6040106952</v>
      </c>
    </row>
    <row r="15">
      <c r="A15" s="14">
        <v>2.0</v>
      </c>
      <c r="B15" s="13" t="s">
        <v>139</v>
      </c>
      <c r="C15" s="38">
        <f>SUMIFS('2. Recetas'!$G$5:$G$275,'2. Recetas'!$A$5:$A$275,$A15)</f>
        <v>64.62</v>
      </c>
      <c r="D15" s="16">
        <v>18.0</v>
      </c>
      <c r="E15" s="16">
        <v>4.0</v>
      </c>
      <c r="F15" s="15">
        <v>8.0</v>
      </c>
      <c r="G15" s="41">
        <f t="shared" si="1"/>
        <v>10</v>
      </c>
      <c r="H15" s="41">
        <f t="shared" si="2"/>
        <v>35.75</v>
      </c>
      <c r="I15" s="43">
        <f t="shared" si="3"/>
        <v>132.37</v>
      </c>
      <c r="J15" s="44">
        <f t="shared" si="4"/>
        <v>0.15</v>
      </c>
      <c r="K15" s="45">
        <f t="shared" si="5"/>
        <v>155.7294118</v>
      </c>
      <c r="L15" s="46">
        <f t="shared" si="6"/>
        <v>390</v>
      </c>
      <c r="M15" s="41">
        <f t="shared" si="7"/>
        <v>234.2705882</v>
      </c>
      <c r="N15" s="47">
        <f t="shared" si="8"/>
        <v>520</v>
      </c>
      <c r="O15" s="41">
        <f t="shared" si="9"/>
        <v>364.2705882</v>
      </c>
      <c r="P15" s="47">
        <f t="shared" si="10"/>
        <v>450</v>
      </c>
      <c r="Q15" s="41">
        <f t="shared" si="11"/>
        <v>294.2705882</v>
      </c>
      <c r="R15" s="47">
        <f t="shared" si="12"/>
        <v>260</v>
      </c>
      <c r="S15" s="41">
        <f t="shared" si="13"/>
        <v>104.2705882</v>
      </c>
      <c r="T15" s="48">
        <f t="shared" si="14"/>
        <v>0.600693816</v>
      </c>
    </row>
    <row r="16">
      <c r="A16" s="14">
        <v>3.0</v>
      </c>
      <c r="B16" s="13" t="s">
        <v>154</v>
      </c>
      <c r="C16" s="38">
        <f>SUMIFS('2. Recetas'!$G$5:$G$275,'2. Recetas'!$A$5:$A$275,$A16)</f>
        <v>214.14</v>
      </c>
      <c r="D16" s="16">
        <v>18.0</v>
      </c>
      <c r="E16" s="16">
        <v>4.0</v>
      </c>
      <c r="F16" s="15">
        <v>8.0</v>
      </c>
      <c r="G16" s="41">
        <f t="shared" si="1"/>
        <v>10</v>
      </c>
      <c r="H16" s="41">
        <f t="shared" si="2"/>
        <v>35.75</v>
      </c>
      <c r="I16" s="43">
        <f t="shared" si="3"/>
        <v>281.89</v>
      </c>
      <c r="J16" s="44">
        <f t="shared" si="4"/>
        <v>0.15</v>
      </c>
      <c r="K16" s="45">
        <f t="shared" si="5"/>
        <v>331.6352941</v>
      </c>
      <c r="L16" s="46">
        <f t="shared" si="6"/>
        <v>830</v>
      </c>
      <c r="M16" s="41">
        <f t="shared" si="7"/>
        <v>498.3647059</v>
      </c>
      <c r="N16" s="47">
        <f t="shared" si="8"/>
        <v>1110</v>
      </c>
      <c r="O16" s="41">
        <f t="shared" si="9"/>
        <v>778.3647059</v>
      </c>
      <c r="P16" s="47">
        <f t="shared" si="10"/>
        <v>950</v>
      </c>
      <c r="Q16" s="41">
        <f t="shared" si="11"/>
        <v>618.3647059</v>
      </c>
      <c r="R16" s="47">
        <f t="shared" si="12"/>
        <v>560</v>
      </c>
      <c r="S16" s="41">
        <f t="shared" si="13"/>
        <v>228.3647059</v>
      </c>
      <c r="T16" s="48">
        <f t="shared" si="14"/>
        <v>0.6004394047</v>
      </c>
    </row>
    <row r="17">
      <c r="A17" s="14">
        <v>4.0</v>
      </c>
      <c r="B17" s="13" t="s">
        <v>174</v>
      </c>
      <c r="C17" s="38">
        <f>SUMIFS('2. Recetas'!$G$5:$G$275,'2. Recetas'!$A$5:$A$275,$A17)</f>
        <v>81.9</v>
      </c>
      <c r="D17" s="16">
        <v>18.0</v>
      </c>
      <c r="E17" s="16">
        <v>4.0</v>
      </c>
      <c r="F17" s="15">
        <v>8.0</v>
      </c>
      <c r="G17" s="41">
        <f t="shared" si="1"/>
        <v>10</v>
      </c>
      <c r="H17" s="41">
        <f t="shared" si="2"/>
        <v>35.75</v>
      </c>
      <c r="I17" s="43">
        <f t="shared" si="3"/>
        <v>149.65</v>
      </c>
      <c r="J17" s="44">
        <f t="shared" si="4"/>
        <v>0.15</v>
      </c>
      <c r="K17" s="45">
        <f t="shared" si="5"/>
        <v>176.0588235</v>
      </c>
      <c r="L17" s="46">
        <f t="shared" si="6"/>
        <v>450</v>
      </c>
      <c r="M17" s="41">
        <f t="shared" si="7"/>
        <v>273.9411765</v>
      </c>
      <c r="N17" s="47">
        <f t="shared" si="8"/>
        <v>590</v>
      </c>
      <c r="O17" s="41">
        <f t="shared" si="9"/>
        <v>413.9411765</v>
      </c>
      <c r="P17" s="47">
        <f t="shared" si="10"/>
        <v>510</v>
      </c>
      <c r="Q17" s="41">
        <f t="shared" si="11"/>
        <v>333.9411765</v>
      </c>
      <c r="R17" s="47">
        <f t="shared" si="12"/>
        <v>300</v>
      </c>
      <c r="S17" s="41">
        <f t="shared" si="13"/>
        <v>123.9411765</v>
      </c>
      <c r="T17" s="48">
        <f t="shared" si="14"/>
        <v>0.6087581699</v>
      </c>
    </row>
    <row r="18">
      <c r="A18" s="14">
        <v>5.0</v>
      </c>
      <c r="B18" s="13" t="s">
        <v>185</v>
      </c>
      <c r="C18" s="38">
        <f>SUMIFS('2. Recetas'!$G$5:$G$275,'2. Recetas'!$A$5:$A$275,$A18)</f>
        <v>61.45</v>
      </c>
      <c r="D18" s="16">
        <v>18.0</v>
      </c>
      <c r="E18" s="16">
        <v>4.0</v>
      </c>
      <c r="F18" s="15">
        <v>8.0</v>
      </c>
      <c r="G18" s="41">
        <f t="shared" si="1"/>
        <v>10</v>
      </c>
      <c r="H18" s="41">
        <f t="shared" si="2"/>
        <v>35.75</v>
      </c>
      <c r="I18" s="43">
        <f t="shared" si="3"/>
        <v>129.2</v>
      </c>
      <c r="J18" s="44">
        <f t="shared" si="4"/>
        <v>0.15</v>
      </c>
      <c r="K18" s="45">
        <f t="shared" si="5"/>
        <v>152</v>
      </c>
      <c r="L18" s="46">
        <f t="shared" si="6"/>
        <v>380</v>
      </c>
      <c r="M18" s="41">
        <f t="shared" si="7"/>
        <v>228</v>
      </c>
      <c r="N18" s="47">
        <f t="shared" si="8"/>
        <v>510</v>
      </c>
      <c r="O18" s="41">
        <f t="shared" si="9"/>
        <v>358</v>
      </c>
      <c r="P18" s="47">
        <f t="shared" si="10"/>
        <v>440</v>
      </c>
      <c r="Q18" s="41">
        <f t="shared" si="11"/>
        <v>288</v>
      </c>
      <c r="R18" s="47">
        <f t="shared" si="12"/>
        <v>260</v>
      </c>
      <c r="S18" s="41">
        <f t="shared" si="13"/>
        <v>108</v>
      </c>
      <c r="T18" s="48">
        <f t="shared" si="14"/>
        <v>0.6</v>
      </c>
    </row>
    <row r="19">
      <c r="A19" s="14">
        <v>6.0</v>
      </c>
      <c r="B19" s="13" t="s">
        <v>191</v>
      </c>
      <c r="C19" s="38">
        <f>SUMIFS('2. Recetas'!$G$5:$G$275,'2. Recetas'!$A$5:$A$275,$A19)</f>
        <v>64.475</v>
      </c>
      <c r="D19" s="16">
        <v>18.0</v>
      </c>
      <c r="E19" s="16">
        <v>4.0</v>
      </c>
      <c r="F19" s="15">
        <v>8.0</v>
      </c>
      <c r="G19" s="41">
        <f t="shared" si="1"/>
        <v>10</v>
      </c>
      <c r="H19" s="41">
        <f t="shared" si="2"/>
        <v>35.75</v>
      </c>
      <c r="I19" s="43">
        <f t="shared" si="3"/>
        <v>132.225</v>
      </c>
      <c r="J19" s="44">
        <f t="shared" si="4"/>
        <v>0.15</v>
      </c>
      <c r="K19" s="45">
        <f t="shared" si="5"/>
        <v>155.5588235</v>
      </c>
      <c r="L19" s="46">
        <f t="shared" si="6"/>
        <v>390</v>
      </c>
      <c r="M19" s="41">
        <f t="shared" si="7"/>
        <v>234.4411765</v>
      </c>
      <c r="N19" s="47">
        <f t="shared" si="8"/>
        <v>520</v>
      </c>
      <c r="O19" s="41">
        <f t="shared" si="9"/>
        <v>364.4411765</v>
      </c>
      <c r="P19" s="47">
        <f t="shared" si="10"/>
        <v>450</v>
      </c>
      <c r="Q19" s="41">
        <f t="shared" si="11"/>
        <v>294.4411765</v>
      </c>
      <c r="R19" s="47">
        <f t="shared" si="12"/>
        <v>260</v>
      </c>
      <c r="S19" s="41">
        <f t="shared" si="13"/>
        <v>104.4411765</v>
      </c>
      <c r="T19" s="48">
        <f t="shared" si="14"/>
        <v>0.6011312217</v>
      </c>
    </row>
    <row r="20">
      <c r="A20" s="14">
        <v>7.0</v>
      </c>
      <c r="B20" s="13" t="s">
        <v>197</v>
      </c>
      <c r="C20" s="38">
        <f>SUMIFS('2. Recetas'!$G$5:$G$275,'2. Recetas'!$A$5:$A$275,$A20)</f>
        <v>61.36</v>
      </c>
      <c r="D20" s="16">
        <v>18.0</v>
      </c>
      <c r="E20" s="16">
        <v>4.0</v>
      </c>
      <c r="F20" s="15">
        <v>8.0</v>
      </c>
      <c r="G20" s="41">
        <f t="shared" si="1"/>
        <v>10</v>
      </c>
      <c r="H20" s="41">
        <f t="shared" si="2"/>
        <v>35.75</v>
      </c>
      <c r="I20" s="43">
        <f t="shared" si="3"/>
        <v>129.11</v>
      </c>
      <c r="J20" s="44">
        <f t="shared" si="4"/>
        <v>0.15</v>
      </c>
      <c r="K20" s="45">
        <f t="shared" si="5"/>
        <v>151.8941176</v>
      </c>
      <c r="L20" s="46">
        <f t="shared" si="6"/>
        <v>380</v>
      </c>
      <c r="M20" s="41">
        <f t="shared" si="7"/>
        <v>228.1058824</v>
      </c>
      <c r="N20" s="47">
        <f t="shared" si="8"/>
        <v>510</v>
      </c>
      <c r="O20" s="41">
        <f t="shared" si="9"/>
        <v>358.1058824</v>
      </c>
      <c r="P20" s="47">
        <f t="shared" si="10"/>
        <v>440</v>
      </c>
      <c r="Q20" s="41">
        <f t="shared" si="11"/>
        <v>288.1058824</v>
      </c>
      <c r="R20" s="47">
        <f t="shared" si="12"/>
        <v>260</v>
      </c>
      <c r="S20" s="41">
        <f t="shared" si="13"/>
        <v>108.1058824</v>
      </c>
      <c r="T20" s="48">
        <f t="shared" si="14"/>
        <v>0.6002786378</v>
      </c>
    </row>
    <row r="21" ht="15.75" customHeight="1">
      <c r="A21" s="14">
        <v>8.0</v>
      </c>
      <c r="B21" s="13" t="s">
        <v>203</v>
      </c>
      <c r="C21" s="38">
        <f>SUMIFS('2. Recetas'!$G$5:$G$275,'2. Recetas'!$A$5:$A$275,$A21)</f>
        <v>86.65</v>
      </c>
      <c r="D21" s="16">
        <v>18.0</v>
      </c>
      <c r="E21" s="16">
        <v>4.0</v>
      </c>
      <c r="F21" s="15">
        <v>8.0</v>
      </c>
      <c r="G21" s="41">
        <f t="shared" si="1"/>
        <v>10</v>
      </c>
      <c r="H21" s="41">
        <f t="shared" si="2"/>
        <v>35.75</v>
      </c>
      <c r="I21" s="43">
        <f t="shared" si="3"/>
        <v>154.4</v>
      </c>
      <c r="J21" s="44">
        <f t="shared" si="4"/>
        <v>0.15</v>
      </c>
      <c r="K21" s="45">
        <f t="shared" si="5"/>
        <v>181.6470588</v>
      </c>
      <c r="L21" s="46">
        <f t="shared" si="6"/>
        <v>460</v>
      </c>
      <c r="M21" s="41">
        <f t="shared" si="7"/>
        <v>278.3529412</v>
      </c>
      <c r="N21" s="47">
        <f t="shared" si="8"/>
        <v>610</v>
      </c>
      <c r="O21" s="41">
        <f t="shared" si="9"/>
        <v>428.3529412</v>
      </c>
      <c r="P21" s="47">
        <f t="shared" si="10"/>
        <v>520</v>
      </c>
      <c r="Q21" s="41">
        <f t="shared" si="11"/>
        <v>338.3529412</v>
      </c>
      <c r="R21" s="47">
        <f t="shared" si="12"/>
        <v>310</v>
      </c>
      <c r="S21" s="41">
        <f t="shared" si="13"/>
        <v>128.3529412</v>
      </c>
      <c r="T21" s="48">
        <f t="shared" si="14"/>
        <v>0.6051150895</v>
      </c>
    </row>
    <row r="22" ht="15.75" customHeight="1">
      <c r="A22" s="14">
        <v>9.0</v>
      </c>
      <c r="B22" s="13" t="s">
        <v>211</v>
      </c>
      <c r="C22" s="38">
        <f>SUMIFS('2. Recetas'!$G$5:$G$275,'2. Recetas'!$A$5:$A$275,$A22)</f>
        <v>75.3</v>
      </c>
      <c r="D22" s="16">
        <v>18.0</v>
      </c>
      <c r="E22" s="16">
        <v>4.0</v>
      </c>
      <c r="F22" s="15">
        <v>8.0</v>
      </c>
      <c r="G22" s="41">
        <f t="shared" si="1"/>
        <v>10</v>
      </c>
      <c r="H22" s="41">
        <f t="shared" si="2"/>
        <v>35.75</v>
      </c>
      <c r="I22" s="43">
        <f t="shared" si="3"/>
        <v>143.05</v>
      </c>
      <c r="J22" s="44">
        <f t="shared" si="4"/>
        <v>0.15</v>
      </c>
      <c r="K22" s="45">
        <f t="shared" si="5"/>
        <v>168.2941176</v>
      </c>
      <c r="L22" s="46">
        <f t="shared" si="6"/>
        <v>430</v>
      </c>
      <c r="M22" s="41">
        <f t="shared" si="7"/>
        <v>261.7058824</v>
      </c>
      <c r="N22" s="47">
        <f t="shared" si="8"/>
        <v>570</v>
      </c>
      <c r="O22" s="41">
        <f t="shared" si="9"/>
        <v>401.7058824</v>
      </c>
      <c r="P22" s="47">
        <f t="shared" si="10"/>
        <v>490</v>
      </c>
      <c r="Q22" s="41">
        <f t="shared" si="11"/>
        <v>321.7058824</v>
      </c>
      <c r="R22" s="47">
        <f t="shared" si="12"/>
        <v>290</v>
      </c>
      <c r="S22" s="41">
        <f t="shared" si="13"/>
        <v>121.7058824</v>
      </c>
      <c r="T22" s="48">
        <f t="shared" si="14"/>
        <v>0.6086183311</v>
      </c>
    </row>
    <row r="23" ht="15.75" customHeight="1">
      <c r="A23" s="14">
        <v>10.0</v>
      </c>
      <c r="B23" s="13" t="s">
        <v>215</v>
      </c>
      <c r="C23" s="38">
        <f>SUMIFS('2. Recetas'!$G$5:$G$275,'2. Recetas'!$A$5:$A$275,$A23)</f>
        <v>85.5</v>
      </c>
      <c r="D23" s="16">
        <v>18.0</v>
      </c>
      <c r="E23" s="16">
        <v>4.0</v>
      </c>
      <c r="F23" s="15">
        <v>8.0</v>
      </c>
      <c r="G23" s="41">
        <f t="shared" si="1"/>
        <v>10</v>
      </c>
      <c r="H23" s="41">
        <f t="shared" si="2"/>
        <v>35.75</v>
      </c>
      <c r="I23" s="43">
        <f t="shared" si="3"/>
        <v>153.25</v>
      </c>
      <c r="J23" s="44">
        <f t="shared" si="4"/>
        <v>0.15</v>
      </c>
      <c r="K23" s="45">
        <f t="shared" si="5"/>
        <v>180.2941176</v>
      </c>
      <c r="L23" s="46">
        <f t="shared" si="6"/>
        <v>460</v>
      </c>
      <c r="M23" s="41">
        <f t="shared" si="7"/>
        <v>279.7058824</v>
      </c>
      <c r="N23" s="47">
        <f t="shared" si="8"/>
        <v>610</v>
      </c>
      <c r="O23" s="41">
        <f t="shared" si="9"/>
        <v>429.7058824</v>
      </c>
      <c r="P23" s="47">
        <f t="shared" si="10"/>
        <v>520</v>
      </c>
      <c r="Q23" s="41">
        <f t="shared" si="11"/>
        <v>339.7058824</v>
      </c>
      <c r="R23" s="47">
        <f t="shared" si="12"/>
        <v>310</v>
      </c>
      <c r="S23" s="41">
        <f t="shared" si="13"/>
        <v>129.7058824</v>
      </c>
      <c r="T23" s="48">
        <f t="shared" si="14"/>
        <v>0.608056266</v>
      </c>
    </row>
    <row r="24" ht="15.75" customHeight="1">
      <c r="A24" s="14">
        <v>11.0</v>
      </c>
      <c r="B24" s="13" t="s">
        <v>220</v>
      </c>
      <c r="C24" s="38">
        <f>SUMIFS('2. Recetas'!$G$5:$G$275,'2. Recetas'!$A$5:$A$275,$A24)</f>
        <v>65.26</v>
      </c>
      <c r="D24" s="16">
        <v>18.0</v>
      </c>
      <c r="E24" s="16">
        <v>4.0</v>
      </c>
      <c r="F24" s="15">
        <v>8.0</v>
      </c>
      <c r="G24" s="41">
        <f t="shared" si="1"/>
        <v>10</v>
      </c>
      <c r="H24" s="41">
        <f t="shared" si="2"/>
        <v>35.75</v>
      </c>
      <c r="I24" s="43">
        <f t="shared" si="3"/>
        <v>133.01</v>
      </c>
      <c r="J24" s="44">
        <f t="shared" si="4"/>
        <v>0.15</v>
      </c>
      <c r="K24" s="45">
        <f t="shared" si="5"/>
        <v>156.4823529</v>
      </c>
      <c r="L24" s="46">
        <f t="shared" si="6"/>
        <v>400</v>
      </c>
      <c r="M24" s="41">
        <f t="shared" si="7"/>
        <v>243.5176471</v>
      </c>
      <c r="N24" s="47">
        <f t="shared" si="8"/>
        <v>530</v>
      </c>
      <c r="O24" s="41">
        <f t="shared" si="9"/>
        <v>373.5176471</v>
      </c>
      <c r="P24" s="47">
        <f t="shared" si="10"/>
        <v>450</v>
      </c>
      <c r="Q24" s="41">
        <f t="shared" si="11"/>
        <v>293.5176471</v>
      </c>
      <c r="R24" s="47">
        <f t="shared" si="12"/>
        <v>270</v>
      </c>
      <c r="S24" s="41">
        <f t="shared" si="13"/>
        <v>113.5176471</v>
      </c>
      <c r="T24" s="48">
        <f t="shared" si="14"/>
        <v>0.6087941176</v>
      </c>
    </row>
    <row r="25" ht="15.75" customHeight="1">
      <c r="A25" s="14">
        <v>12.0</v>
      </c>
      <c r="B25" s="13" t="s">
        <v>229</v>
      </c>
      <c r="C25" s="38">
        <f>SUMIFS('2. Recetas'!$G$5:$G$275,'2. Recetas'!$A$5:$A$275,$A25)</f>
        <v>65.98</v>
      </c>
      <c r="D25" s="16">
        <v>18.0</v>
      </c>
      <c r="E25" s="16">
        <v>4.0</v>
      </c>
      <c r="F25" s="15">
        <v>8.0</v>
      </c>
      <c r="G25" s="41">
        <f t="shared" si="1"/>
        <v>10</v>
      </c>
      <c r="H25" s="41">
        <f t="shared" si="2"/>
        <v>35.75</v>
      </c>
      <c r="I25" s="43">
        <f t="shared" si="3"/>
        <v>133.73</v>
      </c>
      <c r="J25" s="44">
        <f t="shared" si="4"/>
        <v>0.15</v>
      </c>
      <c r="K25" s="45">
        <f t="shared" si="5"/>
        <v>157.3294118</v>
      </c>
      <c r="L25" s="46">
        <f t="shared" si="6"/>
        <v>400</v>
      </c>
      <c r="M25" s="41">
        <f t="shared" si="7"/>
        <v>242.6705882</v>
      </c>
      <c r="N25" s="47">
        <f t="shared" si="8"/>
        <v>530</v>
      </c>
      <c r="O25" s="41">
        <f t="shared" si="9"/>
        <v>372.6705882</v>
      </c>
      <c r="P25" s="47">
        <f t="shared" si="10"/>
        <v>450</v>
      </c>
      <c r="Q25" s="41">
        <f t="shared" si="11"/>
        <v>292.6705882</v>
      </c>
      <c r="R25" s="47">
        <f t="shared" si="12"/>
        <v>270</v>
      </c>
      <c r="S25" s="41">
        <f t="shared" si="13"/>
        <v>112.6705882</v>
      </c>
      <c r="T25" s="48">
        <f t="shared" si="14"/>
        <v>0.6066764706</v>
      </c>
    </row>
    <row r="26" ht="15.75" customHeight="1">
      <c r="A26" s="14">
        <v>13.0</v>
      </c>
      <c r="B26" s="13" t="s">
        <v>234</v>
      </c>
      <c r="C26" s="38">
        <f>SUMIFS('2. Recetas'!$G$5:$G$275,'2. Recetas'!$A$5:$A$275,$A26)</f>
        <v>64.395</v>
      </c>
      <c r="D26" s="16">
        <v>18.0</v>
      </c>
      <c r="E26" s="16">
        <v>4.0</v>
      </c>
      <c r="F26" s="15">
        <v>8.0</v>
      </c>
      <c r="G26" s="41">
        <f t="shared" si="1"/>
        <v>10</v>
      </c>
      <c r="H26" s="41">
        <f t="shared" si="2"/>
        <v>35.75</v>
      </c>
      <c r="I26" s="43">
        <f t="shared" si="3"/>
        <v>132.145</v>
      </c>
      <c r="J26" s="44">
        <f t="shared" si="4"/>
        <v>0.15</v>
      </c>
      <c r="K26" s="45">
        <f t="shared" si="5"/>
        <v>155.4647059</v>
      </c>
      <c r="L26" s="46">
        <f t="shared" si="6"/>
        <v>390</v>
      </c>
      <c r="M26" s="41">
        <f t="shared" si="7"/>
        <v>234.5352941</v>
      </c>
      <c r="N26" s="47">
        <f t="shared" si="8"/>
        <v>520</v>
      </c>
      <c r="O26" s="41">
        <f t="shared" si="9"/>
        <v>364.5352941</v>
      </c>
      <c r="P26" s="47">
        <f t="shared" si="10"/>
        <v>450</v>
      </c>
      <c r="Q26" s="41">
        <f t="shared" si="11"/>
        <v>294.5352941</v>
      </c>
      <c r="R26" s="47">
        <f t="shared" si="12"/>
        <v>260</v>
      </c>
      <c r="S26" s="41">
        <f t="shared" si="13"/>
        <v>104.5352941</v>
      </c>
      <c r="T26" s="48">
        <f t="shared" si="14"/>
        <v>0.601372549</v>
      </c>
    </row>
    <row r="27" ht="15.75" customHeight="1">
      <c r="A27" s="14">
        <v>14.0</v>
      </c>
      <c r="B27" s="13" t="s">
        <v>242</v>
      </c>
      <c r="C27" s="38">
        <f>SUMIFS('2. Recetas'!$G$5:$G$275,'2. Recetas'!$A$5:$A$275,$A27)</f>
        <v>58.9</v>
      </c>
      <c r="D27" s="16">
        <v>18.0</v>
      </c>
      <c r="E27" s="16">
        <v>4.0</v>
      </c>
      <c r="F27" s="15">
        <v>8.0</v>
      </c>
      <c r="G27" s="41">
        <f t="shared" si="1"/>
        <v>10</v>
      </c>
      <c r="H27" s="41">
        <f t="shared" si="2"/>
        <v>35.75</v>
      </c>
      <c r="I27" s="43">
        <f t="shared" si="3"/>
        <v>126.65</v>
      </c>
      <c r="J27" s="44">
        <f t="shared" si="4"/>
        <v>0.15</v>
      </c>
      <c r="K27" s="45">
        <f t="shared" si="5"/>
        <v>149</v>
      </c>
      <c r="L27" s="46">
        <f t="shared" si="6"/>
        <v>380</v>
      </c>
      <c r="M27" s="41">
        <f t="shared" si="7"/>
        <v>231</v>
      </c>
      <c r="N27" s="47">
        <f t="shared" si="8"/>
        <v>500</v>
      </c>
      <c r="O27" s="41">
        <f t="shared" si="9"/>
        <v>351</v>
      </c>
      <c r="P27" s="47">
        <f t="shared" si="10"/>
        <v>430</v>
      </c>
      <c r="Q27" s="41">
        <f t="shared" si="11"/>
        <v>281</v>
      </c>
      <c r="R27" s="47">
        <f t="shared" si="12"/>
        <v>250</v>
      </c>
      <c r="S27" s="41">
        <f t="shared" si="13"/>
        <v>101</v>
      </c>
      <c r="T27" s="48">
        <f t="shared" si="14"/>
        <v>0.6078947368</v>
      </c>
    </row>
    <row r="28" ht="15.75" customHeight="1">
      <c r="A28" s="14">
        <v>15.0</v>
      </c>
      <c r="B28" s="13" t="s">
        <v>247</v>
      </c>
      <c r="C28" s="38">
        <f>SUMIFS('2. Recetas'!$G$5:$G$275,'2. Recetas'!$A$5:$A$275,$A28)</f>
        <v>69.66</v>
      </c>
      <c r="D28" s="16">
        <v>18.0</v>
      </c>
      <c r="E28" s="16">
        <v>4.0</v>
      </c>
      <c r="F28" s="15">
        <v>8.0</v>
      </c>
      <c r="G28" s="41">
        <f t="shared" si="1"/>
        <v>10</v>
      </c>
      <c r="H28" s="41">
        <f t="shared" si="2"/>
        <v>35.75</v>
      </c>
      <c r="I28" s="43">
        <f t="shared" si="3"/>
        <v>137.41</v>
      </c>
      <c r="J28" s="44">
        <f t="shared" si="4"/>
        <v>0.15</v>
      </c>
      <c r="K28" s="45">
        <f t="shared" si="5"/>
        <v>161.6588235</v>
      </c>
      <c r="L28" s="46">
        <f t="shared" si="6"/>
        <v>410</v>
      </c>
      <c r="M28" s="41">
        <f t="shared" si="7"/>
        <v>248.3411765</v>
      </c>
      <c r="N28" s="47">
        <f t="shared" si="8"/>
        <v>540</v>
      </c>
      <c r="O28" s="41">
        <f t="shared" si="9"/>
        <v>378.3411765</v>
      </c>
      <c r="P28" s="47">
        <f t="shared" si="10"/>
        <v>470</v>
      </c>
      <c r="Q28" s="41">
        <f t="shared" si="11"/>
        <v>308.3411765</v>
      </c>
      <c r="R28" s="47">
        <f t="shared" si="12"/>
        <v>270</v>
      </c>
      <c r="S28" s="41">
        <f t="shared" si="13"/>
        <v>108.3411765</v>
      </c>
      <c r="T28" s="48">
        <f t="shared" si="14"/>
        <v>0.6057101865</v>
      </c>
    </row>
    <row r="29" ht="15.75" customHeight="1">
      <c r="A29" s="14">
        <v>16.0</v>
      </c>
      <c r="B29" s="13" t="s">
        <v>255</v>
      </c>
      <c r="C29" s="38">
        <f>SUMIFS('2. Recetas'!$G$5:$G$275,'2. Recetas'!$A$5:$A$275,$A29)</f>
        <v>50.49</v>
      </c>
      <c r="D29" s="16">
        <v>18.0</v>
      </c>
      <c r="E29" s="16">
        <v>4.0</v>
      </c>
      <c r="F29" s="15">
        <v>8.0</v>
      </c>
      <c r="G29" s="41">
        <f t="shared" si="1"/>
        <v>10</v>
      </c>
      <c r="H29" s="41">
        <f t="shared" si="2"/>
        <v>35.75</v>
      </c>
      <c r="I29" s="43">
        <f t="shared" si="3"/>
        <v>118.24</v>
      </c>
      <c r="J29" s="44">
        <f t="shared" si="4"/>
        <v>0.15</v>
      </c>
      <c r="K29" s="45">
        <f t="shared" si="5"/>
        <v>139.1058824</v>
      </c>
      <c r="L29" s="46">
        <f t="shared" si="6"/>
        <v>350</v>
      </c>
      <c r="M29" s="41">
        <f t="shared" si="7"/>
        <v>210.8941176</v>
      </c>
      <c r="N29" s="47">
        <f t="shared" si="8"/>
        <v>470</v>
      </c>
      <c r="O29" s="41">
        <f t="shared" si="9"/>
        <v>330.8941176</v>
      </c>
      <c r="P29" s="47">
        <f t="shared" si="10"/>
        <v>400</v>
      </c>
      <c r="Q29" s="41">
        <f t="shared" si="11"/>
        <v>260.8941176</v>
      </c>
      <c r="R29" s="47">
        <f t="shared" si="12"/>
        <v>240</v>
      </c>
      <c r="S29" s="41">
        <f t="shared" si="13"/>
        <v>100.8941176</v>
      </c>
      <c r="T29" s="48">
        <f t="shared" si="14"/>
        <v>0.6025546218</v>
      </c>
    </row>
    <row r="30" ht="15.75" customHeight="1">
      <c r="A30" s="14">
        <v>17.0</v>
      </c>
      <c r="B30" s="13" t="s">
        <v>260</v>
      </c>
      <c r="C30" s="38">
        <f>SUMIFS('2. Recetas'!$G$5:$G$275,'2. Recetas'!$A$5:$A$275,$A30)</f>
        <v>47.2</v>
      </c>
      <c r="D30" s="16">
        <v>18.0</v>
      </c>
      <c r="E30" s="16">
        <v>4.0</v>
      </c>
      <c r="F30" s="15">
        <v>8.0</v>
      </c>
      <c r="G30" s="41">
        <f t="shared" si="1"/>
        <v>10</v>
      </c>
      <c r="H30" s="41">
        <f t="shared" si="2"/>
        <v>35.75</v>
      </c>
      <c r="I30" s="43">
        <f t="shared" si="3"/>
        <v>114.95</v>
      </c>
      <c r="J30" s="44">
        <f t="shared" si="4"/>
        <v>0.15</v>
      </c>
      <c r="K30" s="45">
        <f t="shared" si="5"/>
        <v>135.2352941</v>
      </c>
      <c r="L30" s="46">
        <f t="shared" si="6"/>
        <v>340</v>
      </c>
      <c r="M30" s="41">
        <f t="shared" si="7"/>
        <v>204.7647059</v>
      </c>
      <c r="N30" s="47">
        <f t="shared" si="8"/>
        <v>460</v>
      </c>
      <c r="O30" s="41">
        <f t="shared" si="9"/>
        <v>324.7647059</v>
      </c>
      <c r="P30" s="47">
        <f t="shared" si="10"/>
        <v>390</v>
      </c>
      <c r="Q30" s="41">
        <f t="shared" si="11"/>
        <v>254.7647059</v>
      </c>
      <c r="R30" s="47">
        <f t="shared" si="12"/>
        <v>230</v>
      </c>
      <c r="S30" s="41">
        <f t="shared" si="13"/>
        <v>94.76470588</v>
      </c>
      <c r="T30" s="48">
        <f t="shared" si="14"/>
        <v>0.6022491349</v>
      </c>
    </row>
    <row r="31" ht="15.75" customHeight="1">
      <c r="A31" s="14">
        <v>18.0</v>
      </c>
      <c r="B31" s="13" t="s">
        <v>266</v>
      </c>
      <c r="C31" s="38">
        <f>SUMIFS('2. Recetas'!$G$5:$G$275,'2. Recetas'!$A$5:$A$275,$A31)</f>
        <v>231.02</v>
      </c>
      <c r="D31" s="16">
        <v>18.0</v>
      </c>
      <c r="E31" s="16">
        <v>4.0</v>
      </c>
      <c r="F31" s="15">
        <v>8.0</v>
      </c>
      <c r="G31" s="41">
        <f t="shared" si="1"/>
        <v>10</v>
      </c>
      <c r="H31" s="41">
        <f t="shared" si="2"/>
        <v>35.75</v>
      </c>
      <c r="I31" s="43">
        <f t="shared" si="3"/>
        <v>298.77</v>
      </c>
      <c r="J31" s="44">
        <f t="shared" si="4"/>
        <v>0.15</v>
      </c>
      <c r="K31" s="45">
        <f t="shared" si="5"/>
        <v>351.4941176</v>
      </c>
      <c r="L31" s="46">
        <f t="shared" si="6"/>
        <v>880</v>
      </c>
      <c r="M31" s="41">
        <f t="shared" si="7"/>
        <v>528.5058824</v>
      </c>
      <c r="N31" s="47">
        <f t="shared" si="8"/>
        <v>1180</v>
      </c>
      <c r="O31" s="41">
        <f t="shared" si="9"/>
        <v>828.5058824</v>
      </c>
      <c r="P31" s="47">
        <f t="shared" si="10"/>
        <v>1010</v>
      </c>
      <c r="Q31" s="41">
        <f t="shared" si="11"/>
        <v>658.5058824</v>
      </c>
      <c r="R31" s="47">
        <f t="shared" si="12"/>
        <v>590</v>
      </c>
      <c r="S31" s="41">
        <f t="shared" si="13"/>
        <v>238.5058824</v>
      </c>
      <c r="T31" s="48">
        <f t="shared" si="14"/>
        <v>0.6005748663</v>
      </c>
    </row>
    <row r="32" ht="15.75" customHeight="1">
      <c r="A32" s="14">
        <v>19.0</v>
      </c>
      <c r="B32" s="13" t="s">
        <v>271</v>
      </c>
      <c r="C32" s="38">
        <f>SUMIFS('2. Recetas'!$G$5:$G$275,'2. Recetas'!$A$5:$A$275,$A32)</f>
        <v>232.2916667</v>
      </c>
      <c r="D32" s="16">
        <v>18.0</v>
      </c>
      <c r="E32" s="16">
        <v>4.0</v>
      </c>
      <c r="F32" s="15">
        <v>8.0</v>
      </c>
      <c r="G32" s="41">
        <f t="shared" si="1"/>
        <v>10</v>
      </c>
      <c r="H32" s="41">
        <f t="shared" si="2"/>
        <v>35.75</v>
      </c>
      <c r="I32" s="43">
        <f t="shared" si="3"/>
        <v>300.0416667</v>
      </c>
      <c r="J32" s="44">
        <f t="shared" si="4"/>
        <v>0.15</v>
      </c>
      <c r="K32" s="45">
        <f t="shared" si="5"/>
        <v>352.9901961</v>
      </c>
      <c r="L32" s="46">
        <f t="shared" si="6"/>
        <v>890</v>
      </c>
      <c r="M32" s="41">
        <f t="shared" si="7"/>
        <v>537.0098039</v>
      </c>
      <c r="N32" s="47">
        <f t="shared" si="8"/>
        <v>1180</v>
      </c>
      <c r="O32" s="41">
        <f t="shared" si="9"/>
        <v>827.0098039</v>
      </c>
      <c r="P32" s="47">
        <f t="shared" si="10"/>
        <v>1010</v>
      </c>
      <c r="Q32" s="41">
        <f t="shared" si="11"/>
        <v>657.0098039</v>
      </c>
      <c r="R32" s="47">
        <f t="shared" si="12"/>
        <v>590</v>
      </c>
      <c r="S32" s="41">
        <f t="shared" si="13"/>
        <v>237.0098039</v>
      </c>
      <c r="T32" s="48">
        <f t="shared" si="14"/>
        <v>0.6033818022</v>
      </c>
    </row>
    <row r="33" ht="15.75" customHeight="1">
      <c r="A33" s="14">
        <v>20.0</v>
      </c>
      <c r="B33" s="13" t="s">
        <v>276</v>
      </c>
      <c r="C33" s="38">
        <f>SUMIFS('2. Recetas'!$G$5:$G$275,'2. Recetas'!$A$5:$A$275,$A33)</f>
        <v>40.05</v>
      </c>
      <c r="D33" s="16">
        <v>18.0</v>
      </c>
      <c r="E33" s="16">
        <v>4.0</v>
      </c>
      <c r="F33" s="15">
        <v>8.0</v>
      </c>
      <c r="G33" s="41">
        <f t="shared" si="1"/>
        <v>10</v>
      </c>
      <c r="H33" s="41">
        <f t="shared" si="2"/>
        <v>35.75</v>
      </c>
      <c r="I33" s="43">
        <f t="shared" si="3"/>
        <v>107.8</v>
      </c>
      <c r="J33" s="44">
        <f t="shared" si="4"/>
        <v>0.15</v>
      </c>
      <c r="K33" s="45">
        <f t="shared" si="5"/>
        <v>126.8235294</v>
      </c>
      <c r="L33" s="46">
        <f t="shared" si="6"/>
        <v>320</v>
      </c>
      <c r="M33" s="41">
        <f t="shared" si="7"/>
        <v>193.1764706</v>
      </c>
      <c r="N33" s="47">
        <f t="shared" si="8"/>
        <v>430</v>
      </c>
      <c r="O33" s="41">
        <f t="shared" si="9"/>
        <v>303.1764706</v>
      </c>
      <c r="P33" s="47">
        <f t="shared" si="10"/>
        <v>370</v>
      </c>
      <c r="Q33" s="41">
        <f t="shared" si="11"/>
        <v>243.1764706</v>
      </c>
      <c r="R33" s="47">
        <f t="shared" si="12"/>
        <v>220</v>
      </c>
      <c r="S33" s="41">
        <f t="shared" si="13"/>
        <v>93.17647059</v>
      </c>
      <c r="T33" s="48">
        <f t="shared" si="14"/>
        <v>0.6036764706</v>
      </c>
    </row>
    <row r="34" ht="15.75" customHeight="1">
      <c r="A34" s="14">
        <v>21.0</v>
      </c>
      <c r="B34" s="13" t="s">
        <v>279</v>
      </c>
      <c r="C34" s="38">
        <f>SUMIFS('2. Recetas'!$G$5:$G$275,'2. Recetas'!$A$5:$A$275,$A34)</f>
        <v>32.55</v>
      </c>
      <c r="D34" s="16">
        <v>18.0</v>
      </c>
      <c r="E34" s="16">
        <v>4.0</v>
      </c>
      <c r="F34" s="15">
        <v>8.0</v>
      </c>
      <c r="G34" s="41">
        <f t="shared" si="1"/>
        <v>10</v>
      </c>
      <c r="H34" s="41">
        <f t="shared" si="2"/>
        <v>35.75</v>
      </c>
      <c r="I34" s="43">
        <f t="shared" si="3"/>
        <v>100.3</v>
      </c>
      <c r="J34" s="44">
        <f t="shared" si="4"/>
        <v>0.15</v>
      </c>
      <c r="K34" s="45">
        <f t="shared" si="5"/>
        <v>118</v>
      </c>
      <c r="L34" s="46">
        <f t="shared" si="6"/>
        <v>300</v>
      </c>
      <c r="M34" s="41">
        <f t="shared" si="7"/>
        <v>182</v>
      </c>
      <c r="N34" s="47">
        <f t="shared" si="8"/>
        <v>400</v>
      </c>
      <c r="O34" s="41">
        <f t="shared" si="9"/>
        <v>282</v>
      </c>
      <c r="P34" s="47">
        <f t="shared" si="10"/>
        <v>340</v>
      </c>
      <c r="Q34" s="41">
        <f t="shared" si="11"/>
        <v>222</v>
      </c>
      <c r="R34" s="47">
        <f t="shared" si="12"/>
        <v>200</v>
      </c>
      <c r="S34" s="41">
        <f t="shared" si="13"/>
        <v>82</v>
      </c>
      <c r="T34" s="48">
        <f t="shared" si="14"/>
        <v>0.6066666667</v>
      </c>
    </row>
    <row r="35" ht="15.75" customHeight="1">
      <c r="A35" s="14">
        <v>22.0</v>
      </c>
      <c r="B35" s="13" t="s">
        <v>285</v>
      </c>
      <c r="C35" s="38">
        <f>SUMIFS('2. Recetas'!$G$5:$G$275,'2. Recetas'!$A$5:$A$275,$A35)</f>
        <v>41.38</v>
      </c>
      <c r="D35" s="16">
        <v>18.0</v>
      </c>
      <c r="E35" s="16">
        <v>4.0</v>
      </c>
      <c r="F35" s="15">
        <v>8.0</v>
      </c>
      <c r="G35" s="41">
        <f t="shared" si="1"/>
        <v>10</v>
      </c>
      <c r="H35" s="41">
        <f t="shared" si="2"/>
        <v>35.75</v>
      </c>
      <c r="I35" s="43">
        <f t="shared" si="3"/>
        <v>109.13</v>
      </c>
      <c r="J35" s="44">
        <f t="shared" si="4"/>
        <v>0.15</v>
      </c>
      <c r="K35" s="45">
        <f t="shared" si="5"/>
        <v>128.3882353</v>
      </c>
      <c r="L35" s="46">
        <f t="shared" si="6"/>
        <v>330</v>
      </c>
      <c r="M35" s="41">
        <f t="shared" si="7"/>
        <v>201.6117647</v>
      </c>
      <c r="N35" s="47">
        <f t="shared" si="8"/>
        <v>430</v>
      </c>
      <c r="O35" s="41">
        <f t="shared" si="9"/>
        <v>301.6117647</v>
      </c>
      <c r="P35" s="47">
        <f t="shared" si="10"/>
        <v>370</v>
      </c>
      <c r="Q35" s="41">
        <f t="shared" si="11"/>
        <v>241.6117647</v>
      </c>
      <c r="R35" s="47">
        <f t="shared" si="12"/>
        <v>220</v>
      </c>
      <c r="S35" s="41">
        <f t="shared" si="13"/>
        <v>91.61176471</v>
      </c>
      <c r="T35" s="48">
        <f t="shared" si="14"/>
        <v>0.6109447415</v>
      </c>
    </row>
    <row r="36" ht="15.75" customHeight="1">
      <c r="A36" s="14">
        <v>23.0</v>
      </c>
      <c r="B36" s="13" t="s">
        <v>290</v>
      </c>
      <c r="C36" s="38">
        <f>SUMIFS('2. Recetas'!$G$5:$G$275,'2. Recetas'!$A$5:$A$275,$A36)</f>
        <v>38.25</v>
      </c>
      <c r="D36" s="16">
        <v>18.0</v>
      </c>
      <c r="E36" s="16">
        <v>4.0</v>
      </c>
      <c r="F36" s="15">
        <v>8.0</v>
      </c>
      <c r="G36" s="41">
        <f t="shared" si="1"/>
        <v>10</v>
      </c>
      <c r="H36" s="41">
        <f t="shared" si="2"/>
        <v>35.75</v>
      </c>
      <c r="I36" s="43">
        <f t="shared" si="3"/>
        <v>106</v>
      </c>
      <c r="J36" s="44">
        <f t="shared" si="4"/>
        <v>0.15</v>
      </c>
      <c r="K36" s="45">
        <f t="shared" si="5"/>
        <v>124.7058824</v>
      </c>
      <c r="L36" s="46">
        <f t="shared" si="6"/>
        <v>320</v>
      </c>
      <c r="M36" s="41">
        <f t="shared" si="7"/>
        <v>195.2941176</v>
      </c>
      <c r="N36" s="47">
        <f t="shared" si="8"/>
        <v>420</v>
      </c>
      <c r="O36" s="41">
        <f t="shared" si="9"/>
        <v>295.2941176</v>
      </c>
      <c r="P36" s="47">
        <f t="shared" si="10"/>
        <v>360</v>
      </c>
      <c r="Q36" s="41">
        <f t="shared" si="11"/>
        <v>235.2941176</v>
      </c>
      <c r="R36" s="47">
        <f t="shared" si="12"/>
        <v>210</v>
      </c>
      <c r="S36" s="41">
        <f t="shared" si="13"/>
        <v>85.29411765</v>
      </c>
      <c r="T36" s="48">
        <f t="shared" si="14"/>
        <v>0.6102941176</v>
      </c>
    </row>
    <row r="37" ht="15.75" customHeight="1">
      <c r="A37" s="14">
        <v>24.0</v>
      </c>
      <c r="B37" s="13" t="s">
        <v>297</v>
      </c>
      <c r="C37" s="38">
        <f>SUMIFS('2. Recetas'!$G$5:$G$275,'2. Recetas'!$A$5:$A$275,$A37)</f>
        <v>277.55</v>
      </c>
      <c r="D37" s="16">
        <v>18.0</v>
      </c>
      <c r="E37" s="16">
        <v>4.0</v>
      </c>
      <c r="F37" s="15">
        <v>8.0</v>
      </c>
      <c r="G37" s="41">
        <f t="shared" si="1"/>
        <v>10</v>
      </c>
      <c r="H37" s="41">
        <f t="shared" si="2"/>
        <v>35.75</v>
      </c>
      <c r="I37" s="43">
        <f t="shared" si="3"/>
        <v>345.3</v>
      </c>
      <c r="J37" s="44">
        <f t="shared" si="4"/>
        <v>0.15</v>
      </c>
      <c r="K37" s="45">
        <f t="shared" si="5"/>
        <v>406.2352941</v>
      </c>
      <c r="L37" s="46">
        <f t="shared" si="6"/>
        <v>1020</v>
      </c>
      <c r="M37" s="41">
        <f t="shared" si="7"/>
        <v>613.7647059</v>
      </c>
      <c r="N37" s="47">
        <f t="shared" si="8"/>
        <v>1360</v>
      </c>
      <c r="O37" s="41">
        <f t="shared" si="9"/>
        <v>953.7647059</v>
      </c>
      <c r="P37" s="47">
        <f t="shared" si="10"/>
        <v>1170</v>
      </c>
      <c r="Q37" s="41">
        <f t="shared" si="11"/>
        <v>763.7647059</v>
      </c>
      <c r="R37" s="47">
        <f t="shared" si="12"/>
        <v>680</v>
      </c>
      <c r="S37" s="41">
        <f t="shared" si="13"/>
        <v>273.7647059</v>
      </c>
      <c r="T37" s="48">
        <f t="shared" si="14"/>
        <v>0.6017301038</v>
      </c>
    </row>
    <row r="38" ht="15.75" customHeight="1">
      <c r="A38" s="14">
        <v>25.0</v>
      </c>
      <c r="B38" s="13" t="s">
        <v>302</v>
      </c>
      <c r="C38" s="38">
        <f>SUMIFS('2. Recetas'!$G$5:$G$275,'2. Recetas'!$A$5:$A$275,$A38)</f>
        <v>34.85</v>
      </c>
      <c r="D38" s="16">
        <v>18.0</v>
      </c>
      <c r="E38" s="16">
        <v>4.0</v>
      </c>
      <c r="F38" s="15">
        <v>8.0</v>
      </c>
      <c r="G38" s="41">
        <f t="shared" si="1"/>
        <v>10</v>
      </c>
      <c r="H38" s="41">
        <f t="shared" si="2"/>
        <v>35.75</v>
      </c>
      <c r="I38" s="43">
        <f t="shared" si="3"/>
        <v>102.6</v>
      </c>
      <c r="J38" s="44">
        <f t="shared" si="4"/>
        <v>0.15</v>
      </c>
      <c r="K38" s="45">
        <f t="shared" si="5"/>
        <v>120.7058824</v>
      </c>
      <c r="L38" s="46">
        <f t="shared" si="6"/>
        <v>310</v>
      </c>
      <c r="M38" s="41">
        <f t="shared" si="7"/>
        <v>189.2941176</v>
      </c>
      <c r="N38" s="47">
        <f t="shared" si="8"/>
        <v>410</v>
      </c>
      <c r="O38" s="41">
        <f t="shared" si="9"/>
        <v>289.2941176</v>
      </c>
      <c r="P38" s="47">
        <f t="shared" si="10"/>
        <v>350</v>
      </c>
      <c r="Q38" s="41">
        <f t="shared" si="11"/>
        <v>229.2941176</v>
      </c>
      <c r="R38" s="47">
        <f t="shared" si="12"/>
        <v>210</v>
      </c>
      <c r="S38" s="41">
        <f t="shared" si="13"/>
        <v>89.29411765</v>
      </c>
      <c r="T38" s="48">
        <f t="shared" si="14"/>
        <v>0.610626186</v>
      </c>
    </row>
    <row r="39" ht="15.75" customHeight="1">
      <c r="A39" s="14">
        <v>26.0</v>
      </c>
      <c r="B39" s="13" t="s">
        <v>305</v>
      </c>
      <c r="C39" s="38">
        <f>SUMIFS('2. Recetas'!$G$5:$G$275,'2. Recetas'!$A$5:$A$275,$A39)</f>
        <v>173.225</v>
      </c>
      <c r="D39" s="16">
        <v>18.0</v>
      </c>
      <c r="E39" s="16">
        <v>4.0</v>
      </c>
      <c r="F39" s="15">
        <v>8.0</v>
      </c>
      <c r="G39" s="41">
        <f t="shared" si="1"/>
        <v>10</v>
      </c>
      <c r="H39" s="41">
        <f t="shared" si="2"/>
        <v>35.75</v>
      </c>
      <c r="I39" s="43">
        <f t="shared" si="3"/>
        <v>240.975</v>
      </c>
      <c r="J39" s="44">
        <f t="shared" si="4"/>
        <v>0.15</v>
      </c>
      <c r="K39" s="45">
        <f t="shared" si="5"/>
        <v>283.5</v>
      </c>
      <c r="L39" s="46">
        <f t="shared" si="6"/>
        <v>710</v>
      </c>
      <c r="M39" s="41">
        <f t="shared" si="7"/>
        <v>426.5</v>
      </c>
      <c r="N39" s="47">
        <f t="shared" si="8"/>
        <v>950</v>
      </c>
      <c r="O39" s="41">
        <f t="shared" si="9"/>
        <v>666.5</v>
      </c>
      <c r="P39" s="47">
        <f t="shared" si="10"/>
        <v>810</v>
      </c>
      <c r="Q39" s="41">
        <f t="shared" si="11"/>
        <v>526.5</v>
      </c>
      <c r="R39" s="47">
        <f t="shared" si="12"/>
        <v>480</v>
      </c>
      <c r="S39" s="41">
        <f t="shared" si="13"/>
        <v>196.5</v>
      </c>
      <c r="T39" s="48">
        <f t="shared" si="14"/>
        <v>0.6007042254</v>
      </c>
    </row>
    <row r="40" ht="15.75" customHeight="1">
      <c r="A40" s="14">
        <v>27.0</v>
      </c>
      <c r="B40" s="13" t="s">
        <v>310</v>
      </c>
      <c r="C40" s="38">
        <f>SUMIFS('2. Recetas'!$G$5:$G$275,'2. Recetas'!$A$5:$A$275,$A40)</f>
        <v>186.15</v>
      </c>
      <c r="D40" s="16">
        <v>18.0</v>
      </c>
      <c r="E40" s="16">
        <v>4.0</v>
      </c>
      <c r="F40" s="15">
        <v>8.0</v>
      </c>
      <c r="G40" s="41">
        <f t="shared" si="1"/>
        <v>10</v>
      </c>
      <c r="H40" s="41">
        <f t="shared" si="2"/>
        <v>35.75</v>
      </c>
      <c r="I40" s="43">
        <f t="shared" si="3"/>
        <v>253.9</v>
      </c>
      <c r="J40" s="44">
        <f t="shared" si="4"/>
        <v>0.15</v>
      </c>
      <c r="K40" s="45">
        <f t="shared" si="5"/>
        <v>298.7058824</v>
      </c>
      <c r="L40" s="46">
        <f t="shared" si="6"/>
        <v>750</v>
      </c>
      <c r="M40" s="41">
        <f t="shared" si="7"/>
        <v>451.2941176</v>
      </c>
      <c r="N40" s="47">
        <f t="shared" si="8"/>
        <v>1000</v>
      </c>
      <c r="O40" s="41">
        <f t="shared" si="9"/>
        <v>701.2941176</v>
      </c>
      <c r="P40" s="47">
        <f t="shared" si="10"/>
        <v>860</v>
      </c>
      <c r="Q40" s="41">
        <f t="shared" si="11"/>
        <v>561.2941176</v>
      </c>
      <c r="R40" s="47">
        <f t="shared" si="12"/>
        <v>500</v>
      </c>
      <c r="S40" s="41">
        <f t="shared" si="13"/>
        <v>201.2941176</v>
      </c>
      <c r="T40" s="48">
        <f t="shared" si="14"/>
        <v>0.6017254902</v>
      </c>
    </row>
    <row r="41" ht="15.75" customHeight="1">
      <c r="A41" s="14">
        <v>28.0</v>
      </c>
      <c r="B41" s="13" t="s">
        <v>313</v>
      </c>
      <c r="C41" s="38">
        <f>SUMIFS('2. Recetas'!$G$5:$G$275,'2. Recetas'!$A$5:$A$275,$A41)</f>
        <v>59.51666667</v>
      </c>
      <c r="D41" s="16">
        <v>18.0</v>
      </c>
      <c r="E41" s="16">
        <v>4.0</v>
      </c>
      <c r="F41" s="15">
        <v>8.0</v>
      </c>
      <c r="G41" s="41">
        <f t="shared" si="1"/>
        <v>10</v>
      </c>
      <c r="H41" s="41">
        <f t="shared" si="2"/>
        <v>35.75</v>
      </c>
      <c r="I41" s="43">
        <f t="shared" si="3"/>
        <v>127.2666667</v>
      </c>
      <c r="J41" s="44">
        <f t="shared" si="4"/>
        <v>0.15</v>
      </c>
      <c r="K41" s="45">
        <f t="shared" si="5"/>
        <v>149.7254902</v>
      </c>
      <c r="L41" s="46">
        <f t="shared" si="6"/>
        <v>380</v>
      </c>
      <c r="M41" s="41">
        <f t="shared" si="7"/>
        <v>230.2745098</v>
      </c>
      <c r="N41" s="47">
        <f t="shared" si="8"/>
        <v>500</v>
      </c>
      <c r="O41" s="41">
        <f t="shared" si="9"/>
        <v>350.2745098</v>
      </c>
      <c r="P41" s="47">
        <f t="shared" si="10"/>
        <v>430</v>
      </c>
      <c r="Q41" s="41">
        <f t="shared" si="11"/>
        <v>280.2745098</v>
      </c>
      <c r="R41" s="47">
        <f t="shared" si="12"/>
        <v>250</v>
      </c>
      <c r="S41" s="41">
        <f t="shared" si="13"/>
        <v>100.2745098</v>
      </c>
      <c r="T41" s="48">
        <f t="shared" si="14"/>
        <v>0.6059855521</v>
      </c>
    </row>
    <row r="42" ht="15.75" customHeight="1">
      <c r="A42" s="14">
        <v>29.0</v>
      </c>
      <c r="B42" s="13" t="s">
        <v>316</v>
      </c>
      <c r="C42" s="38">
        <f>SUMIFS('2. Recetas'!$G$5:$G$275,'2. Recetas'!$A$5:$A$275,$A42)</f>
        <v>108.06</v>
      </c>
      <c r="D42" s="16">
        <v>18.0</v>
      </c>
      <c r="E42" s="16">
        <v>4.0</v>
      </c>
      <c r="F42" s="15">
        <v>8.0</v>
      </c>
      <c r="G42" s="41">
        <f t="shared" si="1"/>
        <v>10</v>
      </c>
      <c r="H42" s="41">
        <f t="shared" si="2"/>
        <v>35.75</v>
      </c>
      <c r="I42" s="43">
        <f t="shared" si="3"/>
        <v>175.81</v>
      </c>
      <c r="J42" s="44">
        <f t="shared" si="4"/>
        <v>0.15</v>
      </c>
      <c r="K42" s="45">
        <f t="shared" si="5"/>
        <v>206.8352941</v>
      </c>
      <c r="L42" s="46">
        <f t="shared" si="6"/>
        <v>520</v>
      </c>
      <c r="M42" s="41">
        <f t="shared" si="7"/>
        <v>313.1647059</v>
      </c>
      <c r="N42" s="47">
        <f t="shared" si="8"/>
        <v>690</v>
      </c>
      <c r="O42" s="41">
        <f t="shared" si="9"/>
        <v>483.1647059</v>
      </c>
      <c r="P42" s="47">
        <f t="shared" si="10"/>
        <v>600</v>
      </c>
      <c r="Q42" s="41">
        <f t="shared" si="11"/>
        <v>393.1647059</v>
      </c>
      <c r="R42" s="47">
        <f t="shared" si="12"/>
        <v>350</v>
      </c>
      <c r="S42" s="41">
        <f t="shared" si="13"/>
        <v>143.1647059</v>
      </c>
      <c r="T42" s="48">
        <f t="shared" si="14"/>
        <v>0.602239819</v>
      </c>
    </row>
    <row r="43" ht="15.75" customHeight="1">
      <c r="A43" s="14">
        <v>30.0</v>
      </c>
      <c r="B43" s="13" t="s">
        <v>317</v>
      </c>
      <c r="C43" s="38">
        <f>SUMIFS('2. Recetas'!$G$5:$G$275,'2. Recetas'!$A$5:$A$275,$A43)</f>
        <v>136.9</v>
      </c>
      <c r="D43" s="16">
        <v>18.0</v>
      </c>
      <c r="E43" s="16">
        <v>4.0</v>
      </c>
      <c r="F43" s="15">
        <v>8.0</v>
      </c>
      <c r="G43" s="41">
        <f t="shared" si="1"/>
        <v>10</v>
      </c>
      <c r="H43" s="41">
        <f t="shared" si="2"/>
        <v>35.75</v>
      </c>
      <c r="I43" s="43">
        <f t="shared" si="3"/>
        <v>204.65</v>
      </c>
      <c r="J43" s="44">
        <f t="shared" si="4"/>
        <v>0.15</v>
      </c>
      <c r="K43" s="45">
        <f t="shared" si="5"/>
        <v>240.7647059</v>
      </c>
      <c r="L43" s="46">
        <f t="shared" si="6"/>
        <v>610</v>
      </c>
      <c r="M43" s="41">
        <f t="shared" si="7"/>
        <v>369.2352941</v>
      </c>
      <c r="N43" s="47">
        <f t="shared" si="8"/>
        <v>810</v>
      </c>
      <c r="O43" s="41">
        <f t="shared" si="9"/>
        <v>569.2352941</v>
      </c>
      <c r="P43" s="47">
        <f t="shared" si="10"/>
        <v>690</v>
      </c>
      <c r="Q43" s="41">
        <f t="shared" si="11"/>
        <v>449.2352941</v>
      </c>
      <c r="R43" s="47">
        <f t="shared" si="12"/>
        <v>410</v>
      </c>
      <c r="S43" s="41">
        <f t="shared" si="13"/>
        <v>169.2352941</v>
      </c>
      <c r="T43" s="48">
        <f t="shared" si="14"/>
        <v>0.6053037608</v>
      </c>
    </row>
    <row r="44" ht="15.75" customHeight="1">
      <c r="A44" s="14">
        <v>31.0</v>
      </c>
      <c r="B44" s="13" t="s">
        <v>318</v>
      </c>
      <c r="C44" s="38">
        <f>SUMIFS('2. Recetas'!$G$5:$G$275,'2. Recetas'!$A$5:$A$275,$A44)</f>
        <v>202.82</v>
      </c>
      <c r="D44" s="16">
        <v>18.0</v>
      </c>
      <c r="E44" s="16">
        <v>4.0</v>
      </c>
      <c r="F44" s="15">
        <v>8.0</v>
      </c>
      <c r="G44" s="41">
        <f t="shared" si="1"/>
        <v>10</v>
      </c>
      <c r="H44" s="41">
        <f t="shared" si="2"/>
        <v>35.75</v>
      </c>
      <c r="I44" s="43">
        <f t="shared" si="3"/>
        <v>270.57</v>
      </c>
      <c r="J44" s="44">
        <f t="shared" si="4"/>
        <v>0.15</v>
      </c>
      <c r="K44" s="45">
        <f t="shared" si="5"/>
        <v>318.3176471</v>
      </c>
      <c r="L44" s="46">
        <f t="shared" si="6"/>
        <v>800</v>
      </c>
      <c r="M44" s="41">
        <f t="shared" si="7"/>
        <v>481.6823529</v>
      </c>
      <c r="N44" s="47">
        <f t="shared" si="8"/>
        <v>1070</v>
      </c>
      <c r="O44" s="41">
        <f t="shared" si="9"/>
        <v>751.6823529</v>
      </c>
      <c r="P44" s="47">
        <f t="shared" si="10"/>
        <v>910</v>
      </c>
      <c r="Q44" s="41">
        <f t="shared" si="11"/>
        <v>591.6823529</v>
      </c>
      <c r="R44" s="47">
        <f t="shared" si="12"/>
        <v>540</v>
      </c>
      <c r="S44" s="41">
        <f t="shared" si="13"/>
        <v>221.6823529</v>
      </c>
      <c r="T44" s="48">
        <f t="shared" si="14"/>
        <v>0.6021029412</v>
      </c>
    </row>
    <row r="45" ht="15.75" customHeight="1">
      <c r="A45" s="14">
        <v>32.0</v>
      </c>
      <c r="B45" s="13" t="s">
        <v>319</v>
      </c>
      <c r="C45" s="38">
        <f>SUMIFS('2. Recetas'!$G$5:$G$275,'2. Recetas'!$A$5:$A$275,$A45)</f>
        <v>71.5</v>
      </c>
      <c r="D45" s="16">
        <v>18.0</v>
      </c>
      <c r="E45" s="16">
        <v>4.0</v>
      </c>
      <c r="F45" s="15">
        <v>8.0</v>
      </c>
      <c r="G45" s="41">
        <f t="shared" si="1"/>
        <v>10</v>
      </c>
      <c r="H45" s="41">
        <f t="shared" si="2"/>
        <v>35.75</v>
      </c>
      <c r="I45" s="43">
        <f t="shared" si="3"/>
        <v>139.25</v>
      </c>
      <c r="J45" s="44">
        <f t="shared" si="4"/>
        <v>0.15</v>
      </c>
      <c r="K45" s="45">
        <f t="shared" si="5"/>
        <v>163.8235294</v>
      </c>
      <c r="L45" s="46">
        <f t="shared" si="6"/>
        <v>410</v>
      </c>
      <c r="M45" s="41">
        <f t="shared" si="7"/>
        <v>246.1764706</v>
      </c>
      <c r="N45" s="47">
        <f t="shared" si="8"/>
        <v>550</v>
      </c>
      <c r="O45" s="41">
        <f t="shared" si="9"/>
        <v>386.1764706</v>
      </c>
      <c r="P45" s="47">
        <f t="shared" si="10"/>
        <v>470</v>
      </c>
      <c r="Q45" s="41">
        <f t="shared" si="11"/>
        <v>306.1764706</v>
      </c>
      <c r="R45" s="47">
        <f t="shared" si="12"/>
        <v>280</v>
      </c>
      <c r="S45" s="41">
        <f t="shared" si="13"/>
        <v>116.1764706</v>
      </c>
      <c r="T45" s="48">
        <f t="shared" si="14"/>
        <v>0.6004304161</v>
      </c>
    </row>
    <row r="46" ht="15.75" customHeight="1">
      <c r="A46" s="14">
        <v>33.0</v>
      </c>
      <c r="B46" s="13" t="s">
        <v>323</v>
      </c>
      <c r="C46" s="38">
        <f>SUMIFS('2. Recetas'!$G$5:$G$275,'2. Recetas'!$A$5:$A$275,$A46)</f>
        <v>162.32</v>
      </c>
      <c r="D46" s="16">
        <v>18.0</v>
      </c>
      <c r="E46" s="16">
        <v>4.0</v>
      </c>
      <c r="F46" s="15">
        <v>8.0</v>
      </c>
      <c r="G46" s="41">
        <f t="shared" si="1"/>
        <v>10</v>
      </c>
      <c r="H46" s="41">
        <f t="shared" si="2"/>
        <v>35.75</v>
      </c>
      <c r="I46" s="43">
        <f t="shared" si="3"/>
        <v>230.07</v>
      </c>
      <c r="J46" s="44">
        <f t="shared" si="4"/>
        <v>0.15</v>
      </c>
      <c r="K46" s="45">
        <f t="shared" si="5"/>
        <v>270.6705882</v>
      </c>
      <c r="L46" s="46">
        <f t="shared" si="6"/>
        <v>680</v>
      </c>
      <c r="M46" s="41">
        <f t="shared" si="7"/>
        <v>409.3294118</v>
      </c>
      <c r="N46" s="47">
        <f t="shared" si="8"/>
        <v>910</v>
      </c>
      <c r="O46" s="41">
        <f t="shared" si="9"/>
        <v>639.3294118</v>
      </c>
      <c r="P46" s="47">
        <f t="shared" si="10"/>
        <v>780</v>
      </c>
      <c r="Q46" s="41">
        <f t="shared" si="11"/>
        <v>509.3294118</v>
      </c>
      <c r="R46" s="47">
        <f t="shared" si="12"/>
        <v>460</v>
      </c>
      <c r="S46" s="41">
        <f t="shared" si="13"/>
        <v>189.3294118</v>
      </c>
      <c r="T46" s="48">
        <f t="shared" si="14"/>
        <v>0.6019550173</v>
      </c>
    </row>
    <row r="47" ht="15.75" customHeight="1">
      <c r="A47" s="14">
        <v>34.0</v>
      </c>
      <c r="B47" s="13" t="s">
        <v>329</v>
      </c>
      <c r="C47" s="38">
        <f>SUMIFS('2. Recetas'!$G$5:$G$275,'2. Recetas'!$A$5:$A$275,$A47)</f>
        <v>211.7</v>
      </c>
      <c r="D47" s="16">
        <v>18.0</v>
      </c>
      <c r="E47" s="16">
        <v>4.0</v>
      </c>
      <c r="F47" s="15">
        <v>8.0</v>
      </c>
      <c r="G47" s="41">
        <f t="shared" si="1"/>
        <v>10</v>
      </c>
      <c r="H47" s="41">
        <f t="shared" si="2"/>
        <v>35.75</v>
      </c>
      <c r="I47" s="43">
        <f t="shared" si="3"/>
        <v>279.45</v>
      </c>
      <c r="J47" s="44">
        <f t="shared" si="4"/>
        <v>0.15</v>
      </c>
      <c r="K47" s="45">
        <f t="shared" si="5"/>
        <v>328.7647059</v>
      </c>
      <c r="L47" s="46">
        <f t="shared" si="6"/>
        <v>830</v>
      </c>
      <c r="M47" s="41">
        <f t="shared" si="7"/>
        <v>501.2352941</v>
      </c>
      <c r="N47" s="47">
        <f t="shared" si="8"/>
        <v>1100</v>
      </c>
      <c r="O47" s="41">
        <f t="shared" si="9"/>
        <v>771.2352941</v>
      </c>
      <c r="P47" s="47">
        <f t="shared" si="10"/>
        <v>940</v>
      </c>
      <c r="Q47" s="41">
        <f t="shared" si="11"/>
        <v>611.2352941</v>
      </c>
      <c r="R47" s="47">
        <f t="shared" si="12"/>
        <v>550</v>
      </c>
      <c r="S47" s="41">
        <f t="shared" si="13"/>
        <v>221.2352941</v>
      </c>
      <c r="T47" s="48">
        <f t="shared" si="14"/>
        <v>0.6038979447</v>
      </c>
    </row>
    <row r="48" ht="15.75" customHeight="1">
      <c r="A48" s="14">
        <v>35.0</v>
      </c>
      <c r="B48" s="13" t="s">
        <v>342</v>
      </c>
      <c r="C48" s="38">
        <f>SUMIFS('2. Recetas'!$G$5:$G$275,'2. Recetas'!$A$5:$A$275,$A48)</f>
        <v>176</v>
      </c>
      <c r="D48" s="16">
        <v>18.0</v>
      </c>
      <c r="E48" s="16">
        <v>4.0</v>
      </c>
      <c r="F48" s="15">
        <v>8.0</v>
      </c>
      <c r="G48" s="41">
        <f t="shared" si="1"/>
        <v>10</v>
      </c>
      <c r="H48" s="41">
        <f t="shared" si="2"/>
        <v>35.75</v>
      </c>
      <c r="I48" s="43">
        <f t="shared" si="3"/>
        <v>243.75</v>
      </c>
      <c r="J48" s="44">
        <f t="shared" si="4"/>
        <v>0.15</v>
      </c>
      <c r="K48" s="45">
        <f t="shared" si="5"/>
        <v>286.7647059</v>
      </c>
      <c r="L48" s="46">
        <f t="shared" si="6"/>
        <v>720</v>
      </c>
      <c r="M48" s="41">
        <f t="shared" si="7"/>
        <v>433.2352941</v>
      </c>
      <c r="N48" s="47">
        <f t="shared" si="8"/>
        <v>960</v>
      </c>
      <c r="O48" s="41">
        <f t="shared" si="9"/>
        <v>673.2352941</v>
      </c>
      <c r="P48" s="47">
        <f t="shared" si="10"/>
        <v>820</v>
      </c>
      <c r="Q48" s="41">
        <f t="shared" si="11"/>
        <v>533.2352941</v>
      </c>
      <c r="R48" s="47">
        <f t="shared" si="12"/>
        <v>480</v>
      </c>
      <c r="S48" s="41">
        <f t="shared" si="13"/>
        <v>193.2352941</v>
      </c>
      <c r="T48" s="48">
        <f t="shared" si="14"/>
        <v>0.6017156863</v>
      </c>
    </row>
    <row r="49" ht="15.75" customHeight="1">
      <c r="A49" s="14">
        <v>36.0</v>
      </c>
      <c r="B49" s="13" t="s">
        <v>346</v>
      </c>
      <c r="C49" s="38">
        <f>SUMIFS('2. Recetas'!$G$5:$G$275,'2. Recetas'!$A$5:$A$275,$A49)</f>
        <v>181.05</v>
      </c>
      <c r="D49" s="16">
        <v>18.0</v>
      </c>
      <c r="E49" s="16">
        <v>4.0</v>
      </c>
      <c r="F49" s="15">
        <v>8.0</v>
      </c>
      <c r="G49" s="41">
        <f t="shared" si="1"/>
        <v>10</v>
      </c>
      <c r="H49" s="41">
        <f t="shared" si="2"/>
        <v>35.75</v>
      </c>
      <c r="I49" s="43">
        <f t="shared" si="3"/>
        <v>248.8</v>
      </c>
      <c r="J49" s="44">
        <f t="shared" si="4"/>
        <v>0.15</v>
      </c>
      <c r="K49" s="45">
        <f t="shared" si="5"/>
        <v>292.7058824</v>
      </c>
      <c r="L49" s="46">
        <f t="shared" si="6"/>
        <v>740</v>
      </c>
      <c r="M49" s="41">
        <f t="shared" si="7"/>
        <v>447.2941176</v>
      </c>
      <c r="N49" s="47">
        <f t="shared" si="8"/>
        <v>980</v>
      </c>
      <c r="O49" s="41">
        <f t="shared" si="9"/>
        <v>687.2941176</v>
      </c>
      <c r="P49" s="47">
        <f t="shared" si="10"/>
        <v>840</v>
      </c>
      <c r="Q49" s="41">
        <f t="shared" si="11"/>
        <v>547.2941176</v>
      </c>
      <c r="R49" s="47">
        <f t="shared" si="12"/>
        <v>490</v>
      </c>
      <c r="S49" s="41">
        <f t="shared" si="13"/>
        <v>197.2941176</v>
      </c>
      <c r="T49" s="48">
        <f t="shared" si="14"/>
        <v>0.6044515103</v>
      </c>
    </row>
    <row r="50" ht="15.75" customHeight="1">
      <c r="A50" s="14">
        <v>37.0</v>
      </c>
      <c r="B50" s="13" t="s">
        <v>348</v>
      </c>
      <c r="C50" s="38">
        <f>SUMIFS('2. Recetas'!$G$5:$G$275,'2. Recetas'!$A$5:$A$275,$A50)</f>
        <v>118</v>
      </c>
      <c r="D50" s="16">
        <v>18.0</v>
      </c>
      <c r="E50" s="16">
        <v>4.0</v>
      </c>
      <c r="F50" s="15">
        <v>8.0</v>
      </c>
      <c r="G50" s="41">
        <f t="shared" si="1"/>
        <v>10</v>
      </c>
      <c r="H50" s="41">
        <f t="shared" si="2"/>
        <v>35.75</v>
      </c>
      <c r="I50" s="43">
        <f t="shared" si="3"/>
        <v>185.75</v>
      </c>
      <c r="J50" s="44">
        <f t="shared" si="4"/>
        <v>0.15</v>
      </c>
      <c r="K50" s="45">
        <f t="shared" si="5"/>
        <v>218.5294118</v>
      </c>
      <c r="L50" s="46">
        <f t="shared" si="6"/>
        <v>550</v>
      </c>
      <c r="M50" s="41">
        <f t="shared" si="7"/>
        <v>331.4705882</v>
      </c>
      <c r="N50" s="47">
        <f t="shared" si="8"/>
        <v>730</v>
      </c>
      <c r="O50" s="41">
        <f t="shared" si="9"/>
        <v>511.4705882</v>
      </c>
      <c r="P50" s="47">
        <f t="shared" si="10"/>
        <v>630</v>
      </c>
      <c r="Q50" s="41">
        <f t="shared" si="11"/>
        <v>411.4705882</v>
      </c>
      <c r="R50" s="47">
        <f t="shared" si="12"/>
        <v>370</v>
      </c>
      <c r="S50" s="41">
        <f t="shared" si="13"/>
        <v>151.4705882</v>
      </c>
      <c r="T50" s="48">
        <f t="shared" si="14"/>
        <v>0.6026737968</v>
      </c>
    </row>
    <row r="51" ht="15.75" customHeight="1">
      <c r="A51" s="14">
        <v>38.0</v>
      </c>
      <c r="B51" s="13" t="s">
        <v>351</v>
      </c>
      <c r="C51" s="38">
        <f>SUMIFS('2. Recetas'!$G$5:$G$275,'2. Recetas'!$A$5:$A$275,$A51)</f>
        <v>59.54</v>
      </c>
      <c r="D51" s="16">
        <v>18.0</v>
      </c>
      <c r="E51" s="16">
        <v>4.0</v>
      </c>
      <c r="F51" s="15">
        <v>8.0</v>
      </c>
      <c r="G51" s="41">
        <f t="shared" si="1"/>
        <v>10</v>
      </c>
      <c r="H51" s="41">
        <f t="shared" si="2"/>
        <v>35.75</v>
      </c>
      <c r="I51" s="43">
        <f t="shared" si="3"/>
        <v>127.29</v>
      </c>
      <c r="J51" s="44">
        <f t="shared" si="4"/>
        <v>0.15</v>
      </c>
      <c r="K51" s="45">
        <f t="shared" si="5"/>
        <v>149.7529412</v>
      </c>
      <c r="L51" s="46">
        <f t="shared" si="6"/>
        <v>380</v>
      </c>
      <c r="M51" s="41">
        <f t="shared" si="7"/>
        <v>230.2470588</v>
      </c>
      <c r="N51" s="47">
        <f t="shared" si="8"/>
        <v>500</v>
      </c>
      <c r="O51" s="41">
        <f t="shared" si="9"/>
        <v>350.2470588</v>
      </c>
      <c r="P51" s="47">
        <f t="shared" si="10"/>
        <v>430</v>
      </c>
      <c r="Q51" s="41">
        <f t="shared" si="11"/>
        <v>280.2470588</v>
      </c>
      <c r="R51" s="47">
        <f t="shared" si="12"/>
        <v>250</v>
      </c>
      <c r="S51" s="41">
        <f t="shared" si="13"/>
        <v>100.2470588</v>
      </c>
      <c r="T51" s="48">
        <f t="shared" si="14"/>
        <v>0.6059133127</v>
      </c>
    </row>
    <row r="52" ht="15.75" customHeight="1">
      <c r="A52" s="14">
        <v>39.0</v>
      </c>
      <c r="B52" s="13" t="s">
        <v>353</v>
      </c>
      <c r="C52" s="38">
        <f>SUMIFS('2. Recetas'!$G$5:$G$275,'2. Recetas'!$A$5:$A$275,$A52)</f>
        <v>181.9</v>
      </c>
      <c r="D52" s="16">
        <v>18.0</v>
      </c>
      <c r="E52" s="16">
        <v>4.0</v>
      </c>
      <c r="F52" s="15">
        <v>8.0</v>
      </c>
      <c r="G52" s="41">
        <f t="shared" si="1"/>
        <v>10</v>
      </c>
      <c r="H52" s="41">
        <f t="shared" si="2"/>
        <v>35.75</v>
      </c>
      <c r="I52" s="43">
        <f t="shared" si="3"/>
        <v>249.65</v>
      </c>
      <c r="J52" s="44">
        <f t="shared" si="4"/>
        <v>0.15</v>
      </c>
      <c r="K52" s="45">
        <f t="shared" si="5"/>
        <v>293.7058824</v>
      </c>
      <c r="L52" s="46">
        <f t="shared" si="6"/>
        <v>740</v>
      </c>
      <c r="M52" s="41">
        <f t="shared" si="7"/>
        <v>446.2941176</v>
      </c>
      <c r="N52" s="47">
        <f t="shared" si="8"/>
        <v>980</v>
      </c>
      <c r="O52" s="41">
        <f t="shared" si="9"/>
        <v>686.2941176</v>
      </c>
      <c r="P52" s="47">
        <f t="shared" si="10"/>
        <v>840</v>
      </c>
      <c r="Q52" s="41">
        <f t="shared" si="11"/>
        <v>546.2941176</v>
      </c>
      <c r="R52" s="47">
        <f t="shared" si="12"/>
        <v>490</v>
      </c>
      <c r="S52" s="41">
        <f t="shared" si="13"/>
        <v>196.2941176</v>
      </c>
      <c r="T52" s="48">
        <f t="shared" si="14"/>
        <v>0.603100159</v>
      </c>
    </row>
    <row r="53" ht="15.75" customHeight="1">
      <c r="A53" s="14">
        <v>40.0</v>
      </c>
      <c r="B53" s="13" t="s">
        <v>356</v>
      </c>
      <c r="C53" s="38">
        <f>SUMIFS('2. Recetas'!$G$5:$G$275,'2. Recetas'!$A$5:$A$275,$A53)</f>
        <v>114.0666667</v>
      </c>
      <c r="D53" s="16">
        <v>18.0</v>
      </c>
      <c r="E53" s="16">
        <v>4.0</v>
      </c>
      <c r="F53" s="15">
        <v>8.0</v>
      </c>
      <c r="G53" s="41">
        <f t="shared" si="1"/>
        <v>10</v>
      </c>
      <c r="H53" s="41">
        <f t="shared" si="2"/>
        <v>35.75</v>
      </c>
      <c r="I53" s="43">
        <f t="shared" si="3"/>
        <v>181.8166667</v>
      </c>
      <c r="J53" s="44">
        <f t="shared" si="4"/>
        <v>0.15</v>
      </c>
      <c r="K53" s="45">
        <f t="shared" si="5"/>
        <v>213.9019608</v>
      </c>
      <c r="L53" s="46">
        <f t="shared" si="6"/>
        <v>540</v>
      </c>
      <c r="M53" s="41">
        <f t="shared" si="7"/>
        <v>326.0980392</v>
      </c>
      <c r="N53" s="47">
        <f t="shared" si="8"/>
        <v>720</v>
      </c>
      <c r="O53" s="41">
        <f t="shared" si="9"/>
        <v>506.0980392</v>
      </c>
      <c r="P53" s="47">
        <f t="shared" si="10"/>
        <v>620</v>
      </c>
      <c r="Q53" s="41">
        <f t="shared" si="11"/>
        <v>406.0980392</v>
      </c>
      <c r="R53" s="47">
        <f t="shared" si="12"/>
        <v>360</v>
      </c>
      <c r="S53" s="41">
        <f t="shared" si="13"/>
        <v>146.0980392</v>
      </c>
      <c r="T53" s="48">
        <f t="shared" si="14"/>
        <v>0.6038852578</v>
      </c>
    </row>
    <row r="54" ht="15.75" customHeight="1">
      <c r="A54" s="14">
        <v>41.0</v>
      </c>
      <c r="B54" s="13" t="s">
        <v>359</v>
      </c>
      <c r="C54" s="38">
        <f>SUMIFS('2. Recetas'!$G$5:$G$275,'2. Recetas'!$A$5:$A$275,$A54)</f>
        <v>116.325</v>
      </c>
      <c r="D54" s="16">
        <v>18.0</v>
      </c>
      <c r="E54" s="16">
        <v>4.0</v>
      </c>
      <c r="F54" s="15">
        <v>8.0</v>
      </c>
      <c r="G54" s="41">
        <f t="shared" si="1"/>
        <v>10</v>
      </c>
      <c r="H54" s="41">
        <f t="shared" si="2"/>
        <v>35.75</v>
      </c>
      <c r="I54" s="43">
        <f t="shared" si="3"/>
        <v>184.075</v>
      </c>
      <c r="J54" s="44">
        <f t="shared" si="4"/>
        <v>0.15</v>
      </c>
      <c r="K54" s="45">
        <f t="shared" si="5"/>
        <v>216.5588235</v>
      </c>
      <c r="L54" s="46">
        <f t="shared" si="6"/>
        <v>550</v>
      </c>
      <c r="M54" s="41">
        <f t="shared" si="7"/>
        <v>333.4411765</v>
      </c>
      <c r="N54" s="47">
        <f t="shared" si="8"/>
        <v>730</v>
      </c>
      <c r="O54" s="41">
        <f t="shared" si="9"/>
        <v>513.4411765</v>
      </c>
      <c r="P54" s="47">
        <f t="shared" si="10"/>
        <v>620</v>
      </c>
      <c r="Q54" s="41">
        <f t="shared" si="11"/>
        <v>403.4411765</v>
      </c>
      <c r="R54" s="47">
        <f t="shared" si="12"/>
        <v>370</v>
      </c>
      <c r="S54" s="41">
        <f t="shared" si="13"/>
        <v>153.4411765</v>
      </c>
      <c r="T54" s="48">
        <f t="shared" si="14"/>
        <v>0.6062566845</v>
      </c>
    </row>
    <row r="55" ht="15.75" customHeight="1">
      <c r="A55" s="14">
        <v>42.0</v>
      </c>
      <c r="B55" s="13" t="s">
        <v>361</v>
      </c>
      <c r="C55" s="38">
        <f>SUMIFS('2. Recetas'!$G$5:$G$275,'2. Recetas'!$A$5:$A$275,$A55)</f>
        <v>107.7</v>
      </c>
      <c r="D55" s="16">
        <v>18.0</v>
      </c>
      <c r="E55" s="16">
        <v>4.0</v>
      </c>
      <c r="F55" s="15">
        <v>8.0</v>
      </c>
      <c r="G55" s="41">
        <f t="shared" si="1"/>
        <v>10</v>
      </c>
      <c r="H55" s="41">
        <f t="shared" si="2"/>
        <v>35.75</v>
      </c>
      <c r="I55" s="43">
        <f t="shared" si="3"/>
        <v>175.45</v>
      </c>
      <c r="J55" s="44">
        <f t="shared" si="4"/>
        <v>0.15</v>
      </c>
      <c r="K55" s="45">
        <f t="shared" si="5"/>
        <v>206.4117647</v>
      </c>
      <c r="L55" s="46">
        <f t="shared" si="6"/>
        <v>520</v>
      </c>
      <c r="M55" s="41">
        <f t="shared" si="7"/>
        <v>313.5882353</v>
      </c>
      <c r="N55" s="47">
        <f t="shared" si="8"/>
        <v>690</v>
      </c>
      <c r="O55" s="41">
        <f t="shared" si="9"/>
        <v>483.5882353</v>
      </c>
      <c r="P55" s="47">
        <f t="shared" si="10"/>
        <v>590</v>
      </c>
      <c r="Q55" s="41">
        <f t="shared" si="11"/>
        <v>383.5882353</v>
      </c>
      <c r="R55" s="47">
        <f t="shared" si="12"/>
        <v>350</v>
      </c>
      <c r="S55" s="41">
        <f t="shared" si="13"/>
        <v>143.5882353</v>
      </c>
      <c r="T55" s="48">
        <f t="shared" si="14"/>
        <v>0.6030542986</v>
      </c>
    </row>
    <row r="56" ht="15.75" customHeight="1">
      <c r="A56" s="14">
        <v>43.0</v>
      </c>
      <c r="B56" s="13" t="s">
        <v>363</v>
      </c>
      <c r="C56" s="38">
        <f>SUMIFS('2. Recetas'!$G$5:$G$275,'2. Recetas'!$A$5:$A$275,$A56)</f>
        <v>115.625</v>
      </c>
      <c r="D56" s="16">
        <v>18.0</v>
      </c>
      <c r="E56" s="16">
        <v>4.0</v>
      </c>
      <c r="F56" s="15">
        <v>8.0</v>
      </c>
      <c r="G56" s="41">
        <f t="shared" si="1"/>
        <v>10</v>
      </c>
      <c r="H56" s="41">
        <f t="shared" si="2"/>
        <v>35.75</v>
      </c>
      <c r="I56" s="43">
        <f t="shared" si="3"/>
        <v>183.375</v>
      </c>
      <c r="J56" s="44">
        <f t="shared" si="4"/>
        <v>0.15</v>
      </c>
      <c r="K56" s="45">
        <f t="shared" si="5"/>
        <v>215.7352941</v>
      </c>
      <c r="L56" s="46">
        <f t="shared" si="6"/>
        <v>540</v>
      </c>
      <c r="M56" s="41">
        <f t="shared" si="7"/>
        <v>324.2647059</v>
      </c>
      <c r="N56" s="47">
        <f t="shared" si="8"/>
        <v>720</v>
      </c>
      <c r="O56" s="41">
        <f t="shared" si="9"/>
        <v>504.2647059</v>
      </c>
      <c r="P56" s="47">
        <f t="shared" si="10"/>
        <v>620</v>
      </c>
      <c r="Q56" s="41">
        <f t="shared" si="11"/>
        <v>404.2647059</v>
      </c>
      <c r="R56" s="47">
        <f t="shared" si="12"/>
        <v>360</v>
      </c>
      <c r="S56" s="41">
        <f t="shared" si="13"/>
        <v>144.2647059</v>
      </c>
      <c r="T56" s="48">
        <f t="shared" si="14"/>
        <v>0.6004901961</v>
      </c>
    </row>
    <row r="57" ht="15.75" customHeight="1">
      <c r="A57" s="14">
        <v>44.0</v>
      </c>
      <c r="B57" s="13" t="s">
        <v>365</v>
      </c>
      <c r="C57" s="38">
        <f>SUMIFS('2. Recetas'!$G$5:$G$275,'2. Recetas'!$A$5:$A$275,$A57)</f>
        <v>177.075</v>
      </c>
      <c r="D57" s="16">
        <v>18.0</v>
      </c>
      <c r="E57" s="16">
        <v>4.0</v>
      </c>
      <c r="F57" s="15">
        <v>8.0</v>
      </c>
      <c r="G57" s="41">
        <f t="shared" si="1"/>
        <v>10</v>
      </c>
      <c r="H57" s="41">
        <f t="shared" si="2"/>
        <v>35.75</v>
      </c>
      <c r="I57" s="43">
        <f t="shared" si="3"/>
        <v>244.825</v>
      </c>
      <c r="J57" s="44">
        <f t="shared" si="4"/>
        <v>0.15</v>
      </c>
      <c r="K57" s="45">
        <f t="shared" si="5"/>
        <v>288.0294118</v>
      </c>
      <c r="L57" s="46">
        <f t="shared" si="6"/>
        <v>730</v>
      </c>
      <c r="M57" s="41">
        <f t="shared" si="7"/>
        <v>441.9705882</v>
      </c>
      <c r="N57" s="47">
        <f t="shared" si="8"/>
        <v>970</v>
      </c>
      <c r="O57" s="41">
        <f t="shared" si="9"/>
        <v>681.9705882</v>
      </c>
      <c r="P57" s="47">
        <f t="shared" si="10"/>
        <v>830</v>
      </c>
      <c r="Q57" s="41">
        <f t="shared" si="11"/>
        <v>541.9705882</v>
      </c>
      <c r="R57" s="47">
        <f t="shared" si="12"/>
        <v>490</v>
      </c>
      <c r="S57" s="41">
        <f t="shared" si="13"/>
        <v>201.9705882</v>
      </c>
      <c r="T57" s="48">
        <f t="shared" si="14"/>
        <v>0.605439162</v>
      </c>
    </row>
    <row r="58" ht="15.75" customHeight="1">
      <c r="A58" s="14">
        <v>45.0</v>
      </c>
      <c r="B58" s="13" t="s">
        <v>368</v>
      </c>
      <c r="C58" s="38">
        <f>SUMIFS('2. Recetas'!$G$5:$G$275,'2. Recetas'!$A$5:$A$275,$A58)</f>
        <v>110.08</v>
      </c>
      <c r="D58" s="16">
        <v>18.0</v>
      </c>
      <c r="E58" s="16">
        <v>4.0</v>
      </c>
      <c r="F58" s="15">
        <v>8.0</v>
      </c>
      <c r="G58" s="41">
        <f t="shared" si="1"/>
        <v>10</v>
      </c>
      <c r="H58" s="41">
        <f t="shared" si="2"/>
        <v>35.75</v>
      </c>
      <c r="I58" s="43">
        <f t="shared" si="3"/>
        <v>177.83</v>
      </c>
      <c r="J58" s="44">
        <f t="shared" si="4"/>
        <v>0.15</v>
      </c>
      <c r="K58" s="45">
        <f t="shared" si="5"/>
        <v>209.2117647</v>
      </c>
      <c r="L58" s="46">
        <f t="shared" si="6"/>
        <v>530</v>
      </c>
      <c r="M58" s="41">
        <f t="shared" si="7"/>
        <v>320.7882353</v>
      </c>
      <c r="N58" s="47">
        <f t="shared" si="8"/>
        <v>700</v>
      </c>
      <c r="O58" s="41">
        <f t="shared" si="9"/>
        <v>490.7882353</v>
      </c>
      <c r="P58" s="47">
        <f t="shared" si="10"/>
        <v>600</v>
      </c>
      <c r="Q58" s="41">
        <f t="shared" si="11"/>
        <v>390.7882353</v>
      </c>
      <c r="R58" s="47">
        <f t="shared" si="12"/>
        <v>350</v>
      </c>
      <c r="S58" s="41">
        <f t="shared" si="13"/>
        <v>140.7882353</v>
      </c>
      <c r="T58" s="48">
        <f t="shared" si="14"/>
        <v>0.6052608213</v>
      </c>
    </row>
    <row r="59" ht="15.75" customHeight="1">
      <c r="A59" s="14">
        <v>46.0</v>
      </c>
      <c r="B59" s="13" t="s">
        <v>371</v>
      </c>
      <c r="C59" s="38">
        <f>SUMIFS('2. Recetas'!$G$5:$G$275,'2. Recetas'!$A$5:$A$275,$A59)</f>
        <v>94.47</v>
      </c>
      <c r="D59" s="16">
        <v>18.0</v>
      </c>
      <c r="E59" s="16">
        <v>4.0</v>
      </c>
      <c r="F59" s="15">
        <v>8.0</v>
      </c>
      <c r="G59" s="41">
        <f t="shared" si="1"/>
        <v>10</v>
      </c>
      <c r="H59" s="41">
        <f t="shared" si="2"/>
        <v>35.75</v>
      </c>
      <c r="I59" s="43">
        <f t="shared" si="3"/>
        <v>162.22</v>
      </c>
      <c r="J59" s="44">
        <f t="shared" si="4"/>
        <v>0.15</v>
      </c>
      <c r="K59" s="45">
        <f t="shared" si="5"/>
        <v>190.8470588</v>
      </c>
      <c r="L59" s="46">
        <f t="shared" si="6"/>
        <v>480</v>
      </c>
      <c r="M59" s="41">
        <f t="shared" si="7"/>
        <v>289.1529412</v>
      </c>
      <c r="N59" s="47">
        <f t="shared" si="8"/>
        <v>640</v>
      </c>
      <c r="O59" s="41">
        <f t="shared" si="9"/>
        <v>449.1529412</v>
      </c>
      <c r="P59" s="47">
        <f t="shared" si="10"/>
        <v>550</v>
      </c>
      <c r="Q59" s="41">
        <f t="shared" si="11"/>
        <v>359.1529412</v>
      </c>
      <c r="R59" s="47">
        <f t="shared" si="12"/>
        <v>320</v>
      </c>
      <c r="S59" s="41">
        <f t="shared" si="13"/>
        <v>129.1529412</v>
      </c>
      <c r="T59" s="48">
        <f t="shared" si="14"/>
        <v>0.6024019608</v>
      </c>
    </row>
    <row r="60" ht="15.75" customHeight="1">
      <c r="A60" s="14">
        <v>47.0</v>
      </c>
      <c r="B60" s="13" t="s">
        <v>374</v>
      </c>
      <c r="C60" s="38">
        <f>SUMIFS('2. Recetas'!$G$5:$G$275,'2. Recetas'!$A$5:$A$275,$A60)</f>
        <v>148.9083333</v>
      </c>
      <c r="D60" s="16">
        <v>18.0</v>
      </c>
      <c r="E60" s="16">
        <v>4.0</v>
      </c>
      <c r="F60" s="15">
        <v>8.0</v>
      </c>
      <c r="G60" s="41">
        <f t="shared" si="1"/>
        <v>10</v>
      </c>
      <c r="H60" s="41">
        <f t="shared" si="2"/>
        <v>35.75</v>
      </c>
      <c r="I60" s="43">
        <f t="shared" si="3"/>
        <v>216.6583333</v>
      </c>
      <c r="J60" s="44">
        <f t="shared" si="4"/>
        <v>0.15</v>
      </c>
      <c r="K60" s="45">
        <f t="shared" si="5"/>
        <v>254.8921569</v>
      </c>
      <c r="L60" s="46">
        <f t="shared" si="6"/>
        <v>640</v>
      </c>
      <c r="M60" s="41">
        <f t="shared" si="7"/>
        <v>385.1078431</v>
      </c>
      <c r="N60" s="47">
        <f t="shared" si="8"/>
        <v>850</v>
      </c>
      <c r="O60" s="41">
        <f t="shared" si="9"/>
        <v>595.1078431</v>
      </c>
      <c r="P60" s="47">
        <f t="shared" si="10"/>
        <v>730</v>
      </c>
      <c r="Q60" s="41">
        <f t="shared" si="11"/>
        <v>475.1078431</v>
      </c>
      <c r="R60" s="47">
        <f t="shared" si="12"/>
        <v>430</v>
      </c>
      <c r="S60" s="41">
        <f t="shared" si="13"/>
        <v>175.1078431</v>
      </c>
      <c r="T60" s="48">
        <f t="shared" si="14"/>
        <v>0.6017310049</v>
      </c>
    </row>
    <row r="61" ht="15.75" customHeight="1">
      <c r="A61" s="14">
        <v>48.0</v>
      </c>
      <c r="B61" s="13" t="s">
        <v>376</v>
      </c>
      <c r="C61" s="38">
        <f>SUMIFS('2. Recetas'!$G$5:$G$275,'2. Recetas'!$A$5:$A$275,$A61)</f>
        <v>108.48</v>
      </c>
      <c r="D61" s="16">
        <v>18.0</v>
      </c>
      <c r="E61" s="16">
        <v>4.0</v>
      </c>
      <c r="F61" s="15">
        <v>8.0</v>
      </c>
      <c r="G61" s="41">
        <f t="shared" si="1"/>
        <v>10</v>
      </c>
      <c r="H61" s="41">
        <f t="shared" si="2"/>
        <v>35.75</v>
      </c>
      <c r="I61" s="43">
        <f t="shared" si="3"/>
        <v>176.23</v>
      </c>
      <c r="J61" s="44">
        <f t="shared" si="4"/>
        <v>0.15</v>
      </c>
      <c r="K61" s="45">
        <f t="shared" si="5"/>
        <v>207.3294118</v>
      </c>
      <c r="L61" s="46">
        <f t="shared" si="6"/>
        <v>520</v>
      </c>
      <c r="M61" s="41">
        <f t="shared" si="7"/>
        <v>312.6705882</v>
      </c>
      <c r="N61" s="47">
        <f t="shared" si="8"/>
        <v>700</v>
      </c>
      <c r="O61" s="41">
        <f t="shared" si="9"/>
        <v>492.6705882</v>
      </c>
      <c r="P61" s="47">
        <f t="shared" si="10"/>
        <v>600</v>
      </c>
      <c r="Q61" s="41">
        <f t="shared" si="11"/>
        <v>392.6705882</v>
      </c>
      <c r="R61" s="47">
        <f t="shared" si="12"/>
        <v>350</v>
      </c>
      <c r="S61" s="41">
        <f t="shared" si="13"/>
        <v>142.6705882</v>
      </c>
      <c r="T61" s="48">
        <f t="shared" si="14"/>
        <v>0.6012895928</v>
      </c>
    </row>
    <row r="62" ht="15.75" customHeight="1">
      <c r="A62" s="14">
        <v>49.0</v>
      </c>
      <c r="B62" s="13" t="s">
        <v>379</v>
      </c>
      <c r="C62" s="38">
        <f>SUMIFS('2. Recetas'!$G$5:$G$275,'2. Recetas'!$A$5:$A$275,$A62)</f>
        <v>130.725</v>
      </c>
      <c r="D62" s="16">
        <v>18.0</v>
      </c>
      <c r="E62" s="16">
        <v>4.0</v>
      </c>
      <c r="F62" s="15">
        <v>8.0</v>
      </c>
      <c r="G62" s="41">
        <f t="shared" si="1"/>
        <v>10</v>
      </c>
      <c r="H62" s="41">
        <f t="shared" si="2"/>
        <v>35.75</v>
      </c>
      <c r="I62" s="43">
        <f t="shared" si="3"/>
        <v>198.475</v>
      </c>
      <c r="J62" s="44">
        <f t="shared" si="4"/>
        <v>0.15</v>
      </c>
      <c r="K62" s="45">
        <f t="shared" si="5"/>
        <v>233.5</v>
      </c>
      <c r="L62" s="46">
        <f t="shared" si="6"/>
        <v>590</v>
      </c>
      <c r="M62" s="41">
        <f t="shared" si="7"/>
        <v>356.5</v>
      </c>
      <c r="N62" s="47">
        <f t="shared" si="8"/>
        <v>780</v>
      </c>
      <c r="O62" s="41">
        <f t="shared" si="9"/>
        <v>546.5</v>
      </c>
      <c r="P62" s="47">
        <f t="shared" si="10"/>
        <v>670</v>
      </c>
      <c r="Q62" s="41">
        <f t="shared" si="11"/>
        <v>436.5</v>
      </c>
      <c r="R62" s="47">
        <f t="shared" si="12"/>
        <v>390</v>
      </c>
      <c r="S62" s="41">
        <f t="shared" si="13"/>
        <v>156.5</v>
      </c>
      <c r="T62" s="48">
        <f t="shared" si="14"/>
        <v>0.6042372881</v>
      </c>
    </row>
    <row r="63" ht="15.75" customHeight="1">
      <c r="A63" s="14">
        <v>50.0</v>
      </c>
      <c r="B63" s="13" t="s">
        <v>381</v>
      </c>
      <c r="C63" s="38">
        <f>SUMIFS('2. Recetas'!$G$5:$G$275,'2. Recetas'!$A$5:$A$275,$A63)</f>
        <v>128.95</v>
      </c>
      <c r="D63" s="16">
        <v>18.0</v>
      </c>
      <c r="E63" s="16">
        <v>4.0</v>
      </c>
      <c r="F63" s="15">
        <v>8.0</v>
      </c>
      <c r="G63" s="41">
        <f t="shared" si="1"/>
        <v>10</v>
      </c>
      <c r="H63" s="41">
        <f t="shared" si="2"/>
        <v>35.75</v>
      </c>
      <c r="I63" s="43">
        <f t="shared" si="3"/>
        <v>196.7</v>
      </c>
      <c r="J63" s="44">
        <f t="shared" si="4"/>
        <v>0.15</v>
      </c>
      <c r="K63" s="45">
        <f t="shared" si="5"/>
        <v>231.4117647</v>
      </c>
      <c r="L63" s="46">
        <f t="shared" si="6"/>
        <v>580</v>
      </c>
      <c r="M63" s="41">
        <f t="shared" si="7"/>
        <v>348.5882353</v>
      </c>
      <c r="N63" s="47">
        <f t="shared" si="8"/>
        <v>780</v>
      </c>
      <c r="O63" s="41">
        <f t="shared" si="9"/>
        <v>548.5882353</v>
      </c>
      <c r="P63" s="47">
        <f t="shared" si="10"/>
        <v>670</v>
      </c>
      <c r="Q63" s="41">
        <f t="shared" si="11"/>
        <v>438.5882353</v>
      </c>
      <c r="R63" s="47">
        <f t="shared" si="12"/>
        <v>390</v>
      </c>
      <c r="S63" s="41">
        <f t="shared" si="13"/>
        <v>158.5882353</v>
      </c>
      <c r="T63" s="48">
        <f t="shared" si="14"/>
        <v>0.6010141988</v>
      </c>
    </row>
    <row r="64" ht="15.75" customHeight="1">
      <c r="B64" s="49" t="s">
        <v>384</v>
      </c>
      <c r="C64" s="45">
        <f>AVERAGE(C14:C63)</f>
        <v>112.1331667</v>
      </c>
      <c r="I64" s="45">
        <f>AVERAGE(I14:I63)</f>
        <v>179.8831667</v>
      </c>
      <c r="K64" s="45">
        <f t="shared" ref="K64:M64" si="15">AVERAGE(K14:K63)</f>
        <v>211.6272549</v>
      </c>
      <c r="L64" s="46">
        <f t="shared" si="15"/>
        <v>533.8</v>
      </c>
      <c r="M64" s="45">
        <f t="shared" si="15"/>
        <v>322.1727451</v>
      </c>
      <c r="T64" s="51">
        <f>AVERAGE(T14:T63)</f>
        <v>0.60395017</v>
      </c>
    </row>
    <row r="65" ht="15.75" customHeight="1"/>
    <row r="66" ht="15.75" customHeight="1">
      <c r="B66" s="33" t="s">
        <v>387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3:$T$63"/>
  <mergeCells count="1">
    <mergeCell ref="A1:T1"/>
  </mergeCells>
  <conditionalFormatting sqref="M14:M63">
    <cfRule type="cellIs" dxfId="0" priority="1" operator="lessThan">
      <formula>0</formula>
    </cfRule>
  </conditionalFormatting>
  <conditionalFormatting sqref="O14:O63">
    <cfRule type="cellIs" dxfId="0" priority="2" operator="lessThan">
      <formula>0</formula>
    </cfRule>
  </conditionalFormatting>
  <conditionalFormatting sqref="Q14:Q63">
    <cfRule type="cellIs" dxfId="0" priority="3" operator="lessThan">
      <formula>0</formula>
    </cfRule>
  </conditionalFormatting>
  <conditionalFormatting sqref="S14:S63">
    <cfRule type="cellIs" dxfId="0" priority="4" operator="less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1.0"/>
    <col customWidth="1" min="2" max="2" width="13.0"/>
    <col customWidth="1" min="3" max="3" width="10.0"/>
    <col customWidth="1" min="4" max="4" width="40.0"/>
    <col customWidth="1" min="5" max="7" width="12.0"/>
    <col customWidth="1" min="8" max="8" width="11.0"/>
    <col customWidth="1" min="9" max="9" width="24.0"/>
    <col customWidth="1" min="10" max="10" width="13.0"/>
    <col customWidth="1" min="11" max="11" width="14.0"/>
    <col customWidth="1" min="12" max="12" width="34.0"/>
    <col customWidth="1" min="13" max="26" width="8.71"/>
  </cols>
  <sheetData>
    <row r="1" ht="30.0" customHeight="1">
      <c r="A1" s="1" t="s">
        <v>136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140</v>
      </c>
    </row>
    <row r="3">
      <c r="A3" s="49" t="s">
        <v>142</v>
      </c>
      <c r="D3" s="50">
        <f>SUM(F8:F207)</f>
        <v>10</v>
      </c>
    </row>
    <row r="4">
      <c r="A4" s="49" t="s">
        <v>146</v>
      </c>
      <c r="D4" s="50">
        <f>SUM(G8:G207)</f>
        <v>2</v>
      </c>
    </row>
    <row r="5">
      <c r="A5" s="49" t="s">
        <v>148</v>
      </c>
      <c r="D5" s="51">
        <f>IFERROR(D4/(D3+D4),0)</f>
        <v>0.1666666667</v>
      </c>
    </row>
    <row r="6">
      <c r="A6" s="49" t="s">
        <v>151</v>
      </c>
      <c r="D6" s="46">
        <f>SUM(K8:K207)</f>
        <v>348.4705882</v>
      </c>
    </row>
    <row r="7" ht="31.5" customHeight="1">
      <c r="A7" s="5" t="s">
        <v>155</v>
      </c>
      <c r="B7" s="5" t="s">
        <v>156</v>
      </c>
      <c r="C7" s="5" t="s">
        <v>157</v>
      </c>
      <c r="D7" s="5" t="s">
        <v>77</v>
      </c>
      <c r="E7" s="5" t="s">
        <v>159</v>
      </c>
      <c r="F7" s="5" t="s">
        <v>161</v>
      </c>
      <c r="G7" s="5" t="s">
        <v>162</v>
      </c>
      <c r="H7" s="5" t="s">
        <v>164</v>
      </c>
      <c r="I7" s="5" t="s">
        <v>165</v>
      </c>
      <c r="J7" s="5" t="s">
        <v>167</v>
      </c>
      <c r="K7" s="5" t="s">
        <v>168</v>
      </c>
      <c r="L7" s="5" t="s">
        <v>15</v>
      </c>
    </row>
    <row r="8">
      <c r="A8" s="32">
        <v>46235.0</v>
      </c>
      <c r="B8" s="30" t="s">
        <v>169</v>
      </c>
      <c r="C8" s="15">
        <v>1.0</v>
      </c>
      <c r="D8" s="52" t="str">
        <f t="array" ref="D8">IFERROR(INDEX('3. Costeo y Precios'!$B$14:$B$63,MATCH($C8,'3. Costeo y Precios'!$A$14:$A$63,0)),"")</f>
        <v>Vela de Mantequilla de Ajo Rostizado y Romero Fresco</v>
      </c>
      <c r="E8" s="15">
        <v>12.0</v>
      </c>
      <c r="F8" s="15">
        <v>10.0</v>
      </c>
      <c r="G8" s="15">
        <v>2.0</v>
      </c>
      <c r="H8" s="48">
        <f t="shared" ref="H8:H207" si="1">IFERROR(G8/(F8+G8),"")</f>
        <v>0.1666666667</v>
      </c>
      <c r="I8" s="30" t="s">
        <v>183</v>
      </c>
      <c r="J8" s="38">
        <f t="array" ref="J8">IFERROR(INDEX('3. Costeo y Precios'!$K$14:$K$63,MATCH($C8,'3. Costeo y Precios'!$A$14:$A$63,0)),0)</f>
        <v>174.2352941</v>
      </c>
      <c r="K8" s="41">
        <f t="shared" ref="K8:K207" si="2">IF($C8="","",G8*J8)</f>
        <v>348.4705882</v>
      </c>
      <c r="L8" s="53" t="s">
        <v>188</v>
      </c>
    </row>
    <row r="9">
      <c r="A9" s="32"/>
      <c r="B9" s="30"/>
      <c r="C9" s="54">
        <v>23.0</v>
      </c>
      <c r="D9" s="52" t="str">
        <f t="array" ref="D9">IFERROR(INDEX('3. Costeo y Precios'!$B$14:$B$63,MATCH($C9,'3. Costeo y Precios'!$A$14:$A$63,0)),"")</f>
        <v>Vela de Manteca de Cerdo con Especias de Chorizo</v>
      </c>
      <c r="E9" s="15"/>
      <c r="F9" s="15"/>
      <c r="G9" s="15"/>
      <c r="H9" s="48" t="str">
        <f t="shared" si="1"/>
        <v/>
      </c>
      <c r="I9" s="30"/>
      <c r="J9" s="38">
        <f t="array" ref="J9">IFERROR(INDEX('3. Costeo y Precios'!$K$14:$K$63,MATCH($C9,'3. Costeo y Precios'!$A$14:$A$63,0)),0)</f>
        <v>124.7058824</v>
      </c>
      <c r="K9" s="41">
        <f t="shared" si="2"/>
        <v>0</v>
      </c>
      <c r="L9" s="30"/>
    </row>
    <row r="10">
      <c r="A10" s="32"/>
      <c r="B10" s="30"/>
      <c r="C10" s="54">
        <v>5.0</v>
      </c>
      <c r="D10" s="52" t="str">
        <f t="array" ref="D10">IFERROR(INDEX('3. Costeo y Precios'!$B$14:$B$63,MATCH($C10,'3. Costeo y Precios'!$A$14:$A$63,0)),"")</f>
        <v>Vela de Mantequilla de Chile de Árbol, Limón y Sal de Mar</v>
      </c>
      <c r="E10" s="15"/>
      <c r="F10" s="15"/>
      <c r="G10" s="15"/>
      <c r="H10" s="48" t="str">
        <f t="shared" si="1"/>
        <v/>
      </c>
      <c r="I10" s="30"/>
      <c r="J10" s="38">
        <f t="array" ref="J10">IFERROR(INDEX('3. Costeo y Precios'!$K$14:$K$63,MATCH($C10,'3. Costeo y Precios'!$A$14:$A$63,0)),0)</f>
        <v>152</v>
      </c>
      <c r="K10" s="41">
        <f t="shared" si="2"/>
        <v>0</v>
      </c>
      <c r="L10" s="30"/>
    </row>
    <row r="11">
      <c r="A11" s="32"/>
      <c r="B11" s="30"/>
      <c r="C11" s="15"/>
      <c r="D11" s="52" t="str">
        <f t="array" ref="D11">IFERROR(INDEX('3. Costeo y Precios'!$B$14:$B$63,MATCH($C11,'3. Costeo y Precios'!$A$14:$A$63,0)),"")</f>
        <v/>
      </c>
      <c r="E11" s="15"/>
      <c r="F11" s="15"/>
      <c r="G11" s="15"/>
      <c r="H11" s="48" t="str">
        <f t="shared" si="1"/>
        <v/>
      </c>
      <c r="I11" s="30"/>
      <c r="J11" s="38">
        <f t="array" ref="J11">IFERROR(INDEX('3. Costeo y Precios'!$K$14:$K$63,MATCH($C11,'3. Costeo y Precios'!$A$14:$A$63,0)),0)</f>
        <v>0</v>
      </c>
      <c r="K11" s="41" t="str">
        <f t="shared" si="2"/>
        <v/>
      </c>
      <c r="L11" s="30"/>
    </row>
    <row r="12">
      <c r="A12" s="32"/>
      <c r="B12" s="30"/>
      <c r="C12" s="15"/>
      <c r="D12" s="52" t="str">
        <f t="array" ref="D12">IFERROR(INDEX('3. Costeo y Precios'!$B$14:$B$63,MATCH($C12,'3. Costeo y Precios'!$A$14:$A$63,0)),"")</f>
        <v/>
      </c>
      <c r="E12" s="15"/>
      <c r="F12" s="15"/>
      <c r="G12" s="15"/>
      <c r="H12" s="48" t="str">
        <f t="shared" si="1"/>
        <v/>
      </c>
      <c r="I12" s="30"/>
      <c r="J12" s="38">
        <f t="array" ref="J12">IFERROR(INDEX('3. Costeo y Precios'!$K$14:$K$63,MATCH($C12,'3. Costeo y Precios'!$A$14:$A$63,0)),0)</f>
        <v>0</v>
      </c>
      <c r="K12" s="41" t="str">
        <f t="shared" si="2"/>
        <v/>
      </c>
      <c r="L12" s="30"/>
    </row>
    <row r="13">
      <c r="A13" s="32"/>
      <c r="B13" s="30"/>
      <c r="C13" s="15"/>
      <c r="D13" s="52" t="str">
        <f t="array" ref="D13">IFERROR(INDEX('3. Costeo y Precios'!$B$14:$B$63,MATCH($C13,'3. Costeo y Precios'!$A$14:$A$63,0)),"")</f>
        <v/>
      </c>
      <c r="E13" s="15"/>
      <c r="F13" s="15"/>
      <c r="G13" s="15"/>
      <c r="H13" s="48" t="str">
        <f t="shared" si="1"/>
        <v/>
      </c>
      <c r="I13" s="30"/>
      <c r="J13" s="38">
        <f t="array" ref="J13">IFERROR(INDEX('3. Costeo y Precios'!$K$14:$K$63,MATCH($C13,'3. Costeo y Precios'!$A$14:$A$63,0)),0)</f>
        <v>0</v>
      </c>
      <c r="K13" s="41" t="str">
        <f t="shared" si="2"/>
        <v/>
      </c>
      <c r="L13" s="30"/>
    </row>
    <row r="14">
      <c r="A14" s="32"/>
      <c r="B14" s="30"/>
      <c r="C14" s="15"/>
      <c r="D14" s="52" t="str">
        <f t="array" ref="D14">IFERROR(INDEX('3. Costeo y Precios'!$B$14:$B$63,MATCH($C14,'3. Costeo y Precios'!$A$14:$A$63,0)),"")</f>
        <v/>
      </c>
      <c r="E14" s="15"/>
      <c r="F14" s="15"/>
      <c r="G14" s="15"/>
      <c r="H14" s="48" t="str">
        <f t="shared" si="1"/>
        <v/>
      </c>
      <c r="I14" s="30"/>
      <c r="J14" s="38">
        <f t="array" ref="J14">IFERROR(INDEX('3. Costeo y Precios'!$K$14:$K$63,MATCH($C14,'3. Costeo y Precios'!$A$14:$A$63,0)),0)</f>
        <v>0</v>
      </c>
      <c r="K14" s="41" t="str">
        <f t="shared" si="2"/>
        <v/>
      </c>
      <c r="L14" s="30"/>
    </row>
    <row r="15">
      <c r="A15" s="32"/>
      <c r="B15" s="30"/>
      <c r="C15" s="15"/>
      <c r="D15" s="52" t="str">
        <f t="array" ref="D15">IFERROR(INDEX('3. Costeo y Precios'!$B$14:$B$63,MATCH($C15,'3. Costeo y Precios'!$A$14:$A$63,0)),"")</f>
        <v/>
      </c>
      <c r="E15" s="15"/>
      <c r="F15" s="15"/>
      <c r="G15" s="15"/>
      <c r="H15" s="48" t="str">
        <f t="shared" si="1"/>
        <v/>
      </c>
      <c r="I15" s="30"/>
      <c r="J15" s="38">
        <f t="array" ref="J15">IFERROR(INDEX('3. Costeo y Precios'!$K$14:$K$63,MATCH($C15,'3. Costeo y Precios'!$A$14:$A$63,0)),0)</f>
        <v>0</v>
      </c>
      <c r="K15" s="41" t="str">
        <f t="shared" si="2"/>
        <v/>
      </c>
      <c r="L15" s="30"/>
    </row>
    <row r="16">
      <c r="A16" s="32"/>
      <c r="B16" s="30"/>
      <c r="C16" s="15"/>
      <c r="D16" s="52" t="str">
        <f t="array" ref="D16">IFERROR(INDEX('3. Costeo y Precios'!$B$14:$B$63,MATCH($C16,'3. Costeo y Precios'!$A$14:$A$63,0)),"")</f>
        <v/>
      </c>
      <c r="E16" s="15"/>
      <c r="F16" s="15"/>
      <c r="G16" s="15"/>
      <c r="H16" s="48" t="str">
        <f t="shared" si="1"/>
        <v/>
      </c>
      <c r="I16" s="30"/>
      <c r="J16" s="38">
        <f t="array" ref="J16">IFERROR(INDEX('3. Costeo y Precios'!$K$14:$K$63,MATCH($C16,'3. Costeo y Precios'!$A$14:$A$63,0)),0)</f>
        <v>0</v>
      </c>
      <c r="K16" s="41" t="str">
        <f t="shared" si="2"/>
        <v/>
      </c>
      <c r="L16" s="30"/>
    </row>
    <row r="17">
      <c r="A17" s="32"/>
      <c r="B17" s="30"/>
      <c r="C17" s="15"/>
      <c r="D17" s="52" t="str">
        <f t="array" ref="D17">IFERROR(INDEX('3. Costeo y Precios'!$B$14:$B$63,MATCH($C17,'3. Costeo y Precios'!$A$14:$A$63,0)),"")</f>
        <v/>
      </c>
      <c r="E17" s="15"/>
      <c r="F17" s="15"/>
      <c r="G17" s="15"/>
      <c r="H17" s="48" t="str">
        <f t="shared" si="1"/>
        <v/>
      </c>
      <c r="I17" s="30"/>
      <c r="J17" s="38">
        <f t="array" ref="J17">IFERROR(INDEX('3. Costeo y Precios'!$K$14:$K$63,MATCH($C17,'3. Costeo y Precios'!$A$14:$A$63,0)),0)</f>
        <v>0</v>
      </c>
      <c r="K17" s="41" t="str">
        <f t="shared" si="2"/>
        <v/>
      </c>
      <c r="L17" s="30"/>
    </row>
    <row r="18">
      <c r="A18" s="32"/>
      <c r="B18" s="30"/>
      <c r="C18" s="15"/>
      <c r="D18" s="52" t="str">
        <f t="array" ref="D18">IFERROR(INDEX('3. Costeo y Precios'!$B$14:$B$63,MATCH($C18,'3. Costeo y Precios'!$A$14:$A$63,0)),"")</f>
        <v/>
      </c>
      <c r="E18" s="15"/>
      <c r="F18" s="15"/>
      <c r="G18" s="15"/>
      <c r="H18" s="48" t="str">
        <f t="shared" si="1"/>
        <v/>
      </c>
      <c r="I18" s="30"/>
      <c r="J18" s="38">
        <f t="array" ref="J18">IFERROR(INDEX('3. Costeo y Precios'!$K$14:$K$63,MATCH($C18,'3. Costeo y Precios'!$A$14:$A$63,0)),0)</f>
        <v>0</v>
      </c>
      <c r="K18" s="41" t="str">
        <f t="shared" si="2"/>
        <v/>
      </c>
      <c r="L18" s="30"/>
    </row>
    <row r="19">
      <c r="A19" s="32"/>
      <c r="B19" s="30"/>
      <c r="C19" s="15"/>
      <c r="D19" s="52" t="str">
        <f t="array" ref="D19">IFERROR(INDEX('3. Costeo y Precios'!$B$14:$B$63,MATCH($C19,'3. Costeo y Precios'!$A$14:$A$63,0)),"")</f>
        <v/>
      </c>
      <c r="E19" s="15"/>
      <c r="F19" s="15"/>
      <c r="G19" s="15"/>
      <c r="H19" s="48" t="str">
        <f t="shared" si="1"/>
        <v/>
      </c>
      <c r="I19" s="30"/>
      <c r="J19" s="38">
        <f t="array" ref="J19">IFERROR(INDEX('3. Costeo y Precios'!$K$14:$K$63,MATCH($C19,'3. Costeo y Precios'!$A$14:$A$63,0)),0)</f>
        <v>0</v>
      </c>
      <c r="K19" s="41" t="str">
        <f t="shared" si="2"/>
        <v/>
      </c>
      <c r="L19" s="30"/>
    </row>
    <row r="20">
      <c r="A20" s="32"/>
      <c r="B20" s="30"/>
      <c r="C20" s="15"/>
      <c r="D20" s="52" t="str">
        <f t="array" ref="D20">IFERROR(INDEX('3. Costeo y Precios'!$B$14:$B$63,MATCH($C20,'3. Costeo y Precios'!$A$14:$A$63,0)),"")</f>
        <v/>
      </c>
      <c r="E20" s="15"/>
      <c r="F20" s="15"/>
      <c r="G20" s="15"/>
      <c r="H20" s="48" t="str">
        <f t="shared" si="1"/>
        <v/>
      </c>
      <c r="I20" s="30"/>
      <c r="J20" s="38">
        <f t="array" ref="J20">IFERROR(INDEX('3. Costeo y Precios'!$K$14:$K$63,MATCH($C20,'3. Costeo y Precios'!$A$14:$A$63,0)),0)</f>
        <v>0</v>
      </c>
      <c r="K20" s="41" t="str">
        <f t="shared" si="2"/>
        <v/>
      </c>
      <c r="L20" s="30"/>
    </row>
    <row r="21" ht="15.75" customHeight="1">
      <c r="A21" s="32"/>
      <c r="B21" s="30"/>
      <c r="C21" s="15"/>
      <c r="D21" s="52" t="str">
        <f t="array" ref="D21">IFERROR(INDEX('3. Costeo y Precios'!$B$14:$B$63,MATCH($C21,'3. Costeo y Precios'!$A$14:$A$63,0)),"")</f>
        <v/>
      </c>
      <c r="E21" s="15"/>
      <c r="F21" s="15"/>
      <c r="G21" s="15"/>
      <c r="H21" s="48" t="str">
        <f t="shared" si="1"/>
        <v/>
      </c>
      <c r="I21" s="30"/>
      <c r="J21" s="38">
        <f t="array" ref="J21">IFERROR(INDEX('3. Costeo y Precios'!$K$14:$K$63,MATCH($C21,'3. Costeo y Precios'!$A$14:$A$63,0)),0)</f>
        <v>0</v>
      </c>
      <c r="K21" s="41" t="str">
        <f t="shared" si="2"/>
        <v/>
      </c>
      <c r="L21" s="30"/>
    </row>
    <row r="22" ht="15.75" customHeight="1">
      <c r="A22" s="32"/>
      <c r="B22" s="30"/>
      <c r="C22" s="15"/>
      <c r="D22" s="52" t="str">
        <f t="array" ref="D22">IFERROR(INDEX('3. Costeo y Precios'!$B$14:$B$63,MATCH($C22,'3. Costeo y Precios'!$A$14:$A$63,0)),"")</f>
        <v/>
      </c>
      <c r="E22" s="15"/>
      <c r="F22" s="15"/>
      <c r="G22" s="15"/>
      <c r="H22" s="48" t="str">
        <f t="shared" si="1"/>
        <v/>
      </c>
      <c r="I22" s="30"/>
      <c r="J22" s="38">
        <f t="array" ref="J22">IFERROR(INDEX('3. Costeo y Precios'!$K$14:$K$63,MATCH($C22,'3. Costeo y Precios'!$A$14:$A$63,0)),0)</f>
        <v>0</v>
      </c>
      <c r="K22" s="41" t="str">
        <f t="shared" si="2"/>
        <v/>
      </c>
      <c r="L22" s="30"/>
    </row>
    <row r="23" ht="15.75" customHeight="1">
      <c r="A23" s="32"/>
      <c r="B23" s="30"/>
      <c r="C23" s="15"/>
      <c r="D23" s="52" t="str">
        <f t="array" ref="D23">IFERROR(INDEX('3. Costeo y Precios'!$B$14:$B$63,MATCH($C23,'3. Costeo y Precios'!$A$14:$A$63,0)),"")</f>
        <v/>
      </c>
      <c r="E23" s="15"/>
      <c r="F23" s="15"/>
      <c r="G23" s="15"/>
      <c r="H23" s="48" t="str">
        <f t="shared" si="1"/>
        <v/>
      </c>
      <c r="I23" s="30"/>
      <c r="J23" s="38">
        <f t="array" ref="J23">IFERROR(INDEX('3. Costeo y Precios'!$K$14:$K$63,MATCH($C23,'3. Costeo y Precios'!$A$14:$A$63,0)),0)</f>
        <v>0</v>
      </c>
      <c r="K23" s="41" t="str">
        <f t="shared" si="2"/>
        <v/>
      </c>
      <c r="L23" s="30"/>
    </row>
    <row r="24" ht="15.75" customHeight="1">
      <c r="A24" s="32"/>
      <c r="B24" s="30"/>
      <c r="C24" s="15"/>
      <c r="D24" s="52" t="str">
        <f t="array" ref="D24">IFERROR(INDEX('3. Costeo y Precios'!$B$14:$B$63,MATCH($C24,'3. Costeo y Precios'!$A$14:$A$63,0)),"")</f>
        <v/>
      </c>
      <c r="E24" s="15"/>
      <c r="F24" s="15"/>
      <c r="G24" s="15"/>
      <c r="H24" s="48" t="str">
        <f t="shared" si="1"/>
        <v/>
      </c>
      <c r="I24" s="30"/>
      <c r="J24" s="38">
        <f t="array" ref="J24">IFERROR(INDEX('3. Costeo y Precios'!$K$14:$K$63,MATCH($C24,'3. Costeo y Precios'!$A$14:$A$63,0)),0)</f>
        <v>0</v>
      </c>
      <c r="K24" s="41" t="str">
        <f t="shared" si="2"/>
        <v/>
      </c>
      <c r="L24" s="30"/>
    </row>
    <row r="25" ht="15.75" customHeight="1">
      <c r="A25" s="32"/>
      <c r="B25" s="30"/>
      <c r="C25" s="15"/>
      <c r="D25" s="52" t="str">
        <f t="array" ref="D25">IFERROR(INDEX('3. Costeo y Precios'!$B$14:$B$63,MATCH($C25,'3. Costeo y Precios'!$A$14:$A$63,0)),"")</f>
        <v/>
      </c>
      <c r="E25" s="15"/>
      <c r="F25" s="15"/>
      <c r="G25" s="15"/>
      <c r="H25" s="48" t="str">
        <f t="shared" si="1"/>
        <v/>
      </c>
      <c r="I25" s="30"/>
      <c r="J25" s="38">
        <f t="array" ref="J25">IFERROR(INDEX('3. Costeo y Precios'!$K$14:$K$63,MATCH($C25,'3. Costeo y Precios'!$A$14:$A$63,0)),0)</f>
        <v>0</v>
      </c>
      <c r="K25" s="41" t="str">
        <f t="shared" si="2"/>
        <v/>
      </c>
      <c r="L25" s="30"/>
    </row>
    <row r="26" ht="15.75" customHeight="1">
      <c r="A26" s="32"/>
      <c r="B26" s="30"/>
      <c r="C26" s="15"/>
      <c r="D26" s="52" t="str">
        <f t="array" ref="D26">IFERROR(INDEX('3. Costeo y Precios'!$B$14:$B$63,MATCH($C26,'3. Costeo y Precios'!$A$14:$A$63,0)),"")</f>
        <v/>
      </c>
      <c r="E26" s="15"/>
      <c r="F26" s="15"/>
      <c r="G26" s="15"/>
      <c r="H26" s="48" t="str">
        <f t="shared" si="1"/>
        <v/>
      </c>
      <c r="I26" s="30"/>
      <c r="J26" s="38">
        <f t="array" ref="J26">IFERROR(INDEX('3. Costeo y Precios'!$K$14:$K$63,MATCH($C26,'3. Costeo y Precios'!$A$14:$A$63,0)),0)</f>
        <v>0</v>
      </c>
      <c r="K26" s="41" t="str">
        <f t="shared" si="2"/>
        <v/>
      </c>
      <c r="L26" s="30"/>
    </row>
    <row r="27" ht="15.75" customHeight="1">
      <c r="A27" s="32"/>
      <c r="B27" s="30"/>
      <c r="C27" s="15"/>
      <c r="D27" s="52" t="str">
        <f t="array" ref="D27">IFERROR(INDEX('3. Costeo y Precios'!$B$14:$B$63,MATCH($C27,'3. Costeo y Precios'!$A$14:$A$63,0)),"")</f>
        <v/>
      </c>
      <c r="E27" s="15"/>
      <c r="F27" s="15"/>
      <c r="G27" s="15"/>
      <c r="H27" s="48" t="str">
        <f t="shared" si="1"/>
        <v/>
      </c>
      <c r="I27" s="30"/>
      <c r="J27" s="38">
        <f t="array" ref="J27">IFERROR(INDEX('3. Costeo y Precios'!$K$14:$K$63,MATCH($C27,'3. Costeo y Precios'!$A$14:$A$63,0)),0)</f>
        <v>0</v>
      </c>
      <c r="K27" s="41" t="str">
        <f t="shared" si="2"/>
        <v/>
      </c>
      <c r="L27" s="30"/>
    </row>
    <row r="28" ht="15.75" customHeight="1">
      <c r="A28" s="32"/>
      <c r="B28" s="30"/>
      <c r="C28" s="15"/>
      <c r="D28" s="52" t="str">
        <f t="array" ref="D28">IFERROR(INDEX('3. Costeo y Precios'!$B$14:$B$63,MATCH($C28,'3. Costeo y Precios'!$A$14:$A$63,0)),"")</f>
        <v/>
      </c>
      <c r="E28" s="15"/>
      <c r="F28" s="15"/>
      <c r="G28" s="15"/>
      <c r="H28" s="48" t="str">
        <f t="shared" si="1"/>
        <v/>
      </c>
      <c r="I28" s="30"/>
      <c r="J28" s="38">
        <f t="array" ref="J28">IFERROR(INDEX('3. Costeo y Precios'!$K$14:$K$63,MATCH($C28,'3. Costeo y Precios'!$A$14:$A$63,0)),0)</f>
        <v>0</v>
      </c>
      <c r="K28" s="41" t="str">
        <f t="shared" si="2"/>
        <v/>
      </c>
      <c r="L28" s="30"/>
    </row>
    <row r="29" ht="15.75" customHeight="1">
      <c r="A29" s="32"/>
      <c r="B29" s="30"/>
      <c r="C29" s="15"/>
      <c r="D29" s="52" t="str">
        <f t="array" ref="D29">IFERROR(INDEX('3. Costeo y Precios'!$B$14:$B$63,MATCH($C29,'3. Costeo y Precios'!$A$14:$A$63,0)),"")</f>
        <v/>
      </c>
      <c r="E29" s="15"/>
      <c r="F29" s="15"/>
      <c r="G29" s="15"/>
      <c r="H29" s="48" t="str">
        <f t="shared" si="1"/>
        <v/>
      </c>
      <c r="I29" s="30"/>
      <c r="J29" s="38">
        <f t="array" ref="J29">IFERROR(INDEX('3. Costeo y Precios'!$K$14:$K$63,MATCH($C29,'3. Costeo y Precios'!$A$14:$A$63,0)),0)</f>
        <v>0</v>
      </c>
      <c r="K29" s="41" t="str">
        <f t="shared" si="2"/>
        <v/>
      </c>
      <c r="L29" s="30"/>
    </row>
    <row r="30" ht="15.75" customHeight="1">
      <c r="A30" s="32"/>
      <c r="B30" s="30"/>
      <c r="C30" s="15"/>
      <c r="D30" s="52" t="str">
        <f t="array" ref="D30">IFERROR(INDEX('3. Costeo y Precios'!$B$14:$B$63,MATCH($C30,'3. Costeo y Precios'!$A$14:$A$63,0)),"")</f>
        <v/>
      </c>
      <c r="E30" s="15"/>
      <c r="F30" s="15"/>
      <c r="G30" s="15"/>
      <c r="H30" s="48" t="str">
        <f t="shared" si="1"/>
        <v/>
      </c>
      <c r="I30" s="30"/>
      <c r="J30" s="38">
        <f t="array" ref="J30">IFERROR(INDEX('3. Costeo y Precios'!$K$14:$K$63,MATCH($C30,'3. Costeo y Precios'!$A$14:$A$63,0)),0)</f>
        <v>0</v>
      </c>
      <c r="K30" s="41" t="str">
        <f t="shared" si="2"/>
        <v/>
      </c>
      <c r="L30" s="30"/>
    </row>
    <row r="31" ht="15.75" customHeight="1">
      <c r="A31" s="32"/>
      <c r="B31" s="30"/>
      <c r="C31" s="15"/>
      <c r="D31" s="52" t="str">
        <f t="array" ref="D31">IFERROR(INDEX('3. Costeo y Precios'!$B$14:$B$63,MATCH($C31,'3. Costeo y Precios'!$A$14:$A$63,0)),"")</f>
        <v/>
      </c>
      <c r="E31" s="15"/>
      <c r="F31" s="15"/>
      <c r="G31" s="15"/>
      <c r="H31" s="48" t="str">
        <f t="shared" si="1"/>
        <v/>
      </c>
      <c r="I31" s="30"/>
      <c r="J31" s="38">
        <f t="array" ref="J31">IFERROR(INDEX('3. Costeo y Precios'!$K$14:$K$63,MATCH($C31,'3. Costeo y Precios'!$A$14:$A$63,0)),0)</f>
        <v>0</v>
      </c>
      <c r="K31" s="41" t="str">
        <f t="shared" si="2"/>
        <v/>
      </c>
      <c r="L31" s="30"/>
    </row>
    <row r="32" ht="15.75" customHeight="1">
      <c r="A32" s="32"/>
      <c r="B32" s="30"/>
      <c r="C32" s="15"/>
      <c r="D32" s="52" t="str">
        <f t="array" ref="D32">IFERROR(INDEX('3. Costeo y Precios'!$B$14:$B$63,MATCH($C32,'3. Costeo y Precios'!$A$14:$A$63,0)),"")</f>
        <v/>
      </c>
      <c r="E32" s="15"/>
      <c r="F32" s="15"/>
      <c r="G32" s="15"/>
      <c r="H32" s="48" t="str">
        <f t="shared" si="1"/>
        <v/>
      </c>
      <c r="I32" s="30"/>
      <c r="J32" s="38">
        <f t="array" ref="J32">IFERROR(INDEX('3. Costeo y Precios'!$K$14:$K$63,MATCH($C32,'3. Costeo y Precios'!$A$14:$A$63,0)),0)</f>
        <v>0</v>
      </c>
      <c r="K32" s="41" t="str">
        <f t="shared" si="2"/>
        <v/>
      </c>
      <c r="L32" s="30"/>
    </row>
    <row r="33" ht="15.75" customHeight="1">
      <c r="A33" s="32"/>
      <c r="B33" s="30"/>
      <c r="C33" s="15"/>
      <c r="D33" s="52" t="str">
        <f t="array" ref="D33">IFERROR(INDEX('3. Costeo y Precios'!$B$14:$B$63,MATCH($C33,'3. Costeo y Precios'!$A$14:$A$63,0)),"")</f>
        <v/>
      </c>
      <c r="E33" s="15"/>
      <c r="F33" s="15"/>
      <c r="G33" s="15"/>
      <c r="H33" s="48" t="str">
        <f t="shared" si="1"/>
        <v/>
      </c>
      <c r="I33" s="30"/>
      <c r="J33" s="38">
        <f t="array" ref="J33">IFERROR(INDEX('3. Costeo y Precios'!$K$14:$K$63,MATCH($C33,'3. Costeo y Precios'!$A$14:$A$63,0)),0)</f>
        <v>0</v>
      </c>
      <c r="K33" s="41" t="str">
        <f t="shared" si="2"/>
        <v/>
      </c>
      <c r="L33" s="30"/>
    </row>
    <row r="34" ht="15.75" customHeight="1">
      <c r="A34" s="32"/>
      <c r="B34" s="30"/>
      <c r="C34" s="15"/>
      <c r="D34" s="52" t="str">
        <f t="array" ref="D34">IFERROR(INDEX('3. Costeo y Precios'!$B$14:$B$63,MATCH($C34,'3. Costeo y Precios'!$A$14:$A$63,0)),"")</f>
        <v/>
      </c>
      <c r="E34" s="15"/>
      <c r="F34" s="15"/>
      <c r="G34" s="15"/>
      <c r="H34" s="48" t="str">
        <f t="shared" si="1"/>
        <v/>
      </c>
      <c r="I34" s="30"/>
      <c r="J34" s="38">
        <f t="array" ref="J34">IFERROR(INDEX('3. Costeo y Precios'!$K$14:$K$63,MATCH($C34,'3. Costeo y Precios'!$A$14:$A$63,0)),0)</f>
        <v>0</v>
      </c>
      <c r="K34" s="41" t="str">
        <f t="shared" si="2"/>
        <v/>
      </c>
      <c r="L34" s="30"/>
    </row>
    <row r="35" ht="15.75" customHeight="1">
      <c r="A35" s="32"/>
      <c r="B35" s="30"/>
      <c r="C35" s="15"/>
      <c r="D35" s="52" t="str">
        <f t="array" ref="D35">IFERROR(INDEX('3. Costeo y Precios'!$B$14:$B$63,MATCH($C35,'3. Costeo y Precios'!$A$14:$A$63,0)),"")</f>
        <v/>
      </c>
      <c r="E35" s="15"/>
      <c r="F35" s="15"/>
      <c r="G35" s="15"/>
      <c r="H35" s="48" t="str">
        <f t="shared" si="1"/>
        <v/>
      </c>
      <c r="I35" s="30"/>
      <c r="J35" s="38">
        <f t="array" ref="J35">IFERROR(INDEX('3. Costeo y Precios'!$K$14:$K$63,MATCH($C35,'3. Costeo y Precios'!$A$14:$A$63,0)),0)</f>
        <v>0</v>
      </c>
      <c r="K35" s="41" t="str">
        <f t="shared" si="2"/>
        <v/>
      </c>
      <c r="L35" s="30"/>
    </row>
    <row r="36" ht="15.75" customHeight="1">
      <c r="A36" s="32"/>
      <c r="B36" s="30"/>
      <c r="C36" s="15"/>
      <c r="D36" s="52" t="str">
        <f t="array" ref="D36">IFERROR(INDEX('3. Costeo y Precios'!$B$14:$B$63,MATCH($C36,'3. Costeo y Precios'!$A$14:$A$63,0)),"")</f>
        <v/>
      </c>
      <c r="E36" s="15"/>
      <c r="F36" s="15"/>
      <c r="G36" s="15"/>
      <c r="H36" s="48" t="str">
        <f t="shared" si="1"/>
        <v/>
      </c>
      <c r="I36" s="30"/>
      <c r="J36" s="38">
        <f t="array" ref="J36">IFERROR(INDEX('3. Costeo y Precios'!$K$14:$K$63,MATCH($C36,'3. Costeo y Precios'!$A$14:$A$63,0)),0)</f>
        <v>0</v>
      </c>
      <c r="K36" s="41" t="str">
        <f t="shared" si="2"/>
        <v/>
      </c>
      <c r="L36" s="30"/>
    </row>
    <row r="37" ht="15.75" customHeight="1">
      <c r="A37" s="32"/>
      <c r="B37" s="30"/>
      <c r="C37" s="15"/>
      <c r="D37" s="52" t="str">
        <f t="array" ref="D37">IFERROR(INDEX('3. Costeo y Precios'!$B$14:$B$63,MATCH($C37,'3. Costeo y Precios'!$A$14:$A$63,0)),"")</f>
        <v/>
      </c>
      <c r="E37" s="15"/>
      <c r="F37" s="15"/>
      <c r="G37" s="15"/>
      <c r="H37" s="48" t="str">
        <f t="shared" si="1"/>
        <v/>
      </c>
      <c r="I37" s="30"/>
      <c r="J37" s="38">
        <f t="array" ref="J37">IFERROR(INDEX('3. Costeo y Precios'!$K$14:$K$63,MATCH($C37,'3. Costeo y Precios'!$A$14:$A$63,0)),0)</f>
        <v>0</v>
      </c>
      <c r="K37" s="41" t="str">
        <f t="shared" si="2"/>
        <v/>
      </c>
      <c r="L37" s="30"/>
    </row>
    <row r="38" ht="15.75" customHeight="1">
      <c r="A38" s="32"/>
      <c r="B38" s="30"/>
      <c r="C38" s="15"/>
      <c r="D38" s="52" t="str">
        <f t="array" ref="D38">IFERROR(INDEX('3. Costeo y Precios'!$B$14:$B$63,MATCH($C38,'3. Costeo y Precios'!$A$14:$A$63,0)),"")</f>
        <v/>
      </c>
      <c r="E38" s="15"/>
      <c r="F38" s="15"/>
      <c r="G38" s="15"/>
      <c r="H38" s="48" t="str">
        <f t="shared" si="1"/>
        <v/>
      </c>
      <c r="I38" s="30"/>
      <c r="J38" s="38">
        <f t="array" ref="J38">IFERROR(INDEX('3. Costeo y Precios'!$K$14:$K$63,MATCH($C38,'3. Costeo y Precios'!$A$14:$A$63,0)),0)</f>
        <v>0</v>
      </c>
      <c r="K38" s="41" t="str">
        <f t="shared" si="2"/>
        <v/>
      </c>
      <c r="L38" s="30"/>
    </row>
    <row r="39" ht="15.75" customHeight="1">
      <c r="A39" s="32"/>
      <c r="B39" s="30"/>
      <c r="C39" s="15"/>
      <c r="D39" s="52" t="str">
        <f t="array" ref="D39">IFERROR(INDEX('3. Costeo y Precios'!$B$14:$B$63,MATCH($C39,'3. Costeo y Precios'!$A$14:$A$63,0)),"")</f>
        <v/>
      </c>
      <c r="E39" s="15"/>
      <c r="F39" s="15"/>
      <c r="G39" s="15"/>
      <c r="H39" s="48" t="str">
        <f t="shared" si="1"/>
        <v/>
      </c>
      <c r="I39" s="30"/>
      <c r="J39" s="38">
        <f t="array" ref="J39">IFERROR(INDEX('3. Costeo y Precios'!$K$14:$K$63,MATCH($C39,'3. Costeo y Precios'!$A$14:$A$63,0)),0)</f>
        <v>0</v>
      </c>
      <c r="K39" s="41" t="str">
        <f t="shared" si="2"/>
        <v/>
      </c>
      <c r="L39" s="30"/>
    </row>
    <row r="40" ht="15.75" customHeight="1">
      <c r="A40" s="32"/>
      <c r="B40" s="30"/>
      <c r="C40" s="15"/>
      <c r="D40" s="52" t="str">
        <f t="array" ref="D40">IFERROR(INDEX('3. Costeo y Precios'!$B$14:$B$63,MATCH($C40,'3. Costeo y Precios'!$A$14:$A$63,0)),"")</f>
        <v/>
      </c>
      <c r="E40" s="15"/>
      <c r="F40" s="15"/>
      <c r="G40" s="15"/>
      <c r="H40" s="48" t="str">
        <f t="shared" si="1"/>
        <v/>
      </c>
      <c r="I40" s="30"/>
      <c r="J40" s="38">
        <f t="array" ref="J40">IFERROR(INDEX('3. Costeo y Precios'!$K$14:$K$63,MATCH($C40,'3. Costeo y Precios'!$A$14:$A$63,0)),0)</f>
        <v>0</v>
      </c>
      <c r="K40" s="41" t="str">
        <f t="shared" si="2"/>
        <v/>
      </c>
      <c r="L40" s="30"/>
    </row>
    <row r="41" ht="15.75" customHeight="1">
      <c r="A41" s="32"/>
      <c r="B41" s="30"/>
      <c r="C41" s="15"/>
      <c r="D41" s="52" t="str">
        <f t="array" ref="D41">IFERROR(INDEX('3. Costeo y Precios'!$B$14:$B$63,MATCH($C41,'3. Costeo y Precios'!$A$14:$A$63,0)),"")</f>
        <v/>
      </c>
      <c r="E41" s="15"/>
      <c r="F41" s="15"/>
      <c r="G41" s="15"/>
      <c r="H41" s="48" t="str">
        <f t="shared" si="1"/>
        <v/>
      </c>
      <c r="I41" s="30"/>
      <c r="J41" s="38">
        <f t="array" ref="J41">IFERROR(INDEX('3. Costeo y Precios'!$K$14:$K$63,MATCH($C41,'3. Costeo y Precios'!$A$14:$A$63,0)),0)</f>
        <v>0</v>
      </c>
      <c r="K41" s="41" t="str">
        <f t="shared" si="2"/>
        <v/>
      </c>
      <c r="L41" s="30"/>
    </row>
    <row r="42" ht="15.75" customHeight="1">
      <c r="A42" s="32"/>
      <c r="B42" s="30"/>
      <c r="C42" s="15"/>
      <c r="D42" s="52" t="str">
        <f t="array" ref="D42">IFERROR(INDEX('3. Costeo y Precios'!$B$14:$B$63,MATCH($C42,'3. Costeo y Precios'!$A$14:$A$63,0)),"")</f>
        <v/>
      </c>
      <c r="E42" s="15"/>
      <c r="F42" s="15"/>
      <c r="G42" s="15"/>
      <c r="H42" s="48" t="str">
        <f t="shared" si="1"/>
        <v/>
      </c>
      <c r="I42" s="30"/>
      <c r="J42" s="38">
        <f t="array" ref="J42">IFERROR(INDEX('3. Costeo y Precios'!$K$14:$K$63,MATCH($C42,'3. Costeo y Precios'!$A$14:$A$63,0)),0)</f>
        <v>0</v>
      </c>
      <c r="K42" s="41" t="str">
        <f t="shared" si="2"/>
        <v/>
      </c>
      <c r="L42" s="30"/>
    </row>
    <row r="43" ht="15.75" customHeight="1">
      <c r="A43" s="32"/>
      <c r="B43" s="30"/>
      <c r="C43" s="15"/>
      <c r="D43" s="52" t="str">
        <f t="array" ref="D43">IFERROR(INDEX('3. Costeo y Precios'!$B$14:$B$63,MATCH($C43,'3. Costeo y Precios'!$A$14:$A$63,0)),"")</f>
        <v/>
      </c>
      <c r="E43" s="15"/>
      <c r="F43" s="15"/>
      <c r="G43" s="15"/>
      <c r="H43" s="48" t="str">
        <f t="shared" si="1"/>
        <v/>
      </c>
      <c r="I43" s="30"/>
      <c r="J43" s="38">
        <f t="array" ref="J43">IFERROR(INDEX('3. Costeo y Precios'!$K$14:$K$63,MATCH($C43,'3. Costeo y Precios'!$A$14:$A$63,0)),0)</f>
        <v>0</v>
      </c>
      <c r="K43" s="41" t="str">
        <f t="shared" si="2"/>
        <v/>
      </c>
      <c r="L43" s="30"/>
    </row>
    <row r="44" ht="15.75" customHeight="1">
      <c r="A44" s="32"/>
      <c r="B44" s="30"/>
      <c r="C44" s="15"/>
      <c r="D44" s="52" t="str">
        <f t="array" ref="D44">IFERROR(INDEX('3. Costeo y Precios'!$B$14:$B$63,MATCH($C44,'3. Costeo y Precios'!$A$14:$A$63,0)),"")</f>
        <v/>
      </c>
      <c r="E44" s="15"/>
      <c r="F44" s="15"/>
      <c r="G44" s="15"/>
      <c r="H44" s="48" t="str">
        <f t="shared" si="1"/>
        <v/>
      </c>
      <c r="I44" s="30"/>
      <c r="J44" s="38">
        <f t="array" ref="J44">IFERROR(INDEX('3. Costeo y Precios'!$K$14:$K$63,MATCH($C44,'3. Costeo y Precios'!$A$14:$A$63,0)),0)</f>
        <v>0</v>
      </c>
      <c r="K44" s="41" t="str">
        <f t="shared" si="2"/>
        <v/>
      </c>
      <c r="L44" s="30"/>
    </row>
    <row r="45" ht="15.75" customHeight="1">
      <c r="A45" s="32"/>
      <c r="B45" s="30"/>
      <c r="C45" s="15"/>
      <c r="D45" s="52" t="str">
        <f t="array" ref="D45">IFERROR(INDEX('3. Costeo y Precios'!$B$14:$B$63,MATCH($C45,'3. Costeo y Precios'!$A$14:$A$63,0)),"")</f>
        <v/>
      </c>
      <c r="E45" s="15"/>
      <c r="F45" s="15"/>
      <c r="G45" s="15"/>
      <c r="H45" s="48" t="str">
        <f t="shared" si="1"/>
        <v/>
      </c>
      <c r="I45" s="30"/>
      <c r="J45" s="38">
        <f t="array" ref="J45">IFERROR(INDEX('3. Costeo y Precios'!$K$14:$K$63,MATCH($C45,'3. Costeo y Precios'!$A$14:$A$63,0)),0)</f>
        <v>0</v>
      </c>
      <c r="K45" s="41" t="str">
        <f t="shared" si="2"/>
        <v/>
      </c>
      <c r="L45" s="30"/>
    </row>
    <row r="46" ht="15.75" customHeight="1">
      <c r="A46" s="32"/>
      <c r="B46" s="30"/>
      <c r="C46" s="15"/>
      <c r="D46" s="52" t="str">
        <f t="array" ref="D46">IFERROR(INDEX('3. Costeo y Precios'!$B$14:$B$63,MATCH($C46,'3. Costeo y Precios'!$A$14:$A$63,0)),"")</f>
        <v/>
      </c>
      <c r="E46" s="15"/>
      <c r="F46" s="15"/>
      <c r="G46" s="15"/>
      <c r="H46" s="48" t="str">
        <f t="shared" si="1"/>
        <v/>
      </c>
      <c r="I46" s="30"/>
      <c r="J46" s="38">
        <f t="array" ref="J46">IFERROR(INDEX('3. Costeo y Precios'!$K$14:$K$63,MATCH($C46,'3. Costeo y Precios'!$A$14:$A$63,0)),0)</f>
        <v>0</v>
      </c>
      <c r="K46" s="41" t="str">
        <f t="shared" si="2"/>
        <v/>
      </c>
      <c r="L46" s="30"/>
    </row>
    <row r="47" ht="15.75" customHeight="1">
      <c r="A47" s="32"/>
      <c r="B47" s="30"/>
      <c r="C47" s="15"/>
      <c r="D47" s="52" t="str">
        <f t="array" ref="D47">IFERROR(INDEX('3. Costeo y Precios'!$B$14:$B$63,MATCH($C47,'3. Costeo y Precios'!$A$14:$A$63,0)),"")</f>
        <v/>
      </c>
      <c r="E47" s="15"/>
      <c r="F47" s="15"/>
      <c r="G47" s="15"/>
      <c r="H47" s="48" t="str">
        <f t="shared" si="1"/>
        <v/>
      </c>
      <c r="I47" s="30"/>
      <c r="J47" s="38">
        <f t="array" ref="J47">IFERROR(INDEX('3. Costeo y Precios'!$K$14:$K$63,MATCH($C47,'3. Costeo y Precios'!$A$14:$A$63,0)),0)</f>
        <v>0</v>
      </c>
      <c r="K47" s="41" t="str">
        <f t="shared" si="2"/>
        <v/>
      </c>
      <c r="L47" s="30"/>
    </row>
    <row r="48" ht="15.75" customHeight="1">
      <c r="A48" s="32"/>
      <c r="B48" s="30"/>
      <c r="C48" s="15"/>
      <c r="D48" s="52" t="str">
        <f t="array" ref="D48">IFERROR(INDEX('3. Costeo y Precios'!$B$14:$B$63,MATCH($C48,'3. Costeo y Precios'!$A$14:$A$63,0)),"")</f>
        <v/>
      </c>
      <c r="E48" s="15"/>
      <c r="F48" s="15"/>
      <c r="G48" s="15"/>
      <c r="H48" s="48" t="str">
        <f t="shared" si="1"/>
        <v/>
      </c>
      <c r="I48" s="30"/>
      <c r="J48" s="38">
        <f t="array" ref="J48">IFERROR(INDEX('3. Costeo y Precios'!$K$14:$K$63,MATCH($C48,'3. Costeo y Precios'!$A$14:$A$63,0)),0)</f>
        <v>0</v>
      </c>
      <c r="K48" s="41" t="str">
        <f t="shared" si="2"/>
        <v/>
      </c>
      <c r="L48" s="30"/>
    </row>
    <row r="49" ht="15.75" customHeight="1">
      <c r="A49" s="32"/>
      <c r="B49" s="30"/>
      <c r="C49" s="15"/>
      <c r="D49" s="52" t="str">
        <f t="array" ref="D49">IFERROR(INDEX('3. Costeo y Precios'!$B$14:$B$63,MATCH($C49,'3. Costeo y Precios'!$A$14:$A$63,0)),"")</f>
        <v/>
      </c>
      <c r="E49" s="15"/>
      <c r="F49" s="15"/>
      <c r="G49" s="15"/>
      <c r="H49" s="48" t="str">
        <f t="shared" si="1"/>
        <v/>
      </c>
      <c r="I49" s="30"/>
      <c r="J49" s="38">
        <f t="array" ref="J49">IFERROR(INDEX('3. Costeo y Precios'!$K$14:$K$63,MATCH($C49,'3. Costeo y Precios'!$A$14:$A$63,0)),0)</f>
        <v>0</v>
      </c>
      <c r="K49" s="41" t="str">
        <f t="shared" si="2"/>
        <v/>
      </c>
      <c r="L49" s="30"/>
    </row>
    <row r="50" ht="15.75" customHeight="1">
      <c r="A50" s="32"/>
      <c r="B50" s="30"/>
      <c r="C50" s="15"/>
      <c r="D50" s="52" t="str">
        <f t="array" ref="D50">IFERROR(INDEX('3. Costeo y Precios'!$B$14:$B$63,MATCH($C50,'3. Costeo y Precios'!$A$14:$A$63,0)),"")</f>
        <v/>
      </c>
      <c r="E50" s="15"/>
      <c r="F50" s="15"/>
      <c r="G50" s="15"/>
      <c r="H50" s="48" t="str">
        <f t="shared" si="1"/>
        <v/>
      </c>
      <c r="I50" s="30"/>
      <c r="J50" s="38">
        <f t="array" ref="J50">IFERROR(INDEX('3. Costeo y Precios'!$K$14:$K$63,MATCH($C50,'3. Costeo y Precios'!$A$14:$A$63,0)),0)</f>
        <v>0</v>
      </c>
      <c r="K50" s="41" t="str">
        <f t="shared" si="2"/>
        <v/>
      </c>
      <c r="L50" s="30"/>
    </row>
    <row r="51" ht="15.75" customHeight="1">
      <c r="A51" s="32"/>
      <c r="B51" s="30"/>
      <c r="C51" s="15"/>
      <c r="D51" s="52" t="str">
        <f t="array" ref="D51">IFERROR(INDEX('3. Costeo y Precios'!$B$14:$B$63,MATCH($C51,'3. Costeo y Precios'!$A$14:$A$63,0)),"")</f>
        <v/>
      </c>
      <c r="E51" s="15"/>
      <c r="F51" s="15"/>
      <c r="G51" s="15"/>
      <c r="H51" s="48" t="str">
        <f t="shared" si="1"/>
        <v/>
      </c>
      <c r="I51" s="30"/>
      <c r="J51" s="38">
        <f t="array" ref="J51">IFERROR(INDEX('3. Costeo y Precios'!$K$14:$K$63,MATCH($C51,'3. Costeo y Precios'!$A$14:$A$63,0)),0)</f>
        <v>0</v>
      </c>
      <c r="K51" s="41" t="str">
        <f t="shared" si="2"/>
        <v/>
      </c>
      <c r="L51" s="30"/>
    </row>
    <row r="52" ht="15.75" customHeight="1">
      <c r="A52" s="32"/>
      <c r="B52" s="30"/>
      <c r="C52" s="15"/>
      <c r="D52" s="52" t="str">
        <f t="array" ref="D52">IFERROR(INDEX('3. Costeo y Precios'!$B$14:$B$63,MATCH($C52,'3. Costeo y Precios'!$A$14:$A$63,0)),"")</f>
        <v/>
      </c>
      <c r="E52" s="15"/>
      <c r="F52" s="15"/>
      <c r="G52" s="15"/>
      <c r="H52" s="48" t="str">
        <f t="shared" si="1"/>
        <v/>
      </c>
      <c r="I52" s="30"/>
      <c r="J52" s="38">
        <f t="array" ref="J52">IFERROR(INDEX('3. Costeo y Precios'!$K$14:$K$63,MATCH($C52,'3. Costeo y Precios'!$A$14:$A$63,0)),0)</f>
        <v>0</v>
      </c>
      <c r="K52" s="41" t="str">
        <f t="shared" si="2"/>
        <v/>
      </c>
      <c r="L52" s="30"/>
    </row>
    <row r="53" ht="15.75" customHeight="1">
      <c r="A53" s="32"/>
      <c r="B53" s="30"/>
      <c r="C53" s="15"/>
      <c r="D53" s="52" t="str">
        <f t="array" ref="D53">IFERROR(INDEX('3. Costeo y Precios'!$B$14:$B$63,MATCH($C53,'3. Costeo y Precios'!$A$14:$A$63,0)),"")</f>
        <v/>
      </c>
      <c r="E53" s="15"/>
      <c r="F53" s="15"/>
      <c r="G53" s="15"/>
      <c r="H53" s="48" t="str">
        <f t="shared" si="1"/>
        <v/>
      </c>
      <c r="I53" s="30"/>
      <c r="J53" s="38">
        <f t="array" ref="J53">IFERROR(INDEX('3. Costeo y Precios'!$K$14:$K$63,MATCH($C53,'3. Costeo y Precios'!$A$14:$A$63,0)),0)</f>
        <v>0</v>
      </c>
      <c r="K53" s="41" t="str">
        <f t="shared" si="2"/>
        <v/>
      </c>
      <c r="L53" s="30"/>
    </row>
    <row r="54" ht="15.75" customHeight="1">
      <c r="A54" s="32"/>
      <c r="B54" s="30"/>
      <c r="C54" s="15"/>
      <c r="D54" s="52" t="str">
        <f t="array" ref="D54">IFERROR(INDEX('3. Costeo y Precios'!$B$14:$B$63,MATCH($C54,'3. Costeo y Precios'!$A$14:$A$63,0)),"")</f>
        <v/>
      </c>
      <c r="E54" s="15"/>
      <c r="F54" s="15"/>
      <c r="G54" s="15"/>
      <c r="H54" s="48" t="str">
        <f t="shared" si="1"/>
        <v/>
      </c>
      <c r="I54" s="30"/>
      <c r="J54" s="38">
        <f t="array" ref="J54">IFERROR(INDEX('3. Costeo y Precios'!$K$14:$K$63,MATCH($C54,'3. Costeo y Precios'!$A$14:$A$63,0)),0)</f>
        <v>0</v>
      </c>
      <c r="K54" s="41" t="str">
        <f t="shared" si="2"/>
        <v/>
      </c>
      <c r="L54" s="30"/>
    </row>
    <row r="55" ht="15.75" customHeight="1">
      <c r="A55" s="32"/>
      <c r="B55" s="30"/>
      <c r="C55" s="15"/>
      <c r="D55" s="52" t="str">
        <f t="array" ref="D55">IFERROR(INDEX('3. Costeo y Precios'!$B$14:$B$63,MATCH($C55,'3. Costeo y Precios'!$A$14:$A$63,0)),"")</f>
        <v/>
      </c>
      <c r="E55" s="15"/>
      <c r="F55" s="15"/>
      <c r="G55" s="15"/>
      <c r="H55" s="48" t="str">
        <f t="shared" si="1"/>
        <v/>
      </c>
      <c r="I55" s="30"/>
      <c r="J55" s="38">
        <f t="array" ref="J55">IFERROR(INDEX('3. Costeo y Precios'!$K$14:$K$63,MATCH($C55,'3. Costeo y Precios'!$A$14:$A$63,0)),0)</f>
        <v>0</v>
      </c>
      <c r="K55" s="41" t="str">
        <f t="shared" si="2"/>
        <v/>
      </c>
      <c r="L55" s="30"/>
    </row>
    <row r="56" ht="15.75" customHeight="1">
      <c r="A56" s="32"/>
      <c r="B56" s="30"/>
      <c r="C56" s="15"/>
      <c r="D56" s="52" t="str">
        <f t="array" ref="D56">IFERROR(INDEX('3. Costeo y Precios'!$B$14:$B$63,MATCH($C56,'3. Costeo y Precios'!$A$14:$A$63,0)),"")</f>
        <v/>
      </c>
      <c r="E56" s="15"/>
      <c r="F56" s="15"/>
      <c r="G56" s="15"/>
      <c r="H56" s="48" t="str">
        <f t="shared" si="1"/>
        <v/>
      </c>
      <c r="I56" s="30"/>
      <c r="J56" s="38">
        <f t="array" ref="J56">IFERROR(INDEX('3. Costeo y Precios'!$K$14:$K$63,MATCH($C56,'3. Costeo y Precios'!$A$14:$A$63,0)),0)</f>
        <v>0</v>
      </c>
      <c r="K56" s="41" t="str">
        <f t="shared" si="2"/>
        <v/>
      </c>
      <c r="L56" s="30"/>
    </row>
    <row r="57" ht="15.75" customHeight="1">
      <c r="A57" s="32"/>
      <c r="B57" s="30"/>
      <c r="C57" s="15"/>
      <c r="D57" s="52" t="str">
        <f t="array" ref="D57">IFERROR(INDEX('3. Costeo y Precios'!$B$14:$B$63,MATCH($C57,'3. Costeo y Precios'!$A$14:$A$63,0)),"")</f>
        <v/>
      </c>
      <c r="E57" s="15"/>
      <c r="F57" s="15"/>
      <c r="G57" s="15"/>
      <c r="H57" s="48" t="str">
        <f t="shared" si="1"/>
        <v/>
      </c>
      <c r="I57" s="30"/>
      <c r="J57" s="38">
        <f t="array" ref="J57">IFERROR(INDEX('3. Costeo y Precios'!$K$14:$K$63,MATCH($C57,'3. Costeo y Precios'!$A$14:$A$63,0)),0)</f>
        <v>0</v>
      </c>
      <c r="K57" s="41" t="str">
        <f t="shared" si="2"/>
        <v/>
      </c>
      <c r="L57" s="30"/>
    </row>
    <row r="58" ht="15.75" customHeight="1">
      <c r="A58" s="32"/>
      <c r="B58" s="30"/>
      <c r="C58" s="15"/>
      <c r="D58" s="52" t="str">
        <f t="array" ref="D58">IFERROR(INDEX('3. Costeo y Precios'!$B$14:$B$63,MATCH($C58,'3. Costeo y Precios'!$A$14:$A$63,0)),"")</f>
        <v/>
      </c>
      <c r="E58" s="15"/>
      <c r="F58" s="15"/>
      <c r="G58" s="15"/>
      <c r="H58" s="48" t="str">
        <f t="shared" si="1"/>
        <v/>
      </c>
      <c r="I58" s="30"/>
      <c r="J58" s="38">
        <f t="array" ref="J58">IFERROR(INDEX('3. Costeo y Precios'!$K$14:$K$63,MATCH($C58,'3. Costeo y Precios'!$A$14:$A$63,0)),0)</f>
        <v>0</v>
      </c>
      <c r="K58" s="41" t="str">
        <f t="shared" si="2"/>
        <v/>
      </c>
      <c r="L58" s="30"/>
    </row>
    <row r="59" ht="15.75" customHeight="1">
      <c r="A59" s="32"/>
      <c r="B59" s="30"/>
      <c r="C59" s="15"/>
      <c r="D59" s="52" t="str">
        <f t="array" ref="D59">IFERROR(INDEX('3. Costeo y Precios'!$B$14:$B$63,MATCH($C59,'3. Costeo y Precios'!$A$14:$A$63,0)),"")</f>
        <v/>
      </c>
      <c r="E59" s="15"/>
      <c r="F59" s="15"/>
      <c r="G59" s="15"/>
      <c r="H59" s="48" t="str">
        <f t="shared" si="1"/>
        <v/>
      </c>
      <c r="I59" s="30"/>
      <c r="J59" s="38">
        <f t="array" ref="J59">IFERROR(INDEX('3. Costeo y Precios'!$K$14:$K$63,MATCH($C59,'3. Costeo y Precios'!$A$14:$A$63,0)),0)</f>
        <v>0</v>
      </c>
      <c r="K59" s="41" t="str">
        <f t="shared" si="2"/>
        <v/>
      </c>
      <c r="L59" s="30"/>
    </row>
    <row r="60" ht="15.75" customHeight="1">
      <c r="A60" s="32"/>
      <c r="B60" s="30"/>
      <c r="C60" s="15"/>
      <c r="D60" s="52" t="str">
        <f t="array" ref="D60">IFERROR(INDEX('3. Costeo y Precios'!$B$14:$B$63,MATCH($C60,'3. Costeo y Precios'!$A$14:$A$63,0)),"")</f>
        <v/>
      </c>
      <c r="E60" s="15"/>
      <c r="F60" s="15"/>
      <c r="G60" s="15"/>
      <c r="H60" s="48" t="str">
        <f t="shared" si="1"/>
        <v/>
      </c>
      <c r="I60" s="30"/>
      <c r="J60" s="38">
        <f t="array" ref="J60">IFERROR(INDEX('3. Costeo y Precios'!$K$14:$K$63,MATCH($C60,'3. Costeo y Precios'!$A$14:$A$63,0)),0)</f>
        <v>0</v>
      </c>
      <c r="K60" s="41" t="str">
        <f t="shared" si="2"/>
        <v/>
      </c>
      <c r="L60" s="30"/>
    </row>
    <row r="61" ht="15.75" customHeight="1">
      <c r="A61" s="32"/>
      <c r="B61" s="30"/>
      <c r="C61" s="15"/>
      <c r="D61" s="52" t="str">
        <f t="array" ref="D61">IFERROR(INDEX('3. Costeo y Precios'!$B$14:$B$63,MATCH($C61,'3. Costeo y Precios'!$A$14:$A$63,0)),"")</f>
        <v/>
      </c>
      <c r="E61" s="15"/>
      <c r="F61" s="15"/>
      <c r="G61" s="15"/>
      <c r="H61" s="48" t="str">
        <f t="shared" si="1"/>
        <v/>
      </c>
      <c r="I61" s="30"/>
      <c r="J61" s="38">
        <f t="array" ref="J61">IFERROR(INDEX('3. Costeo y Precios'!$K$14:$K$63,MATCH($C61,'3. Costeo y Precios'!$A$14:$A$63,0)),0)</f>
        <v>0</v>
      </c>
      <c r="K61" s="41" t="str">
        <f t="shared" si="2"/>
        <v/>
      </c>
      <c r="L61" s="30"/>
    </row>
    <row r="62" ht="15.75" customHeight="1">
      <c r="A62" s="32"/>
      <c r="B62" s="30"/>
      <c r="C62" s="15"/>
      <c r="D62" s="52" t="str">
        <f t="array" ref="D62">IFERROR(INDEX('3. Costeo y Precios'!$B$14:$B$63,MATCH($C62,'3. Costeo y Precios'!$A$14:$A$63,0)),"")</f>
        <v/>
      </c>
      <c r="E62" s="15"/>
      <c r="F62" s="15"/>
      <c r="G62" s="15"/>
      <c r="H62" s="48" t="str">
        <f t="shared" si="1"/>
        <v/>
      </c>
      <c r="I62" s="30"/>
      <c r="J62" s="38">
        <f t="array" ref="J62">IFERROR(INDEX('3. Costeo y Precios'!$K$14:$K$63,MATCH($C62,'3. Costeo y Precios'!$A$14:$A$63,0)),0)</f>
        <v>0</v>
      </c>
      <c r="K62" s="41" t="str">
        <f t="shared" si="2"/>
        <v/>
      </c>
      <c r="L62" s="30"/>
    </row>
    <row r="63" ht="15.75" customHeight="1">
      <c r="A63" s="32"/>
      <c r="B63" s="30"/>
      <c r="C63" s="15"/>
      <c r="D63" s="52" t="str">
        <f t="array" ref="D63">IFERROR(INDEX('3. Costeo y Precios'!$B$14:$B$63,MATCH($C63,'3. Costeo y Precios'!$A$14:$A$63,0)),"")</f>
        <v/>
      </c>
      <c r="E63" s="15"/>
      <c r="F63" s="15"/>
      <c r="G63" s="15"/>
      <c r="H63" s="48" t="str">
        <f t="shared" si="1"/>
        <v/>
      </c>
      <c r="I63" s="30"/>
      <c r="J63" s="38">
        <f t="array" ref="J63">IFERROR(INDEX('3. Costeo y Precios'!$K$14:$K$63,MATCH($C63,'3. Costeo y Precios'!$A$14:$A$63,0)),0)</f>
        <v>0</v>
      </c>
      <c r="K63" s="41" t="str">
        <f t="shared" si="2"/>
        <v/>
      </c>
      <c r="L63" s="30"/>
    </row>
    <row r="64" ht="15.75" customHeight="1">
      <c r="A64" s="32"/>
      <c r="B64" s="30"/>
      <c r="C64" s="15"/>
      <c r="D64" s="52" t="str">
        <f t="array" ref="D64">IFERROR(INDEX('3. Costeo y Precios'!$B$14:$B$63,MATCH($C64,'3. Costeo y Precios'!$A$14:$A$63,0)),"")</f>
        <v/>
      </c>
      <c r="E64" s="15"/>
      <c r="F64" s="15"/>
      <c r="G64" s="15"/>
      <c r="H64" s="48" t="str">
        <f t="shared" si="1"/>
        <v/>
      </c>
      <c r="I64" s="30"/>
      <c r="J64" s="38">
        <f t="array" ref="J64">IFERROR(INDEX('3. Costeo y Precios'!$K$14:$K$63,MATCH($C64,'3. Costeo y Precios'!$A$14:$A$63,0)),0)</f>
        <v>0</v>
      </c>
      <c r="K64" s="41" t="str">
        <f t="shared" si="2"/>
        <v/>
      </c>
      <c r="L64" s="30"/>
    </row>
    <row r="65" ht="15.75" customHeight="1">
      <c r="A65" s="32"/>
      <c r="B65" s="30"/>
      <c r="C65" s="15"/>
      <c r="D65" s="52" t="str">
        <f t="array" ref="D65">IFERROR(INDEX('3. Costeo y Precios'!$B$14:$B$63,MATCH($C65,'3. Costeo y Precios'!$A$14:$A$63,0)),"")</f>
        <v/>
      </c>
      <c r="E65" s="15"/>
      <c r="F65" s="15"/>
      <c r="G65" s="15"/>
      <c r="H65" s="48" t="str">
        <f t="shared" si="1"/>
        <v/>
      </c>
      <c r="I65" s="30"/>
      <c r="J65" s="38">
        <f t="array" ref="J65">IFERROR(INDEX('3. Costeo y Precios'!$K$14:$K$63,MATCH($C65,'3. Costeo y Precios'!$A$14:$A$63,0)),0)</f>
        <v>0</v>
      </c>
      <c r="K65" s="41" t="str">
        <f t="shared" si="2"/>
        <v/>
      </c>
      <c r="L65" s="30"/>
    </row>
    <row r="66" ht="15.75" customHeight="1">
      <c r="A66" s="32"/>
      <c r="B66" s="30"/>
      <c r="C66" s="15"/>
      <c r="D66" s="52" t="str">
        <f t="array" ref="D66">IFERROR(INDEX('3. Costeo y Precios'!$B$14:$B$63,MATCH($C66,'3. Costeo y Precios'!$A$14:$A$63,0)),"")</f>
        <v/>
      </c>
      <c r="E66" s="15"/>
      <c r="F66" s="15"/>
      <c r="G66" s="15"/>
      <c r="H66" s="48" t="str">
        <f t="shared" si="1"/>
        <v/>
      </c>
      <c r="I66" s="30"/>
      <c r="J66" s="38">
        <f t="array" ref="J66">IFERROR(INDEX('3. Costeo y Precios'!$K$14:$K$63,MATCH($C66,'3. Costeo y Precios'!$A$14:$A$63,0)),0)</f>
        <v>0</v>
      </c>
      <c r="K66" s="41" t="str">
        <f t="shared" si="2"/>
        <v/>
      </c>
      <c r="L66" s="30"/>
    </row>
    <row r="67" ht="15.75" customHeight="1">
      <c r="A67" s="32"/>
      <c r="B67" s="30"/>
      <c r="C67" s="15"/>
      <c r="D67" s="52" t="str">
        <f t="array" ref="D67">IFERROR(INDEX('3. Costeo y Precios'!$B$14:$B$63,MATCH($C67,'3. Costeo y Precios'!$A$14:$A$63,0)),"")</f>
        <v/>
      </c>
      <c r="E67" s="15"/>
      <c r="F67" s="15"/>
      <c r="G67" s="15"/>
      <c r="H67" s="48" t="str">
        <f t="shared" si="1"/>
        <v/>
      </c>
      <c r="I67" s="30"/>
      <c r="J67" s="38">
        <f t="array" ref="J67">IFERROR(INDEX('3. Costeo y Precios'!$K$14:$K$63,MATCH($C67,'3. Costeo y Precios'!$A$14:$A$63,0)),0)</f>
        <v>0</v>
      </c>
      <c r="K67" s="41" t="str">
        <f t="shared" si="2"/>
        <v/>
      </c>
      <c r="L67" s="30"/>
    </row>
    <row r="68" ht="15.75" customHeight="1">
      <c r="A68" s="32"/>
      <c r="B68" s="30"/>
      <c r="C68" s="15"/>
      <c r="D68" s="52" t="str">
        <f t="array" ref="D68">IFERROR(INDEX('3. Costeo y Precios'!$B$14:$B$63,MATCH($C68,'3. Costeo y Precios'!$A$14:$A$63,0)),"")</f>
        <v/>
      </c>
      <c r="E68" s="15"/>
      <c r="F68" s="15"/>
      <c r="G68" s="15"/>
      <c r="H68" s="48" t="str">
        <f t="shared" si="1"/>
        <v/>
      </c>
      <c r="I68" s="30"/>
      <c r="J68" s="38">
        <f t="array" ref="J68">IFERROR(INDEX('3. Costeo y Precios'!$K$14:$K$63,MATCH($C68,'3. Costeo y Precios'!$A$14:$A$63,0)),0)</f>
        <v>0</v>
      </c>
      <c r="K68" s="41" t="str">
        <f t="shared" si="2"/>
        <v/>
      </c>
      <c r="L68" s="30"/>
    </row>
    <row r="69" ht="15.75" customHeight="1">
      <c r="A69" s="32"/>
      <c r="B69" s="30"/>
      <c r="C69" s="15"/>
      <c r="D69" s="52" t="str">
        <f t="array" ref="D69">IFERROR(INDEX('3. Costeo y Precios'!$B$14:$B$63,MATCH($C69,'3. Costeo y Precios'!$A$14:$A$63,0)),"")</f>
        <v/>
      </c>
      <c r="E69" s="15"/>
      <c r="F69" s="15"/>
      <c r="G69" s="15"/>
      <c r="H69" s="48" t="str">
        <f t="shared" si="1"/>
        <v/>
      </c>
      <c r="I69" s="30"/>
      <c r="J69" s="38">
        <f t="array" ref="J69">IFERROR(INDEX('3. Costeo y Precios'!$K$14:$K$63,MATCH($C69,'3. Costeo y Precios'!$A$14:$A$63,0)),0)</f>
        <v>0</v>
      </c>
      <c r="K69" s="41" t="str">
        <f t="shared" si="2"/>
        <v/>
      </c>
      <c r="L69" s="30"/>
    </row>
    <row r="70" ht="15.75" customHeight="1">
      <c r="A70" s="32"/>
      <c r="B70" s="30"/>
      <c r="C70" s="15"/>
      <c r="D70" s="52" t="str">
        <f t="array" ref="D70">IFERROR(INDEX('3. Costeo y Precios'!$B$14:$B$63,MATCH($C70,'3. Costeo y Precios'!$A$14:$A$63,0)),"")</f>
        <v/>
      </c>
      <c r="E70" s="15"/>
      <c r="F70" s="15"/>
      <c r="G70" s="15"/>
      <c r="H70" s="48" t="str">
        <f t="shared" si="1"/>
        <v/>
      </c>
      <c r="I70" s="30"/>
      <c r="J70" s="38">
        <f t="array" ref="J70">IFERROR(INDEX('3. Costeo y Precios'!$K$14:$K$63,MATCH($C70,'3. Costeo y Precios'!$A$14:$A$63,0)),0)</f>
        <v>0</v>
      </c>
      <c r="K70" s="41" t="str">
        <f t="shared" si="2"/>
        <v/>
      </c>
      <c r="L70" s="30"/>
    </row>
    <row r="71" ht="15.75" customHeight="1">
      <c r="A71" s="32"/>
      <c r="B71" s="30"/>
      <c r="C71" s="15"/>
      <c r="D71" s="52" t="str">
        <f t="array" ref="D71">IFERROR(INDEX('3. Costeo y Precios'!$B$14:$B$63,MATCH($C71,'3. Costeo y Precios'!$A$14:$A$63,0)),"")</f>
        <v/>
      </c>
      <c r="E71" s="15"/>
      <c r="F71" s="15"/>
      <c r="G71" s="15"/>
      <c r="H71" s="48" t="str">
        <f t="shared" si="1"/>
        <v/>
      </c>
      <c r="I71" s="30"/>
      <c r="J71" s="38">
        <f t="array" ref="J71">IFERROR(INDEX('3. Costeo y Precios'!$K$14:$K$63,MATCH($C71,'3. Costeo y Precios'!$A$14:$A$63,0)),0)</f>
        <v>0</v>
      </c>
      <c r="K71" s="41" t="str">
        <f t="shared" si="2"/>
        <v/>
      </c>
      <c r="L71" s="30"/>
    </row>
    <row r="72" ht="15.75" customHeight="1">
      <c r="A72" s="32"/>
      <c r="B72" s="30"/>
      <c r="C72" s="15"/>
      <c r="D72" s="52" t="str">
        <f t="array" ref="D72">IFERROR(INDEX('3. Costeo y Precios'!$B$14:$B$63,MATCH($C72,'3. Costeo y Precios'!$A$14:$A$63,0)),"")</f>
        <v/>
      </c>
      <c r="E72" s="15"/>
      <c r="F72" s="15"/>
      <c r="G72" s="15"/>
      <c r="H72" s="48" t="str">
        <f t="shared" si="1"/>
        <v/>
      </c>
      <c r="I72" s="30"/>
      <c r="J72" s="38">
        <f t="array" ref="J72">IFERROR(INDEX('3. Costeo y Precios'!$K$14:$K$63,MATCH($C72,'3. Costeo y Precios'!$A$14:$A$63,0)),0)</f>
        <v>0</v>
      </c>
      <c r="K72" s="41" t="str">
        <f t="shared" si="2"/>
        <v/>
      </c>
      <c r="L72" s="30"/>
    </row>
    <row r="73" ht="15.75" customHeight="1">
      <c r="A73" s="32"/>
      <c r="B73" s="30"/>
      <c r="C73" s="15"/>
      <c r="D73" s="52" t="str">
        <f t="array" ref="D73">IFERROR(INDEX('3. Costeo y Precios'!$B$14:$B$63,MATCH($C73,'3. Costeo y Precios'!$A$14:$A$63,0)),"")</f>
        <v/>
      </c>
      <c r="E73" s="15"/>
      <c r="F73" s="15"/>
      <c r="G73" s="15"/>
      <c r="H73" s="48" t="str">
        <f t="shared" si="1"/>
        <v/>
      </c>
      <c r="I73" s="30"/>
      <c r="J73" s="38">
        <f t="array" ref="J73">IFERROR(INDEX('3. Costeo y Precios'!$K$14:$K$63,MATCH($C73,'3. Costeo y Precios'!$A$14:$A$63,0)),0)</f>
        <v>0</v>
      </c>
      <c r="K73" s="41" t="str">
        <f t="shared" si="2"/>
        <v/>
      </c>
      <c r="L73" s="30"/>
    </row>
    <row r="74" ht="15.75" customHeight="1">
      <c r="A74" s="32"/>
      <c r="B74" s="30"/>
      <c r="C74" s="15"/>
      <c r="D74" s="52" t="str">
        <f t="array" ref="D74">IFERROR(INDEX('3. Costeo y Precios'!$B$14:$B$63,MATCH($C74,'3. Costeo y Precios'!$A$14:$A$63,0)),"")</f>
        <v/>
      </c>
      <c r="E74" s="15"/>
      <c r="F74" s="15"/>
      <c r="G74" s="15"/>
      <c r="H74" s="48" t="str">
        <f t="shared" si="1"/>
        <v/>
      </c>
      <c r="I74" s="30"/>
      <c r="J74" s="38">
        <f t="array" ref="J74">IFERROR(INDEX('3. Costeo y Precios'!$K$14:$K$63,MATCH($C74,'3. Costeo y Precios'!$A$14:$A$63,0)),0)</f>
        <v>0</v>
      </c>
      <c r="K74" s="41" t="str">
        <f t="shared" si="2"/>
        <v/>
      </c>
      <c r="L74" s="30"/>
    </row>
    <row r="75" ht="15.75" customHeight="1">
      <c r="A75" s="32"/>
      <c r="B75" s="30"/>
      <c r="C75" s="15"/>
      <c r="D75" s="52" t="str">
        <f t="array" ref="D75">IFERROR(INDEX('3. Costeo y Precios'!$B$14:$B$63,MATCH($C75,'3. Costeo y Precios'!$A$14:$A$63,0)),"")</f>
        <v/>
      </c>
      <c r="E75" s="15"/>
      <c r="F75" s="15"/>
      <c r="G75" s="15"/>
      <c r="H75" s="48" t="str">
        <f t="shared" si="1"/>
        <v/>
      </c>
      <c r="I75" s="30"/>
      <c r="J75" s="38">
        <f t="array" ref="J75">IFERROR(INDEX('3. Costeo y Precios'!$K$14:$K$63,MATCH($C75,'3. Costeo y Precios'!$A$14:$A$63,0)),0)</f>
        <v>0</v>
      </c>
      <c r="K75" s="41" t="str">
        <f t="shared" si="2"/>
        <v/>
      </c>
      <c r="L75" s="30"/>
    </row>
    <row r="76" ht="15.75" customHeight="1">
      <c r="A76" s="32"/>
      <c r="B76" s="30"/>
      <c r="C76" s="15"/>
      <c r="D76" s="52" t="str">
        <f t="array" ref="D76">IFERROR(INDEX('3. Costeo y Precios'!$B$14:$B$63,MATCH($C76,'3. Costeo y Precios'!$A$14:$A$63,0)),"")</f>
        <v/>
      </c>
      <c r="E76" s="15"/>
      <c r="F76" s="15"/>
      <c r="G76" s="15"/>
      <c r="H76" s="48" t="str">
        <f t="shared" si="1"/>
        <v/>
      </c>
      <c r="I76" s="30"/>
      <c r="J76" s="38">
        <f t="array" ref="J76">IFERROR(INDEX('3. Costeo y Precios'!$K$14:$K$63,MATCH($C76,'3. Costeo y Precios'!$A$14:$A$63,0)),0)</f>
        <v>0</v>
      </c>
      <c r="K76" s="41" t="str">
        <f t="shared" si="2"/>
        <v/>
      </c>
      <c r="L76" s="30"/>
    </row>
    <row r="77" ht="15.75" customHeight="1">
      <c r="A77" s="32"/>
      <c r="B77" s="30"/>
      <c r="C77" s="15"/>
      <c r="D77" s="52" t="str">
        <f t="array" ref="D77">IFERROR(INDEX('3. Costeo y Precios'!$B$14:$B$63,MATCH($C77,'3. Costeo y Precios'!$A$14:$A$63,0)),"")</f>
        <v/>
      </c>
      <c r="E77" s="15"/>
      <c r="F77" s="15"/>
      <c r="G77" s="15"/>
      <c r="H77" s="48" t="str">
        <f t="shared" si="1"/>
        <v/>
      </c>
      <c r="I77" s="30"/>
      <c r="J77" s="38">
        <f t="array" ref="J77">IFERROR(INDEX('3. Costeo y Precios'!$K$14:$K$63,MATCH($C77,'3. Costeo y Precios'!$A$14:$A$63,0)),0)</f>
        <v>0</v>
      </c>
      <c r="K77" s="41" t="str">
        <f t="shared" si="2"/>
        <v/>
      </c>
      <c r="L77" s="30"/>
    </row>
    <row r="78" ht="15.75" customHeight="1">
      <c r="A78" s="32"/>
      <c r="B78" s="30"/>
      <c r="C78" s="15"/>
      <c r="D78" s="52" t="str">
        <f t="array" ref="D78">IFERROR(INDEX('3. Costeo y Precios'!$B$14:$B$63,MATCH($C78,'3. Costeo y Precios'!$A$14:$A$63,0)),"")</f>
        <v/>
      </c>
      <c r="E78" s="15"/>
      <c r="F78" s="15"/>
      <c r="G78" s="15"/>
      <c r="H78" s="48" t="str">
        <f t="shared" si="1"/>
        <v/>
      </c>
      <c r="I78" s="30"/>
      <c r="J78" s="38">
        <f t="array" ref="J78">IFERROR(INDEX('3. Costeo y Precios'!$K$14:$K$63,MATCH($C78,'3. Costeo y Precios'!$A$14:$A$63,0)),0)</f>
        <v>0</v>
      </c>
      <c r="K78" s="41" t="str">
        <f t="shared" si="2"/>
        <v/>
      </c>
      <c r="L78" s="30"/>
    </row>
    <row r="79" ht="15.75" customHeight="1">
      <c r="A79" s="32"/>
      <c r="B79" s="30"/>
      <c r="C79" s="15"/>
      <c r="D79" s="52" t="str">
        <f t="array" ref="D79">IFERROR(INDEX('3. Costeo y Precios'!$B$14:$B$63,MATCH($C79,'3. Costeo y Precios'!$A$14:$A$63,0)),"")</f>
        <v/>
      </c>
      <c r="E79" s="15"/>
      <c r="F79" s="15"/>
      <c r="G79" s="15"/>
      <c r="H79" s="48" t="str">
        <f t="shared" si="1"/>
        <v/>
      </c>
      <c r="I79" s="30"/>
      <c r="J79" s="38">
        <f t="array" ref="J79">IFERROR(INDEX('3. Costeo y Precios'!$K$14:$K$63,MATCH($C79,'3. Costeo y Precios'!$A$14:$A$63,0)),0)</f>
        <v>0</v>
      </c>
      <c r="K79" s="41" t="str">
        <f t="shared" si="2"/>
        <v/>
      </c>
      <c r="L79" s="30"/>
    </row>
    <row r="80" ht="15.75" customHeight="1">
      <c r="A80" s="32"/>
      <c r="B80" s="30"/>
      <c r="C80" s="15"/>
      <c r="D80" s="52" t="str">
        <f t="array" ref="D80">IFERROR(INDEX('3. Costeo y Precios'!$B$14:$B$63,MATCH($C80,'3. Costeo y Precios'!$A$14:$A$63,0)),"")</f>
        <v/>
      </c>
      <c r="E80" s="15"/>
      <c r="F80" s="15"/>
      <c r="G80" s="15"/>
      <c r="H80" s="48" t="str">
        <f t="shared" si="1"/>
        <v/>
      </c>
      <c r="I80" s="30"/>
      <c r="J80" s="38">
        <f t="array" ref="J80">IFERROR(INDEX('3. Costeo y Precios'!$K$14:$K$63,MATCH($C80,'3. Costeo y Precios'!$A$14:$A$63,0)),0)</f>
        <v>0</v>
      </c>
      <c r="K80" s="41" t="str">
        <f t="shared" si="2"/>
        <v/>
      </c>
      <c r="L80" s="30"/>
    </row>
    <row r="81" ht="15.75" customHeight="1">
      <c r="A81" s="32"/>
      <c r="B81" s="30"/>
      <c r="C81" s="15"/>
      <c r="D81" s="52" t="str">
        <f t="array" ref="D81">IFERROR(INDEX('3. Costeo y Precios'!$B$14:$B$63,MATCH($C81,'3. Costeo y Precios'!$A$14:$A$63,0)),"")</f>
        <v/>
      </c>
      <c r="E81" s="15"/>
      <c r="F81" s="15"/>
      <c r="G81" s="15"/>
      <c r="H81" s="48" t="str">
        <f t="shared" si="1"/>
        <v/>
      </c>
      <c r="I81" s="30"/>
      <c r="J81" s="38">
        <f t="array" ref="J81">IFERROR(INDEX('3. Costeo y Precios'!$K$14:$K$63,MATCH($C81,'3. Costeo y Precios'!$A$14:$A$63,0)),0)</f>
        <v>0</v>
      </c>
      <c r="K81" s="41" t="str">
        <f t="shared" si="2"/>
        <v/>
      </c>
      <c r="L81" s="30"/>
    </row>
    <row r="82" ht="15.75" customHeight="1">
      <c r="A82" s="32"/>
      <c r="B82" s="30"/>
      <c r="C82" s="15"/>
      <c r="D82" s="52" t="str">
        <f t="array" ref="D82">IFERROR(INDEX('3. Costeo y Precios'!$B$14:$B$63,MATCH($C82,'3. Costeo y Precios'!$A$14:$A$63,0)),"")</f>
        <v/>
      </c>
      <c r="E82" s="15"/>
      <c r="F82" s="15"/>
      <c r="G82" s="15"/>
      <c r="H82" s="48" t="str">
        <f t="shared" si="1"/>
        <v/>
      </c>
      <c r="I82" s="30"/>
      <c r="J82" s="38">
        <f t="array" ref="J82">IFERROR(INDEX('3. Costeo y Precios'!$K$14:$K$63,MATCH($C82,'3. Costeo y Precios'!$A$14:$A$63,0)),0)</f>
        <v>0</v>
      </c>
      <c r="K82" s="41" t="str">
        <f t="shared" si="2"/>
        <v/>
      </c>
      <c r="L82" s="30"/>
    </row>
    <row r="83" ht="15.75" customHeight="1">
      <c r="A83" s="32"/>
      <c r="B83" s="30"/>
      <c r="C83" s="15"/>
      <c r="D83" s="52" t="str">
        <f t="array" ref="D83">IFERROR(INDEX('3. Costeo y Precios'!$B$14:$B$63,MATCH($C83,'3. Costeo y Precios'!$A$14:$A$63,0)),"")</f>
        <v/>
      </c>
      <c r="E83" s="15"/>
      <c r="F83" s="15"/>
      <c r="G83" s="15"/>
      <c r="H83" s="48" t="str">
        <f t="shared" si="1"/>
        <v/>
      </c>
      <c r="I83" s="30"/>
      <c r="J83" s="38">
        <f t="array" ref="J83">IFERROR(INDEX('3. Costeo y Precios'!$K$14:$K$63,MATCH($C83,'3. Costeo y Precios'!$A$14:$A$63,0)),0)</f>
        <v>0</v>
      </c>
      <c r="K83" s="41" t="str">
        <f t="shared" si="2"/>
        <v/>
      </c>
      <c r="L83" s="30"/>
    </row>
    <row r="84" ht="15.75" customHeight="1">
      <c r="A84" s="32"/>
      <c r="B84" s="30"/>
      <c r="C84" s="15"/>
      <c r="D84" s="52" t="str">
        <f t="array" ref="D84">IFERROR(INDEX('3. Costeo y Precios'!$B$14:$B$63,MATCH($C84,'3. Costeo y Precios'!$A$14:$A$63,0)),"")</f>
        <v/>
      </c>
      <c r="E84" s="15"/>
      <c r="F84" s="15"/>
      <c r="G84" s="15"/>
      <c r="H84" s="48" t="str">
        <f t="shared" si="1"/>
        <v/>
      </c>
      <c r="I84" s="30"/>
      <c r="J84" s="38">
        <f t="array" ref="J84">IFERROR(INDEX('3. Costeo y Precios'!$K$14:$K$63,MATCH($C84,'3. Costeo y Precios'!$A$14:$A$63,0)),0)</f>
        <v>0</v>
      </c>
      <c r="K84" s="41" t="str">
        <f t="shared" si="2"/>
        <v/>
      </c>
      <c r="L84" s="30"/>
    </row>
    <row r="85" ht="15.75" customHeight="1">
      <c r="A85" s="32"/>
      <c r="B85" s="30"/>
      <c r="C85" s="15"/>
      <c r="D85" s="52" t="str">
        <f t="array" ref="D85">IFERROR(INDEX('3. Costeo y Precios'!$B$14:$B$63,MATCH($C85,'3. Costeo y Precios'!$A$14:$A$63,0)),"")</f>
        <v/>
      </c>
      <c r="E85" s="15"/>
      <c r="F85" s="15"/>
      <c r="G85" s="15"/>
      <c r="H85" s="48" t="str">
        <f t="shared" si="1"/>
        <v/>
      </c>
      <c r="I85" s="30"/>
      <c r="J85" s="38">
        <f t="array" ref="J85">IFERROR(INDEX('3. Costeo y Precios'!$K$14:$K$63,MATCH($C85,'3. Costeo y Precios'!$A$14:$A$63,0)),0)</f>
        <v>0</v>
      </c>
      <c r="K85" s="41" t="str">
        <f t="shared" si="2"/>
        <v/>
      </c>
      <c r="L85" s="30"/>
    </row>
    <row r="86" ht="15.75" customHeight="1">
      <c r="A86" s="32"/>
      <c r="B86" s="30"/>
      <c r="C86" s="15"/>
      <c r="D86" s="52" t="str">
        <f t="array" ref="D86">IFERROR(INDEX('3. Costeo y Precios'!$B$14:$B$63,MATCH($C86,'3. Costeo y Precios'!$A$14:$A$63,0)),"")</f>
        <v/>
      </c>
      <c r="E86" s="15"/>
      <c r="F86" s="15"/>
      <c r="G86" s="15"/>
      <c r="H86" s="48" t="str">
        <f t="shared" si="1"/>
        <v/>
      </c>
      <c r="I86" s="30"/>
      <c r="J86" s="38">
        <f t="array" ref="J86">IFERROR(INDEX('3. Costeo y Precios'!$K$14:$K$63,MATCH($C86,'3. Costeo y Precios'!$A$14:$A$63,0)),0)</f>
        <v>0</v>
      </c>
      <c r="K86" s="41" t="str">
        <f t="shared" si="2"/>
        <v/>
      </c>
      <c r="L86" s="30"/>
    </row>
    <row r="87" ht="15.75" customHeight="1">
      <c r="A87" s="32"/>
      <c r="B87" s="30"/>
      <c r="C87" s="15"/>
      <c r="D87" s="52" t="str">
        <f t="array" ref="D87">IFERROR(INDEX('3. Costeo y Precios'!$B$14:$B$63,MATCH($C87,'3. Costeo y Precios'!$A$14:$A$63,0)),"")</f>
        <v/>
      </c>
      <c r="E87" s="15"/>
      <c r="F87" s="15"/>
      <c r="G87" s="15"/>
      <c r="H87" s="48" t="str">
        <f t="shared" si="1"/>
        <v/>
      </c>
      <c r="I87" s="30"/>
      <c r="J87" s="38">
        <f t="array" ref="J87">IFERROR(INDEX('3. Costeo y Precios'!$K$14:$K$63,MATCH($C87,'3. Costeo y Precios'!$A$14:$A$63,0)),0)</f>
        <v>0</v>
      </c>
      <c r="K87" s="41" t="str">
        <f t="shared" si="2"/>
        <v/>
      </c>
      <c r="L87" s="30"/>
    </row>
    <row r="88" ht="15.75" customHeight="1">
      <c r="A88" s="32"/>
      <c r="B88" s="30"/>
      <c r="C88" s="15"/>
      <c r="D88" s="52" t="str">
        <f t="array" ref="D88">IFERROR(INDEX('3. Costeo y Precios'!$B$14:$B$63,MATCH($C88,'3. Costeo y Precios'!$A$14:$A$63,0)),"")</f>
        <v/>
      </c>
      <c r="E88" s="15"/>
      <c r="F88" s="15"/>
      <c r="G88" s="15"/>
      <c r="H88" s="48" t="str">
        <f t="shared" si="1"/>
        <v/>
      </c>
      <c r="I88" s="30"/>
      <c r="J88" s="38">
        <f t="array" ref="J88">IFERROR(INDEX('3. Costeo y Precios'!$K$14:$K$63,MATCH($C88,'3. Costeo y Precios'!$A$14:$A$63,0)),0)</f>
        <v>0</v>
      </c>
      <c r="K88" s="41" t="str">
        <f t="shared" si="2"/>
        <v/>
      </c>
      <c r="L88" s="30"/>
    </row>
    <row r="89" ht="15.75" customHeight="1">
      <c r="A89" s="32"/>
      <c r="B89" s="30"/>
      <c r="C89" s="15"/>
      <c r="D89" s="52" t="str">
        <f t="array" ref="D89">IFERROR(INDEX('3. Costeo y Precios'!$B$14:$B$63,MATCH($C89,'3. Costeo y Precios'!$A$14:$A$63,0)),"")</f>
        <v/>
      </c>
      <c r="E89" s="15"/>
      <c r="F89" s="15"/>
      <c r="G89" s="15"/>
      <c r="H89" s="48" t="str">
        <f t="shared" si="1"/>
        <v/>
      </c>
      <c r="I89" s="30"/>
      <c r="J89" s="38">
        <f t="array" ref="J89">IFERROR(INDEX('3. Costeo y Precios'!$K$14:$K$63,MATCH($C89,'3. Costeo y Precios'!$A$14:$A$63,0)),0)</f>
        <v>0</v>
      </c>
      <c r="K89" s="41" t="str">
        <f t="shared" si="2"/>
        <v/>
      </c>
      <c r="L89" s="30"/>
    </row>
    <row r="90" ht="15.75" customHeight="1">
      <c r="A90" s="32"/>
      <c r="B90" s="30"/>
      <c r="C90" s="15"/>
      <c r="D90" s="52" t="str">
        <f t="array" ref="D90">IFERROR(INDEX('3. Costeo y Precios'!$B$14:$B$63,MATCH($C90,'3. Costeo y Precios'!$A$14:$A$63,0)),"")</f>
        <v/>
      </c>
      <c r="E90" s="15"/>
      <c r="F90" s="15"/>
      <c r="G90" s="15"/>
      <c r="H90" s="48" t="str">
        <f t="shared" si="1"/>
        <v/>
      </c>
      <c r="I90" s="30"/>
      <c r="J90" s="38">
        <f t="array" ref="J90">IFERROR(INDEX('3. Costeo y Precios'!$K$14:$K$63,MATCH($C90,'3. Costeo y Precios'!$A$14:$A$63,0)),0)</f>
        <v>0</v>
      </c>
      <c r="K90" s="41" t="str">
        <f t="shared" si="2"/>
        <v/>
      </c>
      <c r="L90" s="30"/>
    </row>
    <row r="91" ht="15.75" customHeight="1">
      <c r="A91" s="32"/>
      <c r="B91" s="30"/>
      <c r="C91" s="15"/>
      <c r="D91" s="52" t="str">
        <f t="array" ref="D91">IFERROR(INDEX('3. Costeo y Precios'!$B$14:$B$63,MATCH($C91,'3. Costeo y Precios'!$A$14:$A$63,0)),"")</f>
        <v/>
      </c>
      <c r="E91" s="15"/>
      <c r="F91" s="15"/>
      <c r="G91" s="15"/>
      <c r="H91" s="48" t="str">
        <f t="shared" si="1"/>
        <v/>
      </c>
      <c r="I91" s="30"/>
      <c r="J91" s="38">
        <f t="array" ref="J91">IFERROR(INDEX('3. Costeo y Precios'!$K$14:$K$63,MATCH($C91,'3. Costeo y Precios'!$A$14:$A$63,0)),0)</f>
        <v>0</v>
      </c>
      <c r="K91" s="41" t="str">
        <f t="shared" si="2"/>
        <v/>
      </c>
      <c r="L91" s="30"/>
    </row>
    <row r="92" ht="15.75" customHeight="1">
      <c r="A92" s="32"/>
      <c r="B92" s="30"/>
      <c r="C92" s="15"/>
      <c r="D92" s="52" t="str">
        <f t="array" ref="D92">IFERROR(INDEX('3. Costeo y Precios'!$B$14:$B$63,MATCH($C92,'3. Costeo y Precios'!$A$14:$A$63,0)),"")</f>
        <v/>
      </c>
      <c r="E92" s="15"/>
      <c r="F92" s="15"/>
      <c r="G92" s="15"/>
      <c r="H92" s="48" t="str">
        <f t="shared" si="1"/>
        <v/>
      </c>
      <c r="I92" s="30"/>
      <c r="J92" s="38">
        <f t="array" ref="J92">IFERROR(INDEX('3. Costeo y Precios'!$K$14:$K$63,MATCH($C92,'3. Costeo y Precios'!$A$14:$A$63,0)),0)</f>
        <v>0</v>
      </c>
      <c r="K92" s="41" t="str">
        <f t="shared" si="2"/>
        <v/>
      </c>
      <c r="L92" s="30"/>
    </row>
    <row r="93" ht="15.75" customHeight="1">
      <c r="A93" s="32"/>
      <c r="B93" s="30"/>
      <c r="C93" s="15"/>
      <c r="D93" s="52" t="str">
        <f t="array" ref="D93">IFERROR(INDEX('3. Costeo y Precios'!$B$14:$B$63,MATCH($C93,'3. Costeo y Precios'!$A$14:$A$63,0)),"")</f>
        <v/>
      </c>
      <c r="E93" s="15"/>
      <c r="F93" s="15"/>
      <c r="G93" s="15"/>
      <c r="H93" s="48" t="str">
        <f t="shared" si="1"/>
        <v/>
      </c>
      <c r="I93" s="30"/>
      <c r="J93" s="38">
        <f t="array" ref="J93">IFERROR(INDEX('3. Costeo y Precios'!$K$14:$K$63,MATCH($C93,'3. Costeo y Precios'!$A$14:$A$63,0)),0)</f>
        <v>0</v>
      </c>
      <c r="K93" s="41" t="str">
        <f t="shared" si="2"/>
        <v/>
      </c>
      <c r="L93" s="30"/>
    </row>
    <row r="94" ht="15.75" customHeight="1">
      <c r="A94" s="32"/>
      <c r="B94" s="30"/>
      <c r="C94" s="15"/>
      <c r="D94" s="52" t="str">
        <f t="array" ref="D94">IFERROR(INDEX('3. Costeo y Precios'!$B$14:$B$63,MATCH($C94,'3. Costeo y Precios'!$A$14:$A$63,0)),"")</f>
        <v/>
      </c>
      <c r="E94" s="15"/>
      <c r="F94" s="15"/>
      <c r="G94" s="15"/>
      <c r="H94" s="48" t="str">
        <f t="shared" si="1"/>
        <v/>
      </c>
      <c r="I94" s="30"/>
      <c r="J94" s="38">
        <f t="array" ref="J94">IFERROR(INDEX('3. Costeo y Precios'!$K$14:$K$63,MATCH($C94,'3. Costeo y Precios'!$A$14:$A$63,0)),0)</f>
        <v>0</v>
      </c>
      <c r="K94" s="41" t="str">
        <f t="shared" si="2"/>
        <v/>
      </c>
      <c r="L94" s="30"/>
    </row>
    <row r="95" ht="15.75" customHeight="1">
      <c r="A95" s="32"/>
      <c r="B95" s="30"/>
      <c r="C95" s="15"/>
      <c r="D95" s="52" t="str">
        <f t="array" ref="D95">IFERROR(INDEX('3. Costeo y Precios'!$B$14:$B$63,MATCH($C95,'3. Costeo y Precios'!$A$14:$A$63,0)),"")</f>
        <v/>
      </c>
      <c r="E95" s="15"/>
      <c r="F95" s="15"/>
      <c r="G95" s="15"/>
      <c r="H95" s="48" t="str">
        <f t="shared" si="1"/>
        <v/>
      </c>
      <c r="I95" s="30"/>
      <c r="J95" s="38">
        <f t="array" ref="J95">IFERROR(INDEX('3. Costeo y Precios'!$K$14:$K$63,MATCH($C95,'3. Costeo y Precios'!$A$14:$A$63,0)),0)</f>
        <v>0</v>
      </c>
      <c r="K95" s="41" t="str">
        <f t="shared" si="2"/>
        <v/>
      </c>
      <c r="L95" s="30"/>
    </row>
    <row r="96" ht="15.75" customHeight="1">
      <c r="A96" s="32"/>
      <c r="B96" s="30"/>
      <c r="C96" s="15"/>
      <c r="D96" s="52" t="str">
        <f t="array" ref="D96">IFERROR(INDEX('3. Costeo y Precios'!$B$14:$B$63,MATCH($C96,'3. Costeo y Precios'!$A$14:$A$63,0)),"")</f>
        <v/>
      </c>
      <c r="E96" s="15"/>
      <c r="F96" s="15"/>
      <c r="G96" s="15"/>
      <c r="H96" s="48" t="str">
        <f t="shared" si="1"/>
        <v/>
      </c>
      <c r="I96" s="30"/>
      <c r="J96" s="38">
        <f t="array" ref="J96">IFERROR(INDEX('3. Costeo y Precios'!$K$14:$K$63,MATCH($C96,'3. Costeo y Precios'!$A$14:$A$63,0)),0)</f>
        <v>0</v>
      </c>
      <c r="K96" s="41" t="str">
        <f t="shared" si="2"/>
        <v/>
      </c>
      <c r="L96" s="30"/>
    </row>
    <row r="97" ht="15.75" customHeight="1">
      <c r="A97" s="32"/>
      <c r="B97" s="30"/>
      <c r="C97" s="15"/>
      <c r="D97" s="52" t="str">
        <f t="array" ref="D97">IFERROR(INDEX('3. Costeo y Precios'!$B$14:$B$63,MATCH($C97,'3. Costeo y Precios'!$A$14:$A$63,0)),"")</f>
        <v/>
      </c>
      <c r="E97" s="15"/>
      <c r="F97" s="15"/>
      <c r="G97" s="15"/>
      <c r="H97" s="48" t="str">
        <f t="shared" si="1"/>
        <v/>
      </c>
      <c r="I97" s="30"/>
      <c r="J97" s="38">
        <f t="array" ref="J97">IFERROR(INDEX('3. Costeo y Precios'!$K$14:$K$63,MATCH($C97,'3. Costeo y Precios'!$A$14:$A$63,0)),0)</f>
        <v>0</v>
      </c>
      <c r="K97" s="41" t="str">
        <f t="shared" si="2"/>
        <v/>
      </c>
      <c r="L97" s="30"/>
    </row>
    <row r="98" ht="15.75" customHeight="1">
      <c r="A98" s="32"/>
      <c r="B98" s="30"/>
      <c r="C98" s="15"/>
      <c r="D98" s="52" t="str">
        <f t="array" ref="D98">IFERROR(INDEX('3. Costeo y Precios'!$B$14:$B$63,MATCH($C98,'3. Costeo y Precios'!$A$14:$A$63,0)),"")</f>
        <v/>
      </c>
      <c r="E98" s="15"/>
      <c r="F98" s="15"/>
      <c r="G98" s="15"/>
      <c r="H98" s="48" t="str">
        <f t="shared" si="1"/>
        <v/>
      </c>
      <c r="I98" s="30"/>
      <c r="J98" s="38">
        <f t="array" ref="J98">IFERROR(INDEX('3. Costeo y Precios'!$K$14:$K$63,MATCH($C98,'3. Costeo y Precios'!$A$14:$A$63,0)),0)</f>
        <v>0</v>
      </c>
      <c r="K98" s="41" t="str">
        <f t="shared" si="2"/>
        <v/>
      </c>
      <c r="L98" s="30"/>
    </row>
    <row r="99" ht="15.75" customHeight="1">
      <c r="A99" s="32"/>
      <c r="B99" s="30"/>
      <c r="C99" s="15"/>
      <c r="D99" s="52" t="str">
        <f t="array" ref="D99">IFERROR(INDEX('3. Costeo y Precios'!$B$14:$B$63,MATCH($C99,'3. Costeo y Precios'!$A$14:$A$63,0)),"")</f>
        <v/>
      </c>
      <c r="E99" s="15"/>
      <c r="F99" s="15"/>
      <c r="G99" s="15"/>
      <c r="H99" s="48" t="str">
        <f t="shared" si="1"/>
        <v/>
      </c>
      <c r="I99" s="30"/>
      <c r="J99" s="38">
        <f t="array" ref="J99">IFERROR(INDEX('3. Costeo y Precios'!$K$14:$K$63,MATCH($C99,'3. Costeo y Precios'!$A$14:$A$63,0)),0)</f>
        <v>0</v>
      </c>
      <c r="K99" s="41" t="str">
        <f t="shared" si="2"/>
        <v/>
      </c>
      <c r="L99" s="30"/>
    </row>
    <row r="100" ht="15.75" customHeight="1">
      <c r="A100" s="32"/>
      <c r="B100" s="30"/>
      <c r="C100" s="15"/>
      <c r="D100" s="52" t="str">
        <f t="array" ref="D100">IFERROR(INDEX('3. Costeo y Precios'!$B$14:$B$63,MATCH($C100,'3. Costeo y Precios'!$A$14:$A$63,0)),"")</f>
        <v/>
      </c>
      <c r="E100" s="15"/>
      <c r="F100" s="15"/>
      <c r="G100" s="15"/>
      <c r="H100" s="48" t="str">
        <f t="shared" si="1"/>
        <v/>
      </c>
      <c r="I100" s="30"/>
      <c r="J100" s="38">
        <f t="array" ref="J100">IFERROR(INDEX('3. Costeo y Precios'!$K$14:$K$63,MATCH($C100,'3. Costeo y Precios'!$A$14:$A$63,0)),0)</f>
        <v>0</v>
      </c>
      <c r="K100" s="41" t="str">
        <f t="shared" si="2"/>
        <v/>
      </c>
      <c r="L100" s="30"/>
    </row>
    <row r="101" ht="15.75" customHeight="1">
      <c r="A101" s="32"/>
      <c r="B101" s="30"/>
      <c r="C101" s="15"/>
      <c r="D101" s="52" t="str">
        <f t="array" ref="D101">IFERROR(INDEX('3. Costeo y Precios'!$B$14:$B$63,MATCH($C101,'3. Costeo y Precios'!$A$14:$A$63,0)),"")</f>
        <v/>
      </c>
      <c r="E101" s="15"/>
      <c r="F101" s="15"/>
      <c r="G101" s="15"/>
      <c r="H101" s="48" t="str">
        <f t="shared" si="1"/>
        <v/>
      </c>
      <c r="I101" s="30"/>
      <c r="J101" s="38">
        <f t="array" ref="J101">IFERROR(INDEX('3. Costeo y Precios'!$K$14:$K$63,MATCH($C101,'3. Costeo y Precios'!$A$14:$A$63,0)),0)</f>
        <v>0</v>
      </c>
      <c r="K101" s="41" t="str">
        <f t="shared" si="2"/>
        <v/>
      </c>
      <c r="L101" s="30"/>
    </row>
    <row r="102" ht="15.75" customHeight="1">
      <c r="A102" s="32"/>
      <c r="B102" s="30"/>
      <c r="C102" s="15"/>
      <c r="D102" s="52" t="str">
        <f t="array" ref="D102">IFERROR(INDEX('3. Costeo y Precios'!$B$14:$B$63,MATCH($C102,'3. Costeo y Precios'!$A$14:$A$63,0)),"")</f>
        <v/>
      </c>
      <c r="E102" s="15"/>
      <c r="F102" s="15"/>
      <c r="G102" s="15"/>
      <c r="H102" s="48" t="str">
        <f t="shared" si="1"/>
        <v/>
      </c>
      <c r="I102" s="30"/>
      <c r="J102" s="38">
        <f t="array" ref="J102">IFERROR(INDEX('3. Costeo y Precios'!$K$14:$K$63,MATCH($C102,'3. Costeo y Precios'!$A$14:$A$63,0)),0)</f>
        <v>0</v>
      </c>
      <c r="K102" s="41" t="str">
        <f t="shared" si="2"/>
        <v/>
      </c>
      <c r="L102" s="30"/>
    </row>
    <row r="103" ht="15.75" customHeight="1">
      <c r="A103" s="32"/>
      <c r="B103" s="30"/>
      <c r="C103" s="15"/>
      <c r="D103" s="52" t="str">
        <f t="array" ref="D103">IFERROR(INDEX('3. Costeo y Precios'!$B$14:$B$63,MATCH($C103,'3. Costeo y Precios'!$A$14:$A$63,0)),"")</f>
        <v/>
      </c>
      <c r="E103" s="15"/>
      <c r="F103" s="15"/>
      <c r="G103" s="15"/>
      <c r="H103" s="48" t="str">
        <f t="shared" si="1"/>
        <v/>
      </c>
      <c r="I103" s="30"/>
      <c r="J103" s="38">
        <f t="array" ref="J103">IFERROR(INDEX('3. Costeo y Precios'!$K$14:$K$63,MATCH($C103,'3. Costeo y Precios'!$A$14:$A$63,0)),0)</f>
        <v>0</v>
      </c>
      <c r="K103" s="41" t="str">
        <f t="shared" si="2"/>
        <v/>
      </c>
      <c r="L103" s="30"/>
    </row>
    <row r="104" ht="15.75" customHeight="1">
      <c r="A104" s="32"/>
      <c r="B104" s="30"/>
      <c r="C104" s="15"/>
      <c r="D104" s="52" t="str">
        <f t="array" ref="D104">IFERROR(INDEX('3. Costeo y Precios'!$B$14:$B$63,MATCH($C104,'3. Costeo y Precios'!$A$14:$A$63,0)),"")</f>
        <v/>
      </c>
      <c r="E104" s="15"/>
      <c r="F104" s="15"/>
      <c r="G104" s="15"/>
      <c r="H104" s="48" t="str">
        <f t="shared" si="1"/>
        <v/>
      </c>
      <c r="I104" s="30"/>
      <c r="J104" s="38">
        <f t="array" ref="J104">IFERROR(INDEX('3. Costeo y Precios'!$K$14:$K$63,MATCH($C104,'3. Costeo y Precios'!$A$14:$A$63,0)),0)</f>
        <v>0</v>
      </c>
      <c r="K104" s="41" t="str">
        <f t="shared" si="2"/>
        <v/>
      </c>
      <c r="L104" s="30"/>
    </row>
    <row r="105" ht="15.75" customHeight="1">
      <c r="A105" s="32"/>
      <c r="B105" s="30"/>
      <c r="C105" s="15"/>
      <c r="D105" s="52" t="str">
        <f t="array" ref="D105">IFERROR(INDEX('3. Costeo y Precios'!$B$14:$B$63,MATCH($C105,'3. Costeo y Precios'!$A$14:$A$63,0)),"")</f>
        <v/>
      </c>
      <c r="E105" s="15"/>
      <c r="F105" s="15"/>
      <c r="G105" s="15"/>
      <c r="H105" s="48" t="str">
        <f t="shared" si="1"/>
        <v/>
      </c>
      <c r="I105" s="30"/>
      <c r="J105" s="38">
        <f t="array" ref="J105">IFERROR(INDEX('3. Costeo y Precios'!$K$14:$K$63,MATCH($C105,'3. Costeo y Precios'!$A$14:$A$63,0)),0)</f>
        <v>0</v>
      </c>
      <c r="K105" s="41" t="str">
        <f t="shared" si="2"/>
        <v/>
      </c>
      <c r="L105" s="30"/>
    </row>
    <row r="106" ht="15.75" customHeight="1">
      <c r="A106" s="32"/>
      <c r="B106" s="30"/>
      <c r="C106" s="15"/>
      <c r="D106" s="52" t="str">
        <f t="array" ref="D106">IFERROR(INDEX('3. Costeo y Precios'!$B$14:$B$63,MATCH($C106,'3. Costeo y Precios'!$A$14:$A$63,0)),"")</f>
        <v/>
      </c>
      <c r="E106" s="15"/>
      <c r="F106" s="15"/>
      <c r="G106" s="15"/>
      <c r="H106" s="48" t="str">
        <f t="shared" si="1"/>
        <v/>
      </c>
      <c r="I106" s="30"/>
      <c r="J106" s="38">
        <f t="array" ref="J106">IFERROR(INDEX('3. Costeo y Precios'!$K$14:$K$63,MATCH($C106,'3. Costeo y Precios'!$A$14:$A$63,0)),0)</f>
        <v>0</v>
      </c>
      <c r="K106" s="41" t="str">
        <f t="shared" si="2"/>
        <v/>
      </c>
      <c r="L106" s="30"/>
    </row>
    <row r="107" ht="15.75" customHeight="1">
      <c r="A107" s="32"/>
      <c r="B107" s="30"/>
      <c r="C107" s="15"/>
      <c r="D107" s="52" t="str">
        <f t="array" ref="D107">IFERROR(INDEX('3. Costeo y Precios'!$B$14:$B$63,MATCH($C107,'3. Costeo y Precios'!$A$14:$A$63,0)),"")</f>
        <v/>
      </c>
      <c r="E107" s="15"/>
      <c r="F107" s="15"/>
      <c r="G107" s="15"/>
      <c r="H107" s="48" t="str">
        <f t="shared" si="1"/>
        <v/>
      </c>
      <c r="I107" s="30"/>
      <c r="J107" s="38">
        <f t="array" ref="J107">IFERROR(INDEX('3. Costeo y Precios'!$K$14:$K$63,MATCH($C107,'3. Costeo y Precios'!$A$14:$A$63,0)),0)</f>
        <v>0</v>
      </c>
      <c r="K107" s="41" t="str">
        <f t="shared" si="2"/>
        <v/>
      </c>
      <c r="L107" s="30"/>
    </row>
    <row r="108" ht="15.75" customHeight="1">
      <c r="A108" s="32"/>
      <c r="B108" s="30"/>
      <c r="C108" s="15"/>
      <c r="D108" s="52" t="str">
        <f t="array" ref="D108">IFERROR(INDEX('3. Costeo y Precios'!$B$14:$B$63,MATCH($C108,'3. Costeo y Precios'!$A$14:$A$63,0)),"")</f>
        <v/>
      </c>
      <c r="E108" s="15"/>
      <c r="F108" s="15"/>
      <c r="G108" s="15"/>
      <c r="H108" s="48" t="str">
        <f t="shared" si="1"/>
        <v/>
      </c>
      <c r="I108" s="30"/>
      <c r="J108" s="38">
        <f t="array" ref="J108">IFERROR(INDEX('3. Costeo y Precios'!$K$14:$K$63,MATCH($C108,'3. Costeo y Precios'!$A$14:$A$63,0)),0)</f>
        <v>0</v>
      </c>
      <c r="K108" s="41" t="str">
        <f t="shared" si="2"/>
        <v/>
      </c>
      <c r="L108" s="30"/>
    </row>
    <row r="109" ht="15.75" customHeight="1">
      <c r="A109" s="32"/>
      <c r="B109" s="30"/>
      <c r="C109" s="15"/>
      <c r="D109" s="52" t="str">
        <f t="array" ref="D109">IFERROR(INDEX('3. Costeo y Precios'!$B$14:$B$63,MATCH($C109,'3. Costeo y Precios'!$A$14:$A$63,0)),"")</f>
        <v/>
      </c>
      <c r="E109" s="15"/>
      <c r="F109" s="15"/>
      <c r="G109" s="15"/>
      <c r="H109" s="48" t="str">
        <f t="shared" si="1"/>
        <v/>
      </c>
      <c r="I109" s="30"/>
      <c r="J109" s="38">
        <f t="array" ref="J109">IFERROR(INDEX('3. Costeo y Precios'!$K$14:$K$63,MATCH($C109,'3. Costeo y Precios'!$A$14:$A$63,0)),0)</f>
        <v>0</v>
      </c>
      <c r="K109" s="41" t="str">
        <f t="shared" si="2"/>
        <v/>
      </c>
      <c r="L109" s="30"/>
    </row>
    <row r="110" ht="15.75" customHeight="1">
      <c r="A110" s="32"/>
      <c r="B110" s="30"/>
      <c r="C110" s="15"/>
      <c r="D110" s="52" t="str">
        <f t="array" ref="D110">IFERROR(INDEX('3. Costeo y Precios'!$B$14:$B$63,MATCH($C110,'3. Costeo y Precios'!$A$14:$A$63,0)),"")</f>
        <v/>
      </c>
      <c r="E110" s="15"/>
      <c r="F110" s="15"/>
      <c r="G110" s="15"/>
      <c r="H110" s="48" t="str">
        <f t="shared" si="1"/>
        <v/>
      </c>
      <c r="I110" s="30"/>
      <c r="J110" s="38">
        <f t="array" ref="J110">IFERROR(INDEX('3. Costeo y Precios'!$K$14:$K$63,MATCH($C110,'3. Costeo y Precios'!$A$14:$A$63,0)),0)</f>
        <v>0</v>
      </c>
      <c r="K110" s="41" t="str">
        <f t="shared" si="2"/>
        <v/>
      </c>
      <c r="L110" s="30"/>
    </row>
    <row r="111" ht="15.75" customHeight="1">
      <c r="A111" s="32"/>
      <c r="B111" s="30"/>
      <c r="C111" s="15"/>
      <c r="D111" s="52" t="str">
        <f t="array" ref="D111">IFERROR(INDEX('3. Costeo y Precios'!$B$14:$B$63,MATCH($C111,'3. Costeo y Precios'!$A$14:$A$63,0)),"")</f>
        <v/>
      </c>
      <c r="E111" s="15"/>
      <c r="F111" s="15"/>
      <c r="G111" s="15"/>
      <c r="H111" s="48" t="str">
        <f t="shared" si="1"/>
        <v/>
      </c>
      <c r="I111" s="30"/>
      <c r="J111" s="38">
        <f t="array" ref="J111">IFERROR(INDEX('3. Costeo y Precios'!$K$14:$K$63,MATCH($C111,'3. Costeo y Precios'!$A$14:$A$63,0)),0)</f>
        <v>0</v>
      </c>
      <c r="K111" s="41" t="str">
        <f t="shared" si="2"/>
        <v/>
      </c>
      <c r="L111" s="30"/>
    </row>
    <row r="112" ht="15.75" customHeight="1">
      <c r="A112" s="32"/>
      <c r="B112" s="30"/>
      <c r="C112" s="15"/>
      <c r="D112" s="52" t="str">
        <f t="array" ref="D112">IFERROR(INDEX('3. Costeo y Precios'!$B$14:$B$63,MATCH($C112,'3. Costeo y Precios'!$A$14:$A$63,0)),"")</f>
        <v/>
      </c>
      <c r="E112" s="15"/>
      <c r="F112" s="15"/>
      <c r="G112" s="15"/>
      <c r="H112" s="48" t="str">
        <f t="shared" si="1"/>
        <v/>
      </c>
      <c r="I112" s="30"/>
      <c r="J112" s="38">
        <f t="array" ref="J112">IFERROR(INDEX('3. Costeo y Precios'!$K$14:$K$63,MATCH($C112,'3. Costeo y Precios'!$A$14:$A$63,0)),0)</f>
        <v>0</v>
      </c>
      <c r="K112" s="41" t="str">
        <f t="shared" si="2"/>
        <v/>
      </c>
      <c r="L112" s="30"/>
    </row>
    <row r="113" ht="15.75" customHeight="1">
      <c r="A113" s="32"/>
      <c r="B113" s="30"/>
      <c r="C113" s="15"/>
      <c r="D113" s="52" t="str">
        <f t="array" ref="D113">IFERROR(INDEX('3. Costeo y Precios'!$B$14:$B$63,MATCH($C113,'3. Costeo y Precios'!$A$14:$A$63,0)),"")</f>
        <v/>
      </c>
      <c r="E113" s="15"/>
      <c r="F113" s="15"/>
      <c r="G113" s="15"/>
      <c r="H113" s="48" t="str">
        <f t="shared" si="1"/>
        <v/>
      </c>
      <c r="I113" s="30"/>
      <c r="J113" s="38">
        <f t="array" ref="J113">IFERROR(INDEX('3. Costeo y Precios'!$K$14:$K$63,MATCH($C113,'3. Costeo y Precios'!$A$14:$A$63,0)),0)</f>
        <v>0</v>
      </c>
      <c r="K113" s="41" t="str">
        <f t="shared" si="2"/>
        <v/>
      </c>
      <c r="L113" s="30"/>
    </row>
    <row r="114" ht="15.75" customHeight="1">
      <c r="A114" s="32"/>
      <c r="B114" s="30"/>
      <c r="C114" s="15"/>
      <c r="D114" s="52" t="str">
        <f t="array" ref="D114">IFERROR(INDEX('3. Costeo y Precios'!$B$14:$B$63,MATCH($C114,'3. Costeo y Precios'!$A$14:$A$63,0)),"")</f>
        <v/>
      </c>
      <c r="E114" s="15"/>
      <c r="F114" s="15"/>
      <c r="G114" s="15"/>
      <c r="H114" s="48" t="str">
        <f t="shared" si="1"/>
        <v/>
      </c>
      <c r="I114" s="30"/>
      <c r="J114" s="38">
        <f t="array" ref="J114">IFERROR(INDEX('3. Costeo y Precios'!$K$14:$K$63,MATCH($C114,'3. Costeo y Precios'!$A$14:$A$63,0)),0)</f>
        <v>0</v>
      </c>
      <c r="K114" s="41" t="str">
        <f t="shared" si="2"/>
        <v/>
      </c>
      <c r="L114" s="30"/>
    </row>
    <row r="115" ht="15.75" customHeight="1">
      <c r="A115" s="32"/>
      <c r="B115" s="30"/>
      <c r="C115" s="15"/>
      <c r="D115" s="52" t="str">
        <f t="array" ref="D115">IFERROR(INDEX('3. Costeo y Precios'!$B$14:$B$63,MATCH($C115,'3. Costeo y Precios'!$A$14:$A$63,0)),"")</f>
        <v/>
      </c>
      <c r="E115" s="15"/>
      <c r="F115" s="15"/>
      <c r="G115" s="15"/>
      <c r="H115" s="48" t="str">
        <f t="shared" si="1"/>
        <v/>
      </c>
      <c r="I115" s="30"/>
      <c r="J115" s="38">
        <f t="array" ref="J115">IFERROR(INDEX('3. Costeo y Precios'!$K$14:$K$63,MATCH($C115,'3. Costeo y Precios'!$A$14:$A$63,0)),0)</f>
        <v>0</v>
      </c>
      <c r="K115" s="41" t="str">
        <f t="shared" si="2"/>
        <v/>
      </c>
      <c r="L115" s="30"/>
    </row>
    <row r="116" ht="15.75" customHeight="1">
      <c r="A116" s="32"/>
      <c r="B116" s="30"/>
      <c r="C116" s="15"/>
      <c r="D116" s="52" t="str">
        <f t="array" ref="D116">IFERROR(INDEX('3. Costeo y Precios'!$B$14:$B$63,MATCH($C116,'3. Costeo y Precios'!$A$14:$A$63,0)),"")</f>
        <v/>
      </c>
      <c r="E116" s="15"/>
      <c r="F116" s="15"/>
      <c r="G116" s="15"/>
      <c r="H116" s="48" t="str">
        <f t="shared" si="1"/>
        <v/>
      </c>
      <c r="I116" s="30"/>
      <c r="J116" s="38">
        <f t="array" ref="J116">IFERROR(INDEX('3. Costeo y Precios'!$K$14:$K$63,MATCH($C116,'3. Costeo y Precios'!$A$14:$A$63,0)),0)</f>
        <v>0</v>
      </c>
      <c r="K116" s="41" t="str">
        <f t="shared" si="2"/>
        <v/>
      </c>
      <c r="L116" s="30"/>
    </row>
    <row r="117" ht="15.75" customHeight="1">
      <c r="A117" s="32"/>
      <c r="B117" s="30"/>
      <c r="C117" s="15"/>
      <c r="D117" s="52" t="str">
        <f t="array" ref="D117">IFERROR(INDEX('3. Costeo y Precios'!$B$14:$B$63,MATCH($C117,'3. Costeo y Precios'!$A$14:$A$63,0)),"")</f>
        <v/>
      </c>
      <c r="E117" s="15"/>
      <c r="F117" s="15"/>
      <c r="G117" s="15"/>
      <c r="H117" s="48" t="str">
        <f t="shared" si="1"/>
        <v/>
      </c>
      <c r="I117" s="30"/>
      <c r="J117" s="38">
        <f t="array" ref="J117">IFERROR(INDEX('3. Costeo y Precios'!$K$14:$K$63,MATCH($C117,'3. Costeo y Precios'!$A$14:$A$63,0)),0)</f>
        <v>0</v>
      </c>
      <c r="K117" s="41" t="str">
        <f t="shared" si="2"/>
        <v/>
      </c>
      <c r="L117" s="30"/>
    </row>
    <row r="118" ht="15.75" customHeight="1">
      <c r="A118" s="32"/>
      <c r="B118" s="30"/>
      <c r="C118" s="15"/>
      <c r="D118" s="52" t="str">
        <f t="array" ref="D118">IFERROR(INDEX('3. Costeo y Precios'!$B$14:$B$63,MATCH($C118,'3. Costeo y Precios'!$A$14:$A$63,0)),"")</f>
        <v/>
      </c>
      <c r="E118" s="15"/>
      <c r="F118" s="15"/>
      <c r="G118" s="15"/>
      <c r="H118" s="48" t="str">
        <f t="shared" si="1"/>
        <v/>
      </c>
      <c r="I118" s="30"/>
      <c r="J118" s="38">
        <f t="array" ref="J118">IFERROR(INDEX('3. Costeo y Precios'!$K$14:$K$63,MATCH($C118,'3. Costeo y Precios'!$A$14:$A$63,0)),0)</f>
        <v>0</v>
      </c>
      <c r="K118" s="41" t="str">
        <f t="shared" si="2"/>
        <v/>
      </c>
      <c r="L118" s="30"/>
    </row>
    <row r="119" ht="15.75" customHeight="1">
      <c r="A119" s="32"/>
      <c r="B119" s="30"/>
      <c r="C119" s="15"/>
      <c r="D119" s="52" t="str">
        <f t="array" ref="D119">IFERROR(INDEX('3. Costeo y Precios'!$B$14:$B$63,MATCH($C119,'3. Costeo y Precios'!$A$14:$A$63,0)),"")</f>
        <v/>
      </c>
      <c r="E119" s="15"/>
      <c r="F119" s="15"/>
      <c r="G119" s="15"/>
      <c r="H119" s="48" t="str">
        <f t="shared" si="1"/>
        <v/>
      </c>
      <c r="I119" s="30"/>
      <c r="J119" s="38">
        <f t="array" ref="J119">IFERROR(INDEX('3. Costeo y Precios'!$K$14:$K$63,MATCH($C119,'3. Costeo y Precios'!$A$14:$A$63,0)),0)</f>
        <v>0</v>
      </c>
      <c r="K119" s="41" t="str">
        <f t="shared" si="2"/>
        <v/>
      </c>
      <c r="L119" s="30"/>
    </row>
    <row r="120" ht="15.75" customHeight="1">
      <c r="A120" s="32"/>
      <c r="B120" s="30"/>
      <c r="C120" s="15"/>
      <c r="D120" s="52" t="str">
        <f t="array" ref="D120">IFERROR(INDEX('3. Costeo y Precios'!$B$14:$B$63,MATCH($C120,'3. Costeo y Precios'!$A$14:$A$63,0)),"")</f>
        <v/>
      </c>
      <c r="E120" s="15"/>
      <c r="F120" s="15"/>
      <c r="G120" s="15"/>
      <c r="H120" s="48" t="str">
        <f t="shared" si="1"/>
        <v/>
      </c>
      <c r="I120" s="30"/>
      <c r="J120" s="38">
        <f t="array" ref="J120">IFERROR(INDEX('3. Costeo y Precios'!$K$14:$K$63,MATCH($C120,'3. Costeo y Precios'!$A$14:$A$63,0)),0)</f>
        <v>0</v>
      </c>
      <c r="K120" s="41" t="str">
        <f t="shared" si="2"/>
        <v/>
      </c>
      <c r="L120" s="30"/>
    </row>
    <row r="121" ht="15.75" customHeight="1">
      <c r="A121" s="32"/>
      <c r="B121" s="30"/>
      <c r="C121" s="15"/>
      <c r="D121" s="52" t="str">
        <f t="array" ref="D121">IFERROR(INDEX('3. Costeo y Precios'!$B$14:$B$63,MATCH($C121,'3. Costeo y Precios'!$A$14:$A$63,0)),"")</f>
        <v/>
      </c>
      <c r="E121" s="15"/>
      <c r="F121" s="15"/>
      <c r="G121" s="15"/>
      <c r="H121" s="48" t="str">
        <f t="shared" si="1"/>
        <v/>
      </c>
      <c r="I121" s="30"/>
      <c r="J121" s="38">
        <f t="array" ref="J121">IFERROR(INDEX('3. Costeo y Precios'!$K$14:$K$63,MATCH($C121,'3. Costeo y Precios'!$A$14:$A$63,0)),0)</f>
        <v>0</v>
      </c>
      <c r="K121" s="41" t="str">
        <f t="shared" si="2"/>
        <v/>
      </c>
      <c r="L121" s="30"/>
    </row>
    <row r="122" ht="15.75" customHeight="1">
      <c r="A122" s="32"/>
      <c r="B122" s="30"/>
      <c r="C122" s="15"/>
      <c r="D122" s="52" t="str">
        <f t="array" ref="D122">IFERROR(INDEX('3. Costeo y Precios'!$B$14:$B$63,MATCH($C122,'3. Costeo y Precios'!$A$14:$A$63,0)),"")</f>
        <v/>
      </c>
      <c r="E122" s="15"/>
      <c r="F122" s="15"/>
      <c r="G122" s="15"/>
      <c r="H122" s="48" t="str">
        <f t="shared" si="1"/>
        <v/>
      </c>
      <c r="I122" s="30"/>
      <c r="J122" s="38">
        <f t="array" ref="J122">IFERROR(INDEX('3. Costeo y Precios'!$K$14:$K$63,MATCH($C122,'3. Costeo y Precios'!$A$14:$A$63,0)),0)</f>
        <v>0</v>
      </c>
      <c r="K122" s="41" t="str">
        <f t="shared" si="2"/>
        <v/>
      </c>
      <c r="L122" s="30"/>
    </row>
    <row r="123" ht="15.75" customHeight="1">
      <c r="A123" s="32"/>
      <c r="B123" s="30"/>
      <c r="C123" s="15"/>
      <c r="D123" s="52" t="str">
        <f t="array" ref="D123">IFERROR(INDEX('3. Costeo y Precios'!$B$14:$B$63,MATCH($C123,'3. Costeo y Precios'!$A$14:$A$63,0)),"")</f>
        <v/>
      </c>
      <c r="E123" s="15"/>
      <c r="F123" s="15"/>
      <c r="G123" s="15"/>
      <c r="H123" s="48" t="str">
        <f t="shared" si="1"/>
        <v/>
      </c>
      <c r="I123" s="30"/>
      <c r="J123" s="38">
        <f t="array" ref="J123">IFERROR(INDEX('3. Costeo y Precios'!$K$14:$K$63,MATCH($C123,'3. Costeo y Precios'!$A$14:$A$63,0)),0)</f>
        <v>0</v>
      </c>
      <c r="K123" s="41" t="str">
        <f t="shared" si="2"/>
        <v/>
      </c>
      <c r="L123" s="30"/>
    </row>
    <row r="124" ht="15.75" customHeight="1">
      <c r="A124" s="32"/>
      <c r="B124" s="30"/>
      <c r="C124" s="15"/>
      <c r="D124" s="52" t="str">
        <f t="array" ref="D124">IFERROR(INDEX('3. Costeo y Precios'!$B$14:$B$63,MATCH($C124,'3. Costeo y Precios'!$A$14:$A$63,0)),"")</f>
        <v/>
      </c>
      <c r="E124" s="15"/>
      <c r="F124" s="15"/>
      <c r="G124" s="15"/>
      <c r="H124" s="48" t="str">
        <f t="shared" si="1"/>
        <v/>
      </c>
      <c r="I124" s="30"/>
      <c r="J124" s="38">
        <f t="array" ref="J124">IFERROR(INDEX('3. Costeo y Precios'!$K$14:$K$63,MATCH($C124,'3. Costeo y Precios'!$A$14:$A$63,0)),0)</f>
        <v>0</v>
      </c>
      <c r="K124" s="41" t="str">
        <f t="shared" si="2"/>
        <v/>
      </c>
      <c r="L124" s="30"/>
    </row>
    <row r="125" ht="15.75" customHeight="1">
      <c r="A125" s="32"/>
      <c r="B125" s="30"/>
      <c r="C125" s="15"/>
      <c r="D125" s="52" t="str">
        <f t="array" ref="D125">IFERROR(INDEX('3. Costeo y Precios'!$B$14:$B$63,MATCH($C125,'3. Costeo y Precios'!$A$14:$A$63,0)),"")</f>
        <v/>
      </c>
      <c r="E125" s="15"/>
      <c r="F125" s="15"/>
      <c r="G125" s="15"/>
      <c r="H125" s="48" t="str">
        <f t="shared" si="1"/>
        <v/>
      </c>
      <c r="I125" s="30"/>
      <c r="J125" s="38">
        <f t="array" ref="J125">IFERROR(INDEX('3. Costeo y Precios'!$K$14:$K$63,MATCH($C125,'3. Costeo y Precios'!$A$14:$A$63,0)),0)</f>
        <v>0</v>
      </c>
      <c r="K125" s="41" t="str">
        <f t="shared" si="2"/>
        <v/>
      </c>
      <c r="L125" s="30"/>
    </row>
    <row r="126" ht="15.75" customHeight="1">
      <c r="A126" s="32"/>
      <c r="B126" s="30"/>
      <c r="C126" s="15"/>
      <c r="D126" s="52" t="str">
        <f t="array" ref="D126">IFERROR(INDEX('3. Costeo y Precios'!$B$14:$B$63,MATCH($C126,'3. Costeo y Precios'!$A$14:$A$63,0)),"")</f>
        <v/>
      </c>
      <c r="E126" s="15"/>
      <c r="F126" s="15"/>
      <c r="G126" s="15"/>
      <c r="H126" s="48" t="str">
        <f t="shared" si="1"/>
        <v/>
      </c>
      <c r="I126" s="30"/>
      <c r="J126" s="38">
        <f t="array" ref="J126">IFERROR(INDEX('3. Costeo y Precios'!$K$14:$K$63,MATCH($C126,'3. Costeo y Precios'!$A$14:$A$63,0)),0)</f>
        <v>0</v>
      </c>
      <c r="K126" s="41" t="str">
        <f t="shared" si="2"/>
        <v/>
      </c>
      <c r="L126" s="30"/>
    </row>
    <row r="127" ht="15.75" customHeight="1">
      <c r="A127" s="32"/>
      <c r="B127" s="30"/>
      <c r="C127" s="15"/>
      <c r="D127" s="52" t="str">
        <f t="array" ref="D127">IFERROR(INDEX('3. Costeo y Precios'!$B$14:$B$63,MATCH($C127,'3. Costeo y Precios'!$A$14:$A$63,0)),"")</f>
        <v/>
      </c>
      <c r="E127" s="15"/>
      <c r="F127" s="15"/>
      <c r="G127" s="15"/>
      <c r="H127" s="48" t="str">
        <f t="shared" si="1"/>
        <v/>
      </c>
      <c r="I127" s="30"/>
      <c r="J127" s="38">
        <f t="array" ref="J127">IFERROR(INDEX('3. Costeo y Precios'!$K$14:$K$63,MATCH($C127,'3. Costeo y Precios'!$A$14:$A$63,0)),0)</f>
        <v>0</v>
      </c>
      <c r="K127" s="41" t="str">
        <f t="shared" si="2"/>
        <v/>
      </c>
      <c r="L127" s="30"/>
    </row>
    <row r="128" ht="15.75" customHeight="1">
      <c r="A128" s="32"/>
      <c r="B128" s="30"/>
      <c r="C128" s="15"/>
      <c r="D128" s="52" t="str">
        <f t="array" ref="D128">IFERROR(INDEX('3. Costeo y Precios'!$B$14:$B$63,MATCH($C128,'3. Costeo y Precios'!$A$14:$A$63,0)),"")</f>
        <v/>
      </c>
      <c r="E128" s="15"/>
      <c r="F128" s="15"/>
      <c r="G128" s="15"/>
      <c r="H128" s="48" t="str">
        <f t="shared" si="1"/>
        <v/>
      </c>
      <c r="I128" s="30"/>
      <c r="J128" s="38">
        <f t="array" ref="J128">IFERROR(INDEX('3. Costeo y Precios'!$K$14:$K$63,MATCH($C128,'3. Costeo y Precios'!$A$14:$A$63,0)),0)</f>
        <v>0</v>
      </c>
      <c r="K128" s="41" t="str">
        <f t="shared" si="2"/>
        <v/>
      </c>
      <c r="L128" s="30"/>
    </row>
    <row r="129" ht="15.75" customHeight="1">
      <c r="A129" s="32"/>
      <c r="B129" s="30"/>
      <c r="C129" s="15"/>
      <c r="D129" s="52" t="str">
        <f t="array" ref="D129">IFERROR(INDEX('3. Costeo y Precios'!$B$14:$B$63,MATCH($C129,'3. Costeo y Precios'!$A$14:$A$63,0)),"")</f>
        <v/>
      </c>
      <c r="E129" s="15"/>
      <c r="F129" s="15"/>
      <c r="G129" s="15"/>
      <c r="H129" s="48" t="str">
        <f t="shared" si="1"/>
        <v/>
      </c>
      <c r="I129" s="30"/>
      <c r="J129" s="38">
        <f t="array" ref="J129">IFERROR(INDEX('3. Costeo y Precios'!$K$14:$K$63,MATCH($C129,'3. Costeo y Precios'!$A$14:$A$63,0)),0)</f>
        <v>0</v>
      </c>
      <c r="K129" s="41" t="str">
        <f t="shared" si="2"/>
        <v/>
      </c>
      <c r="L129" s="30"/>
    </row>
    <row r="130" ht="15.75" customHeight="1">
      <c r="A130" s="32"/>
      <c r="B130" s="30"/>
      <c r="C130" s="15"/>
      <c r="D130" s="52" t="str">
        <f t="array" ref="D130">IFERROR(INDEX('3. Costeo y Precios'!$B$14:$B$63,MATCH($C130,'3. Costeo y Precios'!$A$14:$A$63,0)),"")</f>
        <v/>
      </c>
      <c r="E130" s="15"/>
      <c r="F130" s="15"/>
      <c r="G130" s="15"/>
      <c r="H130" s="48" t="str">
        <f t="shared" si="1"/>
        <v/>
      </c>
      <c r="I130" s="30"/>
      <c r="J130" s="38">
        <f t="array" ref="J130">IFERROR(INDEX('3. Costeo y Precios'!$K$14:$K$63,MATCH($C130,'3. Costeo y Precios'!$A$14:$A$63,0)),0)</f>
        <v>0</v>
      </c>
      <c r="K130" s="41" t="str">
        <f t="shared" si="2"/>
        <v/>
      </c>
      <c r="L130" s="30"/>
    </row>
    <row r="131" ht="15.75" customHeight="1">
      <c r="A131" s="32"/>
      <c r="B131" s="30"/>
      <c r="C131" s="15"/>
      <c r="D131" s="52" t="str">
        <f t="array" ref="D131">IFERROR(INDEX('3. Costeo y Precios'!$B$14:$B$63,MATCH($C131,'3. Costeo y Precios'!$A$14:$A$63,0)),"")</f>
        <v/>
      </c>
      <c r="E131" s="15"/>
      <c r="F131" s="15"/>
      <c r="G131" s="15"/>
      <c r="H131" s="48" t="str">
        <f t="shared" si="1"/>
        <v/>
      </c>
      <c r="I131" s="30"/>
      <c r="J131" s="38">
        <f t="array" ref="J131">IFERROR(INDEX('3. Costeo y Precios'!$K$14:$K$63,MATCH($C131,'3. Costeo y Precios'!$A$14:$A$63,0)),0)</f>
        <v>0</v>
      </c>
      <c r="K131" s="41" t="str">
        <f t="shared" si="2"/>
        <v/>
      </c>
      <c r="L131" s="30"/>
    </row>
    <row r="132" ht="15.75" customHeight="1">
      <c r="A132" s="32"/>
      <c r="B132" s="30"/>
      <c r="C132" s="15"/>
      <c r="D132" s="52" t="str">
        <f t="array" ref="D132">IFERROR(INDEX('3. Costeo y Precios'!$B$14:$B$63,MATCH($C132,'3. Costeo y Precios'!$A$14:$A$63,0)),"")</f>
        <v/>
      </c>
      <c r="E132" s="15"/>
      <c r="F132" s="15"/>
      <c r="G132" s="15"/>
      <c r="H132" s="48" t="str">
        <f t="shared" si="1"/>
        <v/>
      </c>
      <c r="I132" s="30"/>
      <c r="J132" s="38">
        <f t="array" ref="J132">IFERROR(INDEX('3. Costeo y Precios'!$K$14:$K$63,MATCH($C132,'3. Costeo y Precios'!$A$14:$A$63,0)),0)</f>
        <v>0</v>
      </c>
      <c r="K132" s="41" t="str">
        <f t="shared" si="2"/>
        <v/>
      </c>
      <c r="L132" s="30"/>
    </row>
    <row r="133" ht="15.75" customHeight="1">
      <c r="A133" s="32"/>
      <c r="B133" s="30"/>
      <c r="C133" s="15"/>
      <c r="D133" s="52" t="str">
        <f t="array" ref="D133">IFERROR(INDEX('3. Costeo y Precios'!$B$14:$B$63,MATCH($C133,'3. Costeo y Precios'!$A$14:$A$63,0)),"")</f>
        <v/>
      </c>
      <c r="E133" s="15"/>
      <c r="F133" s="15"/>
      <c r="G133" s="15"/>
      <c r="H133" s="48" t="str">
        <f t="shared" si="1"/>
        <v/>
      </c>
      <c r="I133" s="30"/>
      <c r="J133" s="38">
        <f t="array" ref="J133">IFERROR(INDEX('3. Costeo y Precios'!$K$14:$K$63,MATCH($C133,'3. Costeo y Precios'!$A$14:$A$63,0)),0)</f>
        <v>0</v>
      </c>
      <c r="K133" s="41" t="str">
        <f t="shared" si="2"/>
        <v/>
      </c>
      <c r="L133" s="30"/>
    </row>
    <row r="134" ht="15.75" customHeight="1">
      <c r="A134" s="32"/>
      <c r="B134" s="30"/>
      <c r="C134" s="15"/>
      <c r="D134" s="52" t="str">
        <f t="array" ref="D134">IFERROR(INDEX('3. Costeo y Precios'!$B$14:$B$63,MATCH($C134,'3. Costeo y Precios'!$A$14:$A$63,0)),"")</f>
        <v/>
      </c>
      <c r="E134" s="15"/>
      <c r="F134" s="15"/>
      <c r="G134" s="15"/>
      <c r="H134" s="48" t="str">
        <f t="shared" si="1"/>
        <v/>
      </c>
      <c r="I134" s="30"/>
      <c r="J134" s="38">
        <f t="array" ref="J134">IFERROR(INDEX('3. Costeo y Precios'!$K$14:$K$63,MATCH($C134,'3. Costeo y Precios'!$A$14:$A$63,0)),0)</f>
        <v>0</v>
      </c>
      <c r="K134" s="41" t="str">
        <f t="shared" si="2"/>
        <v/>
      </c>
      <c r="L134" s="30"/>
    </row>
    <row r="135" ht="15.75" customHeight="1">
      <c r="A135" s="32"/>
      <c r="B135" s="30"/>
      <c r="C135" s="15"/>
      <c r="D135" s="52" t="str">
        <f t="array" ref="D135">IFERROR(INDEX('3. Costeo y Precios'!$B$14:$B$63,MATCH($C135,'3. Costeo y Precios'!$A$14:$A$63,0)),"")</f>
        <v/>
      </c>
      <c r="E135" s="15"/>
      <c r="F135" s="15"/>
      <c r="G135" s="15"/>
      <c r="H135" s="48" t="str">
        <f t="shared" si="1"/>
        <v/>
      </c>
      <c r="I135" s="30"/>
      <c r="J135" s="38">
        <f t="array" ref="J135">IFERROR(INDEX('3. Costeo y Precios'!$K$14:$K$63,MATCH($C135,'3. Costeo y Precios'!$A$14:$A$63,0)),0)</f>
        <v>0</v>
      </c>
      <c r="K135" s="41" t="str">
        <f t="shared" si="2"/>
        <v/>
      </c>
      <c r="L135" s="30"/>
    </row>
    <row r="136" ht="15.75" customHeight="1">
      <c r="A136" s="32"/>
      <c r="B136" s="30"/>
      <c r="C136" s="15"/>
      <c r="D136" s="52" t="str">
        <f t="array" ref="D136">IFERROR(INDEX('3. Costeo y Precios'!$B$14:$B$63,MATCH($C136,'3. Costeo y Precios'!$A$14:$A$63,0)),"")</f>
        <v/>
      </c>
      <c r="E136" s="15"/>
      <c r="F136" s="15"/>
      <c r="G136" s="15"/>
      <c r="H136" s="48" t="str">
        <f t="shared" si="1"/>
        <v/>
      </c>
      <c r="I136" s="30"/>
      <c r="J136" s="38">
        <f t="array" ref="J136">IFERROR(INDEX('3. Costeo y Precios'!$K$14:$K$63,MATCH($C136,'3. Costeo y Precios'!$A$14:$A$63,0)),0)</f>
        <v>0</v>
      </c>
      <c r="K136" s="41" t="str">
        <f t="shared" si="2"/>
        <v/>
      </c>
      <c r="L136" s="30"/>
    </row>
    <row r="137" ht="15.75" customHeight="1">
      <c r="A137" s="32"/>
      <c r="B137" s="30"/>
      <c r="C137" s="15"/>
      <c r="D137" s="52" t="str">
        <f t="array" ref="D137">IFERROR(INDEX('3. Costeo y Precios'!$B$14:$B$63,MATCH($C137,'3. Costeo y Precios'!$A$14:$A$63,0)),"")</f>
        <v/>
      </c>
      <c r="E137" s="15"/>
      <c r="F137" s="15"/>
      <c r="G137" s="15"/>
      <c r="H137" s="48" t="str">
        <f t="shared" si="1"/>
        <v/>
      </c>
      <c r="I137" s="30"/>
      <c r="J137" s="38">
        <f t="array" ref="J137">IFERROR(INDEX('3. Costeo y Precios'!$K$14:$K$63,MATCH($C137,'3. Costeo y Precios'!$A$14:$A$63,0)),0)</f>
        <v>0</v>
      </c>
      <c r="K137" s="41" t="str">
        <f t="shared" si="2"/>
        <v/>
      </c>
      <c r="L137" s="30"/>
    </row>
    <row r="138" ht="15.75" customHeight="1">
      <c r="A138" s="32"/>
      <c r="B138" s="30"/>
      <c r="C138" s="15"/>
      <c r="D138" s="52" t="str">
        <f t="array" ref="D138">IFERROR(INDEX('3. Costeo y Precios'!$B$14:$B$63,MATCH($C138,'3. Costeo y Precios'!$A$14:$A$63,0)),"")</f>
        <v/>
      </c>
      <c r="E138" s="15"/>
      <c r="F138" s="15"/>
      <c r="G138" s="15"/>
      <c r="H138" s="48" t="str">
        <f t="shared" si="1"/>
        <v/>
      </c>
      <c r="I138" s="30"/>
      <c r="J138" s="38">
        <f t="array" ref="J138">IFERROR(INDEX('3. Costeo y Precios'!$K$14:$K$63,MATCH($C138,'3. Costeo y Precios'!$A$14:$A$63,0)),0)</f>
        <v>0</v>
      </c>
      <c r="K138" s="41" t="str">
        <f t="shared" si="2"/>
        <v/>
      </c>
      <c r="L138" s="30"/>
    </row>
    <row r="139" ht="15.75" customHeight="1">
      <c r="A139" s="32"/>
      <c r="B139" s="30"/>
      <c r="C139" s="15"/>
      <c r="D139" s="52" t="str">
        <f t="array" ref="D139">IFERROR(INDEX('3. Costeo y Precios'!$B$14:$B$63,MATCH($C139,'3. Costeo y Precios'!$A$14:$A$63,0)),"")</f>
        <v/>
      </c>
      <c r="E139" s="15"/>
      <c r="F139" s="15"/>
      <c r="G139" s="15"/>
      <c r="H139" s="48" t="str">
        <f t="shared" si="1"/>
        <v/>
      </c>
      <c r="I139" s="30"/>
      <c r="J139" s="38">
        <f t="array" ref="J139">IFERROR(INDEX('3. Costeo y Precios'!$K$14:$K$63,MATCH($C139,'3. Costeo y Precios'!$A$14:$A$63,0)),0)</f>
        <v>0</v>
      </c>
      <c r="K139" s="41" t="str">
        <f t="shared" si="2"/>
        <v/>
      </c>
      <c r="L139" s="30"/>
    </row>
    <row r="140" ht="15.75" customHeight="1">
      <c r="A140" s="32"/>
      <c r="B140" s="30"/>
      <c r="C140" s="15"/>
      <c r="D140" s="52" t="str">
        <f t="array" ref="D140">IFERROR(INDEX('3. Costeo y Precios'!$B$14:$B$63,MATCH($C140,'3. Costeo y Precios'!$A$14:$A$63,0)),"")</f>
        <v/>
      </c>
      <c r="E140" s="15"/>
      <c r="F140" s="15"/>
      <c r="G140" s="15"/>
      <c r="H140" s="48" t="str">
        <f t="shared" si="1"/>
        <v/>
      </c>
      <c r="I140" s="30"/>
      <c r="J140" s="38">
        <f t="array" ref="J140">IFERROR(INDEX('3. Costeo y Precios'!$K$14:$K$63,MATCH($C140,'3. Costeo y Precios'!$A$14:$A$63,0)),0)</f>
        <v>0</v>
      </c>
      <c r="K140" s="41" t="str">
        <f t="shared" si="2"/>
        <v/>
      </c>
      <c r="L140" s="30"/>
    </row>
    <row r="141" ht="15.75" customHeight="1">
      <c r="A141" s="32"/>
      <c r="B141" s="30"/>
      <c r="C141" s="15"/>
      <c r="D141" s="52" t="str">
        <f t="array" ref="D141">IFERROR(INDEX('3. Costeo y Precios'!$B$14:$B$63,MATCH($C141,'3. Costeo y Precios'!$A$14:$A$63,0)),"")</f>
        <v/>
      </c>
      <c r="E141" s="15"/>
      <c r="F141" s="15"/>
      <c r="G141" s="15"/>
      <c r="H141" s="48" t="str">
        <f t="shared" si="1"/>
        <v/>
      </c>
      <c r="I141" s="30"/>
      <c r="J141" s="38">
        <f t="array" ref="J141">IFERROR(INDEX('3. Costeo y Precios'!$K$14:$K$63,MATCH($C141,'3. Costeo y Precios'!$A$14:$A$63,0)),0)</f>
        <v>0</v>
      </c>
      <c r="K141" s="41" t="str">
        <f t="shared" si="2"/>
        <v/>
      </c>
      <c r="L141" s="30"/>
    </row>
    <row r="142" ht="15.75" customHeight="1">
      <c r="A142" s="32"/>
      <c r="B142" s="30"/>
      <c r="C142" s="15"/>
      <c r="D142" s="52" t="str">
        <f t="array" ref="D142">IFERROR(INDEX('3. Costeo y Precios'!$B$14:$B$63,MATCH($C142,'3. Costeo y Precios'!$A$14:$A$63,0)),"")</f>
        <v/>
      </c>
      <c r="E142" s="15"/>
      <c r="F142" s="15"/>
      <c r="G142" s="15"/>
      <c r="H142" s="48" t="str">
        <f t="shared" si="1"/>
        <v/>
      </c>
      <c r="I142" s="30"/>
      <c r="J142" s="38">
        <f t="array" ref="J142">IFERROR(INDEX('3. Costeo y Precios'!$K$14:$K$63,MATCH($C142,'3. Costeo y Precios'!$A$14:$A$63,0)),0)</f>
        <v>0</v>
      </c>
      <c r="K142" s="41" t="str">
        <f t="shared" si="2"/>
        <v/>
      </c>
      <c r="L142" s="30"/>
    </row>
    <row r="143" ht="15.75" customHeight="1">
      <c r="A143" s="32"/>
      <c r="B143" s="30"/>
      <c r="C143" s="15"/>
      <c r="D143" s="52" t="str">
        <f t="array" ref="D143">IFERROR(INDEX('3. Costeo y Precios'!$B$14:$B$63,MATCH($C143,'3. Costeo y Precios'!$A$14:$A$63,0)),"")</f>
        <v/>
      </c>
      <c r="E143" s="15"/>
      <c r="F143" s="15"/>
      <c r="G143" s="15"/>
      <c r="H143" s="48" t="str">
        <f t="shared" si="1"/>
        <v/>
      </c>
      <c r="I143" s="30"/>
      <c r="J143" s="38">
        <f t="array" ref="J143">IFERROR(INDEX('3. Costeo y Precios'!$K$14:$K$63,MATCH($C143,'3. Costeo y Precios'!$A$14:$A$63,0)),0)</f>
        <v>0</v>
      </c>
      <c r="K143" s="41" t="str">
        <f t="shared" si="2"/>
        <v/>
      </c>
      <c r="L143" s="30"/>
    </row>
    <row r="144" ht="15.75" customHeight="1">
      <c r="A144" s="32"/>
      <c r="B144" s="30"/>
      <c r="C144" s="15"/>
      <c r="D144" s="52" t="str">
        <f t="array" ref="D144">IFERROR(INDEX('3. Costeo y Precios'!$B$14:$B$63,MATCH($C144,'3. Costeo y Precios'!$A$14:$A$63,0)),"")</f>
        <v/>
      </c>
      <c r="E144" s="15"/>
      <c r="F144" s="15"/>
      <c r="G144" s="15"/>
      <c r="H144" s="48" t="str">
        <f t="shared" si="1"/>
        <v/>
      </c>
      <c r="I144" s="30"/>
      <c r="J144" s="38">
        <f t="array" ref="J144">IFERROR(INDEX('3. Costeo y Precios'!$K$14:$K$63,MATCH($C144,'3. Costeo y Precios'!$A$14:$A$63,0)),0)</f>
        <v>0</v>
      </c>
      <c r="K144" s="41" t="str">
        <f t="shared" si="2"/>
        <v/>
      </c>
      <c r="L144" s="30"/>
    </row>
    <row r="145" ht="15.75" customHeight="1">
      <c r="A145" s="32"/>
      <c r="B145" s="30"/>
      <c r="C145" s="15"/>
      <c r="D145" s="52" t="str">
        <f t="array" ref="D145">IFERROR(INDEX('3. Costeo y Precios'!$B$14:$B$63,MATCH($C145,'3. Costeo y Precios'!$A$14:$A$63,0)),"")</f>
        <v/>
      </c>
      <c r="E145" s="15"/>
      <c r="F145" s="15"/>
      <c r="G145" s="15"/>
      <c r="H145" s="48" t="str">
        <f t="shared" si="1"/>
        <v/>
      </c>
      <c r="I145" s="30"/>
      <c r="J145" s="38">
        <f t="array" ref="J145">IFERROR(INDEX('3. Costeo y Precios'!$K$14:$K$63,MATCH($C145,'3. Costeo y Precios'!$A$14:$A$63,0)),0)</f>
        <v>0</v>
      </c>
      <c r="K145" s="41" t="str">
        <f t="shared" si="2"/>
        <v/>
      </c>
      <c r="L145" s="30"/>
    </row>
    <row r="146" ht="15.75" customHeight="1">
      <c r="A146" s="32"/>
      <c r="B146" s="30"/>
      <c r="C146" s="15"/>
      <c r="D146" s="52" t="str">
        <f t="array" ref="D146">IFERROR(INDEX('3. Costeo y Precios'!$B$14:$B$63,MATCH($C146,'3. Costeo y Precios'!$A$14:$A$63,0)),"")</f>
        <v/>
      </c>
      <c r="E146" s="15"/>
      <c r="F146" s="15"/>
      <c r="G146" s="15"/>
      <c r="H146" s="48" t="str">
        <f t="shared" si="1"/>
        <v/>
      </c>
      <c r="I146" s="30"/>
      <c r="J146" s="38">
        <f t="array" ref="J146">IFERROR(INDEX('3. Costeo y Precios'!$K$14:$K$63,MATCH($C146,'3. Costeo y Precios'!$A$14:$A$63,0)),0)</f>
        <v>0</v>
      </c>
      <c r="K146" s="41" t="str">
        <f t="shared" si="2"/>
        <v/>
      </c>
      <c r="L146" s="30"/>
    </row>
    <row r="147" ht="15.75" customHeight="1">
      <c r="A147" s="32"/>
      <c r="B147" s="30"/>
      <c r="C147" s="15"/>
      <c r="D147" s="52" t="str">
        <f t="array" ref="D147">IFERROR(INDEX('3. Costeo y Precios'!$B$14:$B$63,MATCH($C147,'3. Costeo y Precios'!$A$14:$A$63,0)),"")</f>
        <v/>
      </c>
      <c r="E147" s="15"/>
      <c r="F147" s="15"/>
      <c r="G147" s="15"/>
      <c r="H147" s="48" t="str">
        <f t="shared" si="1"/>
        <v/>
      </c>
      <c r="I147" s="30"/>
      <c r="J147" s="38">
        <f t="array" ref="J147">IFERROR(INDEX('3. Costeo y Precios'!$K$14:$K$63,MATCH($C147,'3. Costeo y Precios'!$A$14:$A$63,0)),0)</f>
        <v>0</v>
      </c>
      <c r="K147" s="41" t="str">
        <f t="shared" si="2"/>
        <v/>
      </c>
      <c r="L147" s="30"/>
    </row>
    <row r="148" ht="15.75" customHeight="1">
      <c r="A148" s="32"/>
      <c r="B148" s="30"/>
      <c r="C148" s="15"/>
      <c r="D148" s="52" t="str">
        <f t="array" ref="D148">IFERROR(INDEX('3. Costeo y Precios'!$B$14:$B$63,MATCH($C148,'3. Costeo y Precios'!$A$14:$A$63,0)),"")</f>
        <v/>
      </c>
      <c r="E148" s="15"/>
      <c r="F148" s="15"/>
      <c r="G148" s="15"/>
      <c r="H148" s="48" t="str">
        <f t="shared" si="1"/>
        <v/>
      </c>
      <c r="I148" s="30"/>
      <c r="J148" s="38">
        <f t="array" ref="J148">IFERROR(INDEX('3. Costeo y Precios'!$K$14:$K$63,MATCH($C148,'3. Costeo y Precios'!$A$14:$A$63,0)),0)</f>
        <v>0</v>
      </c>
      <c r="K148" s="41" t="str">
        <f t="shared" si="2"/>
        <v/>
      </c>
      <c r="L148" s="30"/>
    </row>
    <row r="149" ht="15.75" customHeight="1">
      <c r="A149" s="32"/>
      <c r="B149" s="30"/>
      <c r="C149" s="15"/>
      <c r="D149" s="52" t="str">
        <f t="array" ref="D149">IFERROR(INDEX('3. Costeo y Precios'!$B$14:$B$63,MATCH($C149,'3. Costeo y Precios'!$A$14:$A$63,0)),"")</f>
        <v/>
      </c>
      <c r="E149" s="15"/>
      <c r="F149" s="15"/>
      <c r="G149" s="15"/>
      <c r="H149" s="48" t="str">
        <f t="shared" si="1"/>
        <v/>
      </c>
      <c r="I149" s="30"/>
      <c r="J149" s="38">
        <f t="array" ref="J149">IFERROR(INDEX('3. Costeo y Precios'!$K$14:$K$63,MATCH($C149,'3. Costeo y Precios'!$A$14:$A$63,0)),0)</f>
        <v>0</v>
      </c>
      <c r="K149" s="41" t="str">
        <f t="shared" si="2"/>
        <v/>
      </c>
      <c r="L149" s="30"/>
    </row>
    <row r="150" ht="15.75" customHeight="1">
      <c r="A150" s="32"/>
      <c r="B150" s="30"/>
      <c r="C150" s="15"/>
      <c r="D150" s="52" t="str">
        <f t="array" ref="D150">IFERROR(INDEX('3. Costeo y Precios'!$B$14:$B$63,MATCH($C150,'3. Costeo y Precios'!$A$14:$A$63,0)),"")</f>
        <v/>
      </c>
      <c r="E150" s="15"/>
      <c r="F150" s="15"/>
      <c r="G150" s="15"/>
      <c r="H150" s="48" t="str">
        <f t="shared" si="1"/>
        <v/>
      </c>
      <c r="I150" s="30"/>
      <c r="J150" s="38">
        <f t="array" ref="J150">IFERROR(INDEX('3. Costeo y Precios'!$K$14:$K$63,MATCH($C150,'3. Costeo y Precios'!$A$14:$A$63,0)),0)</f>
        <v>0</v>
      </c>
      <c r="K150" s="41" t="str">
        <f t="shared" si="2"/>
        <v/>
      </c>
      <c r="L150" s="30"/>
    </row>
    <row r="151" ht="15.75" customHeight="1">
      <c r="A151" s="32"/>
      <c r="B151" s="30"/>
      <c r="C151" s="15"/>
      <c r="D151" s="52" t="str">
        <f t="array" ref="D151">IFERROR(INDEX('3. Costeo y Precios'!$B$14:$B$63,MATCH($C151,'3. Costeo y Precios'!$A$14:$A$63,0)),"")</f>
        <v/>
      </c>
      <c r="E151" s="15"/>
      <c r="F151" s="15"/>
      <c r="G151" s="15"/>
      <c r="H151" s="48" t="str">
        <f t="shared" si="1"/>
        <v/>
      </c>
      <c r="I151" s="30"/>
      <c r="J151" s="38">
        <f t="array" ref="J151">IFERROR(INDEX('3. Costeo y Precios'!$K$14:$K$63,MATCH($C151,'3. Costeo y Precios'!$A$14:$A$63,0)),0)</f>
        <v>0</v>
      </c>
      <c r="K151" s="41" t="str">
        <f t="shared" si="2"/>
        <v/>
      </c>
      <c r="L151" s="30"/>
    </row>
    <row r="152" ht="15.75" customHeight="1">
      <c r="A152" s="32"/>
      <c r="B152" s="30"/>
      <c r="C152" s="15"/>
      <c r="D152" s="52" t="str">
        <f t="array" ref="D152">IFERROR(INDEX('3. Costeo y Precios'!$B$14:$B$63,MATCH($C152,'3. Costeo y Precios'!$A$14:$A$63,0)),"")</f>
        <v/>
      </c>
      <c r="E152" s="15"/>
      <c r="F152" s="15"/>
      <c r="G152" s="15"/>
      <c r="H152" s="48" t="str">
        <f t="shared" si="1"/>
        <v/>
      </c>
      <c r="I152" s="30"/>
      <c r="J152" s="38">
        <f t="array" ref="J152">IFERROR(INDEX('3. Costeo y Precios'!$K$14:$K$63,MATCH($C152,'3. Costeo y Precios'!$A$14:$A$63,0)),0)</f>
        <v>0</v>
      </c>
      <c r="K152" s="41" t="str">
        <f t="shared" si="2"/>
        <v/>
      </c>
      <c r="L152" s="30"/>
    </row>
    <row r="153" ht="15.75" customHeight="1">
      <c r="A153" s="32"/>
      <c r="B153" s="30"/>
      <c r="C153" s="15"/>
      <c r="D153" s="52" t="str">
        <f t="array" ref="D153">IFERROR(INDEX('3. Costeo y Precios'!$B$14:$B$63,MATCH($C153,'3. Costeo y Precios'!$A$14:$A$63,0)),"")</f>
        <v/>
      </c>
      <c r="E153" s="15"/>
      <c r="F153" s="15"/>
      <c r="G153" s="15"/>
      <c r="H153" s="48" t="str">
        <f t="shared" si="1"/>
        <v/>
      </c>
      <c r="I153" s="30"/>
      <c r="J153" s="38">
        <f t="array" ref="J153">IFERROR(INDEX('3. Costeo y Precios'!$K$14:$K$63,MATCH($C153,'3. Costeo y Precios'!$A$14:$A$63,0)),0)</f>
        <v>0</v>
      </c>
      <c r="K153" s="41" t="str">
        <f t="shared" si="2"/>
        <v/>
      </c>
      <c r="L153" s="30"/>
    </row>
    <row r="154" ht="15.75" customHeight="1">
      <c r="A154" s="32"/>
      <c r="B154" s="30"/>
      <c r="C154" s="15"/>
      <c r="D154" s="52" t="str">
        <f t="array" ref="D154">IFERROR(INDEX('3. Costeo y Precios'!$B$14:$B$63,MATCH($C154,'3. Costeo y Precios'!$A$14:$A$63,0)),"")</f>
        <v/>
      </c>
      <c r="E154" s="15"/>
      <c r="F154" s="15"/>
      <c r="G154" s="15"/>
      <c r="H154" s="48" t="str">
        <f t="shared" si="1"/>
        <v/>
      </c>
      <c r="I154" s="30"/>
      <c r="J154" s="38">
        <f t="array" ref="J154">IFERROR(INDEX('3. Costeo y Precios'!$K$14:$K$63,MATCH($C154,'3. Costeo y Precios'!$A$14:$A$63,0)),0)</f>
        <v>0</v>
      </c>
      <c r="K154" s="41" t="str">
        <f t="shared" si="2"/>
        <v/>
      </c>
      <c r="L154" s="30"/>
    </row>
    <row r="155" ht="15.75" customHeight="1">
      <c r="A155" s="32"/>
      <c r="B155" s="30"/>
      <c r="C155" s="15"/>
      <c r="D155" s="52" t="str">
        <f t="array" ref="D155">IFERROR(INDEX('3. Costeo y Precios'!$B$14:$B$63,MATCH($C155,'3. Costeo y Precios'!$A$14:$A$63,0)),"")</f>
        <v/>
      </c>
      <c r="E155" s="15"/>
      <c r="F155" s="15"/>
      <c r="G155" s="15"/>
      <c r="H155" s="48" t="str">
        <f t="shared" si="1"/>
        <v/>
      </c>
      <c r="I155" s="30"/>
      <c r="J155" s="38">
        <f t="array" ref="J155">IFERROR(INDEX('3. Costeo y Precios'!$K$14:$K$63,MATCH($C155,'3. Costeo y Precios'!$A$14:$A$63,0)),0)</f>
        <v>0</v>
      </c>
      <c r="K155" s="41" t="str">
        <f t="shared" si="2"/>
        <v/>
      </c>
      <c r="L155" s="30"/>
    </row>
    <row r="156" ht="15.75" customHeight="1">
      <c r="A156" s="32"/>
      <c r="B156" s="30"/>
      <c r="C156" s="15"/>
      <c r="D156" s="52" t="str">
        <f t="array" ref="D156">IFERROR(INDEX('3. Costeo y Precios'!$B$14:$B$63,MATCH($C156,'3. Costeo y Precios'!$A$14:$A$63,0)),"")</f>
        <v/>
      </c>
      <c r="E156" s="15"/>
      <c r="F156" s="15"/>
      <c r="G156" s="15"/>
      <c r="H156" s="48" t="str">
        <f t="shared" si="1"/>
        <v/>
      </c>
      <c r="I156" s="30"/>
      <c r="J156" s="38">
        <f t="array" ref="J156">IFERROR(INDEX('3. Costeo y Precios'!$K$14:$K$63,MATCH($C156,'3. Costeo y Precios'!$A$14:$A$63,0)),0)</f>
        <v>0</v>
      </c>
      <c r="K156" s="41" t="str">
        <f t="shared" si="2"/>
        <v/>
      </c>
      <c r="L156" s="30"/>
    </row>
    <row r="157" ht="15.75" customHeight="1">
      <c r="A157" s="32"/>
      <c r="B157" s="30"/>
      <c r="C157" s="15"/>
      <c r="D157" s="52" t="str">
        <f t="array" ref="D157">IFERROR(INDEX('3. Costeo y Precios'!$B$14:$B$63,MATCH($C157,'3. Costeo y Precios'!$A$14:$A$63,0)),"")</f>
        <v/>
      </c>
      <c r="E157" s="15"/>
      <c r="F157" s="15"/>
      <c r="G157" s="15"/>
      <c r="H157" s="48" t="str">
        <f t="shared" si="1"/>
        <v/>
      </c>
      <c r="I157" s="30"/>
      <c r="J157" s="38">
        <f t="array" ref="J157">IFERROR(INDEX('3. Costeo y Precios'!$K$14:$K$63,MATCH($C157,'3. Costeo y Precios'!$A$14:$A$63,0)),0)</f>
        <v>0</v>
      </c>
      <c r="K157" s="41" t="str">
        <f t="shared" si="2"/>
        <v/>
      </c>
      <c r="L157" s="30"/>
    </row>
    <row r="158" ht="15.75" customHeight="1">
      <c r="A158" s="32"/>
      <c r="B158" s="30"/>
      <c r="C158" s="15"/>
      <c r="D158" s="52" t="str">
        <f t="array" ref="D158">IFERROR(INDEX('3. Costeo y Precios'!$B$14:$B$63,MATCH($C158,'3. Costeo y Precios'!$A$14:$A$63,0)),"")</f>
        <v/>
      </c>
      <c r="E158" s="15"/>
      <c r="F158" s="15"/>
      <c r="G158" s="15"/>
      <c r="H158" s="48" t="str">
        <f t="shared" si="1"/>
        <v/>
      </c>
      <c r="I158" s="30"/>
      <c r="J158" s="38">
        <f t="array" ref="J158">IFERROR(INDEX('3. Costeo y Precios'!$K$14:$K$63,MATCH($C158,'3. Costeo y Precios'!$A$14:$A$63,0)),0)</f>
        <v>0</v>
      </c>
      <c r="K158" s="41" t="str">
        <f t="shared" si="2"/>
        <v/>
      </c>
      <c r="L158" s="30"/>
    </row>
    <row r="159" ht="15.75" customHeight="1">
      <c r="A159" s="32"/>
      <c r="B159" s="30"/>
      <c r="C159" s="15"/>
      <c r="D159" s="52" t="str">
        <f t="array" ref="D159">IFERROR(INDEX('3. Costeo y Precios'!$B$14:$B$63,MATCH($C159,'3. Costeo y Precios'!$A$14:$A$63,0)),"")</f>
        <v/>
      </c>
      <c r="E159" s="15"/>
      <c r="F159" s="15"/>
      <c r="G159" s="15"/>
      <c r="H159" s="48" t="str">
        <f t="shared" si="1"/>
        <v/>
      </c>
      <c r="I159" s="30"/>
      <c r="J159" s="38">
        <f t="array" ref="J159">IFERROR(INDEX('3. Costeo y Precios'!$K$14:$K$63,MATCH($C159,'3. Costeo y Precios'!$A$14:$A$63,0)),0)</f>
        <v>0</v>
      </c>
      <c r="K159" s="41" t="str">
        <f t="shared" si="2"/>
        <v/>
      </c>
      <c r="L159" s="30"/>
    </row>
    <row r="160" ht="15.75" customHeight="1">
      <c r="A160" s="32"/>
      <c r="B160" s="30"/>
      <c r="C160" s="15"/>
      <c r="D160" s="52" t="str">
        <f t="array" ref="D160">IFERROR(INDEX('3. Costeo y Precios'!$B$14:$B$63,MATCH($C160,'3. Costeo y Precios'!$A$14:$A$63,0)),"")</f>
        <v/>
      </c>
      <c r="E160" s="15"/>
      <c r="F160" s="15"/>
      <c r="G160" s="15"/>
      <c r="H160" s="48" t="str">
        <f t="shared" si="1"/>
        <v/>
      </c>
      <c r="I160" s="30"/>
      <c r="J160" s="38">
        <f t="array" ref="J160">IFERROR(INDEX('3. Costeo y Precios'!$K$14:$K$63,MATCH($C160,'3. Costeo y Precios'!$A$14:$A$63,0)),0)</f>
        <v>0</v>
      </c>
      <c r="K160" s="41" t="str">
        <f t="shared" si="2"/>
        <v/>
      </c>
      <c r="L160" s="30"/>
    </row>
    <row r="161" ht="15.75" customHeight="1">
      <c r="A161" s="32"/>
      <c r="B161" s="30"/>
      <c r="C161" s="15"/>
      <c r="D161" s="52" t="str">
        <f t="array" ref="D161">IFERROR(INDEX('3. Costeo y Precios'!$B$14:$B$63,MATCH($C161,'3. Costeo y Precios'!$A$14:$A$63,0)),"")</f>
        <v/>
      </c>
      <c r="E161" s="15"/>
      <c r="F161" s="15"/>
      <c r="G161" s="15"/>
      <c r="H161" s="48" t="str">
        <f t="shared" si="1"/>
        <v/>
      </c>
      <c r="I161" s="30"/>
      <c r="J161" s="38">
        <f t="array" ref="J161">IFERROR(INDEX('3. Costeo y Precios'!$K$14:$K$63,MATCH($C161,'3. Costeo y Precios'!$A$14:$A$63,0)),0)</f>
        <v>0</v>
      </c>
      <c r="K161" s="41" t="str">
        <f t="shared" si="2"/>
        <v/>
      </c>
      <c r="L161" s="30"/>
    </row>
    <row r="162" ht="15.75" customHeight="1">
      <c r="A162" s="32"/>
      <c r="B162" s="30"/>
      <c r="C162" s="15"/>
      <c r="D162" s="52" t="str">
        <f t="array" ref="D162">IFERROR(INDEX('3. Costeo y Precios'!$B$14:$B$63,MATCH($C162,'3. Costeo y Precios'!$A$14:$A$63,0)),"")</f>
        <v/>
      </c>
      <c r="E162" s="15"/>
      <c r="F162" s="15"/>
      <c r="G162" s="15"/>
      <c r="H162" s="48" t="str">
        <f t="shared" si="1"/>
        <v/>
      </c>
      <c r="I162" s="30"/>
      <c r="J162" s="38">
        <f t="array" ref="J162">IFERROR(INDEX('3. Costeo y Precios'!$K$14:$K$63,MATCH($C162,'3. Costeo y Precios'!$A$14:$A$63,0)),0)</f>
        <v>0</v>
      </c>
      <c r="K162" s="41" t="str">
        <f t="shared" si="2"/>
        <v/>
      </c>
      <c r="L162" s="30"/>
    </row>
    <row r="163" ht="15.75" customHeight="1">
      <c r="A163" s="32"/>
      <c r="B163" s="30"/>
      <c r="C163" s="15"/>
      <c r="D163" s="52" t="str">
        <f t="array" ref="D163">IFERROR(INDEX('3. Costeo y Precios'!$B$14:$B$63,MATCH($C163,'3. Costeo y Precios'!$A$14:$A$63,0)),"")</f>
        <v/>
      </c>
      <c r="E163" s="15"/>
      <c r="F163" s="15"/>
      <c r="G163" s="15"/>
      <c r="H163" s="48" t="str">
        <f t="shared" si="1"/>
        <v/>
      </c>
      <c r="I163" s="30"/>
      <c r="J163" s="38">
        <f t="array" ref="J163">IFERROR(INDEX('3. Costeo y Precios'!$K$14:$K$63,MATCH($C163,'3. Costeo y Precios'!$A$14:$A$63,0)),0)</f>
        <v>0</v>
      </c>
      <c r="K163" s="41" t="str">
        <f t="shared" si="2"/>
        <v/>
      </c>
      <c r="L163" s="30"/>
    </row>
    <row r="164" ht="15.75" customHeight="1">
      <c r="A164" s="32"/>
      <c r="B164" s="30"/>
      <c r="C164" s="15"/>
      <c r="D164" s="52" t="str">
        <f t="array" ref="D164">IFERROR(INDEX('3. Costeo y Precios'!$B$14:$B$63,MATCH($C164,'3. Costeo y Precios'!$A$14:$A$63,0)),"")</f>
        <v/>
      </c>
      <c r="E164" s="15"/>
      <c r="F164" s="15"/>
      <c r="G164" s="15"/>
      <c r="H164" s="48" t="str">
        <f t="shared" si="1"/>
        <v/>
      </c>
      <c r="I164" s="30"/>
      <c r="J164" s="38">
        <f t="array" ref="J164">IFERROR(INDEX('3. Costeo y Precios'!$K$14:$K$63,MATCH($C164,'3. Costeo y Precios'!$A$14:$A$63,0)),0)</f>
        <v>0</v>
      </c>
      <c r="K164" s="41" t="str">
        <f t="shared" si="2"/>
        <v/>
      </c>
      <c r="L164" s="30"/>
    </row>
    <row r="165" ht="15.75" customHeight="1">
      <c r="A165" s="32"/>
      <c r="B165" s="30"/>
      <c r="C165" s="15"/>
      <c r="D165" s="52" t="str">
        <f t="array" ref="D165">IFERROR(INDEX('3. Costeo y Precios'!$B$14:$B$63,MATCH($C165,'3. Costeo y Precios'!$A$14:$A$63,0)),"")</f>
        <v/>
      </c>
      <c r="E165" s="15"/>
      <c r="F165" s="15"/>
      <c r="G165" s="15"/>
      <c r="H165" s="48" t="str">
        <f t="shared" si="1"/>
        <v/>
      </c>
      <c r="I165" s="30"/>
      <c r="J165" s="38">
        <f t="array" ref="J165">IFERROR(INDEX('3. Costeo y Precios'!$K$14:$K$63,MATCH($C165,'3. Costeo y Precios'!$A$14:$A$63,0)),0)</f>
        <v>0</v>
      </c>
      <c r="K165" s="41" t="str">
        <f t="shared" si="2"/>
        <v/>
      </c>
      <c r="L165" s="30"/>
    </row>
    <row r="166" ht="15.75" customHeight="1">
      <c r="A166" s="32"/>
      <c r="B166" s="30"/>
      <c r="C166" s="15"/>
      <c r="D166" s="52" t="str">
        <f t="array" ref="D166">IFERROR(INDEX('3. Costeo y Precios'!$B$14:$B$63,MATCH($C166,'3. Costeo y Precios'!$A$14:$A$63,0)),"")</f>
        <v/>
      </c>
      <c r="E166" s="15"/>
      <c r="F166" s="15"/>
      <c r="G166" s="15"/>
      <c r="H166" s="48" t="str">
        <f t="shared" si="1"/>
        <v/>
      </c>
      <c r="I166" s="30"/>
      <c r="J166" s="38">
        <f t="array" ref="J166">IFERROR(INDEX('3. Costeo y Precios'!$K$14:$K$63,MATCH($C166,'3. Costeo y Precios'!$A$14:$A$63,0)),0)</f>
        <v>0</v>
      </c>
      <c r="K166" s="41" t="str">
        <f t="shared" si="2"/>
        <v/>
      </c>
      <c r="L166" s="30"/>
    </row>
    <row r="167" ht="15.75" customHeight="1">
      <c r="A167" s="32"/>
      <c r="B167" s="30"/>
      <c r="C167" s="15"/>
      <c r="D167" s="52" t="str">
        <f t="array" ref="D167">IFERROR(INDEX('3. Costeo y Precios'!$B$14:$B$63,MATCH($C167,'3. Costeo y Precios'!$A$14:$A$63,0)),"")</f>
        <v/>
      </c>
      <c r="E167" s="15"/>
      <c r="F167" s="15"/>
      <c r="G167" s="15"/>
      <c r="H167" s="48" t="str">
        <f t="shared" si="1"/>
        <v/>
      </c>
      <c r="I167" s="30"/>
      <c r="J167" s="38">
        <f t="array" ref="J167">IFERROR(INDEX('3. Costeo y Precios'!$K$14:$K$63,MATCH($C167,'3. Costeo y Precios'!$A$14:$A$63,0)),0)</f>
        <v>0</v>
      </c>
      <c r="K167" s="41" t="str">
        <f t="shared" si="2"/>
        <v/>
      </c>
      <c r="L167" s="30"/>
    </row>
    <row r="168" ht="15.75" customHeight="1">
      <c r="A168" s="32"/>
      <c r="B168" s="30"/>
      <c r="C168" s="15"/>
      <c r="D168" s="52" t="str">
        <f t="array" ref="D168">IFERROR(INDEX('3. Costeo y Precios'!$B$14:$B$63,MATCH($C168,'3. Costeo y Precios'!$A$14:$A$63,0)),"")</f>
        <v/>
      </c>
      <c r="E168" s="15"/>
      <c r="F168" s="15"/>
      <c r="G168" s="15"/>
      <c r="H168" s="48" t="str">
        <f t="shared" si="1"/>
        <v/>
      </c>
      <c r="I168" s="30"/>
      <c r="J168" s="38">
        <f t="array" ref="J168">IFERROR(INDEX('3. Costeo y Precios'!$K$14:$K$63,MATCH($C168,'3. Costeo y Precios'!$A$14:$A$63,0)),0)</f>
        <v>0</v>
      </c>
      <c r="K168" s="41" t="str">
        <f t="shared" si="2"/>
        <v/>
      </c>
      <c r="L168" s="30"/>
    </row>
    <row r="169" ht="15.75" customHeight="1">
      <c r="A169" s="32"/>
      <c r="B169" s="30"/>
      <c r="C169" s="15"/>
      <c r="D169" s="52" t="str">
        <f t="array" ref="D169">IFERROR(INDEX('3. Costeo y Precios'!$B$14:$B$63,MATCH($C169,'3. Costeo y Precios'!$A$14:$A$63,0)),"")</f>
        <v/>
      </c>
      <c r="E169" s="15"/>
      <c r="F169" s="15"/>
      <c r="G169" s="15"/>
      <c r="H169" s="48" t="str">
        <f t="shared" si="1"/>
        <v/>
      </c>
      <c r="I169" s="30"/>
      <c r="J169" s="38">
        <f t="array" ref="J169">IFERROR(INDEX('3. Costeo y Precios'!$K$14:$K$63,MATCH($C169,'3. Costeo y Precios'!$A$14:$A$63,0)),0)</f>
        <v>0</v>
      </c>
      <c r="K169" s="41" t="str">
        <f t="shared" si="2"/>
        <v/>
      </c>
      <c r="L169" s="30"/>
    </row>
    <row r="170" ht="15.75" customHeight="1">
      <c r="A170" s="32"/>
      <c r="B170" s="30"/>
      <c r="C170" s="15"/>
      <c r="D170" s="52" t="str">
        <f t="array" ref="D170">IFERROR(INDEX('3. Costeo y Precios'!$B$14:$B$63,MATCH($C170,'3. Costeo y Precios'!$A$14:$A$63,0)),"")</f>
        <v/>
      </c>
      <c r="E170" s="15"/>
      <c r="F170" s="15"/>
      <c r="G170" s="15"/>
      <c r="H170" s="48" t="str">
        <f t="shared" si="1"/>
        <v/>
      </c>
      <c r="I170" s="30"/>
      <c r="J170" s="38">
        <f t="array" ref="J170">IFERROR(INDEX('3. Costeo y Precios'!$K$14:$K$63,MATCH($C170,'3. Costeo y Precios'!$A$14:$A$63,0)),0)</f>
        <v>0</v>
      </c>
      <c r="K170" s="41" t="str">
        <f t="shared" si="2"/>
        <v/>
      </c>
      <c r="L170" s="30"/>
    </row>
    <row r="171" ht="15.75" customHeight="1">
      <c r="A171" s="32"/>
      <c r="B171" s="30"/>
      <c r="C171" s="15"/>
      <c r="D171" s="52" t="str">
        <f t="array" ref="D171">IFERROR(INDEX('3. Costeo y Precios'!$B$14:$B$63,MATCH($C171,'3. Costeo y Precios'!$A$14:$A$63,0)),"")</f>
        <v/>
      </c>
      <c r="E171" s="15"/>
      <c r="F171" s="15"/>
      <c r="G171" s="15"/>
      <c r="H171" s="48" t="str">
        <f t="shared" si="1"/>
        <v/>
      </c>
      <c r="I171" s="30"/>
      <c r="J171" s="38">
        <f t="array" ref="J171">IFERROR(INDEX('3. Costeo y Precios'!$K$14:$K$63,MATCH($C171,'3. Costeo y Precios'!$A$14:$A$63,0)),0)</f>
        <v>0</v>
      </c>
      <c r="K171" s="41" t="str">
        <f t="shared" si="2"/>
        <v/>
      </c>
      <c r="L171" s="30"/>
    </row>
    <row r="172" ht="15.75" customHeight="1">
      <c r="A172" s="32"/>
      <c r="B172" s="30"/>
      <c r="C172" s="15"/>
      <c r="D172" s="52" t="str">
        <f t="array" ref="D172">IFERROR(INDEX('3. Costeo y Precios'!$B$14:$B$63,MATCH($C172,'3. Costeo y Precios'!$A$14:$A$63,0)),"")</f>
        <v/>
      </c>
      <c r="E172" s="15"/>
      <c r="F172" s="15"/>
      <c r="G172" s="15"/>
      <c r="H172" s="48" t="str">
        <f t="shared" si="1"/>
        <v/>
      </c>
      <c r="I172" s="30"/>
      <c r="J172" s="38">
        <f t="array" ref="J172">IFERROR(INDEX('3. Costeo y Precios'!$K$14:$K$63,MATCH($C172,'3. Costeo y Precios'!$A$14:$A$63,0)),0)</f>
        <v>0</v>
      </c>
      <c r="K172" s="41" t="str">
        <f t="shared" si="2"/>
        <v/>
      </c>
      <c r="L172" s="30"/>
    </row>
    <row r="173" ht="15.75" customHeight="1">
      <c r="A173" s="32"/>
      <c r="B173" s="30"/>
      <c r="C173" s="15"/>
      <c r="D173" s="52" t="str">
        <f t="array" ref="D173">IFERROR(INDEX('3. Costeo y Precios'!$B$14:$B$63,MATCH($C173,'3. Costeo y Precios'!$A$14:$A$63,0)),"")</f>
        <v/>
      </c>
      <c r="E173" s="15"/>
      <c r="F173" s="15"/>
      <c r="G173" s="15"/>
      <c r="H173" s="48" t="str">
        <f t="shared" si="1"/>
        <v/>
      </c>
      <c r="I173" s="30"/>
      <c r="J173" s="38">
        <f t="array" ref="J173">IFERROR(INDEX('3. Costeo y Precios'!$K$14:$K$63,MATCH($C173,'3. Costeo y Precios'!$A$14:$A$63,0)),0)</f>
        <v>0</v>
      </c>
      <c r="K173" s="41" t="str">
        <f t="shared" si="2"/>
        <v/>
      </c>
      <c r="L173" s="30"/>
    </row>
    <row r="174" ht="15.75" customHeight="1">
      <c r="A174" s="32"/>
      <c r="B174" s="30"/>
      <c r="C174" s="15"/>
      <c r="D174" s="52" t="str">
        <f t="array" ref="D174">IFERROR(INDEX('3. Costeo y Precios'!$B$14:$B$63,MATCH($C174,'3. Costeo y Precios'!$A$14:$A$63,0)),"")</f>
        <v/>
      </c>
      <c r="E174" s="15"/>
      <c r="F174" s="15"/>
      <c r="G174" s="15"/>
      <c r="H174" s="48" t="str">
        <f t="shared" si="1"/>
        <v/>
      </c>
      <c r="I174" s="30"/>
      <c r="J174" s="38">
        <f t="array" ref="J174">IFERROR(INDEX('3. Costeo y Precios'!$K$14:$K$63,MATCH($C174,'3. Costeo y Precios'!$A$14:$A$63,0)),0)</f>
        <v>0</v>
      </c>
      <c r="K174" s="41" t="str">
        <f t="shared" si="2"/>
        <v/>
      </c>
      <c r="L174" s="30"/>
    </row>
    <row r="175" ht="15.75" customHeight="1">
      <c r="A175" s="32"/>
      <c r="B175" s="30"/>
      <c r="C175" s="15"/>
      <c r="D175" s="52" t="str">
        <f t="array" ref="D175">IFERROR(INDEX('3. Costeo y Precios'!$B$14:$B$63,MATCH($C175,'3. Costeo y Precios'!$A$14:$A$63,0)),"")</f>
        <v/>
      </c>
      <c r="E175" s="15"/>
      <c r="F175" s="15"/>
      <c r="G175" s="15"/>
      <c r="H175" s="48" t="str">
        <f t="shared" si="1"/>
        <v/>
      </c>
      <c r="I175" s="30"/>
      <c r="J175" s="38">
        <f t="array" ref="J175">IFERROR(INDEX('3. Costeo y Precios'!$K$14:$K$63,MATCH($C175,'3. Costeo y Precios'!$A$14:$A$63,0)),0)</f>
        <v>0</v>
      </c>
      <c r="K175" s="41" t="str">
        <f t="shared" si="2"/>
        <v/>
      </c>
      <c r="L175" s="30"/>
    </row>
    <row r="176" ht="15.75" customHeight="1">
      <c r="A176" s="32"/>
      <c r="B176" s="30"/>
      <c r="C176" s="15"/>
      <c r="D176" s="52" t="str">
        <f t="array" ref="D176">IFERROR(INDEX('3. Costeo y Precios'!$B$14:$B$63,MATCH($C176,'3. Costeo y Precios'!$A$14:$A$63,0)),"")</f>
        <v/>
      </c>
      <c r="E176" s="15"/>
      <c r="F176" s="15"/>
      <c r="G176" s="15"/>
      <c r="H176" s="48" t="str">
        <f t="shared" si="1"/>
        <v/>
      </c>
      <c r="I176" s="30"/>
      <c r="J176" s="38">
        <f t="array" ref="J176">IFERROR(INDEX('3. Costeo y Precios'!$K$14:$K$63,MATCH($C176,'3. Costeo y Precios'!$A$14:$A$63,0)),0)</f>
        <v>0</v>
      </c>
      <c r="K176" s="41" t="str">
        <f t="shared" si="2"/>
        <v/>
      </c>
      <c r="L176" s="30"/>
    </row>
    <row r="177" ht="15.75" customHeight="1">
      <c r="A177" s="32"/>
      <c r="B177" s="30"/>
      <c r="C177" s="15"/>
      <c r="D177" s="52" t="str">
        <f t="array" ref="D177">IFERROR(INDEX('3. Costeo y Precios'!$B$14:$B$63,MATCH($C177,'3. Costeo y Precios'!$A$14:$A$63,0)),"")</f>
        <v/>
      </c>
      <c r="E177" s="15"/>
      <c r="F177" s="15"/>
      <c r="G177" s="15"/>
      <c r="H177" s="48" t="str">
        <f t="shared" si="1"/>
        <v/>
      </c>
      <c r="I177" s="30"/>
      <c r="J177" s="38">
        <f t="array" ref="J177">IFERROR(INDEX('3. Costeo y Precios'!$K$14:$K$63,MATCH($C177,'3. Costeo y Precios'!$A$14:$A$63,0)),0)</f>
        <v>0</v>
      </c>
      <c r="K177" s="41" t="str">
        <f t="shared" si="2"/>
        <v/>
      </c>
      <c r="L177" s="30"/>
    </row>
    <row r="178" ht="15.75" customHeight="1">
      <c r="A178" s="32"/>
      <c r="B178" s="30"/>
      <c r="C178" s="15"/>
      <c r="D178" s="52" t="str">
        <f t="array" ref="D178">IFERROR(INDEX('3. Costeo y Precios'!$B$14:$B$63,MATCH($C178,'3. Costeo y Precios'!$A$14:$A$63,0)),"")</f>
        <v/>
      </c>
      <c r="E178" s="15"/>
      <c r="F178" s="15"/>
      <c r="G178" s="15"/>
      <c r="H178" s="48" t="str">
        <f t="shared" si="1"/>
        <v/>
      </c>
      <c r="I178" s="30"/>
      <c r="J178" s="38">
        <f t="array" ref="J178">IFERROR(INDEX('3. Costeo y Precios'!$K$14:$K$63,MATCH($C178,'3. Costeo y Precios'!$A$14:$A$63,0)),0)</f>
        <v>0</v>
      </c>
      <c r="K178" s="41" t="str">
        <f t="shared" si="2"/>
        <v/>
      </c>
      <c r="L178" s="30"/>
    </row>
    <row r="179" ht="15.75" customHeight="1">
      <c r="A179" s="32"/>
      <c r="B179" s="30"/>
      <c r="C179" s="15"/>
      <c r="D179" s="52" t="str">
        <f t="array" ref="D179">IFERROR(INDEX('3. Costeo y Precios'!$B$14:$B$63,MATCH($C179,'3. Costeo y Precios'!$A$14:$A$63,0)),"")</f>
        <v/>
      </c>
      <c r="E179" s="15"/>
      <c r="F179" s="15"/>
      <c r="G179" s="15"/>
      <c r="H179" s="48" t="str">
        <f t="shared" si="1"/>
        <v/>
      </c>
      <c r="I179" s="30"/>
      <c r="J179" s="38">
        <f t="array" ref="J179">IFERROR(INDEX('3. Costeo y Precios'!$K$14:$K$63,MATCH($C179,'3. Costeo y Precios'!$A$14:$A$63,0)),0)</f>
        <v>0</v>
      </c>
      <c r="K179" s="41" t="str">
        <f t="shared" si="2"/>
        <v/>
      </c>
      <c r="L179" s="30"/>
    </row>
    <row r="180" ht="15.75" customHeight="1">
      <c r="A180" s="32"/>
      <c r="B180" s="30"/>
      <c r="C180" s="15"/>
      <c r="D180" s="52" t="str">
        <f t="array" ref="D180">IFERROR(INDEX('3. Costeo y Precios'!$B$14:$B$63,MATCH($C180,'3. Costeo y Precios'!$A$14:$A$63,0)),"")</f>
        <v/>
      </c>
      <c r="E180" s="15"/>
      <c r="F180" s="15"/>
      <c r="G180" s="15"/>
      <c r="H180" s="48" t="str">
        <f t="shared" si="1"/>
        <v/>
      </c>
      <c r="I180" s="30"/>
      <c r="J180" s="38">
        <f t="array" ref="J180">IFERROR(INDEX('3. Costeo y Precios'!$K$14:$K$63,MATCH($C180,'3. Costeo y Precios'!$A$14:$A$63,0)),0)</f>
        <v>0</v>
      </c>
      <c r="K180" s="41" t="str">
        <f t="shared" si="2"/>
        <v/>
      </c>
      <c r="L180" s="30"/>
    </row>
    <row r="181" ht="15.75" customHeight="1">
      <c r="A181" s="32"/>
      <c r="B181" s="30"/>
      <c r="C181" s="15"/>
      <c r="D181" s="52" t="str">
        <f t="array" ref="D181">IFERROR(INDEX('3. Costeo y Precios'!$B$14:$B$63,MATCH($C181,'3. Costeo y Precios'!$A$14:$A$63,0)),"")</f>
        <v/>
      </c>
      <c r="E181" s="15"/>
      <c r="F181" s="15"/>
      <c r="G181" s="15"/>
      <c r="H181" s="48" t="str">
        <f t="shared" si="1"/>
        <v/>
      </c>
      <c r="I181" s="30"/>
      <c r="J181" s="38">
        <f t="array" ref="J181">IFERROR(INDEX('3. Costeo y Precios'!$K$14:$K$63,MATCH($C181,'3. Costeo y Precios'!$A$14:$A$63,0)),0)</f>
        <v>0</v>
      </c>
      <c r="K181" s="41" t="str">
        <f t="shared" si="2"/>
        <v/>
      </c>
      <c r="L181" s="30"/>
    </row>
    <row r="182" ht="15.75" customHeight="1">
      <c r="A182" s="32"/>
      <c r="B182" s="30"/>
      <c r="C182" s="15"/>
      <c r="D182" s="52" t="str">
        <f t="array" ref="D182">IFERROR(INDEX('3. Costeo y Precios'!$B$14:$B$63,MATCH($C182,'3. Costeo y Precios'!$A$14:$A$63,0)),"")</f>
        <v/>
      </c>
      <c r="E182" s="15"/>
      <c r="F182" s="15"/>
      <c r="G182" s="15"/>
      <c r="H182" s="48" t="str">
        <f t="shared" si="1"/>
        <v/>
      </c>
      <c r="I182" s="30"/>
      <c r="J182" s="38">
        <f t="array" ref="J182">IFERROR(INDEX('3. Costeo y Precios'!$K$14:$K$63,MATCH($C182,'3. Costeo y Precios'!$A$14:$A$63,0)),0)</f>
        <v>0</v>
      </c>
      <c r="K182" s="41" t="str">
        <f t="shared" si="2"/>
        <v/>
      </c>
      <c r="L182" s="30"/>
    </row>
    <row r="183" ht="15.75" customHeight="1">
      <c r="A183" s="32"/>
      <c r="B183" s="30"/>
      <c r="C183" s="15"/>
      <c r="D183" s="52" t="str">
        <f t="array" ref="D183">IFERROR(INDEX('3. Costeo y Precios'!$B$14:$B$63,MATCH($C183,'3. Costeo y Precios'!$A$14:$A$63,0)),"")</f>
        <v/>
      </c>
      <c r="E183" s="15"/>
      <c r="F183" s="15"/>
      <c r="G183" s="15"/>
      <c r="H183" s="48" t="str">
        <f t="shared" si="1"/>
        <v/>
      </c>
      <c r="I183" s="30"/>
      <c r="J183" s="38">
        <f t="array" ref="J183">IFERROR(INDEX('3. Costeo y Precios'!$K$14:$K$63,MATCH($C183,'3. Costeo y Precios'!$A$14:$A$63,0)),0)</f>
        <v>0</v>
      </c>
      <c r="K183" s="41" t="str">
        <f t="shared" si="2"/>
        <v/>
      </c>
      <c r="L183" s="30"/>
    </row>
    <row r="184" ht="15.75" customHeight="1">
      <c r="A184" s="32"/>
      <c r="B184" s="30"/>
      <c r="C184" s="15"/>
      <c r="D184" s="52" t="str">
        <f t="array" ref="D184">IFERROR(INDEX('3. Costeo y Precios'!$B$14:$B$63,MATCH($C184,'3. Costeo y Precios'!$A$14:$A$63,0)),"")</f>
        <v/>
      </c>
      <c r="E184" s="15"/>
      <c r="F184" s="15"/>
      <c r="G184" s="15"/>
      <c r="H184" s="48" t="str">
        <f t="shared" si="1"/>
        <v/>
      </c>
      <c r="I184" s="30"/>
      <c r="J184" s="38">
        <f t="array" ref="J184">IFERROR(INDEX('3. Costeo y Precios'!$K$14:$K$63,MATCH($C184,'3. Costeo y Precios'!$A$14:$A$63,0)),0)</f>
        <v>0</v>
      </c>
      <c r="K184" s="41" t="str">
        <f t="shared" si="2"/>
        <v/>
      </c>
      <c r="L184" s="30"/>
    </row>
    <row r="185" ht="15.75" customHeight="1">
      <c r="A185" s="32"/>
      <c r="B185" s="30"/>
      <c r="C185" s="15"/>
      <c r="D185" s="52" t="str">
        <f t="array" ref="D185">IFERROR(INDEX('3. Costeo y Precios'!$B$14:$B$63,MATCH($C185,'3. Costeo y Precios'!$A$14:$A$63,0)),"")</f>
        <v/>
      </c>
      <c r="E185" s="15"/>
      <c r="F185" s="15"/>
      <c r="G185" s="15"/>
      <c r="H185" s="48" t="str">
        <f t="shared" si="1"/>
        <v/>
      </c>
      <c r="I185" s="30"/>
      <c r="J185" s="38">
        <f t="array" ref="J185">IFERROR(INDEX('3. Costeo y Precios'!$K$14:$K$63,MATCH($C185,'3. Costeo y Precios'!$A$14:$A$63,0)),0)</f>
        <v>0</v>
      </c>
      <c r="K185" s="41" t="str">
        <f t="shared" si="2"/>
        <v/>
      </c>
      <c r="L185" s="30"/>
    </row>
    <row r="186" ht="15.75" customHeight="1">
      <c r="A186" s="32"/>
      <c r="B186" s="30"/>
      <c r="C186" s="15"/>
      <c r="D186" s="52" t="str">
        <f t="array" ref="D186">IFERROR(INDEX('3. Costeo y Precios'!$B$14:$B$63,MATCH($C186,'3. Costeo y Precios'!$A$14:$A$63,0)),"")</f>
        <v/>
      </c>
      <c r="E186" s="15"/>
      <c r="F186" s="15"/>
      <c r="G186" s="15"/>
      <c r="H186" s="48" t="str">
        <f t="shared" si="1"/>
        <v/>
      </c>
      <c r="I186" s="30"/>
      <c r="J186" s="38">
        <f t="array" ref="J186">IFERROR(INDEX('3. Costeo y Precios'!$K$14:$K$63,MATCH($C186,'3. Costeo y Precios'!$A$14:$A$63,0)),0)</f>
        <v>0</v>
      </c>
      <c r="K186" s="41" t="str">
        <f t="shared" si="2"/>
        <v/>
      </c>
      <c r="L186" s="30"/>
    </row>
    <row r="187" ht="15.75" customHeight="1">
      <c r="A187" s="32"/>
      <c r="B187" s="30"/>
      <c r="C187" s="15"/>
      <c r="D187" s="52" t="str">
        <f t="array" ref="D187">IFERROR(INDEX('3. Costeo y Precios'!$B$14:$B$63,MATCH($C187,'3. Costeo y Precios'!$A$14:$A$63,0)),"")</f>
        <v/>
      </c>
      <c r="E187" s="15"/>
      <c r="F187" s="15"/>
      <c r="G187" s="15"/>
      <c r="H187" s="48" t="str">
        <f t="shared" si="1"/>
        <v/>
      </c>
      <c r="I187" s="30"/>
      <c r="J187" s="38">
        <f t="array" ref="J187">IFERROR(INDEX('3. Costeo y Precios'!$K$14:$K$63,MATCH($C187,'3. Costeo y Precios'!$A$14:$A$63,0)),0)</f>
        <v>0</v>
      </c>
      <c r="K187" s="41" t="str">
        <f t="shared" si="2"/>
        <v/>
      </c>
      <c r="L187" s="30"/>
    </row>
    <row r="188" ht="15.75" customHeight="1">
      <c r="A188" s="32"/>
      <c r="B188" s="30"/>
      <c r="C188" s="15"/>
      <c r="D188" s="52" t="str">
        <f t="array" ref="D188">IFERROR(INDEX('3. Costeo y Precios'!$B$14:$B$63,MATCH($C188,'3. Costeo y Precios'!$A$14:$A$63,0)),"")</f>
        <v/>
      </c>
      <c r="E188" s="15"/>
      <c r="F188" s="15"/>
      <c r="G188" s="15"/>
      <c r="H188" s="48" t="str">
        <f t="shared" si="1"/>
        <v/>
      </c>
      <c r="I188" s="30"/>
      <c r="J188" s="38">
        <f t="array" ref="J188">IFERROR(INDEX('3. Costeo y Precios'!$K$14:$K$63,MATCH($C188,'3. Costeo y Precios'!$A$14:$A$63,0)),0)</f>
        <v>0</v>
      </c>
      <c r="K188" s="41" t="str">
        <f t="shared" si="2"/>
        <v/>
      </c>
      <c r="L188" s="30"/>
    </row>
    <row r="189" ht="15.75" customHeight="1">
      <c r="A189" s="32"/>
      <c r="B189" s="30"/>
      <c r="C189" s="15"/>
      <c r="D189" s="52" t="str">
        <f t="array" ref="D189">IFERROR(INDEX('3. Costeo y Precios'!$B$14:$B$63,MATCH($C189,'3. Costeo y Precios'!$A$14:$A$63,0)),"")</f>
        <v/>
      </c>
      <c r="E189" s="15"/>
      <c r="F189" s="15"/>
      <c r="G189" s="15"/>
      <c r="H189" s="48" t="str">
        <f t="shared" si="1"/>
        <v/>
      </c>
      <c r="I189" s="30"/>
      <c r="J189" s="38">
        <f t="array" ref="J189">IFERROR(INDEX('3. Costeo y Precios'!$K$14:$K$63,MATCH($C189,'3. Costeo y Precios'!$A$14:$A$63,0)),0)</f>
        <v>0</v>
      </c>
      <c r="K189" s="41" t="str">
        <f t="shared" si="2"/>
        <v/>
      </c>
      <c r="L189" s="30"/>
    </row>
    <row r="190" ht="15.75" customHeight="1">
      <c r="A190" s="32"/>
      <c r="B190" s="30"/>
      <c r="C190" s="15"/>
      <c r="D190" s="52" t="str">
        <f t="array" ref="D190">IFERROR(INDEX('3. Costeo y Precios'!$B$14:$B$63,MATCH($C190,'3. Costeo y Precios'!$A$14:$A$63,0)),"")</f>
        <v/>
      </c>
      <c r="E190" s="15"/>
      <c r="F190" s="15"/>
      <c r="G190" s="15"/>
      <c r="H190" s="48" t="str">
        <f t="shared" si="1"/>
        <v/>
      </c>
      <c r="I190" s="30"/>
      <c r="J190" s="38">
        <f t="array" ref="J190">IFERROR(INDEX('3. Costeo y Precios'!$K$14:$K$63,MATCH($C190,'3. Costeo y Precios'!$A$14:$A$63,0)),0)</f>
        <v>0</v>
      </c>
      <c r="K190" s="41" t="str">
        <f t="shared" si="2"/>
        <v/>
      </c>
      <c r="L190" s="30"/>
    </row>
    <row r="191" ht="15.75" customHeight="1">
      <c r="A191" s="32"/>
      <c r="B191" s="30"/>
      <c r="C191" s="15"/>
      <c r="D191" s="52" t="str">
        <f t="array" ref="D191">IFERROR(INDEX('3. Costeo y Precios'!$B$14:$B$63,MATCH($C191,'3. Costeo y Precios'!$A$14:$A$63,0)),"")</f>
        <v/>
      </c>
      <c r="E191" s="15"/>
      <c r="F191" s="15"/>
      <c r="G191" s="15"/>
      <c r="H191" s="48" t="str">
        <f t="shared" si="1"/>
        <v/>
      </c>
      <c r="I191" s="30"/>
      <c r="J191" s="38">
        <f t="array" ref="J191">IFERROR(INDEX('3. Costeo y Precios'!$K$14:$K$63,MATCH($C191,'3. Costeo y Precios'!$A$14:$A$63,0)),0)</f>
        <v>0</v>
      </c>
      <c r="K191" s="41" t="str">
        <f t="shared" si="2"/>
        <v/>
      </c>
      <c r="L191" s="30"/>
    </row>
    <row r="192" ht="15.75" customHeight="1">
      <c r="A192" s="32"/>
      <c r="B192" s="30"/>
      <c r="C192" s="15"/>
      <c r="D192" s="52" t="str">
        <f t="array" ref="D192">IFERROR(INDEX('3. Costeo y Precios'!$B$14:$B$63,MATCH($C192,'3. Costeo y Precios'!$A$14:$A$63,0)),"")</f>
        <v/>
      </c>
      <c r="E192" s="15"/>
      <c r="F192" s="15"/>
      <c r="G192" s="15"/>
      <c r="H192" s="48" t="str">
        <f t="shared" si="1"/>
        <v/>
      </c>
      <c r="I192" s="30"/>
      <c r="J192" s="38">
        <f t="array" ref="J192">IFERROR(INDEX('3. Costeo y Precios'!$K$14:$K$63,MATCH($C192,'3. Costeo y Precios'!$A$14:$A$63,0)),0)</f>
        <v>0</v>
      </c>
      <c r="K192" s="41" t="str">
        <f t="shared" si="2"/>
        <v/>
      </c>
      <c r="L192" s="30"/>
    </row>
    <row r="193" ht="15.75" customHeight="1">
      <c r="A193" s="32"/>
      <c r="B193" s="30"/>
      <c r="C193" s="15"/>
      <c r="D193" s="52" t="str">
        <f t="array" ref="D193">IFERROR(INDEX('3. Costeo y Precios'!$B$14:$B$63,MATCH($C193,'3. Costeo y Precios'!$A$14:$A$63,0)),"")</f>
        <v/>
      </c>
      <c r="E193" s="15"/>
      <c r="F193" s="15"/>
      <c r="G193" s="15"/>
      <c r="H193" s="48" t="str">
        <f t="shared" si="1"/>
        <v/>
      </c>
      <c r="I193" s="30"/>
      <c r="J193" s="38">
        <f t="array" ref="J193">IFERROR(INDEX('3. Costeo y Precios'!$K$14:$K$63,MATCH($C193,'3. Costeo y Precios'!$A$14:$A$63,0)),0)</f>
        <v>0</v>
      </c>
      <c r="K193" s="41" t="str">
        <f t="shared" si="2"/>
        <v/>
      </c>
      <c r="L193" s="30"/>
    </row>
    <row r="194" ht="15.75" customHeight="1">
      <c r="A194" s="32"/>
      <c r="B194" s="30"/>
      <c r="C194" s="15"/>
      <c r="D194" s="52" t="str">
        <f t="array" ref="D194">IFERROR(INDEX('3. Costeo y Precios'!$B$14:$B$63,MATCH($C194,'3. Costeo y Precios'!$A$14:$A$63,0)),"")</f>
        <v/>
      </c>
      <c r="E194" s="15"/>
      <c r="F194" s="15"/>
      <c r="G194" s="15"/>
      <c r="H194" s="48" t="str">
        <f t="shared" si="1"/>
        <v/>
      </c>
      <c r="I194" s="30"/>
      <c r="J194" s="38">
        <f t="array" ref="J194">IFERROR(INDEX('3. Costeo y Precios'!$K$14:$K$63,MATCH($C194,'3. Costeo y Precios'!$A$14:$A$63,0)),0)</f>
        <v>0</v>
      </c>
      <c r="K194" s="41" t="str">
        <f t="shared" si="2"/>
        <v/>
      </c>
      <c r="L194" s="30"/>
    </row>
    <row r="195" ht="15.75" customHeight="1">
      <c r="A195" s="32"/>
      <c r="B195" s="30"/>
      <c r="C195" s="15"/>
      <c r="D195" s="52" t="str">
        <f t="array" ref="D195">IFERROR(INDEX('3. Costeo y Precios'!$B$14:$B$63,MATCH($C195,'3. Costeo y Precios'!$A$14:$A$63,0)),"")</f>
        <v/>
      </c>
      <c r="E195" s="15"/>
      <c r="F195" s="15"/>
      <c r="G195" s="15"/>
      <c r="H195" s="48" t="str">
        <f t="shared" si="1"/>
        <v/>
      </c>
      <c r="I195" s="30"/>
      <c r="J195" s="38">
        <f t="array" ref="J195">IFERROR(INDEX('3. Costeo y Precios'!$K$14:$K$63,MATCH($C195,'3. Costeo y Precios'!$A$14:$A$63,0)),0)</f>
        <v>0</v>
      </c>
      <c r="K195" s="41" t="str">
        <f t="shared" si="2"/>
        <v/>
      </c>
      <c r="L195" s="30"/>
    </row>
    <row r="196" ht="15.75" customHeight="1">
      <c r="A196" s="32"/>
      <c r="B196" s="30"/>
      <c r="C196" s="15"/>
      <c r="D196" s="52" t="str">
        <f t="array" ref="D196">IFERROR(INDEX('3. Costeo y Precios'!$B$14:$B$63,MATCH($C196,'3. Costeo y Precios'!$A$14:$A$63,0)),"")</f>
        <v/>
      </c>
      <c r="E196" s="15"/>
      <c r="F196" s="15"/>
      <c r="G196" s="15"/>
      <c r="H196" s="48" t="str">
        <f t="shared" si="1"/>
        <v/>
      </c>
      <c r="I196" s="30"/>
      <c r="J196" s="38">
        <f t="array" ref="J196">IFERROR(INDEX('3. Costeo y Precios'!$K$14:$K$63,MATCH($C196,'3. Costeo y Precios'!$A$14:$A$63,0)),0)</f>
        <v>0</v>
      </c>
      <c r="K196" s="41" t="str">
        <f t="shared" si="2"/>
        <v/>
      </c>
      <c r="L196" s="30"/>
    </row>
    <row r="197" ht="15.75" customHeight="1">
      <c r="A197" s="32"/>
      <c r="B197" s="30"/>
      <c r="C197" s="15"/>
      <c r="D197" s="52" t="str">
        <f t="array" ref="D197">IFERROR(INDEX('3. Costeo y Precios'!$B$14:$B$63,MATCH($C197,'3. Costeo y Precios'!$A$14:$A$63,0)),"")</f>
        <v/>
      </c>
      <c r="E197" s="15"/>
      <c r="F197" s="15"/>
      <c r="G197" s="15"/>
      <c r="H197" s="48" t="str">
        <f t="shared" si="1"/>
        <v/>
      </c>
      <c r="I197" s="30"/>
      <c r="J197" s="38">
        <f t="array" ref="J197">IFERROR(INDEX('3. Costeo y Precios'!$K$14:$K$63,MATCH($C197,'3. Costeo y Precios'!$A$14:$A$63,0)),0)</f>
        <v>0</v>
      </c>
      <c r="K197" s="41" t="str">
        <f t="shared" si="2"/>
        <v/>
      </c>
      <c r="L197" s="30"/>
    </row>
    <row r="198" ht="15.75" customHeight="1">
      <c r="A198" s="32"/>
      <c r="B198" s="30"/>
      <c r="C198" s="15"/>
      <c r="D198" s="52" t="str">
        <f t="array" ref="D198">IFERROR(INDEX('3. Costeo y Precios'!$B$14:$B$63,MATCH($C198,'3. Costeo y Precios'!$A$14:$A$63,0)),"")</f>
        <v/>
      </c>
      <c r="E198" s="15"/>
      <c r="F198" s="15"/>
      <c r="G198" s="15"/>
      <c r="H198" s="48" t="str">
        <f t="shared" si="1"/>
        <v/>
      </c>
      <c r="I198" s="30"/>
      <c r="J198" s="38">
        <f t="array" ref="J198">IFERROR(INDEX('3. Costeo y Precios'!$K$14:$K$63,MATCH($C198,'3. Costeo y Precios'!$A$14:$A$63,0)),0)</f>
        <v>0</v>
      </c>
      <c r="K198" s="41" t="str">
        <f t="shared" si="2"/>
        <v/>
      </c>
      <c r="L198" s="30"/>
    </row>
    <row r="199" ht="15.75" customHeight="1">
      <c r="A199" s="32"/>
      <c r="B199" s="30"/>
      <c r="C199" s="15"/>
      <c r="D199" s="52" t="str">
        <f t="array" ref="D199">IFERROR(INDEX('3. Costeo y Precios'!$B$14:$B$63,MATCH($C199,'3. Costeo y Precios'!$A$14:$A$63,0)),"")</f>
        <v/>
      </c>
      <c r="E199" s="15"/>
      <c r="F199" s="15"/>
      <c r="G199" s="15"/>
      <c r="H199" s="48" t="str">
        <f t="shared" si="1"/>
        <v/>
      </c>
      <c r="I199" s="30"/>
      <c r="J199" s="38">
        <f t="array" ref="J199">IFERROR(INDEX('3. Costeo y Precios'!$K$14:$K$63,MATCH($C199,'3. Costeo y Precios'!$A$14:$A$63,0)),0)</f>
        <v>0</v>
      </c>
      <c r="K199" s="41" t="str">
        <f t="shared" si="2"/>
        <v/>
      </c>
      <c r="L199" s="30"/>
    </row>
    <row r="200" ht="15.75" customHeight="1">
      <c r="A200" s="32"/>
      <c r="B200" s="30"/>
      <c r="C200" s="15"/>
      <c r="D200" s="52" t="str">
        <f t="array" ref="D200">IFERROR(INDEX('3. Costeo y Precios'!$B$14:$B$63,MATCH($C200,'3. Costeo y Precios'!$A$14:$A$63,0)),"")</f>
        <v/>
      </c>
      <c r="E200" s="15"/>
      <c r="F200" s="15"/>
      <c r="G200" s="15"/>
      <c r="H200" s="48" t="str">
        <f t="shared" si="1"/>
        <v/>
      </c>
      <c r="I200" s="30"/>
      <c r="J200" s="38">
        <f t="array" ref="J200">IFERROR(INDEX('3. Costeo y Precios'!$K$14:$K$63,MATCH($C200,'3. Costeo y Precios'!$A$14:$A$63,0)),0)</f>
        <v>0</v>
      </c>
      <c r="K200" s="41" t="str">
        <f t="shared" si="2"/>
        <v/>
      </c>
      <c r="L200" s="30"/>
    </row>
    <row r="201" ht="15.75" customHeight="1">
      <c r="A201" s="32"/>
      <c r="B201" s="30"/>
      <c r="C201" s="15"/>
      <c r="D201" s="52" t="str">
        <f t="array" ref="D201">IFERROR(INDEX('3. Costeo y Precios'!$B$14:$B$63,MATCH($C201,'3. Costeo y Precios'!$A$14:$A$63,0)),"")</f>
        <v/>
      </c>
      <c r="E201" s="15"/>
      <c r="F201" s="15"/>
      <c r="G201" s="15"/>
      <c r="H201" s="48" t="str">
        <f t="shared" si="1"/>
        <v/>
      </c>
      <c r="I201" s="30"/>
      <c r="J201" s="38">
        <f t="array" ref="J201">IFERROR(INDEX('3. Costeo y Precios'!$K$14:$K$63,MATCH($C201,'3. Costeo y Precios'!$A$14:$A$63,0)),0)</f>
        <v>0</v>
      </c>
      <c r="K201" s="41" t="str">
        <f t="shared" si="2"/>
        <v/>
      </c>
      <c r="L201" s="30"/>
    </row>
    <row r="202" ht="15.75" customHeight="1">
      <c r="A202" s="32"/>
      <c r="B202" s="30"/>
      <c r="C202" s="15"/>
      <c r="D202" s="52" t="str">
        <f t="array" ref="D202">IFERROR(INDEX('3. Costeo y Precios'!$B$14:$B$63,MATCH($C202,'3. Costeo y Precios'!$A$14:$A$63,0)),"")</f>
        <v/>
      </c>
      <c r="E202" s="15"/>
      <c r="F202" s="15"/>
      <c r="G202" s="15"/>
      <c r="H202" s="48" t="str">
        <f t="shared" si="1"/>
        <v/>
      </c>
      <c r="I202" s="30"/>
      <c r="J202" s="38">
        <f t="array" ref="J202">IFERROR(INDEX('3. Costeo y Precios'!$K$14:$K$63,MATCH($C202,'3. Costeo y Precios'!$A$14:$A$63,0)),0)</f>
        <v>0</v>
      </c>
      <c r="K202" s="41" t="str">
        <f t="shared" si="2"/>
        <v/>
      </c>
      <c r="L202" s="30"/>
    </row>
    <row r="203" ht="15.75" customHeight="1">
      <c r="A203" s="32"/>
      <c r="B203" s="30"/>
      <c r="C203" s="15"/>
      <c r="D203" s="52" t="str">
        <f t="array" ref="D203">IFERROR(INDEX('3. Costeo y Precios'!$B$14:$B$63,MATCH($C203,'3. Costeo y Precios'!$A$14:$A$63,0)),"")</f>
        <v/>
      </c>
      <c r="E203" s="15"/>
      <c r="F203" s="15"/>
      <c r="G203" s="15"/>
      <c r="H203" s="48" t="str">
        <f t="shared" si="1"/>
        <v/>
      </c>
      <c r="I203" s="30"/>
      <c r="J203" s="38">
        <f t="array" ref="J203">IFERROR(INDEX('3. Costeo y Precios'!$K$14:$K$63,MATCH($C203,'3. Costeo y Precios'!$A$14:$A$63,0)),0)</f>
        <v>0</v>
      </c>
      <c r="K203" s="41" t="str">
        <f t="shared" si="2"/>
        <v/>
      </c>
      <c r="L203" s="30"/>
    </row>
    <row r="204" ht="15.75" customHeight="1">
      <c r="A204" s="32"/>
      <c r="B204" s="30"/>
      <c r="C204" s="15"/>
      <c r="D204" s="52" t="str">
        <f t="array" ref="D204">IFERROR(INDEX('3. Costeo y Precios'!$B$14:$B$63,MATCH($C204,'3. Costeo y Precios'!$A$14:$A$63,0)),"")</f>
        <v/>
      </c>
      <c r="E204" s="15"/>
      <c r="F204" s="15"/>
      <c r="G204" s="15"/>
      <c r="H204" s="48" t="str">
        <f t="shared" si="1"/>
        <v/>
      </c>
      <c r="I204" s="30"/>
      <c r="J204" s="38">
        <f t="array" ref="J204">IFERROR(INDEX('3. Costeo y Precios'!$K$14:$K$63,MATCH($C204,'3. Costeo y Precios'!$A$14:$A$63,0)),0)</f>
        <v>0</v>
      </c>
      <c r="K204" s="41" t="str">
        <f t="shared" si="2"/>
        <v/>
      </c>
      <c r="L204" s="30"/>
    </row>
    <row r="205" ht="15.75" customHeight="1">
      <c r="A205" s="32"/>
      <c r="B205" s="30"/>
      <c r="C205" s="15"/>
      <c r="D205" s="52" t="str">
        <f t="array" ref="D205">IFERROR(INDEX('3. Costeo y Precios'!$B$14:$B$63,MATCH($C205,'3. Costeo y Precios'!$A$14:$A$63,0)),"")</f>
        <v/>
      </c>
      <c r="E205" s="15"/>
      <c r="F205" s="15"/>
      <c r="G205" s="15"/>
      <c r="H205" s="48" t="str">
        <f t="shared" si="1"/>
        <v/>
      </c>
      <c r="I205" s="30"/>
      <c r="J205" s="38">
        <f t="array" ref="J205">IFERROR(INDEX('3. Costeo y Precios'!$K$14:$K$63,MATCH($C205,'3. Costeo y Precios'!$A$14:$A$63,0)),0)</f>
        <v>0</v>
      </c>
      <c r="K205" s="41" t="str">
        <f t="shared" si="2"/>
        <v/>
      </c>
      <c r="L205" s="30"/>
    </row>
    <row r="206" ht="15.75" customHeight="1">
      <c r="A206" s="32"/>
      <c r="B206" s="30"/>
      <c r="C206" s="15"/>
      <c r="D206" s="52" t="str">
        <f t="array" ref="D206">IFERROR(INDEX('3. Costeo y Precios'!$B$14:$B$63,MATCH($C206,'3. Costeo y Precios'!$A$14:$A$63,0)),"")</f>
        <v/>
      </c>
      <c r="E206" s="15"/>
      <c r="F206" s="15"/>
      <c r="G206" s="15"/>
      <c r="H206" s="48" t="str">
        <f t="shared" si="1"/>
        <v/>
      </c>
      <c r="I206" s="30"/>
      <c r="J206" s="38">
        <f t="array" ref="J206">IFERROR(INDEX('3. Costeo y Precios'!$K$14:$K$63,MATCH($C206,'3. Costeo y Precios'!$A$14:$A$63,0)),0)</f>
        <v>0</v>
      </c>
      <c r="K206" s="41" t="str">
        <f t="shared" si="2"/>
        <v/>
      </c>
      <c r="L206" s="30"/>
    </row>
    <row r="207" ht="15.75" customHeight="1">
      <c r="A207" s="32"/>
      <c r="B207" s="30"/>
      <c r="C207" s="15"/>
      <c r="D207" s="52" t="str">
        <f t="array" ref="D207">IFERROR(INDEX('3. Costeo y Precios'!$B$14:$B$63,MATCH($C207,'3. Costeo y Precios'!$A$14:$A$63,0)),"")</f>
        <v/>
      </c>
      <c r="E207" s="15"/>
      <c r="F207" s="15"/>
      <c r="G207" s="15"/>
      <c r="H207" s="48" t="str">
        <f t="shared" si="1"/>
        <v/>
      </c>
      <c r="I207" s="30"/>
      <c r="J207" s="38">
        <f t="array" ref="J207">IFERROR(INDEX('3. Costeo y Precios'!$K$14:$K$63,MATCH($C207,'3. Costeo y Precios'!$A$14:$A$63,0)),0)</f>
        <v>0</v>
      </c>
      <c r="K207" s="41" t="str">
        <f t="shared" si="2"/>
        <v/>
      </c>
      <c r="L207" s="30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7:$L$207"/>
  <mergeCells count="5">
    <mergeCell ref="A1:L1"/>
    <mergeCell ref="A3:C3"/>
    <mergeCell ref="A4:C4"/>
    <mergeCell ref="A5:C5"/>
    <mergeCell ref="A6:C6"/>
  </mergeCells>
  <dataValidations>
    <dataValidation type="list" allowBlank="1" sqref="I8:I207">
      <formula1>"Mecha descentrada,Cristalización fallida,Temperado roto,Rotura al desmoldar,Separación de grasa,Prueba de quemado,Ingrediente en mal estado,Error de temperatura,Devolución de cliente,Otro"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1.0"/>
    <col customWidth="1" min="2" max="2" width="10.0"/>
    <col customWidth="1" min="3" max="3" width="40.0"/>
    <col customWidth="1" min="4" max="4" width="20.0"/>
    <col customWidth="1" min="5" max="5" width="9.0"/>
    <col customWidth="1" min="6" max="6" width="13.0"/>
    <col customWidth="1" min="7" max="7" width="12.0"/>
    <col customWidth="1" min="8" max="8" width="13.0"/>
    <col customWidth="1" min="9" max="9" width="12.0"/>
    <col customWidth="1" min="10" max="10" width="11.0"/>
    <col customWidth="1" min="11" max="11" width="12.0"/>
    <col customWidth="1" min="12" max="12" width="13.0"/>
    <col customWidth="1" min="13" max="13" width="11.0"/>
    <col customWidth="1" min="14" max="14" width="30.0"/>
    <col customWidth="1" min="15" max="26" width="8.71"/>
  </cols>
  <sheetData>
    <row r="1" ht="30.0" customHeight="1">
      <c r="A1" s="1" t="s">
        <v>321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322</v>
      </c>
    </row>
    <row r="3">
      <c r="A3" s="49" t="s">
        <v>324</v>
      </c>
      <c r="D3" s="50">
        <f>SUM(E8:E407)</f>
        <v>24</v>
      </c>
    </row>
    <row r="4">
      <c r="A4" s="49" t="s">
        <v>326</v>
      </c>
      <c r="D4" s="46">
        <f>SUM(G8:G407)</f>
        <v>24280</v>
      </c>
    </row>
    <row r="5">
      <c r="A5" s="49" t="s">
        <v>327</v>
      </c>
      <c r="D5" s="46">
        <f>SUM(L8:L407)</f>
        <v>20416.64706</v>
      </c>
    </row>
    <row r="6">
      <c r="A6" s="49" t="s">
        <v>328</v>
      </c>
      <c r="D6" s="51">
        <f>IFERROR(D5/D4,0)</f>
        <v>0.840883322</v>
      </c>
    </row>
    <row r="7" ht="31.5" customHeight="1">
      <c r="A7" s="5" t="s">
        <v>155</v>
      </c>
      <c r="B7" s="5" t="s">
        <v>157</v>
      </c>
      <c r="C7" s="5" t="s">
        <v>77</v>
      </c>
      <c r="D7" s="5" t="s">
        <v>330</v>
      </c>
      <c r="E7" s="5" t="s">
        <v>332</v>
      </c>
      <c r="F7" s="5" t="s">
        <v>333</v>
      </c>
      <c r="G7" s="5" t="s">
        <v>334</v>
      </c>
      <c r="H7" s="5" t="s">
        <v>167</v>
      </c>
      <c r="I7" s="5" t="s">
        <v>335</v>
      </c>
      <c r="J7" s="5" t="s">
        <v>336</v>
      </c>
      <c r="K7" s="5" t="s">
        <v>337</v>
      </c>
      <c r="L7" s="5" t="s">
        <v>338</v>
      </c>
      <c r="M7" s="5" t="s">
        <v>339</v>
      </c>
      <c r="N7" s="5" t="s">
        <v>340</v>
      </c>
    </row>
    <row r="8">
      <c r="A8" s="32">
        <v>46236.0</v>
      </c>
      <c r="B8" s="15">
        <v>1.0</v>
      </c>
      <c r="C8" s="52" t="str">
        <f t="array" ref="C8">IFERROR(INDEX('3. Costeo y Precios'!$B$14:$B$63,MATCH($B8,'3. Costeo y Precios'!$A$14:$A$63,0)),"")</f>
        <v>Vela de Mantequilla de Ajo Rostizado y Romero Fresco</v>
      </c>
      <c r="D8" s="30" t="s">
        <v>344</v>
      </c>
      <c r="E8" s="15">
        <v>4.0</v>
      </c>
      <c r="F8" s="16">
        <v>320.0</v>
      </c>
      <c r="G8" s="41">
        <f t="shared" ref="G8:G407" si="1">IF($B8="","",E8*F8)</f>
        <v>1280</v>
      </c>
      <c r="H8" s="38">
        <f t="array" ref="H8">IFERROR(INDEX('3. Costeo y Precios'!$K$14:$K$63,MATCH($B8,'3. Costeo y Precios'!$A$14:$A$63,0)),0)</f>
        <v>174.2352941</v>
      </c>
      <c r="I8" s="41">
        <f t="shared" ref="I8:I407" si="2">IF($B8="","",E8*H8)</f>
        <v>696.9411765</v>
      </c>
      <c r="J8" s="44">
        <v>0.1</v>
      </c>
      <c r="K8" s="41">
        <f t="shared" ref="K8:K407" si="3">IF($B8="","",G8*J8)</f>
        <v>128</v>
      </c>
      <c r="L8" s="43">
        <f t="shared" ref="L8:L407" si="4">IF($B8="","",G8-I8-K8)</f>
        <v>455.0588235</v>
      </c>
      <c r="M8" s="48">
        <f t="shared" ref="M8:M407" si="5">IFERROR(L8/G8,"")</f>
        <v>0.3555147059</v>
      </c>
      <c r="N8" s="53" t="s">
        <v>188</v>
      </c>
    </row>
    <row r="9">
      <c r="A9" s="32"/>
      <c r="B9" s="54">
        <v>5.0</v>
      </c>
      <c r="C9" s="52" t="str">
        <f t="array" ref="C9">IFERROR(INDEX('3. Costeo y Precios'!$B$14:$B$63,MATCH($B9,'3. Costeo y Precios'!$A$14:$A$63,0)),"")</f>
        <v>Vela de Mantequilla de Chile de Árbol, Limón y Sal de Mar</v>
      </c>
      <c r="D9" s="30"/>
      <c r="E9" s="54">
        <v>5.0</v>
      </c>
      <c r="F9" s="55">
        <v>1000.0</v>
      </c>
      <c r="G9" s="41">
        <f t="shared" si="1"/>
        <v>5000</v>
      </c>
      <c r="H9" s="38">
        <f t="array" ref="H9">IFERROR(INDEX('3. Costeo y Precios'!$K$14:$K$63,MATCH($B9,'3. Costeo y Precios'!$A$14:$A$63,0)),0)</f>
        <v>152</v>
      </c>
      <c r="I9" s="41">
        <f t="shared" si="2"/>
        <v>760</v>
      </c>
      <c r="J9" s="44"/>
      <c r="K9" s="41">
        <f t="shared" si="3"/>
        <v>0</v>
      </c>
      <c r="L9" s="43">
        <f t="shared" si="4"/>
        <v>4240</v>
      </c>
      <c r="M9" s="48">
        <f t="shared" si="5"/>
        <v>0.848</v>
      </c>
      <c r="N9" s="30"/>
    </row>
    <row r="10">
      <c r="A10" s="32"/>
      <c r="B10" s="54">
        <v>7.0</v>
      </c>
      <c r="C10" s="52" t="str">
        <f t="array" ref="C10">IFERROR(INDEX('3. Costeo y Precios'!$B$14:$B$63,MATCH($B10,'3. Costeo y Precios'!$A$14:$A$63,0)),"")</f>
        <v>Vela de Mantequilla de Cilantro, Jalapeño y Ralladura de Limón Verde</v>
      </c>
      <c r="D10" s="30"/>
      <c r="E10" s="54">
        <v>15.0</v>
      </c>
      <c r="F10" s="55">
        <v>1200.0</v>
      </c>
      <c r="G10" s="41">
        <f t="shared" si="1"/>
        <v>18000</v>
      </c>
      <c r="H10" s="38">
        <f t="array" ref="H10">IFERROR(INDEX('3. Costeo y Precios'!$K$14:$K$63,MATCH($B10,'3. Costeo y Precios'!$A$14:$A$63,0)),0)</f>
        <v>151.8941176</v>
      </c>
      <c r="I10" s="41">
        <f t="shared" si="2"/>
        <v>2278.411765</v>
      </c>
      <c r="J10" s="44"/>
      <c r="K10" s="41">
        <f t="shared" si="3"/>
        <v>0</v>
      </c>
      <c r="L10" s="43">
        <f t="shared" si="4"/>
        <v>15721.58824</v>
      </c>
      <c r="M10" s="48">
        <f t="shared" si="5"/>
        <v>0.8734215686</v>
      </c>
      <c r="N10" s="30"/>
    </row>
    <row r="11">
      <c r="A11" s="32"/>
      <c r="B11" s="15"/>
      <c r="C11" s="52" t="str">
        <f t="array" ref="C11">IFERROR(INDEX('3. Costeo y Precios'!$B$14:$B$63,MATCH($B11,'3. Costeo y Precios'!$A$14:$A$63,0)),"")</f>
        <v/>
      </c>
      <c r="D11" s="30"/>
      <c r="E11" s="15"/>
      <c r="F11" s="16"/>
      <c r="G11" s="41" t="str">
        <f t="shared" si="1"/>
        <v/>
      </c>
      <c r="H11" s="38">
        <f t="array" ref="H11">IFERROR(INDEX('3. Costeo y Precios'!$K$14:$K$63,MATCH($B11,'3. Costeo y Precios'!$A$14:$A$63,0)),0)</f>
        <v>0</v>
      </c>
      <c r="I11" s="41" t="str">
        <f t="shared" si="2"/>
        <v/>
      </c>
      <c r="J11" s="44"/>
      <c r="K11" s="41" t="str">
        <f t="shared" si="3"/>
        <v/>
      </c>
      <c r="L11" s="43" t="str">
        <f t="shared" si="4"/>
        <v/>
      </c>
      <c r="M11" s="48" t="str">
        <f t="shared" si="5"/>
        <v/>
      </c>
      <c r="N11" s="30"/>
    </row>
    <row r="12">
      <c r="A12" s="32"/>
      <c r="B12" s="15"/>
      <c r="C12" s="52" t="str">
        <f t="array" ref="C12">IFERROR(INDEX('3. Costeo y Precios'!$B$14:$B$63,MATCH($B12,'3. Costeo y Precios'!$A$14:$A$63,0)),"")</f>
        <v/>
      </c>
      <c r="D12" s="30"/>
      <c r="E12" s="15"/>
      <c r="F12" s="16"/>
      <c r="G12" s="41" t="str">
        <f t="shared" si="1"/>
        <v/>
      </c>
      <c r="H12" s="38">
        <f t="array" ref="H12">IFERROR(INDEX('3. Costeo y Precios'!$K$14:$K$63,MATCH($B12,'3. Costeo y Precios'!$A$14:$A$63,0)),0)</f>
        <v>0</v>
      </c>
      <c r="I12" s="41" t="str">
        <f t="shared" si="2"/>
        <v/>
      </c>
      <c r="J12" s="44"/>
      <c r="K12" s="41" t="str">
        <f t="shared" si="3"/>
        <v/>
      </c>
      <c r="L12" s="43" t="str">
        <f t="shared" si="4"/>
        <v/>
      </c>
      <c r="M12" s="48" t="str">
        <f t="shared" si="5"/>
        <v/>
      </c>
      <c r="N12" s="30"/>
    </row>
    <row r="13">
      <c r="A13" s="32"/>
      <c r="B13" s="15"/>
      <c r="C13" s="52" t="str">
        <f t="array" ref="C13">IFERROR(INDEX('3. Costeo y Precios'!$B$14:$B$63,MATCH($B13,'3. Costeo y Precios'!$A$14:$A$63,0)),"")</f>
        <v/>
      </c>
      <c r="D13" s="30"/>
      <c r="E13" s="15"/>
      <c r="F13" s="16"/>
      <c r="G13" s="41" t="str">
        <f t="shared" si="1"/>
        <v/>
      </c>
      <c r="H13" s="38">
        <f t="array" ref="H13">IFERROR(INDEX('3. Costeo y Precios'!$K$14:$K$63,MATCH($B13,'3. Costeo y Precios'!$A$14:$A$63,0)),0)</f>
        <v>0</v>
      </c>
      <c r="I13" s="41" t="str">
        <f t="shared" si="2"/>
        <v/>
      </c>
      <c r="J13" s="44"/>
      <c r="K13" s="41" t="str">
        <f t="shared" si="3"/>
        <v/>
      </c>
      <c r="L13" s="43" t="str">
        <f t="shared" si="4"/>
        <v/>
      </c>
      <c r="M13" s="48" t="str">
        <f t="shared" si="5"/>
        <v/>
      </c>
      <c r="N13" s="30"/>
    </row>
    <row r="14">
      <c r="A14" s="32"/>
      <c r="B14" s="15"/>
      <c r="C14" s="52" t="str">
        <f t="array" ref="C14">IFERROR(INDEX('3. Costeo y Precios'!$B$14:$B$63,MATCH($B14,'3. Costeo y Precios'!$A$14:$A$63,0)),"")</f>
        <v/>
      </c>
      <c r="D14" s="30"/>
      <c r="E14" s="15"/>
      <c r="F14" s="16"/>
      <c r="G14" s="41" t="str">
        <f t="shared" si="1"/>
        <v/>
      </c>
      <c r="H14" s="38">
        <f t="array" ref="H14">IFERROR(INDEX('3. Costeo y Precios'!$K$14:$K$63,MATCH($B14,'3. Costeo y Precios'!$A$14:$A$63,0)),0)</f>
        <v>0</v>
      </c>
      <c r="I14" s="41" t="str">
        <f t="shared" si="2"/>
        <v/>
      </c>
      <c r="J14" s="44"/>
      <c r="K14" s="41" t="str">
        <f t="shared" si="3"/>
        <v/>
      </c>
      <c r="L14" s="43" t="str">
        <f t="shared" si="4"/>
        <v/>
      </c>
      <c r="M14" s="48" t="str">
        <f t="shared" si="5"/>
        <v/>
      </c>
      <c r="N14" s="30"/>
    </row>
    <row r="15">
      <c r="A15" s="32"/>
      <c r="B15" s="15"/>
      <c r="C15" s="52" t="str">
        <f t="array" ref="C15">IFERROR(INDEX('3. Costeo y Precios'!$B$14:$B$63,MATCH($B15,'3. Costeo y Precios'!$A$14:$A$63,0)),"")</f>
        <v/>
      </c>
      <c r="D15" s="30"/>
      <c r="E15" s="15"/>
      <c r="F15" s="16"/>
      <c r="G15" s="41" t="str">
        <f t="shared" si="1"/>
        <v/>
      </c>
      <c r="H15" s="38">
        <f t="array" ref="H15">IFERROR(INDEX('3. Costeo y Precios'!$K$14:$K$63,MATCH($B15,'3. Costeo y Precios'!$A$14:$A$63,0)),0)</f>
        <v>0</v>
      </c>
      <c r="I15" s="41" t="str">
        <f t="shared" si="2"/>
        <v/>
      </c>
      <c r="J15" s="44"/>
      <c r="K15" s="41" t="str">
        <f t="shared" si="3"/>
        <v/>
      </c>
      <c r="L15" s="43" t="str">
        <f t="shared" si="4"/>
        <v/>
      </c>
      <c r="M15" s="48" t="str">
        <f t="shared" si="5"/>
        <v/>
      </c>
      <c r="N15" s="30"/>
    </row>
    <row r="16">
      <c r="A16" s="32"/>
      <c r="B16" s="15"/>
      <c r="C16" s="52" t="str">
        <f t="array" ref="C16">IFERROR(INDEX('3. Costeo y Precios'!$B$14:$B$63,MATCH($B16,'3. Costeo y Precios'!$A$14:$A$63,0)),"")</f>
        <v/>
      </c>
      <c r="D16" s="30"/>
      <c r="E16" s="15"/>
      <c r="F16" s="16"/>
      <c r="G16" s="41" t="str">
        <f t="shared" si="1"/>
        <v/>
      </c>
      <c r="H16" s="38">
        <f t="array" ref="H16">IFERROR(INDEX('3. Costeo y Precios'!$K$14:$K$63,MATCH($B16,'3. Costeo y Precios'!$A$14:$A$63,0)),0)</f>
        <v>0</v>
      </c>
      <c r="I16" s="41" t="str">
        <f t="shared" si="2"/>
        <v/>
      </c>
      <c r="J16" s="44"/>
      <c r="K16" s="41" t="str">
        <f t="shared" si="3"/>
        <v/>
      </c>
      <c r="L16" s="43" t="str">
        <f t="shared" si="4"/>
        <v/>
      </c>
      <c r="M16" s="48" t="str">
        <f t="shared" si="5"/>
        <v/>
      </c>
      <c r="N16" s="30"/>
    </row>
    <row r="17">
      <c r="A17" s="32"/>
      <c r="B17" s="15"/>
      <c r="C17" s="52" t="str">
        <f t="array" ref="C17">IFERROR(INDEX('3. Costeo y Precios'!$B$14:$B$63,MATCH($B17,'3. Costeo y Precios'!$A$14:$A$63,0)),"")</f>
        <v/>
      </c>
      <c r="D17" s="30"/>
      <c r="E17" s="15"/>
      <c r="F17" s="16"/>
      <c r="G17" s="41" t="str">
        <f t="shared" si="1"/>
        <v/>
      </c>
      <c r="H17" s="38">
        <f t="array" ref="H17">IFERROR(INDEX('3. Costeo y Precios'!$K$14:$K$63,MATCH($B17,'3. Costeo y Precios'!$A$14:$A$63,0)),0)</f>
        <v>0</v>
      </c>
      <c r="I17" s="41" t="str">
        <f t="shared" si="2"/>
        <v/>
      </c>
      <c r="J17" s="44"/>
      <c r="K17" s="41" t="str">
        <f t="shared" si="3"/>
        <v/>
      </c>
      <c r="L17" s="43" t="str">
        <f t="shared" si="4"/>
        <v/>
      </c>
      <c r="M17" s="48" t="str">
        <f t="shared" si="5"/>
        <v/>
      </c>
      <c r="N17" s="30"/>
    </row>
    <row r="18">
      <c r="A18" s="32"/>
      <c r="B18" s="15"/>
      <c r="C18" s="52" t="str">
        <f t="array" ref="C18">IFERROR(INDEX('3. Costeo y Precios'!$B$14:$B$63,MATCH($B18,'3. Costeo y Precios'!$A$14:$A$63,0)),"")</f>
        <v/>
      </c>
      <c r="D18" s="30"/>
      <c r="E18" s="15"/>
      <c r="F18" s="16"/>
      <c r="G18" s="41" t="str">
        <f t="shared" si="1"/>
        <v/>
      </c>
      <c r="H18" s="38">
        <f t="array" ref="H18">IFERROR(INDEX('3. Costeo y Precios'!$K$14:$K$63,MATCH($B18,'3. Costeo y Precios'!$A$14:$A$63,0)),0)</f>
        <v>0</v>
      </c>
      <c r="I18" s="41" t="str">
        <f t="shared" si="2"/>
        <v/>
      </c>
      <c r="J18" s="44"/>
      <c r="K18" s="41" t="str">
        <f t="shared" si="3"/>
        <v/>
      </c>
      <c r="L18" s="43" t="str">
        <f t="shared" si="4"/>
        <v/>
      </c>
      <c r="M18" s="48" t="str">
        <f t="shared" si="5"/>
        <v/>
      </c>
      <c r="N18" s="30"/>
    </row>
    <row r="19">
      <c r="A19" s="32"/>
      <c r="B19" s="15"/>
      <c r="C19" s="52" t="str">
        <f t="array" ref="C19">IFERROR(INDEX('3. Costeo y Precios'!$B$14:$B$63,MATCH($B19,'3. Costeo y Precios'!$A$14:$A$63,0)),"")</f>
        <v/>
      </c>
      <c r="D19" s="30"/>
      <c r="E19" s="15"/>
      <c r="F19" s="16"/>
      <c r="G19" s="41" t="str">
        <f t="shared" si="1"/>
        <v/>
      </c>
      <c r="H19" s="38">
        <f t="array" ref="H19">IFERROR(INDEX('3. Costeo y Precios'!$K$14:$K$63,MATCH($B19,'3. Costeo y Precios'!$A$14:$A$63,0)),0)</f>
        <v>0</v>
      </c>
      <c r="I19" s="41" t="str">
        <f t="shared" si="2"/>
        <v/>
      </c>
      <c r="J19" s="44"/>
      <c r="K19" s="41" t="str">
        <f t="shared" si="3"/>
        <v/>
      </c>
      <c r="L19" s="43" t="str">
        <f t="shared" si="4"/>
        <v/>
      </c>
      <c r="M19" s="48" t="str">
        <f t="shared" si="5"/>
        <v/>
      </c>
      <c r="N19" s="30"/>
    </row>
    <row r="20">
      <c r="A20" s="32"/>
      <c r="B20" s="15"/>
      <c r="C20" s="52" t="str">
        <f t="array" ref="C20">IFERROR(INDEX('3. Costeo y Precios'!$B$14:$B$63,MATCH($B20,'3. Costeo y Precios'!$A$14:$A$63,0)),"")</f>
        <v/>
      </c>
      <c r="D20" s="30"/>
      <c r="E20" s="15"/>
      <c r="F20" s="16"/>
      <c r="G20" s="41" t="str">
        <f t="shared" si="1"/>
        <v/>
      </c>
      <c r="H20" s="38">
        <f t="array" ref="H20">IFERROR(INDEX('3. Costeo y Precios'!$K$14:$K$63,MATCH($B20,'3. Costeo y Precios'!$A$14:$A$63,0)),0)</f>
        <v>0</v>
      </c>
      <c r="I20" s="41" t="str">
        <f t="shared" si="2"/>
        <v/>
      </c>
      <c r="J20" s="44"/>
      <c r="K20" s="41" t="str">
        <f t="shared" si="3"/>
        <v/>
      </c>
      <c r="L20" s="43" t="str">
        <f t="shared" si="4"/>
        <v/>
      </c>
      <c r="M20" s="48" t="str">
        <f t="shared" si="5"/>
        <v/>
      </c>
      <c r="N20" s="30"/>
    </row>
    <row r="21" ht="15.75" customHeight="1">
      <c r="A21" s="32"/>
      <c r="B21" s="15"/>
      <c r="C21" s="52" t="str">
        <f t="array" ref="C21">IFERROR(INDEX('3. Costeo y Precios'!$B$14:$B$63,MATCH($B21,'3. Costeo y Precios'!$A$14:$A$63,0)),"")</f>
        <v/>
      </c>
      <c r="D21" s="30"/>
      <c r="E21" s="15"/>
      <c r="F21" s="16"/>
      <c r="G21" s="41" t="str">
        <f t="shared" si="1"/>
        <v/>
      </c>
      <c r="H21" s="38">
        <f t="array" ref="H21">IFERROR(INDEX('3. Costeo y Precios'!$K$14:$K$63,MATCH($B21,'3. Costeo y Precios'!$A$14:$A$63,0)),0)</f>
        <v>0</v>
      </c>
      <c r="I21" s="41" t="str">
        <f t="shared" si="2"/>
        <v/>
      </c>
      <c r="J21" s="44"/>
      <c r="K21" s="41" t="str">
        <f t="shared" si="3"/>
        <v/>
      </c>
      <c r="L21" s="43" t="str">
        <f t="shared" si="4"/>
        <v/>
      </c>
      <c r="M21" s="48" t="str">
        <f t="shared" si="5"/>
        <v/>
      </c>
      <c r="N21" s="30"/>
    </row>
    <row r="22" ht="15.75" customHeight="1">
      <c r="A22" s="32"/>
      <c r="B22" s="15"/>
      <c r="C22" s="52" t="str">
        <f t="array" ref="C22">IFERROR(INDEX('3. Costeo y Precios'!$B$14:$B$63,MATCH($B22,'3. Costeo y Precios'!$A$14:$A$63,0)),"")</f>
        <v/>
      </c>
      <c r="D22" s="30"/>
      <c r="E22" s="15"/>
      <c r="F22" s="16"/>
      <c r="G22" s="41" t="str">
        <f t="shared" si="1"/>
        <v/>
      </c>
      <c r="H22" s="38">
        <f t="array" ref="H22">IFERROR(INDEX('3. Costeo y Precios'!$K$14:$K$63,MATCH($B22,'3. Costeo y Precios'!$A$14:$A$63,0)),0)</f>
        <v>0</v>
      </c>
      <c r="I22" s="41" t="str">
        <f t="shared" si="2"/>
        <v/>
      </c>
      <c r="J22" s="44"/>
      <c r="K22" s="41" t="str">
        <f t="shared" si="3"/>
        <v/>
      </c>
      <c r="L22" s="43" t="str">
        <f t="shared" si="4"/>
        <v/>
      </c>
      <c r="M22" s="48" t="str">
        <f t="shared" si="5"/>
        <v/>
      </c>
      <c r="N22" s="30"/>
    </row>
    <row r="23" ht="15.75" customHeight="1">
      <c r="A23" s="32"/>
      <c r="B23" s="15"/>
      <c r="C23" s="52" t="str">
        <f t="array" ref="C23">IFERROR(INDEX('3. Costeo y Precios'!$B$14:$B$63,MATCH($B23,'3. Costeo y Precios'!$A$14:$A$63,0)),"")</f>
        <v/>
      </c>
      <c r="D23" s="30"/>
      <c r="E23" s="15"/>
      <c r="F23" s="16"/>
      <c r="G23" s="41" t="str">
        <f t="shared" si="1"/>
        <v/>
      </c>
      <c r="H23" s="38">
        <f t="array" ref="H23">IFERROR(INDEX('3. Costeo y Precios'!$K$14:$K$63,MATCH($B23,'3. Costeo y Precios'!$A$14:$A$63,0)),0)</f>
        <v>0</v>
      </c>
      <c r="I23" s="41" t="str">
        <f t="shared" si="2"/>
        <v/>
      </c>
      <c r="J23" s="44"/>
      <c r="K23" s="41" t="str">
        <f t="shared" si="3"/>
        <v/>
      </c>
      <c r="L23" s="43" t="str">
        <f t="shared" si="4"/>
        <v/>
      </c>
      <c r="M23" s="48" t="str">
        <f t="shared" si="5"/>
        <v/>
      </c>
      <c r="N23" s="30"/>
    </row>
    <row r="24" ht="15.75" customHeight="1">
      <c r="A24" s="32"/>
      <c r="B24" s="15"/>
      <c r="C24" s="52" t="str">
        <f t="array" ref="C24">IFERROR(INDEX('3. Costeo y Precios'!$B$14:$B$63,MATCH($B24,'3. Costeo y Precios'!$A$14:$A$63,0)),"")</f>
        <v/>
      </c>
      <c r="D24" s="30"/>
      <c r="E24" s="15"/>
      <c r="F24" s="16"/>
      <c r="G24" s="41" t="str">
        <f t="shared" si="1"/>
        <v/>
      </c>
      <c r="H24" s="38">
        <f t="array" ref="H24">IFERROR(INDEX('3. Costeo y Precios'!$K$14:$K$63,MATCH($B24,'3. Costeo y Precios'!$A$14:$A$63,0)),0)</f>
        <v>0</v>
      </c>
      <c r="I24" s="41" t="str">
        <f t="shared" si="2"/>
        <v/>
      </c>
      <c r="J24" s="44"/>
      <c r="K24" s="41" t="str">
        <f t="shared" si="3"/>
        <v/>
      </c>
      <c r="L24" s="43" t="str">
        <f t="shared" si="4"/>
        <v/>
      </c>
      <c r="M24" s="48" t="str">
        <f t="shared" si="5"/>
        <v/>
      </c>
      <c r="N24" s="30"/>
    </row>
    <row r="25" ht="15.75" customHeight="1">
      <c r="A25" s="32"/>
      <c r="B25" s="15"/>
      <c r="C25" s="52" t="str">
        <f t="array" ref="C25">IFERROR(INDEX('3. Costeo y Precios'!$B$14:$B$63,MATCH($B25,'3. Costeo y Precios'!$A$14:$A$63,0)),"")</f>
        <v/>
      </c>
      <c r="D25" s="30"/>
      <c r="E25" s="15"/>
      <c r="F25" s="16"/>
      <c r="G25" s="41" t="str">
        <f t="shared" si="1"/>
        <v/>
      </c>
      <c r="H25" s="38">
        <f t="array" ref="H25">IFERROR(INDEX('3. Costeo y Precios'!$K$14:$K$63,MATCH($B25,'3. Costeo y Precios'!$A$14:$A$63,0)),0)</f>
        <v>0</v>
      </c>
      <c r="I25" s="41" t="str">
        <f t="shared" si="2"/>
        <v/>
      </c>
      <c r="J25" s="44"/>
      <c r="K25" s="41" t="str">
        <f t="shared" si="3"/>
        <v/>
      </c>
      <c r="L25" s="43" t="str">
        <f t="shared" si="4"/>
        <v/>
      </c>
      <c r="M25" s="48" t="str">
        <f t="shared" si="5"/>
        <v/>
      </c>
      <c r="N25" s="30"/>
    </row>
    <row r="26" ht="15.75" customHeight="1">
      <c r="A26" s="32"/>
      <c r="B26" s="15"/>
      <c r="C26" s="52" t="str">
        <f t="array" ref="C26">IFERROR(INDEX('3. Costeo y Precios'!$B$14:$B$63,MATCH($B26,'3. Costeo y Precios'!$A$14:$A$63,0)),"")</f>
        <v/>
      </c>
      <c r="D26" s="30"/>
      <c r="E26" s="15"/>
      <c r="F26" s="16"/>
      <c r="G26" s="41" t="str">
        <f t="shared" si="1"/>
        <v/>
      </c>
      <c r="H26" s="38">
        <f t="array" ref="H26">IFERROR(INDEX('3. Costeo y Precios'!$K$14:$K$63,MATCH($B26,'3. Costeo y Precios'!$A$14:$A$63,0)),0)</f>
        <v>0</v>
      </c>
      <c r="I26" s="41" t="str">
        <f t="shared" si="2"/>
        <v/>
      </c>
      <c r="J26" s="44"/>
      <c r="K26" s="41" t="str">
        <f t="shared" si="3"/>
        <v/>
      </c>
      <c r="L26" s="43" t="str">
        <f t="shared" si="4"/>
        <v/>
      </c>
      <c r="M26" s="48" t="str">
        <f t="shared" si="5"/>
        <v/>
      </c>
      <c r="N26" s="30"/>
    </row>
    <row r="27" ht="15.75" customHeight="1">
      <c r="A27" s="32"/>
      <c r="B27" s="15"/>
      <c r="C27" s="52" t="str">
        <f t="array" ref="C27">IFERROR(INDEX('3. Costeo y Precios'!$B$14:$B$63,MATCH($B27,'3. Costeo y Precios'!$A$14:$A$63,0)),"")</f>
        <v/>
      </c>
      <c r="D27" s="30"/>
      <c r="E27" s="15"/>
      <c r="F27" s="16"/>
      <c r="G27" s="41" t="str">
        <f t="shared" si="1"/>
        <v/>
      </c>
      <c r="H27" s="38">
        <f t="array" ref="H27">IFERROR(INDEX('3. Costeo y Precios'!$K$14:$K$63,MATCH($B27,'3. Costeo y Precios'!$A$14:$A$63,0)),0)</f>
        <v>0</v>
      </c>
      <c r="I27" s="41" t="str">
        <f t="shared" si="2"/>
        <v/>
      </c>
      <c r="J27" s="44"/>
      <c r="K27" s="41" t="str">
        <f t="shared" si="3"/>
        <v/>
      </c>
      <c r="L27" s="43" t="str">
        <f t="shared" si="4"/>
        <v/>
      </c>
      <c r="M27" s="48" t="str">
        <f t="shared" si="5"/>
        <v/>
      </c>
      <c r="N27" s="30"/>
    </row>
    <row r="28" ht="15.75" customHeight="1">
      <c r="A28" s="32"/>
      <c r="B28" s="15"/>
      <c r="C28" s="52" t="str">
        <f t="array" ref="C28">IFERROR(INDEX('3. Costeo y Precios'!$B$14:$B$63,MATCH($B28,'3. Costeo y Precios'!$A$14:$A$63,0)),"")</f>
        <v/>
      </c>
      <c r="D28" s="30"/>
      <c r="E28" s="15"/>
      <c r="F28" s="16"/>
      <c r="G28" s="41" t="str">
        <f t="shared" si="1"/>
        <v/>
      </c>
      <c r="H28" s="38">
        <f t="array" ref="H28">IFERROR(INDEX('3. Costeo y Precios'!$K$14:$K$63,MATCH($B28,'3. Costeo y Precios'!$A$14:$A$63,0)),0)</f>
        <v>0</v>
      </c>
      <c r="I28" s="41" t="str">
        <f t="shared" si="2"/>
        <v/>
      </c>
      <c r="J28" s="44"/>
      <c r="K28" s="41" t="str">
        <f t="shared" si="3"/>
        <v/>
      </c>
      <c r="L28" s="43" t="str">
        <f t="shared" si="4"/>
        <v/>
      </c>
      <c r="M28" s="48" t="str">
        <f t="shared" si="5"/>
        <v/>
      </c>
      <c r="N28" s="30"/>
    </row>
    <row r="29" ht="15.75" customHeight="1">
      <c r="A29" s="32"/>
      <c r="B29" s="15"/>
      <c r="C29" s="52" t="str">
        <f t="array" ref="C29">IFERROR(INDEX('3. Costeo y Precios'!$B$14:$B$63,MATCH($B29,'3. Costeo y Precios'!$A$14:$A$63,0)),"")</f>
        <v/>
      </c>
      <c r="D29" s="30"/>
      <c r="E29" s="15"/>
      <c r="F29" s="16"/>
      <c r="G29" s="41" t="str">
        <f t="shared" si="1"/>
        <v/>
      </c>
      <c r="H29" s="38">
        <f t="array" ref="H29">IFERROR(INDEX('3. Costeo y Precios'!$K$14:$K$63,MATCH($B29,'3. Costeo y Precios'!$A$14:$A$63,0)),0)</f>
        <v>0</v>
      </c>
      <c r="I29" s="41" t="str">
        <f t="shared" si="2"/>
        <v/>
      </c>
      <c r="J29" s="44"/>
      <c r="K29" s="41" t="str">
        <f t="shared" si="3"/>
        <v/>
      </c>
      <c r="L29" s="43" t="str">
        <f t="shared" si="4"/>
        <v/>
      </c>
      <c r="M29" s="48" t="str">
        <f t="shared" si="5"/>
        <v/>
      </c>
      <c r="N29" s="30"/>
    </row>
    <row r="30" ht="15.75" customHeight="1">
      <c r="A30" s="32"/>
      <c r="B30" s="15"/>
      <c r="C30" s="52" t="str">
        <f t="array" ref="C30">IFERROR(INDEX('3. Costeo y Precios'!$B$14:$B$63,MATCH($B30,'3. Costeo y Precios'!$A$14:$A$63,0)),"")</f>
        <v/>
      </c>
      <c r="D30" s="30"/>
      <c r="E30" s="15"/>
      <c r="F30" s="16"/>
      <c r="G30" s="41" t="str">
        <f t="shared" si="1"/>
        <v/>
      </c>
      <c r="H30" s="38">
        <f t="array" ref="H30">IFERROR(INDEX('3. Costeo y Precios'!$K$14:$K$63,MATCH($B30,'3. Costeo y Precios'!$A$14:$A$63,0)),0)</f>
        <v>0</v>
      </c>
      <c r="I30" s="41" t="str">
        <f t="shared" si="2"/>
        <v/>
      </c>
      <c r="J30" s="44"/>
      <c r="K30" s="41" t="str">
        <f t="shared" si="3"/>
        <v/>
      </c>
      <c r="L30" s="43" t="str">
        <f t="shared" si="4"/>
        <v/>
      </c>
      <c r="M30" s="48" t="str">
        <f t="shared" si="5"/>
        <v/>
      </c>
      <c r="N30" s="30"/>
    </row>
    <row r="31" ht="15.75" customHeight="1">
      <c r="A31" s="32"/>
      <c r="B31" s="15"/>
      <c r="C31" s="52" t="str">
        <f t="array" ref="C31">IFERROR(INDEX('3. Costeo y Precios'!$B$14:$B$63,MATCH($B31,'3. Costeo y Precios'!$A$14:$A$63,0)),"")</f>
        <v/>
      </c>
      <c r="D31" s="30"/>
      <c r="E31" s="15"/>
      <c r="F31" s="16"/>
      <c r="G31" s="41" t="str">
        <f t="shared" si="1"/>
        <v/>
      </c>
      <c r="H31" s="38">
        <f t="array" ref="H31">IFERROR(INDEX('3. Costeo y Precios'!$K$14:$K$63,MATCH($B31,'3. Costeo y Precios'!$A$14:$A$63,0)),0)</f>
        <v>0</v>
      </c>
      <c r="I31" s="41" t="str">
        <f t="shared" si="2"/>
        <v/>
      </c>
      <c r="J31" s="44"/>
      <c r="K31" s="41" t="str">
        <f t="shared" si="3"/>
        <v/>
      </c>
      <c r="L31" s="43" t="str">
        <f t="shared" si="4"/>
        <v/>
      </c>
      <c r="M31" s="48" t="str">
        <f t="shared" si="5"/>
        <v/>
      </c>
      <c r="N31" s="30"/>
    </row>
    <row r="32" ht="15.75" customHeight="1">
      <c r="A32" s="32"/>
      <c r="B32" s="15"/>
      <c r="C32" s="52" t="str">
        <f t="array" ref="C32">IFERROR(INDEX('3. Costeo y Precios'!$B$14:$B$63,MATCH($B32,'3. Costeo y Precios'!$A$14:$A$63,0)),"")</f>
        <v/>
      </c>
      <c r="D32" s="30"/>
      <c r="E32" s="15"/>
      <c r="F32" s="16"/>
      <c r="G32" s="41" t="str">
        <f t="shared" si="1"/>
        <v/>
      </c>
      <c r="H32" s="38">
        <f t="array" ref="H32">IFERROR(INDEX('3. Costeo y Precios'!$K$14:$K$63,MATCH($B32,'3. Costeo y Precios'!$A$14:$A$63,0)),0)</f>
        <v>0</v>
      </c>
      <c r="I32" s="41" t="str">
        <f t="shared" si="2"/>
        <v/>
      </c>
      <c r="J32" s="44"/>
      <c r="K32" s="41" t="str">
        <f t="shared" si="3"/>
        <v/>
      </c>
      <c r="L32" s="43" t="str">
        <f t="shared" si="4"/>
        <v/>
      </c>
      <c r="M32" s="48" t="str">
        <f t="shared" si="5"/>
        <v/>
      </c>
      <c r="N32" s="30"/>
    </row>
    <row r="33" ht="15.75" customHeight="1">
      <c r="A33" s="32"/>
      <c r="B33" s="15"/>
      <c r="C33" s="52" t="str">
        <f t="array" ref="C33">IFERROR(INDEX('3. Costeo y Precios'!$B$14:$B$63,MATCH($B33,'3. Costeo y Precios'!$A$14:$A$63,0)),"")</f>
        <v/>
      </c>
      <c r="D33" s="30"/>
      <c r="E33" s="15"/>
      <c r="F33" s="16"/>
      <c r="G33" s="41" t="str">
        <f t="shared" si="1"/>
        <v/>
      </c>
      <c r="H33" s="38">
        <f t="array" ref="H33">IFERROR(INDEX('3. Costeo y Precios'!$K$14:$K$63,MATCH($B33,'3. Costeo y Precios'!$A$14:$A$63,0)),0)</f>
        <v>0</v>
      </c>
      <c r="I33" s="41" t="str">
        <f t="shared" si="2"/>
        <v/>
      </c>
      <c r="J33" s="44"/>
      <c r="K33" s="41" t="str">
        <f t="shared" si="3"/>
        <v/>
      </c>
      <c r="L33" s="43" t="str">
        <f t="shared" si="4"/>
        <v/>
      </c>
      <c r="M33" s="48" t="str">
        <f t="shared" si="5"/>
        <v/>
      </c>
      <c r="N33" s="30"/>
    </row>
    <row r="34" ht="15.75" customHeight="1">
      <c r="A34" s="32"/>
      <c r="B34" s="15"/>
      <c r="C34" s="52" t="str">
        <f t="array" ref="C34">IFERROR(INDEX('3. Costeo y Precios'!$B$14:$B$63,MATCH($B34,'3. Costeo y Precios'!$A$14:$A$63,0)),"")</f>
        <v/>
      </c>
      <c r="D34" s="30"/>
      <c r="E34" s="15"/>
      <c r="F34" s="16"/>
      <c r="G34" s="41" t="str">
        <f t="shared" si="1"/>
        <v/>
      </c>
      <c r="H34" s="38">
        <f t="array" ref="H34">IFERROR(INDEX('3. Costeo y Precios'!$K$14:$K$63,MATCH($B34,'3. Costeo y Precios'!$A$14:$A$63,0)),0)</f>
        <v>0</v>
      </c>
      <c r="I34" s="41" t="str">
        <f t="shared" si="2"/>
        <v/>
      </c>
      <c r="J34" s="44"/>
      <c r="K34" s="41" t="str">
        <f t="shared" si="3"/>
        <v/>
      </c>
      <c r="L34" s="43" t="str">
        <f t="shared" si="4"/>
        <v/>
      </c>
      <c r="M34" s="48" t="str">
        <f t="shared" si="5"/>
        <v/>
      </c>
      <c r="N34" s="30"/>
    </row>
    <row r="35" ht="15.75" customHeight="1">
      <c r="A35" s="32"/>
      <c r="B35" s="15"/>
      <c r="C35" s="52" t="str">
        <f t="array" ref="C35">IFERROR(INDEX('3. Costeo y Precios'!$B$14:$B$63,MATCH($B35,'3. Costeo y Precios'!$A$14:$A$63,0)),"")</f>
        <v/>
      </c>
      <c r="D35" s="30"/>
      <c r="E35" s="15"/>
      <c r="F35" s="16"/>
      <c r="G35" s="41" t="str">
        <f t="shared" si="1"/>
        <v/>
      </c>
      <c r="H35" s="38">
        <f t="array" ref="H35">IFERROR(INDEX('3. Costeo y Precios'!$K$14:$K$63,MATCH($B35,'3. Costeo y Precios'!$A$14:$A$63,0)),0)</f>
        <v>0</v>
      </c>
      <c r="I35" s="41" t="str">
        <f t="shared" si="2"/>
        <v/>
      </c>
      <c r="J35" s="44"/>
      <c r="K35" s="41" t="str">
        <f t="shared" si="3"/>
        <v/>
      </c>
      <c r="L35" s="43" t="str">
        <f t="shared" si="4"/>
        <v/>
      </c>
      <c r="M35" s="48" t="str">
        <f t="shared" si="5"/>
        <v/>
      </c>
      <c r="N35" s="30"/>
    </row>
    <row r="36" ht="15.75" customHeight="1">
      <c r="A36" s="32"/>
      <c r="B36" s="15"/>
      <c r="C36" s="52" t="str">
        <f t="array" ref="C36">IFERROR(INDEX('3. Costeo y Precios'!$B$14:$B$63,MATCH($B36,'3. Costeo y Precios'!$A$14:$A$63,0)),"")</f>
        <v/>
      </c>
      <c r="D36" s="30"/>
      <c r="E36" s="15"/>
      <c r="F36" s="16"/>
      <c r="G36" s="41" t="str">
        <f t="shared" si="1"/>
        <v/>
      </c>
      <c r="H36" s="38">
        <f t="array" ref="H36">IFERROR(INDEX('3. Costeo y Precios'!$K$14:$K$63,MATCH($B36,'3. Costeo y Precios'!$A$14:$A$63,0)),0)</f>
        <v>0</v>
      </c>
      <c r="I36" s="41" t="str">
        <f t="shared" si="2"/>
        <v/>
      </c>
      <c r="J36" s="44"/>
      <c r="K36" s="41" t="str">
        <f t="shared" si="3"/>
        <v/>
      </c>
      <c r="L36" s="43" t="str">
        <f t="shared" si="4"/>
        <v/>
      </c>
      <c r="M36" s="48" t="str">
        <f t="shared" si="5"/>
        <v/>
      </c>
      <c r="N36" s="30"/>
    </row>
    <row r="37" ht="15.75" customHeight="1">
      <c r="A37" s="32"/>
      <c r="B37" s="15"/>
      <c r="C37" s="52" t="str">
        <f t="array" ref="C37">IFERROR(INDEX('3. Costeo y Precios'!$B$14:$B$63,MATCH($B37,'3. Costeo y Precios'!$A$14:$A$63,0)),"")</f>
        <v/>
      </c>
      <c r="D37" s="30"/>
      <c r="E37" s="15"/>
      <c r="F37" s="16"/>
      <c r="G37" s="41" t="str">
        <f t="shared" si="1"/>
        <v/>
      </c>
      <c r="H37" s="38">
        <f t="array" ref="H37">IFERROR(INDEX('3. Costeo y Precios'!$K$14:$K$63,MATCH($B37,'3. Costeo y Precios'!$A$14:$A$63,0)),0)</f>
        <v>0</v>
      </c>
      <c r="I37" s="41" t="str">
        <f t="shared" si="2"/>
        <v/>
      </c>
      <c r="J37" s="44"/>
      <c r="K37" s="41" t="str">
        <f t="shared" si="3"/>
        <v/>
      </c>
      <c r="L37" s="43" t="str">
        <f t="shared" si="4"/>
        <v/>
      </c>
      <c r="M37" s="48" t="str">
        <f t="shared" si="5"/>
        <v/>
      </c>
      <c r="N37" s="30"/>
    </row>
    <row r="38" ht="15.75" customHeight="1">
      <c r="A38" s="32"/>
      <c r="B38" s="15"/>
      <c r="C38" s="52" t="str">
        <f t="array" ref="C38">IFERROR(INDEX('3. Costeo y Precios'!$B$14:$B$63,MATCH($B38,'3. Costeo y Precios'!$A$14:$A$63,0)),"")</f>
        <v/>
      </c>
      <c r="D38" s="30"/>
      <c r="E38" s="15"/>
      <c r="F38" s="16"/>
      <c r="G38" s="41" t="str">
        <f t="shared" si="1"/>
        <v/>
      </c>
      <c r="H38" s="38">
        <f t="array" ref="H38">IFERROR(INDEX('3. Costeo y Precios'!$K$14:$K$63,MATCH($B38,'3. Costeo y Precios'!$A$14:$A$63,0)),0)</f>
        <v>0</v>
      </c>
      <c r="I38" s="41" t="str">
        <f t="shared" si="2"/>
        <v/>
      </c>
      <c r="J38" s="44"/>
      <c r="K38" s="41" t="str">
        <f t="shared" si="3"/>
        <v/>
      </c>
      <c r="L38" s="43" t="str">
        <f t="shared" si="4"/>
        <v/>
      </c>
      <c r="M38" s="48" t="str">
        <f t="shared" si="5"/>
        <v/>
      </c>
      <c r="N38" s="30"/>
    </row>
    <row r="39" ht="15.75" customHeight="1">
      <c r="A39" s="32"/>
      <c r="B39" s="15"/>
      <c r="C39" s="52" t="str">
        <f t="array" ref="C39">IFERROR(INDEX('3. Costeo y Precios'!$B$14:$B$63,MATCH($B39,'3. Costeo y Precios'!$A$14:$A$63,0)),"")</f>
        <v/>
      </c>
      <c r="D39" s="30"/>
      <c r="E39" s="15"/>
      <c r="F39" s="16"/>
      <c r="G39" s="41" t="str">
        <f t="shared" si="1"/>
        <v/>
      </c>
      <c r="H39" s="38">
        <f t="array" ref="H39">IFERROR(INDEX('3. Costeo y Precios'!$K$14:$K$63,MATCH($B39,'3. Costeo y Precios'!$A$14:$A$63,0)),0)</f>
        <v>0</v>
      </c>
      <c r="I39" s="41" t="str">
        <f t="shared" si="2"/>
        <v/>
      </c>
      <c r="J39" s="44"/>
      <c r="K39" s="41" t="str">
        <f t="shared" si="3"/>
        <v/>
      </c>
      <c r="L39" s="43" t="str">
        <f t="shared" si="4"/>
        <v/>
      </c>
      <c r="M39" s="48" t="str">
        <f t="shared" si="5"/>
        <v/>
      </c>
      <c r="N39" s="30"/>
    </row>
    <row r="40" ht="15.75" customHeight="1">
      <c r="A40" s="32"/>
      <c r="B40" s="15"/>
      <c r="C40" s="52" t="str">
        <f t="array" ref="C40">IFERROR(INDEX('3. Costeo y Precios'!$B$14:$B$63,MATCH($B40,'3. Costeo y Precios'!$A$14:$A$63,0)),"")</f>
        <v/>
      </c>
      <c r="D40" s="30"/>
      <c r="E40" s="15"/>
      <c r="F40" s="16"/>
      <c r="G40" s="41" t="str">
        <f t="shared" si="1"/>
        <v/>
      </c>
      <c r="H40" s="38">
        <f t="array" ref="H40">IFERROR(INDEX('3. Costeo y Precios'!$K$14:$K$63,MATCH($B40,'3. Costeo y Precios'!$A$14:$A$63,0)),0)</f>
        <v>0</v>
      </c>
      <c r="I40" s="41" t="str">
        <f t="shared" si="2"/>
        <v/>
      </c>
      <c r="J40" s="44"/>
      <c r="K40" s="41" t="str">
        <f t="shared" si="3"/>
        <v/>
      </c>
      <c r="L40" s="43" t="str">
        <f t="shared" si="4"/>
        <v/>
      </c>
      <c r="M40" s="48" t="str">
        <f t="shared" si="5"/>
        <v/>
      </c>
      <c r="N40" s="30"/>
    </row>
    <row r="41" ht="15.75" customHeight="1">
      <c r="A41" s="32"/>
      <c r="B41" s="15"/>
      <c r="C41" s="52" t="str">
        <f t="array" ref="C41">IFERROR(INDEX('3. Costeo y Precios'!$B$14:$B$63,MATCH($B41,'3. Costeo y Precios'!$A$14:$A$63,0)),"")</f>
        <v/>
      </c>
      <c r="D41" s="30"/>
      <c r="E41" s="15"/>
      <c r="F41" s="16"/>
      <c r="G41" s="41" t="str">
        <f t="shared" si="1"/>
        <v/>
      </c>
      <c r="H41" s="38">
        <f t="array" ref="H41">IFERROR(INDEX('3. Costeo y Precios'!$K$14:$K$63,MATCH($B41,'3. Costeo y Precios'!$A$14:$A$63,0)),0)</f>
        <v>0</v>
      </c>
      <c r="I41" s="41" t="str">
        <f t="shared" si="2"/>
        <v/>
      </c>
      <c r="J41" s="44"/>
      <c r="K41" s="41" t="str">
        <f t="shared" si="3"/>
        <v/>
      </c>
      <c r="L41" s="43" t="str">
        <f t="shared" si="4"/>
        <v/>
      </c>
      <c r="M41" s="48" t="str">
        <f t="shared" si="5"/>
        <v/>
      </c>
      <c r="N41" s="30"/>
    </row>
    <row r="42" ht="15.75" customHeight="1">
      <c r="A42" s="32"/>
      <c r="B42" s="15"/>
      <c r="C42" s="52" t="str">
        <f t="array" ref="C42">IFERROR(INDEX('3. Costeo y Precios'!$B$14:$B$63,MATCH($B42,'3. Costeo y Precios'!$A$14:$A$63,0)),"")</f>
        <v/>
      </c>
      <c r="D42" s="30"/>
      <c r="E42" s="15"/>
      <c r="F42" s="16"/>
      <c r="G42" s="41" t="str">
        <f t="shared" si="1"/>
        <v/>
      </c>
      <c r="H42" s="38">
        <f t="array" ref="H42">IFERROR(INDEX('3. Costeo y Precios'!$K$14:$K$63,MATCH($B42,'3. Costeo y Precios'!$A$14:$A$63,0)),0)</f>
        <v>0</v>
      </c>
      <c r="I42" s="41" t="str">
        <f t="shared" si="2"/>
        <v/>
      </c>
      <c r="J42" s="44"/>
      <c r="K42" s="41" t="str">
        <f t="shared" si="3"/>
        <v/>
      </c>
      <c r="L42" s="43" t="str">
        <f t="shared" si="4"/>
        <v/>
      </c>
      <c r="M42" s="48" t="str">
        <f t="shared" si="5"/>
        <v/>
      </c>
      <c r="N42" s="30"/>
    </row>
    <row r="43" ht="15.75" customHeight="1">
      <c r="A43" s="32"/>
      <c r="B43" s="15"/>
      <c r="C43" s="52" t="str">
        <f t="array" ref="C43">IFERROR(INDEX('3. Costeo y Precios'!$B$14:$B$63,MATCH($B43,'3. Costeo y Precios'!$A$14:$A$63,0)),"")</f>
        <v/>
      </c>
      <c r="D43" s="30"/>
      <c r="E43" s="15"/>
      <c r="F43" s="16"/>
      <c r="G43" s="41" t="str">
        <f t="shared" si="1"/>
        <v/>
      </c>
      <c r="H43" s="38">
        <f t="array" ref="H43">IFERROR(INDEX('3. Costeo y Precios'!$K$14:$K$63,MATCH($B43,'3. Costeo y Precios'!$A$14:$A$63,0)),0)</f>
        <v>0</v>
      </c>
      <c r="I43" s="41" t="str">
        <f t="shared" si="2"/>
        <v/>
      </c>
      <c r="J43" s="44"/>
      <c r="K43" s="41" t="str">
        <f t="shared" si="3"/>
        <v/>
      </c>
      <c r="L43" s="43" t="str">
        <f t="shared" si="4"/>
        <v/>
      </c>
      <c r="M43" s="48" t="str">
        <f t="shared" si="5"/>
        <v/>
      </c>
      <c r="N43" s="30"/>
    </row>
    <row r="44" ht="15.75" customHeight="1">
      <c r="A44" s="32"/>
      <c r="B44" s="15"/>
      <c r="C44" s="52" t="str">
        <f t="array" ref="C44">IFERROR(INDEX('3. Costeo y Precios'!$B$14:$B$63,MATCH($B44,'3. Costeo y Precios'!$A$14:$A$63,0)),"")</f>
        <v/>
      </c>
      <c r="D44" s="30"/>
      <c r="E44" s="15"/>
      <c r="F44" s="16"/>
      <c r="G44" s="41" t="str">
        <f t="shared" si="1"/>
        <v/>
      </c>
      <c r="H44" s="38">
        <f t="array" ref="H44">IFERROR(INDEX('3. Costeo y Precios'!$K$14:$K$63,MATCH($B44,'3. Costeo y Precios'!$A$14:$A$63,0)),0)</f>
        <v>0</v>
      </c>
      <c r="I44" s="41" t="str">
        <f t="shared" si="2"/>
        <v/>
      </c>
      <c r="J44" s="44"/>
      <c r="K44" s="41" t="str">
        <f t="shared" si="3"/>
        <v/>
      </c>
      <c r="L44" s="43" t="str">
        <f t="shared" si="4"/>
        <v/>
      </c>
      <c r="M44" s="48" t="str">
        <f t="shared" si="5"/>
        <v/>
      </c>
      <c r="N44" s="30"/>
    </row>
    <row r="45" ht="15.75" customHeight="1">
      <c r="A45" s="32"/>
      <c r="B45" s="15"/>
      <c r="C45" s="52" t="str">
        <f t="array" ref="C45">IFERROR(INDEX('3. Costeo y Precios'!$B$14:$B$63,MATCH($B45,'3. Costeo y Precios'!$A$14:$A$63,0)),"")</f>
        <v/>
      </c>
      <c r="D45" s="30"/>
      <c r="E45" s="15"/>
      <c r="F45" s="16"/>
      <c r="G45" s="41" t="str">
        <f t="shared" si="1"/>
        <v/>
      </c>
      <c r="H45" s="38">
        <f t="array" ref="H45">IFERROR(INDEX('3. Costeo y Precios'!$K$14:$K$63,MATCH($B45,'3. Costeo y Precios'!$A$14:$A$63,0)),0)</f>
        <v>0</v>
      </c>
      <c r="I45" s="41" t="str">
        <f t="shared" si="2"/>
        <v/>
      </c>
      <c r="J45" s="44"/>
      <c r="K45" s="41" t="str">
        <f t="shared" si="3"/>
        <v/>
      </c>
      <c r="L45" s="43" t="str">
        <f t="shared" si="4"/>
        <v/>
      </c>
      <c r="M45" s="48" t="str">
        <f t="shared" si="5"/>
        <v/>
      </c>
      <c r="N45" s="30"/>
    </row>
    <row r="46" ht="15.75" customHeight="1">
      <c r="A46" s="32"/>
      <c r="B46" s="15"/>
      <c r="C46" s="52" t="str">
        <f t="array" ref="C46">IFERROR(INDEX('3. Costeo y Precios'!$B$14:$B$63,MATCH($B46,'3. Costeo y Precios'!$A$14:$A$63,0)),"")</f>
        <v/>
      </c>
      <c r="D46" s="30"/>
      <c r="E46" s="15"/>
      <c r="F46" s="16"/>
      <c r="G46" s="41" t="str">
        <f t="shared" si="1"/>
        <v/>
      </c>
      <c r="H46" s="38">
        <f t="array" ref="H46">IFERROR(INDEX('3. Costeo y Precios'!$K$14:$K$63,MATCH($B46,'3. Costeo y Precios'!$A$14:$A$63,0)),0)</f>
        <v>0</v>
      </c>
      <c r="I46" s="41" t="str">
        <f t="shared" si="2"/>
        <v/>
      </c>
      <c r="J46" s="44"/>
      <c r="K46" s="41" t="str">
        <f t="shared" si="3"/>
        <v/>
      </c>
      <c r="L46" s="43" t="str">
        <f t="shared" si="4"/>
        <v/>
      </c>
      <c r="M46" s="48" t="str">
        <f t="shared" si="5"/>
        <v/>
      </c>
      <c r="N46" s="30"/>
    </row>
    <row r="47" ht="15.75" customHeight="1">
      <c r="A47" s="32"/>
      <c r="B47" s="15"/>
      <c r="C47" s="52" t="str">
        <f t="array" ref="C47">IFERROR(INDEX('3. Costeo y Precios'!$B$14:$B$63,MATCH($B47,'3. Costeo y Precios'!$A$14:$A$63,0)),"")</f>
        <v/>
      </c>
      <c r="D47" s="30"/>
      <c r="E47" s="15"/>
      <c r="F47" s="16"/>
      <c r="G47" s="41" t="str">
        <f t="shared" si="1"/>
        <v/>
      </c>
      <c r="H47" s="38">
        <f t="array" ref="H47">IFERROR(INDEX('3. Costeo y Precios'!$K$14:$K$63,MATCH($B47,'3. Costeo y Precios'!$A$14:$A$63,0)),0)</f>
        <v>0</v>
      </c>
      <c r="I47" s="41" t="str">
        <f t="shared" si="2"/>
        <v/>
      </c>
      <c r="J47" s="44"/>
      <c r="K47" s="41" t="str">
        <f t="shared" si="3"/>
        <v/>
      </c>
      <c r="L47" s="43" t="str">
        <f t="shared" si="4"/>
        <v/>
      </c>
      <c r="M47" s="48" t="str">
        <f t="shared" si="5"/>
        <v/>
      </c>
      <c r="N47" s="30"/>
    </row>
    <row r="48" ht="15.75" customHeight="1">
      <c r="A48" s="32"/>
      <c r="B48" s="15"/>
      <c r="C48" s="52" t="str">
        <f t="array" ref="C48">IFERROR(INDEX('3. Costeo y Precios'!$B$14:$B$63,MATCH($B48,'3. Costeo y Precios'!$A$14:$A$63,0)),"")</f>
        <v/>
      </c>
      <c r="D48" s="30"/>
      <c r="E48" s="15"/>
      <c r="F48" s="16"/>
      <c r="G48" s="41" t="str">
        <f t="shared" si="1"/>
        <v/>
      </c>
      <c r="H48" s="38">
        <f t="array" ref="H48">IFERROR(INDEX('3. Costeo y Precios'!$K$14:$K$63,MATCH($B48,'3. Costeo y Precios'!$A$14:$A$63,0)),0)</f>
        <v>0</v>
      </c>
      <c r="I48" s="41" t="str">
        <f t="shared" si="2"/>
        <v/>
      </c>
      <c r="J48" s="44"/>
      <c r="K48" s="41" t="str">
        <f t="shared" si="3"/>
        <v/>
      </c>
      <c r="L48" s="43" t="str">
        <f t="shared" si="4"/>
        <v/>
      </c>
      <c r="M48" s="48" t="str">
        <f t="shared" si="5"/>
        <v/>
      </c>
      <c r="N48" s="30"/>
    </row>
    <row r="49" ht="15.75" customHeight="1">
      <c r="A49" s="32"/>
      <c r="B49" s="15"/>
      <c r="C49" s="52" t="str">
        <f t="array" ref="C49">IFERROR(INDEX('3. Costeo y Precios'!$B$14:$B$63,MATCH($B49,'3. Costeo y Precios'!$A$14:$A$63,0)),"")</f>
        <v/>
      </c>
      <c r="D49" s="30"/>
      <c r="E49" s="15"/>
      <c r="F49" s="16"/>
      <c r="G49" s="41" t="str">
        <f t="shared" si="1"/>
        <v/>
      </c>
      <c r="H49" s="38">
        <f t="array" ref="H49">IFERROR(INDEX('3. Costeo y Precios'!$K$14:$K$63,MATCH($B49,'3. Costeo y Precios'!$A$14:$A$63,0)),0)</f>
        <v>0</v>
      </c>
      <c r="I49" s="41" t="str">
        <f t="shared" si="2"/>
        <v/>
      </c>
      <c r="J49" s="44"/>
      <c r="K49" s="41" t="str">
        <f t="shared" si="3"/>
        <v/>
      </c>
      <c r="L49" s="43" t="str">
        <f t="shared" si="4"/>
        <v/>
      </c>
      <c r="M49" s="48" t="str">
        <f t="shared" si="5"/>
        <v/>
      </c>
      <c r="N49" s="30"/>
    </row>
    <row r="50" ht="15.75" customHeight="1">
      <c r="A50" s="32"/>
      <c r="B50" s="15"/>
      <c r="C50" s="52" t="str">
        <f t="array" ref="C50">IFERROR(INDEX('3. Costeo y Precios'!$B$14:$B$63,MATCH($B50,'3. Costeo y Precios'!$A$14:$A$63,0)),"")</f>
        <v/>
      </c>
      <c r="D50" s="30"/>
      <c r="E50" s="15"/>
      <c r="F50" s="16"/>
      <c r="G50" s="41" t="str">
        <f t="shared" si="1"/>
        <v/>
      </c>
      <c r="H50" s="38">
        <f t="array" ref="H50">IFERROR(INDEX('3. Costeo y Precios'!$K$14:$K$63,MATCH($B50,'3. Costeo y Precios'!$A$14:$A$63,0)),0)</f>
        <v>0</v>
      </c>
      <c r="I50" s="41" t="str">
        <f t="shared" si="2"/>
        <v/>
      </c>
      <c r="J50" s="44"/>
      <c r="K50" s="41" t="str">
        <f t="shared" si="3"/>
        <v/>
      </c>
      <c r="L50" s="43" t="str">
        <f t="shared" si="4"/>
        <v/>
      </c>
      <c r="M50" s="48" t="str">
        <f t="shared" si="5"/>
        <v/>
      </c>
      <c r="N50" s="30"/>
    </row>
    <row r="51" ht="15.75" customHeight="1">
      <c r="A51" s="32"/>
      <c r="B51" s="15"/>
      <c r="C51" s="52" t="str">
        <f t="array" ref="C51">IFERROR(INDEX('3. Costeo y Precios'!$B$14:$B$63,MATCH($B51,'3. Costeo y Precios'!$A$14:$A$63,0)),"")</f>
        <v/>
      </c>
      <c r="D51" s="30"/>
      <c r="E51" s="15"/>
      <c r="F51" s="16"/>
      <c r="G51" s="41" t="str">
        <f t="shared" si="1"/>
        <v/>
      </c>
      <c r="H51" s="38">
        <f t="array" ref="H51">IFERROR(INDEX('3. Costeo y Precios'!$K$14:$K$63,MATCH($B51,'3. Costeo y Precios'!$A$14:$A$63,0)),0)</f>
        <v>0</v>
      </c>
      <c r="I51" s="41" t="str">
        <f t="shared" si="2"/>
        <v/>
      </c>
      <c r="J51" s="44"/>
      <c r="K51" s="41" t="str">
        <f t="shared" si="3"/>
        <v/>
      </c>
      <c r="L51" s="43" t="str">
        <f t="shared" si="4"/>
        <v/>
      </c>
      <c r="M51" s="48" t="str">
        <f t="shared" si="5"/>
        <v/>
      </c>
      <c r="N51" s="30"/>
    </row>
    <row r="52" ht="15.75" customHeight="1">
      <c r="A52" s="32"/>
      <c r="B52" s="15"/>
      <c r="C52" s="52" t="str">
        <f t="array" ref="C52">IFERROR(INDEX('3. Costeo y Precios'!$B$14:$B$63,MATCH($B52,'3. Costeo y Precios'!$A$14:$A$63,0)),"")</f>
        <v/>
      </c>
      <c r="D52" s="30"/>
      <c r="E52" s="15"/>
      <c r="F52" s="16"/>
      <c r="G52" s="41" t="str">
        <f t="shared" si="1"/>
        <v/>
      </c>
      <c r="H52" s="38">
        <f t="array" ref="H52">IFERROR(INDEX('3. Costeo y Precios'!$K$14:$K$63,MATCH($B52,'3. Costeo y Precios'!$A$14:$A$63,0)),0)</f>
        <v>0</v>
      </c>
      <c r="I52" s="41" t="str">
        <f t="shared" si="2"/>
        <v/>
      </c>
      <c r="J52" s="44"/>
      <c r="K52" s="41" t="str">
        <f t="shared" si="3"/>
        <v/>
      </c>
      <c r="L52" s="43" t="str">
        <f t="shared" si="4"/>
        <v/>
      </c>
      <c r="M52" s="48" t="str">
        <f t="shared" si="5"/>
        <v/>
      </c>
      <c r="N52" s="30"/>
    </row>
    <row r="53" ht="15.75" customHeight="1">
      <c r="A53" s="32"/>
      <c r="B53" s="15"/>
      <c r="C53" s="52" t="str">
        <f t="array" ref="C53">IFERROR(INDEX('3. Costeo y Precios'!$B$14:$B$63,MATCH($B53,'3. Costeo y Precios'!$A$14:$A$63,0)),"")</f>
        <v/>
      </c>
      <c r="D53" s="30"/>
      <c r="E53" s="15"/>
      <c r="F53" s="16"/>
      <c r="G53" s="41" t="str">
        <f t="shared" si="1"/>
        <v/>
      </c>
      <c r="H53" s="38">
        <f t="array" ref="H53">IFERROR(INDEX('3. Costeo y Precios'!$K$14:$K$63,MATCH($B53,'3. Costeo y Precios'!$A$14:$A$63,0)),0)</f>
        <v>0</v>
      </c>
      <c r="I53" s="41" t="str">
        <f t="shared" si="2"/>
        <v/>
      </c>
      <c r="J53" s="44"/>
      <c r="K53" s="41" t="str">
        <f t="shared" si="3"/>
        <v/>
      </c>
      <c r="L53" s="43" t="str">
        <f t="shared" si="4"/>
        <v/>
      </c>
      <c r="M53" s="48" t="str">
        <f t="shared" si="5"/>
        <v/>
      </c>
      <c r="N53" s="30"/>
    </row>
    <row r="54" ht="15.75" customHeight="1">
      <c r="A54" s="32"/>
      <c r="B54" s="15"/>
      <c r="C54" s="52" t="str">
        <f t="array" ref="C54">IFERROR(INDEX('3. Costeo y Precios'!$B$14:$B$63,MATCH($B54,'3. Costeo y Precios'!$A$14:$A$63,0)),"")</f>
        <v/>
      </c>
      <c r="D54" s="30"/>
      <c r="E54" s="15"/>
      <c r="F54" s="16"/>
      <c r="G54" s="41" t="str">
        <f t="shared" si="1"/>
        <v/>
      </c>
      <c r="H54" s="38">
        <f t="array" ref="H54">IFERROR(INDEX('3. Costeo y Precios'!$K$14:$K$63,MATCH($B54,'3. Costeo y Precios'!$A$14:$A$63,0)),0)</f>
        <v>0</v>
      </c>
      <c r="I54" s="41" t="str">
        <f t="shared" si="2"/>
        <v/>
      </c>
      <c r="J54" s="44"/>
      <c r="K54" s="41" t="str">
        <f t="shared" si="3"/>
        <v/>
      </c>
      <c r="L54" s="43" t="str">
        <f t="shared" si="4"/>
        <v/>
      </c>
      <c r="M54" s="48" t="str">
        <f t="shared" si="5"/>
        <v/>
      </c>
      <c r="N54" s="30"/>
    </row>
    <row r="55" ht="15.75" customHeight="1">
      <c r="A55" s="32"/>
      <c r="B55" s="15"/>
      <c r="C55" s="52" t="str">
        <f t="array" ref="C55">IFERROR(INDEX('3. Costeo y Precios'!$B$14:$B$63,MATCH($B55,'3. Costeo y Precios'!$A$14:$A$63,0)),"")</f>
        <v/>
      </c>
      <c r="D55" s="30"/>
      <c r="E55" s="15"/>
      <c r="F55" s="16"/>
      <c r="G55" s="41" t="str">
        <f t="shared" si="1"/>
        <v/>
      </c>
      <c r="H55" s="38">
        <f t="array" ref="H55">IFERROR(INDEX('3. Costeo y Precios'!$K$14:$K$63,MATCH($B55,'3. Costeo y Precios'!$A$14:$A$63,0)),0)</f>
        <v>0</v>
      </c>
      <c r="I55" s="41" t="str">
        <f t="shared" si="2"/>
        <v/>
      </c>
      <c r="J55" s="44"/>
      <c r="K55" s="41" t="str">
        <f t="shared" si="3"/>
        <v/>
      </c>
      <c r="L55" s="43" t="str">
        <f t="shared" si="4"/>
        <v/>
      </c>
      <c r="M55" s="48" t="str">
        <f t="shared" si="5"/>
        <v/>
      </c>
      <c r="N55" s="30"/>
    </row>
    <row r="56" ht="15.75" customHeight="1">
      <c r="A56" s="32"/>
      <c r="B56" s="15"/>
      <c r="C56" s="52" t="str">
        <f t="array" ref="C56">IFERROR(INDEX('3. Costeo y Precios'!$B$14:$B$63,MATCH($B56,'3. Costeo y Precios'!$A$14:$A$63,0)),"")</f>
        <v/>
      </c>
      <c r="D56" s="30"/>
      <c r="E56" s="15"/>
      <c r="F56" s="16"/>
      <c r="G56" s="41" t="str">
        <f t="shared" si="1"/>
        <v/>
      </c>
      <c r="H56" s="38">
        <f t="array" ref="H56">IFERROR(INDEX('3. Costeo y Precios'!$K$14:$K$63,MATCH($B56,'3. Costeo y Precios'!$A$14:$A$63,0)),0)</f>
        <v>0</v>
      </c>
      <c r="I56" s="41" t="str">
        <f t="shared" si="2"/>
        <v/>
      </c>
      <c r="J56" s="44"/>
      <c r="K56" s="41" t="str">
        <f t="shared" si="3"/>
        <v/>
      </c>
      <c r="L56" s="43" t="str">
        <f t="shared" si="4"/>
        <v/>
      </c>
      <c r="M56" s="48" t="str">
        <f t="shared" si="5"/>
        <v/>
      </c>
      <c r="N56" s="30"/>
    </row>
    <row r="57" ht="15.75" customHeight="1">
      <c r="A57" s="32"/>
      <c r="B57" s="15"/>
      <c r="C57" s="52" t="str">
        <f t="array" ref="C57">IFERROR(INDEX('3. Costeo y Precios'!$B$14:$B$63,MATCH($B57,'3. Costeo y Precios'!$A$14:$A$63,0)),"")</f>
        <v/>
      </c>
      <c r="D57" s="30"/>
      <c r="E57" s="15"/>
      <c r="F57" s="16"/>
      <c r="G57" s="41" t="str">
        <f t="shared" si="1"/>
        <v/>
      </c>
      <c r="H57" s="38">
        <f t="array" ref="H57">IFERROR(INDEX('3. Costeo y Precios'!$K$14:$K$63,MATCH($B57,'3. Costeo y Precios'!$A$14:$A$63,0)),0)</f>
        <v>0</v>
      </c>
      <c r="I57" s="41" t="str">
        <f t="shared" si="2"/>
        <v/>
      </c>
      <c r="J57" s="44"/>
      <c r="K57" s="41" t="str">
        <f t="shared" si="3"/>
        <v/>
      </c>
      <c r="L57" s="43" t="str">
        <f t="shared" si="4"/>
        <v/>
      </c>
      <c r="M57" s="48" t="str">
        <f t="shared" si="5"/>
        <v/>
      </c>
      <c r="N57" s="30"/>
    </row>
    <row r="58" ht="15.75" customHeight="1">
      <c r="A58" s="32"/>
      <c r="B58" s="15"/>
      <c r="C58" s="52" t="str">
        <f t="array" ref="C58">IFERROR(INDEX('3. Costeo y Precios'!$B$14:$B$63,MATCH($B58,'3. Costeo y Precios'!$A$14:$A$63,0)),"")</f>
        <v/>
      </c>
      <c r="D58" s="30"/>
      <c r="E58" s="15"/>
      <c r="F58" s="16"/>
      <c r="G58" s="41" t="str">
        <f t="shared" si="1"/>
        <v/>
      </c>
      <c r="H58" s="38">
        <f t="array" ref="H58">IFERROR(INDEX('3. Costeo y Precios'!$K$14:$K$63,MATCH($B58,'3. Costeo y Precios'!$A$14:$A$63,0)),0)</f>
        <v>0</v>
      </c>
      <c r="I58" s="41" t="str">
        <f t="shared" si="2"/>
        <v/>
      </c>
      <c r="J58" s="44"/>
      <c r="K58" s="41" t="str">
        <f t="shared" si="3"/>
        <v/>
      </c>
      <c r="L58" s="43" t="str">
        <f t="shared" si="4"/>
        <v/>
      </c>
      <c r="M58" s="48" t="str">
        <f t="shared" si="5"/>
        <v/>
      </c>
      <c r="N58" s="30"/>
    </row>
    <row r="59" ht="15.75" customHeight="1">
      <c r="A59" s="32"/>
      <c r="B59" s="15"/>
      <c r="C59" s="52" t="str">
        <f t="array" ref="C59">IFERROR(INDEX('3. Costeo y Precios'!$B$14:$B$63,MATCH($B59,'3. Costeo y Precios'!$A$14:$A$63,0)),"")</f>
        <v/>
      </c>
      <c r="D59" s="30"/>
      <c r="E59" s="15"/>
      <c r="F59" s="16"/>
      <c r="G59" s="41" t="str">
        <f t="shared" si="1"/>
        <v/>
      </c>
      <c r="H59" s="38">
        <f t="array" ref="H59">IFERROR(INDEX('3. Costeo y Precios'!$K$14:$K$63,MATCH($B59,'3. Costeo y Precios'!$A$14:$A$63,0)),0)</f>
        <v>0</v>
      </c>
      <c r="I59" s="41" t="str">
        <f t="shared" si="2"/>
        <v/>
      </c>
      <c r="J59" s="44"/>
      <c r="K59" s="41" t="str">
        <f t="shared" si="3"/>
        <v/>
      </c>
      <c r="L59" s="43" t="str">
        <f t="shared" si="4"/>
        <v/>
      </c>
      <c r="M59" s="48" t="str">
        <f t="shared" si="5"/>
        <v/>
      </c>
      <c r="N59" s="30"/>
    </row>
    <row r="60" ht="15.75" customHeight="1">
      <c r="A60" s="32"/>
      <c r="B60" s="15"/>
      <c r="C60" s="52" t="str">
        <f t="array" ref="C60">IFERROR(INDEX('3. Costeo y Precios'!$B$14:$B$63,MATCH($B60,'3. Costeo y Precios'!$A$14:$A$63,0)),"")</f>
        <v/>
      </c>
      <c r="D60" s="30"/>
      <c r="E60" s="15"/>
      <c r="F60" s="16"/>
      <c r="G60" s="41" t="str">
        <f t="shared" si="1"/>
        <v/>
      </c>
      <c r="H60" s="38">
        <f t="array" ref="H60">IFERROR(INDEX('3. Costeo y Precios'!$K$14:$K$63,MATCH($B60,'3. Costeo y Precios'!$A$14:$A$63,0)),0)</f>
        <v>0</v>
      </c>
      <c r="I60" s="41" t="str">
        <f t="shared" si="2"/>
        <v/>
      </c>
      <c r="J60" s="44"/>
      <c r="K60" s="41" t="str">
        <f t="shared" si="3"/>
        <v/>
      </c>
      <c r="L60" s="43" t="str">
        <f t="shared" si="4"/>
        <v/>
      </c>
      <c r="M60" s="48" t="str">
        <f t="shared" si="5"/>
        <v/>
      </c>
      <c r="N60" s="30"/>
    </row>
    <row r="61" ht="15.75" customHeight="1">
      <c r="A61" s="32"/>
      <c r="B61" s="15"/>
      <c r="C61" s="52" t="str">
        <f t="array" ref="C61">IFERROR(INDEX('3. Costeo y Precios'!$B$14:$B$63,MATCH($B61,'3. Costeo y Precios'!$A$14:$A$63,0)),"")</f>
        <v/>
      </c>
      <c r="D61" s="30"/>
      <c r="E61" s="15"/>
      <c r="F61" s="16"/>
      <c r="G61" s="41" t="str">
        <f t="shared" si="1"/>
        <v/>
      </c>
      <c r="H61" s="38">
        <f t="array" ref="H61">IFERROR(INDEX('3. Costeo y Precios'!$K$14:$K$63,MATCH($B61,'3. Costeo y Precios'!$A$14:$A$63,0)),0)</f>
        <v>0</v>
      </c>
      <c r="I61" s="41" t="str">
        <f t="shared" si="2"/>
        <v/>
      </c>
      <c r="J61" s="44"/>
      <c r="K61" s="41" t="str">
        <f t="shared" si="3"/>
        <v/>
      </c>
      <c r="L61" s="43" t="str">
        <f t="shared" si="4"/>
        <v/>
      </c>
      <c r="M61" s="48" t="str">
        <f t="shared" si="5"/>
        <v/>
      </c>
      <c r="N61" s="30"/>
    </row>
    <row r="62" ht="15.75" customHeight="1">
      <c r="A62" s="32"/>
      <c r="B62" s="15"/>
      <c r="C62" s="52" t="str">
        <f t="array" ref="C62">IFERROR(INDEX('3. Costeo y Precios'!$B$14:$B$63,MATCH($B62,'3. Costeo y Precios'!$A$14:$A$63,0)),"")</f>
        <v/>
      </c>
      <c r="D62" s="30"/>
      <c r="E62" s="15"/>
      <c r="F62" s="16"/>
      <c r="G62" s="41" t="str">
        <f t="shared" si="1"/>
        <v/>
      </c>
      <c r="H62" s="38">
        <f t="array" ref="H62">IFERROR(INDEX('3. Costeo y Precios'!$K$14:$K$63,MATCH($B62,'3. Costeo y Precios'!$A$14:$A$63,0)),0)</f>
        <v>0</v>
      </c>
      <c r="I62" s="41" t="str">
        <f t="shared" si="2"/>
        <v/>
      </c>
      <c r="J62" s="44"/>
      <c r="K62" s="41" t="str">
        <f t="shared" si="3"/>
        <v/>
      </c>
      <c r="L62" s="43" t="str">
        <f t="shared" si="4"/>
        <v/>
      </c>
      <c r="M62" s="48" t="str">
        <f t="shared" si="5"/>
        <v/>
      </c>
      <c r="N62" s="30"/>
    </row>
    <row r="63" ht="15.75" customHeight="1">
      <c r="A63" s="32"/>
      <c r="B63" s="15"/>
      <c r="C63" s="52" t="str">
        <f t="array" ref="C63">IFERROR(INDEX('3. Costeo y Precios'!$B$14:$B$63,MATCH($B63,'3. Costeo y Precios'!$A$14:$A$63,0)),"")</f>
        <v/>
      </c>
      <c r="D63" s="30"/>
      <c r="E63" s="15"/>
      <c r="F63" s="16"/>
      <c r="G63" s="41" t="str">
        <f t="shared" si="1"/>
        <v/>
      </c>
      <c r="H63" s="38">
        <f t="array" ref="H63">IFERROR(INDEX('3. Costeo y Precios'!$K$14:$K$63,MATCH($B63,'3. Costeo y Precios'!$A$14:$A$63,0)),0)</f>
        <v>0</v>
      </c>
      <c r="I63" s="41" t="str">
        <f t="shared" si="2"/>
        <v/>
      </c>
      <c r="J63" s="44"/>
      <c r="K63" s="41" t="str">
        <f t="shared" si="3"/>
        <v/>
      </c>
      <c r="L63" s="43" t="str">
        <f t="shared" si="4"/>
        <v/>
      </c>
      <c r="M63" s="48" t="str">
        <f t="shared" si="5"/>
        <v/>
      </c>
      <c r="N63" s="30"/>
    </row>
    <row r="64" ht="15.75" customHeight="1">
      <c r="A64" s="32"/>
      <c r="B64" s="15"/>
      <c r="C64" s="52" t="str">
        <f t="array" ref="C64">IFERROR(INDEX('3. Costeo y Precios'!$B$14:$B$63,MATCH($B64,'3. Costeo y Precios'!$A$14:$A$63,0)),"")</f>
        <v/>
      </c>
      <c r="D64" s="30"/>
      <c r="E64" s="15"/>
      <c r="F64" s="16"/>
      <c r="G64" s="41" t="str">
        <f t="shared" si="1"/>
        <v/>
      </c>
      <c r="H64" s="38">
        <f t="array" ref="H64">IFERROR(INDEX('3. Costeo y Precios'!$K$14:$K$63,MATCH($B64,'3. Costeo y Precios'!$A$14:$A$63,0)),0)</f>
        <v>0</v>
      </c>
      <c r="I64" s="41" t="str">
        <f t="shared" si="2"/>
        <v/>
      </c>
      <c r="J64" s="44"/>
      <c r="K64" s="41" t="str">
        <f t="shared" si="3"/>
        <v/>
      </c>
      <c r="L64" s="43" t="str">
        <f t="shared" si="4"/>
        <v/>
      </c>
      <c r="M64" s="48" t="str">
        <f t="shared" si="5"/>
        <v/>
      </c>
      <c r="N64" s="30"/>
    </row>
    <row r="65" ht="15.75" customHeight="1">
      <c r="A65" s="32"/>
      <c r="B65" s="15"/>
      <c r="C65" s="52" t="str">
        <f t="array" ref="C65">IFERROR(INDEX('3. Costeo y Precios'!$B$14:$B$63,MATCH($B65,'3. Costeo y Precios'!$A$14:$A$63,0)),"")</f>
        <v/>
      </c>
      <c r="D65" s="30"/>
      <c r="E65" s="15"/>
      <c r="F65" s="16"/>
      <c r="G65" s="41" t="str">
        <f t="shared" si="1"/>
        <v/>
      </c>
      <c r="H65" s="38">
        <f t="array" ref="H65">IFERROR(INDEX('3. Costeo y Precios'!$K$14:$K$63,MATCH($B65,'3. Costeo y Precios'!$A$14:$A$63,0)),0)</f>
        <v>0</v>
      </c>
      <c r="I65" s="41" t="str">
        <f t="shared" si="2"/>
        <v/>
      </c>
      <c r="J65" s="44"/>
      <c r="K65" s="41" t="str">
        <f t="shared" si="3"/>
        <v/>
      </c>
      <c r="L65" s="43" t="str">
        <f t="shared" si="4"/>
        <v/>
      </c>
      <c r="M65" s="48" t="str">
        <f t="shared" si="5"/>
        <v/>
      </c>
      <c r="N65" s="30"/>
    </row>
    <row r="66" ht="15.75" customHeight="1">
      <c r="A66" s="32"/>
      <c r="B66" s="15"/>
      <c r="C66" s="52" t="str">
        <f t="array" ref="C66">IFERROR(INDEX('3. Costeo y Precios'!$B$14:$B$63,MATCH($B66,'3. Costeo y Precios'!$A$14:$A$63,0)),"")</f>
        <v/>
      </c>
      <c r="D66" s="30"/>
      <c r="E66" s="15"/>
      <c r="F66" s="16"/>
      <c r="G66" s="41" t="str">
        <f t="shared" si="1"/>
        <v/>
      </c>
      <c r="H66" s="38">
        <f t="array" ref="H66">IFERROR(INDEX('3. Costeo y Precios'!$K$14:$K$63,MATCH($B66,'3. Costeo y Precios'!$A$14:$A$63,0)),0)</f>
        <v>0</v>
      </c>
      <c r="I66" s="41" t="str">
        <f t="shared" si="2"/>
        <v/>
      </c>
      <c r="J66" s="44"/>
      <c r="K66" s="41" t="str">
        <f t="shared" si="3"/>
        <v/>
      </c>
      <c r="L66" s="43" t="str">
        <f t="shared" si="4"/>
        <v/>
      </c>
      <c r="M66" s="48" t="str">
        <f t="shared" si="5"/>
        <v/>
      </c>
      <c r="N66" s="30"/>
    </row>
    <row r="67" ht="15.75" customHeight="1">
      <c r="A67" s="32"/>
      <c r="B67" s="15"/>
      <c r="C67" s="52" t="str">
        <f t="array" ref="C67">IFERROR(INDEX('3. Costeo y Precios'!$B$14:$B$63,MATCH($B67,'3. Costeo y Precios'!$A$14:$A$63,0)),"")</f>
        <v/>
      </c>
      <c r="D67" s="30"/>
      <c r="E67" s="15"/>
      <c r="F67" s="16"/>
      <c r="G67" s="41" t="str">
        <f t="shared" si="1"/>
        <v/>
      </c>
      <c r="H67" s="38">
        <f t="array" ref="H67">IFERROR(INDEX('3. Costeo y Precios'!$K$14:$K$63,MATCH($B67,'3. Costeo y Precios'!$A$14:$A$63,0)),0)</f>
        <v>0</v>
      </c>
      <c r="I67" s="41" t="str">
        <f t="shared" si="2"/>
        <v/>
      </c>
      <c r="J67" s="44"/>
      <c r="K67" s="41" t="str">
        <f t="shared" si="3"/>
        <v/>
      </c>
      <c r="L67" s="43" t="str">
        <f t="shared" si="4"/>
        <v/>
      </c>
      <c r="M67" s="48" t="str">
        <f t="shared" si="5"/>
        <v/>
      </c>
      <c r="N67" s="30"/>
    </row>
    <row r="68" ht="15.75" customHeight="1">
      <c r="A68" s="32"/>
      <c r="B68" s="15"/>
      <c r="C68" s="52" t="str">
        <f t="array" ref="C68">IFERROR(INDEX('3. Costeo y Precios'!$B$14:$B$63,MATCH($B68,'3. Costeo y Precios'!$A$14:$A$63,0)),"")</f>
        <v/>
      </c>
      <c r="D68" s="30"/>
      <c r="E68" s="15"/>
      <c r="F68" s="16"/>
      <c r="G68" s="41" t="str">
        <f t="shared" si="1"/>
        <v/>
      </c>
      <c r="H68" s="38">
        <f t="array" ref="H68">IFERROR(INDEX('3. Costeo y Precios'!$K$14:$K$63,MATCH($B68,'3. Costeo y Precios'!$A$14:$A$63,0)),0)</f>
        <v>0</v>
      </c>
      <c r="I68" s="41" t="str">
        <f t="shared" si="2"/>
        <v/>
      </c>
      <c r="J68" s="44"/>
      <c r="K68" s="41" t="str">
        <f t="shared" si="3"/>
        <v/>
      </c>
      <c r="L68" s="43" t="str">
        <f t="shared" si="4"/>
        <v/>
      </c>
      <c r="M68" s="48" t="str">
        <f t="shared" si="5"/>
        <v/>
      </c>
      <c r="N68" s="30"/>
    </row>
    <row r="69" ht="15.75" customHeight="1">
      <c r="A69" s="32"/>
      <c r="B69" s="15"/>
      <c r="C69" s="52" t="str">
        <f t="array" ref="C69">IFERROR(INDEX('3. Costeo y Precios'!$B$14:$B$63,MATCH($B69,'3. Costeo y Precios'!$A$14:$A$63,0)),"")</f>
        <v/>
      </c>
      <c r="D69" s="30"/>
      <c r="E69" s="15"/>
      <c r="F69" s="16"/>
      <c r="G69" s="41" t="str">
        <f t="shared" si="1"/>
        <v/>
      </c>
      <c r="H69" s="38">
        <f t="array" ref="H69">IFERROR(INDEX('3. Costeo y Precios'!$K$14:$K$63,MATCH($B69,'3. Costeo y Precios'!$A$14:$A$63,0)),0)</f>
        <v>0</v>
      </c>
      <c r="I69" s="41" t="str">
        <f t="shared" si="2"/>
        <v/>
      </c>
      <c r="J69" s="44"/>
      <c r="K69" s="41" t="str">
        <f t="shared" si="3"/>
        <v/>
      </c>
      <c r="L69" s="43" t="str">
        <f t="shared" si="4"/>
        <v/>
      </c>
      <c r="M69" s="48" t="str">
        <f t="shared" si="5"/>
        <v/>
      </c>
      <c r="N69" s="30"/>
    </row>
    <row r="70" ht="15.75" customHeight="1">
      <c r="A70" s="32"/>
      <c r="B70" s="15"/>
      <c r="C70" s="52" t="str">
        <f t="array" ref="C70">IFERROR(INDEX('3. Costeo y Precios'!$B$14:$B$63,MATCH($B70,'3. Costeo y Precios'!$A$14:$A$63,0)),"")</f>
        <v/>
      </c>
      <c r="D70" s="30"/>
      <c r="E70" s="15"/>
      <c r="F70" s="16"/>
      <c r="G70" s="41" t="str">
        <f t="shared" si="1"/>
        <v/>
      </c>
      <c r="H70" s="38">
        <f t="array" ref="H70">IFERROR(INDEX('3. Costeo y Precios'!$K$14:$K$63,MATCH($B70,'3. Costeo y Precios'!$A$14:$A$63,0)),0)</f>
        <v>0</v>
      </c>
      <c r="I70" s="41" t="str">
        <f t="shared" si="2"/>
        <v/>
      </c>
      <c r="J70" s="44"/>
      <c r="K70" s="41" t="str">
        <f t="shared" si="3"/>
        <v/>
      </c>
      <c r="L70" s="43" t="str">
        <f t="shared" si="4"/>
        <v/>
      </c>
      <c r="M70" s="48" t="str">
        <f t="shared" si="5"/>
        <v/>
      </c>
      <c r="N70" s="30"/>
    </row>
    <row r="71" ht="15.75" customHeight="1">
      <c r="A71" s="32"/>
      <c r="B71" s="15"/>
      <c r="C71" s="52" t="str">
        <f t="array" ref="C71">IFERROR(INDEX('3. Costeo y Precios'!$B$14:$B$63,MATCH($B71,'3. Costeo y Precios'!$A$14:$A$63,0)),"")</f>
        <v/>
      </c>
      <c r="D71" s="30"/>
      <c r="E71" s="15"/>
      <c r="F71" s="16"/>
      <c r="G71" s="41" t="str">
        <f t="shared" si="1"/>
        <v/>
      </c>
      <c r="H71" s="38">
        <f t="array" ref="H71">IFERROR(INDEX('3. Costeo y Precios'!$K$14:$K$63,MATCH($B71,'3. Costeo y Precios'!$A$14:$A$63,0)),0)</f>
        <v>0</v>
      </c>
      <c r="I71" s="41" t="str">
        <f t="shared" si="2"/>
        <v/>
      </c>
      <c r="J71" s="44"/>
      <c r="K71" s="41" t="str">
        <f t="shared" si="3"/>
        <v/>
      </c>
      <c r="L71" s="43" t="str">
        <f t="shared" si="4"/>
        <v/>
      </c>
      <c r="M71" s="48" t="str">
        <f t="shared" si="5"/>
        <v/>
      </c>
      <c r="N71" s="30"/>
    </row>
    <row r="72" ht="15.75" customHeight="1">
      <c r="A72" s="32"/>
      <c r="B72" s="15"/>
      <c r="C72" s="52" t="str">
        <f t="array" ref="C72">IFERROR(INDEX('3. Costeo y Precios'!$B$14:$B$63,MATCH($B72,'3. Costeo y Precios'!$A$14:$A$63,0)),"")</f>
        <v/>
      </c>
      <c r="D72" s="30"/>
      <c r="E72" s="15"/>
      <c r="F72" s="16"/>
      <c r="G72" s="41" t="str">
        <f t="shared" si="1"/>
        <v/>
      </c>
      <c r="H72" s="38">
        <f t="array" ref="H72">IFERROR(INDEX('3. Costeo y Precios'!$K$14:$K$63,MATCH($B72,'3. Costeo y Precios'!$A$14:$A$63,0)),0)</f>
        <v>0</v>
      </c>
      <c r="I72" s="41" t="str">
        <f t="shared" si="2"/>
        <v/>
      </c>
      <c r="J72" s="44"/>
      <c r="K72" s="41" t="str">
        <f t="shared" si="3"/>
        <v/>
      </c>
      <c r="L72" s="43" t="str">
        <f t="shared" si="4"/>
        <v/>
      </c>
      <c r="M72" s="48" t="str">
        <f t="shared" si="5"/>
        <v/>
      </c>
      <c r="N72" s="30"/>
    </row>
    <row r="73" ht="15.75" customHeight="1">
      <c r="A73" s="32"/>
      <c r="B73" s="15"/>
      <c r="C73" s="52" t="str">
        <f t="array" ref="C73">IFERROR(INDEX('3. Costeo y Precios'!$B$14:$B$63,MATCH($B73,'3. Costeo y Precios'!$A$14:$A$63,0)),"")</f>
        <v/>
      </c>
      <c r="D73" s="30"/>
      <c r="E73" s="15"/>
      <c r="F73" s="16"/>
      <c r="G73" s="41" t="str">
        <f t="shared" si="1"/>
        <v/>
      </c>
      <c r="H73" s="38">
        <f t="array" ref="H73">IFERROR(INDEX('3. Costeo y Precios'!$K$14:$K$63,MATCH($B73,'3. Costeo y Precios'!$A$14:$A$63,0)),0)</f>
        <v>0</v>
      </c>
      <c r="I73" s="41" t="str">
        <f t="shared" si="2"/>
        <v/>
      </c>
      <c r="J73" s="44"/>
      <c r="K73" s="41" t="str">
        <f t="shared" si="3"/>
        <v/>
      </c>
      <c r="L73" s="43" t="str">
        <f t="shared" si="4"/>
        <v/>
      </c>
      <c r="M73" s="48" t="str">
        <f t="shared" si="5"/>
        <v/>
      </c>
      <c r="N73" s="30"/>
    </row>
    <row r="74" ht="15.75" customHeight="1">
      <c r="A74" s="32"/>
      <c r="B74" s="15"/>
      <c r="C74" s="52" t="str">
        <f t="array" ref="C74">IFERROR(INDEX('3. Costeo y Precios'!$B$14:$B$63,MATCH($B74,'3. Costeo y Precios'!$A$14:$A$63,0)),"")</f>
        <v/>
      </c>
      <c r="D74" s="30"/>
      <c r="E74" s="15"/>
      <c r="F74" s="16"/>
      <c r="G74" s="41" t="str">
        <f t="shared" si="1"/>
        <v/>
      </c>
      <c r="H74" s="38">
        <f t="array" ref="H74">IFERROR(INDEX('3. Costeo y Precios'!$K$14:$K$63,MATCH($B74,'3. Costeo y Precios'!$A$14:$A$63,0)),0)</f>
        <v>0</v>
      </c>
      <c r="I74" s="41" t="str">
        <f t="shared" si="2"/>
        <v/>
      </c>
      <c r="J74" s="44"/>
      <c r="K74" s="41" t="str">
        <f t="shared" si="3"/>
        <v/>
      </c>
      <c r="L74" s="43" t="str">
        <f t="shared" si="4"/>
        <v/>
      </c>
      <c r="M74" s="48" t="str">
        <f t="shared" si="5"/>
        <v/>
      </c>
      <c r="N74" s="30"/>
    </row>
    <row r="75" ht="15.75" customHeight="1">
      <c r="A75" s="32"/>
      <c r="B75" s="15"/>
      <c r="C75" s="52" t="str">
        <f t="array" ref="C75">IFERROR(INDEX('3. Costeo y Precios'!$B$14:$B$63,MATCH($B75,'3. Costeo y Precios'!$A$14:$A$63,0)),"")</f>
        <v/>
      </c>
      <c r="D75" s="30"/>
      <c r="E75" s="15"/>
      <c r="F75" s="16"/>
      <c r="G75" s="41" t="str">
        <f t="shared" si="1"/>
        <v/>
      </c>
      <c r="H75" s="38">
        <f t="array" ref="H75">IFERROR(INDEX('3. Costeo y Precios'!$K$14:$K$63,MATCH($B75,'3. Costeo y Precios'!$A$14:$A$63,0)),0)</f>
        <v>0</v>
      </c>
      <c r="I75" s="41" t="str">
        <f t="shared" si="2"/>
        <v/>
      </c>
      <c r="J75" s="44"/>
      <c r="K75" s="41" t="str">
        <f t="shared" si="3"/>
        <v/>
      </c>
      <c r="L75" s="43" t="str">
        <f t="shared" si="4"/>
        <v/>
      </c>
      <c r="M75" s="48" t="str">
        <f t="shared" si="5"/>
        <v/>
      </c>
      <c r="N75" s="30"/>
    </row>
    <row r="76" ht="15.75" customHeight="1">
      <c r="A76" s="32"/>
      <c r="B76" s="15"/>
      <c r="C76" s="52" t="str">
        <f t="array" ref="C76">IFERROR(INDEX('3. Costeo y Precios'!$B$14:$B$63,MATCH($B76,'3. Costeo y Precios'!$A$14:$A$63,0)),"")</f>
        <v/>
      </c>
      <c r="D76" s="30"/>
      <c r="E76" s="15"/>
      <c r="F76" s="16"/>
      <c r="G76" s="41" t="str">
        <f t="shared" si="1"/>
        <v/>
      </c>
      <c r="H76" s="38">
        <f t="array" ref="H76">IFERROR(INDEX('3. Costeo y Precios'!$K$14:$K$63,MATCH($B76,'3. Costeo y Precios'!$A$14:$A$63,0)),0)</f>
        <v>0</v>
      </c>
      <c r="I76" s="41" t="str">
        <f t="shared" si="2"/>
        <v/>
      </c>
      <c r="J76" s="44"/>
      <c r="K76" s="41" t="str">
        <f t="shared" si="3"/>
        <v/>
      </c>
      <c r="L76" s="43" t="str">
        <f t="shared" si="4"/>
        <v/>
      </c>
      <c r="M76" s="48" t="str">
        <f t="shared" si="5"/>
        <v/>
      </c>
      <c r="N76" s="30"/>
    </row>
    <row r="77" ht="15.75" customHeight="1">
      <c r="A77" s="32"/>
      <c r="B77" s="15"/>
      <c r="C77" s="52" t="str">
        <f t="array" ref="C77">IFERROR(INDEX('3. Costeo y Precios'!$B$14:$B$63,MATCH($B77,'3. Costeo y Precios'!$A$14:$A$63,0)),"")</f>
        <v/>
      </c>
      <c r="D77" s="30"/>
      <c r="E77" s="15"/>
      <c r="F77" s="16"/>
      <c r="G77" s="41" t="str">
        <f t="shared" si="1"/>
        <v/>
      </c>
      <c r="H77" s="38">
        <f t="array" ref="H77">IFERROR(INDEX('3. Costeo y Precios'!$K$14:$K$63,MATCH($B77,'3. Costeo y Precios'!$A$14:$A$63,0)),0)</f>
        <v>0</v>
      </c>
      <c r="I77" s="41" t="str">
        <f t="shared" si="2"/>
        <v/>
      </c>
      <c r="J77" s="44"/>
      <c r="K77" s="41" t="str">
        <f t="shared" si="3"/>
        <v/>
      </c>
      <c r="L77" s="43" t="str">
        <f t="shared" si="4"/>
        <v/>
      </c>
      <c r="M77" s="48" t="str">
        <f t="shared" si="5"/>
        <v/>
      </c>
      <c r="N77" s="30"/>
    </row>
    <row r="78" ht="15.75" customHeight="1">
      <c r="A78" s="32"/>
      <c r="B78" s="15"/>
      <c r="C78" s="52" t="str">
        <f t="array" ref="C78">IFERROR(INDEX('3. Costeo y Precios'!$B$14:$B$63,MATCH($B78,'3. Costeo y Precios'!$A$14:$A$63,0)),"")</f>
        <v/>
      </c>
      <c r="D78" s="30"/>
      <c r="E78" s="15"/>
      <c r="F78" s="16"/>
      <c r="G78" s="41" t="str">
        <f t="shared" si="1"/>
        <v/>
      </c>
      <c r="H78" s="38">
        <f t="array" ref="H78">IFERROR(INDEX('3. Costeo y Precios'!$K$14:$K$63,MATCH($B78,'3. Costeo y Precios'!$A$14:$A$63,0)),0)</f>
        <v>0</v>
      </c>
      <c r="I78" s="41" t="str">
        <f t="shared" si="2"/>
        <v/>
      </c>
      <c r="J78" s="44"/>
      <c r="K78" s="41" t="str">
        <f t="shared" si="3"/>
        <v/>
      </c>
      <c r="L78" s="43" t="str">
        <f t="shared" si="4"/>
        <v/>
      </c>
      <c r="M78" s="48" t="str">
        <f t="shared" si="5"/>
        <v/>
      </c>
      <c r="N78" s="30"/>
    </row>
    <row r="79" ht="15.75" customHeight="1">
      <c r="A79" s="32"/>
      <c r="B79" s="15"/>
      <c r="C79" s="52" t="str">
        <f t="array" ref="C79">IFERROR(INDEX('3. Costeo y Precios'!$B$14:$B$63,MATCH($B79,'3. Costeo y Precios'!$A$14:$A$63,0)),"")</f>
        <v/>
      </c>
      <c r="D79" s="30"/>
      <c r="E79" s="15"/>
      <c r="F79" s="16"/>
      <c r="G79" s="41" t="str">
        <f t="shared" si="1"/>
        <v/>
      </c>
      <c r="H79" s="38">
        <f t="array" ref="H79">IFERROR(INDEX('3. Costeo y Precios'!$K$14:$K$63,MATCH($B79,'3. Costeo y Precios'!$A$14:$A$63,0)),0)</f>
        <v>0</v>
      </c>
      <c r="I79" s="41" t="str">
        <f t="shared" si="2"/>
        <v/>
      </c>
      <c r="J79" s="44"/>
      <c r="K79" s="41" t="str">
        <f t="shared" si="3"/>
        <v/>
      </c>
      <c r="L79" s="43" t="str">
        <f t="shared" si="4"/>
        <v/>
      </c>
      <c r="M79" s="48" t="str">
        <f t="shared" si="5"/>
        <v/>
      </c>
      <c r="N79" s="30"/>
    </row>
    <row r="80" ht="15.75" customHeight="1">
      <c r="A80" s="32"/>
      <c r="B80" s="15"/>
      <c r="C80" s="52" t="str">
        <f t="array" ref="C80">IFERROR(INDEX('3. Costeo y Precios'!$B$14:$B$63,MATCH($B80,'3. Costeo y Precios'!$A$14:$A$63,0)),"")</f>
        <v/>
      </c>
      <c r="D80" s="30"/>
      <c r="E80" s="15"/>
      <c r="F80" s="16"/>
      <c r="G80" s="41" t="str">
        <f t="shared" si="1"/>
        <v/>
      </c>
      <c r="H80" s="38">
        <f t="array" ref="H80">IFERROR(INDEX('3. Costeo y Precios'!$K$14:$K$63,MATCH($B80,'3. Costeo y Precios'!$A$14:$A$63,0)),0)</f>
        <v>0</v>
      </c>
      <c r="I80" s="41" t="str">
        <f t="shared" si="2"/>
        <v/>
      </c>
      <c r="J80" s="44"/>
      <c r="K80" s="41" t="str">
        <f t="shared" si="3"/>
        <v/>
      </c>
      <c r="L80" s="43" t="str">
        <f t="shared" si="4"/>
        <v/>
      </c>
      <c r="M80" s="48" t="str">
        <f t="shared" si="5"/>
        <v/>
      </c>
      <c r="N80" s="30"/>
    </row>
    <row r="81" ht="15.75" customHeight="1">
      <c r="A81" s="32"/>
      <c r="B81" s="15"/>
      <c r="C81" s="52" t="str">
        <f t="array" ref="C81">IFERROR(INDEX('3. Costeo y Precios'!$B$14:$B$63,MATCH($B81,'3. Costeo y Precios'!$A$14:$A$63,0)),"")</f>
        <v/>
      </c>
      <c r="D81" s="30"/>
      <c r="E81" s="15"/>
      <c r="F81" s="16"/>
      <c r="G81" s="41" t="str">
        <f t="shared" si="1"/>
        <v/>
      </c>
      <c r="H81" s="38">
        <f t="array" ref="H81">IFERROR(INDEX('3. Costeo y Precios'!$K$14:$K$63,MATCH($B81,'3. Costeo y Precios'!$A$14:$A$63,0)),0)</f>
        <v>0</v>
      </c>
      <c r="I81" s="41" t="str">
        <f t="shared" si="2"/>
        <v/>
      </c>
      <c r="J81" s="44"/>
      <c r="K81" s="41" t="str">
        <f t="shared" si="3"/>
        <v/>
      </c>
      <c r="L81" s="43" t="str">
        <f t="shared" si="4"/>
        <v/>
      </c>
      <c r="M81" s="48" t="str">
        <f t="shared" si="5"/>
        <v/>
      </c>
      <c r="N81" s="30"/>
    </row>
    <row r="82" ht="15.75" customHeight="1">
      <c r="A82" s="32"/>
      <c r="B82" s="15"/>
      <c r="C82" s="52" t="str">
        <f t="array" ref="C82">IFERROR(INDEX('3. Costeo y Precios'!$B$14:$B$63,MATCH($B82,'3. Costeo y Precios'!$A$14:$A$63,0)),"")</f>
        <v/>
      </c>
      <c r="D82" s="30"/>
      <c r="E82" s="15"/>
      <c r="F82" s="16"/>
      <c r="G82" s="41" t="str">
        <f t="shared" si="1"/>
        <v/>
      </c>
      <c r="H82" s="38">
        <f t="array" ref="H82">IFERROR(INDEX('3. Costeo y Precios'!$K$14:$K$63,MATCH($B82,'3. Costeo y Precios'!$A$14:$A$63,0)),0)</f>
        <v>0</v>
      </c>
      <c r="I82" s="41" t="str">
        <f t="shared" si="2"/>
        <v/>
      </c>
      <c r="J82" s="44"/>
      <c r="K82" s="41" t="str">
        <f t="shared" si="3"/>
        <v/>
      </c>
      <c r="L82" s="43" t="str">
        <f t="shared" si="4"/>
        <v/>
      </c>
      <c r="M82" s="48" t="str">
        <f t="shared" si="5"/>
        <v/>
      </c>
      <c r="N82" s="30"/>
    </row>
    <row r="83" ht="15.75" customHeight="1">
      <c r="A83" s="32"/>
      <c r="B83" s="15"/>
      <c r="C83" s="52" t="str">
        <f t="array" ref="C83">IFERROR(INDEX('3. Costeo y Precios'!$B$14:$B$63,MATCH($B83,'3. Costeo y Precios'!$A$14:$A$63,0)),"")</f>
        <v/>
      </c>
      <c r="D83" s="30"/>
      <c r="E83" s="15"/>
      <c r="F83" s="16"/>
      <c r="G83" s="41" t="str">
        <f t="shared" si="1"/>
        <v/>
      </c>
      <c r="H83" s="38">
        <f t="array" ref="H83">IFERROR(INDEX('3. Costeo y Precios'!$K$14:$K$63,MATCH($B83,'3. Costeo y Precios'!$A$14:$A$63,0)),0)</f>
        <v>0</v>
      </c>
      <c r="I83" s="41" t="str">
        <f t="shared" si="2"/>
        <v/>
      </c>
      <c r="J83" s="44"/>
      <c r="K83" s="41" t="str">
        <f t="shared" si="3"/>
        <v/>
      </c>
      <c r="L83" s="43" t="str">
        <f t="shared" si="4"/>
        <v/>
      </c>
      <c r="M83" s="48" t="str">
        <f t="shared" si="5"/>
        <v/>
      </c>
      <c r="N83" s="30"/>
    </row>
    <row r="84" ht="15.75" customHeight="1">
      <c r="A84" s="32"/>
      <c r="B84" s="15"/>
      <c r="C84" s="52" t="str">
        <f t="array" ref="C84">IFERROR(INDEX('3. Costeo y Precios'!$B$14:$B$63,MATCH($B84,'3. Costeo y Precios'!$A$14:$A$63,0)),"")</f>
        <v/>
      </c>
      <c r="D84" s="30"/>
      <c r="E84" s="15"/>
      <c r="F84" s="16"/>
      <c r="G84" s="41" t="str">
        <f t="shared" si="1"/>
        <v/>
      </c>
      <c r="H84" s="38">
        <f t="array" ref="H84">IFERROR(INDEX('3. Costeo y Precios'!$K$14:$K$63,MATCH($B84,'3. Costeo y Precios'!$A$14:$A$63,0)),0)</f>
        <v>0</v>
      </c>
      <c r="I84" s="41" t="str">
        <f t="shared" si="2"/>
        <v/>
      </c>
      <c r="J84" s="44"/>
      <c r="K84" s="41" t="str">
        <f t="shared" si="3"/>
        <v/>
      </c>
      <c r="L84" s="43" t="str">
        <f t="shared" si="4"/>
        <v/>
      </c>
      <c r="M84" s="48" t="str">
        <f t="shared" si="5"/>
        <v/>
      </c>
      <c r="N84" s="30"/>
    </row>
    <row r="85" ht="15.75" customHeight="1">
      <c r="A85" s="32"/>
      <c r="B85" s="15"/>
      <c r="C85" s="52" t="str">
        <f t="array" ref="C85">IFERROR(INDEX('3. Costeo y Precios'!$B$14:$B$63,MATCH($B85,'3. Costeo y Precios'!$A$14:$A$63,0)),"")</f>
        <v/>
      </c>
      <c r="D85" s="30"/>
      <c r="E85" s="15"/>
      <c r="F85" s="16"/>
      <c r="G85" s="41" t="str">
        <f t="shared" si="1"/>
        <v/>
      </c>
      <c r="H85" s="38">
        <f t="array" ref="H85">IFERROR(INDEX('3. Costeo y Precios'!$K$14:$K$63,MATCH($B85,'3. Costeo y Precios'!$A$14:$A$63,0)),0)</f>
        <v>0</v>
      </c>
      <c r="I85" s="41" t="str">
        <f t="shared" si="2"/>
        <v/>
      </c>
      <c r="J85" s="44"/>
      <c r="K85" s="41" t="str">
        <f t="shared" si="3"/>
        <v/>
      </c>
      <c r="L85" s="43" t="str">
        <f t="shared" si="4"/>
        <v/>
      </c>
      <c r="M85" s="48" t="str">
        <f t="shared" si="5"/>
        <v/>
      </c>
      <c r="N85" s="30"/>
    </row>
    <row r="86" ht="15.75" customHeight="1">
      <c r="A86" s="32"/>
      <c r="B86" s="15"/>
      <c r="C86" s="52" t="str">
        <f t="array" ref="C86">IFERROR(INDEX('3. Costeo y Precios'!$B$14:$B$63,MATCH($B86,'3. Costeo y Precios'!$A$14:$A$63,0)),"")</f>
        <v/>
      </c>
      <c r="D86" s="30"/>
      <c r="E86" s="15"/>
      <c r="F86" s="16"/>
      <c r="G86" s="41" t="str">
        <f t="shared" si="1"/>
        <v/>
      </c>
      <c r="H86" s="38">
        <f t="array" ref="H86">IFERROR(INDEX('3. Costeo y Precios'!$K$14:$K$63,MATCH($B86,'3. Costeo y Precios'!$A$14:$A$63,0)),0)</f>
        <v>0</v>
      </c>
      <c r="I86" s="41" t="str">
        <f t="shared" si="2"/>
        <v/>
      </c>
      <c r="J86" s="44"/>
      <c r="K86" s="41" t="str">
        <f t="shared" si="3"/>
        <v/>
      </c>
      <c r="L86" s="43" t="str">
        <f t="shared" si="4"/>
        <v/>
      </c>
      <c r="M86" s="48" t="str">
        <f t="shared" si="5"/>
        <v/>
      </c>
      <c r="N86" s="30"/>
    </row>
    <row r="87" ht="15.75" customHeight="1">
      <c r="A87" s="32"/>
      <c r="B87" s="15"/>
      <c r="C87" s="52" t="str">
        <f t="array" ref="C87">IFERROR(INDEX('3. Costeo y Precios'!$B$14:$B$63,MATCH($B87,'3. Costeo y Precios'!$A$14:$A$63,0)),"")</f>
        <v/>
      </c>
      <c r="D87" s="30"/>
      <c r="E87" s="15"/>
      <c r="F87" s="16"/>
      <c r="G87" s="41" t="str">
        <f t="shared" si="1"/>
        <v/>
      </c>
      <c r="H87" s="38">
        <f t="array" ref="H87">IFERROR(INDEX('3. Costeo y Precios'!$K$14:$K$63,MATCH($B87,'3. Costeo y Precios'!$A$14:$A$63,0)),0)</f>
        <v>0</v>
      </c>
      <c r="I87" s="41" t="str">
        <f t="shared" si="2"/>
        <v/>
      </c>
      <c r="J87" s="44"/>
      <c r="K87" s="41" t="str">
        <f t="shared" si="3"/>
        <v/>
      </c>
      <c r="L87" s="43" t="str">
        <f t="shared" si="4"/>
        <v/>
      </c>
      <c r="M87" s="48" t="str">
        <f t="shared" si="5"/>
        <v/>
      </c>
      <c r="N87" s="30"/>
    </row>
    <row r="88" ht="15.75" customHeight="1">
      <c r="A88" s="32"/>
      <c r="B88" s="15"/>
      <c r="C88" s="52" t="str">
        <f t="array" ref="C88">IFERROR(INDEX('3. Costeo y Precios'!$B$14:$B$63,MATCH($B88,'3. Costeo y Precios'!$A$14:$A$63,0)),"")</f>
        <v/>
      </c>
      <c r="D88" s="30"/>
      <c r="E88" s="15"/>
      <c r="F88" s="16"/>
      <c r="G88" s="41" t="str">
        <f t="shared" si="1"/>
        <v/>
      </c>
      <c r="H88" s="38">
        <f t="array" ref="H88">IFERROR(INDEX('3. Costeo y Precios'!$K$14:$K$63,MATCH($B88,'3. Costeo y Precios'!$A$14:$A$63,0)),0)</f>
        <v>0</v>
      </c>
      <c r="I88" s="41" t="str">
        <f t="shared" si="2"/>
        <v/>
      </c>
      <c r="J88" s="44"/>
      <c r="K88" s="41" t="str">
        <f t="shared" si="3"/>
        <v/>
      </c>
      <c r="L88" s="43" t="str">
        <f t="shared" si="4"/>
        <v/>
      </c>
      <c r="M88" s="48" t="str">
        <f t="shared" si="5"/>
        <v/>
      </c>
      <c r="N88" s="30"/>
    </row>
    <row r="89" ht="15.75" customHeight="1">
      <c r="A89" s="32"/>
      <c r="B89" s="15"/>
      <c r="C89" s="52" t="str">
        <f t="array" ref="C89">IFERROR(INDEX('3. Costeo y Precios'!$B$14:$B$63,MATCH($B89,'3. Costeo y Precios'!$A$14:$A$63,0)),"")</f>
        <v/>
      </c>
      <c r="D89" s="30"/>
      <c r="E89" s="15"/>
      <c r="F89" s="16"/>
      <c r="G89" s="41" t="str">
        <f t="shared" si="1"/>
        <v/>
      </c>
      <c r="H89" s="38">
        <f t="array" ref="H89">IFERROR(INDEX('3. Costeo y Precios'!$K$14:$K$63,MATCH($B89,'3. Costeo y Precios'!$A$14:$A$63,0)),0)</f>
        <v>0</v>
      </c>
      <c r="I89" s="41" t="str">
        <f t="shared" si="2"/>
        <v/>
      </c>
      <c r="J89" s="44"/>
      <c r="K89" s="41" t="str">
        <f t="shared" si="3"/>
        <v/>
      </c>
      <c r="L89" s="43" t="str">
        <f t="shared" si="4"/>
        <v/>
      </c>
      <c r="M89" s="48" t="str">
        <f t="shared" si="5"/>
        <v/>
      </c>
      <c r="N89" s="30"/>
    </row>
    <row r="90" ht="15.75" customHeight="1">
      <c r="A90" s="32"/>
      <c r="B90" s="15"/>
      <c r="C90" s="52" t="str">
        <f t="array" ref="C90">IFERROR(INDEX('3. Costeo y Precios'!$B$14:$B$63,MATCH($B90,'3. Costeo y Precios'!$A$14:$A$63,0)),"")</f>
        <v/>
      </c>
      <c r="D90" s="30"/>
      <c r="E90" s="15"/>
      <c r="F90" s="16"/>
      <c r="G90" s="41" t="str">
        <f t="shared" si="1"/>
        <v/>
      </c>
      <c r="H90" s="38">
        <f t="array" ref="H90">IFERROR(INDEX('3. Costeo y Precios'!$K$14:$K$63,MATCH($B90,'3. Costeo y Precios'!$A$14:$A$63,0)),0)</f>
        <v>0</v>
      </c>
      <c r="I90" s="41" t="str">
        <f t="shared" si="2"/>
        <v/>
      </c>
      <c r="J90" s="44"/>
      <c r="K90" s="41" t="str">
        <f t="shared" si="3"/>
        <v/>
      </c>
      <c r="L90" s="43" t="str">
        <f t="shared" si="4"/>
        <v/>
      </c>
      <c r="M90" s="48" t="str">
        <f t="shared" si="5"/>
        <v/>
      </c>
      <c r="N90" s="30"/>
    </row>
    <row r="91" ht="15.75" customHeight="1">
      <c r="A91" s="32"/>
      <c r="B91" s="15"/>
      <c r="C91" s="52" t="str">
        <f t="array" ref="C91">IFERROR(INDEX('3. Costeo y Precios'!$B$14:$B$63,MATCH($B91,'3. Costeo y Precios'!$A$14:$A$63,0)),"")</f>
        <v/>
      </c>
      <c r="D91" s="30"/>
      <c r="E91" s="15"/>
      <c r="F91" s="16"/>
      <c r="G91" s="41" t="str">
        <f t="shared" si="1"/>
        <v/>
      </c>
      <c r="H91" s="38">
        <f t="array" ref="H91">IFERROR(INDEX('3. Costeo y Precios'!$K$14:$K$63,MATCH($B91,'3. Costeo y Precios'!$A$14:$A$63,0)),0)</f>
        <v>0</v>
      </c>
      <c r="I91" s="41" t="str">
        <f t="shared" si="2"/>
        <v/>
      </c>
      <c r="J91" s="44"/>
      <c r="K91" s="41" t="str">
        <f t="shared" si="3"/>
        <v/>
      </c>
      <c r="L91" s="43" t="str">
        <f t="shared" si="4"/>
        <v/>
      </c>
      <c r="M91" s="48" t="str">
        <f t="shared" si="5"/>
        <v/>
      </c>
      <c r="N91" s="30"/>
    </row>
    <row r="92" ht="15.75" customHeight="1">
      <c r="A92" s="32"/>
      <c r="B92" s="15"/>
      <c r="C92" s="52" t="str">
        <f t="array" ref="C92">IFERROR(INDEX('3. Costeo y Precios'!$B$14:$B$63,MATCH($B92,'3. Costeo y Precios'!$A$14:$A$63,0)),"")</f>
        <v/>
      </c>
      <c r="D92" s="30"/>
      <c r="E92" s="15"/>
      <c r="F92" s="16"/>
      <c r="G92" s="41" t="str">
        <f t="shared" si="1"/>
        <v/>
      </c>
      <c r="H92" s="38">
        <f t="array" ref="H92">IFERROR(INDEX('3. Costeo y Precios'!$K$14:$K$63,MATCH($B92,'3. Costeo y Precios'!$A$14:$A$63,0)),0)</f>
        <v>0</v>
      </c>
      <c r="I92" s="41" t="str">
        <f t="shared" si="2"/>
        <v/>
      </c>
      <c r="J92" s="44"/>
      <c r="K92" s="41" t="str">
        <f t="shared" si="3"/>
        <v/>
      </c>
      <c r="L92" s="43" t="str">
        <f t="shared" si="4"/>
        <v/>
      </c>
      <c r="M92" s="48" t="str">
        <f t="shared" si="5"/>
        <v/>
      </c>
      <c r="N92" s="30"/>
    </row>
    <row r="93" ht="15.75" customHeight="1">
      <c r="A93" s="32"/>
      <c r="B93" s="15"/>
      <c r="C93" s="52" t="str">
        <f t="array" ref="C93">IFERROR(INDEX('3. Costeo y Precios'!$B$14:$B$63,MATCH($B93,'3. Costeo y Precios'!$A$14:$A$63,0)),"")</f>
        <v/>
      </c>
      <c r="D93" s="30"/>
      <c r="E93" s="15"/>
      <c r="F93" s="16"/>
      <c r="G93" s="41" t="str">
        <f t="shared" si="1"/>
        <v/>
      </c>
      <c r="H93" s="38">
        <f t="array" ref="H93">IFERROR(INDEX('3. Costeo y Precios'!$K$14:$K$63,MATCH($B93,'3. Costeo y Precios'!$A$14:$A$63,0)),0)</f>
        <v>0</v>
      </c>
      <c r="I93" s="41" t="str">
        <f t="shared" si="2"/>
        <v/>
      </c>
      <c r="J93" s="44"/>
      <c r="K93" s="41" t="str">
        <f t="shared" si="3"/>
        <v/>
      </c>
      <c r="L93" s="43" t="str">
        <f t="shared" si="4"/>
        <v/>
      </c>
      <c r="M93" s="48" t="str">
        <f t="shared" si="5"/>
        <v/>
      </c>
      <c r="N93" s="30"/>
    </row>
    <row r="94" ht="15.75" customHeight="1">
      <c r="A94" s="32"/>
      <c r="B94" s="15"/>
      <c r="C94" s="52" t="str">
        <f t="array" ref="C94">IFERROR(INDEX('3. Costeo y Precios'!$B$14:$B$63,MATCH($B94,'3. Costeo y Precios'!$A$14:$A$63,0)),"")</f>
        <v/>
      </c>
      <c r="D94" s="30"/>
      <c r="E94" s="15"/>
      <c r="F94" s="16"/>
      <c r="G94" s="41" t="str">
        <f t="shared" si="1"/>
        <v/>
      </c>
      <c r="H94" s="38">
        <f t="array" ref="H94">IFERROR(INDEX('3. Costeo y Precios'!$K$14:$K$63,MATCH($B94,'3. Costeo y Precios'!$A$14:$A$63,0)),0)</f>
        <v>0</v>
      </c>
      <c r="I94" s="41" t="str">
        <f t="shared" si="2"/>
        <v/>
      </c>
      <c r="J94" s="44"/>
      <c r="K94" s="41" t="str">
        <f t="shared" si="3"/>
        <v/>
      </c>
      <c r="L94" s="43" t="str">
        <f t="shared" si="4"/>
        <v/>
      </c>
      <c r="M94" s="48" t="str">
        <f t="shared" si="5"/>
        <v/>
      </c>
      <c r="N94" s="30"/>
    </row>
    <row r="95" ht="15.75" customHeight="1">
      <c r="A95" s="32"/>
      <c r="B95" s="15"/>
      <c r="C95" s="52" t="str">
        <f t="array" ref="C95">IFERROR(INDEX('3. Costeo y Precios'!$B$14:$B$63,MATCH($B95,'3. Costeo y Precios'!$A$14:$A$63,0)),"")</f>
        <v/>
      </c>
      <c r="D95" s="30"/>
      <c r="E95" s="15"/>
      <c r="F95" s="16"/>
      <c r="G95" s="41" t="str">
        <f t="shared" si="1"/>
        <v/>
      </c>
      <c r="H95" s="38">
        <f t="array" ref="H95">IFERROR(INDEX('3. Costeo y Precios'!$K$14:$K$63,MATCH($B95,'3. Costeo y Precios'!$A$14:$A$63,0)),0)</f>
        <v>0</v>
      </c>
      <c r="I95" s="41" t="str">
        <f t="shared" si="2"/>
        <v/>
      </c>
      <c r="J95" s="44"/>
      <c r="K95" s="41" t="str">
        <f t="shared" si="3"/>
        <v/>
      </c>
      <c r="L95" s="43" t="str">
        <f t="shared" si="4"/>
        <v/>
      </c>
      <c r="M95" s="48" t="str">
        <f t="shared" si="5"/>
        <v/>
      </c>
      <c r="N95" s="30"/>
    </row>
    <row r="96" ht="15.75" customHeight="1">
      <c r="A96" s="32"/>
      <c r="B96" s="15"/>
      <c r="C96" s="52" t="str">
        <f t="array" ref="C96">IFERROR(INDEX('3. Costeo y Precios'!$B$14:$B$63,MATCH($B96,'3. Costeo y Precios'!$A$14:$A$63,0)),"")</f>
        <v/>
      </c>
      <c r="D96" s="30"/>
      <c r="E96" s="15"/>
      <c r="F96" s="16"/>
      <c r="G96" s="41" t="str">
        <f t="shared" si="1"/>
        <v/>
      </c>
      <c r="H96" s="38">
        <f t="array" ref="H96">IFERROR(INDEX('3. Costeo y Precios'!$K$14:$K$63,MATCH($B96,'3. Costeo y Precios'!$A$14:$A$63,0)),0)</f>
        <v>0</v>
      </c>
      <c r="I96" s="41" t="str">
        <f t="shared" si="2"/>
        <v/>
      </c>
      <c r="J96" s="44"/>
      <c r="K96" s="41" t="str">
        <f t="shared" si="3"/>
        <v/>
      </c>
      <c r="L96" s="43" t="str">
        <f t="shared" si="4"/>
        <v/>
      </c>
      <c r="M96" s="48" t="str">
        <f t="shared" si="5"/>
        <v/>
      </c>
      <c r="N96" s="30"/>
    </row>
    <row r="97" ht="15.75" customHeight="1">
      <c r="A97" s="32"/>
      <c r="B97" s="15"/>
      <c r="C97" s="52" t="str">
        <f t="array" ref="C97">IFERROR(INDEX('3. Costeo y Precios'!$B$14:$B$63,MATCH($B97,'3. Costeo y Precios'!$A$14:$A$63,0)),"")</f>
        <v/>
      </c>
      <c r="D97" s="30"/>
      <c r="E97" s="15"/>
      <c r="F97" s="16"/>
      <c r="G97" s="41" t="str">
        <f t="shared" si="1"/>
        <v/>
      </c>
      <c r="H97" s="38">
        <f t="array" ref="H97">IFERROR(INDEX('3. Costeo y Precios'!$K$14:$K$63,MATCH($B97,'3. Costeo y Precios'!$A$14:$A$63,0)),0)</f>
        <v>0</v>
      </c>
      <c r="I97" s="41" t="str">
        <f t="shared" si="2"/>
        <v/>
      </c>
      <c r="J97" s="44"/>
      <c r="K97" s="41" t="str">
        <f t="shared" si="3"/>
        <v/>
      </c>
      <c r="L97" s="43" t="str">
        <f t="shared" si="4"/>
        <v/>
      </c>
      <c r="M97" s="48" t="str">
        <f t="shared" si="5"/>
        <v/>
      </c>
      <c r="N97" s="30"/>
    </row>
    <row r="98" ht="15.75" customHeight="1">
      <c r="A98" s="32"/>
      <c r="B98" s="15"/>
      <c r="C98" s="52" t="str">
        <f t="array" ref="C98">IFERROR(INDEX('3. Costeo y Precios'!$B$14:$B$63,MATCH($B98,'3. Costeo y Precios'!$A$14:$A$63,0)),"")</f>
        <v/>
      </c>
      <c r="D98" s="30"/>
      <c r="E98" s="15"/>
      <c r="F98" s="16"/>
      <c r="G98" s="41" t="str">
        <f t="shared" si="1"/>
        <v/>
      </c>
      <c r="H98" s="38">
        <f t="array" ref="H98">IFERROR(INDEX('3. Costeo y Precios'!$K$14:$K$63,MATCH($B98,'3. Costeo y Precios'!$A$14:$A$63,0)),0)</f>
        <v>0</v>
      </c>
      <c r="I98" s="41" t="str">
        <f t="shared" si="2"/>
        <v/>
      </c>
      <c r="J98" s="44"/>
      <c r="K98" s="41" t="str">
        <f t="shared" si="3"/>
        <v/>
      </c>
      <c r="L98" s="43" t="str">
        <f t="shared" si="4"/>
        <v/>
      </c>
      <c r="M98" s="48" t="str">
        <f t="shared" si="5"/>
        <v/>
      </c>
      <c r="N98" s="30"/>
    </row>
    <row r="99" ht="15.75" customHeight="1">
      <c r="A99" s="32"/>
      <c r="B99" s="15"/>
      <c r="C99" s="52" t="str">
        <f t="array" ref="C99">IFERROR(INDEX('3. Costeo y Precios'!$B$14:$B$63,MATCH($B99,'3. Costeo y Precios'!$A$14:$A$63,0)),"")</f>
        <v/>
      </c>
      <c r="D99" s="30"/>
      <c r="E99" s="15"/>
      <c r="F99" s="16"/>
      <c r="G99" s="41" t="str">
        <f t="shared" si="1"/>
        <v/>
      </c>
      <c r="H99" s="38">
        <f t="array" ref="H99">IFERROR(INDEX('3. Costeo y Precios'!$K$14:$K$63,MATCH($B99,'3. Costeo y Precios'!$A$14:$A$63,0)),0)</f>
        <v>0</v>
      </c>
      <c r="I99" s="41" t="str">
        <f t="shared" si="2"/>
        <v/>
      </c>
      <c r="J99" s="44"/>
      <c r="K99" s="41" t="str">
        <f t="shared" si="3"/>
        <v/>
      </c>
      <c r="L99" s="43" t="str">
        <f t="shared" si="4"/>
        <v/>
      </c>
      <c r="M99" s="48" t="str">
        <f t="shared" si="5"/>
        <v/>
      </c>
      <c r="N99" s="30"/>
    </row>
    <row r="100" ht="15.75" customHeight="1">
      <c r="A100" s="32"/>
      <c r="B100" s="15"/>
      <c r="C100" s="52" t="str">
        <f t="array" ref="C100">IFERROR(INDEX('3. Costeo y Precios'!$B$14:$B$63,MATCH($B100,'3. Costeo y Precios'!$A$14:$A$63,0)),"")</f>
        <v/>
      </c>
      <c r="D100" s="30"/>
      <c r="E100" s="15"/>
      <c r="F100" s="16"/>
      <c r="G100" s="41" t="str">
        <f t="shared" si="1"/>
        <v/>
      </c>
      <c r="H100" s="38">
        <f t="array" ref="H100">IFERROR(INDEX('3. Costeo y Precios'!$K$14:$K$63,MATCH($B100,'3. Costeo y Precios'!$A$14:$A$63,0)),0)</f>
        <v>0</v>
      </c>
      <c r="I100" s="41" t="str">
        <f t="shared" si="2"/>
        <v/>
      </c>
      <c r="J100" s="44"/>
      <c r="K100" s="41" t="str">
        <f t="shared" si="3"/>
        <v/>
      </c>
      <c r="L100" s="43" t="str">
        <f t="shared" si="4"/>
        <v/>
      </c>
      <c r="M100" s="48" t="str">
        <f t="shared" si="5"/>
        <v/>
      </c>
      <c r="N100" s="30"/>
    </row>
    <row r="101" ht="15.75" customHeight="1">
      <c r="A101" s="32"/>
      <c r="B101" s="15"/>
      <c r="C101" s="52" t="str">
        <f t="array" ref="C101">IFERROR(INDEX('3. Costeo y Precios'!$B$14:$B$63,MATCH($B101,'3. Costeo y Precios'!$A$14:$A$63,0)),"")</f>
        <v/>
      </c>
      <c r="D101" s="30"/>
      <c r="E101" s="15"/>
      <c r="F101" s="16"/>
      <c r="G101" s="41" t="str">
        <f t="shared" si="1"/>
        <v/>
      </c>
      <c r="H101" s="38">
        <f t="array" ref="H101">IFERROR(INDEX('3. Costeo y Precios'!$K$14:$K$63,MATCH($B101,'3. Costeo y Precios'!$A$14:$A$63,0)),0)</f>
        <v>0</v>
      </c>
      <c r="I101" s="41" t="str">
        <f t="shared" si="2"/>
        <v/>
      </c>
      <c r="J101" s="44"/>
      <c r="K101" s="41" t="str">
        <f t="shared" si="3"/>
        <v/>
      </c>
      <c r="L101" s="43" t="str">
        <f t="shared" si="4"/>
        <v/>
      </c>
      <c r="M101" s="48" t="str">
        <f t="shared" si="5"/>
        <v/>
      </c>
      <c r="N101" s="30"/>
    </row>
    <row r="102" ht="15.75" customHeight="1">
      <c r="A102" s="32"/>
      <c r="B102" s="15"/>
      <c r="C102" s="52" t="str">
        <f t="array" ref="C102">IFERROR(INDEX('3. Costeo y Precios'!$B$14:$B$63,MATCH($B102,'3. Costeo y Precios'!$A$14:$A$63,0)),"")</f>
        <v/>
      </c>
      <c r="D102" s="30"/>
      <c r="E102" s="15"/>
      <c r="F102" s="16"/>
      <c r="G102" s="41" t="str">
        <f t="shared" si="1"/>
        <v/>
      </c>
      <c r="H102" s="38">
        <f t="array" ref="H102">IFERROR(INDEX('3. Costeo y Precios'!$K$14:$K$63,MATCH($B102,'3. Costeo y Precios'!$A$14:$A$63,0)),0)</f>
        <v>0</v>
      </c>
      <c r="I102" s="41" t="str">
        <f t="shared" si="2"/>
        <v/>
      </c>
      <c r="J102" s="44"/>
      <c r="K102" s="41" t="str">
        <f t="shared" si="3"/>
        <v/>
      </c>
      <c r="L102" s="43" t="str">
        <f t="shared" si="4"/>
        <v/>
      </c>
      <c r="M102" s="48" t="str">
        <f t="shared" si="5"/>
        <v/>
      </c>
      <c r="N102" s="30"/>
    </row>
    <row r="103" ht="15.75" customHeight="1">
      <c r="A103" s="32"/>
      <c r="B103" s="15"/>
      <c r="C103" s="52" t="str">
        <f t="array" ref="C103">IFERROR(INDEX('3. Costeo y Precios'!$B$14:$B$63,MATCH($B103,'3. Costeo y Precios'!$A$14:$A$63,0)),"")</f>
        <v/>
      </c>
      <c r="D103" s="30"/>
      <c r="E103" s="15"/>
      <c r="F103" s="16"/>
      <c r="G103" s="41" t="str">
        <f t="shared" si="1"/>
        <v/>
      </c>
      <c r="H103" s="38">
        <f t="array" ref="H103">IFERROR(INDEX('3. Costeo y Precios'!$K$14:$K$63,MATCH($B103,'3. Costeo y Precios'!$A$14:$A$63,0)),0)</f>
        <v>0</v>
      </c>
      <c r="I103" s="41" t="str">
        <f t="shared" si="2"/>
        <v/>
      </c>
      <c r="J103" s="44"/>
      <c r="K103" s="41" t="str">
        <f t="shared" si="3"/>
        <v/>
      </c>
      <c r="L103" s="43" t="str">
        <f t="shared" si="4"/>
        <v/>
      </c>
      <c r="M103" s="48" t="str">
        <f t="shared" si="5"/>
        <v/>
      </c>
      <c r="N103" s="30"/>
    </row>
    <row r="104" ht="15.75" customHeight="1">
      <c r="A104" s="32"/>
      <c r="B104" s="15"/>
      <c r="C104" s="52" t="str">
        <f t="array" ref="C104">IFERROR(INDEX('3. Costeo y Precios'!$B$14:$B$63,MATCH($B104,'3. Costeo y Precios'!$A$14:$A$63,0)),"")</f>
        <v/>
      </c>
      <c r="D104" s="30"/>
      <c r="E104" s="15"/>
      <c r="F104" s="16"/>
      <c r="G104" s="41" t="str">
        <f t="shared" si="1"/>
        <v/>
      </c>
      <c r="H104" s="38">
        <f t="array" ref="H104">IFERROR(INDEX('3. Costeo y Precios'!$K$14:$K$63,MATCH($B104,'3. Costeo y Precios'!$A$14:$A$63,0)),0)</f>
        <v>0</v>
      </c>
      <c r="I104" s="41" t="str">
        <f t="shared" si="2"/>
        <v/>
      </c>
      <c r="J104" s="44"/>
      <c r="K104" s="41" t="str">
        <f t="shared" si="3"/>
        <v/>
      </c>
      <c r="L104" s="43" t="str">
        <f t="shared" si="4"/>
        <v/>
      </c>
      <c r="M104" s="48" t="str">
        <f t="shared" si="5"/>
        <v/>
      </c>
      <c r="N104" s="30"/>
    </row>
    <row r="105" ht="15.75" customHeight="1">
      <c r="A105" s="32"/>
      <c r="B105" s="15"/>
      <c r="C105" s="52" t="str">
        <f t="array" ref="C105">IFERROR(INDEX('3. Costeo y Precios'!$B$14:$B$63,MATCH($B105,'3. Costeo y Precios'!$A$14:$A$63,0)),"")</f>
        <v/>
      </c>
      <c r="D105" s="30"/>
      <c r="E105" s="15"/>
      <c r="F105" s="16"/>
      <c r="G105" s="41" t="str">
        <f t="shared" si="1"/>
        <v/>
      </c>
      <c r="H105" s="38">
        <f t="array" ref="H105">IFERROR(INDEX('3. Costeo y Precios'!$K$14:$K$63,MATCH($B105,'3. Costeo y Precios'!$A$14:$A$63,0)),0)</f>
        <v>0</v>
      </c>
      <c r="I105" s="41" t="str">
        <f t="shared" si="2"/>
        <v/>
      </c>
      <c r="J105" s="44"/>
      <c r="K105" s="41" t="str">
        <f t="shared" si="3"/>
        <v/>
      </c>
      <c r="L105" s="43" t="str">
        <f t="shared" si="4"/>
        <v/>
      </c>
      <c r="M105" s="48" t="str">
        <f t="shared" si="5"/>
        <v/>
      </c>
      <c r="N105" s="30"/>
    </row>
    <row r="106" ht="15.75" customHeight="1">
      <c r="A106" s="32"/>
      <c r="B106" s="15"/>
      <c r="C106" s="52" t="str">
        <f t="array" ref="C106">IFERROR(INDEX('3. Costeo y Precios'!$B$14:$B$63,MATCH($B106,'3. Costeo y Precios'!$A$14:$A$63,0)),"")</f>
        <v/>
      </c>
      <c r="D106" s="30"/>
      <c r="E106" s="15"/>
      <c r="F106" s="16"/>
      <c r="G106" s="41" t="str">
        <f t="shared" si="1"/>
        <v/>
      </c>
      <c r="H106" s="38">
        <f t="array" ref="H106">IFERROR(INDEX('3. Costeo y Precios'!$K$14:$K$63,MATCH($B106,'3. Costeo y Precios'!$A$14:$A$63,0)),0)</f>
        <v>0</v>
      </c>
      <c r="I106" s="41" t="str">
        <f t="shared" si="2"/>
        <v/>
      </c>
      <c r="J106" s="44"/>
      <c r="K106" s="41" t="str">
        <f t="shared" si="3"/>
        <v/>
      </c>
      <c r="L106" s="43" t="str">
        <f t="shared" si="4"/>
        <v/>
      </c>
      <c r="M106" s="48" t="str">
        <f t="shared" si="5"/>
        <v/>
      </c>
      <c r="N106" s="30"/>
    </row>
    <row r="107" ht="15.75" customHeight="1">
      <c r="A107" s="32"/>
      <c r="B107" s="15"/>
      <c r="C107" s="52" t="str">
        <f t="array" ref="C107">IFERROR(INDEX('3. Costeo y Precios'!$B$14:$B$63,MATCH($B107,'3. Costeo y Precios'!$A$14:$A$63,0)),"")</f>
        <v/>
      </c>
      <c r="D107" s="30"/>
      <c r="E107" s="15"/>
      <c r="F107" s="16"/>
      <c r="G107" s="41" t="str">
        <f t="shared" si="1"/>
        <v/>
      </c>
      <c r="H107" s="38">
        <f t="array" ref="H107">IFERROR(INDEX('3. Costeo y Precios'!$K$14:$K$63,MATCH($B107,'3. Costeo y Precios'!$A$14:$A$63,0)),0)</f>
        <v>0</v>
      </c>
      <c r="I107" s="41" t="str">
        <f t="shared" si="2"/>
        <v/>
      </c>
      <c r="J107" s="44"/>
      <c r="K107" s="41" t="str">
        <f t="shared" si="3"/>
        <v/>
      </c>
      <c r="L107" s="43" t="str">
        <f t="shared" si="4"/>
        <v/>
      </c>
      <c r="M107" s="48" t="str">
        <f t="shared" si="5"/>
        <v/>
      </c>
      <c r="N107" s="30"/>
    </row>
    <row r="108" ht="15.75" customHeight="1">
      <c r="A108" s="32"/>
      <c r="B108" s="15"/>
      <c r="C108" s="52" t="str">
        <f t="array" ref="C108">IFERROR(INDEX('3. Costeo y Precios'!$B$14:$B$63,MATCH($B108,'3. Costeo y Precios'!$A$14:$A$63,0)),"")</f>
        <v/>
      </c>
      <c r="D108" s="30"/>
      <c r="E108" s="15"/>
      <c r="F108" s="16"/>
      <c r="G108" s="41" t="str">
        <f t="shared" si="1"/>
        <v/>
      </c>
      <c r="H108" s="38">
        <f t="array" ref="H108">IFERROR(INDEX('3. Costeo y Precios'!$K$14:$K$63,MATCH($B108,'3. Costeo y Precios'!$A$14:$A$63,0)),0)</f>
        <v>0</v>
      </c>
      <c r="I108" s="41" t="str">
        <f t="shared" si="2"/>
        <v/>
      </c>
      <c r="J108" s="44"/>
      <c r="K108" s="41" t="str">
        <f t="shared" si="3"/>
        <v/>
      </c>
      <c r="L108" s="43" t="str">
        <f t="shared" si="4"/>
        <v/>
      </c>
      <c r="M108" s="48" t="str">
        <f t="shared" si="5"/>
        <v/>
      </c>
      <c r="N108" s="30"/>
    </row>
    <row r="109" ht="15.75" customHeight="1">
      <c r="A109" s="32"/>
      <c r="B109" s="15"/>
      <c r="C109" s="52" t="str">
        <f t="array" ref="C109">IFERROR(INDEX('3. Costeo y Precios'!$B$14:$B$63,MATCH($B109,'3. Costeo y Precios'!$A$14:$A$63,0)),"")</f>
        <v/>
      </c>
      <c r="D109" s="30"/>
      <c r="E109" s="15"/>
      <c r="F109" s="16"/>
      <c r="G109" s="41" t="str">
        <f t="shared" si="1"/>
        <v/>
      </c>
      <c r="H109" s="38">
        <f t="array" ref="H109">IFERROR(INDEX('3. Costeo y Precios'!$K$14:$K$63,MATCH($B109,'3. Costeo y Precios'!$A$14:$A$63,0)),0)</f>
        <v>0</v>
      </c>
      <c r="I109" s="41" t="str">
        <f t="shared" si="2"/>
        <v/>
      </c>
      <c r="J109" s="44"/>
      <c r="K109" s="41" t="str">
        <f t="shared" si="3"/>
        <v/>
      </c>
      <c r="L109" s="43" t="str">
        <f t="shared" si="4"/>
        <v/>
      </c>
      <c r="M109" s="48" t="str">
        <f t="shared" si="5"/>
        <v/>
      </c>
      <c r="N109" s="30"/>
    </row>
    <row r="110" ht="15.75" customHeight="1">
      <c r="A110" s="32"/>
      <c r="B110" s="15"/>
      <c r="C110" s="52" t="str">
        <f t="array" ref="C110">IFERROR(INDEX('3. Costeo y Precios'!$B$14:$B$63,MATCH($B110,'3. Costeo y Precios'!$A$14:$A$63,0)),"")</f>
        <v/>
      </c>
      <c r="D110" s="30"/>
      <c r="E110" s="15"/>
      <c r="F110" s="16"/>
      <c r="G110" s="41" t="str">
        <f t="shared" si="1"/>
        <v/>
      </c>
      <c r="H110" s="38">
        <f t="array" ref="H110">IFERROR(INDEX('3. Costeo y Precios'!$K$14:$K$63,MATCH($B110,'3. Costeo y Precios'!$A$14:$A$63,0)),0)</f>
        <v>0</v>
      </c>
      <c r="I110" s="41" t="str">
        <f t="shared" si="2"/>
        <v/>
      </c>
      <c r="J110" s="44"/>
      <c r="K110" s="41" t="str">
        <f t="shared" si="3"/>
        <v/>
      </c>
      <c r="L110" s="43" t="str">
        <f t="shared" si="4"/>
        <v/>
      </c>
      <c r="M110" s="48" t="str">
        <f t="shared" si="5"/>
        <v/>
      </c>
      <c r="N110" s="30"/>
    </row>
    <row r="111" ht="15.75" customHeight="1">
      <c r="A111" s="32"/>
      <c r="B111" s="15"/>
      <c r="C111" s="52" t="str">
        <f t="array" ref="C111">IFERROR(INDEX('3. Costeo y Precios'!$B$14:$B$63,MATCH($B111,'3. Costeo y Precios'!$A$14:$A$63,0)),"")</f>
        <v/>
      </c>
      <c r="D111" s="30"/>
      <c r="E111" s="15"/>
      <c r="F111" s="16"/>
      <c r="G111" s="41" t="str">
        <f t="shared" si="1"/>
        <v/>
      </c>
      <c r="H111" s="38">
        <f t="array" ref="H111">IFERROR(INDEX('3. Costeo y Precios'!$K$14:$K$63,MATCH($B111,'3. Costeo y Precios'!$A$14:$A$63,0)),0)</f>
        <v>0</v>
      </c>
      <c r="I111" s="41" t="str">
        <f t="shared" si="2"/>
        <v/>
      </c>
      <c r="J111" s="44"/>
      <c r="K111" s="41" t="str">
        <f t="shared" si="3"/>
        <v/>
      </c>
      <c r="L111" s="43" t="str">
        <f t="shared" si="4"/>
        <v/>
      </c>
      <c r="M111" s="48" t="str">
        <f t="shared" si="5"/>
        <v/>
      </c>
      <c r="N111" s="30"/>
    </row>
    <row r="112" ht="15.75" customHeight="1">
      <c r="A112" s="32"/>
      <c r="B112" s="15"/>
      <c r="C112" s="52" t="str">
        <f t="array" ref="C112">IFERROR(INDEX('3. Costeo y Precios'!$B$14:$B$63,MATCH($B112,'3. Costeo y Precios'!$A$14:$A$63,0)),"")</f>
        <v/>
      </c>
      <c r="D112" s="30"/>
      <c r="E112" s="15"/>
      <c r="F112" s="16"/>
      <c r="G112" s="41" t="str">
        <f t="shared" si="1"/>
        <v/>
      </c>
      <c r="H112" s="38">
        <f t="array" ref="H112">IFERROR(INDEX('3. Costeo y Precios'!$K$14:$K$63,MATCH($B112,'3. Costeo y Precios'!$A$14:$A$63,0)),0)</f>
        <v>0</v>
      </c>
      <c r="I112" s="41" t="str">
        <f t="shared" si="2"/>
        <v/>
      </c>
      <c r="J112" s="44"/>
      <c r="K112" s="41" t="str">
        <f t="shared" si="3"/>
        <v/>
      </c>
      <c r="L112" s="43" t="str">
        <f t="shared" si="4"/>
        <v/>
      </c>
      <c r="M112" s="48" t="str">
        <f t="shared" si="5"/>
        <v/>
      </c>
      <c r="N112" s="30"/>
    </row>
    <row r="113" ht="15.75" customHeight="1">
      <c r="A113" s="32"/>
      <c r="B113" s="15"/>
      <c r="C113" s="52" t="str">
        <f t="array" ref="C113">IFERROR(INDEX('3. Costeo y Precios'!$B$14:$B$63,MATCH($B113,'3. Costeo y Precios'!$A$14:$A$63,0)),"")</f>
        <v/>
      </c>
      <c r="D113" s="30"/>
      <c r="E113" s="15"/>
      <c r="F113" s="16"/>
      <c r="G113" s="41" t="str">
        <f t="shared" si="1"/>
        <v/>
      </c>
      <c r="H113" s="38">
        <f t="array" ref="H113">IFERROR(INDEX('3. Costeo y Precios'!$K$14:$K$63,MATCH($B113,'3. Costeo y Precios'!$A$14:$A$63,0)),0)</f>
        <v>0</v>
      </c>
      <c r="I113" s="41" t="str">
        <f t="shared" si="2"/>
        <v/>
      </c>
      <c r="J113" s="44"/>
      <c r="K113" s="41" t="str">
        <f t="shared" si="3"/>
        <v/>
      </c>
      <c r="L113" s="43" t="str">
        <f t="shared" si="4"/>
        <v/>
      </c>
      <c r="M113" s="48" t="str">
        <f t="shared" si="5"/>
        <v/>
      </c>
      <c r="N113" s="30"/>
    </row>
    <row r="114" ht="15.75" customHeight="1">
      <c r="A114" s="32"/>
      <c r="B114" s="15"/>
      <c r="C114" s="52" t="str">
        <f t="array" ref="C114">IFERROR(INDEX('3. Costeo y Precios'!$B$14:$B$63,MATCH($B114,'3. Costeo y Precios'!$A$14:$A$63,0)),"")</f>
        <v/>
      </c>
      <c r="D114" s="30"/>
      <c r="E114" s="15"/>
      <c r="F114" s="16"/>
      <c r="G114" s="41" t="str">
        <f t="shared" si="1"/>
        <v/>
      </c>
      <c r="H114" s="38">
        <f t="array" ref="H114">IFERROR(INDEX('3. Costeo y Precios'!$K$14:$K$63,MATCH($B114,'3. Costeo y Precios'!$A$14:$A$63,0)),0)</f>
        <v>0</v>
      </c>
      <c r="I114" s="41" t="str">
        <f t="shared" si="2"/>
        <v/>
      </c>
      <c r="J114" s="44"/>
      <c r="K114" s="41" t="str">
        <f t="shared" si="3"/>
        <v/>
      </c>
      <c r="L114" s="43" t="str">
        <f t="shared" si="4"/>
        <v/>
      </c>
      <c r="M114" s="48" t="str">
        <f t="shared" si="5"/>
        <v/>
      </c>
      <c r="N114" s="30"/>
    </row>
    <row r="115" ht="15.75" customHeight="1">
      <c r="A115" s="32"/>
      <c r="B115" s="15"/>
      <c r="C115" s="52" t="str">
        <f t="array" ref="C115">IFERROR(INDEX('3. Costeo y Precios'!$B$14:$B$63,MATCH($B115,'3. Costeo y Precios'!$A$14:$A$63,0)),"")</f>
        <v/>
      </c>
      <c r="D115" s="30"/>
      <c r="E115" s="15"/>
      <c r="F115" s="16"/>
      <c r="G115" s="41" t="str">
        <f t="shared" si="1"/>
        <v/>
      </c>
      <c r="H115" s="38">
        <f t="array" ref="H115">IFERROR(INDEX('3. Costeo y Precios'!$K$14:$K$63,MATCH($B115,'3. Costeo y Precios'!$A$14:$A$63,0)),0)</f>
        <v>0</v>
      </c>
      <c r="I115" s="41" t="str">
        <f t="shared" si="2"/>
        <v/>
      </c>
      <c r="J115" s="44"/>
      <c r="K115" s="41" t="str">
        <f t="shared" si="3"/>
        <v/>
      </c>
      <c r="L115" s="43" t="str">
        <f t="shared" si="4"/>
        <v/>
      </c>
      <c r="M115" s="48" t="str">
        <f t="shared" si="5"/>
        <v/>
      </c>
      <c r="N115" s="30"/>
    </row>
    <row r="116" ht="15.75" customHeight="1">
      <c r="A116" s="32"/>
      <c r="B116" s="15"/>
      <c r="C116" s="52" t="str">
        <f t="array" ref="C116">IFERROR(INDEX('3. Costeo y Precios'!$B$14:$B$63,MATCH($B116,'3. Costeo y Precios'!$A$14:$A$63,0)),"")</f>
        <v/>
      </c>
      <c r="D116" s="30"/>
      <c r="E116" s="15"/>
      <c r="F116" s="16"/>
      <c r="G116" s="41" t="str">
        <f t="shared" si="1"/>
        <v/>
      </c>
      <c r="H116" s="38">
        <f t="array" ref="H116">IFERROR(INDEX('3. Costeo y Precios'!$K$14:$K$63,MATCH($B116,'3. Costeo y Precios'!$A$14:$A$63,0)),0)</f>
        <v>0</v>
      </c>
      <c r="I116" s="41" t="str">
        <f t="shared" si="2"/>
        <v/>
      </c>
      <c r="J116" s="44"/>
      <c r="K116" s="41" t="str">
        <f t="shared" si="3"/>
        <v/>
      </c>
      <c r="L116" s="43" t="str">
        <f t="shared" si="4"/>
        <v/>
      </c>
      <c r="M116" s="48" t="str">
        <f t="shared" si="5"/>
        <v/>
      </c>
      <c r="N116" s="30"/>
    </row>
    <row r="117" ht="15.75" customHeight="1">
      <c r="A117" s="32"/>
      <c r="B117" s="15"/>
      <c r="C117" s="52" t="str">
        <f t="array" ref="C117">IFERROR(INDEX('3. Costeo y Precios'!$B$14:$B$63,MATCH($B117,'3. Costeo y Precios'!$A$14:$A$63,0)),"")</f>
        <v/>
      </c>
      <c r="D117" s="30"/>
      <c r="E117" s="15"/>
      <c r="F117" s="16"/>
      <c r="G117" s="41" t="str">
        <f t="shared" si="1"/>
        <v/>
      </c>
      <c r="H117" s="38">
        <f t="array" ref="H117">IFERROR(INDEX('3. Costeo y Precios'!$K$14:$K$63,MATCH($B117,'3. Costeo y Precios'!$A$14:$A$63,0)),0)</f>
        <v>0</v>
      </c>
      <c r="I117" s="41" t="str">
        <f t="shared" si="2"/>
        <v/>
      </c>
      <c r="J117" s="44"/>
      <c r="K117" s="41" t="str">
        <f t="shared" si="3"/>
        <v/>
      </c>
      <c r="L117" s="43" t="str">
        <f t="shared" si="4"/>
        <v/>
      </c>
      <c r="M117" s="48" t="str">
        <f t="shared" si="5"/>
        <v/>
      </c>
      <c r="N117" s="30"/>
    </row>
    <row r="118" ht="15.75" customHeight="1">
      <c r="A118" s="32"/>
      <c r="B118" s="15"/>
      <c r="C118" s="52" t="str">
        <f t="array" ref="C118">IFERROR(INDEX('3. Costeo y Precios'!$B$14:$B$63,MATCH($B118,'3. Costeo y Precios'!$A$14:$A$63,0)),"")</f>
        <v/>
      </c>
      <c r="D118" s="30"/>
      <c r="E118" s="15"/>
      <c r="F118" s="16"/>
      <c r="G118" s="41" t="str">
        <f t="shared" si="1"/>
        <v/>
      </c>
      <c r="H118" s="38">
        <f t="array" ref="H118">IFERROR(INDEX('3. Costeo y Precios'!$K$14:$K$63,MATCH($B118,'3. Costeo y Precios'!$A$14:$A$63,0)),0)</f>
        <v>0</v>
      </c>
      <c r="I118" s="41" t="str">
        <f t="shared" si="2"/>
        <v/>
      </c>
      <c r="J118" s="44"/>
      <c r="K118" s="41" t="str">
        <f t="shared" si="3"/>
        <v/>
      </c>
      <c r="L118" s="43" t="str">
        <f t="shared" si="4"/>
        <v/>
      </c>
      <c r="M118" s="48" t="str">
        <f t="shared" si="5"/>
        <v/>
      </c>
      <c r="N118" s="30"/>
    </row>
    <row r="119" ht="15.75" customHeight="1">
      <c r="A119" s="32"/>
      <c r="B119" s="15"/>
      <c r="C119" s="52" t="str">
        <f t="array" ref="C119">IFERROR(INDEX('3. Costeo y Precios'!$B$14:$B$63,MATCH($B119,'3. Costeo y Precios'!$A$14:$A$63,0)),"")</f>
        <v/>
      </c>
      <c r="D119" s="30"/>
      <c r="E119" s="15"/>
      <c r="F119" s="16"/>
      <c r="G119" s="41" t="str">
        <f t="shared" si="1"/>
        <v/>
      </c>
      <c r="H119" s="38">
        <f t="array" ref="H119">IFERROR(INDEX('3. Costeo y Precios'!$K$14:$K$63,MATCH($B119,'3. Costeo y Precios'!$A$14:$A$63,0)),0)</f>
        <v>0</v>
      </c>
      <c r="I119" s="41" t="str">
        <f t="shared" si="2"/>
        <v/>
      </c>
      <c r="J119" s="44"/>
      <c r="K119" s="41" t="str">
        <f t="shared" si="3"/>
        <v/>
      </c>
      <c r="L119" s="43" t="str">
        <f t="shared" si="4"/>
        <v/>
      </c>
      <c r="M119" s="48" t="str">
        <f t="shared" si="5"/>
        <v/>
      </c>
      <c r="N119" s="30"/>
    </row>
    <row r="120" ht="15.75" customHeight="1">
      <c r="A120" s="32"/>
      <c r="B120" s="15"/>
      <c r="C120" s="52" t="str">
        <f t="array" ref="C120">IFERROR(INDEX('3. Costeo y Precios'!$B$14:$B$63,MATCH($B120,'3. Costeo y Precios'!$A$14:$A$63,0)),"")</f>
        <v/>
      </c>
      <c r="D120" s="30"/>
      <c r="E120" s="15"/>
      <c r="F120" s="16"/>
      <c r="G120" s="41" t="str">
        <f t="shared" si="1"/>
        <v/>
      </c>
      <c r="H120" s="38">
        <f t="array" ref="H120">IFERROR(INDEX('3. Costeo y Precios'!$K$14:$K$63,MATCH($B120,'3. Costeo y Precios'!$A$14:$A$63,0)),0)</f>
        <v>0</v>
      </c>
      <c r="I120" s="41" t="str">
        <f t="shared" si="2"/>
        <v/>
      </c>
      <c r="J120" s="44"/>
      <c r="K120" s="41" t="str">
        <f t="shared" si="3"/>
        <v/>
      </c>
      <c r="L120" s="43" t="str">
        <f t="shared" si="4"/>
        <v/>
      </c>
      <c r="M120" s="48" t="str">
        <f t="shared" si="5"/>
        <v/>
      </c>
      <c r="N120" s="30"/>
    </row>
    <row r="121" ht="15.75" customHeight="1">
      <c r="A121" s="32"/>
      <c r="B121" s="15"/>
      <c r="C121" s="52" t="str">
        <f t="array" ref="C121">IFERROR(INDEX('3. Costeo y Precios'!$B$14:$B$63,MATCH($B121,'3. Costeo y Precios'!$A$14:$A$63,0)),"")</f>
        <v/>
      </c>
      <c r="D121" s="30"/>
      <c r="E121" s="15"/>
      <c r="F121" s="16"/>
      <c r="G121" s="41" t="str">
        <f t="shared" si="1"/>
        <v/>
      </c>
      <c r="H121" s="38">
        <f t="array" ref="H121">IFERROR(INDEX('3. Costeo y Precios'!$K$14:$K$63,MATCH($B121,'3. Costeo y Precios'!$A$14:$A$63,0)),0)</f>
        <v>0</v>
      </c>
      <c r="I121" s="41" t="str">
        <f t="shared" si="2"/>
        <v/>
      </c>
      <c r="J121" s="44"/>
      <c r="K121" s="41" t="str">
        <f t="shared" si="3"/>
        <v/>
      </c>
      <c r="L121" s="43" t="str">
        <f t="shared" si="4"/>
        <v/>
      </c>
      <c r="M121" s="48" t="str">
        <f t="shared" si="5"/>
        <v/>
      </c>
      <c r="N121" s="30"/>
    </row>
    <row r="122" ht="15.75" customHeight="1">
      <c r="A122" s="32"/>
      <c r="B122" s="15"/>
      <c r="C122" s="52" t="str">
        <f t="array" ref="C122">IFERROR(INDEX('3. Costeo y Precios'!$B$14:$B$63,MATCH($B122,'3. Costeo y Precios'!$A$14:$A$63,0)),"")</f>
        <v/>
      </c>
      <c r="D122" s="30"/>
      <c r="E122" s="15"/>
      <c r="F122" s="16"/>
      <c r="G122" s="41" t="str">
        <f t="shared" si="1"/>
        <v/>
      </c>
      <c r="H122" s="38">
        <f t="array" ref="H122">IFERROR(INDEX('3. Costeo y Precios'!$K$14:$K$63,MATCH($B122,'3. Costeo y Precios'!$A$14:$A$63,0)),0)</f>
        <v>0</v>
      </c>
      <c r="I122" s="41" t="str">
        <f t="shared" si="2"/>
        <v/>
      </c>
      <c r="J122" s="44"/>
      <c r="K122" s="41" t="str">
        <f t="shared" si="3"/>
        <v/>
      </c>
      <c r="L122" s="43" t="str">
        <f t="shared" si="4"/>
        <v/>
      </c>
      <c r="M122" s="48" t="str">
        <f t="shared" si="5"/>
        <v/>
      </c>
      <c r="N122" s="30"/>
    </row>
    <row r="123" ht="15.75" customHeight="1">
      <c r="A123" s="32"/>
      <c r="B123" s="15"/>
      <c r="C123" s="52" t="str">
        <f t="array" ref="C123">IFERROR(INDEX('3. Costeo y Precios'!$B$14:$B$63,MATCH($B123,'3. Costeo y Precios'!$A$14:$A$63,0)),"")</f>
        <v/>
      </c>
      <c r="D123" s="30"/>
      <c r="E123" s="15"/>
      <c r="F123" s="16"/>
      <c r="G123" s="41" t="str">
        <f t="shared" si="1"/>
        <v/>
      </c>
      <c r="H123" s="38">
        <f t="array" ref="H123">IFERROR(INDEX('3. Costeo y Precios'!$K$14:$K$63,MATCH($B123,'3. Costeo y Precios'!$A$14:$A$63,0)),0)</f>
        <v>0</v>
      </c>
      <c r="I123" s="41" t="str">
        <f t="shared" si="2"/>
        <v/>
      </c>
      <c r="J123" s="44"/>
      <c r="K123" s="41" t="str">
        <f t="shared" si="3"/>
        <v/>
      </c>
      <c r="L123" s="43" t="str">
        <f t="shared" si="4"/>
        <v/>
      </c>
      <c r="M123" s="48" t="str">
        <f t="shared" si="5"/>
        <v/>
      </c>
      <c r="N123" s="30"/>
    </row>
    <row r="124" ht="15.75" customHeight="1">
      <c r="A124" s="32"/>
      <c r="B124" s="15"/>
      <c r="C124" s="52" t="str">
        <f t="array" ref="C124">IFERROR(INDEX('3. Costeo y Precios'!$B$14:$B$63,MATCH($B124,'3. Costeo y Precios'!$A$14:$A$63,0)),"")</f>
        <v/>
      </c>
      <c r="D124" s="30"/>
      <c r="E124" s="15"/>
      <c r="F124" s="16"/>
      <c r="G124" s="41" t="str">
        <f t="shared" si="1"/>
        <v/>
      </c>
      <c r="H124" s="38">
        <f t="array" ref="H124">IFERROR(INDEX('3. Costeo y Precios'!$K$14:$K$63,MATCH($B124,'3. Costeo y Precios'!$A$14:$A$63,0)),0)</f>
        <v>0</v>
      </c>
      <c r="I124" s="41" t="str">
        <f t="shared" si="2"/>
        <v/>
      </c>
      <c r="J124" s="44"/>
      <c r="K124" s="41" t="str">
        <f t="shared" si="3"/>
        <v/>
      </c>
      <c r="L124" s="43" t="str">
        <f t="shared" si="4"/>
        <v/>
      </c>
      <c r="M124" s="48" t="str">
        <f t="shared" si="5"/>
        <v/>
      </c>
      <c r="N124" s="30"/>
    </row>
    <row r="125" ht="15.75" customHeight="1">
      <c r="A125" s="32"/>
      <c r="B125" s="15"/>
      <c r="C125" s="52" t="str">
        <f t="array" ref="C125">IFERROR(INDEX('3. Costeo y Precios'!$B$14:$B$63,MATCH($B125,'3. Costeo y Precios'!$A$14:$A$63,0)),"")</f>
        <v/>
      </c>
      <c r="D125" s="30"/>
      <c r="E125" s="15"/>
      <c r="F125" s="16"/>
      <c r="G125" s="41" t="str">
        <f t="shared" si="1"/>
        <v/>
      </c>
      <c r="H125" s="38">
        <f t="array" ref="H125">IFERROR(INDEX('3. Costeo y Precios'!$K$14:$K$63,MATCH($B125,'3. Costeo y Precios'!$A$14:$A$63,0)),0)</f>
        <v>0</v>
      </c>
      <c r="I125" s="41" t="str">
        <f t="shared" si="2"/>
        <v/>
      </c>
      <c r="J125" s="44"/>
      <c r="K125" s="41" t="str">
        <f t="shared" si="3"/>
        <v/>
      </c>
      <c r="L125" s="43" t="str">
        <f t="shared" si="4"/>
        <v/>
      </c>
      <c r="M125" s="48" t="str">
        <f t="shared" si="5"/>
        <v/>
      </c>
      <c r="N125" s="30"/>
    </row>
    <row r="126" ht="15.75" customHeight="1">
      <c r="A126" s="32"/>
      <c r="B126" s="15"/>
      <c r="C126" s="52" t="str">
        <f t="array" ref="C126">IFERROR(INDEX('3. Costeo y Precios'!$B$14:$B$63,MATCH($B126,'3. Costeo y Precios'!$A$14:$A$63,0)),"")</f>
        <v/>
      </c>
      <c r="D126" s="30"/>
      <c r="E126" s="15"/>
      <c r="F126" s="16"/>
      <c r="G126" s="41" t="str">
        <f t="shared" si="1"/>
        <v/>
      </c>
      <c r="H126" s="38">
        <f t="array" ref="H126">IFERROR(INDEX('3. Costeo y Precios'!$K$14:$K$63,MATCH($B126,'3. Costeo y Precios'!$A$14:$A$63,0)),0)</f>
        <v>0</v>
      </c>
      <c r="I126" s="41" t="str">
        <f t="shared" si="2"/>
        <v/>
      </c>
      <c r="J126" s="44"/>
      <c r="K126" s="41" t="str">
        <f t="shared" si="3"/>
        <v/>
      </c>
      <c r="L126" s="43" t="str">
        <f t="shared" si="4"/>
        <v/>
      </c>
      <c r="M126" s="48" t="str">
        <f t="shared" si="5"/>
        <v/>
      </c>
      <c r="N126" s="30"/>
    </row>
    <row r="127" ht="15.75" customHeight="1">
      <c r="A127" s="32"/>
      <c r="B127" s="15"/>
      <c r="C127" s="52" t="str">
        <f t="array" ref="C127">IFERROR(INDEX('3. Costeo y Precios'!$B$14:$B$63,MATCH($B127,'3. Costeo y Precios'!$A$14:$A$63,0)),"")</f>
        <v/>
      </c>
      <c r="D127" s="30"/>
      <c r="E127" s="15"/>
      <c r="F127" s="16"/>
      <c r="G127" s="41" t="str">
        <f t="shared" si="1"/>
        <v/>
      </c>
      <c r="H127" s="38">
        <f t="array" ref="H127">IFERROR(INDEX('3. Costeo y Precios'!$K$14:$K$63,MATCH($B127,'3. Costeo y Precios'!$A$14:$A$63,0)),0)</f>
        <v>0</v>
      </c>
      <c r="I127" s="41" t="str">
        <f t="shared" si="2"/>
        <v/>
      </c>
      <c r="J127" s="44"/>
      <c r="K127" s="41" t="str">
        <f t="shared" si="3"/>
        <v/>
      </c>
      <c r="L127" s="43" t="str">
        <f t="shared" si="4"/>
        <v/>
      </c>
      <c r="M127" s="48" t="str">
        <f t="shared" si="5"/>
        <v/>
      </c>
      <c r="N127" s="30"/>
    </row>
    <row r="128" ht="15.75" customHeight="1">
      <c r="A128" s="32"/>
      <c r="B128" s="15"/>
      <c r="C128" s="52" t="str">
        <f t="array" ref="C128">IFERROR(INDEX('3. Costeo y Precios'!$B$14:$B$63,MATCH($B128,'3. Costeo y Precios'!$A$14:$A$63,0)),"")</f>
        <v/>
      </c>
      <c r="D128" s="30"/>
      <c r="E128" s="15"/>
      <c r="F128" s="16"/>
      <c r="G128" s="41" t="str">
        <f t="shared" si="1"/>
        <v/>
      </c>
      <c r="H128" s="38">
        <f t="array" ref="H128">IFERROR(INDEX('3. Costeo y Precios'!$K$14:$K$63,MATCH($B128,'3. Costeo y Precios'!$A$14:$A$63,0)),0)</f>
        <v>0</v>
      </c>
      <c r="I128" s="41" t="str">
        <f t="shared" si="2"/>
        <v/>
      </c>
      <c r="J128" s="44"/>
      <c r="K128" s="41" t="str">
        <f t="shared" si="3"/>
        <v/>
      </c>
      <c r="L128" s="43" t="str">
        <f t="shared" si="4"/>
        <v/>
      </c>
      <c r="M128" s="48" t="str">
        <f t="shared" si="5"/>
        <v/>
      </c>
      <c r="N128" s="30"/>
    </row>
    <row r="129" ht="15.75" customHeight="1">
      <c r="A129" s="32"/>
      <c r="B129" s="15"/>
      <c r="C129" s="52" t="str">
        <f t="array" ref="C129">IFERROR(INDEX('3. Costeo y Precios'!$B$14:$B$63,MATCH($B129,'3. Costeo y Precios'!$A$14:$A$63,0)),"")</f>
        <v/>
      </c>
      <c r="D129" s="30"/>
      <c r="E129" s="15"/>
      <c r="F129" s="16"/>
      <c r="G129" s="41" t="str">
        <f t="shared" si="1"/>
        <v/>
      </c>
      <c r="H129" s="38">
        <f t="array" ref="H129">IFERROR(INDEX('3. Costeo y Precios'!$K$14:$K$63,MATCH($B129,'3. Costeo y Precios'!$A$14:$A$63,0)),0)</f>
        <v>0</v>
      </c>
      <c r="I129" s="41" t="str">
        <f t="shared" si="2"/>
        <v/>
      </c>
      <c r="J129" s="44"/>
      <c r="K129" s="41" t="str">
        <f t="shared" si="3"/>
        <v/>
      </c>
      <c r="L129" s="43" t="str">
        <f t="shared" si="4"/>
        <v/>
      </c>
      <c r="M129" s="48" t="str">
        <f t="shared" si="5"/>
        <v/>
      </c>
      <c r="N129" s="30"/>
    </row>
    <row r="130" ht="15.75" customHeight="1">
      <c r="A130" s="32"/>
      <c r="B130" s="15"/>
      <c r="C130" s="52" t="str">
        <f t="array" ref="C130">IFERROR(INDEX('3. Costeo y Precios'!$B$14:$B$63,MATCH($B130,'3. Costeo y Precios'!$A$14:$A$63,0)),"")</f>
        <v/>
      </c>
      <c r="D130" s="30"/>
      <c r="E130" s="15"/>
      <c r="F130" s="16"/>
      <c r="G130" s="41" t="str">
        <f t="shared" si="1"/>
        <v/>
      </c>
      <c r="H130" s="38">
        <f t="array" ref="H130">IFERROR(INDEX('3. Costeo y Precios'!$K$14:$K$63,MATCH($B130,'3. Costeo y Precios'!$A$14:$A$63,0)),0)</f>
        <v>0</v>
      </c>
      <c r="I130" s="41" t="str">
        <f t="shared" si="2"/>
        <v/>
      </c>
      <c r="J130" s="44"/>
      <c r="K130" s="41" t="str">
        <f t="shared" si="3"/>
        <v/>
      </c>
      <c r="L130" s="43" t="str">
        <f t="shared" si="4"/>
        <v/>
      </c>
      <c r="M130" s="48" t="str">
        <f t="shared" si="5"/>
        <v/>
      </c>
      <c r="N130" s="30"/>
    </row>
    <row r="131" ht="15.75" customHeight="1">
      <c r="A131" s="32"/>
      <c r="B131" s="15"/>
      <c r="C131" s="52" t="str">
        <f t="array" ref="C131">IFERROR(INDEX('3. Costeo y Precios'!$B$14:$B$63,MATCH($B131,'3. Costeo y Precios'!$A$14:$A$63,0)),"")</f>
        <v/>
      </c>
      <c r="D131" s="30"/>
      <c r="E131" s="15"/>
      <c r="F131" s="16"/>
      <c r="G131" s="41" t="str">
        <f t="shared" si="1"/>
        <v/>
      </c>
      <c r="H131" s="38">
        <f t="array" ref="H131">IFERROR(INDEX('3. Costeo y Precios'!$K$14:$K$63,MATCH($B131,'3. Costeo y Precios'!$A$14:$A$63,0)),0)</f>
        <v>0</v>
      </c>
      <c r="I131" s="41" t="str">
        <f t="shared" si="2"/>
        <v/>
      </c>
      <c r="J131" s="44"/>
      <c r="K131" s="41" t="str">
        <f t="shared" si="3"/>
        <v/>
      </c>
      <c r="L131" s="43" t="str">
        <f t="shared" si="4"/>
        <v/>
      </c>
      <c r="M131" s="48" t="str">
        <f t="shared" si="5"/>
        <v/>
      </c>
      <c r="N131" s="30"/>
    </row>
    <row r="132" ht="15.75" customHeight="1">
      <c r="A132" s="32"/>
      <c r="B132" s="15"/>
      <c r="C132" s="52" t="str">
        <f t="array" ref="C132">IFERROR(INDEX('3. Costeo y Precios'!$B$14:$B$63,MATCH($B132,'3. Costeo y Precios'!$A$14:$A$63,0)),"")</f>
        <v/>
      </c>
      <c r="D132" s="30"/>
      <c r="E132" s="15"/>
      <c r="F132" s="16"/>
      <c r="G132" s="41" t="str">
        <f t="shared" si="1"/>
        <v/>
      </c>
      <c r="H132" s="38">
        <f t="array" ref="H132">IFERROR(INDEX('3. Costeo y Precios'!$K$14:$K$63,MATCH($B132,'3. Costeo y Precios'!$A$14:$A$63,0)),0)</f>
        <v>0</v>
      </c>
      <c r="I132" s="41" t="str">
        <f t="shared" si="2"/>
        <v/>
      </c>
      <c r="J132" s="44"/>
      <c r="K132" s="41" t="str">
        <f t="shared" si="3"/>
        <v/>
      </c>
      <c r="L132" s="43" t="str">
        <f t="shared" si="4"/>
        <v/>
      </c>
      <c r="M132" s="48" t="str">
        <f t="shared" si="5"/>
        <v/>
      </c>
      <c r="N132" s="30"/>
    </row>
    <row r="133" ht="15.75" customHeight="1">
      <c r="A133" s="32"/>
      <c r="B133" s="15"/>
      <c r="C133" s="52" t="str">
        <f t="array" ref="C133">IFERROR(INDEX('3. Costeo y Precios'!$B$14:$B$63,MATCH($B133,'3. Costeo y Precios'!$A$14:$A$63,0)),"")</f>
        <v/>
      </c>
      <c r="D133" s="30"/>
      <c r="E133" s="15"/>
      <c r="F133" s="16"/>
      <c r="G133" s="41" t="str">
        <f t="shared" si="1"/>
        <v/>
      </c>
      <c r="H133" s="38">
        <f t="array" ref="H133">IFERROR(INDEX('3. Costeo y Precios'!$K$14:$K$63,MATCH($B133,'3. Costeo y Precios'!$A$14:$A$63,0)),0)</f>
        <v>0</v>
      </c>
      <c r="I133" s="41" t="str">
        <f t="shared" si="2"/>
        <v/>
      </c>
      <c r="J133" s="44"/>
      <c r="K133" s="41" t="str">
        <f t="shared" si="3"/>
        <v/>
      </c>
      <c r="L133" s="43" t="str">
        <f t="shared" si="4"/>
        <v/>
      </c>
      <c r="M133" s="48" t="str">
        <f t="shared" si="5"/>
        <v/>
      </c>
      <c r="N133" s="30"/>
    </row>
    <row r="134" ht="15.75" customHeight="1">
      <c r="A134" s="32"/>
      <c r="B134" s="15"/>
      <c r="C134" s="52" t="str">
        <f t="array" ref="C134">IFERROR(INDEX('3. Costeo y Precios'!$B$14:$B$63,MATCH($B134,'3. Costeo y Precios'!$A$14:$A$63,0)),"")</f>
        <v/>
      </c>
      <c r="D134" s="30"/>
      <c r="E134" s="15"/>
      <c r="F134" s="16"/>
      <c r="G134" s="41" t="str">
        <f t="shared" si="1"/>
        <v/>
      </c>
      <c r="H134" s="38">
        <f t="array" ref="H134">IFERROR(INDEX('3. Costeo y Precios'!$K$14:$K$63,MATCH($B134,'3. Costeo y Precios'!$A$14:$A$63,0)),0)</f>
        <v>0</v>
      </c>
      <c r="I134" s="41" t="str">
        <f t="shared" si="2"/>
        <v/>
      </c>
      <c r="J134" s="44"/>
      <c r="K134" s="41" t="str">
        <f t="shared" si="3"/>
        <v/>
      </c>
      <c r="L134" s="43" t="str">
        <f t="shared" si="4"/>
        <v/>
      </c>
      <c r="M134" s="48" t="str">
        <f t="shared" si="5"/>
        <v/>
      </c>
      <c r="N134" s="30"/>
    </row>
    <row r="135" ht="15.75" customHeight="1">
      <c r="A135" s="32"/>
      <c r="B135" s="15"/>
      <c r="C135" s="52" t="str">
        <f t="array" ref="C135">IFERROR(INDEX('3. Costeo y Precios'!$B$14:$B$63,MATCH($B135,'3. Costeo y Precios'!$A$14:$A$63,0)),"")</f>
        <v/>
      </c>
      <c r="D135" s="30"/>
      <c r="E135" s="15"/>
      <c r="F135" s="16"/>
      <c r="G135" s="41" t="str">
        <f t="shared" si="1"/>
        <v/>
      </c>
      <c r="H135" s="38">
        <f t="array" ref="H135">IFERROR(INDEX('3. Costeo y Precios'!$K$14:$K$63,MATCH($B135,'3. Costeo y Precios'!$A$14:$A$63,0)),0)</f>
        <v>0</v>
      </c>
      <c r="I135" s="41" t="str">
        <f t="shared" si="2"/>
        <v/>
      </c>
      <c r="J135" s="44"/>
      <c r="K135" s="41" t="str">
        <f t="shared" si="3"/>
        <v/>
      </c>
      <c r="L135" s="43" t="str">
        <f t="shared" si="4"/>
        <v/>
      </c>
      <c r="M135" s="48" t="str">
        <f t="shared" si="5"/>
        <v/>
      </c>
      <c r="N135" s="30"/>
    </row>
    <row r="136" ht="15.75" customHeight="1">
      <c r="A136" s="32"/>
      <c r="B136" s="15"/>
      <c r="C136" s="52" t="str">
        <f t="array" ref="C136">IFERROR(INDEX('3. Costeo y Precios'!$B$14:$B$63,MATCH($B136,'3. Costeo y Precios'!$A$14:$A$63,0)),"")</f>
        <v/>
      </c>
      <c r="D136" s="30"/>
      <c r="E136" s="15"/>
      <c r="F136" s="16"/>
      <c r="G136" s="41" t="str">
        <f t="shared" si="1"/>
        <v/>
      </c>
      <c r="H136" s="38">
        <f t="array" ref="H136">IFERROR(INDEX('3. Costeo y Precios'!$K$14:$K$63,MATCH($B136,'3. Costeo y Precios'!$A$14:$A$63,0)),0)</f>
        <v>0</v>
      </c>
      <c r="I136" s="41" t="str">
        <f t="shared" si="2"/>
        <v/>
      </c>
      <c r="J136" s="44"/>
      <c r="K136" s="41" t="str">
        <f t="shared" si="3"/>
        <v/>
      </c>
      <c r="L136" s="43" t="str">
        <f t="shared" si="4"/>
        <v/>
      </c>
      <c r="M136" s="48" t="str">
        <f t="shared" si="5"/>
        <v/>
      </c>
      <c r="N136" s="30"/>
    </row>
    <row r="137" ht="15.75" customHeight="1">
      <c r="A137" s="32"/>
      <c r="B137" s="15"/>
      <c r="C137" s="52" t="str">
        <f t="array" ref="C137">IFERROR(INDEX('3. Costeo y Precios'!$B$14:$B$63,MATCH($B137,'3. Costeo y Precios'!$A$14:$A$63,0)),"")</f>
        <v/>
      </c>
      <c r="D137" s="30"/>
      <c r="E137" s="15"/>
      <c r="F137" s="16"/>
      <c r="G137" s="41" t="str">
        <f t="shared" si="1"/>
        <v/>
      </c>
      <c r="H137" s="38">
        <f t="array" ref="H137">IFERROR(INDEX('3. Costeo y Precios'!$K$14:$K$63,MATCH($B137,'3. Costeo y Precios'!$A$14:$A$63,0)),0)</f>
        <v>0</v>
      </c>
      <c r="I137" s="41" t="str">
        <f t="shared" si="2"/>
        <v/>
      </c>
      <c r="J137" s="44"/>
      <c r="K137" s="41" t="str">
        <f t="shared" si="3"/>
        <v/>
      </c>
      <c r="L137" s="43" t="str">
        <f t="shared" si="4"/>
        <v/>
      </c>
      <c r="M137" s="48" t="str">
        <f t="shared" si="5"/>
        <v/>
      </c>
      <c r="N137" s="30"/>
    </row>
    <row r="138" ht="15.75" customHeight="1">
      <c r="A138" s="32"/>
      <c r="B138" s="15"/>
      <c r="C138" s="52" t="str">
        <f t="array" ref="C138">IFERROR(INDEX('3. Costeo y Precios'!$B$14:$B$63,MATCH($B138,'3. Costeo y Precios'!$A$14:$A$63,0)),"")</f>
        <v/>
      </c>
      <c r="D138" s="30"/>
      <c r="E138" s="15"/>
      <c r="F138" s="16"/>
      <c r="G138" s="41" t="str">
        <f t="shared" si="1"/>
        <v/>
      </c>
      <c r="H138" s="38">
        <f t="array" ref="H138">IFERROR(INDEX('3. Costeo y Precios'!$K$14:$K$63,MATCH($B138,'3. Costeo y Precios'!$A$14:$A$63,0)),0)</f>
        <v>0</v>
      </c>
      <c r="I138" s="41" t="str">
        <f t="shared" si="2"/>
        <v/>
      </c>
      <c r="J138" s="44"/>
      <c r="K138" s="41" t="str">
        <f t="shared" si="3"/>
        <v/>
      </c>
      <c r="L138" s="43" t="str">
        <f t="shared" si="4"/>
        <v/>
      </c>
      <c r="M138" s="48" t="str">
        <f t="shared" si="5"/>
        <v/>
      </c>
      <c r="N138" s="30"/>
    </row>
    <row r="139" ht="15.75" customHeight="1">
      <c r="A139" s="32"/>
      <c r="B139" s="15"/>
      <c r="C139" s="52" t="str">
        <f t="array" ref="C139">IFERROR(INDEX('3. Costeo y Precios'!$B$14:$B$63,MATCH($B139,'3. Costeo y Precios'!$A$14:$A$63,0)),"")</f>
        <v/>
      </c>
      <c r="D139" s="30"/>
      <c r="E139" s="15"/>
      <c r="F139" s="16"/>
      <c r="G139" s="41" t="str">
        <f t="shared" si="1"/>
        <v/>
      </c>
      <c r="H139" s="38">
        <f t="array" ref="H139">IFERROR(INDEX('3. Costeo y Precios'!$K$14:$K$63,MATCH($B139,'3. Costeo y Precios'!$A$14:$A$63,0)),0)</f>
        <v>0</v>
      </c>
      <c r="I139" s="41" t="str">
        <f t="shared" si="2"/>
        <v/>
      </c>
      <c r="J139" s="44"/>
      <c r="K139" s="41" t="str">
        <f t="shared" si="3"/>
        <v/>
      </c>
      <c r="L139" s="43" t="str">
        <f t="shared" si="4"/>
        <v/>
      </c>
      <c r="M139" s="48" t="str">
        <f t="shared" si="5"/>
        <v/>
      </c>
      <c r="N139" s="30"/>
    </row>
    <row r="140" ht="15.75" customHeight="1">
      <c r="A140" s="32"/>
      <c r="B140" s="15"/>
      <c r="C140" s="52" t="str">
        <f t="array" ref="C140">IFERROR(INDEX('3. Costeo y Precios'!$B$14:$B$63,MATCH($B140,'3. Costeo y Precios'!$A$14:$A$63,0)),"")</f>
        <v/>
      </c>
      <c r="D140" s="30"/>
      <c r="E140" s="15"/>
      <c r="F140" s="16"/>
      <c r="G140" s="41" t="str">
        <f t="shared" si="1"/>
        <v/>
      </c>
      <c r="H140" s="38">
        <f t="array" ref="H140">IFERROR(INDEX('3. Costeo y Precios'!$K$14:$K$63,MATCH($B140,'3. Costeo y Precios'!$A$14:$A$63,0)),0)</f>
        <v>0</v>
      </c>
      <c r="I140" s="41" t="str">
        <f t="shared" si="2"/>
        <v/>
      </c>
      <c r="J140" s="44"/>
      <c r="K140" s="41" t="str">
        <f t="shared" si="3"/>
        <v/>
      </c>
      <c r="L140" s="43" t="str">
        <f t="shared" si="4"/>
        <v/>
      </c>
      <c r="M140" s="48" t="str">
        <f t="shared" si="5"/>
        <v/>
      </c>
      <c r="N140" s="30"/>
    </row>
    <row r="141" ht="15.75" customHeight="1">
      <c r="A141" s="32"/>
      <c r="B141" s="15"/>
      <c r="C141" s="52" t="str">
        <f t="array" ref="C141">IFERROR(INDEX('3. Costeo y Precios'!$B$14:$B$63,MATCH($B141,'3. Costeo y Precios'!$A$14:$A$63,0)),"")</f>
        <v/>
      </c>
      <c r="D141" s="30"/>
      <c r="E141" s="15"/>
      <c r="F141" s="16"/>
      <c r="G141" s="41" t="str">
        <f t="shared" si="1"/>
        <v/>
      </c>
      <c r="H141" s="38">
        <f t="array" ref="H141">IFERROR(INDEX('3. Costeo y Precios'!$K$14:$K$63,MATCH($B141,'3. Costeo y Precios'!$A$14:$A$63,0)),0)</f>
        <v>0</v>
      </c>
      <c r="I141" s="41" t="str">
        <f t="shared" si="2"/>
        <v/>
      </c>
      <c r="J141" s="44"/>
      <c r="K141" s="41" t="str">
        <f t="shared" si="3"/>
        <v/>
      </c>
      <c r="L141" s="43" t="str">
        <f t="shared" si="4"/>
        <v/>
      </c>
      <c r="M141" s="48" t="str">
        <f t="shared" si="5"/>
        <v/>
      </c>
      <c r="N141" s="30"/>
    </row>
    <row r="142" ht="15.75" customHeight="1">
      <c r="A142" s="32"/>
      <c r="B142" s="15"/>
      <c r="C142" s="52" t="str">
        <f t="array" ref="C142">IFERROR(INDEX('3. Costeo y Precios'!$B$14:$B$63,MATCH($B142,'3. Costeo y Precios'!$A$14:$A$63,0)),"")</f>
        <v/>
      </c>
      <c r="D142" s="30"/>
      <c r="E142" s="15"/>
      <c r="F142" s="16"/>
      <c r="G142" s="41" t="str">
        <f t="shared" si="1"/>
        <v/>
      </c>
      <c r="H142" s="38">
        <f t="array" ref="H142">IFERROR(INDEX('3. Costeo y Precios'!$K$14:$K$63,MATCH($B142,'3. Costeo y Precios'!$A$14:$A$63,0)),0)</f>
        <v>0</v>
      </c>
      <c r="I142" s="41" t="str">
        <f t="shared" si="2"/>
        <v/>
      </c>
      <c r="J142" s="44"/>
      <c r="K142" s="41" t="str">
        <f t="shared" si="3"/>
        <v/>
      </c>
      <c r="L142" s="43" t="str">
        <f t="shared" si="4"/>
        <v/>
      </c>
      <c r="M142" s="48" t="str">
        <f t="shared" si="5"/>
        <v/>
      </c>
      <c r="N142" s="30"/>
    </row>
    <row r="143" ht="15.75" customHeight="1">
      <c r="A143" s="32"/>
      <c r="B143" s="15"/>
      <c r="C143" s="52" t="str">
        <f t="array" ref="C143">IFERROR(INDEX('3. Costeo y Precios'!$B$14:$B$63,MATCH($B143,'3. Costeo y Precios'!$A$14:$A$63,0)),"")</f>
        <v/>
      </c>
      <c r="D143" s="30"/>
      <c r="E143" s="15"/>
      <c r="F143" s="16"/>
      <c r="G143" s="41" t="str">
        <f t="shared" si="1"/>
        <v/>
      </c>
      <c r="H143" s="38">
        <f t="array" ref="H143">IFERROR(INDEX('3. Costeo y Precios'!$K$14:$K$63,MATCH($B143,'3. Costeo y Precios'!$A$14:$A$63,0)),0)</f>
        <v>0</v>
      </c>
      <c r="I143" s="41" t="str">
        <f t="shared" si="2"/>
        <v/>
      </c>
      <c r="J143" s="44"/>
      <c r="K143" s="41" t="str">
        <f t="shared" si="3"/>
        <v/>
      </c>
      <c r="L143" s="43" t="str">
        <f t="shared" si="4"/>
        <v/>
      </c>
      <c r="M143" s="48" t="str">
        <f t="shared" si="5"/>
        <v/>
      </c>
      <c r="N143" s="30"/>
    </row>
    <row r="144" ht="15.75" customHeight="1">
      <c r="A144" s="32"/>
      <c r="B144" s="15"/>
      <c r="C144" s="52" t="str">
        <f t="array" ref="C144">IFERROR(INDEX('3. Costeo y Precios'!$B$14:$B$63,MATCH($B144,'3. Costeo y Precios'!$A$14:$A$63,0)),"")</f>
        <v/>
      </c>
      <c r="D144" s="30"/>
      <c r="E144" s="15"/>
      <c r="F144" s="16"/>
      <c r="G144" s="41" t="str">
        <f t="shared" si="1"/>
        <v/>
      </c>
      <c r="H144" s="38">
        <f t="array" ref="H144">IFERROR(INDEX('3. Costeo y Precios'!$K$14:$K$63,MATCH($B144,'3. Costeo y Precios'!$A$14:$A$63,0)),0)</f>
        <v>0</v>
      </c>
      <c r="I144" s="41" t="str">
        <f t="shared" si="2"/>
        <v/>
      </c>
      <c r="J144" s="44"/>
      <c r="K144" s="41" t="str">
        <f t="shared" si="3"/>
        <v/>
      </c>
      <c r="L144" s="43" t="str">
        <f t="shared" si="4"/>
        <v/>
      </c>
      <c r="M144" s="48" t="str">
        <f t="shared" si="5"/>
        <v/>
      </c>
      <c r="N144" s="30"/>
    </row>
    <row r="145" ht="15.75" customHeight="1">
      <c r="A145" s="32"/>
      <c r="B145" s="15"/>
      <c r="C145" s="52" t="str">
        <f t="array" ref="C145">IFERROR(INDEX('3. Costeo y Precios'!$B$14:$B$63,MATCH($B145,'3. Costeo y Precios'!$A$14:$A$63,0)),"")</f>
        <v/>
      </c>
      <c r="D145" s="30"/>
      <c r="E145" s="15"/>
      <c r="F145" s="16"/>
      <c r="G145" s="41" t="str">
        <f t="shared" si="1"/>
        <v/>
      </c>
      <c r="H145" s="38">
        <f t="array" ref="H145">IFERROR(INDEX('3. Costeo y Precios'!$K$14:$K$63,MATCH($B145,'3. Costeo y Precios'!$A$14:$A$63,0)),0)</f>
        <v>0</v>
      </c>
      <c r="I145" s="41" t="str">
        <f t="shared" si="2"/>
        <v/>
      </c>
      <c r="J145" s="44"/>
      <c r="K145" s="41" t="str">
        <f t="shared" si="3"/>
        <v/>
      </c>
      <c r="L145" s="43" t="str">
        <f t="shared" si="4"/>
        <v/>
      </c>
      <c r="M145" s="48" t="str">
        <f t="shared" si="5"/>
        <v/>
      </c>
      <c r="N145" s="30"/>
    </row>
    <row r="146" ht="15.75" customHeight="1">
      <c r="A146" s="32"/>
      <c r="B146" s="15"/>
      <c r="C146" s="52" t="str">
        <f t="array" ref="C146">IFERROR(INDEX('3. Costeo y Precios'!$B$14:$B$63,MATCH($B146,'3. Costeo y Precios'!$A$14:$A$63,0)),"")</f>
        <v/>
      </c>
      <c r="D146" s="30"/>
      <c r="E146" s="15"/>
      <c r="F146" s="16"/>
      <c r="G146" s="41" t="str">
        <f t="shared" si="1"/>
        <v/>
      </c>
      <c r="H146" s="38">
        <f t="array" ref="H146">IFERROR(INDEX('3. Costeo y Precios'!$K$14:$K$63,MATCH($B146,'3. Costeo y Precios'!$A$14:$A$63,0)),0)</f>
        <v>0</v>
      </c>
      <c r="I146" s="41" t="str">
        <f t="shared" si="2"/>
        <v/>
      </c>
      <c r="J146" s="44"/>
      <c r="K146" s="41" t="str">
        <f t="shared" si="3"/>
        <v/>
      </c>
      <c r="L146" s="43" t="str">
        <f t="shared" si="4"/>
        <v/>
      </c>
      <c r="M146" s="48" t="str">
        <f t="shared" si="5"/>
        <v/>
      </c>
      <c r="N146" s="30"/>
    </row>
    <row r="147" ht="15.75" customHeight="1">
      <c r="A147" s="32"/>
      <c r="B147" s="15"/>
      <c r="C147" s="52" t="str">
        <f t="array" ref="C147">IFERROR(INDEX('3. Costeo y Precios'!$B$14:$B$63,MATCH($B147,'3. Costeo y Precios'!$A$14:$A$63,0)),"")</f>
        <v/>
      </c>
      <c r="D147" s="30"/>
      <c r="E147" s="15"/>
      <c r="F147" s="16"/>
      <c r="G147" s="41" t="str">
        <f t="shared" si="1"/>
        <v/>
      </c>
      <c r="H147" s="38">
        <f t="array" ref="H147">IFERROR(INDEX('3. Costeo y Precios'!$K$14:$K$63,MATCH($B147,'3. Costeo y Precios'!$A$14:$A$63,0)),0)</f>
        <v>0</v>
      </c>
      <c r="I147" s="41" t="str">
        <f t="shared" si="2"/>
        <v/>
      </c>
      <c r="J147" s="44"/>
      <c r="K147" s="41" t="str">
        <f t="shared" si="3"/>
        <v/>
      </c>
      <c r="L147" s="43" t="str">
        <f t="shared" si="4"/>
        <v/>
      </c>
      <c r="M147" s="48" t="str">
        <f t="shared" si="5"/>
        <v/>
      </c>
      <c r="N147" s="30"/>
    </row>
    <row r="148" ht="15.75" customHeight="1">
      <c r="A148" s="32"/>
      <c r="B148" s="15"/>
      <c r="C148" s="52" t="str">
        <f t="array" ref="C148">IFERROR(INDEX('3. Costeo y Precios'!$B$14:$B$63,MATCH($B148,'3. Costeo y Precios'!$A$14:$A$63,0)),"")</f>
        <v/>
      </c>
      <c r="D148" s="30"/>
      <c r="E148" s="15"/>
      <c r="F148" s="16"/>
      <c r="G148" s="41" t="str">
        <f t="shared" si="1"/>
        <v/>
      </c>
      <c r="H148" s="38">
        <f t="array" ref="H148">IFERROR(INDEX('3. Costeo y Precios'!$K$14:$K$63,MATCH($B148,'3. Costeo y Precios'!$A$14:$A$63,0)),0)</f>
        <v>0</v>
      </c>
      <c r="I148" s="41" t="str">
        <f t="shared" si="2"/>
        <v/>
      </c>
      <c r="J148" s="44"/>
      <c r="K148" s="41" t="str">
        <f t="shared" si="3"/>
        <v/>
      </c>
      <c r="L148" s="43" t="str">
        <f t="shared" si="4"/>
        <v/>
      </c>
      <c r="M148" s="48" t="str">
        <f t="shared" si="5"/>
        <v/>
      </c>
      <c r="N148" s="30"/>
    </row>
    <row r="149" ht="15.75" customHeight="1">
      <c r="A149" s="32"/>
      <c r="B149" s="15"/>
      <c r="C149" s="52" t="str">
        <f t="array" ref="C149">IFERROR(INDEX('3. Costeo y Precios'!$B$14:$B$63,MATCH($B149,'3. Costeo y Precios'!$A$14:$A$63,0)),"")</f>
        <v/>
      </c>
      <c r="D149" s="30"/>
      <c r="E149" s="15"/>
      <c r="F149" s="16"/>
      <c r="G149" s="41" t="str">
        <f t="shared" si="1"/>
        <v/>
      </c>
      <c r="H149" s="38">
        <f t="array" ref="H149">IFERROR(INDEX('3. Costeo y Precios'!$K$14:$K$63,MATCH($B149,'3. Costeo y Precios'!$A$14:$A$63,0)),0)</f>
        <v>0</v>
      </c>
      <c r="I149" s="41" t="str">
        <f t="shared" si="2"/>
        <v/>
      </c>
      <c r="J149" s="44"/>
      <c r="K149" s="41" t="str">
        <f t="shared" si="3"/>
        <v/>
      </c>
      <c r="L149" s="43" t="str">
        <f t="shared" si="4"/>
        <v/>
      </c>
      <c r="M149" s="48" t="str">
        <f t="shared" si="5"/>
        <v/>
      </c>
      <c r="N149" s="30"/>
    </row>
    <row r="150" ht="15.75" customHeight="1">
      <c r="A150" s="32"/>
      <c r="B150" s="15"/>
      <c r="C150" s="52" t="str">
        <f t="array" ref="C150">IFERROR(INDEX('3. Costeo y Precios'!$B$14:$B$63,MATCH($B150,'3. Costeo y Precios'!$A$14:$A$63,0)),"")</f>
        <v/>
      </c>
      <c r="D150" s="30"/>
      <c r="E150" s="15"/>
      <c r="F150" s="16"/>
      <c r="G150" s="41" t="str">
        <f t="shared" si="1"/>
        <v/>
      </c>
      <c r="H150" s="38">
        <f t="array" ref="H150">IFERROR(INDEX('3. Costeo y Precios'!$K$14:$K$63,MATCH($B150,'3. Costeo y Precios'!$A$14:$A$63,0)),0)</f>
        <v>0</v>
      </c>
      <c r="I150" s="41" t="str">
        <f t="shared" si="2"/>
        <v/>
      </c>
      <c r="J150" s="44"/>
      <c r="K150" s="41" t="str">
        <f t="shared" si="3"/>
        <v/>
      </c>
      <c r="L150" s="43" t="str">
        <f t="shared" si="4"/>
        <v/>
      </c>
      <c r="M150" s="48" t="str">
        <f t="shared" si="5"/>
        <v/>
      </c>
      <c r="N150" s="30"/>
    </row>
    <row r="151" ht="15.75" customHeight="1">
      <c r="A151" s="32"/>
      <c r="B151" s="15"/>
      <c r="C151" s="52" t="str">
        <f t="array" ref="C151">IFERROR(INDEX('3. Costeo y Precios'!$B$14:$B$63,MATCH($B151,'3. Costeo y Precios'!$A$14:$A$63,0)),"")</f>
        <v/>
      </c>
      <c r="D151" s="30"/>
      <c r="E151" s="15"/>
      <c r="F151" s="16"/>
      <c r="G151" s="41" t="str">
        <f t="shared" si="1"/>
        <v/>
      </c>
      <c r="H151" s="38">
        <f t="array" ref="H151">IFERROR(INDEX('3. Costeo y Precios'!$K$14:$K$63,MATCH($B151,'3. Costeo y Precios'!$A$14:$A$63,0)),0)</f>
        <v>0</v>
      </c>
      <c r="I151" s="41" t="str">
        <f t="shared" si="2"/>
        <v/>
      </c>
      <c r="J151" s="44"/>
      <c r="K151" s="41" t="str">
        <f t="shared" si="3"/>
        <v/>
      </c>
      <c r="L151" s="43" t="str">
        <f t="shared" si="4"/>
        <v/>
      </c>
      <c r="M151" s="48" t="str">
        <f t="shared" si="5"/>
        <v/>
      </c>
      <c r="N151" s="30"/>
    </row>
    <row r="152" ht="15.75" customHeight="1">
      <c r="A152" s="32"/>
      <c r="B152" s="15"/>
      <c r="C152" s="52" t="str">
        <f t="array" ref="C152">IFERROR(INDEX('3. Costeo y Precios'!$B$14:$B$63,MATCH($B152,'3. Costeo y Precios'!$A$14:$A$63,0)),"")</f>
        <v/>
      </c>
      <c r="D152" s="30"/>
      <c r="E152" s="15"/>
      <c r="F152" s="16"/>
      <c r="G152" s="41" t="str">
        <f t="shared" si="1"/>
        <v/>
      </c>
      <c r="H152" s="38">
        <f t="array" ref="H152">IFERROR(INDEX('3. Costeo y Precios'!$K$14:$K$63,MATCH($B152,'3. Costeo y Precios'!$A$14:$A$63,0)),0)</f>
        <v>0</v>
      </c>
      <c r="I152" s="41" t="str">
        <f t="shared" si="2"/>
        <v/>
      </c>
      <c r="J152" s="44"/>
      <c r="K152" s="41" t="str">
        <f t="shared" si="3"/>
        <v/>
      </c>
      <c r="L152" s="43" t="str">
        <f t="shared" si="4"/>
        <v/>
      </c>
      <c r="M152" s="48" t="str">
        <f t="shared" si="5"/>
        <v/>
      </c>
      <c r="N152" s="30"/>
    </row>
    <row r="153" ht="15.75" customHeight="1">
      <c r="A153" s="32"/>
      <c r="B153" s="15"/>
      <c r="C153" s="52" t="str">
        <f t="array" ref="C153">IFERROR(INDEX('3. Costeo y Precios'!$B$14:$B$63,MATCH($B153,'3. Costeo y Precios'!$A$14:$A$63,0)),"")</f>
        <v/>
      </c>
      <c r="D153" s="30"/>
      <c r="E153" s="15"/>
      <c r="F153" s="16"/>
      <c r="G153" s="41" t="str">
        <f t="shared" si="1"/>
        <v/>
      </c>
      <c r="H153" s="38">
        <f t="array" ref="H153">IFERROR(INDEX('3. Costeo y Precios'!$K$14:$K$63,MATCH($B153,'3. Costeo y Precios'!$A$14:$A$63,0)),0)</f>
        <v>0</v>
      </c>
      <c r="I153" s="41" t="str">
        <f t="shared" si="2"/>
        <v/>
      </c>
      <c r="J153" s="44"/>
      <c r="K153" s="41" t="str">
        <f t="shared" si="3"/>
        <v/>
      </c>
      <c r="L153" s="43" t="str">
        <f t="shared" si="4"/>
        <v/>
      </c>
      <c r="M153" s="48" t="str">
        <f t="shared" si="5"/>
        <v/>
      </c>
      <c r="N153" s="30"/>
    </row>
    <row r="154" ht="15.75" customHeight="1">
      <c r="A154" s="32"/>
      <c r="B154" s="15"/>
      <c r="C154" s="52" t="str">
        <f t="array" ref="C154">IFERROR(INDEX('3. Costeo y Precios'!$B$14:$B$63,MATCH($B154,'3. Costeo y Precios'!$A$14:$A$63,0)),"")</f>
        <v/>
      </c>
      <c r="D154" s="30"/>
      <c r="E154" s="15"/>
      <c r="F154" s="16"/>
      <c r="G154" s="41" t="str">
        <f t="shared" si="1"/>
        <v/>
      </c>
      <c r="H154" s="38">
        <f t="array" ref="H154">IFERROR(INDEX('3. Costeo y Precios'!$K$14:$K$63,MATCH($B154,'3. Costeo y Precios'!$A$14:$A$63,0)),0)</f>
        <v>0</v>
      </c>
      <c r="I154" s="41" t="str">
        <f t="shared" si="2"/>
        <v/>
      </c>
      <c r="J154" s="44"/>
      <c r="K154" s="41" t="str">
        <f t="shared" si="3"/>
        <v/>
      </c>
      <c r="L154" s="43" t="str">
        <f t="shared" si="4"/>
        <v/>
      </c>
      <c r="M154" s="48" t="str">
        <f t="shared" si="5"/>
        <v/>
      </c>
      <c r="N154" s="30"/>
    </row>
    <row r="155" ht="15.75" customHeight="1">
      <c r="A155" s="32"/>
      <c r="B155" s="15"/>
      <c r="C155" s="52" t="str">
        <f t="array" ref="C155">IFERROR(INDEX('3. Costeo y Precios'!$B$14:$B$63,MATCH($B155,'3. Costeo y Precios'!$A$14:$A$63,0)),"")</f>
        <v/>
      </c>
      <c r="D155" s="30"/>
      <c r="E155" s="15"/>
      <c r="F155" s="16"/>
      <c r="G155" s="41" t="str">
        <f t="shared" si="1"/>
        <v/>
      </c>
      <c r="H155" s="38">
        <f t="array" ref="H155">IFERROR(INDEX('3. Costeo y Precios'!$K$14:$K$63,MATCH($B155,'3. Costeo y Precios'!$A$14:$A$63,0)),0)</f>
        <v>0</v>
      </c>
      <c r="I155" s="41" t="str">
        <f t="shared" si="2"/>
        <v/>
      </c>
      <c r="J155" s="44"/>
      <c r="K155" s="41" t="str">
        <f t="shared" si="3"/>
        <v/>
      </c>
      <c r="L155" s="43" t="str">
        <f t="shared" si="4"/>
        <v/>
      </c>
      <c r="M155" s="48" t="str">
        <f t="shared" si="5"/>
        <v/>
      </c>
      <c r="N155" s="30"/>
    </row>
    <row r="156" ht="15.75" customHeight="1">
      <c r="A156" s="32"/>
      <c r="B156" s="15"/>
      <c r="C156" s="52" t="str">
        <f t="array" ref="C156">IFERROR(INDEX('3. Costeo y Precios'!$B$14:$B$63,MATCH($B156,'3. Costeo y Precios'!$A$14:$A$63,0)),"")</f>
        <v/>
      </c>
      <c r="D156" s="30"/>
      <c r="E156" s="15"/>
      <c r="F156" s="16"/>
      <c r="G156" s="41" t="str">
        <f t="shared" si="1"/>
        <v/>
      </c>
      <c r="H156" s="38">
        <f t="array" ref="H156">IFERROR(INDEX('3. Costeo y Precios'!$K$14:$K$63,MATCH($B156,'3. Costeo y Precios'!$A$14:$A$63,0)),0)</f>
        <v>0</v>
      </c>
      <c r="I156" s="41" t="str">
        <f t="shared" si="2"/>
        <v/>
      </c>
      <c r="J156" s="44"/>
      <c r="K156" s="41" t="str">
        <f t="shared" si="3"/>
        <v/>
      </c>
      <c r="L156" s="43" t="str">
        <f t="shared" si="4"/>
        <v/>
      </c>
      <c r="M156" s="48" t="str">
        <f t="shared" si="5"/>
        <v/>
      </c>
      <c r="N156" s="30"/>
    </row>
    <row r="157" ht="15.75" customHeight="1">
      <c r="A157" s="32"/>
      <c r="B157" s="15"/>
      <c r="C157" s="52" t="str">
        <f t="array" ref="C157">IFERROR(INDEX('3. Costeo y Precios'!$B$14:$B$63,MATCH($B157,'3. Costeo y Precios'!$A$14:$A$63,0)),"")</f>
        <v/>
      </c>
      <c r="D157" s="30"/>
      <c r="E157" s="15"/>
      <c r="F157" s="16"/>
      <c r="G157" s="41" t="str">
        <f t="shared" si="1"/>
        <v/>
      </c>
      <c r="H157" s="38">
        <f t="array" ref="H157">IFERROR(INDEX('3. Costeo y Precios'!$K$14:$K$63,MATCH($B157,'3. Costeo y Precios'!$A$14:$A$63,0)),0)</f>
        <v>0</v>
      </c>
      <c r="I157" s="41" t="str">
        <f t="shared" si="2"/>
        <v/>
      </c>
      <c r="J157" s="44"/>
      <c r="K157" s="41" t="str">
        <f t="shared" si="3"/>
        <v/>
      </c>
      <c r="L157" s="43" t="str">
        <f t="shared" si="4"/>
        <v/>
      </c>
      <c r="M157" s="48" t="str">
        <f t="shared" si="5"/>
        <v/>
      </c>
      <c r="N157" s="30"/>
    </row>
    <row r="158" ht="15.75" customHeight="1">
      <c r="A158" s="32"/>
      <c r="B158" s="15"/>
      <c r="C158" s="52" t="str">
        <f t="array" ref="C158">IFERROR(INDEX('3. Costeo y Precios'!$B$14:$B$63,MATCH($B158,'3. Costeo y Precios'!$A$14:$A$63,0)),"")</f>
        <v/>
      </c>
      <c r="D158" s="30"/>
      <c r="E158" s="15"/>
      <c r="F158" s="16"/>
      <c r="G158" s="41" t="str">
        <f t="shared" si="1"/>
        <v/>
      </c>
      <c r="H158" s="38">
        <f t="array" ref="H158">IFERROR(INDEX('3. Costeo y Precios'!$K$14:$K$63,MATCH($B158,'3. Costeo y Precios'!$A$14:$A$63,0)),0)</f>
        <v>0</v>
      </c>
      <c r="I158" s="41" t="str">
        <f t="shared" si="2"/>
        <v/>
      </c>
      <c r="J158" s="44"/>
      <c r="K158" s="41" t="str">
        <f t="shared" si="3"/>
        <v/>
      </c>
      <c r="L158" s="43" t="str">
        <f t="shared" si="4"/>
        <v/>
      </c>
      <c r="M158" s="48" t="str">
        <f t="shared" si="5"/>
        <v/>
      </c>
      <c r="N158" s="30"/>
    </row>
    <row r="159" ht="15.75" customHeight="1">
      <c r="A159" s="32"/>
      <c r="B159" s="15"/>
      <c r="C159" s="52" t="str">
        <f t="array" ref="C159">IFERROR(INDEX('3. Costeo y Precios'!$B$14:$B$63,MATCH($B159,'3. Costeo y Precios'!$A$14:$A$63,0)),"")</f>
        <v/>
      </c>
      <c r="D159" s="30"/>
      <c r="E159" s="15"/>
      <c r="F159" s="16"/>
      <c r="G159" s="41" t="str">
        <f t="shared" si="1"/>
        <v/>
      </c>
      <c r="H159" s="38">
        <f t="array" ref="H159">IFERROR(INDEX('3. Costeo y Precios'!$K$14:$K$63,MATCH($B159,'3. Costeo y Precios'!$A$14:$A$63,0)),0)</f>
        <v>0</v>
      </c>
      <c r="I159" s="41" t="str">
        <f t="shared" si="2"/>
        <v/>
      </c>
      <c r="J159" s="44"/>
      <c r="K159" s="41" t="str">
        <f t="shared" si="3"/>
        <v/>
      </c>
      <c r="L159" s="43" t="str">
        <f t="shared" si="4"/>
        <v/>
      </c>
      <c r="M159" s="48" t="str">
        <f t="shared" si="5"/>
        <v/>
      </c>
      <c r="N159" s="30"/>
    </row>
    <row r="160" ht="15.75" customHeight="1">
      <c r="A160" s="32"/>
      <c r="B160" s="15"/>
      <c r="C160" s="52" t="str">
        <f t="array" ref="C160">IFERROR(INDEX('3. Costeo y Precios'!$B$14:$B$63,MATCH($B160,'3. Costeo y Precios'!$A$14:$A$63,0)),"")</f>
        <v/>
      </c>
      <c r="D160" s="30"/>
      <c r="E160" s="15"/>
      <c r="F160" s="16"/>
      <c r="G160" s="41" t="str">
        <f t="shared" si="1"/>
        <v/>
      </c>
      <c r="H160" s="38">
        <f t="array" ref="H160">IFERROR(INDEX('3. Costeo y Precios'!$K$14:$K$63,MATCH($B160,'3. Costeo y Precios'!$A$14:$A$63,0)),0)</f>
        <v>0</v>
      </c>
      <c r="I160" s="41" t="str">
        <f t="shared" si="2"/>
        <v/>
      </c>
      <c r="J160" s="44"/>
      <c r="K160" s="41" t="str">
        <f t="shared" si="3"/>
        <v/>
      </c>
      <c r="L160" s="43" t="str">
        <f t="shared" si="4"/>
        <v/>
      </c>
      <c r="M160" s="48" t="str">
        <f t="shared" si="5"/>
        <v/>
      </c>
      <c r="N160" s="30"/>
    </row>
    <row r="161" ht="15.75" customHeight="1">
      <c r="A161" s="32"/>
      <c r="B161" s="15"/>
      <c r="C161" s="52" t="str">
        <f t="array" ref="C161">IFERROR(INDEX('3. Costeo y Precios'!$B$14:$B$63,MATCH($B161,'3. Costeo y Precios'!$A$14:$A$63,0)),"")</f>
        <v/>
      </c>
      <c r="D161" s="30"/>
      <c r="E161" s="15"/>
      <c r="F161" s="16"/>
      <c r="G161" s="41" t="str">
        <f t="shared" si="1"/>
        <v/>
      </c>
      <c r="H161" s="38">
        <f t="array" ref="H161">IFERROR(INDEX('3. Costeo y Precios'!$K$14:$K$63,MATCH($B161,'3. Costeo y Precios'!$A$14:$A$63,0)),0)</f>
        <v>0</v>
      </c>
      <c r="I161" s="41" t="str">
        <f t="shared" si="2"/>
        <v/>
      </c>
      <c r="J161" s="44"/>
      <c r="K161" s="41" t="str">
        <f t="shared" si="3"/>
        <v/>
      </c>
      <c r="L161" s="43" t="str">
        <f t="shared" si="4"/>
        <v/>
      </c>
      <c r="M161" s="48" t="str">
        <f t="shared" si="5"/>
        <v/>
      </c>
      <c r="N161" s="30"/>
    </row>
    <row r="162" ht="15.75" customHeight="1">
      <c r="A162" s="32"/>
      <c r="B162" s="15"/>
      <c r="C162" s="52" t="str">
        <f t="array" ref="C162">IFERROR(INDEX('3. Costeo y Precios'!$B$14:$B$63,MATCH($B162,'3. Costeo y Precios'!$A$14:$A$63,0)),"")</f>
        <v/>
      </c>
      <c r="D162" s="30"/>
      <c r="E162" s="15"/>
      <c r="F162" s="16"/>
      <c r="G162" s="41" t="str">
        <f t="shared" si="1"/>
        <v/>
      </c>
      <c r="H162" s="38">
        <f t="array" ref="H162">IFERROR(INDEX('3. Costeo y Precios'!$K$14:$K$63,MATCH($B162,'3. Costeo y Precios'!$A$14:$A$63,0)),0)</f>
        <v>0</v>
      </c>
      <c r="I162" s="41" t="str">
        <f t="shared" si="2"/>
        <v/>
      </c>
      <c r="J162" s="44"/>
      <c r="K162" s="41" t="str">
        <f t="shared" si="3"/>
        <v/>
      </c>
      <c r="L162" s="43" t="str">
        <f t="shared" si="4"/>
        <v/>
      </c>
      <c r="M162" s="48" t="str">
        <f t="shared" si="5"/>
        <v/>
      </c>
      <c r="N162" s="30"/>
    </row>
    <row r="163" ht="15.75" customHeight="1">
      <c r="A163" s="32"/>
      <c r="B163" s="15"/>
      <c r="C163" s="52" t="str">
        <f t="array" ref="C163">IFERROR(INDEX('3. Costeo y Precios'!$B$14:$B$63,MATCH($B163,'3. Costeo y Precios'!$A$14:$A$63,0)),"")</f>
        <v/>
      </c>
      <c r="D163" s="30"/>
      <c r="E163" s="15"/>
      <c r="F163" s="16"/>
      <c r="G163" s="41" t="str">
        <f t="shared" si="1"/>
        <v/>
      </c>
      <c r="H163" s="38">
        <f t="array" ref="H163">IFERROR(INDEX('3. Costeo y Precios'!$K$14:$K$63,MATCH($B163,'3. Costeo y Precios'!$A$14:$A$63,0)),0)</f>
        <v>0</v>
      </c>
      <c r="I163" s="41" t="str">
        <f t="shared" si="2"/>
        <v/>
      </c>
      <c r="J163" s="44"/>
      <c r="K163" s="41" t="str">
        <f t="shared" si="3"/>
        <v/>
      </c>
      <c r="L163" s="43" t="str">
        <f t="shared" si="4"/>
        <v/>
      </c>
      <c r="M163" s="48" t="str">
        <f t="shared" si="5"/>
        <v/>
      </c>
      <c r="N163" s="30"/>
    </row>
    <row r="164" ht="15.75" customHeight="1">
      <c r="A164" s="32"/>
      <c r="B164" s="15"/>
      <c r="C164" s="52" t="str">
        <f t="array" ref="C164">IFERROR(INDEX('3. Costeo y Precios'!$B$14:$B$63,MATCH($B164,'3. Costeo y Precios'!$A$14:$A$63,0)),"")</f>
        <v/>
      </c>
      <c r="D164" s="30"/>
      <c r="E164" s="15"/>
      <c r="F164" s="16"/>
      <c r="G164" s="41" t="str">
        <f t="shared" si="1"/>
        <v/>
      </c>
      <c r="H164" s="38">
        <f t="array" ref="H164">IFERROR(INDEX('3. Costeo y Precios'!$K$14:$K$63,MATCH($B164,'3. Costeo y Precios'!$A$14:$A$63,0)),0)</f>
        <v>0</v>
      </c>
      <c r="I164" s="41" t="str">
        <f t="shared" si="2"/>
        <v/>
      </c>
      <c r="J164" s="44"/>
      <c r="K164" s="41" t="str">
        <f t="shared" si="3"/>
        <v/>
      </c>
      <c r="L164" s="43" t="str">
        <f t="shared" si="4"/>
        <v/>
      </c>
      <c r="M164" s="48" t="str">
        <f t="shared" si="5"/>
        <v/>
      </c>
      <c r="N164" s="30"/>
    </row>
    <row r="165" ht="15.75" customHeight="1">
      <c r="A165" s="32"/>
      <c r="B165" s="15"/>
      <c r="C165" s="52" t="str">
        <f t="array" ref="C165">IFERROR(INDEX('3. Costeo y Precios'!$B$14:$B$63,MATCH($B165,'3. Costeo y Precios'!$A$14:$A$63,0)),"")</f>
        <v/>
      </c>
      <c r="D165" s="30"/>
      <c r="E165" s="15"/>
      <c r="F165" s="16"/>
      <c r="G165" s="41" t="str">
        <f t="shared" si="1"/>
        <v/>
      </c>
      <c r="H165" s="38">
        <f t="array" ref="H165">IFERROR(INDEX('3. Costeo y Precios'!$K$14:$K$63,MATCH($B165,'3. Costeo y Precios'!$A$14:$A$63,0)),0)</f>
        <v>0</v>
      </c>
      <c r="I165" s="41" t="str">
        <f t="shared" si="2"/>
        <v/>
      </c>
      <c r="J165" s="44"/>
      <c r="K165" s="41" t="str">
        <f t="shared" si="3"/>
        <v/>
      </c>
      <c r="L165" s="43" t="str">
        <f t="shared" si="4"/>
        <v/>
      </c>
      <c r="M165" s="48" t="str">
        <f t="shared" si="5"/>
        <v/>
      </c>
      <c r="N165" s="30"/>
    </row>
    <row r="166" ht="15.75" customHeight="1">
      <c r="A166" s="32"/>
      <c r="B166" s="15"/>
      <c r="C166" s="52" t="str">
        <f t="array" ref="C166">IFERROR(INDEX('3. Costeo y Precios'!$B$14:$B$63,MATCH($B166,'3. Costeo y Precios'!$A$14:$A$63,0)),"")</f>
        <v/>
      </c>
      <c r="D166" s="30"/>
      <c r="E166" s="15"/>
      <c r="F166" s="16"/>
      <c r="G166" s="41" t="str">
        <f t="shared" si="1"/>
        <v/>
      </c>
      <c r="H166" s="38">
        <f t="array" ref="H166">IFERROR(INDEX('3. Costeo y Precios'!$K$14:$K$63,MATCH($B166,'3. Costeo y Precios'!$A$14:$A$63,0)),0)</f>
        <v>0</v>
      </c>
      <c r="I166" s="41" t="str">
        <f t="shared" si="2"/>
        <v/>
      </c>
      <c r="J166" s="44"/>
      <c r="K166" s="41" t="str">
        <f t="shared" si="3"/>
        <v/>
      </c>
      <c r="L166" s="43" t="str">
        <f t="shared" si="4"/>
        <v/>
      </c>
      <c r="M166" s="48" t="str">
        <f t="shared" si="5"/>
        <v/>
      </c>
      <c r="N166" s="30"/>
    </row>
    <row r="167" ht="15.75" customHeight="1">
      <c r="A167" s="32"/>
      <c r="B167" s="15"/>
      <c r="C167" s="52" t="str">
        <f t="array" ref="C167">IFERROR(INDEX('3. Costeo y Precios'!$B$14:$B$63,MATCH($B167,'3. Costeo y Precios'!$A$14:$A$63,0)),"")</f>
        <v/>
      </c>
      <c r="D167" s="30"/>
      <c r="E167" s="15"/>
      <c r="F167" s="16"/>
      <c r="G167" s="41" t="str">
        <f t="shared" si="1"/>
        <v/>
      </c>
      <c r="H167" s="38">
        <f t="array" ref="H167">IFERROR(INDEX('3. Costeo y Precios'!$K$14:$K$63,MATCH($B167,'3. Costeo y Precios'!$A$14:$A$63,0)),0)</f>
        <v>0</v>
      </c>
      <c r="I167" s="41" t="str">
        <f t="shared" si="2"/>
        <v/>
      </c>
      <c r="J167" s="44"/>
      <c r="K167" s="41" t="str">
        <f t="shared" si="3"/>
        <v/>
      </c>
      <c r="L167" s="43" t="str">
        <f t="shared" si="4"/>
        <v/>
      </c>
      <c r="M167" s="48" t="str">
        <f t="shared" si="5"/>
        <v/>
      </c>
      <c r="N167" s="30"/>
    </row>
    <row r="168" ht="15.75" customHeight="1">
      <c r="A168" s="32"/>
      <c r="B168" s="15"/>
      <c r="C168" s="52" t="str">
        <f t="array" ref="C168">IFERROR(INDEX('3. Costeo y Precios'!$B$14:$B$63,MATCH($B168,'3. Costeo y Precios'!$A$14:$A$63,0)),"")</f>
        <v/>
      </c>
      <c r="D168" s="30"/>
      <c r="E168" s="15"/>
      <c r="F168" s="16"/>
      <c r="G168" s="41" t="str">
        <f t="shared" si="1"/>
        <v/>
      </c>
      <c r="H168" s="38">
        <f t="array" ref="H168">IFERROR(INDEX('3. Costeo y Precios'!$K$14:$K$63,MATCH($B168,'3. Costeo y Precios'!$A$14:$A$63,0)),0)</f>
        <v>0</v>
      </c>
      <c r="I168" s="41" t="str">
        <f t="shared" si="2"/>
        <v/>
      </c>
      <c r="J168" s="44"/>
      <c r="K168" s="41" t="str">
        <f t="shared" si="3"/>
        <v/>
      </c>
      <c r="L168" s="43" t="str">
        <f t="shared" si="4"/>
        <v/>
      </c>
      <c r="M168" s="48" t="str">
        <f t="shared" si="5"/>
        <v/>
      </c>
      <c r="N168" s="30"/>
    </row>
    <row r="169" ht="15.75" customHeight="1">
      <c r="A169" s="32"/>
      <c r="B169" s="15"/>
      <c r="C169" s="52" t="str">
        <f t="array" ref="C169">IFERROR(INDEX('3. Costeo y Precios'!$B$14:$B$63,MATCH($B169,'3. Costeo y Precios'!$A$14:$A$63,0)),"")</f>
        <v/>
      </c>
      <c r="D169" s="30"/>
      <c r="E169" s="15"/>
      <c r="F169" s="16"/>
      <c r="G169" s="41" t="str">
        <f t="shared" si="1"/>
        <v/>
      </c>
      <c r="H169" s="38">
        <f t="array" ref="H169">IFERROR(INDEX('3. Costeo y Precios'!$K$14:$K$63,MATCH($B169,'3. Costeo y Precios'!$A$14:$A$63,0)),0)</f>
        <v>0</v>
      </c>
      <c r="I169" s="41" t="str">
        <f t="shared" si="2"/>
        <v/>
      </c>
      <c r="J169" s="44"/>
      <c r="K169" s="41" t="str">
        <f t="shared" si="3"/>
        <v/>
      </c>
      <c r="L169" s="43" t="str">
        <f t="shared" si="4"/>
        <v/>
      </c>
      <c r="M169" s="48" t="str">
        <f t="shared" si="5"/>
        <v/>
      </c>
      <c r="N169" s="30"/>
    </row>
    <row r="170" ht="15.75" customHeight="1">
      <c r="A170" s="32"/>
      <c r="B170" s="15"/>
      <c r="C170" s="52" t="str">
        <f t="array" ref="C170">IFERROR(INDEX('3. Costeo y Precios'!$B$14:$B$63,MATCH($B170,'3. Costeo y Precios'!$A$14:$A$63,0)),"")</f>
        <v/>
      </c>
      <c r="D170" s="30"/>
      <c r="E170" s="15"/>
      <c r="F170" s="16"/>
      <c r="G170" s="41" t="str">
        <f t="shared" si="1"/>
        <v/>
      </c>
      <c r="H170" s="38">
        <f t="array" ref="H170">IFERROR(INDEX('3. Costeo y Precios'!$K$14:$K$63,MATCH($B170,'3. Costeo y Precios'!$A$14:$A$63,0)),0)</f>
        <v>0</v>
      </c>
      <c r="I170" s="41" t="str">
        <f t="shared" si="2"/>
        <v/>
      </c>
      <c r="J170" s="44"/>
      <c r="K170" s="41" t="str">
        <f t="shared" si="3"/>
        <v/>
      </c>
      <c r="L170" s="43" t="str">
        <f t="shared" si="4"/>
        <v/>
      </c>
      <c r="M170" s="48" t="str">
        <f t="shared" si="5"/>
        <v/>
      </c>
      <c r="N170" s="30"/>
    </row>
    <row r="171" ht="15.75" customHeight="1">
      <c r="A171" s="32"/>
      <c r="B171" s="15"/>
      <c r="C171" s="52" t="str">
        <f t="array" ref="C171">IFERROR(INDEX('3. Costeo y Precios'!$B$14:$B$63,MATCH($B171,'3. Costeo y Precios'!$A$14:$A$63,0)),"")</f>
        <v/>
      </c>
      <c r="D171" s="30"/>
      <c r="E171" s="15"/>
      <c r="F171" s="16"/>
      <c r="G171" s="41" t="str">
        <f t="shared" si="1"/>
        <v/>
      </c>
      <c r="H171" s="38">
        <f t="array" ref="H171">IFERROR(INDEX('3. Costeo y Precios'!$K$14:$K$63,MATCH($B171,'3. Costeo y Precios'!$A$14:$A$63,0)),0)</f>
        <v>0</v>
      </c>
      <c r="I171" s="41" t="str">
        <f t="shared" si="2"/>
        <v/>
      </c>
      <c r="J171" s="44"/>
      <c r="K171" s="41" t="str">
        <f t="shared" si="3"/>
        <v/>
      </c>
      <c r="L171" s="43" t="str">
        <f t="shared" si="4"/>
        <v/>
      </c>
      <c r="M171" s="48" t="str">
        <f t="shared" si="5"/>
        <v/>
      </c>
      <c r="N171" s="30"/>
    </row>
    <row r="172" ht="15.75" customHeight="1">
      <c r="A172" s="32"/>
      <c r="B172" s="15"/>
      <c r="C172" s="52" t="str">
        <f t="array" ref="C172">IFERROR(INDEX('3. Costeo y Precios'!$B$14:$B$63,MATCH($B172,'3. Costeo y Precios'!$A$14:$A$63,0)),"")</f>
        <v/>
      </c>
      <c r="D172" s="30"/>
      <c r="E172" s="15"/>
      <c r="F172" s="16"/>
      <c r="G172" s="41" t="str">
        <f t="shared" si="1"/>
        <v/>
      </c>
      <c r="H172" s="38">
        <f t="array" ref="H172">IFERROR(INDEX('3. Costeo y Precios'!$K$14:$K$63,MATCH($B172,'3. Costeo y Precios'!$A$14:$A$63,0)),0)</f>
        <v>0</v>
      </c>
      <c r="I172" s="41" t="str">
        <f t="shared" si="2"/>
        <v/>
      </c>
      <c r="J172" s="44"/>
      <c r="K172" s="41" t="str">
        <f t="shared" si="3"/>
        <v/>
      </c>
      <c r="L172" s="43" t="str">
        <f t="shared" si="4"/>
        <v/>
      </c>
      <c r="M172" s="48" t="str">
        <f t="shared" si="5"/>
        <v/>
      </c>
      <c r="N172" s="30"/>
    </row>
    <row r="173" ht="15.75" customHeight="1">
      <c r="A173" s="32"/>
      <c r="B173" s="15"/>
      <c r="C173" s="52" t="str">
        <f t="array" ref="C173">IFERROR(INDEX('3. Costeo y Precios'!$B$14:$B$63,MATCH($B173,'3. Costeo y Precios'!$A$14:$A$63,0)),"")</f>
        <v/>
      </c>
      <c r="D173" s="30"/>
      <c r="E173" s="15"/>
      <c r="F173" s="16"/>
      <c r="G173" s="41" t="str">
        <f t="shared" si="1"/>
        <v/>
      </c>
      <c r="H173" s="38">
        <f t="array" ref="H173">IFERROR(INDEX('3. Costeo y Precios'!$K$14:$K$63,MATCH($B173,'3. Costeo y Precios'!$A$14:$A$63,0)),0)</f>
        <v>0</v>
      </c>
      <c r="I173" s="41" t="str">
        <f t="shared" si="2"/>
        <v/>
      </c>
      <c r="J173" s="44"/>
      <c r="K173" s="41" t="str">
        <f t="shared" si="3"/>
        <v/>
      </c>
      <c r="L173" s="43" t="str">
        <f t="shared" si="4"/>
        <v/>
      </c>
      <c r="M173" s="48" t="str">
        <f t="shared" si="5"/>
        <v/>
      </c>
      <c r="N173" s="30"/>
    </row>
    <row r="174" ht="15.75" customHeight="1">
      <c r="A174" s="32"/>
      <c r="B174" s="15"/>
      <c r="C174" s="52" t="str">
        <f t="array" ref="C174">IFERROR(INDEX('3. Costeo y Precios'!$B$14:$B$63,MATCH($B174,'3. Costeo y Precios'!$A$14:$A$63,0)),"")</f>
        <v/>
      </c>
      <c r="D174" s="30"/>
      <c r="E174" s="15"/>
      <c r="F174" s="16"/>
      <c r="G174" s="41" t="str">
        <f t="shared" si="1"/>
        <v/>
      </c>
      <c r="H174" s="38">
        <f t="array" ref="H174">IFERROR(INDEX('3. Costeo y Precios'!$K$14:$K$63,MATCH($B174,'3. Costeo y Precios'!$A$14:$A$63,0)),0)</f>
        <v>0</v>
      </c>
      <c r="I174" s="41" t="str">
        <f t="shared" si="2"/>
        <v/>
      </c>
      <c r="J174" s="44"/>
      <c r="K174" s="41" t="str">
        <f t="shared" si="3"/>
        <v/>
      </c>
      <c r="L174" s="43" t="str">
        <f t="shared" si="4"/>
        <v/>
      </c>
      <c r="M174" s="48" t="str">
        <f t="shared" si="5"/>
        <v/>
      </c>
      <c r="N174" s="30"/>
    </row>
    <row r="175" ht="15.75" customHeight="1">
      <c r="A175" s="32"/>
      <c r="B175" s="15"/>
      <c r="C175" s="52" t="str">
        <f t="array" ref="C175">IFERROR(INDEX('3. Costeo y Precios'!$B$14:$B$63,MATCH($B175,'3. Costeo y Precios'!$A$14:$A$63,0)),"")</f>
        <v/>
      </c>
      <c r="D175" s="30"/>
      <c r="E175" s="15"/>
      <c r="F175" s="16"/>
      <c r="G175" s="41" t="str">
        <f t="shared" si="1"/>
        <v/>
      </c>
      <c r="H175" s="38">
        <f t="array" ref="H175">IFERROR(INDEX('3. Costeo y Precios'!$K$14:$K$63,MATCH($B175,'3. Costeo y Precios'!$A$14:$A$63,0)),0)</f>
        <v>0</v>
      </c>
      <c r="I175" s="41" t="str">
        <f t="shared" si="2"/>
        <v/>
      </c>
      <c r="J175" s="44"/>
      <c r="K175" s="41" t="str">
        <f t="shared" si="3"/>
        <v/>
      </c>
      <c r="L175" s="43" t="str">
        <f t="shared" si="4"/>
        <v/>
      </c>
      <c r="M175" s="48" t="str">
        <f t="shared" si="5"/>
        <v/>
      </c>
      <c r="N175" s="30"/>
    </row>
    <row r="176" ht="15.75" customHeight="1">
      <c r="A176" s="32"/>
      <c r="B176" s="15"/>
      <c r="C176" s="52" t="str">
        <f t="array" ref="C176">IFERROR(INDEX('3. Costeo y Precios'!$B$14:$B$63,MATCH($B176,'3. Costeo y Precios'!$A$14:$A$63,0)),"")</f>
        <v/>
      </c>
      <c r="D176" s="30"/>
      <c r="E176" s="15"/>
      <c r="F176" s="16"/>
      <c r="G176" s="41" t="str">
        <f t="shared" si="1"/>
        <v/>
      </c>
      <c r="H176" s="38">
        <f t="array" ref="H176">IFERROR(INDEX('3. Costeo y Precios'!$K$14:$K$63,MATCH($B176,'3. Costeo y Precios'!$A$14:$A$63,0)),0)</f>
        <v>0</v>
      </c>
      <c r="I176" s="41" t="str">
        <f t="shared" si="2"/>
        <v/>
      </c>
      <c r="J176" s="44"/>
      <c r="K176" s="41" t="str">
        <f t="shared" si="3"/>
        <v/>
      </c>
      <c r="L176" s="43" t="str">
        <f t="shared" si="4"/>
        <v/>
      </c>
      <c r="M176" s="48" t="str">
        <f t="shared" si="5"/>
        <v/>
      </c>
      <c r="N176" s="30"/>
    </row>
    <row r="177" ht="15.75" customHeight="1">
      <c r="A177" s="32"/>
      <c r="B177" s="15"/>
      <c r="C177" s="52" t="str">
        <f t="array" ref="C177">IFERROR(INDEX('3. Costeo y Precios'!$B$14:$B$63,MATCH($B177,'3. Costeo y Precios'!$A$14:$A$63,0)),"")</f>
        <v/>
      </c>
      <c r="D177" s="30"/>
      <c r="E177" s="15"/>
      <c r="F177" s="16"/>
      <c r="G177" s="41" t="str">
        <f t="shared" si="1"/>
        <v/>
      </c>
      <c r="H177" s="38">
        <f t="array" ref="H177">IFERROR(INDEX('3. Costeo y Precios'!$K$14:$K$63,MATCH($B177,'3. Costeo y Precios'!$A$14:$A$63,0)),0)</f>
        <v>0</v>
      </c>
      <c r="I177" s="41" t="str">
        <f t="shared" si="2"/>
        <v/>
      </c>
      <c r="J177" s="44"/>
      <c r="K177" s="41" t="str">
        <f t="shared" si="3"/>
        <v/>
      </c>
      <c r="L177" s="43" t="str">
        <f t="shared" si="4"/>
        <v/>
      </c>
      <c r="M177" s="48" t="str">
        <f t="shared" si="5"/>
        <v/>
      </c>
      <c r="N177" s="30"/>
    </row>
    <row r="178" ht="15.75" customHeight="1">
      <c r="A178" s="32"/>
      <c r="B178" s="15"/>
      <c r="C178" s="52" t="str">
        <f t="array" ref="C178">IFERROR(INDEX('3. Costeo y Precios'!$B$14:$B$63,MATCH($B178,'3. Costeo y Precios'!$A$14:$A$63,0)),"")</f>
        <v/>
      </c>
      <c r="D178" s="30"/>
      <c r="E178" s="15"/>
      <c r="F178" s="16"/>
      <c r="G178" s="41" t="str">
        <f t="shared" si="1"/>
        <v/>
      </c>
      <c r="H178" s="38">
        <f t="array" ref="H178">IFERROR(INDEX('3. Costeo y Precios'!$K$14:$K$63,MATCH($B178,'3. Costeo y Precios'!$A$14:$A$63,0)),0)</f>
        <v>0</v>
      </c>
      <c r="I178" s="41" t="str">
        <f t="shared" si="2"/>
        <v/>
      </c>
      <c r="J178" s="44"/>
      <c r="K178" s="41" t="str">
        <f t="shared" si="3"/>
        <v/>
      </c>
      <c r="L178" s="43" t="str">
        <f t="shared" si="4"/>
        <v/>
      </c>
      <c r="M178" s="48" t="str">
        <f t="shared" si="5"/>
        <v/>
      </c>
      <c r="N178" s="30"/>
    </row>
    <row r="179" ht="15.75" customHeight="1">
      <c r="A179" s="32"/>
      <c r="B179" s="15"/>
      <c r="C179" s="52" t="str">
        <f t="array" ref="C179">IFERROR(INDEX('3. Costeo y Precios'!$B$14:$B$63,MATCH($B179,'3. Costeo y Precios'!$A$14:$A$63,0)),"")</f>
        <v/>
      </c>
      <c r="D179" s="30"/>
      <c r="E179" s="15"/>
      <c r="F179" s="16"/>
      <c r="G179" s="41" t="str">
        <f t="shared" si="1"/>
        <v/>
      </c>
      <c r="H179" s="38">
        <f t="array" ref="H179">IFERROR(INDEX('3. Costeo y Precios'!$K$14:$K$63,MATCH($B179,'3. Costeo y Precios'!$A$14:$A$63,0)),0)</f>
        <v>0</v>
      </c>
      <c r="I179" s="41" t="str">
        <f t="shared" si="2"/>
        <v/>
      </c>
      <c r="J179" s="44"/>
      <c r="K179" s="41" t="str">
        <f t="shared" si="3"/>
        <v/>
      </c>
      <c r="L179" s="43" t="str">
        <f t="shared" si="4"/>
        <v/>
      </c>
      <c r="M179" s="48" t="str">
        <f t="shared" si="5"/>
        <v/>
      </c>
      <c r="N179" s="30"/>
    </row>
    <row r="180" ht="15.75" customHeight="1">
      <c r="A180" s="32"/>
      <c r="B180" s="15"/>
      <c r="C180" s="52" t="str">
        <f t="array" ref="C180">IFERROR(INDEX('3. Costeo y Precios'!$B$14:$B$63,MATCH($B180,'3. Costeo y Precios'!$A$14:$A$63,0)),"")</f>
        <v/>
      </c>
      <c r="D180" s="30"/>
      <c r="E180" s="15"/>
      <c r="F180" s="16"/>
      <c r="G180" s="41" t="str">
        <f t="shared" si="1"/>
        <v/>
      </c>
      <c r="H180" s="38">
        <f t="array" ref="H180">IFERROR(INDEX('3. Costeo y Precios'!$K$14:$K$63,MATCH($B180,'3. Costeo y Precios'!$A$14:$A$63,0)),0)</f>
        <v>0</v>
      </c>
      <c r="I180" s="41" t="str">
        <f t="shared" si="2"/>
        <v/>
      </c>
      <c r="J180" s="44"/>
      <c r="K180" s="41" t="str">
        <f t="shared" si="3"/>
        <v/>
      </c>
      <c r="L180" s="43" t="str">
        <f t="shared" si="4"/>
        <v/>
      </c>
      <c r="M180" s="48" t="str">
        <f t="shared" si="5"/>
        <v/>
      </c>
      <c r="N180" s="30"/>
    </row>
    <row r="181" ht="15.75" customHeight="1">
      <c r="A181" s="32"/>
      <c r="B181" s="15"/>
      <c r="C181" s="52" t="str">
        <f t="array" ref="C181">IFERROR(INDEX('3. Costeo y Precios'!$B$14:$B$63,MATCH($B181,'3. Costeo y Precios'!$A$14:$A$63,0)),"")</f>
        <v/>
      </c>
      <c r="D181" s="30"/>
      <c r="E181" s="15"/>
      <c r="F181" s="16"/>
      <c r="G181" s="41" t="str">
        <f t="shared" si="1"/>
        <v/>
      </c>
      <c r="H181" s="38">
        <f t="array" ref="H181">IFERROR(INDEX('3. Costeo y Precios'!$K$14:$K$63,MATCH($B181,'3. Costeo y Precios'!$A$14:$A$63,0)),0)</f>
        <v>0</v>
      </c>
      <c r="I181" s="41" t="str">
        <f t="shared" si="2"/>
        <v/>
      </c>
      <c r="J181" s="44"/>
      <c r="K181" s="41" t="str">
        <f t="shared" si="3"/>
        <v/>
      </c>
      <c r="L181" s="43" t="str">
        <f t="shared" si="4"/>
        <v/>
      </c>
      <c r="M181" s="48" t="str">
        <f t="shared" si="5"/>
        <v/>
      </c>
      <c r="N181" s="30"/>
    </row>
    <row r="182" ht="15.75" customHeight="1">
      <c r="A182" s="32"/>
      <c r="B182" s="15"/>
      <c r="C182" s="52" t="str">
        <f t="array" ref="C182">IFERROR(INDEX('3. Costeo y Precios'!$B$14:$B$63,MATCH($B182,'3. Costeo y Precios'!$A$14:$A$63,0)),"")</f>
        <v/>
      </c>
      <c r="D182" s="30"/>
      <c r="E182" s="15"/>
      <c r="F182" s="16"/>
      <c r="G182" s="41" t="str">
        <f t="shared" si="1"/>
        <v/>
      </c>
      <c r="H182" s="38">
        <f t="array" ref="H182">IFERROR(INDEX('3. Costeo y Precios'!$K$14:$K$63,MATCH($B182,'3. Costeo y Precios'!$A$14:$A$63,0)),0)</f>
        <v>0</v>
      </c>
      <c r="I182" s="41" t="str">
        <f t="shared" si="2"/>
        <v/>
      </c>
      <c r="J182" s="44"/>
      <c r="K182" s="41" t="str">
        <f t="shared" si="3"/>
        <v/>
      </c>
      <c r="L182" s="43" t="str">
        <f t="shared" si="4"/>
        <v/>
      </c>
      <c r="M182" s="48" t="str">
        <f t="shared" si="5"/>
        <v/>
      </c>
      <c r="N182" s="30"/>
    </row>
    <row r="183" ht="15.75" customHeight="1">
      <c r="A183" s="32"/>
      <c r="B183" s="15"/>
      <c r="C183" s="52" t="str">
        <f t="array" ref="C183">IFERROR(INDEX('3. Costeo y Precios'!$B$14:$B$63,MATCH($B183,'3. Costeo y Precios'!$A$14:$A$63,0)),"")</f>
        <v/>
      </c>
      <c r="D183" s="30"/>
      <c r="E183" s="15"/>
      <c r="F183" s="16"/>
      <c r="G183" s="41" t="str">
        <f t="shared" si="1"/>
        <v/>
      </c>
      <c r="H183" s="38">
        <f t="array" ref="H183">IFERROR(INDEX('3. Costeo y Precios'!$K$14:$K$63,MATCH($B183,'3. Costeo y Precios'!$A$14:$A$63,0)),0)</f>
        <v>0</v>
      </c>
      <c r="I183" s="41" t="str">
        <f t="shared" si="2"/>
        <v/>
      </c>
      <c r="J183" s="44"/>
      <c r="K183" s="41" t="str">
        <f t="shared" si="3"/>
        <v/>
      </c>
      <c r="L183" s="43" t="str">
        <f t="shared" si="4"/>
        <v/>
      </c>
      <c r="M183" s="48" t="str">
        <f t="shared" si="5"/>
        <v/>
      </c>
      <c r="N183" s="30"/>
    </row>
    <row r="184" ht="15.75" customHeight="1">
      <c r="A184" s="32"/>
      <c r="B184" s="15"/>
      <c r="C184" s="52" t="str">
        <f t="array" ref="C184">IFERROR(INDEX('3. Costeo y Precios'!$B$14:$B$63,MATCH($B184,'3. Costeo y Precios'!$A$14:$A$63,0)),"")</f>
        <v/>
      </c>
      <c r="D184" s="30"/>
      <c r="E184" s="15"/>
      <c r="F184" s="16"/>
      <c r="G184" s="41" t="str">
        <f t="shared" si="1"/>
        <v/>
      </c>
      <c r="H184" s="38">
        <f t="array" ref="H184">IFERROR(INDEX('3. Costeo y Precios'!$K$14:$K$63,MATCH($B184,'3. Costeo y Precios'!$A$14:$A$63,0)),0)</f>
        <v>0</v>
      </c>
      <c r="I184" s="41" t="str">
        <f t="shared" si="2"/>
        <v/>
      </c>
      <c r="J184" s="44"/>
      <c r="K184" s="41" t="str">
        <f t="shared" si="3"/>
        <v/>
      </c>
      <c r="L184" s="43" t="str">
        <f t="shared" si="4"/>
        <v/>
      </c>
      <c r="M184" s="48" t="str">
        <f t="shared" si="5"/>
        <v/>
      </c>
      <c r="N184" s="30"/>
    </row>
    <row r="185" ht="15.75" customHeight="1">
      <c r="A185" s="32"/>
      <c r="B185" s="15"/>
      <c r="C185" s="52" t="str">
        <f t="array" ref="C185">IFERROR(INDEX('3. Costeo y Precios'!$B$14:$B$63,MATCH($B185,'3. Costeo y Precios'!$A$14:$A$63,0)),"")</f>
        <v/>
      </c>
      <c r="D185" s="30"/>
      <c r="E185" s="15"/>
      <c r="F185" s="16"/>
      <c r="G185" s="41" t="str">
        <f t="shared" si="1"/>
        <v/>
      </c>
      <c r="H185" s="38">
        <f t="array" ref="H185">IFERROR(INDEX('3. Costeo y Precios'!$K$14:$K$63,MATCH($B185,'3. Costeo y Precios'!$A$14:$A$63,0)),0)</f>
        <v>0</v>
      </c>
      <c r="I185" s="41" t="str">
        <f t="shared" si="2"/>
        <v/>
      </c>
      <c r="J185" s="44"/>
      <c r="K185" s="41" t="str">
        <f t="shared" si="3"/>
        <v/>
      </c>
      <c r="L185" s="43" t="str">
        <f t="shared" si="4"/>
        <v/>
      </c>
      <c r="M185" s="48" t="str">
        <f t="shared" si="5"/>
        <v/>
      </c>
      <c r="N185" s="30"/>
    </row>
    <row r="186" ht="15.75" customHeight="1">
      <c r="A186" s="32"/>
      <c r="B186" s="15"/>
      <c r="C186" s="52" t="str">
        <f t="array" ref="C186">IFERROR(INDEX('3. Costeo y Precios'!$B$14:$B$63,MATCH($B186,'3. Costeo y Precios'!$A$14:$A$63,0)),"")</f>
        <v/>
      </c>
      <c r="D186" s="30"/>
      <c r="E186" s="15"/>
      <c r="F186" s="16"/>
      <c r="G186" s="41" t="str">
        <f t="shared" si="1"/>
        <v/>
      </c>
      <c r="H186" s="38">
        <f t="array" ref="H186">IFERROR(INDEX('3. Costeo y Precios'!$K$14:$K$63,MATCH($B186,'3. Costeo y Precios'!$A$14:$A$63,0)),0)</f>
        <v>0</v>
      </c>
      <c r="I186" s="41" t="str">
        <f t="shared" si="2"/>
        <v/>
      </c>
      <c r="J186" s="44"/>
      <c r="K186" s="41" t="str">
        <f t="shared" si="3"/>
        <v/>
      </c>
      <c r="L186" s="43" t="str">
        <f t="shared" si="4"/>
        <v/>
      </c>
      <c r="M186" s="48" t="str">
        <f t="shared" si="5"/>
        <v/>
      </c>
      <c r="N186" s="30"/>
    </row>
    <row r="187" ht="15.75" customHeight="1">
      <c r="A187" s="32"/>
      <c r="B187" s="15"/>
      <c r="C187" s="52" t="str">
        <f t="array" ref="C187">IFERROR(INDEX('3. Costeo y Precios'!$B$14:$B$63,MATCH($B187,'3. Costeo y Precios'!$A$14:$A$63,0)),"")</f>
        <v/>
      </c>
      <c r="D187" s="30"/>
      <c r="E187" s="15"/>
      <c r="F187" s="16"/>
      <c r="G187" s="41" t="str">
        <f t="shared" si="1"/>
        <v/>
      </c>
      <c r="H187" s="38">
        <f t="array" ref="H187">IFERROR(INDEX('3. Costeo y Precios'!$K$14:$K$63,MATCH($B187,'3. Costeo y Precios'!$A$14:$A$63,0)),0)</f>
        <v>0</v>
      </c>
      <c r="I187" s="41" t="str">
        <f t="shared" si="2"/>
        <v/>
      </c>
      <c r="J187" s="44"/>
      <c r="K187" s="41" t="str">
        <f t="shared" si="3"/>
        <v/>
      </c>
      <c r="L187" s="43" t="str">
        <f t="shared" si="4"/>
        <v/>
      </c>
      <c r="M187" s="48" t="str">
        <f t="shared" si="5"/>
        <v/>
      </c>
      <c r="N187" s="30"/>
    </row>
    <row r="188" ht="15.75" customHeight="1">
      <c r="A188" s="32"/>
      <c r="B188" s="15"/>
      <c r="C188" s="52" t="str">
        <f t="array" ref="C188">IFERROR(INDEX('3. Costeo y Precios'!$B$14:$B$63,MATCH($B188,'3. Costeo y Precios'!$A$14:$A$63,0)),"")</f>
        <v/>
      </c>
      <c r="D188" s="30"/>
      <c r="E188" s="15"/>
      <c r="F188" s="16"/>
      <c r="G188" s="41" t="str">
        <f t="shared" si="1"/>
        <v/>
      </c>
      <c r="H188" s="38">
        <f t="array" ref="H188">IFERROR(INDEX('3. Costeo y Precios'!$K$14:$K$63,MATCH($B188,'3. Costeo y Precios'!$A$14:$A$63,0)),0)</f>
        <v>0</v>
      </c>
      <c r="I188" s="41" t="str">
        <f t="shared" si="2"/>
        <v/>
      </c>
      <c r="J188" s="44"/>
      <c r="K188" s="41" t="str">
        <f t="shared" si="3"/>
        <v/>
      </c>
      <c r="L188" s="43" t="str">
        <f t="shared" si="4"/>
        <v/>
      </c>
      <c r="M188" s="48" t="str">
        <f t="shared" si="5"/>
        <v/>
      </c>
      <c r="N188" s="30"/>
    </row>
    <row r="189" ht="15.75" customHeight="1">
      <c r="A189" s="32"/>
      <c r="B189" s="15"/>
      <c r="C189" s="52" t="str">
        <f t="array" ref="C189">IFERROR(INDEX('3. Costeo y Precios'!$B$14:$B$63,MATCH($B189,'3. Costeo y Precios'!$A$14:$A$63,0)),"")</f>
        <v/>
      </c>
      <c r="D189" s="30"/>
      <c r="E189" s="15"/>
      <c r="F189" s="16"/>
      <c r="G189" s="41" t="str">
        <f t="shared" si="1"/>
        <v/>
      </c>
      <c r="H189" s="38">
        <f t="array" ref="H189">IFERROR(INDEX('3. Costeo y Precios'!$K$14:$K$63,MATCH($B189,'3. Costeo y Precios'!$A$14:$A$63,0)),0)</f>
        <v>0</v>
      </c>
      <c r="I189" s="41" t="str">
        <f t="shared" si="2"/>
        <v/>
      </c>
      <c r="J189" s="44"/>
      <c r="K189" s="41" t="str">
        <f t="shared" si="3"/>
        <v/>
      </c>
      <c r="L189" s="43" t="str">
        <f t="shared" si="4"/>
        <v/>
      </c>
      <c r="M189" s="48" t="str">
        <f t="shared" si="5"/>
        <v/>
      </c>
      <c r="N189" s="30"/>
    </row>
    <row r="190" ht="15.75" customHeight="1">
      <c r="A190" s="32"/>
      <c r="B190" s="15"/>
      <c r="C190" s="52" t="str">
        <f t="array" ref="C190">IFERROR(INDEX('3. Costeo y Precios'!$B$14:$B$63,MATCH($B190,'3. Costeo y Precios'!$A$14:$A$63,0)),"")</f>
        <v/>
      </c>
      <c r="D190" s="30"/>
      <c r="E190" s="15"/>
      <c r="F190" s="16"/>
      <c r="G190" s="41" t="str">
        <f t="shared" si="1"/>
        <v/>
      </c>
      <c r="H190" s="38">
        <f t="array" ref="H190">IFERROR(INDEX('3. Costeo y Precios'!$K$14:$K$63,MATCH($B190,'3. Costeo y Precios'!$A$14:$A$63,0)),0)</f>
        <v>0</v>
      </c>
      <c r="I190" s="41" t="str">
        <f t="shared" si="2"/>
        <v/>
      </c>
      <c r="J190" s="44"/>
      <c r="K190" s="41" t="str">
        <f t="shared" si="3"/>
        <v/>
      </c>
      <c r="L190" s="43" t="str">
        <f t="shared" si="4"/>
        <v/>
      </c>
      <c r="M190" s="48" t="str">
        <f t="shared" si="5"/>
        <v/>
      </c>
      <c r="N190" s="30"/>
    </row>
    <row r="191" ht="15.75" customHeight="1">
      <c r="A191" s="32"/>
      <c r="B191" s="15"/>
      <c r="C191" s="52" t="str">
        <f t="array" ref="C191">IFERROR(INDEX('3. Costeo y Precios'!$B$14:$B$63,MATCH($B191,'3. Costeo y Precios'!$A$14:$A$63,0)),"")</f>
        <v/>
      </c>
      <c r="D191" s="30"/>
      <c r="E191" s="15"/>
      <c r="F191" s="16"/>
      <c r="G191" s="41" t="str">
        <f t="shared" si="1"/>
        <v/>
      </c>
      <c r="H191" s="38">
        <f t="array" ref="H191">IFERROR(INDEX('3. Costeo y Precios'!$K$14:$K$63,MATCH($B191,'3. Costeo y Precios'!$A$14:$A$63,0)),0)</f>
        <v>0</v>
      </c>
      <c r="I191" s="41" t="str">
        <f t="shared" si="2"/>
        <v/>
      </c>
      <c r="J191" s="44"/>
      <c r="K191" s="41" t="str">
        <f t="shared" si="3"/>
        <v/>
      </c>
      <c r="L191" s="43" t="str">
        <f t="shared" si="4"/>
        <v/>
      </c>
      <c r="M191" s="48" t="str">
        <f t="shared" si="5"/>
        <v/>
      </c>
      <c r="N191" s="30"/>
    </row>
    <row r="192" ht="15.75" customHeight="1">
      <c r="A192" s="32"/>
      <c r="B192" s="15"/>
      <c r="C192" s="52" t="str">
        <f t="array" ref="C192">IFERROR(INDEX('3. Costeo y Precios'!$B$14:$B$63,MATCH($B192,'3. Costeo y Precios'!$A$14:$A$63,0)),"")</f>
        <v/>
      </c>
      <c r="D192" s="30"/>
      <c r="E192" s="15"/>
      <c r="F192" s="16"/>
      <c r="G192" s="41" t="str">
        <f t="shared" si="1"/>
        <v/>
      </c>
      <c r="H192" s="38">
        <f t="array" ref="H192">IFERROR(INDEX('3. Costeo y Precios'!$K$14:$K$63,MATCH($B192,'3. Costeo y Precios'!$A$14:$A$63,0)),0)</f>
        <v>0</v>
      </c>
      <c r="I192" s="41" t="str">
        <f t="shared" si="2"/>
        <v/>
      </c>
      <c r="J192" s="44"/>
      <c r="K192" s="41" t="str">
        <f t="shared" si="3"/>
        <v/>
      </c>
      <c r="L192" s="43" t="str">
        <f t="shared" si="4"/>
        <v/>
      </c>
      <c r="M192" s="48" t="str">
        <f t="shared" si="5"/>
        <v/>
      </c>
      <c r="N192" s="30"/>
    </row>
    <row r="193" ht="15.75" customHeight="1">
      <c r="A193" s="32"/>
      <c r="B193" s="15"/>
      <c r="C193" s="52" t="str">
        <f t="array" ref="C193">IFERROR(INDEX('3. Costeo y Precios'!$B$14:$B$63,MATCH($B193,'3. Costeo y Precios'!$A$14:$A$63,0)),"")</f>
        <v/>
      </c>
      <c r="D193" s="30"/>
      <c r="E193" s="15"/>
      <c r="F193" s="16"/>
      <c r="G193" s="41" t="str">
        <f t="shared" si="1"/>
        <v/>
      </c>
      <c r="H193" s="38">
        <f t="array" ref="H193">IFERROR(INDEX('3. Costeo y Precios'!$K$14:$K$63,MATCH($B193,'3. Costeo y Precios'!$A$14:$A$63,0)),0)</f>
        <v>0</v>
      </c>
      <c r="I193" s="41" t="str">
        <f t="shared" si="2"/>
        <v/>
      </c>
      <c r="J193" s="44"/>
      <c r="K193" s="41" t="str">
        <f t="shared" si="3"/>
        <v/>
      </c>
      <c r="L193" s="43" t="str">
        <f t="shared" si="4"/>
        <v/>
      </c>
      <c r="M193" s="48" t="str">
        <f t="shared" si="5"/>
        <v/>
      </c>
      <c r="N193" s="30"/>
    </row>
    <row r="194" ht="15.75" customHeight="1">
      <c r="A194" s="32"/>
      <c r="B194" s="15"/>
      <c r="C194" s="52" t="str">
        <f t="array" ref="C194">IFERROR(INDEX('3. Costeo y Precios'!$B$14:$B$63,MATCH($B194,'3. Costeo y Precios'!$A$14:$A$63,0)),"")</f>
        <v/>
      </c>
      <c r="D194" s="30"/>
      <c r="E194" s="15"/>
      <c r="F194" s="16"/>
      <c r="G194" s="41" t="str">
        <f t="shared" si="1"/>
        <v/>
      </c>
      <c r="H194" s="38">
        <f t="array" ref="H194">IFERROR(INDEX('3. Costeo y Precios'!$K$14:$K$63,MATCH($B194,'3. Costeo y Precios'!$A$14:$A$63,0)),0)</f>
        <v>0</v>
      </c>
      <c r="I194" s="41" t="str">
        <f t="shared" si="2"/>
        <v/>
      </c>
      <c r="J194" s="44"/>
      <c r="K194" s="41" t="str">
        <f t="shared" si="3"/>
        <v/>
      </c>
      <c r="L194" s="43" t="str">
        <f t="shared" si="4"/>
        <v/>
      </c>
      <c r="M194" s="48" t="str">
        <f t="shared" si="5"/>
        <v/>
      </c>
      <c r="N194" s="30"/>
    </row>
    <row r="195" ht="15.75" customHeight="1">
      <c r="A195" s="32"/>
      <c r="B195" s="15"/>
      <c r="C195" s="52" t="str">
        <f t="array" ref="C195">IFERROR(INDEX('3. Costeo y Precios'!$B$14:$B$63,MATCH($B195,'3. Costeo y Precios'!$A$14:$A$63,0)),"")</f>
        <v/>
      </c>
      <c r="D195" s="30"/>
      <c r="E195" s="15"/>
      <c r="F195" s="16"/>
      <c r="G195" s="41" t="str">
        <f t="shared" si="1"/>
        <v/>
      </c>
      <c r="H195" s="38">
        <f t="array" ref="H195">IFERROR(INDEX('3. Costeo y Precios'!$K$14:$K$63,MATCH($B195,'3. Costeo y Precios'!$A$14:$A$63,0)),0)</f>
        <v>0</v>
      </c>
      <c r="I195" s="41" t="str">
        <f t="shared" si="2"/>
        <v/>
      </c>
      <c r="J195" s="44"/>
      <c r="K195" s="41" t="str">
        <f t="shared" si="3"/>
        <v/>
      </c>
      <c r="L195" s="43" t="str">
        <f t="shared" si="4"/>
        <v/>
      </c>
      <c r="M195" s="48" t="str">
        <f t="shared" si="5"/>
        <v/>
      </c>
      <c r="N195" s="30"/>
    </row>
    <row r="196" ht="15.75" customHeight="1">
      <c r="A196" s="32"/>
      <c r="B196" s="15"/>
      <c r="C196" s="52" t="str">
        <f t="array" ref="C196">IFERROR(INDEX('3. Costeo y Precios'!$B$14:$B$63,MATCH($B196,'3. Costeo y Precios'!$A$14:$A$63,0)),"")</f>
        <v/>
      </c>
      <c r="D196" s="30"/>
      <c r="E196" s="15"/>
      <c r="F196" s="16"/>
      <c r="G196" s="41" t="str">
        <f t="shared" si="1"/>
        <v/>
      </c>
      <c r="H196" s="38">
        <f t="array" ref="H196">IFERROR(INDEX('3. Costeo y Precios'!$K$14:$K$63,MATCH($B196,'3. Costeo y Precios'!$A$14:$A$63,0)),0)</f>
        <v>0</v>
      </c>
      <c r="I196" s="41" t="str">
        <f t="shared" si="2"/>
        <v/>
      </c>
      <c r="J196" s="44"/>
      <c r="K196" s="41" t="str">
        <f t="shared" si="3"/>
        <v/>
      </c>
      <c r="L196" s="43" t="str">
        <f t="shared" si="4"/>
        <v/>
      </c>
      <c r="M196" s="48" t="str">
        <f t="shared" si="5"/>
        <v/>
      </c>
      <c r="N196" s="30"/>
    </row>
    <row r="197" ht="15.75" customHeight="1">
      <c r="A197" s="32"/>
      <c r="B197" s="15"/>
      <c r="C197" s="52" t="str">
        <f t="array" ref="C197">IFERROR(INDEX('3. Costeo y Precios'!$B$14:$B$63,MATCH($B197,'3. Costeo y Precios'!$A$14:$A$63,0)),"")</f>
        <v/>
      </c>
      <c r="D197" s="30"/>
      <c r="E197" s="15"/>
      <c r="F197" s="16"/>
      <c r="G197" s="41" t="str">
        <f t="shared" si="1"/>
        <v/>
      </c>
      <c r="H197" s="38">
        <f t="array" ref="H197">IFERROR(INDEX('3. Costeo y Precios'!$K$14:$K$63,MATCH($B197,'3. Costeo y Precios'!$A$14:$A$63,0)),0)</f>
        <v>0</v>
      </c>
      <c r="I197" s="41" t="str">
        <f t="shared" si="2"/>
        <v/>
      </c>
      <c r="J197" s="44"/>
      <c r="K197" s="41" t="str">
        <f t="shared" si="3"/>
        <v/>
      </c>
      <c r="L197" s="43" t="str">
        <f t="shared" si="4"/>
        <v/>
      </c>
      <c r="M197" s="48" t="str">
        <f t="shared" si="5"/>
        <v/>
      </c>
      <c r="N197" s="30"/>
    </row>
    <row r="198" ht="15.75" customHeight="1">
      <c r="A198" s="32"/>
      <c r="B198" s="15"/>
      <c r="C198" s="52" t="str">
        <f t="array" ref="C198">IFERROR(INDEX('3. Costeo y Precios'!$B$14:$B$63,MATCH($B198,'3. Costeo y Precios'!$A$14:$A$63,0)),"")</f>
        <v/>
      </c>
      <c r="D198" s="30"/>
      <c r="E198" s="15"/>
      <c r="F198" s="16"/>
      <c r="G198" s="41" t="str">
        <f t="shared" si="1"/>
        <v/>
      </c>
      <c r="H198" s="38">
        <f t="array" ref="H198">IFERROR(INDEX('3. Costeo y Precios'!$K$14:$K$63,MATCH($B198,'3. Costeo y Precios'!$A$14:$A$63,0)),0)</f>
        <v>0</v>
      </c>
      <c r="I198" s="41" t="str">
        <f t="shared" si="2"/>
        <v/>
      </c>
      <c r="J198" s="44"/>
      <c r="K198" s="41" t="str">
        <f t="shared" si="3"/>
        <v/>
      </c>
      <c r="L198" s="43" t="str">
        <f t="shared" si="4"/>
        <v/>
      </c>
      <c r="M198" s="48" t="str">
        <f t="shared" si="5"/>
        <v/>
      </c>
      <c r="N198" s="30"/>
    </row>
    <row r="199" ht="15.75" customHeight="1">
      <c r="A199" s="32"/>
      <c r="B199" s="15"/>
      <c r="C199" s="52" t="str">
        <f t="array" ref="C199">IFERROR(INDEX('3. Costeo y Precios'!$B$14:$B$63,MATCH($B199,'3. Costeo y Precios'!$A$14:$A$63,0)),"")</f>
        <v/>
      </c>
      <c r="D199" s="30"/>
      <c r="E199" s="15"/>
      <c r="F199" s="16"/>
      <c r="G199" s="41" t="str">
        <f t="shared" si="1"/>
        <v/>
      </c>
      <c r="H199" s="38">
        <f t="array" ref="H199">IFERROR(INDEX('3. Costeo y Precios'!$K$14:$K$63,MATCH($B199,'3. Costeo y Precios'!$A$14:$A$63,0)),0)</f>
        <v>0</v>
      </c>
      <c r="I199" s="41" t="str">
        <f t="shared" si="2"/>
        <v/>
      </c>
      <c r="J199" s="44"/>
      <c r="K199" s="41" t="str">
        <f t="shared" si="3"/>
        <v/>
      </c>
      <c r="L199" s="43" t="str">
        <f t="shared" si="4"/>
        <v/>
      </c>
      <c r="M199" s="48" t="str">
        <f t="shared" si="5"/>
        <v/>
      </c>
      <c r="N199" s="30"/>
    </row>
    <row r="200" ht="15.75" customHeight="1">
      <c r="A200" s="32"/>
      <c r="B200" s="15"/>
      <c r="C200" s="52" t="str">
        <f t="array" ref="C200">IFERROR(INDEX('3. Costeo y Precios'!$B$14:$B$63,MATCH($B200,'3. Costeo y Precios'!$A$14:$A$63,0)),"")</f>
        <v/>
      </c>
      <c r="D200" s="30"/>
      <c r="E200" s="15"/>
      <c r="F200" s="16"/>
      <c r="G200" s="41" t="str">
        <f t="shared" si="1"/>
        <v/>
      </c>
      <c r="H200" s="38">
        <f t="array" ref="H200">IFERROR(INDEX('3. Costeo y Precios'!$K$14:$K$63,MATCH($B200,'3. Costeo y Precios'!$A$14:$A$63,0)),0)</f>
        <v>0</v>
      </c>
      <c r="I200" s="41" t="str">
        <f t="shared" si="2"/>
        <v/>
      </c>
      <c r="J200" s="44"/>
      <c r="K200" s="41" t="str">
        <f t="shared" si="3"/>
        <v/>
      </c>
      <c r="L200" s="43" t="str">
        <f t="shared" si="4"/>
        <v/>
      </c>
      <c r="M200" s="48" t="str">
        <f t="shared" si="5"/>
        <v/>
      </c>
      <c r="N200" s="30"/>
    </row>
    <row r="201" ht="15.75" customHeight="1">
      <c r="A201" s="32"/>
      <c r="B201" s="15"/>
      <c r="C201" s="52" t="str">
        <f t="array" ref="C201">IFERROR(INDEX('3. Costeo y Precios'!$B$14:$B$63,MATCH($B201,'3. Costeo y Precios'!$A$14:$A$63,0)),"")</f>
        <v/>
      </c>
      <c r="D201" s="30"/>
      <c r="E201" s="15"/>
      <c r="F201" s="16"/>
      <c r="G201" s="41" t="str">
        <f t="shared" si="1"/>
        <v/>
      </c>
      <c r="H201" s="38">
        <f t="array" ref="H201">IFERROR(INDEX('3. Costeo y Precios'!$K$14:$K$63,MATCH($B201,'3. Costeo y Precios'!$A$14:$A$63,0)),0)</f>
        <v>0</v>
      </c>
      <c r="I201" s="41" t="str">
        <f t="shared" si="2"/>
        <v/>
      </c>
      <c r="J201" s="44"/>
      <c r="K201" s="41" t="str">
        <f t="shared" si="3"/>
        <v/>
      </c>
      <c r="L201" s="43" t="str">
        <f t="shared" si="4"/>
        <v/>
      </c>
      <c r="M201" s="48" t="str">
        <f t="shared" si="5"/>
        <v/>
      </c>
      <c r="N201" s="30"/>
    </row>
    <row r="202" ht="15.75" customHeight="1">
      <c r="A202" s="32"/>
      <c r="B202" s="15"/>
      <c r="C202" s="52" t="str">
        <f t="array" ref="C202">IFERROR(INDEX('3. Costeo y Precios'!$B$14:$B$63,MATCH($B202,'3. Costeo y Precios'!$A$14:$A$63,0)),"")</f>
        <v/>
      </c>
      <c r="D202" s="30"/>
      <c r="E202" s="15"/>
      <c r="F202" s="16"/>
      <c r="G202" s="41" t="str">
        <f t="shared" si="1"/>
        <v/>
      </c>
      <c r="H202" s="38">
        <f t="array" ref="H202">IFERROR(INDEX('3. Costeo y Precios'!$K$14:$K$63,MATCH($B202,'3. Costeo y Precios'!$A$14:$A$63,0)),0)</f>
        <v>0</v>
      </c>
      <c r="I202" s="41" t="str">
        <f t="shared" si="2"/>
        <v/>
      </c>
      <c r="J202" s="44"/>
      <c r="K202" s="41" t="str">
        <f t="shared" si="3"/>
        <v/>
      </c>
      <c r="L202" s="43" t="str">
        <f t="shared" si="4"/>
        <v/>
      </c>
      <c r="M202" s="48" t="str">
        <f t="shared" si="5"/>
        <v/>
      </c>
      <c r="N202" s="30"/>
    </row>
    <row r="203" ht="15.75" customHeight="1">
      <c r="A203" s="32"/>
      <c r="B203" s="15"/>
      <c r="C203" s="52" t="str">
        <f t="array" ref="C203">IFERROR(INDEX('3. Costeo y Precios'!$B$14:$B$63,MATCH($B203,'3. Costeo y Precios'!$A$14:$A$63,0)),"")</f>
        <v/>
      </c>
      <c r="D203" s="30"/>
      <c r="E203" s="15"/>
      <c r="F203" s="16"/>
      <c r="G203" s="41" t="str">
        <f t="shared" si="1"/>
        <v/>
      </c>
      <c r="H203" s="38">
        <f t="array" ref="H203">IFERROR(INDEX('3. Costeo y Precios'!$K$14:$K$63,MATCH($B203,'3. Costeo y Precios'!$A$14:$A$63,0)),0)</f>
        <v>0</v>
      </c>
      <c r="I203" s="41" t="str">
        <f t="shared" si="2"/>
        <v/>
      </c>
      <c r="J203" s="44"/>
      <c r="K203" s="41" t="str">
        <f t="shared" si="3"/>
        <v/>
      </c>
      <c r="L203" s="43" t="str">
        <f t="shared" si="4"/>
        <v/>
      </c>
      <c r="M203" s="48" t="str">
        <f t="shared" si="5"/>
        <v/>
      </c>
      <c r="N203" s="30"/>
    </row>
    <row r="204" ht="15.75" customHeight="1">
      <c r="A204" s="32"/>
      <c r="B204" s="15"/>
      <c r="C204" s="52" t="str">
        <f t="array" ref="C204">IFERROR(INDEX('3. Costeo y Precios'!$B$14:$B$63,MATCH($B204,'3. Costeo y Precios'!$A$14:$A$63,0)),"")</f>
        <v/>
      </c>
      <c r="D204" s="30"/>
      <c r="E204" s="15"/>
      <c r="F204" s="16"/>
      <c r="G204" s="41" t="str">
        <f t="shared" si="1"/>
        <v/>
      </c>
      <c r="H204" s="38">
        <f t="array" ref="H204">IFERROR(INDEX('3. Costeo y Precios'!$K$14:$K$63,MATCH($B204,'3. Costeo y Precios'!$A$14:$A$63,0)),0)</f>
        <v>0</v>
      </c>
      <c r="I204" s="41" t="str">
        <f t="shared" si="2"/>
        <v/>
      </c>
      <c r="J204" s="44"/>
      <c r="K204" s="41" t="str">
        <f t="shared" si="3"/>
        <v/>
      </c>
      <c r="L204" s="43" t="str">
        <f t="shared" si="4"/>
        <v/>
      </c>
      <c r="M204" s="48" t="str">
        <f t="shared" si="5"/>
        <v/>
      </c>
      <c r="N204" s="30"/>
    </row>
    <row r="205" ht="15.75" customHeight="1">
      <c r="A205" s="32"/>
      <c r="B205" s="15"/>
      <c r="C205" s="52" t="str">
        <f t="array" ref="C205">IFERROR(INDEX('3. Costeo y Precios'!$B$14:$B$63,MATCH($B205,'3. Costeo y Precios'!$A$14:$A$63,0)),"")</f>
        <v/>
      </c>
      <c r="D205" s="30"/>
      <c r="E205" s="15"/>
      <c r="F205" s="16"/>
      <c r="G205" s="41" t="str">
        <f t="shared" si="1"/>
        <v/>
      </c>
      <c r="H205" s="38">
        <f t="array" ref="H205">IFERROR(INDEX('3. Costeo y Precios'!$K$14:$K$63,MATCH($B205,'3. Costeo y Precios'!$A$14:$A$63,0)),0)</f>
        <v>0</v>
      </c>
      <c r="I205" s="41" t="str">
        <f t="shared" si="2"/>
        <v/>
      </c>
      <c r="J205" s="44"/>
      <c r="K205" s="41" t="str">
        <f t="shared" si="3"/>
        <v/>
      </c>
      <c r="L205" s="43" t="str">
        <f t="shared" si="4"/>
        <v/>
      </c>
      <c r="M205" s="48" t="str">
        <f t="shared" si="5"/>
        <v/>
      </c>
      <c r="N205" s="30"/>
    </row>
    <row r="206" ht="15.75" customHeight="1">
      <c r="A206" s="32"/>
      <c r="B206" s="15"/>
      <c r="C206" s="52" t="str">
        <f t="array" ref="C206">IFERROR(INDEX('3. Costeo y Precios'!$B$14:$B$63,MATCH($B206,'3. Costeo y Precios'!$A$14:$A$63,0)),"")</f>
        <v/>
      </c>
      <c r="D206" s="30"/>
      <c r="E206" s="15"/>
      <c r="F206" s="16"/>
      <c r="G206" s="41" t="str">
        <f t="shared" si="1"/>
        <v/>
      </c>
      <c r="H206" s="38">
        <f t="array" ref="H206">IFERROR(INDEX('3. Costeo y Precios'!$K$14:$K$63,MATCH($B206,'3. Costeo y Precios'!$A$14:$A$63,0)),0)</f>
        <v>0</v>
      </c>
      <c r="I206" s="41" t="str">
        <f t="shared" si="2"/>
        <v/>
      </c>
      <c r="J206" s="44"/>
      <c r="K206" s="41" t="str">
        <f t="shared" si="3"/>
        <v/>
      </c>
      <c r="L206" s="43" t="str">
        <f t="shared" si="4"/>
        <v/>
      </c>
      <c r="M206" s="48" t="str">
        <f t="shared" si="5"/>
        <v/>
      </c>
      <c r="N206" s="30"/>
    </row>
    <row r="207" ht="15.75" customHeight="1">
      <c r="A207" s="32"/>
      <c r="B207" s="15"/>
      <c r="C207" s="52" t="str">
        <f t="array" ref="C207">IFERROR(INDEX('3. Costeo y Precios'!$B$14:$B$63,MATCH($B207,'3. Costeo y Precios'!$A$14:$A$63,0)),"")</f>
        <v/>
      </c>
      <c r="D207" s="30"/>
      <c r="E207" s="15"/>
      <c r="F207" s="16"/>
      <c r="G207" s="41" t="str">
        <f t="shared" si="1"/>
        <v/>
      </c>
      <c r="H207" s="38">
        <f t="array" ref="H207">IFERROR(INDEX('3. Costeo y Precios'!$K$14:$K$63,MATCH($B207,'3. Costeo y Precios'!$A$14:$A$63,0)),0)</f>
        <v>0</v>
      </c>
      <c r="I207" s="41" t="str">
        <f t="shared" si="2"/>
        <v/>
      </c>
      <c r="J207" s="44"/>
      <c r="K207" s="41" t="str">
        <f t="shared" si="3"/>
        <v/>
      </c>
      <c r="L207" s="43" t="str">
        <f t="shared" si="4"/>
        <v/>
      </c>
      <c r="M207" s="48" t="str">
        <f t="shared" si="5"/>
        <v/>
      </c>
      <c r="N207" s="30"/>
    </row>
    <row r="208" ht="15.75" customHeight="1">
      <c r="A208" s="32"/>
      <c r="B208" s="15"/>
      <c r="C208" s="52" t="str">
        <f t="array" ref="C208">IFERROR(INDEX('3. Costeo y Precios'!$B$14:$B$63,MATCH($B208,'3. Costeo y Precios'!$A$14:$A$63,0)),"")</f>
        <v/>
      </c>
      <c r="D208" s="30"/>
      <c r="E208" s="15"/>
      <c r="F208" s="16"/>
      <c r="G208" s="41" t="str">
        <f t="shared" si="1"/>
        <v/>
      </c>
      <c r="H208" s="38">
        <f t="array" ref="H208">IFERROR(INDEX('3. Costeo y Precios'!$K$14:$K$63,MATCH($B208,'3. Costeo y Precios'!$A$14:$A$63,0)),0)</f>
        <v>0</v>
      </c>
      <c r="I208" s="41" t="str">
        <f t="shared" si="2"/>
        <v/>
      </c>
      <c r="J208" s="44"/>
      <c r="K208" s="41" t="str">
        <f t="shared" si="3"/>
        <v/>
      </c>
      <c r="L208" s="43" t="str">
        <f t="shared" si="4"/>
        <v/>
      </c>
      <c r="M208" s="48" t="str">
        <f t="shared" si="5"/>
        <v/>
      </c>
      <c r="N208" s="30"/>
    </row>
    <row r="209" ht="15.75" customHeight="1">
      <c r="A209" s="32"/>
      <c r="B209" s="15"/>
      <c r="C209" s="52" t="str">
        <f t="array" ref="C209">IFERROR(INDEX('3. Costeo y Precios'!$B$14:$B$63,MATCH($B209,'3. Costeo y Precios'!$A$14:$A$63,0)),"")</f>
        <v/>
      </c>
      <c r="D209" s="30"/>
      <c r="E209" s="15"/>
      <c r="F209" s="16"/>
      <c r="G209" s="41" t="str">
        <f t="shared" si="1"/>
        <v/>
      </c>
      <c r="H209" s="38">
        <f t="array" ref="H209">IFERROR(INDEX('3. Costeo y Precios'!$K$14:$K$63,MATCH($B209,'3. Costeo y Precios'!$A$14:$A$63,0)),0)</f>
        <v>0</v>
      </c>
      <c r="I209" s="41" t="str">
        <f t="shared" si="2"/>
        <v/>
      </c>
      <c r="J209" s="44"/>
      <c r="K209" s="41" t="str">
        <f t="shared" si="3"/>
        <v/>
      </c>
      <c r="L209" s="43" t="str">
        <f t="shared" si="4"/>
        <v/>
      </c>
      <c r="M209" s="48" t="str">
        <f t="shared" si="5"/>
        <v/>
      </c>
      <c r="N209" s="30"/>
    </row>
    <row r="210" ht="15.75" customHeight="1">
      <c r="A210" s="32"/>
      <c r="B210" s="15"/>
      <c r="C210" s="52" t="str">
        <f t="array" ref="C210">IFERROR(INDEX('3. Costeo y Precios'!$B$14:$B$63,MATCH($B210,'3. Costeo y Precios'!$A$14:$A$63,0)),"")</f>
        <v/>
      </c>
      <c r="D210" s="30"/>
      <c r="E210" s="15"/>
      <c r="F210" s="16"/>
      <c r="G210" s="41" t="str">
        <f t="shared" si="1"/>
        <v/>
      </c>
      <c r="H210" s="38">
        <f t="array" ref="H210">IFERROR(INDEX('3. Costeo y Precios'!$K$14:$K$63,MATCH($B210,'3. Costeo y Precios'!$A$14:$A$63,0)),0)</f>
        <v>0</v>
      </c>
      <c r="I210" s="41" t="str">
        <f t="shared" si="2"/>
        <v/>
      </c>
      <c r="J210" s="44"/>
      <c r="K210" s="41" t="str">
        <f t="shared" si="3"/>
        <v/>
      </c>
      <c r="L210" s="43" t="str">
        <f t="shared" si="4"/>
        <v/>
      </c>
      <c r="M210" s="48" t="str">
        <f t="shared" si="5"/>
        <v/>
      </c>
      <c r="N210" s="30"/>
    </row>
    <row r="211" ht="15.75" customHeight="1">
      <c r="A211" s="32"/>
      <c r="B211" s="15"/>
      <c r="C211" s="52" t="str">
        <f t="array" ref="C211">IFERROR(INDEX('3. Costeo y Precios'!$B$14:$B$63,MATCH($B211,'3. Costeo y Precios'!$A$14:$A$63,0)),"")</f>
        <v/>
      </c>
      <c r="D211" s="30"/>
      <c r="E211" s="15"/>
      <c r="F211" s="16"/>
      <c r="G211" s="41" t="str">
        <f t="shared" si="1"/>
        <v/>
      </c>
      <c r="H211" s="38">
        <f t="array" ref="H211">IFERROR(INDEX('3. Costeo y Precios'!$K$14:$K$63,MATCH($B211,'3. Costeo y Precios'!$A$14:$A$63,0)),0)</f>
        <v>0</v>
      </c>
      <c r="I211" s="41" t="str">
        <f t="shared" si="2"/>
        <v/>
      </c>
      <c r="J211" s="44"/>
      <c r="K211" s="41" t="str">
        <f t="shared" si="3"/>
        <v/>
      </c>
      <c r="L211" s="43" t="str">
        <f t="shared" si="4"/>
        <v/>
      </c>
      <c r="M211" s="48" t="str">
        <f t="shared" si="5"/>
        <v/>
      </c>
      <c r="N211" s="30"/>
    </row>
    <row r="212" ht="15.75" customHeight="1">
      <c r="A212" s="32"/>
      <c r="B212" s="15"/>
      <c r="C212" s="52" t="str">
        <f t="array" ref="C212">IFERROR(INDEX('3. Costeo y Precios'!$B$14:$B$63,MATCH($B212,'3. Costeo y Precios'!$A$14:$A$63,0)),"")</f>
        <v/>
      </c>
      <c r="D212" s="30"/>
      <c r="E212" s="15"/>
      <c r="F212" s="16"/>
      <c r="G212" s="41" t="str">
        <f t="shared" si="1"/>
        <v/>
      </c>
      <c r="H212" s="38">
        <f t="array" ref="H212">IFERROR(INDEX('3. Costeo y Precios'!$K$14:$K$63,MATCH($B212,'3. Costeo y Precios'!$A$14:$A$63,0)),0)</f>
        <v>0</v>
      </c>
      <c r="I212" s="41" t="str">
        <f t="shared" si="2"/>
        <v/>
      </c>
      <c r="J212" s="44"/>
      <c r="K212" s="41" t="str">
        <f t="shared" si="3"/>
        <v/>
      </c>
      <c r="L212" s="43" t="str">
        <f t="shared" si="4"/>
        <v/>
      </c>
      <c r="M212" s="48" t="str">
        <f t="shared" si="5"/>
        <v/>
      </c>
      <c r="N212" s="30"/>
    </row>
    <row r="213" ht="15.75" customHeight="1">
      <c r="A213" s="32"/>
      <c r="B213" s="15"/>
      <c r="C213" s="52" t="str">
        <f t="array" ref="C213">IFERROR(INDEX('3. Costeo y Precios'!$B$14:$B$63,MATCH($B213,'3. Costeo y Precios'!$A$14:$A$63,0)),"")</f>
        <v/>
      </c>
      <c r="D213" s="30"/>
      <c r="E213" s="15"/>
      <c r="F213" s="16"/>
      <c r="G213" s="41" t="str">
        <f t="shared" si="1"/>
        <v/>
      </c>
      <c r="H213" s="38">
        <f t="array" ref="H213">IFERROR(INDEX('3. Costeo y Precios'!$K$14:$K$63,MATCH($B213,'3. Costeo y Precios'!$A$14:$A$63,0)),0)</f>
        <v>0</v>
      </c>
      <c r="I213" s="41" t="str">
        <f t="shared" si="2"/>
        <v/>
      </c>
      <c r="J213" s="44"/>
      <c r="K213" s="41" t="str">
        <f t="shared" si="3"/>
        <v/>
      </c>
      <c r="L213" s="43" t="str">
        <f t="shared" si="4"/>
        <v/>
      </c>
      <c r="M213" s="48" t="str">
        <f t="shared" si="5"/>
        <v/>
      </c>
      <c r="N213" s="30"/>
    </row>
    <row r="214" ht="15.75" customHeight="1">
      <c r="A214" s="32"/>
      <c r="B214" s="15"/>
      <c r="C214" s="52" t="str">
        <f t="array" ref="C214">IFERROR(INDEX('3. Costeo y Precios'!$B$14:$B$63,MATCH($B214,'3. Costeo y Precios'!$A$14:$A$63,0)),"")</f>
        <v/>
      </c>
      <c r="D214" s="30"/>
      <c r="E214" s="15"/>
      <c r="F214" s="16"/>
      <c r="G214" s="41" t="str">
        <f t="shared" si="1"/>
        <v/>
      </c>
      <c r="H214" s="38">
        <f t="array" ref="H214">IFERROR(INDEX('3. Costeo y Precios'!$K$14:$K$63,MATCH($B214,'3. Costeo y Precios'!$A$14:$A$63,0)),0)</f>
        <v>0</v>
      </c>
      <c r="I214" s="41" t="str">
        <f t="shared" si="2"/>
        <v/>
      </c>
      <c r="J214" s="44"/>
      <c r="K214" s="41" t="str">
        <f t="shared" si="3"/>
        <v/>
      </c>
      <c r="L214" s="43" t="str">
        <f t="shared" si="4"/>
        <v/>
      </c>
      <c r="M214" s="48" t="str">
        <f t="shared" si="5"/>
        <v/>
      </c>
      <c r="N214" s="30"/>
    </row>
    <row r="215" ht="15.75" customHeight="1">
      <c r="A215" s="32"/>
      <c r="B215" s="15"/>
      <c r="C215" s="52" t="str">
        <f t="array" ref="C215">IFERROR(INDEX('3. Costeo y Precios'!$B$14:$B$63,MATCH($B215,'3. Costeo y Precios'!$A$14:$A$63,0)),"")</f>
        <v/>
      </c>
      <c r="D215" s="30"/>
      <c r="E215" s="15"/>
      <c r="F215" s="16"/>
      <c r="G215" s="41" t="str">
        <f t="shared" si="1"/>
        <v/>
      </c>
      <c r="H215" s="38">
        <f t="array" ref="H215">IFERROR(INDEX('3. Costeo y Precios'!$K$14:$K$63,MATCH($B215,'3. Costeo y Precios'!$A$14:$A$63,0)),0)</f>
        <v>0</v>
      </c>
      <c r="I215" s="41" t="str">
        <f t="shared" si="2"/>
        <v/>
      </c>
      <c r="J215" s="44"/>
      <c r="K215" s="41" t="str">
        <f t="shared" si="3"/>
        <v/>
      </c>
      <c r="L215" s="43" t="str">
        <f t="shared" si="4"/>
        <v/>
      </c>
      <c r="M215" s="48" t="str">
        <f t="shared" si="5"/>
        <v/>
      </c>
      <c r="N215" s="30"/>
    </row>
    <row r="216" ht="15.75" customHeight="1">
      <c r="A216" s="32"/>
      <c r="B216" s="15"/>
      <c r="C216" s="52" t="str">
        <f t="array" ref="C216">IFERROR(INDEX('3. Costeo y Precios'!$B$14:$B$63,MATCH($B216,'3. Costeo y Precios'!$A$14:$A$63,0)),"")</f>
        <v/>
      </c>
      <c r="D216" s="30"/>
      <c r="E216" s="15"/>
      <c r="F216" s="16"/>
      <c r="G216" s="41" t="str">
        <f t="shared" si="1"/>
        <v/>
      </c>
      <c r="H216" s="38">
        <f t="array" ref="H216">IFERROR(INDEX('3. Costeo y Precios'!$K$14:$K$63,MATCH($B216,'3. Costeo y Precios'!$A$14:$A$63,0)),0)</f>
        <v>0</v>
      </c>
      <c r="I216" s="41" t="str">
        <f t="shared" si="2"/>
        <v/>
      </c>
      <c r="J216" s="44"/>
      <c r="K216" s="41" t="str">
        <f t="shared" si="3"/>
        <v/>
      </c>
      <c r="L216" s="43" t="str">
        <f t="shared" si="4"/>
        <v/>
      </c>
      <c r="M216" s="48" t="str">
        <f t="shared" si="5"/>
        <v/>
      </c>
      <c r="N216" s="30"/>
    </row>
    <row r="217" ht="15.75" customHeight="1">
      <c r="A217" s="32"/>
      <c r="B217" s="15"/>
      <c r="C217" s="52" t="str">
        <f t="array" ref="C217">IFERROR(INDEX('3. Costeo y Precios'!$B$14:$B$63,MATCH($B217,'3. Costeo y Precios'!$A$14:$A$63,0)),"")</f>
        <v/>
      </c>
      <c r="D217" s="30"/>
      <c r="E217" s="15"/>
      <c r="F217" s="16"/>
      <c r="G217" s="41" t="str">
        <f t="shared" si="1"/>
        <v/>
      </c>
      <c r="H217" s="38">
        <f t="array" ref="H217">IFERROR(INDEX('3. Costeo y Precios'!$K$14:$K$63,MATCH($B217,'3. Costeo y Precios'!$A$14:$A$63,0)),0)</f>
        <v>0</v>
      </c>
      <c r="I217" s="41" t="str">
        <f t="shared" si="2"/>
        <v/>
      </c>
      <c r="J217" s="44"/>
      <c r="K217" s="41" t="str">
        <f t="shared" si="3"/>
        <v/>
      </c>
      <c r="L217" s="43" t="str">
        <f t="shared" si="4"/>
        <v/>
      </c>
      <c r="M217" s="48" t="str">
        <f t="shared" si="5"/>
        <v/>
      </c>
      <c r="N217" s="30"/>
    </row>
    <row r="218" ht="15.75" customHeight="1">
      <c r="A218" s="32"/>
      <c r="B218" s="15"/>
      <c r="C218" s="52" t="str">
        <f t="array" ref="C218">IFERROR(INDEX('3. Costeo y Precios'!$B$14:$B$63,MATCH($B218,'3. Costeo y Precios'!$A$14:$A$63,0)),"")</f>
        <v/>
      </c>
      <c r="D218" s="30"/>
      <c r="E218" s="15"/>
      <c r="F218" s="16"/>
      <c r="G218" s="41" t="str">
        <f t="shared" si="1"/>
        <v/>
      </c>
      <c r="H218" s="38">
        <f t="array" ref="H218">IFERROR(INDEX('3. Costeo y Precios'!$K$14:$K$63,MATCH($B218,'3. Costeo y Precios'!$A$14:$A$63,0)),0)</f>
        <v>0</v>
      </c>
      <c r="I218" s="41" t="str">
        <f t="shared" si="2"/>
        <v/>
      </c>
      <c r="J218" s="44"/>
      <c r="K218" s="41" t="str">
        <f t="shared" si="3"/>
        <v/>
      </c>
      <c r="L218" s="43" t="str">
        <f t="shared" si="4"/>
        <v/>
      </c>
      <c r="M218" s="48" t="str">
        <f t="shared" si="5"/>
        <v/>
      </c>
      <c r="N218" s="30"/>
    </row>
    <row r="219" ht="15.75" customHeight="1">
      <c r="A219" s="32"/>
      <c r="B219" s="15"/>
      <c r="C219" s="52" t="str">
        <f t="array" ref="C219">IFERROR(INDEX('3. Costeo y Precios'!$B$14:$B$63,MATCH($B219,'3. Costeo y Precios'!$A$14:$A$63,0)),"")</f>
        <v/>
      </c>
      <c r="D219" s="30"/>
      <c r="E219" s="15"/>
      <c r="F219" s="16"/>
      <c r="G219" s="41" t="str">
        <f t="shared" si="1"/>
        <v/>
      </c>
      <c r="H219" s="38">
        <f t="array" ref="H219">IFERROR(INDEX('3. Costeo y Precios'!$K$14:$K$63,MATCH($B219,'3. Costeo y Precios'!$A$14:$A$63,0)),0)</f>
        <v>0</v>
      </c>
      <c r="I219" s="41" t="str">
        <f t="shared" si="2"/>
        <v/>
      </c>
      <c r="J219" s="44"/>
      <c r="K219" s="41" t="str">
        <f t="shared" si="3"/>
        <v/>
      </c>
      <c r="L219" s="43" t="str">
        <f t="shared" si="4"/>
        <v/>
      </c>
      <c r="M219" s="48" t="str">
        <f t="shared" si="5"/>
        <v/>
      </c>
      <c r="N219" s="30"/>
    </row>
    <row r="220" ht="15.75" customHeight="1">
      <c r="A220" s="32"/>
      <c r="B220" s="15"/>
      <c r="C220" s="52" t="str">
        <f t="array" ref="C220">IFERROR(INDEX('3. Costeo y Precios'!$B$14:$B$63,MATCH($B220,'3. Costeo y Precios'!$A$14:$A$63,0)),"")</f>
        <v/>
      </c>
      <c r="D220" s="30"/>
      <c r="E220" s="15"/>
      <c r="F220" s="16"/>
      <c r="G220" s="41" t="str">
        <f t="shared" si="1"/>
        <v/>
      </c>
      <c r="H220" s="38">
        <f t="array" ref="H220">IFERROR(INDEX('3. Costeo y Precios'!$K$14:$K$63,MATCH($B220,'3. Costeo y Precios'!$A$14:$A$63,0)),0)</f>
        <v>0</v>
      </c>
      <c r="I220" s="41" t="str">
        <f t="shared" si="2"/>
        <v/>
      </c>
      <c r="J220" s="44"/>
      <c r="K220" s="41" t="str">
        <f t="shared" si="3"/>
        <v/>
      </c>
      <c r="L220" s="43" t="str">
        <f t="shared" si="4"/>
        <v/>
      </c>
      <c r="M220" s="48" t="str">
        <f t="shared" si="5"/>
        <v/>
      </c>
      <c r="N220" s="30"/>
    </row>
    <row r="221" ht="15.75" customHeight="1">
      <c r="A221" s="32"/>
      <c r="B221" s="15"/>
      <c r="C221" s="52" t="str">
        <f t="array" ref="C221">IFERROR(INDEX('3. Costeo y Precios'!$B$14:$B$63,MATCH($B221,'3. Costeo y Precios'!$A$14:$A$63,0)),"")</f>
        <v/>
      </c>
      <c r="D221" s="30"/>
      <c r="E221" s="15"/>
      <c r="F221" s="16"/>
      <c r="G221" s="41" t="str">
        <f t="shared" si="1"/>
        <v/>
      </c>
      <c r="H221" s="38">
        <f t="array" ref="H221">IFERROR(INDEX('3. Costeo y Precios'!$K$14:$K$63,MATCH($B221,'3. Costeo y Precios'!$A$14:$A$63,0)),0)</f>
        <v>0</v>
      </c>
      <c r="I221" s="41" t="str">
        <f t="shared" si="2"/>
        <v/>
      </c>
      <c r="J221" s="44"/>
      <c r="K221" s="41" t="str">
        <f t="shared" si="3"/>
        <v/>
      </c>
      <c r="L221" s="43" t="str">
        <f t="shared" si="4"/>
        <v/>
      </c>
      <c r="M221" s="48" t="str">
        <f t="shared" si="5"/>
        <v/>
      </c>
      <c r="N221" s="30"/>
    </row>
    <row r="222" ht="15.75" customHeight="1">
      <c r="A222" s="32"/>
      <c r="B222" s="15"/>
      <c r="C222" s="52" t="str">
        <f t="array" ref="C222">IFERROR(INDEX('3. Costeo y Precios'!$B$14:$B$63,MATCH($B222,'3. Costeo y Precios'!$A$14:$A$63,0)),"")</f>
        <v/>
      </c>
      <c r="D222" s="30"/>
      <c r="E222" s="15"/>
      <c r="F222" s="16"/>
      <c r="G222" s="41" t="str">
        <f t="shared" si="1"/>
        <v/>
      </c>
      <c r="H222" s="38">
        <f t="array" ref="H222">IFERROR(INDEX('3. Costeo y Precios'!$K$14:$K$63,MATCH($B222,'3. Costeo y Precios'!$A$14:$A$63,0)),0)</f>
        <v>0</v>
      </c>
      <c r="I222" s="41" t="str">
        <f t="shared" si="2"/>
        <v/>
      </c>
      <c r="J222" s="44"/>
      <c r="K222" s="41" t="str">
        <f t="shared" si="3"/>
        <v/>
      </c>
      <c r="L222" s="43" t="str">
        <f t="shared" si="4"/>
        <v/>
      </c>
      <c r="M222" s="48" t="str">
        <f t="shared" si="5"/>
        <v/>
      </c>
      <c r="N222" s="30"/>
    </row>
    <row r="223" ht="15.75" customHeight="1">
      <c r="A223" s="32"/>
      <c r="B223" s="15"/>
      <c r="C223" s="52" t="str">
        <f t="array" ref="C223">IFERROR(INDEX('3. Costeo y Precios'!$B$14:$B$63,MATCH($B223,'3. Costeo y Precios'!$A$14:$A$63,0)),"")</f>
        <v/>
      </c>
      <c r="D223" s="30"/>
      <c r="E223" s="15"/>
      <c r="F223" s="16"/>
      <c r="G223" s="41" t="str">
        <f t="shared" si="1"/>
        <v/>
      </c>
      <c r="H223" s="38">
        <f t="array" ref="H223">IFERROR(INDEX('3. Costeo y Precios'!$K$14:$K$63,MATCH($B223,'3. Costeo y Precios'!$A$14:$A$63,0)),0)</f>
        <v>0</v>
      </c>
      <c r="I223" s="41" t="str">
        <f t="shared" si="2"/>
        <v/>
      </c>
      <c r="J223" s="44"/>
      <c r="K223" s="41" t="str">
        <f t="shared" si="3"/>
        <v/>
      </c>
      <c r="L223" s="43" t="str">
        <f t="shared" si="4"/>
        <v/>
      </c>
      <c r="M223" s="48" t="str">
        <f t="shared" si="5"/>
        <v/>
      </c>
      <c r="N223" s="30"/>
    </row>
    <row r="224" ht="15.75" customHeight="1">
      <c r="A224" s="32"/>
      <c r="B224" s="15"/>
      <c r="C224" s="52" t="str">
        <f t="array" ref="C224">IFERROR(INDEX('3. Costeo y Precios'!$B$14:$B$63,MATCH($B224,'3. Costeo y Precios'!$A$14:$A$63,0)),"")</f>
        <v/>
      </c>
      <c r="D224" s="30"/>
      <c r="E224" s="15"/>
      <c r="F224" s="16"/>
      <c r="G224" s="41" t="str">
        <f t="shared" si="1"/>
        <v/>
      </c>
      <c r="H224" s="38">
        <f t="array" ref="H224">IFERROR(INDEX('3. Costeo y Precios'!$K$14:$K$63,MATCH($B224,'3. Costeo y Precios'!$A$14:$A$63,0)),0)</f>
        <v>0</v>
      </c>
      <c r="I224" s="41" t="str">
        <f t="shared" si="2"/>
        <v/>
      </c>
      <c r="J224" s="44"/>
      <c r="K224" s="41" t="str">
        <f t="shared" si="3"/>
        <v/>
      </c>
      <c r="L224" s="43" t="str">
        <f t="shared" si="4"/>
        <v/>
      </c>
      <c r="M224" s="48" t="str">
        <f t="shared" si="5"/>
        <v/>
      </c>
      <c r="N224" s="30"/>
    </row>
    <row r="225" ht="15.75" customHeight="1">
      <c r="A225" s="32"/>
      <c r="B225" s="15"/>
      <c r="C225" s="52" t="str">
        <f t="array" ref="C225">IFERROR(INDEX('3. Costeo y Precios'!$B$14:$B$63,MATCH($B225,'3. Costeo y Precios'!$A$14:$A$63,0)),"")</f>
        <v/>
      </c>
      <c r="D225" s="30"/>
      <c r="E225" s="15"/>
      <c r="F225" s="16"/>
      <c r="G225" s="41" t="str">
        <f t="shared" si="1"/>
        <v/>
      </c>
      <c r="H225" s="38">
        <f t="array" ref="H225">IFERROR(INDEX('3. Costeo y Precios'!$K$14:$K$63,MATCH($B225,'3. Costeo y Precios'!$A$14:$A$63,0)),0)</f>
        <v>0</v>
      </c>
      <c r="I225" s="41" t="str">
        <f t="shared" si="2"/>
        <v/>
      </c>
      <c r="J225" s="44"/>
      <c r="K225" s="41" t="str">
        <f t="shared" si="3"/>
        <v/>
      </c>
      <c r="L225" s="43" t="str">
        <f t="shared" si="4"/>
        <v/>
      </c>
      <c r="M225" s="48" t="str">
        <f t="shared" si="5"/>
        <v/>
      </c>
      <c r="N225" s="30"/>
    </row>
    <row r="226" ht="15.75" customHeight="1">
      <c r="A226" s="32"/>
      <c r="B226" s="15"/>
      <c r="C226" s="52" t="str">
        <f t="array" ref="C226">IFERROR(INDEX('3. Costeo y Precios'!$B$14:$B$63,MATCH($B226,'3. Costeo y Precios'!$A$14:$A$63,0)),"")</f>
        <v/>
      </c>
      <c r="D226" s="30"/>
      <c r="E226" s="15"/>
      <c r="F226" s="16"/>
      <c r="G226" s="41" t="str">
        <f t="shared" si="1"/>
        <v/>
      </c>
      <c r="H226" s="38">
        <f t="array" ref="H226">IFERROR(INDEX('3. Costeo y Precios'!$K$14:$K$63,MATCH($B226,'3. Costeo y Precios'!$A$14:$A$63,0)),0)</f>
        <v>0</v>
      </c>
      <c r="I226" s="41" t="str">
        <f t="shared" si="2"/>
        <v/>
      </c>
      <c r="J226" s="44"/>
      <c r="K226" s="41" t="str">
        <f t="shared" si="3"/>
        <v/>
      </c>
      <c r="L226" s="43" t="str">
        <f t="shared" si="4"/>
        <v/>
      </c>
      <c r="M226" s="48" t="str">
        <f t="shared" si="5"/>
        <v/>
      </c>
      <c r="N226" s="30"/>
    </row>
    <row r="227" ht="15.75" customHeight="1">
      <c r="A227" s="32"/>
      <c r="B227" s="15"/>
      <c r="C227" s="52" t="str">
        <f t="array" ref="C227">IFERROR(INDEX('3. Costeo y Precios'!$B$14:$B$63,MATCH($B227,'3. Costeo y Precios'!$A$14:$A$63,0)),"")</f>
        <v/>
      </c>
      <c r="D227" s="30"/>
      <c r="E227" s="15"/>
      <c r="F227" s="16"/>
      <c r="G227" s="41" t="str">
        <f t="shared" si="1"/>
        <v/>
      </c>
      <c r="H227" s="38">
        <f t="array" ref="H227">IFERROR(INDEX('3. Costeo y Precios'!$K$14:$K$63,MATCH($B227,'3. Costeo y Precios'!$A$14:$A$63,0)),0)</f>
        <v>0</v>
      </c>
      <c r="I227" s="41" t="str">
        <f t="shared" si="2"/>
        <v/>
      </c>
      <c r="J227" s="44"/>
      <c r="K227" s="41" t="str">
        <f t="shared" si="3"/>
        <v/>
      </c>
      <c r="L227" s="43" t="str">
        <f t="shared" si="4"/>
        <v/>
      </c>
      <c r="M227" s="48" t="str">
        <f t="shared" si="5"/>
        <v/>
      </c>
      <c r="N227" s="30"/>
    </row>
    <row r="228" ht="15.75" customHeight="1">
      <c r="A228" s="32"/>
      <c r="B228" s="15"/>
      <c r="C228" s="52" t="str">
        <f t="array" ref="C228">IFERROR(INDEX('3. Costeo y Precios'!$B$14:$B$63,MATCH($B228,'3. Costeo y Precios'!$A$14:$A$63,0)),"")</f>
        <v/>
      </c>
      <c r="D228" s="30"/>
      <c r="E228" s="15"/>
      <c r="F228" s="16"/>
      <c r="G228" s="41" t="str">
        <f t="shared" si="1"/>
        <v/>
      </c>
      <c r="H228" s="38">
        <f t="array" ref="H228">IFERROR(INDEX('3. Costeo y Precios'!$K$14:$K$63,MATCH($B228,'3. Costeo y Precios'!$A$14:$A$63,0)),0)</f>
        <v>0</v>
      </c>
      <c r="I228" s="41" t="str">
        <f t="shared" si="2"/>
        <v/>
      </c>
      <c r="J228" s="44"/>
      <c r="K228" s="41" t="str">
        <f t="shared" si="3"/>
        <v/>
      </c>
      <c r="L228" s="43" t="str">
        <f t="shared" si="4"/>
        <v/>
      </c>
      <c r="M228" s="48" t="str">
        <f t="shared" si="5"/>
        <v/>
      </c>
      <c r="N228" s="30"/>
    </row>
    <row r="229" ht="15.75" customHeight="1">
      <c r="A229" s="32"/>
      <c r="B229" s="15"/>
      <c r="C229" s="52" t="str">
        <f t="array" ref="C229">IFERROR(INDEX('3. Costeo y Precios'!$B$14:$B$63,MATCH($B229,'3. Costeo y Precios'!$A$14:$A$63,0)),"")</f>
        <v/>
      </c>
      <c r="D229" s="30"/>
      <c r="E229" s="15"/>
      <c r="F229" s="16"/>
      <c r="G229" s="41" t="str">
        <f t="shared" si="1"/>
        <v/>
      </c>
      <c r="H229" s="38">
        <f t="array" ref="H229">IFERROR(INDEX('3. Costeo y Precios'!$K$14:$K$63,MATCH($B229,'3. Costeo y Precios'!$A$14:$A$63,0)),0)</f>
        <v>0</v>
      </c>
      <c r="I229" s="41" t="str">
        <f t="shared" si="2"/>
        <v/>
      </c>
      <c r="J229" s="44"/>
      <c r="K229" s="41" t="str">
        <f t="shared" si="3"/>
        <v/>
      </c>
      <c r="L229" s="43" t="str">
        <f t="shared" si="4"/>
        <v/>
      </c>
      <c r="M229" s="48" t="str">
        <f t="shared" si="5"/>
        <v/>
      </c>
      <c r="N229" s="30"/>
    </row>
    <row r="230" ht="15.75" customHeight="1">
      <c r="A230" s="32"/>
      <c r="B230" s="15"/>
      <c r="C230" s="52" t="str">
        <f t="array" ref="C230">IFERROR(INDEX('3. Costeo y Precios'!$B$14:$B$63,MATCH($B230,'3. Costeo y Precios'!$A$14:$A$63,0)),"")</f>
        <v/>
      </c>
      <c r="D230" s="30"/>
      <c r="E230" s="15"/>
      <c r="F230" s="16"/>
      <c r="G230" s="41" t="str">
        <f t="shared" si="1"/>
        <v/>
      </c>
      <c r="H230" s="38">
        <f t="array" ref="H230">IFERROR(INDEX('3. Costeo y Precios'!$K$14:$K$63,MATCH($B230,'3. Costeo y Precios'!$A$14:$A$63,0)),0)</f>
        <v>0</v>
      </c>
      <c r="I230" s="41" t="str">
        <f t="shared" si="2"/>
        <v/>
      </c>
      <c r="J230" s="44"/>
      <c r="K230" s="41" t="str">
        <f t="shared" si="3"/>
        <v/>
      </c>
      <c r="L230" s="43" t="str">
        <f t="shared" si="4"/>
        <v/>
      </c>
      <c r="M230" s="48" t="str">
        <f t="shared" si="5"/>
        <v/>
      </c>
      <c r="N230" s="30"/>
    </row>
    <row r="231" ht="15.75" customHeight="1">
      <c r="A231" s="32"/>
      <c r="B231" s="15"/>
      <c r="C231" s="52" t="str">
        <f t="array" ref="C231">IFERROR(INDEX('3. Costeo y Precios'!$B$14:$B$63,MATCH($B231,'3. Costeo y Precios'!$A$14:$A$63,0)),"")</f>
        <v/>
      </c>
      <c r="D231" s="30"/>
      <c r="E231" s="15"/>
      <c r="F231" s="16"/>
      <c r="G231" s="41" t="str">
        <f t="shared" si="1"/>
        <v/>
      </c>
      <c r="H231" s="38">
        <f t="array" ref="H231">IFERROR(INDEX('3. Costeo y Precios'!$K$14:$K$63,MATCH($B231,'3. Costeo y Precios'!$A$14:$A$63,0)),0)</f>
        <v>0</v>
      </c>
      <c r="I231" s="41" t="str">
        <f t="shared" si="2"/>
        <v/>
      </c>
      <c r="J231" s="44"/>
      <c r="K231" s="41" t="str">
        <f t="shared" si="3"/>
        <v/>
      </c>
      <c r="L231" s="43" t="str">
        <f t="shared" si="4"/>
        <v/>
      </c>
      <c r="M231" s="48" t="str">
        <f t="shared" si="5"/>
        <v/>
      </c>
      <c r="N231" s="30"/>
    </row>
    <row r="232" ht="15.75" customHeight="1">
      <c r="A232" s="32"/>
      <c r="B232" s="15"/>
      <c r="C232" s="52" t="str">
        <f t="array" ref="C232">IFERROR(INDEX('3. Costeo y Precios'!$B$14:$B$63,MATCH($B232,'3. Costeo y Precios'!$A$14:$A$63,0)),"")</f>
        <v/>
      </c>
      <c r="D232" s="30"/>
      <c r="E232" s="15"/>
      <c r="F232" s="16"/>
      <c r="G232" s="41" t="str">
        <f t="shared" si="1"/>
        <v/>
      </c>
      <c r="H232" s="38">
        <f t="array" ref="H232">IFERROR(INDEX('3. Costeo y Precios'!$K$14:$K$63,MATCH($B232,'3. Costeo y Precios'!$A$14:$A$63,0)),0)</f>
        <v>0</v>
      </c>
      <c r="I232" s="41" t="str">
        <f t="shared" si="2"/>
        <v/>
      </c>
      <c r="J232" s="44"/>
      <c r="K232" s="41" t="str">
        <f t="shared" si="3"/>
        <v/>
      </c>
      <c r="L232" s="43" t="str">
        <f t="shared" si="4"/>
        <v/>
      </c>
      <c r="M232" s="48" t="str">
        <f t="shared" si="5"/>
        <v/>
      </c>
      <c r="N232" s="30"/>
    </row>
    <row r="233" ht="15.75" customHeight="1">
      <c r="A233" s="32"/>
      <c r="B233" s="15"/>
      <c r="C233" s="52" t="str">
        <f t="array" ref="C233">IFERROR(INDEX('3. Costeo y Precios'!$B$14:$B$63,MATCH($B233,'3. Costeo y Precios'!$A$14:$A$63,0)),"")</f>
        <v/>
      </c>
      <c r="D233" s="30"/>
      <c r="E233" s="15"/>
      <c r="F233" s="16"/>
      <c r="G233" s="41" t="str">
        <f t="shared" si="1"/>
        <v/>
      </c>
      <c r="H233" s="38">
        <f t="array" ref="H233">IFERROR(INDEX('3. Costeo y Precios'!$K$14:$K$63,MATCH($B233,'3. Costeo y Precios'!$A$14:$A$63,0)),0)</f>
        <v>0</v>
      </c>
      <c r="I233" s="41" t="str">
        <f t="shared" si="2"/>
        <v/>
      </c>
      <c r="J233" s="44"/>
      <c r="K233" s="41" t="str">
        <f t="shared" si="3"/>
        <v/>
      </c>
      <c r="L233" s="43" t="str">
        <f t="shared" si="4"/>
        <v/>
      </c>
      <c r="M233" s="48" t="str">
        <f t="shared" si="5"/>
        <v/>
      </c>
      <c r="N233" s="30"/>
    </row>
    <row r="234" ht="15.75" customHeight="1">
      <c r="A234" s="32"/>
      <c r="B234" s="15"/>
      <c r="C234" s="52" t="str">
        <f t="array" ref="C234">IFERROR(INDEX('3. Costeo y Precios'!$B$14:$B$63,MATCH($B234,'3. Costeo y Precios'!$A$14:$A$63,0)),"")</f>
        <v/>
      </c>
      <c r="D234" s="30"/>
      <c r="E234" s="15"/>
      <c r="F234" s="16"/>
      <c r="G234" s="41" t="str">
        <f t="shared" si="1"/>
        <v/>
      </c>
      <c r="H234" s="38">
        <f t="array" ref="H234">IFERROR(INDEX('3. Costeo y Precios'!$K$14:$K$63,MATCH($B234,'3. Costeo y Precios'!$A$14:$A$63,0)),0)</f>
        <v>0</v>
      </c>
      <c r="I234" s="41" t="str">
        <f t="shared" si="2"/>
        <v/>
      </c>
      <c r="J234" s="44"/>
      <c r="K234" s="41" t="str">
        <f t="shared" si="3"/>
        <v/>
      </c>
      <c r="L234" s="43" t="str">
        <f t="shared" si="4"/>
        <v/>
      </c>
      <c r="M234" s="48" t="str">
        <f t="shared" si="5"/>
        <v/>
      </c>
      <c r="N234" s="30"/>
    </row>
    <row r="235" ht="15.75" customHeight="1">
      <c r="A235" s="32"/>
      <c r="B235" s="15"/>
      <c r="C235" s="52" t="str">
        <f t="array" ref="C235">IFERROR(INDEX('3. Costeo y Precios'!$B$14:$B$63,MATCH($B235,'3. Costeo y Precios'!$A$14:$A$63,0)),"")</f>
        <v/>
      </c>
      <c r="D235" s="30"/>
      <c r="E235" s="15"/>
      <c r="F235" s="16"/>
      <c r="G235" s="41" t="str">
        <f t="shared" si="1"/>
        <v/>
      </c>
      <c r="H235" s="38">
        <f t="array" ref="H235">IFERROR(INDEX('3. Costeo y Precios'!$K$14:$K$63,MATCH($B235,'3. Costeo y Precios'!$A$14:$A$63,0)),0)</f>
        <v>0</v>
      </c>
      <c r="I235" s="41" t="str">
        <f t="shared" si="2"/>
        <v/>
      </c>
      <c r="J235" s="44"/>
      <c r="K235" s="41" t="str">
        <f t="shared" si="3"/>
        <v/>
      </c>
      <c r="L235" s="43" t="str">
        <f t="shared" si="4"/>
        <v/>
      </c>
      <c r="M235" s="48" t="str">
        <f t="shared" si="5"/>
        <v/>
      </c>
      <c r="N235" s="30"/>
    </row>
    <row r="236" ht="15.75" customHeight="1">
      <c r="A236" s="32"/>
      <c r="B236" s="15"/>
      <c r="C236" s="52" t="str">
        <f t="array" ref="C236">IFERROR(INDEX('3. Costeo y Precios'!$B$14:$B$63,MATCH($B236,'3. Costeo y Precios'!$A$14:$A$63,0)),"")</f>
        <v/>
      </c>
      <c r="D236" s="30"/>
      <c r="E236" s="15"/>
      <c r="F236" s="16"/>
      <c r="G236" s="41" t="str">
        <f t="shared" si="1"/>
        <v/>
      </c>
      <c r="H236" s="38">
        <f t="array" ref="H236">IFERROR(INDEX('3. Costeo y Precios'!$K$14:$K$63,MATCH($B236,'3. Costeo y Precios'!$A$14:$A$63,0)),0)</f>
        <v>0</v>
      </c>
      <c r="I236" s="41" t="str">
        <f t="shared" si="2"/>
        <v/>
      </c>
      <c r="J236" s="44"/>
      <c r="K236" s="41" t="str">
        <f t="shared" si="3"/>
        <v/>
      </c>
      <c r="L236" s="43" t="str">
        <f t="shared" si="4"/>
        <v/>
      </c>
      <c r="M236" s="48" t="str">
        <f t="shared" si="5"/>
        <v/>
      </c>
      <c r="N236" s="30"/>
    </row>
    <row r="237" ht="15.75" customHeight="1">
      <c r="A237" s="32"/>
      <c r="B237" s="15"/>
      <c r="C237" s="52" t="str">
        <f t="array" ref="C237">IFERROR(INDEX('3. Costeo y Precios'!$B$14:$B$63,MATCH($B237,'3. Costeo y Precios'!$A$14:$A$63,0)),"")</f>
        <v/>
      </c>
      <c r="D237" s="30"/>
      <c r="E237" s="15"/>
      <c r="F237" s="16"/>
      <c r="G237" s="41" t="str">
        <f t="shared" si="1"/>
        <v/>
      </c>
      <c r="H237" s="38">
        <f t="array" ref="H237">IFERROR(INDEX('3. Costeo y Precios'!$K$14:$K$63,MATCH($B237,'3. Costeo y Precios'!$A$14:$A$63,0)),0)</f>
        <v>0</v>
      </c>
      <c r="I237" s="41" t="str">
        <f t="shared" si="2"/>
        <v/>
      </c>
      <c r="J237" s="44"/>
      <c r="K237" s="41" t="str">
        <f t="shared" si="3"/>
        <v/>
      </c>
      <c r="L237" s="43" t="str">
        <f t="shared" si="4"/>
        <v/>
      </c>
      <c r="M237" s="48" t="str">
        <f t="shared" si="5"/>
        <v/>
      </c>
      <c r="N237" s="30"/>
    </row>
    <row r="238" ht="15.75" customHeight="1">
      <c r="A238" s="32"/>
      <c r="B238" s="15"/>
      <c r="C238" s="52" t="str">
        <f t="array" ref="C238">IFERROR(INDEX('3. Costeo y Precios'!$B$14:$B$63,MATCH($B238,'3. Costeo y Precios'!$A$14:$A$63,0)),"")</f>
        <v/>
      </c>
      <c r="D238" s="30"/>
      <c r="E238" s="15"/>
      <c r="F238" s="16"/>
      <c r="G238" s="41" t="str">
        <f t="shared" si="1"/>
        <v/>
      </c>
      <c r="H238" s="38">
        <f t="array" ref="H238">IFERROR(INDEX('3. Costeo y Precios'!$K$14:$K$63,MATCH($B238,'3. Costeo y Precios'!$A$14:$A$63,0)),0)</f>
        <v>0</v>
      </c>
      <c r="I238" s="41" t="str">
        <f t="shared" si="2"/>
        <v/>
      </c>
      <c r="J238" s="44"/>
      <c r="K238" s="41" t="str">
        <f t="shared" si="3"/>
        <v/>
      </c>
      <c r="L238" s="43" t="str">
        <f t="shared" si="4"/>
        <v/>
      </c>
      <c r="M238" s="48" t="str">
        <f t="shared" si="5"/>
        <v/>
      </c>
      <c r="N238" s="30"/>
    </row>
    <row r="239" ht="15.75" customHeight="1">
      <c r="A239" s="32"/>
      <c r="B239" s="15"/>
      <c r="C239" s="52" t="str">
        <f t="array" ref="C239">IFERROR(INDEX('3. Costeo y Precios'!$B$14:$B$63,MATCH($B239,'3. Costeo y Precios'!$A$14:$A$63,0)),"")</f>
        <v/>
      </c>
      <c r="D239" s="30"/>
      <c r="E239" s="15"/>
      <c r="F239" s="16"/>
      <c r="G239" s="41" t="str">
        <f t="shared" si="1"/>
        <v/>
      </c>
      <c r="H239" s="38">
        <f t="array" ref="H239">IFERROR(INDEX('3. Costeo y Precios'!$K$14:$K$63,MATCH($B239,'3. Costeo y Precios'!$A$14:$A$63,0)),0)</f>
        <v>0</v>
      </c>
      <c r="I239" s="41" t="str">
        <f t="shared" si="2"/>
        <v/>
      </c>
      <c r="J239" s="44"/>
      <c r="K239" s="41" t="str">
        <f t="shared" si="3"/>
        <v/>
      </c>
      <c r="L239" s="43" t="str">
        <f t="shared" si="4"/>
        <v/>
      </c>
      <c r="M239" s="48" t="str">
        <f t="shared" si="5"/>
        <v/>
      </c>
      <c r="N239" s="30"/>
    </row>
    <row r="240" ht="15.75" customHeight="1">
      <c r="A240" s="32"/>
      <c r="B240" s="15"/>
      <c r="C240" s="52" t="str">
        <f t="array" ref="C240">IFERROR(INDEX('3. Costeo y Precios'!$B$14:$B$63,MATCH($B240,'3. Costeo y Precios'!$A$14:$A$63,0)),"")</f>
        <v/>
      </c>
      <c r="D240" s="30"/>
      <c r="E240" s="15"/>
      <c r="F240" s="16"/>
      <c r="G240" s="41" t="str">
        <f t="shared" si="1"/>
        <v/>
      </c>
      <c r="H240" s="38">
        <f t="array" ref="H240">IFERROR(INDEX('3. Costeo y Precios'!$K$14:$K$63,MATCH($B240,'3. Costeo y Precios'!$A$14:$A$63,0)),0)</f>
        <v>0</v>
      </c>
      <c r="I240" s="41" t="str">
        <f t="shared" si="2"/>
        <v/>
      </c>
      <c r="J240" s="44"/>
      <c r="K240" s="41" t="str">
        <f t="shared" si="3"/>
        <v/>
      </c>
      <c r="L240" s="43" t="str">
        <f t="shared" si="4"/>
        <v/>
      </c>
      <c r="M240" s="48" t="str">
        <f t="shared" si="5"/>
        <v/>
      </c>
      <c r="N240" s="30"/>
    </row>
    <row r="241" ht="15.75" customHeight="1">
      <c r="A241" s="32"/>
      <c r="B241" s="15"/>
      <c r="C241" s="52" t="str">
        <f t="array" ref="C241">IFERROR(INDEX('3. Costeo y Precios'!$B$14:$B$63,MATCH($B241,'3. Costeo y Precios'!$A$14:$A$63,0)),"")</f>
        <v/>
      </c>
      <c r="D241" s="30"/>
      <c r="E241" s="15"/>
      <c r="F241" s="16"/>
      <c r="G241" s="41" t="str">
        <f t="shared" si="1"/>
        <v/>
      </c>
      <c r="H241" s="38">
        <f t="array" ref="H241">IFERROR(INDEX('3. Costeo y Precios'!$K$14:$K$63,MATCH($B241,'3. Costeo y Precios'!$A$14:$A$63,0)),0)</f>
        <v>0</v>
      </c>
      <c r="I241" s="41" t="str">
        <f t="shared" si="2"/>
        <v/>
      </c>
      <c r="J241" s="44"/>
      <c r="K241" s="41" t="str">
        <f t="shared" si="3"/>
        <v/>
      </c>
      <c r="L241" s="43" t="str">
        <f t="shared" si="4"/>
        <v/>
      </c>
      <c r="M241" s="48" t="str">
        <f t="shared" si="5"/>
        <v/>
      </c>
      <c r="N241" s="30"/>
    </row>
    <row r="242" ht="15.75" customHeight="1">
      <c r="A242" s="32"/>
      <c r="B242" s="15"/>
      <c r="C242" s="52" t="str">
        <f t="array" ref="C242">IFERROR(INDEX('3. Costeo y Precios'!$B$14:$B$63,MATCH($B242,'3. Costeo y Precios'!$A$14:$A$63,0)),"")</f>
        <v/>
      </c>
      <c r="D242" s="30"/>
      <c r="E242" s="15"/>
      <c r="F242" s="16"/>
      <c r="G242" s="41" t="str">
        <f t="shared" si="1"/>
        <v/>
      </c>
      <c r="H242" s="38">
        <f t="array" ref="H242">IFERROR(INDEX('3. Costeo y Precios'!$K$14:$K$63,MATCH($B242,'3. Costeo y Precios'!$A$14:$A$63,0)),0)</f>
        <v>0</v>
      </c>
      <c r="I242" s="41" t="str">
        <f t="shared" si="2"/>
        <v/>
      </c>
      <c r="J242" s="44"/>
      <c r="K242" s="41" t="str">
        <f t="shared" si="3"/>
        <v/>
      </c>
      <c r="L242" s="43" t="str">
        <f t="shared" si="4"/>
        <v/>
      </c>
      <c r="M242" s="48" t="str">
        <f t="shared" si="5"/>
        <v/>
      </c>
      <c r="N242" s="30"/>
    </row>
    <row r="243" ht="15.75" customHeight="1">
      <c r="A243" s="32"/>
      <c r="B243" s="15"/>
      <c r="C243" s="52" t="str">
        <f t="array" ref="C243">IFERROR(INDEX('3. Costeo y Precios'!$B$14:$B$63,MATCH($B243,'3. Costeo y Precios'!$A$14:$A$63,0)),"")</f>
        <v/>
      </c>
      <c r="D243" s="30"/>
      <c r="E243" s="15"/>
      <c r="F243" s="16"/>
      <c r="G243" s="41" t="str">
        <f t="shared" si="1"/>
        <v/>
      </c>
      <c r="H243" s="38">
        <f t="array" ref="H243">IFERROR(INDEX('3. Costeo y Precios'!$K$14:$K$63,MATCH($B243,'3. Costeo y Precios'!$A$14:$A$63,0)),0)</f>
        <v>0</v>
      </c>
      <c r="I243" s="41" t="str">
        <f t="shared" si="2"/>
        <v/>
      </c>
      <c r="J243" s="44"/>
      <c r="K243" s="41" t="str">
        <f t="shared" si="3"/>
        <v/>
      </c>
      <c r="L243" s="43" t="str">
        <f t="shared" si="4"/>
        <v/>
      </c>
      <c r="M243" s="48" t="str">
        <f t="shared" si="5"/>
        <v/>
      </c>
      <c r="N243" s="30"/>
    </row>
    <row r="244" ht="15.75" customHeight="1">
      <c r="A244" s="32"/>
      <c r="B244" s="15"/>
      <c r="C244" s="52" t="str">
        <f t="array" ref="C244">IFERROR(INDEX('3. Costeo y Precios'!$B$14:$B$63,MATCH($B244,'3. Costeo y Precios'!$A$14:$A$63,0)),"")</f>
        <v/>
      </c>
      <c r="D244" s="30"/>
      <c r="E244" s="15"/>
      <c r="F244" s="16"/>
      <c r="G244" s="41" t="str">
        <f t="shared" si="1"/>
        <v/>
      </c>
      <c r="H244" s="38">
        <f t="array" ref="H244">IFERROR(INDEX('3. Costeo y Precios'!$K$14:$K$63,MATCH($B244,'3. Costeo y Precios'!$A$14:$A$63,0)),0)</f>
        <v>0</v>
      </c>
      <c r="I244" s="41" t="str">
        <f t="shared" si="2"/>
        <v/>
      </c>
      <c r="J244" s="44"/>
      <c r="K244" s="41" t="str">
        <f t="shared" si="3"/>
        <v/>
      </c>
      <c r="L244" s="43" t="str">
        <f t="shared" si="4"/>
        <v/>
      </c>
      <c r="M244" s="48" t="str">
        <f t="shared" si="5"/>
        <v/>
      </c>
      <c r="N244" s="30"/>
    </row>
    <row r="245" ht="15.75" customHeight="1">
      <c r="A245" s="32"/>
      <c r="B245" s="15"/>
      <c r="C245" s="52" t="str">
        <f t="array" ref="C245">IFERROR(INDEX('3. Costeo y Precios'!$B$14:$B$63,MATCH($B245,'3. Costeo y Precios'!$A$14:$A$63,0)),"")</f>
        <v/>
      </c>
      <c r="D245" s="30"/>
      <c r="E245" s="15"/>
      <c r="F245" s="16"/>
      <c r="G245" s="41" t="str">
        <f t="shared" si="1"/>
        <v/>
      </c>
      <c r="H245" s="38">
        <f t="array" ref="H245">IFERROR(INDEX('3. Costeo y Precios'!$K$14:$K$63,MATCH($B245,'3. Costeo y Precios'!$A$14:$A$63,0)),0)</f>
        <v>0</v>
      </c>
      <c r="I245" s="41" t="str">
        <f t="shared" si="2"/>
        <v/>
      </c>
      <c r="J245" s="44"/>
      <c r="K245" s="41" t="str">
        <f t="shared" si="3"/>
        <v/>
      </c>
      <c r="L245" s="43" t="str">
        <f t="shared" si="4"/>
        <v/>
      </c>
      <c r="M245" s="48" t="str">
        <f t="shared" si="5"/>
        <v/>
      </c>
      <c r="N245" s="30"/>
    </row>
    <row r="246" ht="15.75" customHeight="1">
      <c r="A246" s="32"/>
      <c r="B246" s="15"/>
      <c r="C246" s="52" t="str">
        <f t="array" ref="C246">IFERROR(INDEX('3. Costeo y Precios'!$B$14:$B$63,MATCH($B246,'3. Costeo y Precios'!$A$14:$A$63,0)),"")</f>
        <v/>
      </c>
      <c r="D246" s="30"/>
      <c r="E246" s="15"/>
      <c r="F246" s="16"/>
      <c r="G246" s="41" t="str">
        <f t="shared" si="1"/>
        <v/>
      </c>
      <c r="H246" s="38">
        <f t="array" ref="H246">IFERROR(INDEX('3. Costeo y Precios'!$K$14:$K$63,MATCH($B246,'3. Costeo y Precios'!$A$14:$A$63,0)),0)</f>
        <v>0</v>
      </c>
      <c r="I246" s="41" t="str">
        <f t="shared" si="2"/>
        <v/>
      </c>
      <c r="J246" s="44"/>
      <c r="K246" s="41" t="str">
        <f t="shared" si="3"/>
        <v/>
      </c>
      <c r="L246" s="43" t="str">
        <f t="shared" si="4"/>
        <v/>
      </c>
      <c r="M246" s="48" t="str">
        <f t="shared" si="5"/>
        <v/>
      </c>
      <c r="N246" s="30"/>
    </row>
    <row r="247" ht="15.75" customHeight="1">
      <c r="A247" s="32"/>
      <c r="B247" s="15"/>
      <c r="C247" s="52" t="str">
        <f t="array" ref="C247">IFERROR(INDEX('3. Costeo y Precios'!$B$14:$B$63,MATCH($B247,'3. Costeo y Precios'!$A$14:$A$63,0)),"")</f>
        <v/>
      </c>
      <c r="D247" s="30"/>
      <c r="E247" s="15"/>
      <c r="F247" s="16"/>
      <c r="G247" s="41" t="str">
        <f t="shared" si="1"/>
        <v/>
      </c>
      <c r="H247" s="38">
        <f t="array" ref="H247">IFERROR(INDEX('3. Costeo y Precios'!$K$14:$K$63,MATCH($B247,'3. Costeo y Precios'!$A$14:$A$63,0)),0)</f>
        <v>0</v>
      </c>
      <c r="I247" s="41" t="str">
        <f t="shared" si="2"/>
        <v/>
      </c>
      <c r="J247" s="44"/>
      <c r="K247" s="41" t="str">
        <f t="shared" si="3"/>
        <v/>
      </c>
      <c r="L247" s="43" t="str">
        <f t="shared" si="4"/>
        <v/>
      </c>
      <c r="M247" s="48" t="str">
        <f t="shared" si="5"/>
        <v/>
      </c>
      <c r="N247" s="30"/>
    </row>
    <row r="248" ht="15.75" customHeight="1">
      <c r="A248" s="32"/>
      <c r="B248" s="15"/>
      <c r="C248" s="52" t="str">
        <f t="array" ref="C248">IFERROR(INDEX('3. Costeo y Precios'!$B$14:$B$63,MATCH($B248,'3. Costeo y Precios'!$A$14:$A$63,0)),"")</f>
        <v/>
      </c>
      <c r="D248" s="30"/>
      <c r="E248" s="15"/>
      <c r="F248" s="16"/>
      <c r="G248" s="41" t="str">
        <f t="shared" si="1"/>
        <v/>
      </c>
      <c r="H248" s="38">
        <f t="array" ref="H248">IFERROR(INDEX('3. Costeo y Precios'!$K$14:$K$63,MATCH($B248,'3. Costeo y Precios'!$A$14:$A$63,0)),0)</f>
        <v>0</v>
      </c>
      <c r="I248" s="41" t="str">
        <f t="shared" si="2"/>
        <v/>
      </c>
      <c r="J248" s="44"/>
      <c r="K248" s="41" t="str">
        <f t="shared" si="3"/>
        <v/>
      </c>
      <c r="L248" s="43" t="str">
        <f t="shared" si="4"/>
        <v/>
      </c>
      <c r="M248" s="48" t="str">
        <f t="shared" si="5"/>
        <v/>
      </c>
      <c r="N248" s="30"/>
    </row>
    <row r="249" ht="15.75" customHeight="1">
      <c r="A249" s="32"/>
      <c r="B249" s="15"/>
      <c r="C249" s="52" t="str">
        <f t="array" ref="C249">IFERROR(INDEX('3. Costeo y Precios'!$B$14:$B$63,MATCH($B249,'3. Costeo y Precios'!$A$14:$A$63,0)),"")</f>
        <v/>
      </c>
      <c r="D249" s="30"/>
      <c r="E249" s="15"/>
      <c r="F249" s="16"/>
      <c r="G249" s="41" t="str">
        <f t="shared" si="1"/>
        <v/>
      </c>
      <c r="H249" s="38">
        <f t="array" ref="H249">IFERROR(INDEX('3. Costeo y Precios'!$K$14:$K$63,MATCH($B249,'3. Costeo y Precios'!$A$14:$A$63,0)),0)</f>
        <v>0</v>
      </c>
      <c r="I249" s="41" t="str">
        <f t="shared" si="2"/>
        <v/>
      </c>
      <c r="J249" s="44"/>
      <c r="K249" s="41" t="str">
        <f t="shared" si="3"/>
        <v/>
      </c>
      <c r="L249" s="43" t="str">
        <f t="shared" si="4"/>
        <v/>
      </c>
      <c r="M249" s="48" t="str">
        <f t="shared" si="5"/>
        <v/>
      </c>
      <c r="N249" s="30"/>
    </row>
    <row r="250" ht="15.75" customHeight="1">
      <c r="A250" s="32"/>
      <c r="B250" s="15"/>
      <c r="C250" s="52" t="str">
        <f t="array" ref="C250">IFERROR(INDEX('3. Costeo y Precios'!$B$14:$B$63,MATCH($B250,'3. Costeo y Precios'!$A$14:$A$63,0)),"")</f>
        <v/>
      </c>
      <c r="D250" s="30"/>
      <c r="E250" s="15"/>
      <c r="F250" s="16"/>
      <c r="G250" s="41" t="str">
        <f t="shared" si="1"/>
        <v/>
      </c>
      <c r="H250" s="38">
        <f t="array" ref="H250">IFERROR(INDEX('3. Costeo y Precios'!$K$14:$K$63,MATCH($B250,'3. Costeo y Precios'!$A$14:$A$63,0)),0)</f>
        <v>0</v>
      </c>
      <c r="I250" s="41" t="str">
        <f t="shared" si="2"/>
        <v/>
      </c>
      <c r="J250" s="44"/>
      <c r="K250" s="41" t="str">
        <f t="shared" si="3"/>
        <v/>
      </c>
      <c r="L250" s="43" t="str">
        <f t="shared" si="4"/>
        <v/>
      </c>
      <c r="M250" s="48" t="str">
        <f t="shared" si="5"/>
        <v/>
      </c>
      <c r="N250" s="30"/>
    </row>
    <row r="251" ht="15.75" customHeight="1">
      <c r="A251" s="32"/>
      <c r="B251" s="15"/>
      <c r="C251" s="52" t="str">
        <f t="array" ref="C251">IFERROR(INDEX('3. Costeo y Precios'!$B$14:$B$63,MATCH($B251,'3. Costeo y Precios'!$A$14:$A$63,0)),"")</f>
        <v/>
      </c>
      <c r="D251" s="30"/>
      <c r="E251" s="15"/>
      <c r="F251" s="16"/>
      <c r="G251" s="41" t="str">
        <f t="shared" si="1"/>
        <v/>
      </c>
      <c r="H251" s="38">
        <f t="array" ref="H251">IFERROR(INDEX('3. Costeo y Precios'!$K$14:$K$63,MATCH($B251,'3. Costeo y Precios'!$A$14:$A$63,0)),0)</f>
        <v>0</v>
      </c>
      <c r="I251" s="41" t="str">
        <f t="shared" si="2"/>
        <v/>
      </c>
      <c r="J251" s="44"/>
      <c r="K251" s="41" t="str">
        <f t="shared" si="3"/>
        <v/>
      </c>
      <c r="L251" s="43" t="str">
        <f t="shared" si="4"/>
        <v/>
      </c>
      <c r="M251" s="48" t="str">
        <f t="shared" si="5"/>
        <v/>
      </c>
      <c r="N251" s="30"/>
    </row>
    <row r="252" ht="15.75" customHeight="1">
      <c r="A252" s="32"/>
      <c r="B252" s="15"/>
      <c r="C252" s="52" t="str">
        <f t="array" ref="C252">IFERROR(INDEX('3. Costeo y Precios'!$B$14:$B$63,MATCH($B252,'3. Costeo y Precios'!$A$14:$A$63,0)),"")</f>
        <v/>
      </c>
      <c r="D252" s="30"/>
      <c r="E252" s="15"/>
      <c r="F252" s="16"/>
      <c r="G252" s="41" t="str">
        <f t="shared" si="1"/>
        <v/>
      </c>
      <c r="H252" s="38">
        <f t="array" ref="H252">IFERROR(INDEX('3. Costeo y Precios'!$K$14:$K$63,MATCH($B252,'3. Costeo y Precios'!$A$14:$A$63,0)),0)</f>
        <v>0</v>
      </c>
      <c r="I252" s="41" t="str">
        <f t="shared" si="2"/>
        <v/>
      </c>
      <c r="J252" s="44"/>
      <c r="K252" s="41" t="str">
        <f t="shared" si="3"/>
        <v/>
      </c>
      <c r="L252" s="43" t="str">
        <f t="shared" si="4"/>
        <v/>
      </c>
      <c r="M252" s="48" t="str">
        <f t="shared" si="5"/>
        <v/>
      </c>
      <c r="N252" s="30"/>
    </row>
    <row r="253" ht="15.75" customHeight="1">
      <c r="A253" s="32"/>
      <c r="B253" s="15"/>
      <c r="C253" s="52" t="str">
        <f t="array" ref="C253">IFERROR(INDEX('3. Costeo y Precios'!$B$14:$B$63,MATCH($B253,'3. Costeo y Precios'!$A$14:$A$63,0)),"")</f>
        <v/>
      </c>
      <c r="D253" s="30"/>
      <c r="E253" s="15"/>
      <c r="F253" s="16"/>
      <c r="G253" s="41" t="str">
        <f t="shared" si="1"/>
        <v/>
      </c>
      <c r="H253" s="38">
        <f t="array" ref="H253">IFERROR(INDEX('3. Costeo y Precios'!$K$14:$K$63,MATCH($B253,'3. Costeo y Precios'!$A$14:$A$63,0)),0)</f>
        <v>0</v>
      </c>
      <c r="I253" s="41" t="str">
        <f t="shared" si="2"/>
        <v/>
      </c>
      <c r="J253" s="44"/>
      <c r="K253" s="41" t="str">
        <f t="shared" si="3"/>
        <v/>
      </c>
      <c r="L253" s="43" t="str">
        <f t="shared" si="4"/>
        <v/>
      </c>
      <c r="M253" s="48" t="str">
        <f t="shared" si="5"/>
        <v/>
      </c>
      <c r="N253" s="30"/>
    </row>
    <row r="254" ht="15.75" customHeight="1">
      <c r="A254" s="32"/>
      <c r="B254" s="15"/>
      <c r="C254" s="52" t="str">
        <f t="array" ref="C254">IFERROR(INDEX('3. Costeo y Precios'!$B$14:$B$63,MATCH($B254,'3. Costeo y Precios'!$A$14:$A$63,0)),"")</f>
        <v/>
      </c>
      <c r="D254" s="30"/>
      <c r="E254" s="15"/>
      <c r="F254" s="16"/>
      <c r="G254" s="41" t="str">
        <f t="shared" si="1"/>
        <v/>
      </c>
      <c r="H254" s="38">
        <f t="array" ref="H254">IFERROR(INDEX('3. Costeo y Precios'!$K$14:$K$63,MATCH($B254,'3. Costeo y Precios'!$A$14:$A$63,0)),0)</f>
        <v>0</v>
      </c>
      <c r="I254" s="41" t="str">
        <f t="shared" si="2"/>
        <v/>
      </c>
      <c r="J254" s="44"/>
      <c r="K254" s="41" t="str">
        <f t="shared" si="3"/>
        <v/>
      </c>
      <c r="L254" s="43" t="str">
        <f t="shared" si="4"/>
        <v/>
      </c>
      <c r="M254" s="48" t="str">
        <f t="shared" si="5"/>
        <v/>
      </c>
      <c r="N254" s="30"/>
    </row>
    <row r="255" ht="15.75" customHeight="1">
      <c r="A255" s="32"/>
      <c r="B255" s="15"/>
      <c r="C255" s="52" t="str">
        <f t="array" ref="C255">IFERROR(INDEX('3. Costeo y Precios'!$B$14:$B$63,MATCH($B255,'3. Costeo y Precios'!$A$14:$A$63,0)),"")</f>
        <v/>
      </c>
      <c r="D255" s="30"/>
      <c r="E255" s="15"/>
      <c r="F255" s="16"/>
      <c r="G255" s="41" t="str">
        <f t="shared" si="1"/>
        <v/>
      </c>
      <c r="H255" s="38">
        <f t="array" ref="H255">IFERROR(INDEX('3. Costeo y Precios'!$K$14:$K$63,MATCH($B255,'3. Costeo y Precios'!$A$14:$A$63,0)),0)</f>
        <v>0</v>
      </c>
      <c r="I255" s="41" t="str">
        <f t="shared" si="2"/>
        <v/>
      </c>
      <c r="J255" s="44"/>
      <c r="K255" s="41" t="str">
        <f t="shared" si="3"/>
        <v/>
      </c>
      <c r="L255" s="43" t="str">
        <f t="shared" si="4"/>
        <v/>
      </c>
      <c r="M255" s="48" t="str">
        <f t="shared" si="5"/>
        <v/>
      </c>
      <c r="N255" s="30"/>
    </row>
    <row r="256" ht="15.75" customHeight="1">
      <c r="A256" s="32"/>
      <c r="B256" s="15"/>
      <c r="C256" s="52" t="str">
        <f t="array" ref="C256">IFERROR(INDEX('3. Costeo y Precios'!$B$14:$B$63,MATCH($B256,'3. Costeo y Precios'!$A$14:$A$63,0)),"")</f>
        <v/>
      </c>
      <c r="D256" s="30"/>
      <c r="E256" s="15"/>
      <c r="F256" s="16"/>
      <c r="G256" s="41" t="str">
        <f t="shared" si="1"/>
        <v/>
      </c>
      <c r="H256" s="38">
        <f t="array" ref="H256">IFERROR(INDEX('3. Costeo y Precios'!$K$14:$K$63,MATCH($B256,'3. Costeo y Precios'!$A$14:$A$63,0)),0)</f>
        <v>0</v>
      </c>
      <c r="I256" s="41" t="str">
        <f t="shared" si="2"/>
        <v/>
      </c>
      <c r="J256" s="44"/>
      <c r="K256" s="41" t="str">
        <f t="shared" si="3"/>
        <v/>
      </c>
      <c r="L256" s="43" t="str">
        <f t="shared" si="4"/>
        <v/>
      </c>
      <c r="M256" s="48" t="str">
        <f t="shared" si="5"/>
        <v/>
      </c>
      <c r="N256" s="30"/>
    </row>
    <row r="257" ht="15.75" customHeight="1">
      <c r="A257" s="32"/>
      <c r="B257" s="15"/>
      <c r="C257" s="52" t="str">
        <f t="array" ref="C257">IFERROR(INDEX('3. Costeo y Precios'!$B$14:$B$63,MATCH($B257,'3. Costeo y Precios'!$A$14:$A$63,0)),"")</f>
        <v/>
      </c>
      <c r="D257" s="30"/>
      <c r="E257" s="15"/>
      <c r="F257" s="16"/>
      <c r="G257" s="41" t="str">
        <f t="shared" si="1"/>
        <v/>
      </c>
      <c r="H257" s="38">
        <f t="array" ref="H257">IFERROR(INDEX('3. Costeo y Precios'!$K$14:$K$63,MATCH($B257,'3. Costeo y Precios'!$A$14:$A$63,0)),0)</f>
        <v>0</v>
      </c>
      <c r="I257" s="41" t="str">
        <f t="shared" si="2"/>
        <v/>
      </c>
      <c r="J257" s="44"/>
      <c r="K257" s="41" t="str">
        <f t="shared" si="3"/>
        <v/>
      </c>
      <c r="L257" s="43" t="str">
        <f t="shared" si="4"/>
        <v/>
      </c>
      <c r="M257" s="48" t="str">
        <f t="shared" si="5"/>
        <v/>
      </c>
      <c r="N257" s="30"/>
    </row>
    <row r="258" ht="15.75" customHeight="1">
      <c r="A258" s="32"/>
      <c r="B258" s="15"/>
      <c r="C258" s="52" t="str">
        <f t="array" ref="C258">IFERROR(INDEX('3. Costeo y Precios'!$B$14:$B$63,MATCH($B258,'3. Costeo y Precios'!$A$14:$A$63,0)),"")</f>
        <v/>
      </c>
      <c r="D258" s="30"/>
      <c r="E258" s="15"/>
      <c r="F258" s="16"/>
      <c r="G258" s="41" t="str">
        <f t="shared" si="1"/>
        <v/>
      </c>
      <c r="H258" s="38">
        <f t="array" ref="H258">IFERROR(INDEX('3. Costeo y Precios'!$K$14:$K$63,MATCH($B258,'3. Costeo y Precios'!$A$14:$A$63,0)),0)</f>
        <v>0</v>
      </c>
      <c r="I258" s="41" t="str">
        <f t="shared" si="2"/>
        <v/>
      </c>
      <c r="J258" s="44"/>
      <c r="K258" s="41" t="str">
        <f t="shared" si="3"/>
        <v/>
      </c>
      <c r="L258" s="43" t="str">
        <f t="shared" si="4"/>
        <v/>
      </c>
      <c r="M258" s="48" t="str">
        <f t="shared" si="5"/>
        <v/>
      </c>
      <c r="N258" s="30"/>
    </row>
    <row r="259" ht="15.75" customHeight="1">
      <c r="A259" s="32"/>
      <c r="B259" s="15"/>
      <c r="C259" s="52" t="str">
        <f t="array" ref="C259">IFERROR(INDEX('3. Costeo y Precios'!$B$14:$B$63,MATCH($B259,'3. Costeo y Precios'!$A$14:$A$63,0)),"")</f>
        <v/>
      </c>
      <c r="D259" s="30"/>
      <c r="E259" s="15"/>
      <c r="F259" s="16"/>
      <c r="G259" s="41" t="str">
        <f t="shared" si="1"/>
        <v/>
      </c>
      <c r="H259" s="38">
        <f t="array" ref="H259">IFERROR(INDEX('3. Costeo y Precios'!$K$14:$K$63,MATCH($B259,'3. Costeo y Precios'!$A$14:$A$63,0)),0)</f>
        <v>0</v>
      </c>
      <c r="I259" s="41" t="str">
        <f t="shared" si="2"/>
        <v/>
      </c>
      <c r="J259" s="44"/>
      <c r="K259" s="41" t="str">
        <f t="shared" si="3"/>
        <v/>
      </c>
      <c r="L259" s="43" t="str">
        <f t="shared" si="4"/>
        <v/>
      </c>
      <c r="M259" s="48" t="str">
        <f t="shared" si="5"/>
        <v/>
      </c>
      <c r="N259" s="30"/>
    </row>
    <row r="260" ht="15.75" customHeight="1">
      <c r="A260" s="32"/>
      <c r="B260" s="15"/>
      <c r="C260" s="52" t="str">
        <f t="array" ref="C260">IFERROR(INDEX('3. Costeo y Precios'!$B$14:$B$63,MATCH($B260,'3. Costeo y Precios'!$A$14:$A$63,0)),"")</f>
        <v/>
      </c>
      <c r="D260" s="30"/>
      <c r="E260" s="15"/>
      <c r="F260" s="16"/>
      <c r="G260" s="41" t="str">
        <f t="shared" si="1"/>
        <v/>
      </c>
      <c r="H260" s="38">
        <f t="array" ref="H260">IFERROR(INDEX('3. Costeo y Precios'!$K$14:$K$63,MATCH($B260,'3. Costeo y Precios'!$A$14:$A$63,0)),0)</f>
        <v>0</v>
      </c>
      <c r="I260" s="41" t="str">
        <f t="shared" si="2"/>
        <v/>
      </c>
      <c r="J260" s="44"/>
      <c r="K260" s="41" t="str">
        <f t="shared" si="3"/>
        <v/>
      </c>
      <c r="L260" s="43" t="str">
        <f t="shared" si="4"/>
        <v/>
      </c>
      <c r="M260" s="48" t="str">
        <f t="shared" si="5"/>
        <v/>
      </c>
      <c r="N260" s="30"/>
    </row>
    <row r="261" ht="15.75" customHeight="1">
      <c r="A261" s="32"/>
      <c r="B261" s="15"/>
      <c r="C261" s="52" t="str">
        <f t="array" ref="C261">IFERROR(INDEX('3. Costeo y Precios'!$B$14:$B$63,MATCH($B261,'3. Costeo y Precios'!$A$14:$A$63,0)),"")</f>
        <v/>
      </c>
      <c r="D261" s="30"/>
      <c r="E261" s="15"/>
      <c r="F261" s="16"/>
      <c r="G261" s="41" t="str">
        <f t="shared" si="1"/>
        <v/>
      </c>
      <c r="H261" s="38">
        <f t="array" ref="H261">IFERROR(INDEX('3. Costeo y Precios'!$K$14:$K$63,MATCH($B261,'3. Costeo y Precios'!$A$14:$A$63,0)),0)</f>
        <v>0</v>
      </c>
      <c r="I261" s="41" t="str">
        <f t="shared" si="2"/>
        <v/>
      </c>
      <c r="J261" s="44"/>
      <c r="K261" s="41" t="str">
        <f t="shared" si="3"/>
        <v/>
      </c>
      <c r="L261" s="43" t="str">
        <f t="shared" si="4"/>
        <v/>
      </c>
      <c r="M261" s="48" t="str">
        <f t="shared" si="5"/>
        <v/>
      </c>
      <c r="N261" s="30"/>
    </row>
    <row r="262" ht="15.75" customHeight="1">
      <c r="A262" s="32"/>
      <c r="B262" s="15"/>
      <c r="C262" s="52" t="str">
        <f t="array" ref="C262">IFERROR(INDEX('3. Costeo y Precios'!$B$14:$B$63,MATCH($B262,'3. Costeo y Precios'!$A$14:$A$63,0)),"")</f>
        <v/>
      </c>
      <c r="D262" s="30"/>
      <c r="E262" s="15"/>
      <c r="F262" s="16"/>
      <c r="G262" s="41" t="str">
        <f t="shared" si="1"/>
        <v/>
      </c>
      <c r="H262" s="38">
        <f t="array" ref="H262">IFERROR(INDEX('3. Costeo y Precios'!$K$14:$K$63,MATCH($B262,'3. Costeo y Precios'!$A$14:$A$63,0)),0)</f>
        <v>0</v>
      </c>
      <c r="I262" s="41" t="str">
        <f t="shared" si="2"/>
        <v/>
      </c>
      <c r="J262" s="44"/>
      <c r="K262" s="41" t="str">
        <f t="shared" si="3"/>
        <v/>
      </c>
      <c r="L262" s="43" t="str">
        <f t="shared" si="4"/>
        <v/>
      </c>
      <c r="M262" s="48" t="str">
        <f t="shared" si="5"/>
        <v/>
      </c>
      <c r="N262" s="30"/>
    </row>
    <row r="263" ht="15.75" customHeight="1">
      <c r="A263" s="32"/>
      <c r="B263" s="15"/>
      <c r="C263" s="52" t="str">
        <f t="array" ref="C263">IFERROR(INDEX('3. Costeo y Precios'!$B$14:$B$63,MATCH($B263,'3. Costeo y Precios'!$A$14:$A$63,0)),"")</f>
        <v/>
      </c>
      <c r="D263" s="30"/>
      <c r="E263" s="15"/>
      <c r="F263" s="16"/>
      <c r="G263" s="41" t="str">
        <f t="shared" si="1"/>
        <v/>
      </c>
      <c r="H263" s="38">
        <f t="array" ref="H263">IFERROR(INDEX('3. Costeo y Precios'!$K$14:$K$63,MATCH($B263,'3. Costeo y Precios'!$A$14:$A$63,0)),0)</f>
        <v>0</v>
      </c>
      <c r="I263" s="41" t="str">
        <f t="shared" si="2"/>
        <v/>
      </c>
      <c r="J263" s="44"/>
      <c r="K263" s="41" t="str">
        <f t="shared" si="3"/>
        <v/>
      </c>
      <c r="L263" s="43" t="str">
        <f t="shared" si="4"/>
        <v/>
      </c>
      <c r="M263" s="48" t="str">
        <f t="shared" si="5"/>
        <v/>
      </c>
      <c r="N263" s="30"/>
    </row>
    <row r="264" ht="15.75" customHeight="1">
      <c r="A264" s="32"/>
      <c r="B264" s="15"/>
      <c r="C264" s="52" t="str">
        <f t="array" ref="C264">IFERROR(INDEX('3. Costeo y Precios'!$B$14:$B$63,MATCH($B264,'3. Costeo y Precios'!$A$14:$A$63,0)),"")</f>
        <v/>
      </c>
      <c r="D264" s="30"/>
      <c r="E264" s="15"/>
      <c r="F264" s="16"/>
      <c r="G264" s="41" t="str">
        <f t="shared" si="1"/>
        <v/>
      </c>
      <c r="H264" s="38">
        <f t="array" ref="H264">IFERROR(INDEX('3. Costeo y Precios'!$K$14:$K$63,MATCH($B264,'3. Costeo y Precios'!$A$14:$A$63,0)),0)</f>
        <v>0</v>
      </c>
      <c r="I264" s="41" t="str">
        <f t="shared" si="2"/>
        <v/>
      </c>
      <c r="J264" s="44"/>
      <c r="K264" s="41" t="str">
        <f t="shared" si="3"/>
        <v/>
      </c>
      <c r="L264" s="43" t="str">
        <f t="shared" si="4"/>
        <v/>
      </c>
      <c r="M264" s="48" t="str">
        <f t="shared" si="5"/>
        <v/>
      </c>
      <c r="N264" s="30"/>
    </row>
    <row r="265" ht="15.75" customHeight="1">
      <c r="A265" s="32"/>
      <c r="B265" s="15"/>
      <c r="C265" s="52" t="str">
        <f t="array" ref="C265">IFERROR(INDEX('3. Costeo y Precios'!$B$14:$B$63,MATCH($B265,'3. Costeo y Precios'!$A$14:$A$63,0)),"")</f>
        <v/>
      </c>
      <c r="D265" s="30"/>
      <c r="E265" s="15"/>
      <c r="F265" s="16"/>
      <c r="G265" s="41" t="str">
        <f t="shared" si="1"/>
        <v/>
      </c>
      <c r="H265" s="38">
        <f t="array" ref="H265">IFERROR(INDEX('3. Costeo y Precios'!$K$14:$K$63,MATCH($B265,'3. Costeo y Precios'!$A$14:$A$63,0)),0)</f>
        <v>0</v>
      </c>
      <c r="I265" s="41" t="str">
        <f t="shared" si="2"/>
        <v/>
      </c>
      <c r="J265" s="44"/>
      <c r="K265" s="41" t="str">
        <f t="shared" si="3"/>
        <v/>
      </c>
      <c r="L265" s="43" t="str">
        <f t="shared" si="4"/>
        <v/>
      </c>
      <c r="M265" s="48" t="str">
        <f t="shared" si="5"/>
        <v/>
      </c>
      <c r="N265" s="30"/>
    </row>
    <row r="266" ht="15.75" customHeight="1">
      <c r="A266" s="32"/>
      <c r="B266" s="15"/>
      <c r="C266" s="52" t="str">
        <f t="array" ref="C266">IFERROR(INDEX('3. Costeo y Precios'!$B$14:$B$63,MATCH($B266,'3. Costeo y Precios'!$A$14:$A$63,0)),"")</f>
        <v/>
      </c>
      <c r="D266" s="30"/>
      <c r="E266" s="15"/>
      <c r="F266" s="16"/>
      <c r="G266" s="41" t="str">
        <f t="shared" si="1"/>
        <v/>
      </c>
      <c r="H266" s="38">
        <f t="array" ref="H266">IFERROR(INDEX('3. Costeo y Precios'!$K$14:$K$63,MATCH($B266,'3. Costeo y Precios'!$A$14:$A$63,0)),0)</f>
        <v>0</v>
      </c>
      <c r="I266" s="41" t="str">
        <f t="shared" si="2"/>
        <v/>
      </c>
      <c r="J266" s="44"/>
      <c r="K266" s="41" t="str">
        <f t="shared" si="3"/>
        <v/>
      </c>
      <c r="L266" s="43" t="str">
        <f t="shared" si="4"/>
        <v/>
      </c>
      <c r="M266" s="48" t="str">
        <f t="shared" si="5"/>
        <v/>
      </c>
      <c r="N266" s="30"/>
    </row>
    <row r="267" ht="15.75" customHeight="1">
      <c r="A267" s="32"/>
      <c r="B267" s="15"/>
      <c r="C267" s="52" t="str">
        <f t="array" ref="C267">IFERROR(INDEX('3. Costeo y Precios'!$B$14:$B$63,MATCH($B267,'3. Costeo y Precios'!$A$14:$A$63,0)),"")</f>
        <v/>
      </c>
      <c r="D267" s="30"/>
      <c r="E267" s="15"/>
      <c r="F267" s="16"/>
      <c r="G267" s="41" t="str">
        <f t="shared" si="1"/>
        <v/>
      </c>
      <c r="H267" s="38">
        <f t="array" ref="H267">IFERROR(INDEX('3. Costeo y Precios'!$K$14:$K$63,MATCH($B267,'3. Costeo y Precios'!$A$14:$A$63,0)),0)</f>
        <v>0</v>
      </c>
      <c r="I267" s="41" t="str">
        <f t="shared" si="2"/>
        <v/>
      </c>
      <c r="J267" s="44"/>
      <c r="K267" s="41" t="str">
        <f t="shared" si="3"/>
        <v/>
      </c>
      <c r="L267" s="43" t="str">
        <f t="shared" si="4"/>
        <v/>
      </c>
      <c r="M267" s="48" t="str">
        <f t="shared" si="5"/>
        <v/>
      </c>
      <c r="N267" s="30"/>
    </row>
    <row r="268" ht="15.75" customHeight="1">
      <c r="A268" s="32"/>
      <c r="B268" s="15"/>
      <c r="C268" s="52" t="str">
        <f t="array" ref="C268">IFERROR(INDEX('3. Costeo y Precios'!$B$14:$B$63,MATCH($B268,'3. Costeo y Precios'!$A$14:$A$63,0)),"")</f>
        <v/>
      </c>
      <c r="D268" s="30"/>
      <c r="E268" s="15"/>
      <c r="F268" s="16"/>
      <c r="G268" s="41" t="str">
        <f t="shared" si="1"/>
        <v/>
      </c>
      <c r="H268" s="38">
        <f t="array" ref="H268">IFERROR(INDEX('3. Costeo y Precios'!$K$14:$K$63,MATCH($B268,'3. Costeo y Precios'!$A$14:$A$63,0)),0)</f>
        <v>0</v>
      </c>
      <c r="I268" s="41" t="str">
        <f t="shared" si="2"/>
        <v/>
      </c>
      <c r="J268" s="44"/>
      <c r="K268" s="41" t="str">
        <f t="shared" si="3"/>
        <v/>
      </c>
      <c r="L268" s="43" t="str">
        <f t="shared" si="4"/>
        <v/>
      </c>
      <c r="M268" s="48" t="str">
        <f t="shared" si="5"/>
        <v/>
      </c>
      <c r="N268" s="30"/>
    </row>
    <row r="269" ht="15.75" customHeight="1">
      <c r="A269" s="32"/>
      <c r="B269" s="15"/>
      <c r="C269" s="52" t="str">
        <f t="array" ref="C269">IFERROR(INDEX('3. Costeo y Precios'!$B$14:$B$63,MATCH($B269,'3. Costeo y Precios'!$A$14:$A$63,0)),"")</f>
        <v/>
      </c>
      <c r="D269" s="30"/>
      <c r="E269" s="15"/>
      <c r="F269" s="16"/>
      <c r="G269" s="41" t="str">
        <f t="shared" si="1"/>
        <v/>
      </c>
      <c r="H269" s="38">
        <f t="array" ref="H269">IFERROR(INDEX('3. Costeo y Precios'!$K$14:$K$63,MATCH($B269,'3. Costeo y Precios'!$A$14:$A$63,0)),0)</f>
        <v>0</v>
      </c>
      <c r="I269" s="41" t="str">
        <f t="shared" si="2"/>
        <v/>
      </c>
      <c r="J269" s="44"/>
      <c r="K269" s="41" t="str">
        <f t="shared" si="3"/>
        <v/>
      </c>
      <c r="L269" s="43" t="str">
        <f t="shared" si="4"/>
        <v/>
      </c>
      <c r="M269" s="48" t="str">
        <f t="shared" si="5"/>
        <v/>
      </c>
      <c r="N269" s="30"/>
    </row>
    <row r="270" ht="15.75" customHeight="1">
      <c r="A270" s="32"/>
      <c r="B270" s="15"/>
      <c r="C270" s="52" t="str">
        <f t="array" ref="C270">IFERROR(INDEX('3. Costeo y Precios'!$B$14:$B$63,MATCH($B270,'3. Costeo y Precios'!$A$14:$A$63,0)),"")</f>
        <v/>
      </c>
      <c r="D270" s="30"/>
      <c r="E270" s="15"/>
      <c r="F270" s="16"/>
      <c r="G270" s="41" t="str">
        <f t="shared" si="1"/>
        <v/>
      </c>
      <c r="H270" s="38">
        <f t="array" ref="H270">IFERROR(INDEX('3. Costeo y Precios'!$K$14:$K$63,MATCH($B270,'3. Costeo y Precios'!$A$14:$A$63,0)),0)</f>
        <v>0</v>
      </c>
      <c r="I270" s="41" t="str">
        <f t="shared" si="2"/>
        <v/>
      </c>
      <c r="J270" s="44"/>
      <c r="K270" s="41" t="str">
        <f t="shared" si="3"/>
        <v/>
      </c>
      <c r="L270" s="43" t="str">
        <f t="shared" si="4"/>
        <v/>
      </c>
      <c r="M270" s="48" t="str">
        <f t="shared" si="5"/>
        <v/>
      </c>
      <c r="N270" s="30"/>
    </row>
    <row r="271" ht="15.75" customHeight="1">
      <c r="A271" s="32"/>
      <c r="B271" s="15"/>
      <c r="C271" s="52" t="str">
        <f t="array" ref="C271">IFERROR(INDEX('3. Costeo y Precios'!$B$14:$B$63,MATCH($B271,'3. Costeo y Precios'!$A$14:$A$63,0)),"")</f>
        <v/>
      </c>
      <c r="D271" s="30"/>
      <c r="E271" s="15"/>
      <c r="F271" s="16"/>
      <c r="G271" s="41" t="str">
        <f t="shared" si="1"/>
        <v/>
      </c>
      <c r="H271" s="38">
        <f t="array" ref="H271">IFERROR(INDEX('3. Costeo y Precios'!$K$14:$K$63,MATCH($B271,'3. Costeo y Precios'!$A$14:$A$63,0)),0)</f>
        <v>0</v>
      </c>
      <c r="I271" s="41" t="str">
        <f t="shared" si="2"/>
        <v/>
      </c>
      <c r="J271" s="44"/>
      <c r="K271" s="41" t="str">
        <f t="shared" si="3"/>
        <v/>
      </c>
      <c r="L271" s="43" t="str">
        <f t="shared" si="4"/>
        <v/>
      </c>
      <c r="M271" s="48" t="str">
        <f t="shared" si="5"/>
        <v/>
      </c>
      <c r="N271" s="30"/>
    </row>
    <row r="272" ht="15.75" customHeight="1">
      <c r="A272" s="32"/>
      <c r="B272" s="15"/>
      <c r="C272" s="52" t="str">
        <f t="array" ref="C272">IFERROR(INDEX('3. Costeo y Precios'!$B$14:$B$63,MATCH($B272,'3. Costeo y Precios'!$A$14:$A$63,0)),"")</f>
        <v/>
      </c>
      <c r="D272" s="30"/>
      <c r="E272" s="15"/>
      <c r="F272" s="16"/>
      <c r="G272" s="41" t="str">
        <f t="shared" si="1"/>
        <v/>
      </c>
      <c r="H272" s="38">
        <f t="array" ref="H272">IFERROR(INDEX('3. Costeo y Precios'!$K$14:$K$63,MATCH($B272,'3. Costeo y Precios'!$A$14:$A$63,0)),0)</f>
        <v>0</v>
      </c>
      <c r="I272" s="41" t="str">
        <f t="shared" si="2"/>
        <v/>
      </c>
      <c r="J272" s="44"/>
      <c r="K272" s="41" t="str">
        <f t="shared" si="3"/>
        <v/>
      </c>
      <c r="L272" s="43" t="str">
        <f t="shared" si="4"/>
        <v/>
      </c>
      <c r="M272" s="48" t="str">
        <f t="shared" si="5"/>
        <v/>
      </c>
      <c r="N272" s="30"/>
    </row>
    <row r="273" ht="15.75" customHeight="1">
      <c r="A273" s="32"/>
      <c r="B273" s="15"/>
      <c r="C273" s="52" t="str">
        <f t="array" ref="C273">IFERROR(INDEX('3. Costeo y Precios'!$B$14:$B$63,MATCH($B273,'3. Costeo y Precios'!$A$14:$A$63,0)),"")</f>
        <v/>
      </c>
      <c r="D273" s="30"/>
      <c r="E273" s="15"/>
      <c r="F273" s="16"/>
      <c r="G273" s="41" t="str">
        <f t="shared" si="1"/>
        <v/>
      </c>
      <c r="H273" s="38">
        <f t="array" ref="H273">IFERROR(INDEX('3. Costeo y Precios'!$K$14:$K$63,MATCH($B273,'3. Costeo y Precios'!$A$14:$A$63,0)),0)</f>
        <v>0</v>
      </c>
      <c r="I273" s="41" t="str">
        <f t="shared" si="2"/>
        <v/>
      </c>
      <c r="J273" s="44"/>
      <c r="K273" s="41" t="str">
        <f t="shared" si="3"/>
        <v/>
      </c>
      <c r="L273" s="43" t="str">
        <f t="shared" si="4"/>
        <v/>
      </c>
      <c r="M273" s="48" t="str">
        <f t="shared" si="5"/>
        <v/>
      </c>
      <c r="N273" s="30"/>
    </row>
    <row r="274" ht="15.75" customHeight="1">
      <c r="A274" s="32"/>
      <c r="B274" s="15"/>
      <c r="C274" s="52" t="str">
        <f t="array" ref="C274">IFERROR(INDEX('3. Costeo y Precios'!$B$14:$B$63,MATCH($B274,'3. Costeo y Precios'!$A$14:$A$63,0)),"")</f>
        <v/>
      </c>
      <c r="D274" s="30"/>
      <c r="E274" s="15"/>
      <c r="F274" s="16"/>
      <c r="G274" s="41" t="str">
        <f t="shared" si="1"/>
        <v/>
      </c>
      <c r="H274" s="38">
        <f t="array" ref="H274">IFERROR(INDEX('3. Costeo y Precios'!$K$14:$K$63,MATCH($B274,'3. Costeo y Precios'!$A$14:$A$63,0)),0)</f>
        <v>0</v>
      </c>
      <c r="I274" s="41" t="str">
        <f t="shared" si="2"/>
        <v/>
      </c>
      <c r="J274" s="44"/>
      <c r="K274" s="41" t="str">
        <f t="shared" si="3"/>
        <v/>
      </c>
      <c r="L274" s="43" t="str">
        <f t="shared" si="4"/>
        <v/>
      </c>
      <c r="M274" s="48" t="str">
        <f t="shared" si="5"/>
        <v/>
      </c>
      <c r="N274" s="30"/>
    </row>
    <row r="275" ht="15.75" customHeight="1">
      <c r="A275" s="32"/>
      <c r="B275" s="15"/>
      <c r="C275" s="52" t="str">
        <f t="array" ref="C275">IFERROR(INDEX('3. Costeo y Precios'!$B$14:$B$63,MATCH($B275,'3. Costeo y Precios'!$A$14:$A$63,0)),"")</f>
        <v/>
      </c>
      <c r="D275" s="30"/>
      <c r="E275" s="15"/>
      <c r="F275" s="16"/>
      <c r="G275" s="41" t="str">
        <f t="shared" si="1"/>
        <v/>
      </c>
      <c r="H275" s="38">
        <f t="array" ref="H275">IFERROR(INDEX('3. Costeo y Precios'!$K$14:$K$63,MATCH($B275,'3. Costeo y Precios'!$A$14:$A$63,0)),0)</f>
        <v>0</v>
      </c>
      <c r="I275" s="41" t="str">
        <f t="shared" si="2"/>
        <v/>
      </c>
      <c r="J275" s="44"/>
      <c r="K275" s="41" t="str">
        <f t="shared" si="3"/>
        <v/>
      </c>
      <c r="L275" s="43" t="str">
        <f t="shared" si="4"/>
        <v/>
      </c>
      <c r="M275" s="48" t="str">
        <f t="shared" si="5"/>
        <v/>
      </c>
      <c r="N275" s="30"/>
    </row>
    <row r="276" ht="15.75" customHeight="1">
      <c r="A276" s="32"/>
      <c r="B276" s="15"/>
      <c r="C276" s="52" t="str">
        <f t="array" ref="C276">IFERROR(INDEX('3. Costeo y Precios'!$B$14:$B$63,MATCH($B276,'3. Costeo y Precios'!$A$14:$A$63,0)),"")</f>
        <v/>
      </c>
      <c r="D276" s="30"/>
      <c r="E276" s="15"/>
      <c r="F276" s="16"/>
      <c r="G276" s="41" t="str">
        <f t="shared" si="1"/>
        <v/>
      </c>
      <c r="H276" s="38">
        <f t="array" ref="H276">IFERROR(INDEX('3. Costeo y Precios'!$K$14:$K$63,MATCH($B276,'3. Costeo y Precios'!$A$14:$A$63,0)),0)</f>
        <v>0</v>
      </c>
      <c r="I276" s="41" t="str">
        <f t="shared" si="2"/>
        <v/>
      </c>
      <c r="J276" s="44"/>
      <c r="K276" s="41" t="str">
        <f t="shared" si="3"/>
        <v/>
      </c>
      <c r="L276" s="43" t="str">
        <f t="shared" si="4"/>
        <v/>
      </c>
      <c r="M276" s="48" t="str">
        <f t="shared" si="5"/>
        <v/>
      </c>
      <c r="N276" s="30"/>
    </row>
    <row r="277" ht="15.75" customHeight="1">
      <c r="A277" s="32"/>
      <c r="B277" s="15"/>
      <c r="C277" s="52" t="str">
        <f t="array" ref="C277">IFERROR(INDEX('3. Costeo y Precios'!$B$14:$B$63,MATCH($B277,'3. Costeo y Precios'!$A$14:$A$63,0)),"")</f>
        <v/>
      </c>
      <c r="D277" s="30"/>
      <c r="E277" s="15"/>
      <c r="F277" s="16"/>
      <c r="G277" s="41" t="str">
        <f t="shared" si="1"/>
        <v/>
      </c>
      <c r="H277" s="38">
        <f t="array" ref="H277">IFERROR(INDEX('3. Costeo y Precios'!$K$14:$K$63,MATCH($B277,'3. Costeo y Precios'!$A$14:$A$63,0)),0)</f>
        <v>0</v>
      </c>
      <c r="I277" s="41" t="str">
        <f t="shared" si="2"/>
        <v/>
      </c>
      <c r="J277" s="44"/>
      <c r="K277" s="41" t="str">
        <f t="shared" si="3"/>
        <v/>
      </c>
      <c r="L277" s="43" t="str">
        <f t="shared" si="4"/>
        <v/>
      </c>
      <c r="M277" s="48" t="str">
        <f t="shared" si="5"/>
        <v/>
      </c>
      <c r="N277" s="30"/>
    </row>
    <row r="278" ht="15.75" customHeight="1">
      <c r="A278" s="32"/>
      <c r="B278" s="15"/>
      <c r="C278" s="52" t="str">
        <f t="array" ref="C278">IFERROR(INDEX('3. Costeo y Precios'!$B$14:$B$63,MATCH($B278,'3. Costeo y Precios'!$A$14:$A$63,0)),"")</f>
        <v/>
      </c>
      <c r="D278" s="30"/>
      <c r="E278" s="15"/>
      <c r="F278" s="16"/>
      <c r="G278" s="41" t="str">
        <f t="shared" si="1"/>
        <v/>
      </c>
      <c r="H278" s="38">
        <f t="array" ref="H278">IFERROR(INDEX('3. Costeo y Precios'!$K$14:$K$63,MATCH($B278,'3. Costeo y Precios'!$A$14:$A$63,0)),0)</f>
        <v>0</v>
      </c>
      <c r="I278" s="41" t="str">
        <f t="shared" si="2"/>
        <v/>
      </c>
      <c r="J278" s="44"/>
      <c r="K278" s="41" t="str">
        <f t="shared" si="3"/>
        <v/>
      </c>
      <c r="L278" s="43" t="str">
        <f t="shared" si="4"/>
        <v/>
      </c>
      <c r="M278" s="48" t="str">
        <f t="shared" si="5"/>
        <v/>
      </c>
      <c r="N278" s="30"/>
    </row>
    <row r="279" ht="15.75" customHeight="1">
      <c r="A279" s="32"/>
      <c r="B279" s="15"/>
      <c r="C279" s="52" t="str">
        <f t="array" ref="C279">IFERROR(INDEX('3. Costeo y Precios'!$B$14:$B$63,MATCH($B279,'3. Costeo y Precios'!$A$14:$A$63,0)),"")</f>
        <v/>
      </c>
      <c r="D279" s="30"/>
      <c r="E279" s="15"/>
      <c r="F279" s="16"/>
      <c r="G279" s="41" t="str">
        <f t="shared" si="1"/>
        <v/>
      </c>
      <c r="H279" s="38">
        <f t="array" ref="H279">IFERROR(INDEX('3. Costeo y Precios'!$K$14:$K$63,MATCH($B279,'3. Costeo y Precios'!$A$14:$A$63,0)),0)</f>
        <v>0</v>
      </c>
      <c r="I279" s="41" t="str">
        <f t="shared" si="2"/>
        <v/>
      </c>
      <c r="J279" s="44"/>
      <c r="K279" s="41" t="str">
        <f t="shared" si="3"/>
        <v/>
      </c>
      <c r="L279" s="43" t="str">
        <f t="shared" si="4"/>
        <v/>
      </c>
      <c r="M279" s="48" t="str">
        <f t="shared" si="5"/>
        <v/>
      </c>
      <c r="N279" s="30"/>
    </row>
    <row r="280" ht="15.75" customHeight="1">
      <c r="A280" s="32"/>
      <c r="B280" s="15"/>
      <c r="C280" s="52" t="str">
        <f t="array" ref="C280">IFERROR(INDEX('3. Costeo y Precios'!$B$14:$B$63,MATCH($B280,'3. Costeo y Precios'!$A$14:$A$63,0)),"")</f>
        <v/>
      </c>
      <c r="D280" s="30"/>
      <c r="E280" s="15"/>
      <c r="F280" s="16"/>
      <c r="G280" s="41" t="str">
        <f t="shared" si="1"/>
        <v/>
      </c>
      <c r="H280" s="38">
        <f t="array" ref="H280">IFERROR(INDEX('3. Costeo y Precios'!$K$14:$K$63,MATCH($B280,'3. Costeo y Precios'!$A$14:$A$63,0)),0)</f>
        <v>0</v>
      </c>
      <c r="I280" s="41" t="str">
        <f t="shared" si="2"/>
        <v/>
      </c>
      <c r="J280" s="44"/>
      <c r="K280" s="41" t="str">
        <f t="shared" si="3"/>
        <v/>
      </c>
      <c r="L280" s="43" t="str">
        <f t="shared" si="4"/>
        <v/>
      </c>
      <c r="M280" s="48" t="str">
        <f t="shared" si="5"/>
        <v/>
      </c>
      <c r="N280" s="30"/>
    </row>
    <row r="281" ht="15.75" customHeight="1">
      <c r="A281" s="32"/>
      <c r="B281" s="15"/>
      <c r="C281" s="52" t="str">
        <f t="array" ref="C281">IFERROR(INDEX('3. Costeo y Precios'!$B$14:$B$63,MATCH($B281,'3. Costeo y Precios'!$A$14:$A$63,0)),"")</f>
        <v/>
      </c>
      <c r="D281" s="30"/>
      <c r="E281" s="15"/>
      <c r="F281" s="16"/>
      <c r="G281" s="41" t="str">
        <f t="shared" si="1"/>
        <v/>
      </c>
      <c r="H281" s="38">
        <f t="array" ref="H281">IFERROR(INDEX('3. Costeo y Precios'!$K$14:$K$63,MATCH($B281,'3. Costeo y Precios'!$A$14:$A$63,0)),0)</f>
        <v>0</v>
      </c>
      <c r="I281" s="41" t="str">
        <f t="shared" si="2"/>
        <v/>
      </c>
      <c r="J281" s="44"/>
      <c r="K281" s="41" t="str">
        <f t="shared" si="3"/>
        <v/>
      </c>
      <c r="L281" s="43" t="str">
        <f t="shared" si="4"/>
        <v/>
      </c>
      <c r="M281" s="48" t="str">
        <f t="shared" si="5"/>
        <v/>
      </c>
      <c r="N281" s="30"/>
    </row>
    <row r="282" ht="15.75" customHeight="1">
      <c r="A282" s="32"/>
      <c r="B282" s="15"/>
      <c r="C282" s="52" t="str">
        <f t="array" ref="C282">IFERROR(INDEX('3. Costeo y Precios'!$B$14:$B$63,MATCH($B282,'3. Costeo y Precios'!$A$14:$A$63,0)),"")</f>
        <v/>
      </c>
      <c r="D282" s="30"/>
      <c r="E282" s="15"/>
      <c r="F282" s="16"/>
      <c r="G282" s="41" t="str">
        <f t="shared" si="1"/>
        <v/>
      </c>
      <c r="H282" s="38">
        <f t="array" ref="H282">IFERROR(INDEX('3. Costeo y Precios'!$K$14:$K$63,MATCH($B282,'3. Costeo y Precios'!$A$14:$A$63,0)),0)</f>
        <v>0</v>
      </c>
      <c r="I282" s="41" t="str">
        <f t="shared" si="2"/>
        <v/>
      </c>
      <c r="J282" s="44"/>
      <c r="K282" s="41" t="str">
        <f t="shared" si="3"/>
        <v/>
      </c>
      <c r="L282" s="43" t="str">
        <f t="shared" si="4"/>
        <v/>
      </c>
      <c r="M282" s="48" t="str">
        <f t="shared" si="5"/>
        <v/>
      </c>
      <c r="N282" s="30"/>
    </row>
    <row r="283" ht="15.75" customHeight="1">
      <c r="A283" s="32"/>
      <c r="B283" s="15"/>
      <c r="C283" s="52" t="str">
        <f t="array" ref="C283">IFERROR(INDEX('3. Costeo y Precios'!$B$14:$B$63,MATCH($B283,'3. Costeo y Precios'!$A$14:$A$63,0)),"")</f>
        <v/>
      </c>
      <c r="D283" s="30"/>
      <c r="E283" s="15"/>
      <c r="F283" s="16"/>
      <c r="G283" s="41" t="str">
        <f t="shared" si="1"/>
        <v/>
      </c>
      <c r="H283" s="38">
        <f t="array" ref="H283">IFERROR(INDEX('3. Costeo y Precios'!$K$14:$K$63,MATCH($B283,'3. Costeo y Precios'!$A$14:$A$63,0)),0)</f>
        <v>0</v>
      </c>
      <c r="I283" s="41" t="str">
        <f t="shared" si="2"/>
        <v/>
      </c>
      <c r="J283" s="44"/>
      <c r="K283" s="41" t="str">
        <f t="shared" si="3"/>
        <v/>
      </c>
      <c r="L283" s="43" t="str">
        <f t="shared" si="4"/>
        <v/>
      </c>
      <c r="M283" s="48" t="str">
        <f t="shared" si="5"/>
        <v/>
      </c>
      <c r="N283" s="30"/>
    </row>
    <row r="284" ht="15.75" customHeight="1">
      <c r="A284" s="32"/>
      <c r="B284" s="15"/>
      <c r="C284" s="52" t="str">
        <f t="array" ref="C284">IFERROR(INDEX('3. Costeo y Precios'!$B$14:$B$63,MATCH($B284,'3. Costeo y Precios'!$A$14:$A$63,0)),"")</f>
        <v/>
      </c>
      <c r="D284" s="30"/>
      <c r="E284" s="15"/>
      <c r="F284" s="16"/>
      <c r="G284" s="41" t="str">
        <f t="shared" si="1"/>
        <v/>
      </c>
      <c r="H284" s="38">
        <f t="array" ref="H284">IFERROR(INDEX('3. Costeo y Precios'!$K$14:$K$63,MATCH($B284,'3. Costeo y Precios'!$A$14:$A$63,0)),0)</f>
        <v>0</v>
      </c>
      <c r="I284" s="41" t="str">
        <f t="shared" si="2"/>
        <v/>
      </c>
      <c r="J284" s="44"/>
      <c r="K284" s="41" t="str">
        <f t="shared" si="3"/>
        <v/>
      </c>
      <c r="L284" s="43" t="str">
        <f t="shared" si="4"/>
        <v/>
      </c>
      <c r="M284" s="48" t="str">
        <f t="shared" si="5"/>
        <v/>
      </c>
      <c r="N284" s="30"/>
    </row>
    <row r="285" ht="15.75" customHeight="1">
      <c r="A285" s="32"/>
      <c r="B285" s="15"/>
      <c r="C285" s="52" t="str">
        <f t="array" ref="C285">IFERROR(INDEX('3. Costeo y Precios'!$B$14:$B$63,MATCH($B285,'3. Costeo y Precios'!$A$14:$A$63,0)),"")</f>
        <v/>
      </c>
      <c r="D285" s="30"/>
      <c r="E285" s="15"/>
      <c r="F285" s="16"/>
      <c r="G285" s="41" t="str">
        <f t="shared" si="1"/>
        <v/>
      </c>
      <c r="H285" s="38">
        <f t="array" ref="H285">IFERROR(INDEX('3. Costeo y Precios'!$K$14:$K$63,MATCH($B285,'3. Costeo y Precios'!$A$14:$A$63,0)),0)</f>
        <v>0</v>
      </c>
      <c r="I285" s="41" t="str">
        <f t="shared" si="2"/>
        <v/>
      </c>
      <c r="J285" s="44"/>
      <c r="K285" s="41" t="str">
        <f t="shared" si="3"/>
        <v/>
      </c>
      <c r="L285" s="43" t="str">
        <f t="shared" si="4"/>
        <v/>
      </c>
      <c r="M285" s="48" t="str">
        <f t="shared" si="5"/>
        <v/>
      </c>
      <c r="N285" s="30"/>
    </row>
    <row r="286" ht="15.75" customHeight="1">
      <c r="A286" s="32"/>
      <c r="B286" s="15"/>
      <c r="C286" s="52" t="str">
        <f t="array" ref="C286">IFERROR(INDEX('3. Costeo y Precios'!$B$14:$B$63,MATCH($B286,'3. Costeo y Precios'!$A$14:$A$63,0)),"")</f>
        <v/>
      </c>
      <c r="D286" s="30"/>
      <c r="E286" s="15"/>
      <c r="F286" s="16"/>
      <c r="G286" s="41" t="str">
        <f t="shared" si="1"/>
        <v/>
      </c>
      <c r="H286" s="38">
        <f t="array" ref="H286">IFERROR(INDEX('3. Costeo y Precios'!$K$14:$K$63,MATCH($B286,'3. Costeo y Precios'!$A$14:$A$63,0)),0)</f>
        <v>0</v>
      </c>
      <c r="I286" s="41" t="str">
        <f t="shared" si="2"/>
        <v/>
      </c>
      <c r="J286" s="44"/>
      <c r="K286" s="41" t="str">
        <f t="shared" si="3"/>
        <v/>
      </c>
      <c r="L286" s="43" t="str">
        <f t="shared" si="4"/>
        <v/>
      </c>
      <c r="M286" s="48" t="str">
        <f t="shared" si="5"/>
        <v/>
      </c>
      <c r="N286" s="30"/>
    </row>
    <row r="287" ht="15.75" customHeight="1">
      <c r="A287" s="32"/>
      <c r="B287" s="15"/>
      <c r="C287" s="52" t="str">
        <f t="array" ref="C287">IFERROR(INDEX('3. Costeo y Precios'!$B$14:$B$63,MATCH($B287,'3. Costeo y Precios'!$A$14:$A$63,0)),"")</f>
        <v/>
      </c>
      <c r="D287" s="30"/>
      <c r="E287" s="15"/>
      <c r="F287" s="16"/>
      <c r="G287" s="41" t="str">
        <f t="shared" si="1"/>
        <v/>
      </c>
      <c r="H287" s="38">
        <f t="array" ref="H287">IFERROR(INDEX('3. Costeo y Precios'!$K$14:$K$63,MATCH($B287,'3. Costeo y Precios'!$A$14:$A$63,0)),0)</f>
        <v>0</v>
      </c>
      <c r="I287" s="41" t="str">
        <f t="shared" si="2"/>
        <v/>
      </c>
      <c r="J287" s="44"/>
      <c r="K287" s="41" t="str">
        <f t="shared" si="3"/>
        <v/>
      </c>
      <c r="L287" s="43" t="str">
        <f t="shared" si="4"/>
        <v/>
      </c>
      <c r="M287" s="48" t="str">
        <f t="shared" si="5"/>
        <v/>
      </c>
      <c r="N287" s="30"/>
    </row>
    <row r="288" ht="15.75" customHeight="1">
      <c r="A288" s="32"/>
      <c r="B288" s="15"/>
      <c r="C288" s="52" t="str">
        <f t="array" ref="C288">IFERROR(INDEX('3. Costeo y Precios'!$B$14:$B$63,MATCH($B288,'3. Costeo y Precios'!$A$14:$A$63,0)),"")</f>
        <v/>
      </c>
      <c r="D288" s="30"/>
      <c r="E288" s="15"/>
      <c r="F288" s="16"/>
      <c r="G288" s="41" t="str">
        <f t="shared" si="1"/>
        <v/>
      </c>
      <c r="H288" s="38">
        <f t="array" ref="H288">IFERROR(INDEX('3. Costeo y Precios'!$K$14:$K$63,MATCH($B288,'3. Costeo y Precios'!$A$14:$A$63,0)),0)</f>
        <v>0</v>
      </c>
      <c r="I288" s="41" t="str">
        <f t="shared" si="2"/>
        <v/>
      </c>
      <c r="J288" s="44"/>
      <c r="K288" s="41" t="str">
        <f t="shared" si="3"/>
        <v/>
      </c>
      <c r="L288" s="43" t="str">
        <f t="shared" si="4"/>
        <v/>
      </c>
      <c r="M288" s="48" t="str">
        <f t="shared" si="5"/>
        <v/>
      </c>
      <c r="N288" s="30"/>
    </row>
    <row r="289" ht="15.75" customHeight="1">
      <c r="A289" s="32"/>
      <c r="B289" s="15"/>
      <c r="C289" s="52" t="str">
        <f t="array" ref="C289">IFERROR(INDEX('3. Costeo y Precios'!$B$14:$B$63,MATCH($B289,'3. Costeo y Precios'!$A$14:$A$63,0)),"")</f>
        <v/>
      </c>
      <c r="D289" s="30"/>
      <c r="E289" s="15"/>
      <c r="F289" s="16"/>
      <c r="G289" s="41" t="str">
        <f t="shared" si="1"/>
        <v/>
      </c>
      <c r="H289" s="38">
        <f t="array" ref="H289">IFERROR(INDEX('3. Costeo y Precios'!$K$14:$K$63,MATCH($B289,'3. Costeo y Precios'!$A$14:$A$63,0)),0)</f>
        <v>0</v>
      </c>
      <c r="I289" s="41" t="str">
        <f t="shared" si="2"/>
        <v/>
      </c>
      <c r="J289" s="44"/>
      <c r="K289" s="41" t="str">
        <f t="shared" si="3"/>
        <v/>
      </c>
      <c r="L289" s="43" t="str">
        <f t="shared" si="4"/>
        <v/>
      </c>
      <c r="M289" s="48" t="str">
        <f t="shared" si="5"/>
        <v/>
      </c>
      <c r="N289" s="30"/>
    </row>
    <row r="290" ht="15.75" customHeight="1">
      <c r="A290" s="32"/>
      <c r="B290" s="15"/>
      <c r="C290" s="52" t="str">
        <f t="array" ref="C290">IFERROR(INDEX('3. Costeo y Precios'!$B$14:$B$63,MATCH($B290,'3. Costeo y Precios'!$A$14:$A$63,0)),"")</f>
        <v/>
      </c>
      <c r="D290" s="30"/>
      <c r="E290" s="15"/>
      <c r="F290" s="16"/>
      <c r="G290" s="41" t="str">
        <f t="shared" si="1"/>
        <v/>
      </c>
      <c r="H290" s="38">
        <f t="array" ref="H290">IFERROR(INDEX('3. Costeo y Precios'!$K$14:$K$63,MATCH($B290,'3. Costeo y Precios'!$A$14:$A$63,0)),0)</f>
        <v>0</v>
      </c>
      <c r="I290" s="41" t="str">
        <f t="shared" si="2"/>
        <v/>
      </c>
      <c r="J290" s="44"/>
      <c r="K290" s="41" t="str">
        <f t="shared" si="3"/>
        <v/>
      </c>
      <c r="L290" s="43" t="str">
        <f t="shared" si="4"/>
        <v/>
      </c>
      <c r="M290" s="48" t="str">
        <f t="shared" si="5"/>
        <v/>
      </c>
      <c r="N290" s="30"/>
    </row>
    <row r="291" ht="15.75" customHeight="1">
      <c r="A291" s="32"/>
      <c r="B291" s="15"/>
      <c r="C291" s="52" t="str">
        <f t="array" ref="C291">IFERROR(INDEX('3. Costeo y Precios'!$B$14:$B$63,MATCH($B291,'3. Costeo y Precios'!$A$14:$A$63,0)),"")</f>
        <v/>
      </c>
      <c r="D291" s="30"/>
      <c r="E291" s="15"/>
      <c r="F291" s="16"/>
      <c r="G291" s="41" t="str">
        <f t="shared" si="1"/>
        <v/>
      </c>
      <c r="H291" s="38">
        <f t="array" ref="H291">IFERROR(INDEX('3. Costeo y Precios'!$K$14:$K$63,MATCH($B291,'3. Costeo y Precios'!$A$14:$A$63,0)),0)</f>
        <v>0</v>
      </c>
      <c r="I291" s="41" t="str">
        <f t="shared" si="2"/>
        <v/>
      </c>
      <c r="J291" s="44"/>
      <c r="K291" s="41" t="str">
        <f t="shared" si="3"/>
        <v/>
      </c>
      <c r="L291" s="43" t="str">
        <f t="shared" si="4"/>
        <v/>
      </c>
      <c r="M291" s="48" t="str">
        <f t="shared" si="5"/>
        <v/>
      </c>
      <c r="N291" s="30"/>
    </row>
    <row r="292" ht="15.75" customHeight="1">
      <c r="A292" s="32"/>
      <c r="B292" s="15"/>
      <c r="C292" s="52" t="str">
        <f t="array" ref="C292">IFERROR(INDEX('3. Costeo y Precios'!$B$14:$B$63,MATCH($B292,'3. Costeo y Precios'!$A$14:$A$63,0)),"")</f>
        <v/>
      </c>
      <c r="D292" s="30"/>
      <c r="E292" s="15"/>
      <c r="F292" s="16"/>
      <c r="G292" s="41" t="str">
        <f t="shared" si="1"/>
        <v/>
      </c>
      <c r="H292" s="38">
        <f t="array" ref="H292">IFERROR(INDEX('3. Costeo y Precios'!$K$14:$K$63,MATCH($B292,'3. Costeo y Precios'!$A$14:$A$63,0)),0)</f>
        <v>0</v>
      </c>
      <c r="I292" s="41" t="str">
        <f t="shared" si="2"/>
        <v/>
      </c>
      <c r="J292" s="44"/>
      <c r="K292" s="41" t="str">
        <f t="shared" si="3"/>
        <v/>
      </c>
      <c r="L292" s="43" t="str">
        <f t="shared" si="4"/>
        <v/>
      </c>
      <c r="M292" s="48" t="str">
        <f t="shared" si="5"/>
        <v/>
      </c>
      <c r="N292" s="30"/>
    </row>
    <row r="293" ht="15.75" customHeight="1">
      <c r="A293" s="32"/>
      <c r="B293" s="15"/>
      <c r="C293" s="52" t="str">
        <f t="array" ref="C293">IFERROR(INDEX('3. Costeo y Precios'!$B$14:$B$63,MATCH($B293,'3. Costeo y Precios'!$A$14:$A$63,0)),"")</f>
        <v/>
      </c>
      <c r="D293" s="30"/>
      <c r="E293" s="15"/>
      <c r="F293" s="16"/>
      <c r="G293" s="41" t="str">
        <f t="shared" si="1"/>
        <v/>
      </c>
      <c r="H293" s="38">
        <f t="array" ref="H293">IFERROR(INDEX('3. Costeo y Precios'!$K$14:$K$63,MATCH($B293,'3. Costeo y Precios'!$A$14:$A$63,0)),0)</f>
        <v>0</v>
      </c>
      <c r="I293" s="41" t="str">
        <f t="shared" si="2"/>
        <v/>
      </c>
      <c r="J293" s="44"/>
      <c r="K293" s="41" t="str">
        <f t="shared" si="3"/>
        <v/>
      </c>
      <c r="L293" s="43" t="str">
        <f t="shared" si="4"/>
        <v/>
      </c>
      <c r="M293" s="48" t="str">
        <f t="shared" si="5"/>
        <v/>
      </c>
      <c r="N293" s="30"/>
    </row>
    <row r="294" ht="15.75" customHeight="1">
      <c r="A294" s="32"/>
      <c r="B294" s="15"/>
      <c r="C294" s="52" t="str">
        <f t="array" ref="C294">IFERROR(INDEX('3. Costeo y Precios'!$B$14:$B$63,MATCH($B294,'3. Costeo y Precios'!$A$14:$A$63,0)),"")</f>
        <v/>
      </c>
      <c r="D294" s="30"/>
      <c r="E294" s="15"/>
      <c r="F294" s="16"/>
      <c r="G294" s="41" t="str">
        <f t="shared" si="1"/>
        <v/>
      </c>
      <c r="H294" s="38">
        <f t="array" ref="H294">IFERROR(INDEX('3. Costeo y Precios'!$K$14:$K$63,MATCH($B294,'3. Costeo y Precios'!$A$14:$A$63,0)),0)</f>
        <v>0</v>
      </c>
      <c r="I294" s="41" t="str">
        <f t="shared" si="2"/>
        <v/>
      </c>
      <c r="J294" s="44"/>
      <c r="K294" s="41" t="str">
        <f t="shared" si="3"/>
        <v/>
      </c>
      <c r="L294" s="43" t="str">
        <f t="shared" si="4"/>
        <v/>
      </c>
      <c r="M294" s="48" t="str">
        <f t="shared" si="5"/>
        <v/>
      </c>
      <c r="N294" s="30"/>
    </row>
    <row r="295" ht="15.75" customHeight="1">
      <c r="A295" s="32"/>
      <c r="B295" s="15"/>
      <c r="C295" s="52" t="str">
        <f t="array" ref="C295">IFERROR(INDEX('3. Costeo y Precios'!$B$14:$B$63,MATCH($B295,'3. Costeo y Precios'!$A$14:$A$63,0)),"")</f>
        <v/>
      </c>
      <c r="D295" s="30"/>
      <c r="E295" s="15"/>
      <c r="F295" s="16"/>
      <c r="G295" s="41" t="str">
        <f t="shared" si="1"/>
        <v/>
      </c>
      <c r="H295" s="38">
        <f t="array" ref="H295">IFERROR(INDEX('3. Costeo y Precios'!$K$14:$K$63,MATCH($B295,'3. Costeo y Precios'!$A$14:$A$63,0)),0)</f>
        <v>0</v>
      </c>
      <c r="I295" s="41" t="str">
        <f t="shared" si="2"/>
        <v/>
      </c>
      <c r="J295" s="44"/>
      <c r="K295" s="41" t="str">
        <f t="shared" si="3"/>
        <v/>
      </c>
      <c r="L295" s="43" t="str">
        <f t="shared" si="4"/>
        <v/>
      </c>
      <c r="M295" s="48" t="str">
        <f t="shared" si="5"/>
        <v/>
      </c>
      <c r="N295" s="30"/>
    </row>
    <row r="296" ht="15.75" customHeight="1">
      <c r="A296" s="32"/>
      <c r="B296" s="15"/>
      <c r="C296" s="52" t="str">
        <f t="array" ref="C296">IFERROR(INDEX('3. Costeo y Precios'!$B$14:$B$63,MATCH($B296,'3. Costeo y Precios'!$A$14:$A$63,0)),"")</f>
        <v/>
      </c>
      <c r="D296" s="30"/>
      <c r="E296" s="15"/>
      <c r="F296" s="16"/>
      <c r="G296" s="41" t="str">
        <f t="shared" si="1"/>
        <v/>
      </c>
      <c r="H296" s="38">
        <f t="array" ref="H296">IFERROR(INDEX('3. Costeo y Precios'!$K$14:$K$63,MATCH($B296,'3. Costeo y Precios'!$A$14:$A$63,0)),0)</f>
        <v>0</v>
      </c>
      <c r="I296" s="41" t="str">
        <f t="shared" si="2"/>
        <v/>
      </c>
      <c r="J296" s="44"/>
      <c r="K296" s="41" t="str">
        <f t="shared" si="3"/>
        <v/>
      </c>
      <c r="L296" s="43" t="str">
        <f t="shared" si="4"/>
        <v/>
      </c>
      <c r="M296" s="48" t="str">
        <f t="shared" si="5"/>
        <v/>
      </c>
      <c r="N296" s="30"/>
    </row>
    <row r="297" ht="15.75" customHeight="1">
      <c r="A297" s="32"/>
      <c r="B297" s="15"/>
      <c r="C297" s="52" t="str">
        <f t="array" ref="C297">IFERROR(INDEX('3. Costeo y Precios'!$B$14:$B$63,MATCH($B297,'3. Costeo y Precios'!$A$14:$A$63,0)),"")</f>
        <v/>
      </c>
      <c r="D297" s="30"/>
      <c r="E297" s="15"/>
      <c r="F297" s="16"/>
      <c r="G297" s="41" t="str">
        <f t="shared" si="1"/>
        <v/>
      </c>
      <c r="H297" s="38">
        <f t="array" ref="H297">IFERROR(INDEX('3. Costeo y Precios'!$K$14:$K$63,MATCH($B297,'3. Costeo y Precios'!$A$14:$A$63,0)),0)</f>
        <v>0</v>
      </c>
      <c r="I297" s="41" t="str">
        <f t="shared" si="2"/>
        <v/>
      </c>
      <c r="J297" s="44"/>
      <c r="K297" s="41" t="str">
        <f t="shared" si="3"/>
        <v/>
      </c>
      <c r="L297" s="43" t="str">
        <f t="shared" si="4"/>
        <v/>
      </c>
      <c r="M297" s="48" t="str">
        <f t="shared" si="5"/>
        <v/>
      </c>
      <c r="N297" s="30"/>
    </row>
    <row r="298" ht="15.75" customHeight="1">
      <c r="A298" s="32"/>
      <c r="B298" s="15"/>
      <c r="C298" s="52" t="str">
        <f t="array" ref="C298">IFERROR(INDEX('3. Costeo y Precios'!$B$14:$B$63,MATCH($B298,'3. Costeo y Precios'!$A$14:$A$63,0)),"")</f>
        <v/>
      </c>
      <c r="D298" s="30"/>
      <c r="E298" s="15"/>
      <c r="F298" s="16"/>
      <c r="G298" s="41" t="str">
        <f t="shared" si="1"/>
        <v/>
      </c>
      <c r="H298" s="38">
        <f t="array" ref="H298">IFERROR(INDEX('3. Costeo y Precios'!$K$14:$K$63,MATCH($B298,'3. Costeo y Precios'!$A$14:$A$63,0)),0)</f>
        <v>0</v>
      </c>
      <c r="I298" s="41" t="str">
        <f t="shared" si="2"/>
        <v/>
      </c>
      <c r="J298" s="44"/>
      <c r="K298" s="41" t="str">
        <f t="shared" si="3"/>
        <v/>
      </c>
      <c r="L298" s="43" t="str">
        <f t="shared" si="4"/>
        <v/>
      </c>
      <c r="M298" s="48" t="str">
        <f t="shared" si="5"/>
        <v/>
      </c>
      <c r="N298" s="30"/>
    </row>
    <row r="299" ht="15.75" customHeight="1">
      <c r="A299" s="32"/>
      <c r="B299" s="15"/>
      <c r="C299" s="52" t="str">
        <f t="array" ref="C299">IFERROR(INDEX('3. Costeo y Precios'!$B$14:$B$63,MATCH($B299,'3. Costeo y Precios'!$A$14:$A$63,0)),"")</f>
        <v/>
      </c>
      <c r="D299" s="30"/>
      <c r="E299" s="15"/>
      <c r="F299" s="16"/>
      <c r="G299" s="41" t="str">
        <f t="shared" si="1"/>
        <v/>
      </c>
      <c r="H299" s="38">
        <f t="array" ref="H299">IFERROR(INDEX('3. Costeo y Precios'!$K$14:$K$63,MATCH($B299,'3. Costeo y Precios'!$A$14:$A$63,0)),0)</f>
        <v>0</v>
      </c>
      <c r="I299" s="41" t="str">
        <f t="shared" si="2"/>
        <v/>
      </c>
      <c r="J299" s="44"/>
      <c r="K299" s="41" t="str">
        <f t="shared" si="3"/>
        <v/>
      </c>
      <c r="L299" s="43" t="str">
        <f t="shared" si="4"/>
        <v/>
      </c>
      <c r="M299" s="48" t="str">
        <f t="shared" si="5"/>
        <v/>
      </c>
      <c r="N299" s="30"/>
    </row>
    <row r="300" ht="15.75" customHeight="1">
      <c r="A300" s="32"/>
      <c r="B300" s="15"/>
      <c r="C300" s="52" t="str">
        <f t="array" ref="C300">IFERROR(INDEX('3. Costeo y Precios'!$B$14:$B$63,MATCH($B300,'3. Costeo y Precios'!$A$14:$A$63,0)),"")</f>
        <v/>
      </c>
      <c r="D300" s="30"/>
      <c r="E300" s="15"/>
      <c r="F300" s="16"/>
      <c r="G300" s="41" t="str">
        <f t="shared" si="1"/>
        <v/>
      </c>
      <c r="H300" s="38">
        <f t="array" ref="H300">IFERROR(INDEX('3. Costeo y Precios'!$K$14:$K$63,MATCH($B300,'3. Costeo y Precios'!$A$14:$A$63,0)),0)</f>
        <v>0</v>
      </c>
      <c r="I300" s="41" t="str">
        <f t="shared" si="2"/>
        <v/>
      </c>
      <c r="J300" s="44"/>
      <c r="K300" s="41" t="str">
        <f t="shared" si="3"/>
        <v/>
      </c>
      <c r="L300" s="43" t="str">
        <f t="shared" si="4"/>
        <v/>
      </c>
      <c r="M300" s="48" t="str">
        <f t="shared" si="5"/>
        <v/>
      </c>
      <c r="N300" s="30"/>
    </row>
    <row r="301" ht="15.75" customHeight="1">
      <c r="A301" s="32"/>
      <c r="B301" s="15"/>
      <c r="C301" s="52" t="str">
        <f t="array" ref="C301">IFERROR(INDEX('3. Costeo y Precios'!$B$14:$B$63,MATCH($B301,'3. Costeo y Precios'!$A$14:$A$63,0)),"")</f>
        <v/>
      </c>
      <c r="D301" s="30"/>
      <c r="E301" s="15"/>
      <c r="F301" s="16"/>
      <c r="G301" s="41" t="str">
        <f t="shared" si="1"/>
        <v/>
      </c>
      <c r="H301" s="38">
        <f t="array" ref="H301">IFERROR(INDEX('3. Costeo y Precios'!$K$14:$K$63,MATCH($B301,'3. Costeo y Precios'!$A$14:$A$63,0)),0)</f>
        <v>0</v>
      </c>
      <c r="I301" s="41" t="str">
        <f t="shared" si="2"/>
        <v/>
      </c>
      <c r="J301" s="44"/>
      <c r="K301" s="41" t="str">
        <f t="shared" si="3"/>
        <v/>
      </c>
      <c r="L301" s="43" t="str">
        <f t="shared" si="4"/>
        <v/>
      </c>
      <c r="M301" s="48" t="str">
        <f t="shared" si="5"/>
        <v/>
      </c>
      <c r="N301" s="30"/>
    </row>
    <row r="302" ht="15.75" customHeight="1">
      <c r="A302" s="32"/>
      <c r="B302" s="15"/>
      <c r="C302" s="52" t="str">
        <f t="array" ref="C302">IFERROR(INDEX('3. Costeo y Precios'!$B$14:$B$63,MATCH($B302,'3. Costeo y Precios'!$A$14:$A$63,0)),"")</f>
        <v/>
      </c>
      <c r="D302" s="30"/>
      <c r="E302" s="15"/>
      <c r="F302" s="16"/>
      <c r="G302" s="41" t="str">
        <f t="shared" si="1"/>
        <v/>
      </c>
      <c r="H302" s="38">
        <f t="array" ref="H302">IFERROR(INDEX('3. Costeo y Precios'!$K$14:$K$63,MATCH($B302,'3. Costeo y Precios'!$A$14:$A$63,0)),0)</f>
        <v>0</v>
      </c>
      <c r="I302" s="41" t="str">
        <f t="shared" si="2"/>
        <v/>
      </c>
      <c r="J302" s="44"/>
      <c r="K302" s="41" t="str">
        <f t="shared" si="3"/>
        <v/>
      </c>
      <c r="L302" s="43" t="str">
        <f t="shared" si="4"/>
        <v/>
      </c>
      <c r="M302" s="48" t="str">
        <f t="shared" si="5"/>
        <v/>
      </c>
      <c r="N302" s="30"/>
    </row>
    <row r="303" ht="15.75" customHeight="1">
      <c r="A303" s="32"/>
      <c r="B303" s="15"/>
      <c r="C303" s="52" t="str">
        <f t="array" ref="C303">IFERROR(INDEX('3. Costeo y Precios'!$B$14:$B$63,MATCH($B303,'3. Costeo y Precios'!$A$14:$A$63,0)),"")</f>
        <v/>
      </c>
      <c r="D303" s="30"/>
      <c r="E303" s="15"/>
      <c r="F303" s="16"/>
      <c r="G303" s="41" t="str">
        <f t="shared" si="1"/>
        <v/>
      </c>
      <c r="H303" s="38">
        <f t="array" ref="H303">IFERROR(INDEX('3. Costeo y Precios'!$K$14:$K$63,MATCH($B303,'3. Costeo y Precios'!$A$14:$A$63,0)),0)</f>
        <v>0</v>
      </c>
      <c r="I303" s="41" t="str">
        <f t="shared" si="2"/>
        <v/>
      </c>
      <c r="J303" s="44"/>
      <c r="K303" s="41" t="str">
        <f t="shared" si="3"/>
        <v/>
      </c>
      <c r="L303" s="43" t="str">
        <f t="shared" si="4"/>
        <v/>
      </c>
      <c r="M303" s="48" t="str">
        <f t="shared" si="5"/>
        <v/>
      </c>
      <c r="N303" s="30"/>
    </row>
    <row r="304" ht="15.75" customHeight="1">
      <c r="A304" s="32"/>
      <c r="B304" s="15"/>
      <c r="C304" s="52" t="str">
        <f t="array" ref="C304">IFERROR(INDEX('3. Costeo y Precios'!$B$14:$B$63,MATCH($B304,'3. Costeo y Precios'!$A$14:$A$63,0)),"")</f>
        <v/>
      </c>
      <c r="D304" s="30"/>
      <c r="E304" s="15"/>
      <c r="F304" s="16"/>
      <c r="G304" s="41" t="str">
        <f t="shared" si="1"/>
        <v/>
      </c>
      <c r="H304" s="38">
        <f t="array" ref="H304">IFERROR(INDEX('3. Costeo y Precios'!$K$14:$K$63,MATCH($B304,'3. Costeo y Precios'!$A$14:$A$63,0)),0)</f>
        <v>0</v>
      </c>
      <c r="I304" s="41" t="str">
        <f t="shared" si="2"/>
        <v/>
      </c>
      <c r="J304" s="44"/>
      <c r="K304" s="41" t="str">
        <f t="shared" si="3"/>
        <v/>
      </c>
      <c r="L304" s="43" t="str">
        <f t="shared" si="4"/>
        <v/>
      </c>
      <c r="M304" s="48" t="str">
        <f t="shared" si="5"/>
        <v/>
      </c>
      <c r="N304" s="30"/>
    </row>
    <row r="305" ht="15.75" customHeight="1">
      <c r="A305" s="32"/>
      <c r="B305" s="15"/>
      <c r="C305" s="52" t="str">
        <f t="array" ref="C305">IFERROR(INDEX('3. Costeo y Precios'!$B$14:$B$63,MATCH($B305,'3. Costeo y Precios'!$A$14:$A$63,0)),"")</f>
        <v/>
      </c>
      <c r="D305" s="30"/>
      <c r="E305" s="15"/>
      <c r="F305" s="16"/>
      <c r="G305" s="41" t="str">
        <f t="shared" si="1"/>
        <v/>
      </c>
      <c r="H305" s="38">
        <f t="array" ref="H305">IFERROR(INDEX('3. Costeo y Precios'!$K$14:$K$63,MATCH($B305,'3. Costeo y Precios'!$A$14:$A$63,0)),0)</f>
        <v>0</v>
      </c>
      <c r="I305" s="41" t="str">
        <f t="shared" si="2"/>
        <v/>
      </c>
      <c r="J305" s="44"/>
      <c r="K305" s="41" t="str">
        <f t="shared" si="3"/>
        <v/>
      </c>
      <c r="L305" s="43" t="str">
        <f t="shared" si="4"/>
        <v/>
      </c>
      <c r="M305" s="48" t="str">
        <f t="shared" si="5"/>
        <v/>
      </c>
      <c r="N305" s="30"/>
    </row>
    <row r="306" ht="15.75" customHeight="1">
      <c r="A306" s="32"/>
      <c r="B306" s="15"/>
      <c r="C306" s="52" t="str">
        <f t="array" ref="C306">IFERROR(INDEX('3. Costeo y Precios'!$B$14:$B$63,MATCH($B306,'3. Costeo y Precios'!$A$14:$A$63,0)),"")</f>
        <v/>
      </c>
      <c r="D306" s="30"/>
      <c r="E306" s="15"/>
      <c r="F306" s="16"/>
      <c r="G306" s="41" t="str">
        <f t="shared" si="1"/>
        <v/>
      </c>
      <c r="H306" s="38">
        <f t="array" ref="H306">IFERROR(INDEX('3. Costeo y Precios'!$K$14:$K$63,MATCH($B306,'3. Costeo y Precios'!$A$14:$A$63,0)),0)</f>
        <v>0</v>
      </c>
      <c r="I306" s="41" t="str">
        <f t="shared" si="2"/>
        <v/>
      </c>
      <c r="J306" s="44"/>
      <c r="K306" s="41" t="str">
        <f t="shared" si="3"/>
        <v/>
      </c>
      <c r="L306" s="43" t="str">
        <f t="shared" si="4"/>
        <v/>
      </c>
      <c r="M306" s="48" t="str">
        <f t="shared" si="5"/>
        <v/>
      </c>
      <c r="N306" s="30"/>
    </row>
    <row r="307" ht="15.75" customHeight="1">
      <c r="A307" s="32"/>
      <c r="B307" s="15"/>
      <c r="C307" s="52" t="str">
        <f t="array" ref="C307">IFERROR(INDEX('3. Costeo y Precios'!$B$14:$B$63,MATCH($B307,'3. Costeo y Precios'!$A$14:$A$63,0)),"")</f>
        <v/>
      </c>
      <c r="D307" s="30"/>
      <c r="E307" s="15"/>
      <c r="F307" s="16"/>
      <c r="G307" s="41" t="str">
        <f t="shared" si="1"/>
        <v/>
      </c>
      <c r="H307" s="38">
        <f t="array" ref="H307">IFERROR(INDEX('3. Costeo y Precios'!$K$14:$K$63,MATCH($B307,'3. Costeo y Precios'!$A$14:$A$63,0)),0)</f>
        <v>0</v>
      </c>
      <c r="I307" s="41" t="str">
        <f t="shared" si="2"/>
        <v/>
      </c>
      <c r="J307" s="44"/>
      <c r="K307" s="41" t="str">
        <f t="shared" si="3"/>
        <v/>
      </c>
      <c r="L307" s="43" t="str">
        <f t="shared" si="4"/>
        <v/>
      </c>
      <c r="M307" s="48" t="str">
        <f t="shared" si="5"/>
        <v/>
      </c>
      <c r="N307" s="30"/>
    </row>
    <row r="308" ht="15.75" customHeight="1">
      <c r="A308" s="32"/>
      <c r="B308" s="15"/>
      <c r="C308" s="52" t="str">
        <f t="array" ref="C308">IFERROR(INDEX('3. Costeo y Precios'!$B$14:$B$63,MATCH($B308,'3. Costeo y Precios'!$A$14:$A$63,0)),"")</f>
        <v/>
      </c>
      <c r="D308" s="30"/>
      <c r="E308" s="15"/>
      <c r="F308" s="16"/>
      <c r="G308" s="41" t="str">
        <f t="shared" si="1"/>
        <v/>
      </c>
      <c r="H308" s="38">
        <f t="array" ref="H308">IFERROR(INDEX('3. Costeo y Precios'!$K$14:$K$63,MATCH($B308,'3. Costeo y Precios'!$A$14:$A$63,0)),0)</f>
        <v>0</v>
      </c>
      <c r="I308" s="41" t="str">
        <f t="shared" si="2"/>
        <v/>
      </c>
      <c r="J308" s="44"/>
      <c r="K308" s="41" t="str">
        <f t="shared" si="3"/>
        <v/>
      </c>
      <c r="L308" s="43" t="str">
        <f t="shared" si="4"/>
        <v/>
      </c>
      <c r="M308" s="48" t="str">
        <f t="shared" si="5"/>
        <v/>
      </c>
      <c r="N308" s="30"/>
    </row>
    <row r="309" ht="15.75" customHeight="1">
      <c r="A309" s="32"/>
      <c r="B309" s="15"/>
      <c r="C309" s="52" t="str">
        <f t="array" ref="C309">IFERROR(INDEX('3. Costeo y Precios'!$B$14:$B$63,MATCH($B309,'3. Costeo y Precios'!$A$14:$A$63,0)),"")</f>
        <v/>
      </c>
      <c r="D309" s="30"/>
      <c r="E309" s="15"/>
      <c r="F309" s="16"/>
      <c r="G309" s="41" t="str">
        <f t="shared" si="1"/>
        <v/>
      </c>
      <c r="H309" s="38">
        <f t="array" ref="H309">IFERROR(INDEX('3. Costeo y Precios'!$K$14:$K$63,MATCH($B309,'3. Costeo y Precios'!$A$14:$A$63,0)),0)</f>
        <v>0</v>
      </c>
      <c r="I309" s="41" t="str">
        <f t="shared" si="2"/>
        <v/>
      </c>
      <c r="J309" s="44"/>
      <c r="K309" s="41" t="str">
        <f t="shared" si="3"/>
        <v/>
      </c>
      <c r="L309" s="43" t="str">
        <f t="shared" si="4"/>
        <v/>
      </c>
      <c r="M309" s="48" t="str">
        <f t="shared" si="5"/>
        <v/>
      </c>
      <c r="N309" s="30"/>
    </row>
    <row r="310" ht="15.75" customHeight="1">
      <c r="A310" s="32"/>
      <c r="B310" s="15"/>
      <c r="C310" s="52" t="str">
        <f t="array" ref="C310">IFERROR(INDEX('3. Costeo y Precios'!$B$14:$B$63,MATCH($B310,'3. Costeo y Precios'!$A$14:$A$63,0)),"")</f>
        <v/>
      </c>
      <c r="D310" s="30"/>
      <c r="E310" s="15"/>
      <c r="F310" s="16"/>
      <c r="G310" s="41" t="str">
        <f t="shared" si="1"/>
        <v/>
      </c>
      <c r="H310" s="38">
        <f t="array" ref="H310">IFERROR(INDEX('3. Costeo y Precios'!$K$14:$K$63,MATCH($B310,'3. Costeo y Precios'!$A$14:$A$63,0)),0)</f>
        <v>0</v>
      </c>
      <c r="I310" s="41" t="str">
        <f t="shared" si="2"/>
        <v/>
      </c>
      <c r="J310" s="44"/>
      <c r="K310" s="41" t="str">
        <f t="shared" si="3"/>
        <v/>
      </c>
      <c r="L310" s="43" t="str">
        <f t="shared" si="4"/>
        <v/>
      </c>
      <c r="M310" s="48" t="str">
        <f t="shared" si="5"/>
        <v/>
      </c>
      <c r="N310" s="30"/>
    </row>
    <row r="311" ht="15.75" customHeight="1">
      <c r="A311" s="32"/>
      <c r="B311" s="15"/>
      <c r="C311" s="52" t="str">
        <f t="array" ref="C311">IFERROR(INDEX('3. Costeo y Precios'!$B$14:$B$63,MATCH($B311,'3. Costeo y Precios'!$A$14:$A$63,0)),"")</f>
        <v/>
      </c>
      <c r="D311" s="30"/>
      <c r="E311" s="15"/>
      <c r="F311" s="16"/>
      <c r="G311" s="41" t="str">
        <f t="shared" si="1"/>
        <v/>
      </c>
      <c r="H311" s="38">
        <f t="array" ref="H311">IFERROR(INDEX('3. Costeo y Precios'!$K$14:$K$63,MATCH($B311,'3. Costeo y Precios'!$A$14:$A$63,0)),0)</f>
        <v>0</v>
      </c>
      <c r="I311" s="41" t="str">
        <f t="shared" si="2"/>
        <v/>
      </c>
      <c r="J311" s="44"/>
      <c r="K311" s="41" t="str">
        <f t="shared" si="3"/>
        <v/>
      </c>
      <c r="L311" s="43" t="str">
        <f t="shared" si="4"/>
        <v/>
      </c>
      <c r="M311" s="48" t="str">
        <f t="shared" si="5"/>
        <v/>
      </c>
      <c r="N311" s="30"/>
    </row>
    <row r="312" ht="15.75" customHeight="1">
      <c r="A312" s="32"/>
      <c r="B312" s="15"/>
      <c r="C312" s="52" t="str">
        <f t="array" ref="C312">IFERROR(INDEX('3. Costeo y Precios'!$B$14:$B$63,MATCH($B312,'3. Costeo y Precios'!$A$14:$A$63,0)),"")</f>
        <v/>
      </c>
      <c r="D312" s="30"/>
      <c r="E312" s="15"/>
      <c r="F312" s="16"/>
      <c r="G312" s="41" t="str">
        <f t="shared" si="1"/>
        <v/>
      </c>
      <c r="H312" s="38">
        <f t="array" ref="H312">IFERROR(INDEX('3. Costeo y Precios'!$K$14:$K$63,MATCH($B312,'3. Costeo y Precios'!$A$14:$A$63,0)),0)</f>
        <v>0</v>
      </c>
      <c r="I312" s="41" t="str">
        <f t="shared" si="2"/>
        <v/>
      </c>
      <c r="J312" s="44"/>
      <c r="K312" s="41" t="str">
        <f t="shared" si="3"/>
        <v/>
      </c>
      <c r="L312" s="43" t="str">
        <f t="shared" si="4"/>
        <v/>
      </c>
      <c r="M312" s="48" t="str">
        <f t="shared" si="5"/>
        <v/>
      </c>
      <c r="N312" s="30"/>
    </row>
    <row r="313" ht="15.75" customHeight="1">
      <c r="A313" s="32"/>
      <c r="B313" s="15"/>
      <c r="C313" s="52" t="str">
        <f t="array" ref="C313">IFERROR(INDEX('3. Costeo y Precios'!$B$14:$B$63,MATCH($B313,'3. Costeo y Precios'!$A$14:$A$63,0)),"")</f>
        <v/>
      </c>
      <c r="D313" s="30"/>
      <c r="E313" s="15"/>
      <c r="F313" s="16"/>
      <c r="G313" s="41" t="str">
        <f t="shared" si="1"/>
        <v/>
      </c>
      <c r="H313" s="38">
        <f t="array" ref="H313">IFERROR(INDEX('3. Costeo y Precios'!$K$14:$K$63,MATCH($B313,'3. Costeo y Precios'!$A$14:$A$63,0)),0)</f>
        <v>0</v>
      </c>
      <c r="I313" s="41" t="str">
        <f t="shared" si="2"/>
        <v/>
      </c>
      <c r="J313" s="44"/>
      <c r="K313" s="41" t="str">
        <f t="shared" si="3"/>
        <v/>
      </c>
      <c r="L313" s="43" t="str">
        <f t="shared" si="4"/>
        <v/>
      </c>
      <c r="M313" s="48" t="str">
        <f t="shared" si="5"/>
        <v/>
      </c>
      <c r="N313" s="30"/>
    </row>
    <row r="314" ht="15.75" customHeight="1">
      <c r="A314" s="32"/>
      <c r="B314" s="15"/>
      <c r="C314" s="52" t="str">
        <f t="array" ref="C314">IFERROR(INDEX('3. Costeo y Precios'!$B$14:$B$63,MATCH($B314,'3. Costeo y Precios'!$A$14:$A$63,0)),"")</f>
        <v/>
      </c>
      <c r="D314" s="30"/>
      <c r="E314" s="15"/>
      <c r="F314" s="16"/>
      <c r="G314" s="41" t="str">
        <f t="shared" si="1"/>
        <v/>
      </c>
      <c r="H314" s="38">
        <f t="array" ref="H314">IFERROR(INDEX('3. Costeo y Precios'!$K$14:$K$63,MATCH($B314,'3. Costeo y Precios'!$A$14:$A$63,0)),0)</f>
        <v>0</v>
      </c>
      <c r="I314" s="41" t="str">
        <f t="shared" si="2"/>
        <v/>
      </c>
      <c r="J314" s="44"/>
      <c r="K314" s="41" t="str">
        <f t="shared" si="3"/>
        <v/>
      </c>
      <c r="L314" s="43" t="str">
        <f t="shared" si="4"/>
        <v/>
      </c>
      <c r="M314" s="48" t="str">
        <f t="shared" si="5"/>
        <v/>
      </c>
      <c r="N314" s="30"/>
    </row>
    <row r="315" ht="15.75" customHeight="1">
      <c r="A315" s="32"/>
      <c r="B315" s="15"/>
      <c r="C315" s="52" t="str">
        <f t="array" ref="C315">IFERROR(INDEX('3. Costeo y Precios'!$B$14:$B$63,MATCH($B315,'3. Costeo y Precios'!$A$14:$A$63,0)),"")</f>
        <v/>
      </c>
      <c r="D315" s="30"/>
      <c r="E315" s="15"/>
      <c r="F315" s="16"/>
      <c r="G315" s="41" t="str">
        <f t="shared" si="1"/>
        <v/>
      </c>
      <c r="H315" s="38">
        <f t="array" ref="H315">IFERROR(INDEX('3. Costeo y Precios'!$K$14:$K$63,MATCH($B315,'3. Costeo y Precios'!$A$14:$A$63,0)),0)</f>
        <v>0</v>
      </c>
      <c r="I315" s="41" t="str">
        <f t="shared" si="2"/>
        <v/>
      </c>
      <c r="J315" s="44"/>
      <c r="K315" s="41" t="str">
        <f t="shared" si="3"/>
        <v/>
      </c>
      <c r="L315" s="43" t="str">
        <f t="shared" si="4"/>
        <v/>
      </c>
      <c r="M315" s="48" t="str">
        <f t="shared" si="5"/>
        <v/>
      </c>
      <c r="N315" s="30"/>
    </row>
    <row r="316" ht="15.75" customHeight="1">
      <c r="A316" s="32"/>
      <c r="B316" s="15"/>
      <c r="C316" s="52" t="str">
        <f t="array" ref="C316">IFERROR(INDEX('3. Costeo y Precios'!$B$14:$B$63,MATCH($B316,'3. Costeo y Precios'!$A$14:$A$63,0)),"")</f>
        <v/>
      </c>
      <c r="D316" s="30"/>
      <c r="E316" s="15"/>
      <c r="F316" s="16"/>
      <c r="G316" s="41" t="str">
        <f t="shared" si="1"/>
        <v/>
      </c>
      <c r="H316" s="38">
        <f t="array" ref="H316">IFERROR(INDEX('3. Costeo y Precios'!$K$14:$K$63,MATCH($B316,'3. Costeo y Precios'!$A$14:$A$63,0)),0)</f>
        <v>0</v>
      </c>
      <c r="I316" s="41" t="str">
        <f t="shared" si="2"/>
        <v/>
      </c>
      <c r="J316" s="44"/>
      <c r="K316" s="41" t="str">
        <f t="shared" si="3"/>
        <v/>
      </c>
      <c r="L316" s="43" t="str">
        <f t="shared" si="4"/>
        <v/>
      </c>
      <c r="M316" s="48" t="str">
        <f t="shared" si="5"/>
        <v/>
      </c>
      <c r="N316" s="30"/>
    </row>
    <row r="317" ht="15.75" customHeight="1">
      <c r="A317" s="32"/>
      <c r="B317" s="15"/>
      <c r="C317" s="52" t="str">
        <f t="array" ref="C317">IFERROR(INDEX('3. Costeo y Precios'!$B$14:$B$63,MATCH($B317,'3. Costeo y Precios'!$A$14:$A$63,0)),"")</f>
        <v/>
      </c>
      <c r="D317" s="30"/>
      <c r="E317" s="15"/>
      <c r="F317" s="16"/>
      <c r="G317" s="41" t="str">
        <f t="shared" si="1"/>
        <v/>
      </c>
      <c r="H317" s="38">
        <f t="array" ref="H317">IFERROR(INDEX('3. Costeo y Precios'!$K$14:$K$63,MATCH($B317,'3. Costeo y Precios'!$A$14:$A$63,0)),0)</f>
        <v>0</v>
      </c>
      <c r="I317" s="41" t="str">
        <f t="shared" si="2"/>
        <v/>
      </c>
      <c r="J317" s="44"/>
      <c r="K317" s="41" t="str">
        <f t="shared" si="3"/>
        <v/>
      </c>
      <c r="L317" s="43" t="str">
        <f t="shared" si="4"/>
        <v/>
      </c>
      <c r="M317" s="48" t="str">
        <f t="shared" si="5"/>
        <v/>
      </c>
      <c r="N317" s="30"/>
    </row>
    <row r="318" ht="15.75" customHeight="1">
      <c r="A318" s="32"/>
      <c r="B318" s="15"/>
      <c r="C318" s="52" t="str">
        <f t="array" ref="C318">IFERROR(INDEX('3. Costeo y Precios'!$B$14:$B$63,MATCH($B318,'3. Costeo y Precios'!$A$14:$A$63,0)),"")</f>
        <v/>
      </c>
      <c r="D318" s="30"/>
      <c r="E318" s="15"/>
      <c r="F318" s="16"/>
      <c r="G318" s="41" t="str">
        <f t="shared" si="1"/>
        <v/>
      </c>
      <c r="H318" s="38">
        <f t="array" ref="H318">IFERROR(INDEX('3. Costeo y Precios'!$K$14:$K$63,MATCH($B318,'3. Costeo y Precios'!$A$14:$A$63,0)),0)</f>
        <v>0</v>
      </c>
      <c r="I318" s="41" t="str">
        <f t="shared" si="2"/>
        <v/>
      </c>
      <c r="J318" s="44"/>
      <c r="K318" s="41" t="str">
        <f t="shared" si="3"/>
        <v/>
      </c>
      <c r="L318" s="43" t="str">
        <f t="shared" si="4"/>
        <v/>
      </c>
      <c r="M318" s="48" t="str">
        <f t="shared" si="5"/>
        <v/>
      </c>
      <c r="N318" s="30"/>
    </row>
    <row r="319" ht="15.75" customHeight="1">
      <c r="A319" s="32"/>
      <c r="B319" s="15"/>
      <c r="C319" s="52" t="str">
        <f t="array" ref="C319">IFERROR(INDEX('3. Costeo y Precios'!$B$14:$B$63,MATCH($B319,'3. Costeo y Precios'!$A$14:$A$63,0)),"")</f>
        <v/>
      </c>
      <c r="D319" s="30"/>
      <c r="E319" s="15"/>
      <c r="F319" s="16"/>
      <c r="G319" s="41" t="str">
        <f t="shared" si="1"/>
        <v/>
      </c>
      <c r="H319" s="38">
        <f t="array" ref="H319">IFERROR(INDEX('3. Costeo y Precios'!$K$14:$K$63,MATCH($B319,'3. Costeo y Precios'!$A$14:$A$63,0)),0)</f>
        <v>0</v>
      </c>
      <c r="I319" s="41" t="str">
        <f t="shared" si="2"/>
        <v/>
      </c>
      <c r="J319" s="44"/>
      <c r="K319" s="41" t="str">
        <f t="shared" si="3"/>
        <v/>
      </c>
      <c r="L319" s="43" t="str">
        <f t="shared" si="4"/>
        <v/>
      </c>
      <c r="M319" s="48" t="str">
        <f t="shared" si="5"/>
        <v/>
      </c>
      <c r="N319" s="30"/>
    </row>
    <row r="320" ht="15.75" customHeight="1">
      <c r="A320" s="32"/>
      <c r="B320" s="15"/>
      <c r="C320" s="52" t="str">
        <f t="array" ref="C320">IFERROR(INDEX('3. Costeo y Precios'!$B$14:$B$63,MATCH($B320,'3. Costeo y Precios'!$A$14:$A$63,0)),"")</f>
        <v/>
      </c>
      <c r="D320" s="30"/>
      <c r="E320" s="15"/>
      <c r="F320" s="16"/>
      <c r="G320" s="41" t="str">
        <f t="shared" si="1"/>
        <v/>
      </c>
      <c r="H320" s="38">
        <f t="array" ref="H320">IFERROR(INDEX('3. Costeo y Precios'!$K$14:$K$63,MATCH($B320,'3. Costeo y Precios'!$A$14:$A$63,0)),0)</f>
        <v>0</v>
      </c>
      <c r="I320" s="41" t="str">
        <f t="shared" si="2"/>
        <v/>
      </c>
      <c r="J320" s="44"/>
      <c r="K320" s="41" t="str">
        <f t="shared" si="3"/>
        <v/>
      </c>
      <c r="L320" s="43" t="str">
        <f t="shared" si="4"/>
        <v/>
      </c>
      <c r="M320" s="48" t="str">
        <f t="shared" si="5"/>
        <v/>
      </c>
      <c r="N320" s="30"/>
    </row>
    <row r="321" ht="15.75" customHeight="1">
      <c r="A321" s="32"/>
      <c r="B321" s="15"/>
      <c r="C321" s="52" t="str">
        <f t="array" ref="C321">IFERROR(INDEX('3. Costeo y Precios'!$B$14:$B$63,MATCH($B321,'3. Costeo y Precios'!$A$14:$A$63,0)),"")</f>
        <v/>
      </c>
      <c r="D321" s="30"/>
      <c r="E321" s="15"/>
      <c r="F321" s="16"/>
      <c r="G321" s="41" t="str">
        <f t="shared" si="1"/>
        <v/>
      </c>
      <c r="H321" s="38">
        <f t="array" ref="H321">IFERROR(INDEX('3. Costeo y Precios'!$K$14:$K$63,MATCH($B321,'3. Costeo y Precios'!$A$14:$A$63,0)),0)</f>
        <v>0</v>
      </c>
      <c r="I321" s="41" t="str">
        <f t="shared" si="2"/>
        <v/>
      </c>
      <c r="J321" s="44"/>
      <c r="K321" s="41" t="str">
        <f t="shared" si="3"/>
        <v/>
      </c>
      <c r="L321" s="43" t="str">
        <f t="shared" si="4"/>
        <v/>
      </c>
      <c r="M321" s="48" t="str">
        <f t="shared" si="5"/>
        <v/>
      </c>
      <c r="N321" s="30"/>
    </row>
    <row r="322" ht="15.75" customHeight="1">
      <c r="A322" s="32"/>
      <c r="B322" s="15"/>
      <c r="C322" s="52" t="str">
        <f t="array" ref="C322">IFERROR(INDEX('3. Costeo y Precios'!$B$14:$B$63,MATCH($B322,'3. Costeo y Precios'!$A$14:$A$63,0)),"")</f>
        <v/>
      </c>
      <c r="D322" s="30"/>
      <c r="E322" s="15"/>
      <c r="F322" s="16"/>
      <c r="G322" s="41" t="str">
        <f t="shared" si="1"/>
        <v/>
      </c>
      <c r="H322" s="38">
        <f t="array" ref="H322">IFERROR(INDEX('3. Costeo y Precios'!$K$14:$K$63,MATCH($B322,'3. Costeo y Precios'!$A$14:$A$63,0)),0)</f>
        <v>0</v>
      </c>
      <c r="I322" s="41" t="str">
        <f t="shared" si="2"/>
        <v/>
      </c>
      <c r="J322" s="44"/>
      <c r="K322" s="41" t="str">
        <f t="shared" si="3"/>
        <v/>
      </c>
      <c r="L322" s="43" t="str">
        <f t="shared" si="4"/>
        <v/>
      </c>
      <c r="M322" s="48" t="str">
        <f t="shared" si="5"/>
        <v/>
      </c>
      <c r="N322" s="30"/>
    </row>
    <row r="323" ht="15.75" customHeight="1">
      <c r="A323" s="32"/>
      <c r="B323" s="15"/>
      <c r="C323" s="52" t="str">
        <f t="array" ref="C323">IFERROR(INDEX('3. Costeo y Precios'!$B$14:$B$63,MATCH($B323,'3. Costeo y Precios'!$A$14:$A$63,0)),"")</f>
        <v/>
      </c>
      <c r="D323" s="30"/>
      <c r="E323" s="15"/>
      <c r="F323" s="16"/>
      <c r="G323" s="41" t="str">
        <f t="shared" si="1"/>
        <v/>
      </c>
      <c r="H323" s="38">
        <f t="array" ref="H323">IFERROR(INDEX('3. Costeo y Precios'!$K$14:$K$63,MATCH($B323,'3. Costeo y Precios'!$A$14:$A$63,0)),0)</f>
        <v>0</v>
      </c>
      <c r="I323" s="41" t="str">
        <f t="shared" si="2"/>
        <v/>
      </c>
      <c r="J323" s="44"/>
      <c r="K323" s="41" t="str">
        <f t="shared" si="3"/>
        <v/>
      </c>
      <c r="L323" s="43" t="str">
        <f t="shared" si="4"/>
        <v/>
      </c>
      <c r="M323" s="48" t="str">
        <f t="shared" si="5"/>
        <v/>
      </c>
      <c r="N323" s="30"/>
    </row>
    <row r="324" ht="15.75" customHeight="1">
      <c r="A324" s="32"/>
      <c r="B324" s="15"/>
      <c r="C324" s="52" t="str">
        <f t="array" ref="C324">IFERROR(INDEX('3. Costeo y Precios'!$B$14:$B$63,MATCH($B324,'3. Costeo y Precios'!$A$14:$A$63,0)),"")</f>
        <v/>
      </c>
      <c r="D324" s="30"/>
      <c r="E324" s="15"/>
      <c r="F324" s="16"/>
      <c r="G324" s="41" t="str">
        <f t="shared" si="1"/>
        <v/>
      </c>
      <c r="H324" s="38">
        <f t="array" ref="H324">IFERROR(INDEX('3. Costeo y Precios'!$K$14:$K$63,MATCH($B324,'3. Costeo y Precios'!$A$14:$A$63,0)),0)</f>
        <v>0</v>
      </c>
      <c r="I324" s="41" t="str">
        <f t="shared" si="2"/>
        <v/>
      </c>
      <c r="J324" s="44"/>
      <c r="K324" s="41" t="str">
        <f t="shared" si="3"/>
        <v/>
      </c>
      <c r="L324" s="43" t="str">
        <f t="shared" si="4"/>
        <v/>
      </c>
      <c r="M324" s="48" t="str">
        <f t="shared" si="5"/>
        <v/>
      </c>
      <c r="N324" s="30"/>
    </row>
    <row r="325" ht="15.75" customHeight="1">
      <c r="A325" s="32"/>
      <c r="B325" s="15"/>
      <c r="C325" s="52" t="str">
        <f t="array" ref="C325">IFERROR(INDEX('3. Costeo y Precios'!$B$14:$B$63,MATCH($B325,'3. Costeo y Precios'!$A$14:$A$63,0)),"")</f>
        <v/>
      </c>
      <c r="D325" s="30"/>
      <c r="E325" s="15"/>
      <c r="F325" s="16"/>
      <c r="G325" s="41" t="str">
        <f t="shared" si="1"/>
        <v/>
      </c>
      <c r="H325" s="38">
        <f t="array" ref="H325">IFERROR(INDEX('3. Costeo y Precios'!$K$14:$K$63,MATCH($B325,'3. Costeo y Precios'!$A$14:$A$63,0)),0)</f>
        <v>0</v>
      </c>
      <c r="I325" s="41" t="str">
        <f t="shared" si="2"/>
        <v/>
      </c>
      <c r="J325" s="44"/>
      <c r="K325" s="41" t="str">
        <f t="shared" si="3"/>
        <v/>
      </c>
      <c r="L325" s="43" t="str">
        <f t="shared" si="4"/>
        <v/>
      </c>
      <c r="M325" s="48" t="str">
        <f t="shared" si="5"/>
        <v/>
      </c>
      <c r="N325" s="30"/>
    </row>
    <row r="326" ht="15.75" customHeight="1">
      <c r="A326" s="32"/>
      <c r="B326" s="15"/>
      <c r="C326" s="52" t="str">
        <f t="array" ref="C326">IFERROR(INDEX('3. Costeo y Precios'!$B$14:$B$63,MATCH($B326,'3. Costeo y Precios'!$A$14:$A$63,0)),"")</f>
        <v/>
      </c>
      <c r="D326" s="30"/>
      <c r="E326" s="15"/>
      <c r="F326" s="16"/>
      <c r="G326" s="41" t="str">
        <f t="shared" si="1"/>
        <v/>
      </c>
      <c r="H326" s="38">
        <f t="array" ref="H326">IFERROR(INDEX('3. Costeo y Precios'!$K$14:$K$63,MATCH($B326,'3. Costeo y Precios'!$A$14:$A$63,0)),0)</f>
        <v>0</v>
      </c>
      <c r="I326" s="41" t="str">
        <f t="shared" si="2"/>
        <v/>
      </c>
      <c r="J326" s="44"/>
      <c r="K326" s="41" t="str">
        <f t="shared" si="3"/>
        <v/>
      </c>
      <c r="L326" s="43" t="str">
        <f t="shared" si="4"/>
        <v/>
      </c>
      <c r="M326" s="48" t="str">
        <f t="shared" si="5"/>
        <v/>
      </c>
      <c r="N326" s="30"/>
    </row>
    <row r="327" ht="15.75" customHeight="1">
      <c r="A327" s="32"/>
      <c r="B327" s="15"/>
      <c r="C327" s="52" t="str">
        <f t="array" ref="C327">IFERROR(INDEX('3. Costeo y Precios'!$B$14:$B$63,MATCH($B327,'3. Costeo y Precios'!$A$14:$A$63,0)),"")</f>
        <v/>
      </c>
      <c r="D327" s="30"/>
      <c r="E327" s="15"/>
      <c r="F327" s="16"/>
      <c r="G327" s="41" t="str">
        <f t="shared" si="1"/>
        <v/>
      </c>
      <c r="H327" s="38">
        <f t="array" ref="H327">IFERROR(INDEX('3. Costeo y Precios'!$K$14:$K$63,MATCH($B327,'3. Costeo y Precios'!$A$14:$A$63,0)),0)</f>
        <v>0</v>
      </c>
      <c r="I327" s="41" t="str">
        <f t="shared" si="2"/>
        <v/>
      </c>
      <c r="J327" s="44"/>
      <c r="K327" s="41" t="str">
        <f t="shared" si="3"/>
        <v/>
      </c>
      <c r="L327" s="43" t="str">
        <f t="shared" si="4"/>
        <v/>
      </c>
      <c r="M327" s="48" t="str">
        <f t="shared" si="5"/>
        <v/>
      </c>
      <c r="N327" s="30"/>
    </row>
    <row r="328" ht="15.75" customHeight="1">
      <c r="A328" s="32"/>
      <c r="B328" s="15"/>
      <c r="C328" s="52" t="str">
        <f t="array" ref="C328">IFERROR(INDEX('3. Costeo y Precios'!$B$14:$B$63,MATCH($B328,'3. Costeo y Precios'!$A$14:$A$63,0)),"")</f>
        <v/>
      </c>
      <c r="D328" s="30"/>
      <c r="E328" s="15"/>
      <c r="F328" s="16"/>
      <c r="G328" s="41" t="str">
        <f t="shared" si="1"/>
        <v/>
      </c>
      <c r="H328" s="38">
        <f t="array" ref="H328">IFERROR(INDEX('3. Costeo y Precios'!$K$14:$K$63,MATCH($B328,'3. Costeo y Precios'!$A$14:$A$63,0)),0)</f>
        <v>0</v>
      </c>
      <c r="I328" s="41" t="str">
        <f t="shared" si="2"/>
        <v/>
      </c>
      <c r="J328" s="44"/>
      <c r="K328" s="41" t="str">
        <f t="shared" si="3"/>
        <v/>
      </c>
      <c r="L328" s="43" t="str">
        <f t="shared" si="4"/>
        <v/>
      </c>
      <c r="M328" s="48" t="str">
        <f t="shared" si="5"/>
        <v/>
      </c>
      <c r="N328" s="30"/>
    </row>
    <row r="329" ht="15.75" customHeight="1">
      <c r="A329" s="32"/>
      <c r="B329" s="15"/>
      <c r="C329" s="52" t="str">
        <f t="array" ref="C329">IFERROR(INDEX('3. Costeo y Precios'!$B$14:$B$63,MATCH($B329,'3. Costeo y Precios'!$A$14:$A$63,0)),"")</f>
        <v/>
      </c>
      <c r="D329" s="30"/>
      <c r="E329" s="15"/>
      <c r="F329" s="16"/>
      <c r="G329" s="41" t="str">
        <f t="shared" si="1"/>
        <v/>
      </c>
      <c r="H329" s="38">
        <f t="array" ref="H329">IFERROR(INDEX('3. Costeo y Precios'!$K$14:$K$63,MATCH($B329,'3. Costeo y Precios'!$A$14:$A$63,0)),0)</f>
        <v>0</v>
      </c>
      <c r="I329" s="41" t="str">
        <f t="shared" si="2"/>
        <v/>
      </c>
      <c r="J329" s="44"/>
      <c r="K329" s="41" t="str">
        <f t="shared" si="3"/>
        <v/>
      </c>
      <c r="L329" s="43" t="str">
        <f t="shared" si="4"/>
        <v/>
      </c>
      <c r="M329" s="48" t="str">
        <f t="shared" si="5"/>
        <v/>
      </c>
      <c r="N329" s="30"/>
    </row>
    <row r="330" ht="15.75" customHeight="1">
      <c r="A330" s="32"/>
      <c r="B330" s="15"/>
      <c r="C330" s="52" t="str">
        <f t="array" ref="C330">IFERROR(INDEX('3. Costeo y Precios'!$B$14:$B$63,MATCH($B330,'3. Costeo y Precios'!$A$14:$A$63,0)),"")</f>
        <v/>
      </c>
      <c r="D330" s="30"/>
      <c r="E330" s="15"/>
      <c r="F330" s="16"/>
      <c r="G330" s="41" t="str">
        <f t="shared" si="1"/>
        <v/>
      </c>
      <c r="H330" s="38">
        <f t="array" ref="H330">IFERROR(INDEX('3. Costeo y Precios'!$K$14:$K$63,MATCH($B330,'3. Costeo y Precios'!$A$14:$A$63,0)),0)</f>
        <v>0</v>
      </c>
      <c r="I330" s="41" t="str">
        <f t="shared" si="2"/>
        <v/>
      </c>
      <c r="J330" s="44"/>
      <c r="K330" s="41" t="str">
        <f t="shared" si="3"/>
        <v/>
      </c>
      <c r="L330" s="43" t="str">
        <f t="shared" si="4"/>
        <v/>
      </c>
      <c r="M330" s="48" t="str">
        <f t="shared" si="5"/>
        <v/>
      </c>
      <c r="N330" s="30"/>
    </row>
    <row r="331" ht="15.75" customHeight="1">
      <c r="A331" s="32"/>
      <c r="B331" s="15"/>
      <c r="C331" s="52" t="str">
        <f t="array" ref="C331">IFERROR(INDEX('3. Costeo y Precios'!$B$14:$B$63,MATCH($B331,'3. Costeo y Precios'!$A$14:$A$63,0)),"")</f>
        <v/>
      </c>
      <c r="D331" s="30"/>
      <c r="E331" s="15"/>
      <c r="F331" s="16"/>
      <c r="G331" s="41" t="str">
        <f t="shared" si="1"/>
        <v/>
      </c>
      <c r="H331" s="38">
        <f t="array" ref="H331">IFERROR(INDEX('3. Costeo y Precios'!$K$14:$K$63,MATCH($B331,'3. Costeo y Precios'!$A$14:$A$63,0)),0)</f>
        <v>0</v>
      </c>
      <c r="I331" s="41" t="str">
        <f t="shared" si="2"/>
        <v/>
      </c>
      <c r="J331" s="44"/>
      <c r="K331" s="41" t="str">
        <f t="shared" si="3"/>
        <v/>
      </c>
      <c r="L331" s="43" t="str">
        <f t="shared" si="4"/>
        <v/>
      </c>
      <c r="M331" s="48" t="str">
        <f t="shared" si="5"/>
        <v/>
      </c>
      <c r="N331" s="30"/>
    </row>
    <row r="332" ht="15.75" customHeight="1">
      <c r="A332" s="32"/>
      <c r="B332" s="15"/>
      <c r="C332" s="52" t="str">
        <f t="array" ref="C332">IFERROR(INDEX('3. Costeo y Precios'!$B$14:$B$63,MATCH($B332,'3. Costeo y Precios'!$A$14:$A$63,0)),"")</f>
        <v/>
      </c>
      <c r="D332" s="30"/>
      <c r="E332" s="15"/>
      <c r="F332" s="16"/>
      <c r="G332" s="41" t="str">
        <f t="shared" si="1"/>
        <v/>
      </c>
      <c r="H332" s="38">
        <f t="array" ref="H332">IFERROR(INDEX('3. Costeo y Precios'!$K$14:$K$63,MATCH($B332,'3. Costeo y Precios'!$A$14:$A$63,0)),0)</f>
        <v>0</v>
      </c>
      <c r="I332" s="41" t="str">
        <f t="shared" si="2"/>
        <v/>
      </c>
      <c r="J332" s="44"/>
      <c r="K332" s="41" t="str">
        <f t="shared" si="3"/>
        <v/>
      </c>
      <c r="L332" s="43" t="str">
        <f t="shared" si="4"/>
        <v/>
      </c>
      <c r="M332" s="48" t="str">
        <f t="shared" si="5"/>
        <v/>
      </c>
      <c r="N332" s="30"/>
    </row>
    <row r="333" ht="15.75" customHeight="1">
      <c r="A333" s="32"/>
      <c r="B333" s="15"/>
      <c r="C333" s="52" t="str">
        <f t="array" ref="C333">IFERROR(INDEX('3. Costeo y Precios'!$B$14:$B$63,MATCH($B333,'3. Costeo y Precios'!$A$14:$A$63,0)),"")</f>
        <v/>
      </c>
      <c r="D333" s="30"/>
      <c r="E333" s="15"/>
      <c r="F333" s="16"/>
      <c r="G333" s="41" t="str">
        <f t="shared" si="1"/>
        <v/>
      </c>
      <c r="H333" s="38">
        <f t="array" ref="H333">IFERROR(INDEX('3. Costeo y Precios'!$K$14:$K$63,MATCH($B333,'3. Costeo y Precios'!$A$14:$A$63,0)),0)</f>
        <v>0</v>
      </c>
      <c r="I333" s="41" t="str">
        <f t="shared" si="2"/>
        <v/>
      </c>
      <c r="J333" s="44"/>
      <c r="K333" s="41" t="str">
        <f t="shared" si="3"/>
        <v/>
      </c>
      <c r="L333" s="43" t="str">
        <f t="shared" si="4"/>
        <v/>
      </c>
      <c r="M333" s="48" t="str">
        <f t="shared" si="5"/>
        <v/>
      </c>
      <c r="N333" s="30"/>
    </row>
    <row r="334" ht="15.75" customHeight="1">
      <c r="A334" s="32"/>
      <c r="B334" s="15"/>
      <c r="C334" s="52" t="str">
        <f t="array" ref="C334">IFERROR(INDEX('3. Costeo y Precios'!$B$14:$B$63,MATCH($B334,'3. Costeo y Precios'!$A$14:$A$63,0)),"")</f>
        <v/>
      </c>
      <c r="D334" s="30"/>
      <c r="E334" s="15"/>
      <c r="F334" s="16"/>
      <c r="G334" s="41" t="str">
        <f t="shared" si="1"/>
        <v/>
      </c>
      <c r="H334" s="38">
        <f t="array" ref="H334">IFERROR(INDEX('3. Costeo y Precios'!$K$14:$K$63,MATCH($B334,'3. Costeo y Precios'!$A$14:$A$63,0)),0)</f>
        <v>0</v>
      </c>
      <c r="I334" s="41" t="str">
        <f t="shared" si="2"/>
        <v/>
      </c>
      <c r="J334" s="44"/>
      <c r="K334" s="41" t="str">
        <f t="shared" si="3"/>
        <v/>
      </c>
      <c r="L334" s="43" t="str">
        <f t="shared" si="4"/>
        <v/>
      </c>
      <c r="M334" s="48" t="str">
        <f t="shared" si="5"/>
        <v/>
      </c>
      <c r="N334" s="30"/>
    </row>
    <row r="335" ht="15.75" customHeight="1">
      <c r="A335" s="32"/>
      <c r="B335" s="15"/>
      <c r="C335" s="52" t="str">
        <f t="array" ref="C335">IFERROR(INDEX('3. Costeo y Precios'!$B$14:$B$63,MATCH($B335,'3. Costeo y Precios'!$A$14:$A$63,0)),"")</f>
        <v/>
      </c>
      <c r="D335" s="30"/>
      <c r="E335" s="15"/>
      <c r="F335" s="16"/>
      <c r="G335" s="41" t="str">
        <f t="shared" si="1"/>
        <v/>
      </c>
      <c r="H335" s="38">
        <f t="array" ref="H335">IFERROR(INDEX('3. Costeo y Precios'!$K$14:$K$63,MATCH($B335,'3. Costeo y Precios'!$A$14:$A$63,0)),0)</f>
        <v>0</v>
      </c>
      <c r="I335" s="41" t="str">
        <f t="shared" si="2"/>
        <v/>
      </c>
      <c r="J335" s="44"/>
      <c r="K335" s="41" t="str">
        <f t="shared" si="3"/>
        <v/>
      </c>
      <c r="L335" s="43" t="str">
        <f t="shared" si="4"/>
        <v/>
      </c>
      <c r="M335" s="48" t="str">
        <f t="shared" si="5"/>
        <v/>
      </c>
      <c r="N335" s="30"/>
    </row>
    <row r="336" ht="15.75" customHeight="1">
      <c r="A336" s="32"/>
      <c r="B336" s="15"/>
      <c r="C336" s="52" t="str">
        <f t="array" ref="C336">IFERROR(INDEX('3. Costeo y Precios'!$B$14:$B$63,MATCH($B336,'3. Costeo y Precios'!$A$14:$A$63,0)),"")</f>
        <v/>
      </c>
      <c r="D336" s="30"/>
      <c r="E336" s="15"/>
      <c r="F336" s="16"/>
      <c r="G336" s="41" t="str">
        <f t="shared" si="1"/>
        <v/>
      </c>
      <c r="H336" s="38">
        <f t="array" ref="H336">IFERROR(INDEX('3. Costeo y Precios'!$K$14:$K$63,MATCH($B336,'3. Costeo y Precios'!$A$14:$A$63,0)),0)</f>
        <v>0</v>
      </c>
      <c r="I336" s="41" t="str">
        <f t="shared" si="2"/>
        <v/>
      </c>
      <c r="J336" s="44"/>
      <c r="K336" s="41" t="str">
        <f t="shared" si="3"/>
        <v/>
      </c>
      <c r="L336" s="43" t="str">
        <f t="shared" si="4"/>
        <v/>
      </c>
      <c r="M336" s="48" t="str">
        <f t="shared" si="5"/>
        <v/>
      </c>
      <c r="N336" s="30"/>
    </row>
    <row r="337" ht="15.75" customHeight="1">
      <c r="A337" s="32"/>
      <c r="B337" s="15"/>
      <c r="C337" s="52" t="str">
        <f t="array" ref="C337">IFERROR(INDEX('3. Costeo y Precios'!$B$14:$B$63,MATCH($B337,'3. Costeo y Precios'!$A$14:$A$63,0)),"")</f>
        <v/>
      </c>
      <c r="D337" s="30"/>
      <c r="E337" s="15"/>
      <c r="F337" s="16"/>
      <c r="G337" s="41" t="str">
        <f t="shared" si="1"/>
        <v/>
      </c>
      <c r="H337" s="38">
        <f t="array" ref="H337">IFERROR(INDEX('3. Costeo y Precios'!$K$14:$K$63,MATCH($B337,'3. Costeo y Precios'!$A$14:$A$63,0)),0)</f>
        <v>0</v>
      </c>
      <c r="I337" s="41" t="str">
        <f t="shared" si="2"/>
        <v/>
      </c>
      <c r="J337" s="44"/>
      <c r="K337" s="41" t="str">
        <f t="shared" si="3"/>
        <v/>
      </c>
      <c r="L337" s="43" t="str">
        <f t="shared" si="4"/>
        <v/>
      </c>
      <c r="M337" s="48" t="str">
        <f t="shared" si="5"/>
        <v/>
      </c>
      <c r="N337" s="30"/>
    </row>
    <row r="338" ht="15.75" customHeight="1">
      <c r="A338" s="32"/>
      <c r="B338" s="15"/>
      <c r="C338" s="52" t="str">
        <f t="array" ref="C338">IFERROR(INDEX('3. Costeo y Precios'!$B$14:$B$63,MATCH($B338,'3. Costeo y Precios'!$A$14:$A$63,0)),"")</f>
        <v/>
      </c>
      <c r="D338" s="30"/>
      <c r="E338" s="15"/>
      <c r="F338" s="16"/>
      <c r="G338" s="41" t="str">
        <f t="shared" si="1"/>
        <v/>
      </c>
      <c r="H338" s="38">
        <f t="array" ref="H338">IFERROR(INDEX('3. Costeo y Precios'!$K$14:$K$63,MATCH($B338,'3. Costeo y Precios'!$A$14:$A$63,0)),0)</f>
        <v>0</v>
      </c>
      <c r="I338" s="41" t="str">
        <f t="shared" si="2"/>
        <v/>
      </c>
      <c r="J338" s="44"/>
      <c r="K338" s="41" t="str">
        <f t="shared" si="3"/>
        <v/>
      </c>
      <c r="L338" s="43" t="str">
        <f t="shared" si="4"/>
        <v/>
      </c>
      <c r="M338" s="48" t="str">
        <f t="shared" si="5"/>
        <v/>
      </c>
      <c r="N338" s="30"/>
    </row>
    <row r="339" ht="15.75" customHeight="1">
      <c r="A339" s="32"/>
      <c r="B339" s="15"/>
      <c r="C339" s="52" t="str">
        <f t="array" ref="C339">IFERROR(INDEX('3. Costeo y Precios'!$B$14:$B$63,MATCH($B339,'3. Costeo y Precios'!$A$14:$A$63,0)),"")</f>
        <v/>
      </c>
      <c r="D339" s="30"/>
      <c r="E339" s="15"/>
      <c r="F339" s="16"/>
      <c r="G339" s="41" t="str">
        <f t="shared" si="1"/>
        <v/>
      </c>
      <c r="H339" s="38">
        <f t="array" ref="H339">IFERROR(INDEX('3. Costeo y Precios'!$K$14:$K$63,MATCH($B339,'3. Costeo y Precios'!$A$14:$A$63,0)),0)</f>
        <v>0</v>
      </c>
      <c r="I339" s="41" t="str">
        <f t="shared" si="2"/>
        <v/>
      </c>
      <c r="J339" s="44"/>
      <c r="K339" s="41" t="str">
        <f t="shared" si="3"/>
        <v/>
      </c>
      <c r="L339" s="43" t="str">
        <f t="shared" si="4"/>
        <v/>
      </c>
      <c r="M339" s="48" t="str">
        <f t="shared" si="5"/>
        <v/>
      </c>
      <c r="N339" s="30"/>
    </row>
    <row r="340" ht="15.75" customHeight="1">
      <c r="A340" s="32"/>
      <c r="B340" s="15"/>
      <c r="C340" s="52" t="str">
        <f t="array" ref="C340">IFERROR(INDEX('3. Costeo y Precios'!$B$14:$B$63,MATCH($B340,'3. Costeo y Precios'!$A$14:$A$63,0)),"")</f>
        <v/>
      </c>
      <c r="D340" s="30"/>
      <c r="E340" s="15"/>
      <c r="F340" s="16"/>
      <c r="G340" s="41" t="str">
        <f t="shared" si="1"/>
        <v/>
      </c>
      <c r="H340" s="38">
        <f t="array" ref="H340">IFERROR(INDEX('3. Costeo y Precios'!$K$14:$K$63,MATCH($B340,'3. Costeo y Precios'!$A$14:$A$63,0)),0)</f>
        <v>0</v>
      </c>
      <c r="I340" s="41" t="str">
        <f t="shared" si="2"/>
        <v/>
      </c>
      <c r="J340" s="44"/>
      <c r="K340" s="41" t="str">
        <f t="shared" si="3"/>
        <v/>
      </c>
      <c r="L340" s="43" t="str">
        <f t="shared" si="4"/>
        <v/>
      </c>
      <c r="M340" s="48" t="str">
        <f t="shared" si="5"/>
        <v/>
      </c>
      <c r="N340" s="30"/>
    </row>
    <row r="341" ht="15.75" customHeight="1">
      <c r="A341" s="32"/>
      <c r="B341" s="15"/>
      <c r="C341" s="52" t="str">
        <f t="array" ref="C341">IFERROR(INDEX('3. Costeo y Precios'!$B$14:$B$63,MATCH($B341,'3. Costeo y Precios'!$A$14:$A$63,0)),"")</f>
        <v/>
      </c>
      <c r="D341" s="30"/>
      <c r="E341" s="15"/>
      <c r="F341" s="16"/>
      <c r="G341" s="41" t="str">
        <f t="shared" si="1"/>
        <v/>
      </c>
      <c r="H341" s="38">
        <f t="array" ref="H341">IFERROR(INDEX('3. Costeo y Precios'!$K$14:$K$63,MATCH($B341,'3. Costeo y Precios'!$A$14:$A$63,0)),0)</f>
        <v>0</v>
      </c>
      <c r="I341" s="41" t="str">
        <f t="shared" si="2"/>
        <v/>
      </c>
      <c r="J341" s="44"/>
      <c r="K341" s="41" t="str">
        <f t="shared" si="3"/>
        <v/>
      </c>
      <c r="L341" s="43" t="str">
        <f t="shared" si="4"/>
        <v/>
      </c>
      <c r="M341" s="48" t="str">
        <f t="shared" si="5"/>
        <v/>
      </c>
      <c r="N341" s="30"/>
    </row>
    <row r="342" ht="15.75" customHeight="1">
      <c r="A342" s="32"/>
      <c r="B342" s="15"/>
      <c r="C342" s="52" t="str">
        <f t="array" ref="C342">IFERROR(INDEX('3. Costeo y Precios'!$B$14:$B$63,MATCH($B342,'3. Costeo y Precios'!$A$14:$A$63,0)),"")</f>
        <v/>
      </c>
      <c r="D342" s="30"/>
      <c r="E342" s="15"/>
      <c r="F342" s="16"/>
      <c r="G342" s="41" t="str">
        <f t="shared" si="1"/>
        <v/>
      </c>
      <c r="H342" s="38">
        <f t="array" ref="H342">IFERROR(INDEX('3. Costeo y Precios'!$K$14:$K$63,MATCH($B342,'3. Costeo y Precios'!$A$14:$A$63,0)),0)</f>
        <v>0</v>
      </c>
      <c r="I342" s="41" t="str">
        <f t="shared" si="2"/>
        <v/>
      </c>
      <c r="J342" s="44"/>
      <c r="K342" s="41" t="str">
        <f t="shared" si="3"/>
        <v/>
      </c>
      <c r="L342" s="43" t="str">
        <f t="shared" si="4"/>
        <v/>
      </c>
      <c r="M342" s="48" t="str">
        <f t="shared" si="5"/>
        <v/>
      </c>
      <c r="N342" s="30"/>
    </row>
    <row r="343" ht="15.75" customHeight="1">
      <c r="A343" s="32"/>
      <c r="B343" s="15"/>
      <c r="C343" s="52" t="str">
        <f t="array" ref="C343">IFERROR(INDEX('3. Costeo y Precios'!$B$14:$B$63,MATCH($B343,'3. Costeo y Precios'!$A$14:$A$63,0)),"")</f>
        <v/>
      </c>
      <c r="D343" s="30"/>
      <c r="E343" s="15"/>
      <c r="F343" s="16"/>
      <c r="G343" s="41" t="str">
        <f t="shared" si="1"/>
        <v/>
      </c>
      <c r="H343" s="38">
        <f t="array" ref="H343">IFERROR(INDEX('3. Costeo y Precios'!$K$14:$K$63,MATCH($B343,'3. Costeo y Precios'!$A$14:$A$63,0)),0)</f>
        <v>0</v>
      </c>
      <c r="I343" s="41" t="str">
        <f t="shared" si="2"/>
        <v/>
      </c>
      <c r="J343" s="44"/>
      <c r="K343" s="41" t="str">
        <f t="shared" si="3"/>
        <v/>
      </c>
      <c r="L343" s="43" t="str">
        <f t="shared" si="4"/>
        <v/>
      </c>
      <c r="M343" s="48" t="str">
        <f t="shared" si="5"/>
        <v/>
      </c>
      <c r="N343" s="30"/>
    </row>
    <row r="344" ht="15.75" customHeight="1">
      <c r="A344" s="32"/>
      <c r="B344" s="15"/>
      <c r="C344" s="52" t="str">
        <f t="array" ref="C344">IFERROR(INDEX('3. Costeo y Precios'!$B$14:$B$63,MATCH($B344,'3. Costeo y Precios'!$A$14:$A$63,0)),"")</f>
        <v/>
      </c>
      <c r="D344" s="30"/>
      <c r="E344" s="15"/>
      <c r="F344" s="16"/>
      <c r="G344" s="41" t="str">
        <f t="shared" si="1"/>
        <v/>
      </c>
      <c r="H344" s="38">
        <f t="array" ref="H344">IFERROR(INDEX('3. Costeo y Precios'!$K$14:$K$63,MATCH($B344,'3. Costeo y Precios'!$A$14:$A$63,0)),0)</f>
        <v>0</v>
      </c>
      <c r="I344" s="41" t="str">
        <f t="shared" si="2"/>
        <v/>
      </c>
      <c r="J344" s="44"/>
      <c r="K344" s="41" t="str">
        <f t="shared" si="3"/>
        <v/>
      </c>
      <c r="L344" s="43" t="str">
        <f t="shared" si="4"/>
        <v/>
      </c>
      <c r="M344" s="48" t="str">
        <f t="shared" si="5"/>
        <v/>
      </c>
      <c r="N344" s="30"/>
    </row>
    <row r="345" ht="15.75" customHeight="1">
      <c r="A345" s="32"/>
      <c r="B345" s="15"/>
      <c r="C345" s="52" t="str">
        <f t="array" ref="C345">IFERROR(INDEX('3. Costeo y Precios'!$B$14:$B$63,MATCH($B345,'3. Costeo y Precios'!$A$14:$A$63,0)),"")</f>
        <v/>
      </c>
      <c r="D345" s="30"/>
      <c r="E345" s="15"/>
      <c r="F345" s="16"/>
      <c r="G345" s="41" t="str">
        <f t="shared" si="1"/>
        <v/>
      </c>
      <c r="H345" s="38">
        <f t="array" ref="H345">IFERROR(INDEX('3. Costeo y Precios'!$K$14:$K$63,MATCH($B345,'3. Costeo y Precios'!$A$14:$A$63,0)),0)</f>
        <v>0</v>
      </c>
      <c r="I345" s="41" t="str">
        <f t="shared" si="2"/>
        <v/>
      </c>
      <c r="J345" s="44"/>
      <c r="K345" s="41" t="str">
        <f t="shared" si="3"/>
        <v/>
      </c>
      <c r="L345" s="43" t="str">
        <f t="shared" si="4"/>
        <v/>
      </c>
      <c r="M345" s="48" t="str">
        <f t="shared" si="5"/>
        <v/>
      </c>
      <c r="N345" s="30"/>
    </row>
    <row r="346" ht="15.75" customHeight="1">
      <c r="A346" s="32"/>
      <c r="B346" s="15"/>
      <c r="C346" s="52" t="str">
        <f t="array" ref="C346">IFERROR(INDEX('3. Costeo y Precios'!$B$14:$B$63,MATCH($B346,'3. Costeo y Precios'!$A$14:$A$63,0)),"")</f>
        <v/>
      </c>
      <c r="D346" s="30"/>
      <c r="E346" s="15"/>
      <c r="F346" s="16"/>
      <c r="G346" s="41" t="str">
        <f t="shared" si="1"/>
        <v/>
      </c>
      <c r="H346" s="38">
        <f t="array" ref="H346">IFERROR(INDEX('3. Costeo y Precios'!$K$14:$K$63,MATCH($B346,'3. Costeo y Precios'!$A$14:$A$63,0)),0)</f>
        <v>0</v>
      </c>
      <c r="I346" s="41" t="str">
        <f t="shared" si="2"/>
        <v/>
      </c>
      <c r="J346" s="44"/>
      <c r="K346" s="41" t="str">
        <f t="shared" si="3"/>
        <v/>
      </c>
      <c r="L346" s="43" t="str">
        <f t="shared" si="4"/>
        <v/>
      </c>
      <c r="M346" s="48" t="str">
        <f t="shared" si="5"/>
        <v/>
      </c>
      <c r="N346" s="30"/>
    </row>
    <row r="347" ht="15.75" customHeight="1">
      <c r="A347" s="32"/>
      <c r="B347" s="15"/>
      <c r="C347" s="52" t="str">
        <f t="array" ref="C347">IFERROR(INDEX('3. Costeo y Precios'!$B$14:$B$63,MATCH($B347,'3. Costeo y Precios'!$A$14:$A$63,0)),"")</f>
        <v/>
      </c>
      <c r="D347" s="30"/>
      <c r="E347" s="15"/>
      <c r="F347" s="16"/>
      <c r="G347" s="41" t="str">
        <f t="shared" si="1"/>
        <v/>
      </c>
      <c r="H347" s="38">
        <f t="array" ref="H347">IFERROR(INDEX('3. Costeo y Precios'!$K$14:$K$63,MATCH($B347,'3. Costeo y Precios'!$A$14:$A$63,0)),0)</f>
        <v>0</v>
      </c>
      <c r="I347" s="41" t="str">
        <f t="shared" si="2"/>
        <v/>
      </c>
      <c r="J347" s="44"/>
      <c r="K347" s="41" t="str">
        <f t="shared" si="3"/>
        <v/>
      </c>
      <c r="L347" s="43" t="str">
        <f t="shared" si="4"/>
        <v/>
      </c>
      <c r="M347" s="48" t="str">
        <f t="shared" si="5"/>
        <v/>
      </c>
      <c r="N347" s="30"/>
    </row>
    <row r="348" ht="15.75" customHeight="1">
      <c r="A348" s="32"/>
      <c r="B348" s="15"/>
      <c r="C348" s="52" t="str">
        <f t="array" ref="C348">IFERROR(INDEX('3. Costeo y Precios'!$B$14:$B$63,MATCH($B348,'3. Costeo y Precios'!$A$14:$A$63,0)),"")</f>
        <v/>
      </c>
      <c r="D348" s="30"/>
      <c r="E348" s="15"/>
      <c r="F348" s="16"/>
      <c r="G348" s="41" t="str">
        <f t="shared" si="1"/>
        <v/>
      </c>
      <c r="H348" s="38">
        <f t="array" ref="H348">IFERROR(INDEX('3. Costeo y Precios'!$K$14:$K$63,MATCH($B348,'3. Costeo y Precios'!$A$14:$A$63,0)),0)</f>
        <v>0</v>
      </c>
      <c r="I348" s="41" t="str">
        <f t="shared" si="2"/>
        <v/>
      </c>
      <c r="J348" s="44"/>
      <c r="K348" s="41" t="str">
        <f t="shared" si="3"/>
        <v/>
      </c>
      <c r="L348" s="43" t="str">
        <f t="shared" si="4"/>
        <v/>
      </c>
      <c r="M348" s="48" t="str">
        <f t="shared" si="5"/>
        <v/>
      </c>
      <c r="N348" s="30"/>
    </row>
    <row r="349" ht="15.75" customHeight="1">
      <c r="A349" s="32"/>
      <c r="B349" s="15"/>
      <c r="C349" s="52" t="str">
        <f t="array" ref="C349">IFERROR(INDEX('3. Costeo y Precios'!$B$14:$B$63,MATCH($B349,'3. Costeo y Precios'!$A$14:$A$63,0)),"")</f>
        <v/>
      </c>
      <c r="D349" s="30"/>
      <c r="E349" s="15"/>
      <c r="F349" s="16"/>
      <c r="G349" s="41" t="str">
        <f t="shared" si="1"/>
        <v/>
      </c>
      <c r="H349" s="38">
        <f t="array" ref="H349">IFERROR(INDEX('3. Costeo y Precios'!$K$14:$K$63,MATCH($B349,'3. Costeo y Precios'!$A$14:$A$63,0)),0)</f>
        <v>0</v>
      </c>
      <c r="I349" s="41" t="str">
        <f t="shared" si="2"/>
        <v/>
      </c>
      <c r="J349" s="44"/>
      <c r="K349" s="41" t="str">
        <f t="shared" si="3"/>
        <v/>
      </c>
      <c r="L349" s="43" t="str">
        <f t="shared" si="4"/>
        <v/>
      </c>
      <c r="M349" s="48" t="str">
        <f t="shared" si="5"/>
        <v/>
      </c>
      <c r="N349" s="30"/>
    </row>
    <row r="350" ht="15.75" customHeight="1">
      <c r="A350" s="32"/>
      <c r="B350" s="15"/>
      <c r="C350" s="52" t="str">
        <f t="array" ref="C350">IFERROR(INDEX('3. Costeo y Precios'!$B$14:$B$63,MATCH($B350,'3. Costeo y Precios'!$A$14:$A$63,0)),"")</f>
        <v/>
      </c>
      <c r="D350" s="30"/>
      <c r="E350" s="15"/>
      <c r="F350" s="16"/>
      <c r="G350" s="41" t="str">
        <f t="shared" si="1"/>
        <v/>
      </c>
      <c r="H350" s="38">
        <f t="array" ref="H350">IFERROR(INDEX('3. Costeo y Precios'!$K$14:$K$63,MATCH($B350,'3. Costeo y Precios'!$A$14:$A$63,0)),0)</f>
        <v>0</v>
      </c>
      <c r="I350" s="41" t="str">
        <f t="shared" si="2"/>
        <v/>
      </c>
      <c r="J350" s="44"/>
      <c r="K350" s="41" t="str">
        <f t="shared" si="3"/>
        <v/>
      </c>
      <c r="L350" s="43" t="str">
        <f t="shared" si="4"/>
        <v/>
      </c>
      <c r="M350" s="48" t="str">
        <f t="shared" si="5"/>
        <v/>
      </c>
      <c r="N350" s="30"/>
    </row>
    <row r="351" ht="15.75" customHeight="1">
      <c r="A351" s="32"/>
      <c r="B351" s="15"/>
      <c r="C351" s="52" t="str">
        <f t="array" ref="C351">IFERROR(INDEX('3. Costeo y Precios'!$B$14:$B$63,MATCH($B351,'3. Costeo y Precios'!$A$14:$A$63,0)),"")</f>
        <v/>
      </c>
      <c r="D351" s="30"/>
      <c r="E351" s="15"/>
      <c r="F351" s="16"/>
      <c r="G351" s="41" t="str">
        <f t="shared" si="1"/>
        <v/>
      </c>
      <c r="H351" s="38">
        <f t="array" ref="H351">IFERROR(INDEX('3. Costeo y Precios'!$K$14:$K$63,MATCH($B351,'3. Costeo y Precios'!$A$14:$A$63,0)),0)</f>
        <v>0</v>
      </c>
      <c r="I351" s="41" t="str">
        <f t="shared" si="2"/>
        <v/>
      </c>
      <c r="J351" s="44"/>
      <c r="K351" s="41" t="str">
        <f t="shared" si="3"/>
        <v/>
      </c>
      <c r="L351" s="43" t="str">
        <f t="shared" si="4"/>
        <v/>
      </c>
      <c r="M351" s="48" t="str">
        <f t="shared" si="5"/>
        <v/>
      </c>
      <c r="N351" s="30"/>
    </row>
    <row r="352" ht="15.75" customHeight="1">
      <c r="A352" s="32"/>
      <c r="B352" s="15"/>
      <c r="C352" s="52" t="str">
        <f t="array" ref="C352">IFERROR(INDEX('3. Costeo y Precios'!$B$14:$B$63,MATCH($B352,'3. Costeo y Precios'!$A$14:$A$63,0)),"")</f>
        <v/>
      </c>
      <c r="D352" s="30"/>
      <c r="E352" s="15"/>
      <c r="F352" s="16"/>
      <c r="G352" s="41" t="str">
        <f t="shared" si="1"/>
        <v/>
      </c>
      <c r="H352" s="38">
        <f t="array" ref="H352">IFERROR(INDEX('3. Costeo y Precios'!$K$14:$K$63,MATCH($B352,'3. Costeo y Precios'!$A$14:$A$63,0)),0)</f>
        <v>0</v>
      </c>
      <c r="I352" s="41" t="str">
        <f t="shared" si="2"/>
        <v/>
      </c>
      <c r="J352" s="44"/>
      <c r="K352" s="41" t="str">
        <f t="shared" si="3"/>
        <v/>
      </c>
      <c r="L352" s="43" t="str">
        <f t="shared" si="4"/>
        <v/>
      </c>
      <c r="M352" s="48" t="str">
        <f t="shared" si="5"/>
        <v/>
      </c>
      <c r="N352" s="30"/>
    </row>
    <row r="353" ht="15.75" customHeight="1">
      <c r="A353" s="32"/>
      <c r="B353" s="15"/>
      <c r="C353" s="52" t="str">
        <f t="array" ref="C353">IFERROR(INDEX('3. Costeo y Precios'!$B$14:$B$63,MATCH($B353,'3. Costeo y Precios'!$A$14:$A$63,0)),"")</f>
        <v/>
      </c>
      <c r="D353" s="30"/>
      <c r="E353" s="15"/>
      <c r="F353" s="16"/>
      <c r="G353" s="41" t="str">
        <f t="shared" si="1"/>
        <v/>
      </c>
      <c r="H353" s="38">
        <f t="array" ref="H353">IFERROR(INDEX('3. Costeo y Precios'!$K$14:$K$63,MATCH($B353,'3. Costeo y Precios'!$A$14:$A$63,0)),0)</f>
        <v>0</v>
      </c>
      <c r="I353" s="41" t="str">
        <f t="shared" si="2"/>
        <v/>
      </c>
      <c r="J353" s="44"/>
      <c r="K353" s="41" t="str">
        <f t="shared" si="3"/>
        <v/>
      </c>
      <c r="L353" s="43" t="str">
        <f t="shared" si="4"/>
        <v/>
      </c>
      <c r="M353" s="48" t="str">
        <f t="shared" si="5"/>
        <v/>
      </c>
      <c r="N353" s="30"/>
    </row>
    <row r="354" ht="15.75" customHeight="1">
      <c r="A354" s="32"/>
      <c r="B354" s="15"/>
      <c r="C354" s="52" t="str">
        <f t="array" ref="C354">IFERROR(INDEX('3. Costeo y Precios'!$B$14:$B$63,MATCH($B354,'3. Costeo y Precios'!$A$14:$A$63,0)),"")</f>
        <v/>
      </c>
      <c r="D354" s="30"/>
      <c r="E354" s="15"/>
      <c r="F354" s="16"/>
      <c r="G354" s="41" t="str">
        <f t="shared" si="1"/>
        <v/>
      </c>
      <c r="H354" s="38">
        <f t="array" ref="H354">IFERROR(INDEX('3. Costeo y Precios'!$K$14:$K$63,MATCH($B354,'3. Costeo y Precios'!$A$14:$A$63,0)),0)</f>
        <v>0</v>
      </c>
      <c r="I354" s="41" t="str">
        <f t="shared" si="2"/>
        <v/>
      </c>
      <c r="J354" s="44"/>
      <c r="K354" s="41" t="str">
        <f t="shared" si="3"/>
        <v/>
      </c>
      <c r="L354" s="43" t="str">
        <f t="shared" si="4"/>
        <v/>
      </c>
      <c r="M354" s="48" t="str">
        <f t="shared" si="5"/>
        <v/>
      </c>
      <c r="N354" s="30"/>
    </row>
    <row r="355" ht="15.75" customHeight="1">
      <c r="A355" s="32"/>
      <c r="B355" s="15"/>
      <c r="C355" s="52" t="str">
        <f t="array" ref="C355">IFERROR(INDEX('3. Costeo y Precios'!$B$14:$B$63,MATCH($B355,'3. Costeo y Precios'!$A$14:$A$63,0)),"")</f>
        <v/>
      </c>
      <c r="D355" s="30"/>
      <c r="E355" s="15"/>
      <c r="F355" s="16"/>
      <c r="G355" s="41" t="str">
        <f t="shared" si="1"/>
        <v/>
      </c>
      <c r="H355" s="38">
        <f t="array" ref="H355">IFERROR(INDEX('3. Costeo y Precios'!$K$14:$K$63,MATCH($B355,'3. Costeo y Precios'!$A$14:$A$63,0)),0)</f>
        <v>0</v>
      </c>
      <c r="I355" s="41" t="str">
        <f t="shared" si="2"/>
        <v/>
      </c>
      <c r="J355" s="44"/>
      <c r="K355" s="41" t="str">
        <f t="shared" si="3"/>
        <v/>
      </c>
      <c r="L355" s="43" t="str">
        <f t="shared" si="4"/>
        <v/>
      </c>
      <c r="M355" s="48" t="str">
        <f t="shared" si="5"/>
        <v/>
      </c>
      <c r="N355" s="30"/>
    </row>
    <row r="356" ht="15.75" customHeight="1">
      <c r="A356" s="32"/>
      <c r="B356" s="15"/>
      <c r="C356" s="52" t="str">
        <f t="array" ref="C356">IFERROR(INDEX('3. Costeo y Precios'!$B$14:$B$63,MATCH($B356,'3. Costeo y Precios'!$A$14:$A$63,0)),"")</f>
        <v/>
      </c>
      <c r="D356" s="30"/>
      <c r="E356" s="15"/>
      <c r="F356" s="16"/>
      <c r="G356" s="41" t="str">
        <f t="shared" si="1"/>
        <v/>
      </c>
      <c r="H356" s="38">
        <f t="array" ref="H356">IFERROR(INDEX('3. Costeo y Precios'!$K$14:$K$63,MATCH($B356,'3. Costeo y Precios'!$A$14:$A$63,0)),0)</f>
        <v>0</v>
      </c>
      <c r="I356" s="41" t="str">
        <f t="shared" si="2"/>
        <v/>
      </c>
      <c r="J356" s="44"/>
      <c r="K356" s="41" t="str">
        <f t="shared" si="3"/>
        <v/>
      </c>
      <c r="L356" s="43" t="str">
        <f t="shared" si="4"/>
        <v/>
      </c>
      <c r="M356" s="48" t="str">
        <f t="shared" si="5"/>
        <v/>
      </c>
      <c r="N356" s="30"/>
    </row>
    <row r="357" ht="15.75" customHeight="1">
      <c r="A357" s="32"/>
      <c r="B357" s="15"/>
      <c r="C357" s="52" t="str">
        <f t="array" ref="C357">IFERROR(INDEX('3. Costeo y Precios'!$B$14:$B$63,MATCH($B357,'3. Costeo y Precios'!$A$14:$A$63,0)),"")</f>
        <v/>
      </c>
      <c r="D357" s="30"/>
      <c r="E357" s="15"/>
      <c r="F357" s="16"/>
      <c r="G357" s="41" t="str">
        <f t="shared" si="1"/>
        <v/>
      </c>
      <c r="H357" s="38">
        <f t="array" ref="H357">IFERROR(INDEX('3. Costeo y Precios'!$K$14:$K$63,MATCH($B357,'3. Costeo y Precios'!$A$14:$A$63,0)),0)</f>
        <v>0</v>
      </c>
      <c r="I357" s="41" t="str">
        <f t="shared" si="2"/>
        <v/>
      </c>
      <c r="J357" s="44"/>
      <c r="K357" s="41" t="str">
        <f t="shared" si="3"/>
        <v/>
      </c>
      <c r="L357" s="43" t="str">
        <f t="shared" si="4"/>
        <v/>
      </c>
      <c r="M357" s="48" t="str">
        <f t="shared" si="5"/>
        <v/>
      </c>
      <c r="N357" s="30"/>
    </row>
    <row r="358" ht="15.75" customHeight="1">
      <c r="A358" s="32"/>
      <c r="B358" s="15"/>
      <c r="C358" s="52" t="str">
        <f t="array" ref="C358">IFERROR(INDEX('3. Costeo y Precios'!$B$14:$B$63,MATCH($B358,'3. Costeo y Precios'!$A$14:$A$63,0)),"")</f>
        <v/>
      </c>
      <c r="D358" s="30"/>
      <c r="E358" s="15"/>
      <c r="F358" s="16"/>
      <c r="G358" s="41" t="str">
        <f t="shared" si="1"/>
        <v/>
      </c>
      <c r="H358" s="38">
        <f t="array" ref="H358">IFERROR(INDEX('3. Costeo y Precios'!$K$14:$K$63,MATCH($B358,'3. Costeo y Precios'!$A$14:$A$63,0)),0)</f>
        <v>0</v>
      </c>
      <c r="I358" s="41" t="str">
        <f t="shared" si="2"/>
        <v/>
      </c>
      <c r="J358" s="44"/>
      <c r="K358" s="41" t="str">
        <f t="shared" si="3"/>
        <v/>
      </c>
      <c r="L358" s="43" t="str">
        <f t="shared" si="4"/>
        <v/>
      </c>
      <c r="M358" s="48" t="str">
        <f t="shared" si="5"/>
        <v/>
      </c>
      <c r="N358" s="30"/>
    </row>
    <row r="359" ht="15.75" customHeight="1">
      <c r="A359" s="32"/>
      <c r="B359" s="15"/>
      <c r="C359" s="52" t="str">
        <f t="array" ref="C359">IFERROR(INDEX('3. Costeo y Precios'!$B$14:$B$63,MATCH($B359,'3. Costeo y Precios'!$A$14:$A$63,0)),"")</f>
        <v/>
      </c>
      <c r="D359" s="30"/>
      <c r="E359" s="15"/>
      <c r="F359" s="16"/>
      <c r="G359" s="41" t="str">
        <f t="shared" si="1"/>
        <v/>
      </c>
      <c r="H359" s="38">
        <f t="array" ref="H359">IFERROR(INDEX('3. Costeo y Precios'!$K$14:$K$63,MATCH($B359,'3. Costeo y Precios'!$A$14:$A$63,0)),0)</f>
        <v>0</v>
      </c>
      <c r="I359" s="41" t="str">
        <f t="shared" si="2"/>
        <v/>
      </c>
      <c r="J359" s="44"/>
      <c r="K359" s="41" t="str">
        <f t="shared" si="3"/>
        <v/>
      </c>
      <c r="L359" s="43" t="str">
        <f t="shared" si="4"/>
        <v/>
      </c>
      <c r="M359" s="48" t="str">
        <f t="shared" si="5"/>
        <v/>
      </c>
      <c r="N359" s="30"/>
    </row>
    <row r="360" ht="15.75" customHeight="1">
      <c r="A360" s="32"/>
      <c r="B360" s="15"/>
      <c r="C360" s="52" t="str">
        <f t="array" ref="C360">IFERROR(INDEX('3. Costeo y Precios'!$B$14:$B$63,MATCH($B360,'3. Costeo y Precios'!$A$14:$A$63,0)),"")</f>
        <v/>
      </c>
      <c r="D360" s="30"/>
      <c r="E360" s="15"/>
      <c r="F360" s="16"/>
      <c r="G360" s="41" t="str">
        <f t="shared" si="1"/>
        <v/>
      </c>
      <c r="H360" s="38">
        <f t="array" ref="H360">IFERROR(INDEX('3. Costeo y Precios'!$K$14:$K$63,MATCH($B360,'3. Costeo y Precios'!$A$14:$A$63,0)),0)</f>
        <v>0</v>
      </c>
      <c r="I360" s="41" t="str">
        <f t="shared" si="2"/>
        <v/>
      </c>
      <c r="J360" s="44"/>
      <c r="K360" s="41" t="str">
        <f t="shared" si="3"/>
        <v/>
      </c>
      <c r="L360" s="43" t="str">
        <f t="shared" si="4"/>
        <v/>
      </c>
      <c r="M360" s="48" t="str">
        <f t="shared" si="5"/>
        <v/>
      </c>
      <c r="N360" s="30"/>
    </row>
    <row r="361" ht="15.75" customHeight="1">
      <c r="A361" s="32"/>
      <c r="B361" s="15"/>
      <c r="C361" s="52" t="str">
        <f t="array" ref="C361">IFERROR(INDEX('3. Costeo y Precios'!$B$14:$B$63,MATCH($B361,'3. Costeo y Precios'!$A$14:$A$63,0)),"")</f>
        <v/>
      </c>
      <c r="D361" s="30"/>
      <c r="E361" s="15"/>
      <c r="F361" s="16"/>
      <c r="G361" s="41" t="str">
        <f t="shared" si="1"/>
        <v/>
      </c>
      <c r="H361" s="38">
        <f t="array" ref="H361">IFERROR(INDEX('3. Costeo y Precios'!$K$14:$K$63,MATCH($B361,'3. Costeo y Precios'!$A$14:$A$63,0)),0)</f>
        <v>0</v>
      </c>
      <c r="I361" s="41" t="str">
        <f t="shared" si="2"/>
        <v/>
      </c>
      <c r="J361" s="44"/>
      <c r="K361" s="41" t="str">
        <f t="shared" si="3"/>
        <v/>
      </c>
      <c r="L361" s="43" t="str">
        <f t="shared" si="4"/>
        <v/>
      </c>
      <c r="M361" s="48" t="str">
        <f t="shared" si="5"/>
        <v/>
      </c>
      <c r="N361" s="30"/>
    </row>
    <row r="362" ht="15.75" customHeight="1">
      <c r="A362" s="32"/>
      <c r="B362" s="15"/>
      <c r="C362" s="52" t="str">
        <f t="array" ref="C362">IFERROR(INDEX('3. Costeo y Precios'!$B$14:$B$63,MATCH($B362,'3. Costeo y Precios'!$A$14:$A$63,0)),"")</f>
        <v/>
      </c>
      <c r="D362" s="30"/>
      <c r="E362" s="15"/>
      <c r="F362" s="16"/>
      <c r="G362" s="41" t="str">
        <f t="shared" si="1"/>
        <v/>
      </c>
      <c r="H362" s="38">
        <f t="array" ref="H362">IFERROR(INDEX('3. Costeo y Precios'!$K$14:$K$63,MATCH($B362,'3. Costeo y Precios'!$A$14:$A$63,0)),0)</f>
        <v>0</v>
      </c>
      <c r="I362" s="41" t="str">
        <f t="shared" si="2"/>
        <v/>
      </c>
      <c r="J362" s="44"/>
      <c r="K362" s="41" t="str">
        <f t="shared" si="3"/>
        <v/>
      </c>
      <c r="L362" s="43" t="str">
        <f t="shared" si="4"/>
        <v/>
      </c>
      <c r="M362" s="48" t="str">
        <f t="shared" si="5"/>
        <v/>
      </c>
      <c r="N362" s="30"/>
    </row>
    <row r="363" ht="15.75" customHeight="1">
      <c r="A363" s="32"/>
      <c r="B363" s="15"/>
      <c r="C363" s="52" t="str">
        <f t="array" ref="C363">IFERROR(INDEX('3. Costeo y Precios'!$B$14:$B$63,MATCH($B363,'3. Costeo y Precios'!$A$14:$A$63,0)),"")</f>
        <v/>
      </c>
      <c r="D363" s="30"/>
      <c r="E363" s="15"/>
      <c r="F363" s="16"/>
      <c r="G363" s="41" t="str">
        <f t="shared" si="1"/>
        <v/>
      </c>
      <c r="H363" s="38">
        <f t="array" ref="H363">IFERROR(INDEX('3. Costeo y Precios'!$K$14:$K$63,MATCH($B363,'3. Costeo y Precios'!$A$14:$A$63,0)),0)</f>
        <v>0</v>
      </c>
      <c r="I363" s="41" t="str">
        <f t="shared" si="2"/>
        <v/>
      </c>
      <c r="J363" s="44"/>
      <c r="K363" s="41" t="str">
        <f t="shared" si="3"/>
        <v/>
      </c>
      <c r="L363" s="43" t="str">
        <f t="shared" si="4"/>
        <v/>
      </c>
      <c r="M363" s="48" t="str">
        <f t="shared" si="5"/>
        <v/>
      </c>
      <c r="N363" s="30"/>
    </row>
    <row r="364" ht="15.75" customHeight="1">
      <c r="A364" s="32"/>
      <c r="B364" s="15"/>
      <c r="C364" s="52" t="str">
        <f t="array" ref="C364">IFERROR(INDEX('3. Costeo y Precios'!$B$14:$B$63,MATCH($B364,'3. Costeo y Precios'!$A$14:$A$63,0)),"")</f>
        <v/>
      </c>
      <c r="D364" s="30"/>
      <c r="E364" s="15"/>
      <c r="F364" s="16"/>
      <c r="G364" s="41" t="str">
        <f t="shared" si="1"/>
        <v/>
      </c>
      <c r="H364" s="38">
        <f t="array" ref="H364">IFERROR(INDEX('3. Costeo y Precios'!$K$14:$K$63,MATCH($B364,'3. Costeo y Precios'!$A$14:$A$63,0)),0)</f>
        <v>0</v>
      </c>
      <c r="I364" s="41" t="str">
        <f t="shared" si="2"/>
        <v/>
      </c>
      <c r="J364" s="44"/>
      <c r="K364" s="41" t="str">
        <f t="shared" si="3"/>
        <v/>
      </c>
      <c r="L364" s="43" t="str">
        <f t="shared" si="4"/>
        <v/>
      </c>
      <c r="M364" s="48" t="str">
        <f t="shared" si="5"/>
        <v/>
      </c>
      <c r="N364" s="30"/>
    </row>
    <row r="365" ht="15.75" customHeight="1">
      <c r="A365" s="32"/>
      <c r="B365" s="15"/>
      <c r="C365" s="52" t="str">
        <f t="array" ref="C365">IFERROR(INDEX('3. Costeo y Precios'!$B$14:$B$63,MATCH($B365,'3. Costeo y Precios'!$A$14:$A$63,0)),"")</f>
        <v/>
      </c>
      <c r="D365" s="30"/>
      <c r="E365" s="15"/>
      <c r="F365" s="16"/>
      <c r="G365" s="41" t="str">
        <f t="shared" si="1"/>
        <v/>
      </c>
      <c r="H365" s="38">
        <f t="array" ref="H365">IFERROR(INDEX('3. Costeo y Precios'!$K$14:$K$63,MATCH($B365,'3. Costeo y Precios'!$A$14:$A$63,0)),0)</f>
        <v>0</v>
      </c>
      <c r="I365" s="41" t="str">
        <f t="shared" si="2"/>
        <v/>
      </c>
      <c r="J365" s="44"/>
      <c r="K365" s="41" t="str">
        <f t="shared" si="3"/>
        <v/>
      </c>
      <c r="L365" s="43" t="str">
        <f t="shared" si="4"/>
        <v/>
      </c>
      <c r="M365" s="48" t="str">
        <f t="shared" si="5"/>
        <v/>
      </c>
      <c r="N365" s="30"/>
    </row>
    <row r="366" ht="15.75" customHeight="1">
      <c r="A366" s="32"/>
      <c r="B366" s="15"/>
      <c r="C366" s="52" t="str">
        <f t="array" ref="C366">IFERROR(INDEX('3. Costeo y Precios'!$B$14:$B$63,MATCH($B366,'3. Costeo y Precios'!$A$14:$A$63,0)),"")</f>
        <v/>
      </c>
      <c r="D366" s="30"/>
      <c r="E366" s="15"/>
      <c r="F366" s="16"/>
      <c r="G366" s="41" t="str">
        <f t="shared" si="1"/>
        <v/>
      </c>
      <c r="H366" s="38">
        <f t="array" ref="H366">IFERROR(INDEX('3. Costeo y Precios'!$K$14:$K$63,MATCH($B366,'3. Costeo y Precios'!$A$14:$A$63,0)),0)</f>
        <v>0</v>
      </c>
      <c r="I366" s="41" t="str">
        <f t="shared" si="2"/>
        <v/>
      </c>
      <c r="J366" s="44"/>
      <c r="K366" s="41" t="str">
        <f t="shared" si="3"/>
        <v/>
      </c>
      <c r="L366" s="43" t="str">
        <f t="shared" si="4"/>
        <v/>
      </c>
      <c r="M366" s="48" t="str">
        <f t="shared" si="5"/>
        <v/>
      </c>
      <c r="N366" s="30"/>
    </row>
    <row r="367" ht="15.75" customHeight="1">
      <c r="A367" s="32"/>
      <c r="B367" s="15"/>
      <c r="C367" s="52" t="str">
        <f t="array" ref="C367">IFERROR(INDEX('3. Costeo y Precios'!$B$14:$B$63,MATCH($B367,'3. Costeo y Precios'!$A$14:$A$63,0)),"")</f>
        <v/>
      </c>
      <c r="D367" s="30"/>
      <c r="E367" s="15"/>
      <c r="F367" s="16"/>
      <c r="G367" s="41" t="str">
        <f t="shared" si="1"/>
        <v/>
      </c>
      <c r="H367" s="38">
        <f t="array" ref="H367">IFERROR(INDEX('3. Costeo y Precios'!$K$14:$K$63,MATCH($B367,'3. Costeo y Precios'!$A$14:$A$63,0)),0)</f>
        <v>0</v>
      </c>
      <c r="I367" s="41" t="str">
        <f t="shared" si="2"/>
        <v/>
      </c>
      <c r="J367" s="44"/>
      <c r="K367" s="41" t="str">
        <f t="shared" si="3"/>
        <v/>
      </c>
      <c r="L367" s="43" t="str">
        <f t="shared" si="4"/>
        <v/>
      </c>
      <c r="M367" s="48" t="str">
        <f t="shared" si="5"/>
        <v/>
      </c>
      <c r="N367" s="30"/>
    </row>
    <row r="368" ht="15.75" customHeight="1">
      <c r="A368" s="32"/>
      <c r="B368" s="15"/>
      <c r="C368" s="52" t="str">
        <f t="array" ref="C368">IFERROR(INDEX('3. Costeo y Precios'!$B$14:$B$63,MATCH($B368,'3. Costeo y Precios'!$A$14:$A$63,0)),"")</f>
        <v/>
      </c>
      <c r="D368" s="30"/>
      <c r="E368" s="15"/>
      <c r="F368" s="16"/>
      <c r="G368" s="41" t="str">
        <f t="shared" si="1"/>
        <v/>
      </c>
      <c r="H368" s="38">
        <f t="array" ref="H368">IFERROR(INDEX('3. Costeo y Precios'!$K$14:$K$63,MATCH($B368,'3. Costeo y Precios'!$A$14:$A$63,0)),0)</f>
        <v>0</v>
      </c>
      <c r="I368" s="41" t="str">
        <f t="shared" si="2"/>
        <v/>
      </c>
      <c r="J368" s="44"/>
      <c r="K368" s="41" t="str">
        <f t="shared" si="3"/>
        <v/>
      </c>
      <c r="L368" s="43" t="str">
        <f t="shared" si="4"/>
        <v/>
      </c>
      <c r="M368" s="48" t="str">
        <f t="shared" si="5"/>
        <v/>
      </c>
      <c r="N368" s="30"/>
    </row>
    <row r="369" ht="15.75" customHeight="1">
      <c r="A369" s="32"/>
      <c r="B369" s="15"/>
      <c r="C369" s="52" t="str">
        <f t="array" ref="C369">IFERROR(INDEX('3. Costeo y Precios'!$B$14:$B$63,MATCH($B369,'3. Costeo y Precios'!$A$14:$A$63,0)),"")</f>
        <v/>
      </c>
      <c r="D369" s="30"/>
      <c r="E369" s="15"/>
      <c r="F369" s="16"/>
      <c r="G369" s="41" t="str">
        <f t="shared" si="1"/>
        <v/>
      </c>
      <c r="H369" s="38">
        <f t="array" ref="H369">IFERROR(INDEX('3. Costeo y Precios'!$K$14:$K$63,MATCH($B369,'3. Costeo y Precios'!$A$14:$A$63,0)),0)</f>
        <v>0</v>
      </c>
      <c r="I369" s="41" t="str">
        <f t="shared" si="2"/>
        <v/>
      </c>
      <c r="J369" s="44"/>
      <c r="K369" s="41" t="str">
        <f t="shared" si="3"/>
        <v/>
      </c>
      <c r="L369" s="43" t="str">
        <f t="shared" si="4"/>
        <v/>
      </c>
      <c r="M369" s="48" t="str">
        <f t="shared" si="5"/>
        <v/>
      </c>
      <c r="N369" s="30"/>
    </row>
    <row r="370" ht="15.75" customHeight="1">
      <c r="A370" s="32"/>
      <c r="B370" s="15"/>
      <c r="C370" s="52" t="str">
        <f t="array" ref="C370">IFERROR(INDEX('3. Costeo y Precios'!$B$14:$B$63,MATCH($B370,'3. Costeo y Precios'!$A$14:$A$63,0)),"")</f>
        <v/>
      </c>
      <c r="D370" s="30"/>
      <c r="E370" s="15"/>
      <c r="F370" s="16"/>
      <c r="G370" s="41" t="str">
        <f t="shared" si="1"/>
        <v/>
      </c>
      <c r="H370" s="38">
        <f t="array" ref="H370">IFERROR(INDEX('3. Costeo y Precios'!$K$14:$K$63,MATCH($B370,'3. Costeo y Precios'!$A$14:$A$63,0)),0)</f>
        <v>0</v>
      </c>
      <c r="I370" s="41" t="str">
        <f t="shared" si="2"/>
        <v/>
      </c>
      <c r="J370" s="44"/>
      <c r="K370" s="41" t="str">
        <f t="shared" si="3"/>
        <v/>
      </c>
      <c r="L370" s="43" t="str">
        <f t="shared" si="4"/>
        <v/>
      </c>
      <c r="M370" s="48" t="str">
        <f t="shared" si="5"/>
        <v/>
      </c>
      <c r="N370" s="30"/>
    </row>
    <row r="371" ht="15.75" customHeight="1">
      <c r="A371" s="32"/>
      <c r="B371" s="15"/>
      <c r="C371" s="52" t="str">
        <f t="array" ref="C371">IFERROR(INDEX('3. Costeo y Precios'!$B$14:$B$63,MATCH($B371,'3. Costeo y Precios'!$A$14:$A$63,0)),"")</f>
        <v/>
      </c>
      <c r="D371" s="30"/>
      <c r="E371" s="15"/>
      <c r="F371" s="16"/>
      <c r="G371" s="41" t="str">
        <f t="shared" si="1"/>
        <v/>
      </c>
      <c r="H371" s="38">
        <f t="array" ref="H371">IFERROR(INDEX('3. Costeo y Precios'!$K$14:$K$63,MATCH($B371,'3. Costeo y Precios'!$A$14:$A$63,0)),0)</f>
        <v>0</v>
      </c>
      <c r="I371" s="41" t="str">
        <f t="shared" si="2"/>
        <v/>
      </c>
      <c r="J371" s="44"/>
      <c r="K371" s="41" t="str">
        <f t="shared" si="3"/>
        <v/>
      </c>
      <c r="L371" s="43" t="str">
        <f t="shared" si="4"/>
        <v/>
      </c>
      <c r="M371" s="48" t="str">
        <f t="shared" si="5"/>
        <v/>
      </c>
      <c r="N371" s="30"/>
    </row>
    <row r="372" ht="15.75" customHeight="1">
      <c r="A372" s="32"/>
      <c r="B372" s="15"/>
      <c r="C372" s="52" t="str">
        <f t="array" ref="C372">IFERROR(INDEX('3. Costeo y Precios'!$B$14:$B$63,MATCH($B372,'3. Costeo y Precios'!$A$14:$A$63,0)),"")</f>
        <v/>
      </c>
      <c r="D372" s="30"/>
      <c r="E372" s="15"/>
      <c r="F372" s="16"/>
      <c r="G372" s="41" t="str">
        <f t="shared" si="1"/>
        <v/>
      </c>
      <c r="H372" s="38">
        <f t="array" ref="H372">IFERROR(INDEX('3. Costeo y Precios'!$K$14:$K$63,MATCH($B372,'3. Costeo y Precios'!$A$14:$A$63,0)),0)</f>
        <v>0</v>
      </c>
      <c r="I372" s="41" t="str">
        <f t="shared" si="2"/>
        <v/>
      </c>
      <c r="J372" s="44"/>
      <c r="K372" s="41" t="str">
        <f t="shared" si="3"/>
        <v/>
      </c>
      <c r="L372" s="43" t="str">
        <f t="shared" si="4"/>
        <v/>
      </c>
      <c r="M372" s="48" t="str">
        <f t="shared" si="5"/>
        <v/>
      </c>
      <c r="N372" s="30"/>
    </row>
    <row r="373" ht="15.75" customHeight="1">
      <c r="A373" s="32"/>
      <c r="B373" s="15"/>
      <c r="C373" s="52" t="str">
        <f t="array" ref="C373">IFERROR(INDEX('3. Costeo y Precios'!$B$14:$B$63,MATCH($B373,'3. Costeo y Precios'!$A$14:$A$63,0)),"")</f>
        <v/>
      </c>
      <c r="D373" s="30"/>
      <c r="E373" s="15"/>
      <c r="F373" s="16"/>
      <c r="G373" s="41" t="str">
        <f t="shared" si="1"/>
        <v/>
      </c>
      <c r="H373" s="38">
        <f t="array" ref="H373">IFERROR(INDEX('3. Costeo y Precios'!$K$14:$K$63,MATCH($B373,'3. Costeo y Precios'!$A$14:$A$63,0)),0)</f>
        <v>0</v>
      </c>
      <c r="I373" s="41" t="str">
        <f t="shared" si="2"/>
        <v/>
      </c>
      <c r="J373" s="44"/>
      <c r="K373" s="41" t="str">
        <f t="shared" si="3"/>
        <v/>
      </c>
      <c r="L373" s="43" t="str">
        <f t="shared" si="4"/>
        <v/>
      </c>
      <c r="M373" s="48" t="str">
        <f t="shared" si="5"/>
        <v/>
      </c>
      <c r="N373" s="30"/>
    </row>
    <row r="374" ht="15.75" customHeight="1">
      <c r="A374" s="32"/>
      <c r="B374" s="15"/>
      <c r="C374" s="52" t="str">
        <f t="array" ref="C374">IFERROR(INDEX('3. Costeo y Precios'!$B$14:$B$63,MATCH($B374,'3. Costeo y Precios'!$A$14:$A$63,0)),"")</f>
        <v/>
      </c>
      <c r="D374" s="30"/>
      <c r="E374" s="15"/>
      <c r="F374" s="16"/>
      <c r="G374" s="41" t="str">
        <f t="shared" si="1"/>
        <v/>
      </c>
      <c r="H374" s="38">
        <f t="array" ref="H374">IFERROR(INDEX('3. Costeo y Precios'!$K$14:$K$63,MATCH($B374,'3. Costeo y Precios'!$A$14:$A$63,0)),0)</f>
        <v>0</v>
      </c>
      <c r="I374" s="41" t="str">
        <f t="shared" si="2"/>
        <v/>
      </c>
      <c r="J374" s="44"/>
      <c r="K374" s="41" t="str">
        <f t="shared" si="3"/>
        <v/>
      </c>
      <c r="L374" s="43" t="str">
        <f t="shared" si="4"/>
        <v/>
      </c>
      <c r="M374" s="48" t="str">
        <f t="shared" si="5"/>
        <v/>
      </c>
      <c r="N374" s="30"/>
    </row>
    <row r="375" ht="15.75" customHeight="1">
      <c r="A375" s="32"/>
      <c r="B375" s="15"/>
      <c r="C375" s="52" t="str">
        <f t="array" ref="C375">IFERROR(INDEX('3. Costeo y Precios'!$B$14:$B$63,MATCH($B375,'3. Costeo y Precios'!$A$14:$A$63,0)),"")</f>
        <v/>
      </c>
      <c r="D375" s="30"/>
      <c r="E375" s="15"/>
      <c r="F375" s="16"/>
      <c r="G375" s="41" t="str">
        <f t="shared" si="1"/>
        <v/>
      </c>
      <c r="H375" s="38">
        <f t="array" ref="H375">IFERROR(INDEX('3. Costeo y Precios'!$K$14:$K$63,MATCH($B375,'3. Costeo y Precios'!$A$14:$A$63,0)),0)</f>
        <v>0</v>
      </c>
      <c r="I375" s="41" t="str">
        <f t="shared" si="2"/>
        <v/>
      </c>
      <c r="J375" s="44"/>
      <c r="K375" s="41" t="str">
        <f t="shared" si="3"/>
        <v/>
      </c>
      <c r="L375" s="43" t="str">
        <f t="shared" si="4"/>
        <v/>
      </c>
      <c r="M375" s="48" t="str">
        <f t="shared" si="5"/>
        <v/>
      </c>
      <c r="N375" s="30"/>
    </row>
    <row r="376" ht="15.75" customHeight="1">
      <c r="A376" s="32"/>
      <c r="B376" s="15"/>
      <c r="C376" s="52" t="str">
        <f t="array" ref="C376">IFERROR(INDEX('3. Costeo y Precios'!$B$14:$B$63,MATCH($B376,'3. Costeo y Precios'!$A$14:$A$63,0)),"")</f>
        <v/>
      </c>
      <c r="D376" s="30"/>
      <c r="E376" s="15"/>
      <c r="F376" s="16"/>
      <c r="G376" s="41" t="str">
        <f t="shared" si="1"/>
        <v/>
      </c>
      <c r="H376" s="38">
        <f t="array" ref="H376">IFERROR(INDEX('3. Costeo y Precios'!$K$14:$K$63,MATCH($B376,'3. Costeo y Precios'!$A$14:$A$63,0)),0)</f>
        <v>0</v>
      </c>
      <c r="I376" s="41" t="str">
        <f t="shared" si="2"/>
        <v/>
      </c>
      <c r="J376" s="44"/>
      <c r="K376" s="41" t="str">
        <f t="shared" si="3"/>
        <v/>
      </c>
      <c r="L376" s="43" t="str">
        <f t="shared" si="4"/>
        <v/>
      </c>
      <c r="M376" s="48" t="str">
        <f t="shared" si="5"/>
        <v/>
      </c>
      <c r="N376" s="30"/>
    </row>
    <row r="377" ht="15.75" customHeight="1">
      <c r="A377" s="32"/>
      <c r="B377" s="15"/>
      <c r="C377" s="52" t="str">
        <f t="array" ref="C377">IFERROR(INDEX('3. Costeo y Precios'!$B$14:$B$63,MATCH($B377,'3. Costeo y Precios'!$A$14:$A$63,0)),"")</f>
        <v/>
      </c>
      <c r="D377" s="30"/>
      <c r="E377" s="15"/>
      <c r="F377" s="16"/>
      <c r="G377" s="41" t="str">
        <f t="shared" si="1"/>
        <v/>
      </c>
      <c r="H377" s="38">
        <f t="array" ref="H377">IFERROR(INDEX('3. Costeo y Precios'!$K$14:$K$63,MATCH($B377,'3. Costeo y Precios'!$A$14:$A$63,0)),0)</f>
        <v>0</v>
      </c>
      <c r="I377" s="41" t="str">
        <f t="shared" si="2"/>
        <v/>
      </c>
      <c r="J377" s="44"/>
      <c r="K377" s="41" t="str">
        <f t="shared" si="3"/>
        <v/>
      </c>
      <c r="L377" s="43" t="str">
        <f t="shared" si="4"/>
        <v/>
      </c>
      <c r="M377" s="48" t="str">
        <f t="shared" si="5"/>
        <v/>
      </c>
      <c r="N377" s="30"/>
    </row>
    <row r="378" ht="15.75" customHeight="1">
      <c r="A378" s="32"/>
      <c r="B378" s="15"/>
      <c r="C378" s="52" t="str">
        <f t="array" ref="C378">IFERROR(INDEX('3. Costeo y Precios'!$B$14:$B$63,MATCH($B378,'3. Costeo y Precios'!$A$14:$A$63,0)),"")</f>
        <v/>
      </c>
      <c r="D378" s="30"/>
      <c r="E378" s="15"/>
      <c r="F378" s="16"/>
      <c r="G378" s="41" t="str">
        <f t="shared" si="1"/>
        <v/>
      </c>
      <c r="H378" s="38">
        <f t="array" ref="H378">IFERROR(INDEX('3. Costeo y Precios'!$K$14:$K$63,MATCH($B378,'3. Costeo y Precios'!$A$14:$A$63,0)),0)</f>
        <v>0</v>
      </c>
      <c r="I378" s="41" t="str">
        <f t="shared" si="2"/>
        <v/>
      </c>
      <c r="J378" s="44"/>
      <c r="K378" s="41" t="str">
        <f t="shared" si="3"/>
        <v/>
      </c>
      <c r="L378" s="43" t="str">
        <f t="shared" si="4"/>
        <v/>
      </c>
      <c r="M378" s="48" t="str">
        <f t="shared" si="5"/>
        <v/>
      </c>
      <c r="N378" s="30"/>
    </row>
    <row r="379" ht="15.75" customHeight="1">
      <c r="A379" s="32"/>
      <c r="B379" s="15"/>
      <c r="C379" s="52" t="str">
        <f t="array" ref="C379">IFERROR(INDEX('3. Costeo y Precios'!$B$14:$B$63,MATCH($B379,'3. Costeo y Precios'!$A$14:$A$63,0)),"")</f>
        <v/>
      </c>
      <c r="D379" s="30"/>
      <c r="E379" s="15"/>
      <c r="F379" s="16"/>
      <c r="G379" s="41" t="str">
        <f t="shared" si="1"/>
        <v/>
      </c>
      <c r="H379" s="38">
        <f t="array" ref="H379">IFERROR(INDEX('3. Costeo y Precios'!$K$14:$K$63,MATCH($B379,'3. Costeo y Precios'!$A$14:$A$63,0)),0)</f>
        <v>0</v>
      </c>
      <c r="I379" s="41" t="str">
        <f t="shared" si="2"/>
        <v/>
      </c>
      <c r="J379" s="44"/>
      <c r="K379" s="41" t="str">
        <f t="shared" si="3"/>
        <v/>
      </c>
      <c r="L379" s="43" t="str">
        <f t="shared" si="4"/>
        <v/>
      </c>
      <c r="M379" s="48" t="str">
        <f t="shared" si="5"/>
        <v/>
      </c>
      <c r="N379" s="30"/>
    </row>
    <row r="380" ht="15.75" customHeight="1">
      <c r="A380" s="32"/>
      <c r="B380" s="15"/>
      <c r="C380" s="52" t="str">
        <f t="array" ref="C380">IFERROR(INDEX('3. Costeo y Precios'!$B$14:$B$63,MATCH($B380,'3. Costeo y Precios'!$A$14:$A$63,0)),"")</f>
        <v/>
      </c>
      <c r="D380" s="30"/>
      <c r="E380" s="15"/>
      <c r="F380" s="16"/>
      <c r="G380" s="41" t="str">
        <f t="shared" si="1"/>
        <v/>
      </c>
      <c r="H380" s="38">
        <f t="array" ref="H380">IFERROR(INDEX('3. Costeo y Precios'!$K$14:$K$63,MATCH($B380,'3. Costeo y Precios'!$A$14:$A$63,0)),0)</f>
        <v>0</v>
      </c>
      <c r="I380" s="41" t="str">
        <f t="shared" si="2"/>
        <v/>
      </c>
      <c r="J380" s="44"/>
      <c r="K380" s="41" t="str">
        <f t="shared" si="3"/>
        <v/>
      </c>
      <c r="L380" s="43" t="str">
        <f t="shared" si="4"/>
        <v/>
      </c>
      <c r="M380" s="48" t="str">
        <f t="shared" si="5"/>
        <v/>
      </c>
      <c r="N380" s="30"/>
    </row>
    <row r="381" ht="15.75" customHeight="1">
      <c r="A381" s="32"/>
      <c r="B381" s="15"/>
      <c r="C381" s="52" t="str">
        <f t="array" ref="C381">IFERROR(INDEX('3. Costeo y Precios'!$B$14:$B$63,MATCH($B381,'3. Costeo y Precios'!$A$14:$A$63,0)),"")</f>
        <v/>
      </c>
      <c r="D381" s="30"/>
      <c r="E381" s="15"/>
      <c r="F381" s="16"/>
      <c r="G381" s="41" t="str">
        <f t="shared" si="1"/>
        <v/>
      </c>
      <c r="H381" s="38">
        <f t="array" ref="H381">IFERROR(INDEX('3. Costeo y Precios'!$K$14:$K$63,MATCH($B381,'3. Costeo y Precios'!$A$14:$A$63,0)),0)</f>
        <v>0</v>
      </c>
      <c r="I381" s="41" t="str">
        <f t="shared" si="2"/>
        <v/>
      </c>
      <c r="J381" s="44"/>
      <c r="K381" s="41" t="str">
        <f t="shared" si="3"/>
        <v/>
      </c>
      <c r="L381" s="43" t="str">
        <f t="shared" si="4"/>
        <v/>
      </c>
      <c r="M381" s="48" t="str">
        <f t="shared" si="5"/>
        <v/>
      </c>
      <c r="N381" s="30"/>
    </row>
    <row r="382" ht="15.75" customHeight="1">
      <c r="A382" s="32"/>
      <c r="B382" s="15"/>
      <c r="C382" s="52" t="str">
        <f t="array" ref="C382">IFERROR(INDEX('3. Costeo y Precios'!$B$14:$B$63,MATCH($B382,'3. Costeo y Precios'!$A$14:$A$63,0)),"")</f>
        <v/>
      </c>
      <c r="D382" s="30"/>
      <c r="E382" s="15"/>
      <c r="F382" s="16"/>
      <c r="G382" s="41" t="str">
        <f t="shared" si="1"/>
        <v/>
      </c>
      <c r="H382" s="38">
        <f t="array" ref="H382">IFERROR(INDEX('3. Costeo y Precios'!$K$14:$K$63,MATCH($B382,'3. Costeo y Precios'!$A$14:$A$63,0)),0)</f>
        <v>0</v>
      </c>
      <c r="I382" s="41" t="str">
        <f t="shared" si="2"/>
        <v/>
      </c>
      <c r="J382" s="44"/>
      <c r="K382" s="41" t="str">
        <f t="shared" si="3"/>
        <v/>
      </c>
      <c r="L382" s="43" t="str">
        <f t="shared" si="4"/>
        <v/>
      </c>
      <c r="M382" s="48" t="str">
        <f t="shared" si="5"/>
        <v/>
      </c>
      <c r="N382" s="30"/>
    </row>
    <row r="383" ht="15.75" customHeight="1">
      <c r="A383" s="32"/>
      <c r="B383" s="15"/>
      <c r="C383" s="52" t="str">
        <f t="array" ref="C383">IFERROR(INDEX('3. Costeo y Precios'!$B$14:$B$63,MATCH($B383,'3. Costeo y Precios'!$A$14:$A$63,0)),"")</f>
        <v/>
      </c>
      <c r="D383" s="30"/>
      <c r="E383" s="15"/>
      <c r="F383" s="16"/>
      <c r="G383" s="41" t="str">
        <f t="shared" si="1"/>
        <v/>
      </c>
      <c r="H383" s="38">
        <f t="array" ref="H383">IFERROR(INDEX('3. Costeo y Precios'!$K$14:$K$63,MATCH($B383,'3. Costeo y Precios'!$A$14:$A$63,0)),0)</f>
        <v>0</v>
      </c>
      <c r="I383" s="41" t="str">
        <f t="shared" si="2"/>
        <v/>
      </c>
      <c r="J383" s="44"/>
      <c r="K383" s="41" t="str">
        <f t="shared" si="3"/>
        <v/>
      </c>
      <c r="L383" s="43" t="str">
        <f t="shared" si="4"/>
        <v/>
      </c>
      <c r="M383" s="48" t="str">
        <f t="shared" si="5"/>
        <v/>
      </c>
      <c r="N383" s="30"/>
    </row>
    <row r="384" ht="15.75" customHeight="1">
      <c r="A384" s="32"/>
      <c r="B384" s="15"/>
      <c r="C384" s="52" t="str">
        <f t="array" ref="C384">IFERROR(INDEX('3. Costeo y Precios'!$B$14:$B$63,MATCH($B384,'3. Costeo y Precios'!$A$14:$A$63,0)),"")</f>
        <v/>
      </c>
      <c r="D384" s="30"/>
      <c r="E384" s="15"/>
      <c r="F384" s="16"/>
      <c r="G384" s="41" t="str">
        <f t="shared" si="1"/>
        <v/>
      </c>
      <c r="H384" s="38">
        <f t="array" ref="H384">IFERROR(INDEX('3. Costeo y Precios'!$K$14:$K$63,MATCH($B384,'3. Costeo y Precios'!$A$14:$A$63,0)),0)</f>
        <v>0</v>
      </c>
      <c r="I384" s="41" t="str">
        <f t="shared" si="2"/>
        <v/>
      </c>
      <c r="J384" s="44"/>
      <c r="K384" s="41" t="str">
        <f t="shared" si="3"/>
        <v/>
      </c>
      <c r="L384" s="43" t="str">
        <f t="shared" si="4"/>
        <v/>
      </c>
      <c r="M384" s="48" t="str">
        <f t="shared" si="5"/>
        <v/>
      </c>
      <c r="N384" s="30"/>
    </row>
    <row r="385" ht="15.75" customHeight="1">
      <c r="A385" s="32"/>
      <c r="B385" s="15"/>
      <c r="C385" s="52" t="str">
        <f t="array" ref="C385">IFERROR(INDEX('3. Costeo y Precios'!$B$14:$B$63,MATCH($B385,'3. Costeo y Precios'!$A$14:$A$63,0)),"")</f>
        <v/>
      </c>
      <c r="D385" s="30"/>
      <c r="E385" s="15"/>
      <c r="F385" s="16"/>
      <c r="G385" s="41" t="str">
        <f t="shared" si="1"/>
        <v/>
      </c>
      <c r="H385" s="38">
        <f t="array" ref="H385">IFERROR(INDEX('3. Costeo y Precios'!$K$14:$K$63,MATCH($B385,'3. Costeo y Precios'!$A$14:$A$63,0)),0)</f>
        <v>0</v>
      </c>
      <c r="I385" s="41" t="str">
        <f t="shared" si="2"/>
        <v/>
      </c>
      <c r="J385" s="44"/>
      <c r="K385" s="41" t="str">
        <f t="shared" si="3"/>
        <v/>
      </c>
      <c r="L385" s="43" t="str">
        <f t="shared" si="4"/>
        <v/>
      </c>
      <c r="M385" s="48" t="str">
        <f t="shared" si="5"/>
        <v/>
      </c>
      <c r="N385" s="30"/>
    </row>
    <row r="386" ht="15.75" customHeight="1">
      <c r="A386" s="32"/>
      <c r="B386" s="15"/>
      <c r="C386" s="52" t="str">
        <f t="array" ref="C386">IFERROR(INDEX('3. Costeo y Precios'!$B$14:$B$63,MATCH($B386,'3. Costeo y Precios'!$A$14:$A$63,0)),"")</f>
        <v/>
      </c>
      <c r="D386" s="30"/>
      <c r="E386" s="15"/>
      <c r="F386" s="16"/>
      <c r="G386" s="41" t="str">
        <f t="shared" si="1"/>
        <v/>
      </c>
      <c r="H386" s="38">
        <f t="array" ref="H386">IFERROR(INDEX('3. Costeo y Precios'!$K$14:$K$63,MATCH($B386,'3. Costeo y Precios'!$A$14:$A$63,0)),0)</f>
        <v>0</v>
      </c>
      <c r="I386" s="41" t="str">
        <f t="shared" si="2"/>
        <v/>
      </c>
      <c r="J386" s="44"/>
      <c r="K386" s="41" t="str">
        <f t="shared" si="3"/>
        <v/>
      </c>
      <c r="L386" s="43" t="str">
        <f t="shared" si="4"/>
        <v/>
      </c>
      <c r="M386" s="48" t="str">
        <f t="shared" si="5"/>
        <v/>
      </c>
      <c r="N386" s="30"/>
    </row>
    <row r="387" ht="15.75" customHeight="1">
      <c r="A387" s="32"/>
      <c r="B387" s="15"/>
      <c r="C387" s="52" t="str">
        <f t="array" ref="C387">IFERROR(INDEX('3. Costeo y Precios'!$B$14:$B$63,MATCH($B387,'3. Costeo y Precios'!$A$14:$A$63,0)),"")</f>
        <v/>
      </c>
      <c r="D387" s="30"/>
      <c r="E387" s="15"/>
      <c r="F387" s="16"/>
      <c r="G387" s="41" t="str">
        <f t="shared" si="1"/>
        <v/>
      </c>
      <c r="H387" s="38">
        <f t="array" ref="H387">IFERROR(INDEX('3. Costeo y Precios'!$K$14:$K$63,MATCH($B387,'3. Costeo y Precios'!$A$14:$A$63,0)),0)</f>
        <v>0</v>
      </c>
      <c r="I387" s="41" t="str">
        <f t="shared" si="2"/>
        <v/>
      </c>
      <c r="J387" s="44"/>
      <c r="K387" s="41" t="str">
        <f t="shared" si="3"/>
        <v/>
      </c>
      <c r="L387" s="43" t="str">
        <f t="shared" si="4"/>
        <v/>
      </c>
      <c r="M387" s="48" t="str">
        <f t="shared" si="5"/>
        <v/>
      </c>
      <c r="N387" s="30"/>
    </row>
    <row r="388" ht="15.75" customHeight="1">
      <c r="A388" s="32"/>
      <c r="B388" s="15"/>
      <c r="C388" s="52" t="str">
        <f t="array" ref="C388">IFERROR(INDEX('3. Costeo y Precios'!$B$14:$B$63,MATCH($B388,'3. Costeo y Precios'!$A$14:$A$63,0)),"")</f>
        <v/>
      </c>
      <c r="D388" s="30"/>
      <c r="E388" s="15"/>
      <c r="F388" s="16"/>
      <c r="G388" s="41" t="str">
        <f t="shared" si="1"/>
        <v/>
      </c>
      <c r="H388" s="38">
        <f t="array" ref="H388">IFERROR(INDEX('3. Costeo y Precios'!$K$14:$K$63,MATCH($B388,'3. Costeo y Precios'!$A$14:$A$63,0)),0)</f>
        <v>0</v>
      </c>
      <c r="I388" s="41" t="str">
        <f t="shared" si="2"/>
        <v/>
      </c>
      <c r="J388" s="44"/>
      <c r="K388" s="41" t="str">
        <f t="shared" si="3"/>
        <v/>
      </c>
      <c r="L388" s="43" t="str">
        <f t="shared" si="4"/>
        <v/>
      </c>
      <c r="M388" s="48" t="str">
        <f t="shared" si="5"/>
        <v/>
      </c>
      <c r="N388" s="30"/>
    </row>
    <row r="389" ht="15.75" customHeight="1">
      <c r="A389" s="32"/>
      <c r="B389" s="15"/>
      <c r="C389" s="52" t="str">
        <f t="array" ref="C389">IFERROR(INDEX('3. Costeo y Precios'!$B$14:$B$63,MATCH($B389,'3. Costeo y Precios'!$A$14:$A$63,0)),"")</f>
        <v/>
      </c>
      <c r="D389" s="30"/>
      <c r="E389" s="15"/>
      <c r="F389" s="16"/>
      <c r="G389" s="41" t="str">
        <f t="shared" si="1"/>
        <v/>
      </c>
      <c r="H389" s="38">
        <f t="array" ref="H389">IFERROR(INDEX('3. Costeo y Precios'!$K$14:$K$63,MATCH($B389,'3. Costeo y Precios'!$A$14:$A$63,0)),0)</f>
        <v>0</v>
      </c>
      <c r="I389" s="41" t="str">
        <f t="shared" si="2"/>
        <v/>
      </c>
      <c r="J389" s="44"/>
      <c r="K389" s="41" t="str">
        <f t="shared" si="3"/>
        <v/>
      </c>
      <c r="L389" s="43" t="str">
        <f t="shared" si="4"/>
        <v/>
      </c>
      <c r="M389" s="48" t="str">
        <f t="shared" si="5"/>
        <v/>
      </c>
      <c r="N389" s="30"/>
    </row>
    <row r="390" ht="15.75" customHeight="1">
      <c r="A390" s="32"/>
      <c r="B390" s="15"/>
      <c r="C390" s="52" t="str">
        <f t="array" ref="C390">IFERROR(INDEX('3. Costeo y Precios'!$B$14:$B$63,MATCH($B390,'3. Costeo y Precios'!$A$14:$A$63,0)),"")</f>
        <v/>
      </c>
      <c r="D390" s="30"/>
      <c r="E390" s="15"/>
      <c r="F390" s="16"/>
      <c r="G390" s="41" t="str">
        <f t="shared" si="1"/>
        <v/>
      </c>
      <c r="H390" s="38">
        <f t="array" ref="H390">IFERROR(INDEX('3. Costeo y Precios'!$K$14:$K$63,MATCH($B390,'3. Costeo y Precios'!$A$14:$A$63,0)),0)</f>
        <v>0</v>
      </c>
      <c r="I390" s="41" t="str">
        <f t="shared" si="2"/>
        <v/>
      </c>
      <c r="J390" s="44"/>
      <c r="K390" s="41" t="str">
        <f t="shared" si="3"/>
        <v/>
      </c>
      <c r="L390" s="43" t="str">
        <f t="shared" si="4"/>
        <v/>
      </c>
      <c r="M390" s="48" t="str">
        <f t="shared" si="5"/>
        <v/>
      </c>
      <c r="N390" s="30"/>
    </row>
    <row r="391" ht="15.75" customHeight="1">
      <c r="A391" s="32"/>
      <c r="B391" s="15"/>
      <c r="C391" s="52" t="str">
        <f t="array" ref="C391">IFERROR(INDEX('3. Costeo y Precios'!$B$14:$B$63,MATCH($B391,'3. Costeo y Precios'!$A$14:$A$63,0)),"")</f>
        <v/>
      </c>
      <c r="D391" s="30"/>
      <c r="E391" s="15"/>
      <c r="F391" s="16"/>
      <c r="G391" s="41" t="str">
        <f t="shared" si="1"/>
        <v/>
      </c>
      <c r="H391" s="38">
        <f t="array" ref="H391">IFERROR(INDEX('3. Costeo y Precios'!$K$14:$K$63,MATCH($B391,'3. Costeo y Precios'!$A$14:$A$63,0)),0)</f>
        <v>0</v>
      </c>
      <c r="I391" s="41" t="str">
        <f t="shared" si="2"/>
        <v/>
      </c>
      <c r="J391" s="44"/>
      <c r="K391" s="41" t="str">
        <f t="shared" si="3"/>
        <v/>
      </c>
      <c r="L391" s="43" t="str">
        <f t="shared" si="4"/>
        <v/>
      </c>
      <c r="M391" s="48" t="str">
        <f t="shared" si="5"/>
        <v/>
      </c>
      <c r="N391" s="30"/>
    </row>
    <row r="392" ht="15.75" customHeight="1">
      <c r="A392" s="32"/>
      <c r="B392" s="15"/>
      <c r="C392" s="52" t="str">
        <f t="array" ref="C392">IFERROR(INDEX('3. Costeo y Precios'!$B$14:$B$63,MATCH($B392,'3. Costeo y Precios'!$A$14:$A$63,0)),"")</f>
        <v/>
      </c>
      <c r="D392" s="30"/>
      <c r="E392" s="15"/>
      <c r="F392" s="16"/>
      <c r="G392" s="41" t="str">
        <f t="shared" si="1"/>
        <v/>
      </c>
      <c r="H392" s="38">
        <f t="array" ref="H392">IFERROR(INDEX('3. Costeo y Precios'!$K$14:$K$63,MATCH($B392,'3. Costeo y Precios'!$A$14:$A$63,0)),0)</f>
        <v>0</v>
      </c>
      <c r="I392" s="41" t="str">
        <f t="shared" si="2"/>
        <v/>
      </c>
      <c r="J392" s="44"/>
      <c r="K392" s="41" t="str">
        <f t="shared" si="3"/>
        <v/>
      </c>
      <c r="L392" s="43" t="str">
        <f t="shared" si="4"/>
        <v/>
      </c>
      <c r="M392" s="48" t="str">
        <f t="shared" si="5"/>
        <v/>
      </c>
      <c r="N392" s="30"/>
    </row>
    <row r="393" ht="15.75" customHeight="1">
      <c r="A393" s="32"/>
      <c r="B393" s="15"/>
      <c r="C393" s="52" t="str">
        <f t="array" ref="C393">IFERROR(INDEX('3. Costeo y Precios'!$B$14:$B$63,MATCH($B393,'3. Costeo y Precios'!$A$14:$A$63,0)),"")</f>
        <v/>
      </c>
      <c r="D393" s="30"/>
      <c r="E393" s="15"/>
      <c r="F393" s="16"/>
      <c r="G393" s="41" t="str">
        <f t="shared" si="1"/>
        <v/>
      </c>
      <c r="H393" s="38">
        <f t="array" ref="H393">IFERROR(INDEX('3. Costeo y Precios'!$K$14:$K$63,MATCH($B393,'3. Costeo y Precios'!$A$14:$A$63,0)),0)</f>
        <v>0</v>
      </c>
      <c r="I393" s="41" t="str">
        <f t="shared" si="2"/>
        <v/>
      </c>
      <c r="J393" s="44"/>
      <c r="K393" s="41" t="str">
        <f t="shared" si="3"/>
        <v/>
      </c>
      <c r="L393" s="43" t="str">
        <f t="shared" si="4"/>
        <v/>
      </c>
      <c r="M393" s="48" t="str">
        <f t="shared" si="5"/>
        <v/>
      </c>
      <c r="N393" s="30"/>
    </row>
    <row r="394" ht="15.75" customHeight="1">
      <c r="A394" s="32"/>
      <c r="B394" s="15"/>
      <c r="C394" s="52" t="str">
        <f t="array" ref="C394">IFERROR(INDEX('3. Costeo y Precios'!$B$14:$B$63,MATCH($B394,'3. Costeo y Precios'!$A$14:$A$63,0)),"")</f>
        <v/>
      </c>
      <c r="D394" s="30"/>
      <c r="E394" s="15"/>
      <c r="F394" s="16"/>
      <c r="G394" s="41" t="str">
        <f t="shared" si="1"/>
        <v/>
      </c>
      <c r="H394" s="38">
        <f t="array" ref="H394">IFERROR(INDEX('3. Costeo y Precios'!$K$14:$K$63,MATCH($B394,'3. Costeo y Precios'!$A$14:$A$63,0)),0)</f>
        <v>0</v>
      </c>
      <c r="I394" s="41" t="str">
        <f t="shared" si="2"/>
        <v/>
      </c>
      <c r="J394" s="44"/>
      <c r="K394" s="41" t="str">
        <f t="shared" si="3"/>
        <v/>
      </c>
      <c r="L394" s="43" t="str">
        <f t="shared" si="4"/>
        <v/>
      </c>
      <c r="M394" s="48" t="str">
        <f t="shared" si="5"/>
        <v/>
      </c>
      <c r="N394" s="30"/>
    </row>
    <row r="395" ht="15.75" customHeight="1">
      <c r="A395" s="32"/>
      <c r="B395" s="15"/>
      <c r="C395" s="52" t="str">
        <f t="array" ref="C395">IFERROR(INDEX('3. Costeo y Precios'!$B$14:$B$63,MATCH($B395,'3. Costeo y Precios'!$A$14:$A$63,0)),"")</f>
        <v/>
      </c>
      <c r="D395" s="30"/>
      <c r="E395" s="15"/>
      <c r="F395" s="16"/>
      <c r="G395" s="41" t="str">
        <f t="shared" si="1"/>
        <v/>
      </c>
      <c r="H395" s="38">
        <f t="array" ref="H395">IFERROR(INDEX('3. Costeo y Precios'!$K$14:$K$63,MATCH($B395,'3. Costeo y Precios'!$A$14:$A$63,0)),0)</f>
        <v>0</v>
      </c>
      <c r="I395" s="41" t="str">
        <f t="shared" si="2"/>
        <v/>
      </c>
      <c r="J395" s="44"/>
      <c r="K395" s="41" t="str">
        <f t="shared" si="3"/>
        <v/>
      </c>
      <c r="L395" s="43" t="str">
        <f t="shared" si="4"/>
        <v/>
      </c>
      <c r="M395" s="48" t="str">
        <f t="shared" si="5"/>
        <v/>
      </c>
      <c r="N395" s="30"/>
    </row>
    <row r="396" ht="15.75" customHeight="1">
      <c r="A396" s="32"/>
      <c r="B396" s="15"/>
      <c r="C396" s="52" t="str">
        <f t="array" ref="C396">IFERROR(INDEX('3. Costeo y Precios'!$B$14:$B$63,MATCH($B396,'3. Costeo y Precios'!$A$14:$A$63,0)),"")</f>
        <v/>
      </c>
      <c r="D396" s="30"/>
      <c r="E396" s="15"/>
      <c r="F396" s="16"/>
      <c r="G396" s="41" t="str">
        <f t="shared" si="1"/>
        <v/>
      </c>
      <c r="H396" s="38">
        <f t="array" ref="H396">IFERROR(INDEX('3. Costeo y Precios'!$K$14:$K$63,MATCH($B396,'3. Costeo y Precios'!$A$14:$A$63,0)),0)</f>
        <v>0</v>
      </c>
      <c r="I396" s="41" t="str">
        <f t="shared" si="2"/>
        <v/>
      </c>
      <c r="J396" s="44"/>
      <c r="K396" s="41" t="str">
        <f t="shared" si="3"/>
        <v/>
      </c>
      <c r="L396" s="43" t="str">
        <f t="shared" si="4"/>
        <v/>
      </c>
      <c r="M396" s="48" t="str">
        <f t="shared" si="5"/>
        <v/>
      </c>
      <c r="N396" s="30"/>
    </row>
    <row r="397" ht="15.75" customHeight="1">
      <c r="A397" s="32"/>
      <c r="B397" s="15"/>
      <c r="C397" s="52" t="str">
        <f t="array" ref="C397">IFERROR(INDEX('3. Costeo y Precios'!$B$14:$B$63,MATCH($B397,'3. Costeo y Precios'!$A$14:$A$63,0)),"")</f>
        <v/>
      </c>
      <c r="D397" s="30"/>
      <c r="E397" s="15"/>
      <c r="F397" s="16"/>
      <c r="G397" s="41" t="str">
        <f t="shared" si="1"/>
        <v/>
      </c>
      <c r="H397" s="38">
        <f t="array" ref="H397">IFERROR(INDEX('3. Costeo y Precios'!$K$14:$K$63,MATCH($B397,'3. Costeo y Precios'!$A$14:$A$63,0)),0)</f>
        <v>0</v>
      </c>
      <c r="I397" s="41" t="str">
        <f t="shared" si="2"/>
        <v/>
      </c>
      <c r="J397" s="44"/>
      <c r="K397" s="41" t="str">
        <f t="shared" si="3"/>
        <v/>
      </c>
      <c r="L397" s="43" t="str">
        <f t="shared" si="4"/>
        <v/>
      </c>
      <c r="M397" s="48" t="str">
        <f t="shared" si="5"/>
        <v/>
      </c>
      <c r="N397" s="30"/>
    </row>
    <row r="398" ht="15.75" customHeight="1">
      <c r="A398" s="32"/>
      <c r="B398" s="15"/>
      <c r="C398" s="52" t="str">
        <f t="array" ref="C398">IFERROR(INDEX('3. Costeo y Precios'!$B$14:$B$63,MATCH($B398,'3. Costeo y Precios'!$A$14:$A$63,0)),"")</f>
        <v/>
      </c>
      <c r="D398" s="30"/>
      <c r="E398" s="15"/>
      <c r="F398" s="16"/>
      <c r="G398" s="41" t="str">
        <f t="shared" si="1"/>
        <v/>
      </c>
      <c r="H398" s="38">
        <f t="array" ref="H398">IFERROR(INDEX('3. Costeo y Precios'!$K$14:$K$63,MATCH($B398,'3. Costeo y Precios'!$A$14:$A$63,0)),0)</f>
        <v>0</v>
      </c>
      <c r="I398" s="41" t="str">
        <f t="shared" si="2"/>
        <v/>
      </c>
      <c r="J398" s="44"/>
      <c r="K398" s="41" t="str">
        <f t="shared" si="3"/>
        <v/>
      </c>
      <c r="L398" s="43" t="str">
        <f t="shared" si="4"/>
        <v/>
      </c>
      <c r="M398" s="48" t="str">
        <f t="shared" si="5"/>
        <v/>
      </c>
      <c r="N398" s="30"/>
    </row>
    <row r="399" ht="15.75" customHeight="1">
      <c r="A399" s="32"/>
      <c r="B399" s="15"/>
      <c r="C399" s="52" t="str">
        <f t="array" ref="C399">IFERROR(INDEX('3. Costeo y Precios'!$B$14:$B$63,MATCH($B399,'3. Costeo y Precios'!$A$14:$A$63,0)),"")</f>
        <v/>
      </c>
      <c r="D399" s="30"/>
      <c r="E399" s="15"/>
      <c r="F399" s="16"/>
      <c r="G399" s="41" t="str">
        <f t="shared" si="1"/>
        <v/>
      </c>
      <c r="H399" s="38">
        <f t="array" ref="H399">IFERROR(INDEX('3. Costeo y Precios'!$K$14:$K$63,MATCH($B399,'3. Costeo y Precios'!$A$14:$A$63,0)),0)</f>
        <v>0</v>
      </c>
      <c r="I399" s="41" t="str">
        <f t="shared" si="2"/>
        <v/>
      </c>
      <c r="J399" s="44"/>
      <c r="K399" s="41" t="str">
        <f t="shared" si="3"/>
        <v/>
      </c>
      <c r="L399" s="43" t="str">
        <f t="shared" si="4"/>
        <v/>
      </c>
      <c r="M399" s="48" t="str">
        <f t="shared" si="5"/>
        <v/>
      </c>
      <c r="N399" s="30"/>
    </row>
    <row r="400" ht="15.75" customHeight="1">
      <c r="A400" s="32"/>
      <c r="B400" s="15"/>
      <c r="C400" s="52" t="str">
        <f t="array" ref="C400">IFERROR(INDEX('3. Costeo y Precios'!$B$14:$B$63,MATCH($B400,'3. Costeo y Precios'!$A$14:$A$63,0)),"")</f>
        <v/>
      </c>
      <c r="D400" s="30"/>
      <c r="E400" s="15"/>
      <c r="F400" s="16"/>
      <c r="G400" s="41" t="str">
        <f t="shared" si="1"/>
        <v/>
      </c>
      <c r="H400" s="38">
        <f t="array" ref="H400">IFERROR(INDEX('3. Costeo y Precios'!$K$14:$K$63,MATCH($B400,'3. Costeo y Precios'!$A$14:$A$63,0)),0)</f>
        <v>0</v>
      </c>
      <c r="I400" s="41" t="str">
        <f t="shared" si="2"/>
        <v/>
      </c>
      <c r="J400" s="44"/>
      <c r="K400" s="41" t="str">
        <f t="shared" si="3"/>
        <v/>
      </c>
      <c r="L400" s="43" t="str">
        <f t="shared" si="4"/>
        <v/>
      </c>
      <c r="M400" s="48" t="str">
        <f t="shared" si="5"/>
        <v/>
      </c>
      <c r="N400" s="30"/>
    </row>
    <row r="401" ht="15.75" customHeight="1">
      <c r="A401" s="32"/>
      <c r="B401" s="15"/>
      <c r="C401" s="52" t="str">
        <f t="array" ref="C401">IFERROR(INDEX('3. Costeo y Precios'!$B$14:$B$63,MATCH($B401,'3. Costeo y Precios'!$A$14:$A$63,0)),"")</f>
        <v/>
      </c>
      <c r="D401" s="30"/>
      <c r="E401" s="15"/>
      <c r="F401" s="16"/>
      <c r="G401" s="41" t="str">
        <f t="shared" si="1"/>
        <v/>
      </c>
      <c r="H401" s="38">
        <f t="array" ref="H401">IFERROR(INDEX('3. Costeo y Precios'!$K$14:$K$63,MATCH($B401,'3. Costeo y Precios'!$A$14:$A$63,0)),0)</f>
        <v>0</v>
      </c>
      <c r="I401" s="41" t="str">
        <f t="shared" si="2"/>
        <v/>
      </c>
      <c r="J401" s="44"/>
      <c r="K401" s="41" t="str">
        <f t="shared" si="3"/>
        <v/>
      </c>
      <c r="L401" s="43" t="str">
        <f t="shared" si="4"/>
        <v/>
      </c>
      <c r="M401" s="48" t="str">
        <f t="shared" si="5"/>
        <v/>
      </c>
      <c r="N401" s="30"/>
    </row>
    <row r="402" ht="15.75" customHeight="1">
      <c r="A402" s="32"/>
      <c r="B402" s="15"/>
      <c r="C402" s="52" t="str">
        <f t="array" ref="C402">IFERROR(INDEX('3. Costeo y Precios'!$B$14:$B$63,MATCH($B402,'3. Costeo y Precios'!$A$14:$A$63,0)),"")</f>
        <v/>
      </c>
      <c r="D402" s="30"/>
      <c r="E402" s="15"/>
      <c r="F402" s="16"/>
      <c r="G402" s="41" t="str">
        <f t="shared" si="1"/>
        <v/>
      </c>
      <c r="H402" s="38">
        <f t="array" ref="H402">IFERROR(INDEX('3. Costeo y Precios'!$K$14:$K$63,MATCH($B402,'3. Costeo y Precios'!$A$14:$A$63,0)),0)</f>
        <v>0</v>
      </c>
      <c r="I402" s="41" t="str">
        <f t="shared" si="2"/>
        <v/>
      </c>
      <c r="J402" s="44"/>
      <c r="K402" s="41" t="str">
        <f t="shared" si="3"/>
        <v/>
      </c>
      <c r="L402" s="43" t="str">
        <f t="shared" si="4"/>
        <v/>
      </c>
      <c r="M402" s="48" t="str">
        <f t="shared" si="5"/>
        <v/>
      </c>
      <c r="N402" s="30"/>
    </row>
    <row r="403" ht="15.75" customHeight="1">
      <c r="A403" s="32"/>
      <c r="B403" s="15"/>
      <c r="C403" s="52" t="str">
        <f t="array" ref="C403">IFERROR(INDEX('3. Costeo y Precios'!$B$14:$B$63,MATCH($B403,'3. Costeo y Precios'!$A$14:$A$63,0)),"")</f>
        <v/>
      </c>
      <c r="D403" s="30"/>
      <c r="E403" s="15"/>
      <c r="F403" s="16"/>
      <c r="G403" s="41" t="str">
        <f t="shared" si="1"/>
        <v/>
      </c>
      <c r="H403" s="38">
        <f t="array" ref="H403">IFERROR(INDEX('3. Costeo y Precios'!$K$14:$K$63,MATCH($B403,'3. Costeo y Precios'!$A$14:$A$63,0)),0)</f>
        <v>0</v>
      </c>
      <c r="I403" s="41" t="str">
        <f t="shared" si="2"/>
        <v/>
      </c>
      <c r="J403" s="44"/>
      <c r="K403" s="41" t="str">
        <f t="shared" si="3"/>
        <v/>
      </c>
      <c r="L403" s="43" t="str">
        <f t="shared" si="4"/>
        <v/>
      </c>
      <c r="M403" s="48" t="str">
        <f t="shared" si="5"/>
        <v/>
      </c>
      <c r="N403" s="30"/>
    </row>
    <row r="404" ht="15.75" customHeight="1">
      <c r="A404" s="32"/>
      <c r="B404" s="15"/>
      <c r="C404" s="52" t="str">
        <f t="array" ref="C404">IFERROR(INDEX('3. Costeo y Precios'!$B$14:$B$63,MATCH($B404,'3. Costeo y Precios'!$A$14:$A$63,0)),"")</f>
        <v/>
      </c>
      <c r="D404" s="30"/>
      <c r="E404" s="15"/>
      <c r="F404" s="16"/>
      <c r="G404" s="41" t="str">
        <f t="shared" si="1"/>
        <v/>
      </c>
      <c r="H404" s="38">
        <f t="array" ref="H404">IFERROR(INDEX('3. Costeo y Precios'!$K$14:$K$63,MATCH($B404,'3. Costeo y Precios'!$A$14:$A$63,0)),0)</f>
        <v>0</v>
      </c>
      <c r="I404" s="41" t="str">
        <f t="shared" si="2"/>
        <v/>
      </c>
      <c r="J404" s="44"/>
      <c r="K404" s="41" t="str">
        <f t="shared" si="3"/>
        <v/>
      </c>
      <c r="L404" s="43" t="str">
        <f t="shared" si="4"/>
        <v/>
      </c>
      <c r="M404" s="48" t="str">
        <f t="shared" si="5"/>
        <v/>
      </c>
      <c r="N404" s="30"/>
    </row>
    <row r="405" ht="15.75" customHeight="1">
      <c r="A405" s="32"/>
      <c r="B405" s="15"/>
      <c r="C405" s="52" t="str">
        <f t="array" ref="C405">IFERROR(INDEX('3. Costeo y Precios'!$B$14:$B$63,MATCH($B405,'3. Costeo y Precios'!$A$14:$A$63,0)),"")</f>
        <v/>
      </c>
      <c r="D405" s="30"/>
      <c r="E405" s="15"/>
      <c r="F405" s="16"/>
      <c r="G405" s="41" t="str">
        <f t="shared" si="1"/>
        <v/>
      </c>
      <c r="H405" s="38">
        <f t="array" ref="H405">IFERROR(INDEX('3. Costeo y Precios'!$K$14:$K$63,MATCH($B405,'3. Costeo y Precios'!$A$14:$A$63,0)),0)</f>
        <v>0</v>
      </c>
      <c r="I405" s="41" t="str">
        <f t="shared" si="2"/>
        <v/>
      </c>
      <c r="J405" s="44"/>
      <c r="K405" s="41" t="str">
        <f t="shared" si="3"/>
        <v/>
      </c>
      <c r="L405" s="43" t="str">
        <f t="shared" si="4"/>
        <v/>
      </c>
      <c r="M405" s="48" t="str">
        <f t="shared" si="5"/>
        <v/>
      </c>
      <c r="N405" s="30"/>
    </row>
    <row r="406" ht="15.75" customHeight="1">
      <c r="A406" s="32"/>
      <c r="B406" s="15"/>
      <c r="C406" s="52" t="str">
        <f t="array" ref="C406">IFERROR(INDEX('3. Costeo y Precios'!$B$14:$B$63,MATCH($B406,'3. Costeo y Precios'!$A$14:$A$63,0)),"")</f>
        <v/>
      </c>
      <c r="D406" s="30"/>
      <c r="E406" s="15"/>
      <c r="F406" s="16"/>
      <c r="G406" s="41" t="str">
        <f t="shared" si="1"/>
        <v/>
      </c>
      <c r="H406" s="38">
        <f t="array" ref="H406">IFERROR(INDEX('3. Costeo y Precios'!$K$14:$K$63,MATCH($B406,'3. Costeo y Precios'!$A$14:$A$63,0)),0)</f>
        <v>0</v>
      </c>
      <c r="I406" s="41" t="str">
        <f t="shared" si="2"/>
        <v/>
      </c>
      <c r="J406" s="44"/>
      <c r="K406" s="41" t="str">
        <f t="shared" si="3"/>
        <v/>
      </c>
      <c r="L406" s="43" t="str">
        <f t="shared" si="4"/>
        <v/>
      </c>
      <c r="M406" s="48" t="str">
        <f t="shared" si="5"/>
        <v/>
      </c>
      <c r="N406" s="30"/>
    </row>
    <row r="407" ht="15.75" customHeight="1">
      <c r="A407" s="32"/>
      <c r="B407" s="15"/>
      <c r="C407" s="52" t="str">
        <f t="array" ref="C407">IFERROR(INDEX('3. Costeo y Precios'!$B$14:$B$63,MATCH($B407,'3. Costeo y Precios'!$A$14:$A$63,0)),"")</f>
        <v/>
      </c>
      <c r="D407" s="30"/>
      <c r="E407" s="15"/>
      <c r="F407" s="16"/>
      <c r="G407" s="41" t="str">
        <f t="shared" si="1"/>
        <v/>
      </c>
      <c r="H407" s="38">
        <f t="array" ref="H407">IFERROR(INDEX('3. Costeo y Precios'!$K$14:$K$63,MATCH($B407,'3. Costeo y Precios'!$A$14:$A$63,0)),0)</f>
        <v>0</v>
      </c>
      <c r="I407" s="41" t="str">
        <f t="shared" si="2"/>
        <v/>
      </c>
      <c r="J407" s="44"/>
      <c r="K407" s="41" t="str">
        <f t="shared" si="3"/>
        <v/>
      </c>
      <c r="L407" s="43" t="str">
        <f t="shared" si="4"/>
        <v/>
      </c>
      <c r="M407" s="48" t="str">
        <f t="shared" si="5"/>
        <v/>
      </c>
      <c r="N407" s="30"/>
    </row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7:$N$407"/>
  <mergeCells count="5">
    <mergeCell ref="A1:N1"/>
    <mergeCell ref="A3:C3"/>
    <mergeCell ref="A4:C4"/>
    <mergeCell ref="A5:C5"/>
    <mergeCell ref="A6:C6"/>
  </mergeCells>
  <dataValidations>
    <dataValidation type="list" allowBlank="1" sqref="D8:D407">
      <formula1>"Regalo gourmet,Restaurante,Recuerdo de evento,Mayoreo / banquete,Taller,Venta directa"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2.0"/>
    <col customWidth="1" min="3" max="3" width="18.0"/>
    <col customWidth="1" min="4" max="4" width="52.0"/>
    <col customWidth="1" min="5" max="26" width="8.71"/>
  </cols>
  <sheetData>
    <row r="1" ht="30.0" customHeight="1">
      <c r="A1" s="1" t="s">
        <v>402</v>
      </c>
      <c r="B1" s="2"/>
      <c r="C1" s="2"/>
      <c r="D1" s="3"/>
    </row>
    <row r="2">
      <c r="A2" s="4" t="s">
        <v>404</v>
      </c>
    </row>
    <row r="4">
      <c r="B4" s="56" t="s">
        <v>405</v>
      </c>
      <c r="C4" s="57"/>
      <c r="D4" s="57"/>
    </row>
    <row r="5">
      <c r="B5" s="29" t="s">
        <v>407</v>
      </c>
      <c r="C5" s="58">
        <v>2500.0</v>
      </c>
    </row>
    <row r="6">
      <c r="B6" s="29" t="s">
        <v>408</v>
      </c>
      <c r="C6" s="58">
        <v>200.0</v>
      </c>
    </row>
    <row r="7">
      <c r="B7" s="29" t="s">
        <v>409</v>
      </c>
      <c r="C7" s="58">
        <v>600.0</v>
      </c>
    </row>
    <row r="8">
      <c r="B8" s="29" t="s">
        <v>410</v>
      </c>
      <c r="C8" s="58">
        <v>1000.0</v>
      </c>
    </row>
    <row r="9">
      <c r="B9" s="29" t="s">
        <v>411</v>
      </c>
      <c r="C9" s="59">
        <v>200.0</v>
      </c>
    </row>
    <row r="10">
      <c r="B10" s="29" t="s">
        <v>412</v>
      </c>
      <c r="C10" s="59">
        <v>200.0</v>
      </c>
    </row>
    <row r="11">
      <c r="B11" s="29" t="s">
        <v>413</v>
      </c>
      <c r="C11" s="59">
        <v>200.0</v>
      </c>
    </row>
    <row r="12">
      <c r="B12" s="29" t="s">
        <v>414</v>
      </c>
      <c r="C12" s="58">
        <v>50.0</v>
      </c>
    </row>
    <row r="13">
      <c r="B13" s="29" t="s">
        <v>415</v>
      </c>
      <c r="C13" s="58">
        <v>1500.0</v>
      </c>
    </row>
    <row r="14">
      <c r="B14" s="29" t="s">
        <v>416</v>
      </c>
      <c r="C14" s="58">
        <v>700.0</v>
      </c>
    </row>
    <row r="15">
      <c r="B15" s="49" t="s">
        <v>417</v>
      </c>
      <c r="C15" s="46">
        <f>SUM(C5:C14)</f>
        <v>7150</v>
      </c>
      <c r="D15" s="33" t="s">
        <v>418</v>
      </c>
    </row>
    <row r="17">
      <c r="B17" s="56" t="s">
        <v>419</v>
      </c>
      <c r="C17" s="57"/>
      <c r="D17" s="57"/>
    </row>
    <row r="18">
      <c r="B18" s="29" t="s">
        <v>420</v>
      </c>
      <c r="C18" s="15">
        <v>200.0</v>
      </c>
    </row>
    <row r="19">
      <c r="B19" s="49" t="s">
        <v>421</v>
      </c>
      <c r="C19" s="60">
        <f>IFERROR($C$15/$C$18,0)</f>
        <v>35.75</v>
      </c>
      <c r="D19" s="33" t="s">
        <v>422</v>
      </c>
    </row>
    <row r="21" ht="15.75" customHeight="1">
      <c r="B21" s="56" t="s">
        <v>423</v>
      </c>
      <c r="C21" s="57"/>
      <c r="D21" s="57"/>
    </row>
    <row r="22" ht="15.75" customHeight="1">
      <c r="B22" s="29" t="s">
        <v>424</v>
      </c>
      <c r="C22" s="59">
        <v>12000.0</v>
      </c>
    </row>
    <row r="23" ht="15.75" customHeight="1">
      <c r="B23" s="29" t="s">
        <v>426</v>
      </c>
      <c r="C23" s="15">
        <v>160.0</v>
      </c>
    </row>
    <row r="24" ht="15.75" customHeight="1">
      <c r="B24" s="49" t="s">
        <v>427</v>
      </c>
      <c r="C24" s="60">
        <f>IFERROR($C$22/$C$23,0)</f>
        <v>75</v>
      </c>
    </row>
    <row r="25" ht="15.75" customHeight="1"/>
    <row r="26" ht="15.75" customHeight="1">
      <c r="B26" s="56" t="s">
        <v>428</v>
      </c>
      <c r="C26" s="57"/>
      <c r="D26" s="57"/>
    </row>
    <row r="27" ht="15.75" customHeight="1">
      <c r="B27" s="29" t="s">
        <v>429</v>
      </c>
      <c r="C27" s="38">
        <f>IFERROR(AVERAGE('3. Costeo y Precios'!$L$14:$L$63),0)</f>
        <v>533.8</v>
      </c>
      <c r="D27" s="33" t="s">
        <v>430</v>
      </c>
    </row>
    <row r="28" ht="15.75" customHeight="1">
      <c r="B28" s="29" t="s">
        <v>432</v>
      </c>
      <c r="C28" s="38">
        <f>IFERROR(AVERAGE('3. Costeo y Precios'!$K$14:$K$63),0)</f>
        <v>211.6272549</v>
      </c>
    </row>
    <row r="29" ht="15.75" customHeight="1">
      <c r="B29" s="29" t="s">
        <v>433</v>
      </c>
      <c r="C29" s="41">
        <f>$C$27-$C$28</f>
        <v>322.1727451</v>
      </c>
    </row>
    <row r="30" ht="15.75" customHeight="1">
      <c r="B30" s="49" t="s">
        <v>434</v>
      </c>
      <c r="C30" s="61">
        <f>IFERROR(ROUNDUP($C$15/$C$29,0),0)</f>
        <v>23</v>
      </c>
    </row>
    <row r="31" ht="15.75" customHeight="1">
      <c r="B31" s="49" t="s">
        <v>435</v>
      </c>
      <c r="C31" s="62">
        <f>$C$30*$C$27</f>
        <v>12277.4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8.0"/>
    <col customWidth="1" min="3" max="3" width="18.0"/>
    <col customWidth="1" min="4" max="4" width="6.0"/>
    <col customWidth="1" min="5" max="5" width="38.0"/>
    <col customWidth="1" min="6" max="6" width="18.0"/>
    <col customWidth="1" min="7" max="26" width="8.71"/>
  </cols>
  <sheetData>
    <row r="1" ht="30.0" customHeight="1">
      <c r="A1" s="1" t="s">
        <v>439</v>
      </c>
      <c r="B1" s="2"/>
      <c r="C1" s="2"/>
      <c r="D1" s="2"/>
      <c r="E1" s="2"/>
      <c r="F1" s="3"/>
    </row>
    <row r="2">
      <c r="A2" s="4" t="s">
        <v>440</v>
      </c>
    </row>
    <row r="4">
      <c r="B4" s="49" t="s">
        <v>441</v>
      </c>
      <c r="C4" s="63">
        <v>46235.0</v>
      </c>
    </row>
    <row r="5">
      <c r="B5" s="37" t="s">
        <v>442</v>
      </c>
      <c r="C5" s="64">
        <f>DATE(YEAR(C4),MONTH(C4),1)</f>
        <v>46235</v>
      </c>
    </row>
    <row r="6">
      <c r="B6" s="37" t="s">
        <v>443</v>
      </c>
      <c r="C6" s="64">
        <f>DATE(YEAR(C4),MONTH(C4)+1,1)</f>
        <v>46266</v>
      </c>
    </row>
    <row r="8">
      <c r="B8" s="56" t="s">
        <v>444</v>
      </c>
      <c r="C8" s="57"/>
      <c r="D8" s="57"/>
    </row>
    <row r="9">
      <c r="B9" s="49" t="s">
        <v>446</v>
      </c>
      <c r="C9" s="50">
        <f>SUMIFS('5. Ventas'!$E$8:$E$407,'5. Ventas'!$A$8:$A$407,"&gt;="&amp;$C$5,'5. Ventas'!$A$8:$A$407,"&lt;"&amp;$C$6)</f>
        <v>4</v>
      </c>
      <c r="E9" s="49" t="s">
        <v>447</v>
      </c>
      <c r="F9" s="50">
        <f>SUMIFS('4. Producción y Merma'!$F$8:$F$207,'4. Producción y Merma'!$A$8:$A$207,"&gt;="&amp;$C$5,'4. Producción y Merma'!$A$8:$A$207,"&lt;"&amp;$C$6)</f>
        <v>10</v>
      </c>
    </row>
    <row r="10">
      <c r="B10" s="49" t="s">
        <v>448</v>
      </c>
      <c r="C10" s="46">
        <f>SUMIFS('5. Ventas'!$G$8:$G$407,'5. Ventas'!$A$8:$A$407,"&gt;="&amp;$C$5,'5. Ventas'!$A$8:$A$407,"&lt;"&amp;$C$6)</f>
        <v>1280</v>
      </c>
      <c r="E10" s="49" t="s">
        <v>162</v>
      </c>
      <c r="F10" s="50">
        <f>SUMIFS('4. Producción y Merma'!$G$8:$G$207,'4. Producción y Merma'!$A$8:$A$207,"&gt;="&amp;$C$5,'4. Producción y Merma'!$A$8:$A$207,"&lt;"&amp;$C$6)</f>
        <v>2</v>
      </c>
    </row>
    <row r="11">
      <c r="B11" s="49" t="s">
        <v>449</v>
      </c>
      <c r="C11" s="46">
        <f>SUMIFS('5. Ventas'!$I$8:$I$407,'5. Ventas'!$A$8:$A$407,"&gt;="&amp;$C$5,'5. Ventas'!$A$8:$A$407,"&lt;"&amp;$C$6)</f>
        <v>696.9411765</v>
      </c>
      <c r="E11" s="49" t="s">
        <v>450</v>
      </c>
      <c r="F11" s="51">
        <f>IFERROR(F10/(F9+F10),0)</f>
        <v>0.1666666667</v>
      </c>
    </row>
    <row r="12">
      <c r="B12" s="49" t="s">
        <v>451</v>
      </c>
      <c r="C12" s="46">
        <f>SUMIFS('5. Ventas'!$L$8:$L$407,'5. Ventas'!$A$8:$A$407,"&gt;="&amp;$C$5,'5. Ventas'!$A$8:$A$407,"&lt;"&amp;$C$6)</f>
        <v>455.0588235</v>
      </c>
      <c r="E12" s="49" t="s">
        <v>453</v>
      </c>
      <c r="F12" s="46">
        <f>SUMIFS('4. Producción y Merma'!$K$8:$K$207,'4. Producción y Merma'!$A$8:$A$207,"&gt;="&amp;$C$5,'4. Producción y Merma'!$A$8:$A$207,"&lt;"&amp;$C$6)</f>
        <v>348.4705882</v>
      </c>
    </row>
    <row r="13">
      <c r="B13" s="49" t="s">
        <v>454</v>
      </c>
      <c r="C13" s="51">
        <f>IFERROR(C12/C10,0)</f>
        <v>0.3555147059</v>
      </c>
      <c r="E13" s="49" t="s">
        <v>455</v>
      </c>
      <c r="F13" s="51">
        <f>IFERROR(F12/C10,0)</f>
        <v>0.2722426471</v>
      </c>
    </row>
    <row r="14">
      <c r="B14" s="49" t="s">
        <v>456</v>
      </c>
      <c r="C14" s="45">
        <f>IFERROR(C10/C9,0)</f>
        <v>320</v>
      </c>
      <c r="E14" s="49" t="s">
        <v>457</v>
      </c>
      <c r="F14" s="50">
        <f>'6. Gastos Fijos'!$C$30</f>
        <v>23</v>
      </c>
    </row>
    <row r="15">
      <c r="B15" s="49" t="s">
        <v>458</v>
      </c>
      <c r="C15" s="46">
        <f>C12-'6. Gastos Fijos'!$C$15</f>
        <v>-6694.941176</v>
      </c>
      <c r="E15" s="49" t="s">
        <v>459</v>
      </c>
      <c r="F15" s="51">
        <f>IFERROR(C9/F14,0)</f>
        <v>0.1739130435</v>
      </c>
    </row>
    <row r="18">
      <c r="B18" s="27" t="s">
        <v>461</v>
      </c>
    </row>
    <row r="19" ht="31.5" customHeight="1">
      <c r="A19" s="65"/>
      <c r="B19" s="65" t="s">
        <v>330</v>
      </c>
      <c r="C19" s="65" t="s">
        <v>332</v>
      </c>
      <c r="D19" s="65"/>
      <c r="E19" s="65" t="s">
        <v>334</v>
      </c>
      <c r="F19" s="65" t="s">
        <v>338</v>
      </c>
    </row>
    <row r="20">
      <c r="B20" s="29" t="s">
        <v>344</v>
      </c>
      <c r="C20" s="66">
        <f>SUMIFS('5. Ventas'!$E$8:$E$407,'5. Ventas'!$A$8:$A$407,"&gt;="&amp;$C$5,'5. Ventas'!$A$8:$A$407,"&lt;"&amp;$C$6,'5. Ventas'!$D$8:$D$407,$B20)</f>
        <v>4</v>
      </c>
      <c r="E20" s="47">
        <f>SUMIFS('5. Ventas'!$G$8:$G$407,'5. Ventas'!$A$8:$A$407,"&gt;="&amp;$C$5,'5. Ventas'!$A$8:$A$407,"&lt;"&amp;$C$6,'5. Ventas'!$D$8:$D$407,$B20)</f>
        <v>1280</v>
      </c>
      <c r="F20" s="47">
        <f>SUMIFS('5. Ventas'!$L$8:$L$407,'5. Ventas'!$A$8:$A$407,"&gt;="&amp;$C$5,'5. Ventas'!$A$8:$A$407,"&lt;"&amp;$C$6,'5. Ventas'!$D$8:$D$407,$B20)</f>
        <v>455.0588235</v>
      </c>
    </row>
    <row r="21" ht="15.75" customHeight="1">
      <c r="B21" s="29" t="s">
        <v>463</v>
      </c>
      <c r="C21" s="66">
        <f>SUMIFS('5. Ventas'!$E$8:$E$407,'5. Ventas'!$A$8:$A$407,"&gt;="&amp;$C$5,'5. Ventas'!$A$8:$A$407,"&lt;"&amp;$C$6,'5. Ventas'!$D$8:$D$407,$B21)</f>
        <v>0</v>
      </c>
      <c r="E21" s="47">
        <f>SUMIFS('5. Ventas'!$G$8:$G$407,'5. Ventas'!$A$8:$A$407,"&gt;="&amp;$C$5,'5. Ventas'!$A$8:$A$407,"&lt;"&amp;$C$6,'5. Ventas'!$D$8:$D$407,$B21)</f>
        <v>0</v>
      </c>
      <c r="F21" s="47">
        <f>SUMIFS('5. Ventas'!$L$8:$L$407,'5. Ventas'!$A$8:$A$407,"&gt;="&amp;$C$5,'5. Ventas'!$A$8:$A$407,"&lt;"&amp;$C$6,'5. Ventas'!$D$8:$D$407,$B21)</f>
        <v>0</v>
      </c>
    </row>
    <row r="22" ht="15.75" customHeight="1">
      <c r="B22" s="29" t="s">
        <v>466</v>
      </c>
      <c r="C22" s="66">
        <f>SUMIFS('5. Ventas'!$E$8:$E$407,'5. Ventas'!$A$8:$A$407,"&gt;="&amp;$C$5,'5. Ventas'!$A$8:$A$407,"&lt;"&amp;$C$6,'5. Ventas'!$D$8:$D$407,$B22)</f>
        <v>0</v>
      </c>
      <c r="E22" s="47">
        <f>SUMIFS('5. Ventas'!$G$8:$G$407,'5. Ventas'!$A$8:$A$407,"&gt;="&amp;$C$5,'5. Ventas'!$A$8:$A$407,"&lt;"&amp;$C$6,'5. Ventas'!$D$8:$D$407,$B22)</f>
        <v>0</v>
      </c>
      <c r="F22" s="47">
        <f>SUMIFS('5. Ventas'!$L$8:$L$407,'5. Ventas'!$A$8:$A$407,"&gt;="&amp;$C$5,'5. Ventas'!$A$8:$A$407,"&lt;"&amp;$C$6,'5. Ventas'!$D$8:$D$407,$B22)</f>
        <v>0</v>
      </c>
    </row>
    <row r="23" ht="15.75" customHeight="1">
      <c r="B23" s="29" t="s">
        <v>467</v>
      </c>
      <c r="C23" s="66">
        <f>SUMIFS('5. Ventas'!$E$8:$E$407,'5. Ventas'!$A$8:$A$407,"&gt;="&amp;$C$5,'5. Ventas'!$A$8:$A$407,"&lt;"&amp;$C$6,'5. Ventas'!$D$8:$D$407,$B23)</f>
        <v>0</v>
      </c>
      <c r="E23" s="47">
        <f>SUMIFS('5. Ventas'!$G$8:$G$407,'5. Ventas'!$A$8:$A$407,"&gt;="&amp;$C$5,'5. Ventas'!$A$8:$A$407,"&lt;"&amp;$C$6,'5. Ventas'!$D$8:$D$407,$B23)</f>
        <v>0</v>
      </c>
      <c r="F23" s="47">
        <f>SUMIFS('5. Ventas'!$L$8:$L$407,'5. Ventas'!$A$8:$A$407,"&gt;="&amp;$C$5,'5. Ventas'!$A$8:$A$407,"&lt;"&amp;$C$6,'5. Ventas'!$D$8:$D$407,$B23)</f>
        <v>0</v>
      </c>
    </row>
    <row r="24" ht="15.75" customHeight="1">
      <c r="B24" s="29" t="s">
        <v>468</v>
      </c>
      <c r="C24" s="66">
        <f>SUMIFS('5. Ventas'!$E$8:$E$407,'5. Ventas'!$A$8:$A$407,"&gt;="&amp;$C$5,'5. Ventas'!$A$8:$A$407,"&lt;"&amp;$C$6,'5. Ventas'!$D$8:$D$407,$B24)</f>
        <v>0</v>
      </c>
      <c r="E24" s="47">
        <f>SUMIFS('5. Ventas'!$G$8:$G$407,'5. Ventas'!$A$8:$A$407,"&gt;="&amp;$C$5,'5. Ventas'!$A$8:$A$407,"&lt;"&amp;$C$6,'5. Ventas'!$D$8:$D$407,$B24)</f>
        <v>0</v>
      </c>
      <c r="F24" s="47">
        <f>SUMIFS('5. Ventas'!$L$8:$L$407,'5. Ventas'!$A$8:$A$407,"&gt;="&amp;$C$5,'5. Ventas'!$A$8:$A$407,"&lt;"&amp;$C$6,'5. Ventas'!$D$8:$D$407,$B24)</f>
        <v>0</v>
      </c>
    </row>
    <row r="25" ht="15.75" customHeight="1">
      <c r="B25" s="29" t="s">
        <v>471</v>
      </c>
      <c r="C25" s="66">
        <f>SUMIFS('5. Ventas'!$E$8:$E$407,'5. Ventas'!$A$8:$A$407,"&gt;="&amp;$C$5,'5. Ventas'!$A$8:$A$407,"&lt;"&amp;$C$6,'5. Ventas'!$D$8:$D$407,$B25)</f>
        <v>0</v>
      </c>
      <c r="E25" s="47">
        <f>SUMIFS('5. Ventas'!$G$8:$G$407,'5. Ventas'!$A$8:$A$407,"&gt;="&amp;$C$5,'5. Ventas'!$A$8:$A$407,"&lt;"&amp;$C$6,'5. Ventas'!$D$8:$D$407,$B25)</f>
        <v>0</v>
      </c>
      <c r="F25" s="47">
        <f>SUMIFS('5. Ventas'!$L$8:$L$407,'5. Ventas'!$A$8:$A$407,"&gt;="&amp;$C$5,'5. Ventas'!$A$8:$A$407,"&lt;"&amp;$C$6,'5. Ventas'!$D$8:$D$407,$B25)</f>
        <v>0</v>
      </c>
    </row>
    <row r="26" ht="15.75" customHeight="1"/>
    <row r="27" ht="15.75" customHeight="1"/>
    <row r="28" ht="15.75" customHeight="1">
      <c r="B28" s="27" t="s">
        <v>472</v>
      </c>
    </row>
    <row r="29" ht="31.5" customHeight="1">
      <c r="A29" s="65" t="s">
        <v>71</v>
      </c>
      <c r="B29" s="65" t="s">
        <v>77</v>
      </c>
      <c r="C29" s="65" t="s">
        <v>332</v>
      </c>
      <c r="D29" s="65"/>
      <c r="E29" s="65" t="s">
        <v>334</v>
      </c>
      <c r="F29" s="65" t="s">
        <v>338</v>
      </c>
    </row>
    <row r="30" ht="15.75" customHeight="1">
      <c r="A30" s="14">
        <v>1.0</v>
      </c>
      <c r="B30" s="67" t="s">
        <v>93</v>
      </c>
      <c r="C30" s="66">
        <f>SUMIFS('5. Ventas'!$E$8:$E$407,'5. Ventas'!$A$8:$A$407,"&gt;="&amp;$C$5,'5. Ventas'!$A$8:$A$407,"&lt;"&amp;$C$6,'5. Ventas'!$B$8:$B$407,$A30)</f>
        <v>4</v>
      </c>
      <c r="E30" s="47">
        <f>SUMIFS('5. Ventas'!$G$8:$G$407,'5. Ventas'!$A$8:$A$407,"&gt;="&amp;$C$5,'5. Ventas'!$A$8:$A$407,"&lt;"&amp;$C$6,'5. Ventas'!$B$8:$B$407,$A30)</f>
        <v>1280</v>
      </c>
      <c r="F30" s="47">
        <f>SUMIFS('5. Ventas'!$L$8:$L$407,'5. Ventas'!$A$8:$A$407,"&gt;="&amp;$C$5,'5. Ventas'!$A$8:$A$407,"&lt;"&amp;$C$6,'5. Ventas'!$B$8:$B$407,$A30)</f>
        <v>455.0588235</v>
      </c>
    </row>
    <row r="31" ht="15.75" customHeight="1">
      <c r="A31" s="14">
        <v>2.0</v>
      </c>
      <c r="B31" s="67" t="s">
        <v>139</v>
      </c>
      <c r="C31" s="66">
        <f>SUMIFS('5. Ventas'!$E$8:$E$407,'5. Ventas'!$A$8:$A$407,"&gt;="&amp;$C$5,'5. Ventas'!$A$8:$A$407,"&lt;"&amp;$C$6,'5. Ventas'!$B$8:$B$407,$A31)</f>
        <v>0</v>
      </c>
      <c r="E31" s="47">
        <f>SUMIFS('5. Ventas'!$G$8:$G$407,'5. Ventas'!$A$8:$A$407,"&gt;="&amp;$C$5,'5. Ventas'!$A$8:$A$407,"&lt;"&amp;$C$6,'5. Ventas'!$B$8:$B$407,$A31)</f>
        <v>0</v>
      </c>
      <c r="F31" s="47">
        <f>SUMIFS('5. Ventas'!$L$8:$L$407,'5. Ventas'!$A$8:$A$407,"&gt;="&amp;$C$5,'5. Ventas'!$A$8:$A$407,"&lt;"&amp;$C$6,'5. Ventas'!$B$8:$B$407,$A31)</f>
        <v>0</v>
      </c>
    </row>
    <row r="32" ht="15.75" customHeight="1">
      <c r="A32" s="14">
        <v>3.0</v>
      </c>
      <c r="B32" s="67" t="s">
        <v>154</v>
      </c>
      <c r="C32" s="66">
        <f>SUMIFS('5. Ventas'!$E$8:$E$407,'5. Ventas'!$A$8:$A$407,"&gt;="&amp;$C$5,'5. Ventas'!$A$8:$A$407,"&lt;"&amp;$C$6,'5. Ventas'!$B$8:$B$407,$A32)</f>
        <v>0</v>
      </c>
      <c r="E32" s="47">
        <f>SUMIFS('5. Ventas'!$G$8:$G$407,'5. Ventas'!$A$8:$A$407,"&gt;="&amp;$C$5,'5. Ventas'!$A$8:$A$407,"&lt;"&amp;$C$6,'5. Ventas'!$B$8:$B$407,$A32)</f>
        <v>0</v>
      </c>
      <c r="F32" s="47">
        <f>SUMIFS('5. Ventas'!$L$8:$L$407,'5. Ventas'!$A$8:$A$407,"&gt;="&amp;$C$5,'5. Ventas'!$A$8:$A$407,"&lt;"&amp;$C$6,'5. Ventas'!$B$8:$B$407,$A32)</f>
        <v>0</v>
      </c>
    </row>
    <row r="33" ht="15.75" customHeight="1">
      <c r="A33" s="14">
        <v>4.0</v>
      </c>
      <c r="B33" s="67" t="s">
        <v>174</v>
      </c>
      <c r="C33" s="66">
        <f>SUMIFS('5. Ventas'!$E$8:$E$407,'5. Ventas'!$A$8:$A$407,"&gt;="&amp;$C$5,'5. Ventas'!$A$8:$A$407,"&lt;"&amp;$C$6,'5. Ventas'!$B$8:$B$407,$A33)</f>
        <v>0</v>
      </c>
      <c r="E33" s="47">
        <f>SUMIFS('5. Ventas'!$G$8:$G$407,'5. Ventas'!$A$8:$A$407,"&gt;="&amp;$C$5,'5. Ventas'!$A$8:$A$407,"&lt;"&amp;$C$6,'5. Ventas'!$B$8:$B$407,$A33)</f>
        <v>0</v>
      </c>
      <c r="F33" s="47">
        <f>SUMIFS('5. Ventas'!$L$8:$L$407,'5. Ventas'!$A$8:$A$407,"&gt;="&amp;$C$5,'5. Ventas'!$A$8:$A$407,"&lt;"&amp;$C$6,'5. Ventas'!$B$8:$B$407,$A33)</f>
        <v>0</v>
      </c>
    </row>
    <row r="34" ht="15.75" customHeight="1">
      <c r="A34" s="14">
        <v>5.0</v>
      </c>
      <c r="B34" s="67" t="s">
        <v>185</v>
      </c>
      <c r="C34" s="66">
        <f>SUMIFS('5. Ventas'!$E$8:$E$407,'5. Ventas'!$A$8:$A$407,"&gt;="&amp;$C$5,'5. Ventas'!$A$8:$A$407,"&lt;"&amp;$C$6,'5. Ventas'!$B$8:$B$407,$A34)</f>
        <v>0</v>
      </c>
      <c r="E34" s="47">
        <f>SUMIFS('5. Ventas'!$G$8:$G$407,'5. Ventas'!$A$8:$A$407,"&gt;="&amp;$C$5,'5. Ventas'!$A$8:$A$407,"&lt;"&amp;$C$6,'5. Ventas'!$B$8:$B$407,$A34)</f>
        <v>0</v>
      </c>
      <c r="F34" s="47">
        <f>SUMIFS('5. Ventas'!$L$8:$L$407,'5. Ventas'!$A$8:$A$407,"&gt;="&amp;$C$5,'5. Ventas'!$A$8:$A$407,"&lt;"&amp;$C$6,'5. Ventas'!$B$8:$B$407,$A34)</f>
        <v>0</v>
      </c>
    </row>
    <row r="35" ht="15.75" customHeight="1">
      <c r="A35" s="14">
        <v>6.0</v>
      </c>
      <c r="B35" s="67" t="s">
        <v>191</v>
      </c>
      <c r="C35" s="66">
        <f>SUMIFS('5. Ventas'!$E$8:$E$407,'5. Ventas'!$A$8:$A$407,"&gt;="&amp;$C$5,'5. Ventas'!$A$8:$A$407,"&lt;"&amp;$C$6,'5. Ventas'!$B$8:$B$407,$A35)</f>
        <v>0</v>
      </c>
      <c r="E35" s="47">
        <f>SUMIFS('5. Ventas'!$G$8:$G$407,'5. Ventas'!$A$8:$A$407,"&gt;="&amp;$C$5,'5. Ventas'!$A$8:$A$407,"&lt;"&amp;$C$6,'5. Ventas'!$B$8:$B$407,$A35)</f>
        <v>0</v>
      </c>
      <c r="F35" s="47">
        <f>SUMIFS('5. Ventas'!$L$8:$L$407,'5. Ventas'!$A$8:$A$407,"&gt;="&amp;$C$5,'5. Ventas'!$A$8:$A$407,"&lt;"&amp;$C$6,'5. Ventas'!$B$8:$B$407,$A35)</f>
        <v>0</v>
      </c>
    </row>
    <row r="36" ht="15.75" customHeight="1">
      <c r="A36" s="14">
        <v>7.0</v>
      </c>
      <c r="B36" s="67" t="s">
        <v>197</v>
      </c>
      <c r="C36" s="66">
        <f>SUMIFS('5. Ventas'!$E$8:$E$407,'5. Ventas'!$A$8:$A$407,"&gt;="&amp;$C$5,'5. Ventas'!$A$8:$A$407,"&lt;"&amp;$C$6,'5. Ventas'!$B$8:$B$407,$A36)</f>
        <v>0</v>
      </c>
      <c r="E36" s="47">
        <f>SUMIFS('5. Ventas'!$G$8:$G$407,'5. Ventas'!$A$8:$A$407,"&gt;="&amp;$C$5,'5. Ventas'!$A$8:$A$407,"&lt;"&amp;$C$6,'5. Ventas'!$B$8:$B$407,$A36)</f>
        <v>0</v>
      </c>
      <c r="F36" s="47">
        <f>SUMIFS('5. Ventas'!$L$8:$L$407,'5. Ventas'!$A$8:$A$407,"&gt;="&amp;$C$5,'5. Ventas'!$A$8:$A$407,"&lt;"&amp;$C$6,'5. Ventas'!$B$8:$B$407,$A36)</f>
        <v>0</v>
      </c>
    </row>
    <row r="37" ht="15.75" customHeight="1">
      <c r="A37" s="14">
        <v>8.0</v>
      </c>
      <c r="B37" s="67" t="s">
        <v>203</v>
      </c>
      <c r="C37" s="66">
        <f>SUMIFS('5. Ventas'!$E$8:$E$407,'5. Ventas'!$A$8:$A$407,"&gt;="&amp;$C$5,'5. Ventas'!$A$8:$A$407,"&lt;"&amp;$C$6,'5. Ventas'!$B$8:$B$407,$A37)</f>
        <v>0</v>
      </c>
      <c r="E37" s="47">
        <f>SUMIFS('5. Ventas'!$G$8:$G$407,'5. Ventas'!$A$8:$A$407,"&gt;="&amp;$C$5,'5. Ventas'!$A$8:$A$407,"&lt;"&amp;$C$6,'5. Ventas'!$B$8:$B$407,$A37)</f>
        <v>0</v>
      </c>
      <c r="F37" s="47">
        <f>SUMIFS('5. Ventas'!$L$8:$L$407,'5. Ventas'!$A$8:$A$407,"&gt;="&amp;$C$5,'5. Ventas'!$A$8:$A$407,"&lt;"&amp;$C$6,'5. Ventas'!$B$8:$B$407,$A37)</f>
        <v>0</v>
      </c>
    </row>
    <row r="38" ht="15.75" customHeight="1">
      <c r="A38" s="14">
        <v>9.0</v>
      </c>
      <c r="B38" s="67" t="s">
        <v>211</v>
      </c>
      <c r="C38" s="66">
        <f>SUMIFS('5. Ventas'!$E$8:$E$407,'5. Ventas'!$A$8:$A$407,"&gt;="&amp;$C$5,'5. Ventas'!$A$8:$A$407,"&lt;"&amp;$C$6,'5. Ventas'!$B$8:$B$407,$A38)</f>
        <v>0</v>
      </c>
      <c r="E38" s="47">
        <f>SUMIFS('5. Ventas'!$G$8:$G$407,'5. Ventas'!$A$8:$A$407,"&gt;="&amp;$C$5,'5. Ventas'!$A$8:$A$407,"&lt;"&amp;$C$6,'5. Ventas'!$B$8:$B$407,$A38)</f>
        <v>0</v>
      </c>
      <c r="F38" s="47">
        <f>SUMIFS('5. Ventas'!$L$8:$L$407,'5. Ventas'!$A$8:$A$407,"&gt;="&amp;$C$5,'5. Ventas'!$A$8:$A$407,"&lt;"&amp;$C$6,'5. Ventas'!$B$8:$B$407,$A38)</f>
        <v>0</v>
      </c>
    </row>
    <row r="39" ht="15.75" customHeight="1">
      <c r="A39" s="14">
        <v>10.0</v>
      </c>
      <c r="B39" s="67" t="s">
        <v>215</v>
      </c>
      <c r="C39" s="66">
        <f>SUMIFS('5. Ventas'!$E$8:$E$407,'5. Ventas'!$A$8:$A$407,"&gt;="&amp;$C$5,'5. Ventas'!$A$8:$A$407,"&lt;"&amp;$C$6,'5. Ventas'!$B$8:$B$407,$A39)</f>
        <v>0</v>
      </c>
      <c r="E39" s="47">
        <f>SUMIFS('5. Ventas'!$G$8:$G$407,'5. Ventas'!$A$8:$A$407,"&gt;="&amp;$C$5,'5. Ventas'!$A$8:$A$407,"&lt;"&amp;$C$6,'5. Ventas'!$B$8:$B$407,$A39)</f>
        <v>0</v>
      </c>
      <c r="F39" s="47">
        <f>SUMIFS('5. Ventas'!$L$8:$L$407,'5. Ventas'!$A$8:$A$407,"&gt;="&amp;$C$5,'5. Ventas'!$A$8:$A$407,"&lt;"&amp;$C$6,'5. Ventas'!$B$8:$B$407,$A39)</f>
        <v>0</v>
      </c>
    </row>
    <row r="40" ht="15.75" customHeight="1">
      <c r="A40" s="14">
        <v>11.0</v>
      </c>
      <c r="B40" s="67" t="s">
        <v>220</v>
      </c>
      <c r="C40" s="66">
        <f>SUMIFS('5. Ventas'!$E$8:$E$407,'5. Ventas'!$A$8:$A$407,"&gt;="&amp;$C$5,'5. Ventas'!$A$8:$A$407,"&lt;"&amp;$C$6,'5. Ventas'!$B$8:$B$407,$A40)</f>
        <v>0</v>
      </c>
      <c r="E40" s="47">
        <f>SUMIFS('5. Ventas'!$G$8:$G$407,'5. Ventas'!$A$8:$A$407,"&gt;="&amp;$C$5,'5. Ventas'!$A$8:$A$407,"&lt;"&amp;$C$6,'5. Ventas'!$B$8:$B$407,$A40)</f>
        <v>0</v>
      </c>
      <c r="F40" s="47">
        <f>SUMIFS('5. Ventas'!$L$8:$L$407,'5. Ventas'!$A$8:$A$407,"&gt;="&amp;$C$5,'5. Ventas'!$A$8:$A$407,"&lt;"&amp;$C$6,'5. Ventas'!$B$8:$B$407,$A40)</f>
        <v>0</v>
      </c>
    </row>
    <row r="41" ht="15.75" customHeight="1">
      <c r="A41" s="14">
        <v>12.0</v>
      </c>
      <c r="B41" s="67" t="s">
        <v>229</v>
      </c>
      <c r="C41" s="66">
        <f>SUMIFS('5. Ventas'!$E$8:$E$407,'5. Ventas'!$A$8:$A$407,"&gt;="&amp;$C$5,'5. Ventas'!$A$8:$A$407,"&lt;"&amp;$C$6,'5. Ventas'!$B$8:$B$407,$A41)</f>
        <v>0</v>
      </c>
      <c r="E41" s="47">
        <f>SUMIFS('5. Ventas'!$G$8:$G$407,'5. Ventas'!$A$8:$A$407,"&gt;="&amp;$C$5,'5. Ventas'!$A$8:$A$407,"&lt;"&amp;$C$6,'5. Ventas'!$B$8:$B$407,$A41)</f>
        <v>0</v>
      </c>
      <c r="F41" s="47">
        <f>SUMIFS('5. Ventas'!$L$8:$L$407,'5. Ventas'!$A$8:$A$407,"&gt;="&amp;$C$5,'5. Ventas'!$A$8:$A$407,"&lt;"&amp;$C$6,'5. Ventas'!$B$8:$B$407,$A41)</f>
        <v>0</v>
      </c>
    </row>
    <row r="42" ht="15.75" customHeight="1">
      <c r="A42" s="14">
        <v>13.0</v>
      </c>
      <c r="B42" s="67" t="s">
        <v>234</v>
      </c>
      <c r="C42" s="66">
        <f>SUMIFS('5. Ventas'!$E$8:$E$407,'5. Ventas'!$A$8:$A$407,"&gt;="&amp;$C$5,'5. Ventas'!$A$8:$A$407,"&lt;"&amp;$C$6,'5. Ventas'!$B$8:$B$407,$A42)</f>
        <v>0</v>
      </c>
      <c r="E42" s="47">
        <f>SUMIFS('5. Ventas'!$G$8:$G$407,'5. Ventas'!$A$8:$A$407,"&gt;="&amp;$C$5,'5. Ventas'!$A$8:$A$407,"&lt;"&amp;$C$6,'5. Ventas'!$B$8:$B$407,$A42)</f>
        <v>0</v>
      </c>
      <c r="F42" s="47">
        <f>SUMIFS('5. Ventas'!$L$8:$L$407,'5. Ventas'!$A$8:$A$407,"&gt;="&amp;$C$5,'5. Ventas'!$A$8:$A$407,"&lt;"&amp;$C$6,'5. Ventas'!$B$8:$B$407,$A42)</f>
        <v>0</v>
      </c>
    </row>
    <row r="43" ht="15.75" customHeight="1">
      <c r="A43" s="14">
        <v>14.0</v>
      </c>
      <c r="B43" s="67" t="s">
        <v>242</v>
      </c>
      <c r="C43" s="66">
        <f>SUMIFS('5. Ventas'!$E$8:$E$407,'5. Ventas'!$A$8:$A$407,"&gt;="&amp;$C$5,'5. Ventas'!$A$8:$A$407,"&lt;"&amp;$C$6,'5. Ventas'!$B$8:$B$407,$A43)</f>
        <v>0</v>
      </c>
      <c r="E43" s="47">
        <f>SUMIFS('5. Ventas'!$G$8:$G$407,'5. Ventas'!$A$8:$A$407,"&gt;="&amp;$C$5,'5. Ventas'!$A$8:$A$407,"&lt;"&amp;$C$6,'5. Ventas'!$B$8:$B$407,$A43)</f>
        <v>0</v>
      </c>
      <c r="F43" s="47">
        <f>SUMIFS('5. Ventas'!$L$8:$L$407,'5. Ventas'!$A$8:$A$407,"&gt;="&amp;$C$5,'5. Ventas'!$A$8:$A$407,"&lt;"&amp;$C$6,'5. Ventas'!$B$8:$B$407,$A43)</f>
        <v>0</v>
      </c>
    </row>
    <row r="44" ht="15.75" customHeight="1">
      <c r="A44" s="14">
        <v>15.0</v>
      </c>
      <c r="B44" s="67" t="s">
        <v>247</v>
      </c>
      <c r="C44" s="66">
        <f>SUMIFS('5. Ventas'!$E$8:$E$407,'5. Ventas'!$A$8:$A$407,"&gt;="&amp;$C$5,'5. Ventas'!$A$8:$A$407,"&lt;"&amp;$C$6,'5. Ventas'!$B$8:$B$407,$A44)</f>
        <v>0</v>
      </c>
      <c r="E44" s="47">
        <f>SUMIFS('5. Ventas'!$G$8:$G$407,'5. Ventas'!$A$8:$A$407,"&gt;="&amp;$C$5,'5. Ventas'!$A$8:$A$407,"&lt;"&amp;$C$6,'5. Ventas'!$B$8:$B$407,$A44)</f>
        <v>0</v>
      </c>
      <c r="F44" s="47">
        <f>SUMIFS('5. Ventas'!$L$8:$L$407,'5. Ventas'!$A$8:$A$407,"&gt;="&amp;$C$5,'5. Ventas'!$A$8:$A$407,"&lt;"&amp;$C$6,'5. Ventas'!$B$8:$B$407,$A44)</f>
        <v>0</v>
      </c>
    </row>
    <row r="45" ht="15.75" customHeight="1">
      <c r="A45" s="14">
        <v>16.0</v>
      </c>
      <c r="B45" s="67" t="s">
        <v>255</v>
      </c>
      <c r="C45" s="66">
        <f>SUMIFS('5. Ventas'!$E$8:$E$407,'5. Ventas'!$A$8:$A$407,"&gt;="&amp;$C$5,'5. Ventas'!$A$8:$A$407,"&lt;"&amp;$C$6,'5. Ventas'!$B$8:$B$407,$A45)</f>
        <v>0</v>
      </c>
      <c r="E45" s="47">
        <f>SUMIFS('5. Ventas'!$G$8:$G$407,'5. Ventas'!$A$8:$A$407,"&gt;="&amp;$C$5,'5. Ventas'!$A$8:$A$407,"&lt;"&amp;$C$6,'5. Ventas'!$B$8:$B$407,$A45)</f>
        <v>0</v>
      </c>
      <c r="F45" s="47">
        <f>SUMIFS('5. Ventas'!$L$8:$L$407,'5. Ventas'!$A$8:$A$407,"&gt;="&amp;$C$5,'5. Ventas'!$A$8:$A$407,"&lt;"&amp;$C$6,'5. Ventas'!$B$8:$B$407,$A45)</f>
        <v>0</v>
      </c>
    </row>
    <row r="46" ht="15.75" customHeight="1">
      <c r="A46" s="14">
        <v>17.0</v>
      </c>
      <c r="B46" s="67" t="s">
        <v>260</v>
      </c>
      <c r="C46" s="66">
        <f>SUMIFS('5. Ventas'!$E$8:$E$407,'5. Ventas'!$A$8:$A$407,"&gt;="&amp;$C$5,'5. Ventas'!$A$8:$A$407,"&lt;"&amp;$C$6,'5. Ventas'!$B$8:$B$407,$A46)</f>
        <v>0</v>
      </c>
      <c r="E46" s="47">
        <f>SUMIFS('5. Ventas'!$G$8:$G$407,'5. Ventas'!$A$8:$A$407,"&gt;="&amp;$C$5,'5. Ventas'!$A$8:$A$407,"&lt;"&amp;$C$6,'5. Ventas'!$B$8:$B$407,$A46)</f>
        <v>0</v>
      </c>
      <c r="F46" s="47">
        <f>SUMIFS('5. Ventas'!$L$8:$L$407,'5. Ventas'!$A$8:$A$407,"&gt;="&amp;$C$5,'5. Ventas'!$A$8:$A$407,"&lt;"&amp;$C$6,'5. Ventas'!$B$8:$B$407,$A46)</f>
        <v>0</v>
      </c>
    </row>
    <row r="47" ht="15.75" customHeight="1">
      <c r="A47" s="14">
        <v>18.0</v>
      </c>
      <c r="B47" s="67" t="s">
        <v>266</v>
      </c>
      <c r="C47" s="66">
        <f>SUMIFS('5. Ventas'!$E$8:$E$407,'5. Ventas'!$A$8:$A$407,"&gt;="&amp;$C$5,'5. Ventas'!$A$8:$A$407,"&lt;"&amp;$C$6,'5. Ventas'!$B$8:$B$407,$A47)</f>
        <v>0</v>
      </c>
      <c r="E47" s="47">
        <f>SUMIFS('5. Ventas'!$G$8:$G$407,'5. Ventas'!$A$8:$A$407,"&gt;="&amp;$C$5,'5. Ventas'!$A$8:$A$407,"&lt;"&amp;$C$6,'5. Ventas'!$B$8:$B$407,$A47)</f>
        <v>0</v>
      </c>
      <c r="F47" s="47">
        <f>SUMIFS('5. Ventas'!$L$8:$L$407,'5. Ventas'!$A$8:$A$407,"&gt;="&amp;$C$5,'5. Ventas'!$A$8:$A$407,"&lt;"&amp;$C$6,'5. Ventas'!$B$8:$B$407,$A47)</f>
        <v>0</v>
      </c>
    </row>
    <row r="48" ht="15.75" customHeight="1">
      <c r="A48" s="14">
        <v>19.0</v>
      </c>
      <c r="B48" s="67" t="s">
        <v>271</v>
      </c>
      <c r="C48" s="66">
        <f>SUMIFS('5. Ventas'!$E$8:$E$407,'5. Ventas'!$A$8:$A$407,"&gt;="&amp;$C$5,'5. Ventas'!$A$8:$A$407,"&lt;"&amp;$C$6,'5. Ventas'!$B$8:$B$407,$A48)</f>
        <v>0</v>
      </c>
      <c r="E48" s="47">
        <f>SUMIFS('5. Ventas'!$G$8:$G$407,'5. Ventas'!$A$8:$A$407,"&gt;="&amp;$C$5,'5. Ventas'!$A$8:$A$407,"&lt;"&amp;$C$6,'5. Ventas'!$B$8:$B$407,$A48)</f>
        <v>0</v>
      </c>
      <c r="F48" s="47">
        <f>SUMIFS('5. Ventas'!$L$8:$L$407,'5. Ventas'!$A$8:$A$407,"&gt;="&amp;$C$5,'5. Ventas'!$A$8:$A$407,"&lt;"&amp;$C$6,'5. Ventas'!$B$8:$B$407,$A48)</f>
        <v>0</v>
      </c>
    </row>
    <row r="49" ht="15.75" customHeight="1">
      <c r="A49" s="14">
        <v>20.0</v>
      </c>
      <c r="B49" s="67" t="s">
        <v>276</v>
      </c>
      <c r="C49" s="66">
        <f>SUMIFS('5. Ventas'!$E$8:$E$407,'5. Ventas'!$A$8:$A$407,"&gt;="&amp;$C$5,'5. Ventas'!$A$8:$A$407,"&lt;"&amp;$C$6,'5. Ventas'!$B$8:$B$407,$A49)</f>
        <v>0</v>
      </c>
      <c r="E49" s="47">
        <f>SUMIFS('5. Ventas'!$G$8:$G$407,'5. Ventas'!$A$8:$A$407,"&gt;="&amp;$C$5,'5. Ventas'!$A$8:$A$407,"&lt;"&amp;$C$6,'5. Ventas'!$B$8:$B$407,$A49)</f>
        <v>0</v>
      </c>
      <c r="F49" s="47">
        <f>SUMIFS('5. Ventas'!$L$8:$L$407,'5. Ventas'!$A$8:$A$407,"&gt;="&amp;$C$5,'5. Ventas'!$A$8:$A$407,"&lt;"&amp;$C$6,'5. Ventas'!$B$8:$B$407,$A49)</f>
        <v>0</v>
      </c>
    </row>
    <row r="50" ht="15.75" customHeight="1">
      <c r="A50" s="14">
        <v>21.0</v>
      </c>
      <c r="B50" s="67" t="s">
        <v>279</v>
      </c>
      <c r="C50" s="66">
        <f>SUMIFS('5. Ventas'!$E$8:$E$407,'5. Ventas'!$A$8:$A$407,"&gt;="&amp;$C$5,'5. Ventas'!$A$8:$A$407,"&lt;"&amp;$C$6,'5. Ventas'!$B$8:$B$407,$A50)</f>
        <v>0</v>
      </c>
      <c r="E50" s="47">
        <f>SUMIFS('5. Ventas'!$G$8:$G$407,'5. Ventas'!$A$8:$A$407,"&gt;="&amp;$C$5,'5. Ventas'!$A$8:$A$407,"&lt;"&amp;$C$6,'5. Ventas'!$B$8:$B$407,$A50)</f>
        <v>0</v>
      </c>
      <c r="F50" s="47">
        <f>SUMIFS('5. Ventas'!$L$8:$L$407,'5. Ventas'!$A$8:$A$407,"&gt;="&amp;$C$5,'5. Ventas'!$A$8:$A$407,"&lt;"&amp;$C$6,'5. Ventas'!$B$8:$B$407,$A50)</f>
        <v>0</v>
      </c>
    </row>
    <row r="51" ht="15.75" customHeight="1">
      <c r="A51" s="14">
        <v>22.0</v>
      </c>
      <c r="B51" s="67" t="s">
        <v>285</v>
      </c>
      <c r="C51" s="66">
        <f>SUMIFS('5. Ventas'!$E$8:$E$407,'5. Ventas'!$A$8:$A$407,"&gt;="&amp;$C$5,'5. Ventas'!$A$8:$A$407,"&lt;"&amp;$C$6,'5. Ventas'!$B$8:$B$407,$A51)</f>
        <v>0</v>
      </c>
      <c r="E51" s="47">
        <f>SUMIFS('5. Ventas'!$G$8:$G$407,'5. Ventas'!$A$8:$A$407,"&gt;="&amp;$C$5,'5. Ventas'!$A$8:$A$407,"&lt;"&amp;$C$6,'5. Ventas'!$B$8:$B$407,$A51)</f>
        <v>0</v>
      </c>
      <c r="F51" s="47">
        <f>SUMIFS('5. Ventas'!$L$8:$L$407,'5. Ventas'!$A$8:$A$407,"&gt;="&amp;$C$5,'5. Ventas'!$A$8:$A$407,"&lt;"&amp;$C$6,'5. Ventas'!$B$8:$B$407,$A51)</f>
        <v>0</v>
      </c>
    </row>
    <row r="52" ht="15.75" customHeight="1">
      <c r="A52" s="14">
        <v>23.0</v>
      </c>
      <c r="B52" s="67" t="s">
        <v>290</v>
      </c>
      <c r="C52" s="66">
        <f>SUMIFS('5. Ventas'!$E$8:$E$407,'5. Ventas'!$A$8:$A$407,"&gt;="&amp;$C$5,'5. Ventas'!$A$8:$A$407,"&lt;"&amp;$C$6,'5. Ventas'!$B$8:$B$407,$A52)</f>
        <v>0</v>
      </c>
      <c r="E52" s="47">
        <f>SUMIFS('5. Ventas'!$G$8:$G$407,'5. Ventas'!$A$8:$A$407,"&gt;="&amp;$C$5,'5. Ventas'!$A$8:$A$407,"&lt;"&amp;$C$6,'5. Ventas'!$B$8:$B$407,$A52)</f>
        <v>0</v>
      </c>
      <c r="F52" s="47">
        <f>SUMIFS('5. Ventas'!$L$8:$L$407,'5. Ventas'!$A$8:$A$407,"&gt;="&amp;$C$5,'5. Ventas'!$A$8:$A$407,"&lt;"&amp;$C$6,'5. Ventas'!$B$8:$B$407,$A52)</f>
        <v>0</v>
      </c>
    </row>
    <row r="53" ht="15.75" customHeight="1">
      <c r="A53" s="14">
        <v>24.0</v>
      </c>
      <c r="B53" s="67" t="s">
        <v>297</v>
      </c>
      <c r="C53" s="66">
        <f>SUMIFS('5. Ventas'!$E$8:$E$407,'5. Ventas'!$A$8:$A$407,"&gt;="&amp;$C$5,'5. Ventas'!$A$8:$A$407,"&lt;"&amp;$C$6,'5. Ventas'!$B$8:$B$407,$A53)</f>
        <v>0</v>
      </c>
      <c r="E53" s="47">
        <f>SUMIFS('5. Ventas'!$G$8:$G$407,'5. Ventas'!$A$8:$A$407,"&gt;="&amp;$C$5,'5. Ventas'!$A$8:$A$407,"&lt;"&amp;$C$6,'5. Ventas'!$B$8:$B$407,$A53)</f>
        <v>0</v>
      </c>
      <c r="F53" s="47">
        <f>SUMIFS('5. Ventas'!$L$8:$L$407,'5. Ventas'!$A$8:$A$407,"&gt;="&amp;$C$5,'5. Ventas'!$A$8:$A$407,"&lt;"&amp;$C$6,'5. Ventas'!$B$8:$B$407,$A53)</f>
        <v>0</v>
      </c>
    </row>
    <row r="54" ht="15.75" customHeight="1">
      <c r="A54" s="14">
        <v>25.0</v>
      </c>
      <c r="B54" s="67" t="s">
        <v>302</v>
      </c>
      <c r="C54" s="66">
        <f>SUMIFS('5. Ventas'!$E$8:$E$407,'5. Ventas'!$A$8:$A$407,"&gt;="&amp;$C$5,'5. Ventas'!$A$8:$A$407,"&lt;"&amp;$C$6,'5. Ventas'!$B$8:$B$407,$A54)</f>
        <v>0</v>
      </c>
      <c r="E54" s="47">
        <f>SUMIFS('5. Ventas'!$G$8:$G$407,'5. Ventas'!$A$8:$A$407,"&gt;="&amp;$C$5,'5. Ventas'!$A$8:$A$407,"&lt;"&amp;$C$6,'5. Ventas'!$B$8:$B$407,$A54)</f>
        <v>0</v>
      </c>
      <c r="F54" s="47">
        <f>SUMIFS('5. Ventas'!$L$8:$L$407,'5. Ventas'!$A$8:$A$407,"&gt;="&amp;$C$5,'5. Ventas'!$A$8:$A$407,"&lt;"&amp;$C$6,'5. Ventas'!$B$8:$B$407,$A54)</f>
        <v>0</v>
      </c>
    </row>
    <row r="55" ht="15.75" customHeight="1">
      <c r="A55" s="14">
        <v>26.0</v>
      </c>
      <c r="B55" s="67" t="s">
        <v>305</v>
      </c>
      <c r="C55" s="66">
        <f>SUMIFS('5. Ventas'!$E$8:$E$407,'5. Ventas'!$A$8:$A$407,"&gt;="&amp;$C$5,'5. Ventas'!$A$8:$A$407,"&lt;"&amp;$C$6,'5. Ventas'!$B$8:$B$407,$A55)</f>
        <v>0</v>
      </c>
      <c r="E55" s="47">
        <f>SUMIFS('5. Ventas'!$G$8:$G$407,'5. Ventas'!$A$8:$A$407,"&gt;="&amp;$C$5,'5. Ventas'!$A$8:$A$407,"&lt;"&amp;$C$6,'5. Ventas'!$B$8:$B$407,$A55)</f>
        <v>0</v>
      </c>
      <c r="F55" s="47">
        <f>SUMIFS('5. Ventas'!$L$8:$L$407,'5. Ventas'!$A$8:$A$407,"&gt;="&amp;$C$5,'5. Ventas'!$A$8:$A$407,"&lt;"&amp;$C$6,'5. Ventas'!$B$8:$B$407,$A55)</f>
        <v>0</v>
      </c>
    </row>
    <row r="56" ht="15.75" customHeight="1">
      <c r="A56" s="14">
        <v>27.0</v>
      </c>
      <c r="B56" s="67" t="s">
        <v>310</v>
      </c>
      <c r="C56" s="66">
        <f>SUMIFS('5. Ventas'!$E$8:$E$407,'5. Ventas'!$A$8:$A$407,"&gt;="&amp;$C$5,'5. Ventas'!$A$8:$A$407,"&lt;"&amp;$C$6,'5. Ventas'!$B$8:$B$407,$A56)</f>
        <v>0</v>
      </c>
      <c r="E56" s="47">
        <f>SUMIFS('5. Ventas'!$G$8:$G$407,'5. Ventas'!$A$8:$A$407,"&gt;="&amp;$C$5,'5. Ventas'!$A$8:$A$407,"&lt;"&amp;$C$6,'5. Ventas'!$B$8:$B$407,$A56)</f>
        <v>0</v>
      </c>
      <c r="F56" s="47">
        <f>SUMIFS('5. Ventas'!$L$8:$L$407,'5. Ventas'!$A$8:$A$407,"&gt;="&amp;$C$5,'5. Ventas'!$A$8:$A$407,"&lt;"&amp;$C$6,'5. Ventas'!$B$8:$B$407,$A56)</f>
        <v>0</v>
      </c>
    </row>
    <row r="57" ht="15.75" customHeight="1">
      <c r="A57" s="14">
        <v>28.0</v>
      </c>
      <c r="B57" s="67" t="s">
        <v>313</v>
      </c>
      <c r="C57" s="66">
        <f>SUMIFS('5. Ventas'!$E$8:$E$407,'5. Ventas'!$A$8:$A$407,"&gt;="&amp;$C$5,'5. Ventas'!$A$8:$A$407,"&lt;"&amp;$C$6,'5. Ventas'!$B$8:$B$407,$A57)</f>
        <v>0</v>
      </c>
      <c r="E57" s="47">
        <f>SUMIFS('5. Ventas'!$G$8:$G$407,'5. Ventas'!$A$8:$A$407,"&gt;="&amp;$C$5,'5. Ventas'!$A$8:$A$407,"&lt;"&amp;$C$6,'5. Ventas'!$B$8:$B$407,$A57)</f>
        <v>0</v>
      </c>
      <c r="F57" s="47">
        <f>SUMIFS('5. Ventas'!$L$8:$L$407,'5. Ventas'!$A$8:$A$407,"&gt;="&amp;$C$5,'5. Ventas'!$A$8:$A$407,"&lt;"&amp;$C$6,'5. Ventas'!$B$8:$B$407,$A57)</f>
        <v>0</v>
      </c>
    </row>
    <row r="58" ht="15.75" customHeight="1">
      <c r="A58" s="14">
        <v>29.0</v>
      </c>
      <c r="B58" s="67" t="s">
        <v>316</v>
      </c>
      <c r="C58" s="66">
        <f>SUMIFS('5. Ventas'!$E$8:$E$407,'5. Ventas'!$A$8:$A$407,"&gt;="&amp;$C$5,'5. Ventas'!$A$8:$A$407,"&lt;"&amp;$C$6,'5. Ventas'!$B$8:$B$407,$A58)</f>
        <v>0</v>
      </c>
      <c r="E58" s="47">
        <f>SUMIFS('5. Ventas'!$G$8:$G$407,'5. Ventas'!$A$8:$A$407,"&gt;="&amp;$C$5,'5. Ventas'!$A$8:$A$407,"&lt;"&amp;$C$6,'5. Ventas'!$B$8:$B$407,$A58)</f>
        <v>0</v>
      </c>
      <c r="F58" s="47">
        <f>SUMIFS('5. Ventas'!$L$8:$L$407,'5. Ventas'!$A$8:$A$407,"&gt;="&amp;$C$5,'5. Ventas'!$A$8:$A$407,"&lt;"&amp;$C$6,'5. Ventas'!$B$8:$B$407,$A58)</f>
        <v>0</v>
      </c>
    </row>
    <row r="59" ht="15.75" customHeight="1">
      <c r="A59" s="14">
        <v>30.0</v>
      </c>
      <c r="B59" s="67" t="s">
        <v>317</v>
      </c>
      <c r="C59" s="66">
        <f>SUMIFS('5. Ventas'!$E$8:$E$407,'5. Ventas'!$A$8:$A$407,"&gt;="&amp;$C$5,'5. Ventas'!$A$8:$A$407,"&lt;"&amp;$C$6,'5. Ventas'!$B$8:$B$407,$A59)</f>
        <v>0</v>
      </c>
      <c r="E59" s="47">
        <f>SUMIFS('5. Ventas'!$G$8:$G$407,'5. Ventas'!$A$8:$A$407,"&gt;="&amp;$C$5,'5. Ventas'!$A$8:$A$407,"&lt;"&amp;$C$6,'5. Ventas'!$B$8:$B$407,$A59)</f>
        <v>0</v>
      </c>
      <c r="F59" s="47">
        <f>SUMIFS('5. Ventas'!$L$8:$L$407,'5. Ventas'!$A$8:$A$407,"&gt;="&amp;$C$5,'5. Ventas'!$A$8:$A$407,"&lt;"&amp;$C$6,'5. Ventas'!$B$8:$B$407,$A59)</f>
        <v>0</v>
      </c>
    </row>
    <row r="60" ht="15.75" customHeight="1">
      <c r="A60" s="14">
        <v>31.0</v>
      </c>
      <c r="B60" s="67" t="s">
        <v>318</v>
      </c>
      <c r="C60" s="66">
        <f>SUMIFS('5. Ventas'!$E$8:$E$407,'5. Ventas'!$A$8:$A$407,"&gt;="&amp;$C$5,'5. Ventas'!$A$8:$A$407,"&lt;"&amp;$C$6,'5. Ventas'!$B$8:$B$407,$A60)</f>
        <v>0</v>
      </c>
      <c r="E60" s="47">
        <f>SUMIFS('5. Ventas'!$G$8:$G$407,'5. Ventas'!$A$8:$A$407,"&gt;="&amp;$C$5,'5. Ventas'!$A$8:$A$407,"&lt;"&amp;$C$6,'5. Ventas'!$B$8:$B$407,$A60)</f>
        <v>0</v>
      </c>
      <c r="F60" s="47">
        <f>SUMIFS('5. Ventas'!$L$8:$L$407,'5. Ventas'!$A$8:$A$407,"&gt;="&amp;$C$5,'5. Ventas'!$A$8:$A$407,"&lt;"&amp;$C$6,'5. Ventas'!$B$8:$B$407,$A60)</f>
        <v>0</v>
      </c>
    </row>
    <row r="61" ht="15.75" customHeight="1">
      <c r="A61" s="14">
        <v>32.0</v>
      </c>
      <c r="B61" s="67" t="s">
        <v>319</v>
      </c>
      <c r="C61" s="66">
        <f>SUMIFS('5. Ventas'!$E$8:$E$407,'5. Ventas'!$A$8:$A$407,"&gt;="&amp;$C$5,'5. Ventas'!$A$8:$A$407,"&lt;"&amp;$C$6,'5. Ventas'!$B$8:$B$407,$A61)</f>
        <v>0</v>
      </c>
      <c r="E61" s="47">
        <f>SUMIFS('5. Ventas'!$G$8:$G$407,'5. Ventas'!$A$8:$A$407,"&gt;="&amp;$C$5,'5. Ventas'!$A$8:$A$407,"&lt;"&amp;$C$6,'5. Ventas'!$B$8:$B$407,$A61)</f>
        <v>0</v>
      </c>
      <c r="F61" s="47">
        <f>SUMIFS('5. Ventas'!$L$8:$L$407,'5. Ventas'!$A$8:$A$407,"&gt;="&amp;$C$5,'5. Ventas'!$A$8:$A$407,"&lt;"&amp;$C$6,'5. Ventas'!$B$8:$B$407,$A61)</f>
        <v>0</v>
      </c>
    </row>
    <row r="62" ht="15.75" customHeight="1">
      <c r="A62" s="14">
        <v>33.0</v>
      </c>
      <c r="B62" s="67" t="s">
        <v>323</v>
      </c>
      <c r="C62" s="66">
        <f>SUMIFS('5. Ventas'!$E$8:$E$407,'5. Ventas'!$A$8:$A$407,"&gt;="&amp;$C$5,'5. Ventas'!$A$8:$A$407,"&lt;"&amp;$C$6,'5. Ventas'!$B$8:$B$407,$A62)</f>
        <v>0</v>
      </c>
      <c r="E62" s="47">
        <f>SUMIFS('5. Ventas'!$G$8:$G$407,'5. Ventas'!$A$8:$A$407,"&gt;="&amp;$C$5,'5. Ventas'!$A$8:$A$407,"&lt;"&amp;$C$6,'5. Ventas'!$B$8:$B$407,$A62)</f>
        <v>0</v>
      </c>
      <c r="F62" s="47">
        <f>SUMIFS('5. Ventas'!$L$8:$L$407,'5. Ventas'!$A$8:$A$407,"&gt;="&amp;$C$5,'5. Ventas'!$A$8:$A$407,"&lt;"&amp;$C$6,'5. Ventas'!$B$8:$B$407,$A62)</f>
        <v>0</v>
      </c>
    </row>
    <row r="63" ht="15.75" customHeight="1">
      <c r="A63" s="14">
        <v>34.0</v>
      </c>
      <c r="B63" s="67" t="s">
        <v>329</v>
      </c>
      <c r="C63" s="66">
        <f>SUMIFS('5. Ventas'!$E$8:$E$407,'5. Ventas'!$A$8:$A$407,"&gt;="&amp;$C$5,'5. Ventas'!$A$8:$A$407,"&lt;"&amp;$C$6,'5. Ventas'!$B$8:$B$407,$A63)</f>
        <v>0</v>
      </c>
      <c r="E63" s="47">
        <f>SUMIFS('5. Ventas'!$G$8:$G$407,'5. Ventas'!$A$8:$A$407,"&gt;="&amp;$C$5,'5. Ventas'!$A$8:$A$407,"&lt;"&amp;$C$6,'5. Ventas'!$B$8:$B$407,$A63)</f>
        <v>0</v>
      </c>
      <c r="F63" s="47">
        <f>SUMIFS('5. Ventas'!$L$8:$L$407,'5. Ventas'!$A$8:$A$407,"&gt;="&amp;$C$5,'5. Ventas'!$A$8:$A$407,"&lt;"&amp;$C$6,'5. Ventas'!$B$8:$B$407,$A63)</f>
        <v>0</v>
      </c>
    </row>
    <row r="64" ht="15.75" customHeight="1">
      <c r="A64" s="14">
        <v>35.0</v>
      </c>
      <c r="B64" s="67" t="s">
        <v>342</v>
      </c>
      <c r="C64" s="66">
        <f>SUMIFS('5. Ventas'!$E$8:$E$407,'5. Ventas'!$A$8:$A$407,"&gt;="&amp;$C$5,'5. Ventas'!$A$8:$A$407,"&lt;"&amp;$C$6,'5. Ventas'!$B$8:$B$407,$A64)</f>
        <v>0</v>
      </c>
      <c r="E64" s="47">
        <f>SUMIFS('5. Ventas'!$G$8:$G$407,'5. Ventas'!$A$8:$A$407,"&gt;="&amp;$C$5,'5. Ventas'!$A$8:$A$407,"&lt;"&amp;$C$6,'5. Ventas'!$B$8:$B$407,$A64)</f>
        <v>0</v>
      </c>
      <c r="F64" s="47">
        <f>SUMIFS('5. Ventas'!$L$8:$L$407,'5. Ventas'!$A$8:$A$407,"&gt;="&amp;$C$5,'5. Ventas'!$A$8:$A$407,"&lt;"&amp;$C$6,'5. Ventas'!$B$8:$B$407,$A64)</f>
        <v>0</v>
      </c>
    </row>
    <row r="65" ht="15.75" customHeight="1">
      <c r="A65" s="14">
        <v>36.0</v>
      </c>
      <c r="B65" s="67" t="s">
        <v>346</v>
      </c>
      <c r="C65" s="66">
        <f>SUMIFS('5. Ventas'!$E$8:$E$407,'5. Ventas'!$A$8:$A$407,"&gt;="&amp;$C$5,'5. Ventas'!$A$8:$A$407,"&lt;"&amp;$C$6,'5. Ventas'!$B$8:$B$407,$A65)</f>
        <v>0</v>
      </c>
      <c r="E65" s="47">
        <f>SUMIFS('5. Ventas'!$G$8:$G$407,'5. Ventas'!$A$8:$A$407,"&gt;="&amp;$C$5,'5. Ventas'!$A$8:$A$407,"&lt;"&amp;$C$6,'5. Ventas'!$B$8:$B$407,$A65)</f>
        <v>0</v>
      </c>
      <c r="F65" s="47">
        <f>SUMIFS('5. Ventas'!$L$8:$L$407,'5. Ventas'!$A$8:$A$407,"&gt;="&amp;$C$5,'5. Ventas'!$A$8:$A$407,"&lt;"&amp;$C$6,'5. Ventas'!$B$8:$B$407,$A65)</f>
        <v>0</v>
      </c>
    </row>
    <row r="66" ht="15.75" customHeight="1">
      <c r="A66" s="14">
        <v>37.0</v>
      </c>
      <c r="B66" s="67" t="s">
        <v>348</v>
      </c>
      <c r="C66" s="66">
        <f>SUMIFS('5. Ventas'!$E$8:$E$407,'5. Ventas'!$A$8:$A$407,"&gt;="&amp;$C$5,'5. Ventas'!$A$8:$A$407,"&lt;"&amp;$C$6,'5. Ventas'!$B$8:$B$407,$A66)</f>
        <v>0</v>
      </c>
      <c r="E66" s="47">
        <f>SUMIFS('5. Ventas'!$G$8:$G$407,'5. Ventas'!$A$8:$A$407,"&gt;="&amp;$C$5,'5. Ventas'!$A$8:$A$407,"&lt;"&amp;$C$6,'5. Ventas'!$B$8:$B$407,$A66)</f>
        <v>0</v>
      </c>
      <c r="F66" s="47">
        <f>SUMIFS('5. Ventas'!$L$8:$L$407,'5. Ventas'!$A$8:$A$407,"&gt;="&amp;$C$5,'5. Ventas'!$A$8:$A$407,"&lt;"&amp;$C$6,'5. Ventas'!$B$8:$B$407,$A66)</f>
        <v>0</v>
      </c>
    </row>
    <row r="67" ht="15.75" customHeight="1">
      <c r="A67" s="14">
        <v>38.0</v>
      </c>
      <c r="B67" s="67" t="s">
        <v>351</v>
      </c>
      <c r="C67" s="66">
        <f>SUMIFS('5. Ventas'!$E$8:$E$407,'5. Ventas'!$A$8:$A$407,"&gt;="&amp;$C$5,'5. Ventas'!$A$8:$A$407,"&lt;"&amp;$C$6,'5. Ventas'!$B$8:$B$407,$A67)</f>
        <v>0</v>
      </c>
      <c r="E67" s="47">
        <f>SUMIFS('5. Ventas'!$G$8:$G$407,'5. Ventas'!$A$8:$A$407,"&gt;="&amp;$C$5,'5. Ventas'!$A$8:$A$407,"&lt;"&amp;$C$6,'5. Ventas'!$B$8:$B$407,$A67)</f>
        <v>0</v>
      </c>
      <c r="F67" s="47">
        <f>SUMIFS('5. Ventas'!$L$8:$L$407,'5. Ventas'!$A$8:$A$407,"&gt;="&amp;$C$5,'5. Ventas'!$A$8:$A$407,"&lt;"&amp;$C$6,'5. Ventas'!$B$8:$B$407,$A67)</f>
        <v>0</v>
      </c>
    </row>
    <row r="68" ht="15.75" customHeight="1">
      <c r="A68" s="14">
        <v>39.0</v>
      </c>
      <c r="B68" s="67" t="s">
        <v>353</v>
      </c>
      <c r="C68" s="66">
        <f>SUMIFS('5. Ventas'!$E$8:$E$407,'5. Ventas'!$A$8:$A$407,"&gt;="&amp;$C$5,'5. Ventas'!$A$8:$A$407,"&lt;"&amp;$C$6,'5. Ventas'!$B$8:$B$407,$A68)</f>
        <v>0</v>
      </c>
      <c r="E68" s="47">
        <f>SUMIFS('5. Ventas'!$G$8:$G$407,'5. Ventas'!$A$8:$A$407,"&gt;="&amp;$C$5,'5. Ventas'!$A$8:$A$407,"&lt;"&amp;$C$6,'5. Ventas'!$B$8:$B$407,$A68)</f>
        <v>0</v>
      </c>
      <c r="F68" s="47">
        <f>SUMIFS('5. Ventas'!$L$8:$L$407,'5. Ventas'!$A$8:$A$407,"&gt;="&amp;$C$5,'5. Ventas'!$A$8:$A$407,"&lt;"&amp;$C$6,'5. Ventas'!$B$8:$B$407,$A68)</f>
        <v>0</v>
      </c>
    </row>
    <row r="69" ht="15.75" customHeight="1">
      <c r="A69" s="14">
        <v>40.0</v>
      </c>
      <c r="B69" s="67" t="s">
        <v>356</v>
      </c>
      <c r="C69" s="66">
        <f>SUMIFS('5. Ventas'!$E$8:$E$407,'5. Ventas'!$A$8:$A$407,"&gt;="&amp;$C$5,'5. Ventas'!$A$8:$A$407,"&lt;"&amp;$C$6,'5. Ventas'!$B$8:$B$407,$A69)</f>
        <v>0</v>
      </c>
      <c r="E69" s="47">
        <f>SUMIFS('5. Ventas'!$G$8:$G$407,'5. Ventas'!$A$8:$A$407,"&gt;="&amp;$C$5,'5. Ventas'!$A$8:$A$407,"&lt;"&amp;$C$6,'5. Ventas'!$B$8:$B$407,$A69)</f>
        <v>0</v>
      </c>
      <c r="F69" s="47">
        <f>SUMIFS('5. Ventas'!$L$8:$L$407,'5. Ventas'!$A$8:$A$407,"&gt;="&amp;$C$5,'5. Ventas'!$A$8:$A$407,"&lt;"&amp;$C$6,'5. Ventas'!$B$8:$B$407,$A69)</f>
        <v>0</v>
      </c>
    </row>
    <row r="70" ht="15.75" customHeight="1">
      <c r="A70" s="14">
        <v>41.0</v>
      </c>
      <c r="B70" s="67" t="s">
        <v>359</v>
      </c>
      <c r="C70" s="66">
        <f>SUMIFS('5. Ventas'!$E$8:$E$407,'5. Ventas'!$A$8:$A$407,"&gt;="&amp;$C$5,'5. Ventas'!$A$8:$A$407,"&lt;"&amp;$C$6,'5. Ventas'!$B$8:$B$407,$A70)</f>
        <v>0</v>
      </c>
      <c r="E70" s="47">
        <f>SUMIFS('5. Ventas'!$G$8:$G$407,'5. Ventas'!$A$8:$A$407,"&gt;="&amp;$C$5,'5. Ventas'!$A$8:$A$407,"&lt;"&amp;$C$6,'5. Ventas'!$B$8:$B$407,$A70)</f>
        <v>0</v>
      </c>
      <c r="F70" s="47">
        <f>SUMIFS('5. Ventas'!$L$8:$L$407,'5. Ventas'!$A$8:$A$407,"&gt;="&amp;$C$5,'5. Ventas'!$A$8:$A$407,"&lt;"&amp;$C$6,'5. Ventas'!$B$8:$B$407,$A70)</f>
        <v>0</v>
      </c>
    </row>
    <row r="71" ht="15.75" customHeight="1">
      <c r="A71" s="14">
        <v>42.0</v>
      </c>
      <c r="B71" s="67" t="s">
        <v>361</v>
      </c>
      <c r="C71" s="66">
        <f>SUMIFS('5. Ventas'!$E$8:$E$407,'5. Ventas'!$A$8:$A$407,"&gt;="&amp;$C$5,'5. Ventas'!$A$8:$A$407,"&lt;"&amp;$C$6,'5. Ventas'!$B$8:$B$407,$A71)</f>
        <v>0</v>
      </c>
      <c r="E71" s="47">
        <f>SUMIFS('5. Ventas'!$G$8:$G$407,'5. Ventas'!$A$8:$A$407,"&gt;="&amp;$C$5,'5. Ventas'!$A$8:$A$407,"&lt;"&amp;$C$6,'5. Ventas'!$B$8:$B$407,$A71)</f>
        <v>0</v>
      </c>
      <c r="F71" s="47">
        <f>SUMIFS('5. Ventas'!$L$8:$L$407,'5. Ventas'!$A$8:$A$407,"&gt;="&amp;$C$5,'5. Ventas'!$A$8:$A$407,"&lt;"&amp;$C$6,'5. Ventas'!$B$8:$B$407,$A71)</f>
        <v>0</v>
      </c>
    </row>
    <row r="72" ht="15.75" customHeight="1">
      <c r="A72" s="14">
        <v>43.0</v>
      </c>
      <c r="B72" s="67" t="s">
        <v>363</v>
      </c>
      <c r="C72" s="66">
        <f>SUMIFS('5. Ventas'!$E$8:$E$407,'5. Ventas'!$A$8:$A$407,"&gt;="&amp;$C$5,'5. Ventas'!$A$8:$A$407,"&lt;"&amp;$C$6,'5. Ventas'!$B$8:$B$407,$A72)</f>
        <v>0</v>
      </c>
      <c r="E72" s="47">
        <f>SUMIFS('5. Ventas'!$G$8:$G$407,'5. Ventas'!$A$8:$A$407,"&gt;="&amp;$C$5,'5. Ventas'!$A$8:$A$407,"&lt;"&amp;$C$6,'5. Ventas'!$B$8:$B$407,$A72)</f>
        <v>0</v>
      </c>
      <c r="F72" s="47">
        <f>SUMIFS('5. Ventas'!$L$8:$L$407,'5. Ventas'!$A$8:$A$407,"&gt;="&amp;$C$5,'5. Ventas'!$A$8:$A$407,"&lt;"&amp;$C$6,'5. Ventas'!$B$8:$B$407,$A72)</f>
        <v>0</v>
      </c>
    </row>
    <row r="73" ht="15.75" customHeight="1">
      <c r="A73" s="14">
        <v>44.0</v>
      </c>
      <c r="B73" s="67" t="s">
        <v>365</v>
      </c>
      <c r="C73" s="66">
        <f>SUMIFS('5. Ventas'!$E$8:$E$407,'5. Ventas'!$A$8:$A$407,"&gt;="&amp;$C$5,'5. Ventas'!$A$8:$A$407,"&lt;"&amp;$C$6,'5. Ventas'!$B$8:$B$407,$A73)</f>
        <v>0</v>
      </c>
      <c r="E73" s="47">
        <f>SUMIFS('5. Ventas'!$G$8:$G$407,'5. Ventas'!$A$8:$A$407,"&gt;="&amp;$C$5,'5. Ventas'!$A$8:$A$407,"&lt;"&amp;$C$6,'5. Ventas'!$B$8:$B$407,$A73)</f>
        <v>0</v>
      </c>
      <c r="F73" s="47">
        <f>SUMIFS('5. Ventas'!$L$8:$L$407,'5. Ventas'!$A$8:$A$407,"&gt;="&amp;$C$5,'5. Ventas'!$A$8:$A$407,"&lt;"&amp;$C$6,'5. Ventas'!$B$8:$B$407,$A73)</f>
        <v>0</v>
      </c>
    </row>
    <row r="74" ht="15.75" customHeight="1">
      <c r="A74" s="14">
        <v>45.0</v>
      </c>
      <c r="B74" s="67" t="s">
        <v>368</v>
      </c>
      <c r="C74" s="66">
        <f>SUMIFS('5. Ventas'!$E$8:$E$407,'5. Ventas'!$A$8:$A$407,"&gt;="&amp;$C$5,'5. Ventas'!$A$8:$A$407,"&lt;"&amp;$C$6,'5. Ventas'!$B$8:$B$407,$A74)</f>
        <v>0</v>
      </c>
      <c r="E74" s="47">
        <f>SUMIFS('5. Ventas'!$G$8:$G$407,'5. Ventas'!$A$8:$A$407,"&gt;="&amp;$C$5,'5. Ventas'!$A$8:$A$407,"&lt;"&amp;$C$6,'5. Ventas'!$B$8:$B$407,$A74)</f>
        <v>0</v>
      </c>
      <c r="F74" s="47">
        <f>SUMIFS('5. Ventas'!$L$8:$L$407,'5. Ventas'!$A$8:$A$407,"&gt;="&amp;$C$5,'5. Ventas'!$A$8:$A$407,"&lt;"&amp;$C$6,'5. Ventas'!$B$8:$B$407,$A74)</f>
        <v>0</v>
      </c>
    </row>
    <row r="75" ht="15.75" customHeight="1">
      <c r="A75" s="14">
        <v>46.0</v>
      </c>
      <c r="B75" s="67" t="s">
        <v>371</v>
      </c>
      <c r="C75" s="66">
        <f>SUMIFS('5. Ventas'!$E$8:$E$407,'5. Ventas'!$A$8:$A$407,"&gt;="&amp;$C$5,'5. Ventas'!$A$8:$A$407,"&lt;"&amp;$C$6,'5. Ventas'!$B$8:$B$407,$A75)</f>
        <v>0</v>
      </c>
      <c r="E75" s="47">
        <f>SUMIFS('5. Ventas'!$G$8:$G$407,'5. Ventas'!$A$8:$A$407,"&gt;="&amp;$C$5,'5. Ventas'!$A$8:$A$407,"&lt;"&amp;$C$6,'5. Ventas'!$B$8:$B$407,$A75)</f>
        <v>0</v>
      </c>
      <c r="F75" s="47">
        <f>SUMIFS('5. Ventas'!$L$8:$L$407,'5. Ventas'!$A$8:$A$407,"&gt;="&amp;$C$5,'5. Ventas'!$A$8:$A$407,"&lt;"&amp;$C$6,'5. Ventas'!$B$8:$B$407,$A75)</f>
        <v>0</v>
      </c>
    </row>
    <row r="76" ht="15.75" customHeight="1">
      <c r="A76" s="14">
        <v>47.0</v>
      </c>
      <c r="B76" s="67" t="s">
        <v>374</v>
      </c>
      <c r="C76" s="66">
        <f>SUMIFS('5. Ventas'!$E$8:$E$407,'5. Ventas'!$A$8:$A$407,"&gt;="&amp;$C$5,'5. Ventas'!$A$8:$A$407,"&lt;"&amp;$C$6,'5. Ventas'!$B$8:$B$407,$A76)</f>
        <v>0</v>
      </c>
      <c r="E76" s="47">
        <f>SUMIFS('5. Ventas'!$G$8:$G$407,'5. Ventas'!$A$8:$A$407,"&gt;="&amp;$C$5,'5. Ventas'!$A$8:$A$407,"&lt;"&amp;$C$6,'5. Ventas'!$B$8:$B$407,$A76)</f>
        <v>0</v>
      </c>
      <c r="F76" s="47">
        <f>SUMIFS('5. Ventas'!$L$8:$L$407,'5. Ventas'!$A$8:$A$407,"&gt;="&amp;$C$5,'5. Ventas'!$A$8:$A$407,"&lt;"&amp;$C$6,'5. Ventas'!$B$8:$B$407,$A76)</f>
        <v>0</v>
      </c>
    </row>
    <row r="77" ht="15.75" customHeight="1">
      <c r="A77" s="14">
        <v>48.0</v>
      </c>
      <c r="B77" s="67" t="s">
        <v>376</v>
      </c>
      <c r="C77" s="66">
        <f>SUMIFS('5. Ventas'!$E$8:$E$407,'5. Ventas'!$A$8:$A$407,"&gt;="&amp;$C$5,'5. Ventas'!$A$8:$A$407,"&lt;"&amp;$C$6,'5. Ventas'!$B$8:$B$407,$A77)</f>
        <v>0</v>
      </c>
      <c r="E77" s="47">
        <f>SUMIFS('5. Ventas'!$G$8:$G$407,'5. Ventas'!$A$8:$A$407,"&gt;="&amp;$C$5,'5. Ventas'!$A$8:$A$407,"&lt;"&amp;$C$6,'5. Ventas'!$B$8:$B$407,$A77)</f>
        <v>0</v>
      </c>
      <c r="F77" s="47">
        <f>SUMIFS('5. Ventas'!$L$8:$L$407,'5. Ventas'!$A$8:$A$407,"&gt;="&amp;$C$5,'5. Ventas'!$A$8:$A$407,"&lt;"&amp;$C$6,'5. Ventas'!$B$8:$B$407,$A77)</f>
        <v>0</v>
      </c>
    </row>
    <row r="78" ht="15.75" customHeight="1">
      <c r="A78" s="14">
        <v>49.0</v>
      </c>
      <c r="B78" s="67" t="s">
        <v>379</v>
      </c>
      <c r="C78" s="66">
        <f>SUMIFS('5. Ventas'!$E$8:$E$407,'5. Ventas'!$A$8:$A$407,"&gt;="&amp;$C$5,'5. Ventas'!$A$8:$A$407,"&lt;"&amp;$C$6,'5. Ventas'!$B$8:$B$407,$A78)</f>
        <v>0</v>
      </c>
      <c r="E78" s="47">
        <f>SUMIFS('5. Ventas'!$G$8:$G$407,'5. Ventas'!$A$8:$A$407,"&gt;="&amp;$C$5,'5. Ventas'!$A$8:$A$407,"&lt;"&amp;$C$6,'5. Ventas'!$B$8:$B$407,$A78)</f>
        <v>0</v>
      </c>
      <c r="F78" s="47">
        <f>SUMIFS('5. Ventas'!$L$8:$L$407,'5. Ventas'!$A$8:$A$407,"&gt;="&amp;$C$5,'5. Ventas'!$A$8:$A$407,"&lt;"&amp;$C$6,'5. Ventas'!$B$8:$B$407,$A78)</f>
        <v>0</v>
      </c>
    </row>
    <row r="79" ht="15.75" customHeight="1">
      <c r="A79" s="14">
        <v>50.0</v>
      </c>
      <c r="B79" s="67" t="s">
        <v>381</v>
      </c>
      <c r="C79" s="66">
        <f>SUMIFS('5. Ventas'!$E$8:$E$407,'5. Ventas'!$A$8:$A$407,"&gt;="&amp;$C$5,'5. Ventas'!$A$8:$A$407,"&lt;"&amp;$C$6,'5. Ventas'!$B$8:$B$407,$A79)</f>
        <v>0</v>
      </c>
      <c r="E79" s="47">
        <f>SUMIFS('5. Ventas'!$G$8:$G$407,'5. Ventas'!$A$8:$A$407,"&gt;="&amp;$C$5,'5. Ventas'!$A$8:$A$407,"&lt;"&amp;$C$6,'5. Ventas'!$B$8:$B$407,$A79)</f>
        <v>0</v>
      </c>
      <c r="F79" s="47">
        <f>SUMIFS('5. Ventas'!$L$8:$L$407,'5. Ventas'!$A$8:$A$407,"&gt;="&amp;$C$5,'5. Ventas'!$A$8:$A$407,"&lt;"&amp;$C$6,'5. Ventas'!$B$8:$B$407,$A79)</f>
        <v>0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9:$F$79"/>
  <mergeCells count="1">
    <mergeCell ref="A1:F1"/>
  </mergeCells>
  <conditionalFormatting sqref="C15">
    <cfRule type="cellIs" dxfId="0" priority="1" operator="lessThan">
      <formula>0</formula>
    </cfRule>
  </conditionalFormatting>
  <conditionalFormatting sqref="C30:C79">
    <cfRule type="colorScale" priority="2">
      <colorScale>
        <cfvo type="min" val="0"/>
        <cfvo type="max" val="0"/>
        <color rgb="FFFFFFFF"/>
        <color rgb="FFF8B818"/>
      </colorScale>
    </cfRule>
  </conditionalFormatting>
  <printOptions/>
  <pageMargins bottom="1.0" footer="0.0" header="0.0" left="0.75" right="0.75" top="1.0"/>
  <pageSetup paperSize="9" orientation="portrait"/>
  <drawing r:id="rId1"/>
</worksheet>
</file>