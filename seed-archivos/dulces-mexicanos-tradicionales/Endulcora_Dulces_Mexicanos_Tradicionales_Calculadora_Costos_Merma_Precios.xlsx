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Bases madre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'Insumos'!$A$4:$G$81</definedName>
    <definedName name="_xlnm._FilterDatabase" localSheetId="3" hidden="1">'Ingredientes'!$A$4:$H$197</definedName>
    <definedName name="_xlnm._FilterDatabase" localSheetId="5" hidden="1">'Recetas y precios'!$A$4:$U$54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"/>
    <numFmt numFmtId="166" formatCode="&quot;$&quot;#,##0"/>
    <numFmt numFmtId="167" formatCode="0.0%"/>
    <numFmt numFmtId="168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4E1454"/>
      <sz val="18"/>
    </font>
    <font>
      <name val="Calibri"/>
      <color rgb="006B5470"/>
      <sz val="10"/>
    </font>
    <font>
      <b val="1"/>
      <color rgb="007A2E7E"/>
      <sz val="11"/>
    </font>
    <font>
      <name val="Calibri"/>
      <b val="1"/>
      <color rgb="004E1454"/>
      <sz val="10"/>
    </font>
    <font>
      <name val="Calibri"/>
      <sz val="10"/>
    </font>
    <font>
      <name val="Calibri"/>
      <b val="1"/>
      <color rgb="00FFFFFF"/>
      <sz val="9"/>
    </font>
    <font>
      <name val="Calibri"/>
      <color rgb="006B5470"/>
      <sz val="9"/>
    </font>
    <font>
      <b val="1"/>
      <color rgb="002E7D57"/>
      <sz val="10"/>
    </font>
    <font>
      <name val="Calibri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4E1454"/>
      </patternFill>
    </fill>
    <fill>
      <patternFill patternType="solid">
        <fgColor rgb="00FDF3D9"/>
      </patternFill>
    </fill>
    <fill>
      <patternFill patternType="solid">
        <fgColor rgb="00F4ECF5"/>
      </patternFill>
    </fill>
  </fills>
  <borders count="2">
    <border>
      <left/>
      <right/>
      <top/>
      <bottom/>
      <diagonal/>
    </border>
    <border>
      <left style="thin">
        <color rgb="00E3D8E6"/>
      </left>
      <right style="thin">
        <color rgb="00E3D8E6"/>
      </right>
      <top style="thin">
        <color rgb="00E3D8E6"/>
      </top>
      <bottom style="thin">
        <color rgb="00E3D8E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5" fillId="0" borderId="1" pivotButton="0" quotePrefix="0" xfId="0"/>
    <xf numFmtId="164" fontId="5" fillId="3" borderId="1" pivotButton="0" quotePrefix="0" xfId="0"/>
    <xf numFmtId="165" fontId="4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166" fontId="5" fillId="3" borderId="1" pivotButton="0" quotePrefix="0" xfId="0"/>
    <xf numFmtId="3" fontId="5" fillId="3" borderId="1" pivotButton="0" quotePrefix="0" xfId="0"/>
    <xf numFmtId="167" fontId="5" fillId="3" borderId="1" pivotButton="0" quotePrefix="0" xfId="0"/>
    <xf numFmtId="0" fontId="4" fillId="4" borderId="0" pivotButton="0" quotePrefix="0" xfId="0"/>
    <xf numFmtId="164" fontId="4" fillId="4" borderId="0" pivotButton="0" quotePrefix="0" xfId="0"/>
    <xf numFmtId="0" fontId="7" fillId="0" borderId="0" pivotButton="0" quotePrefix="0" xfId="0"/>
    <xf numFmtId="166" fontId="4" fillId="4" borderId="0" pivotButton="0" quotePrefix="0" xfId="0"/>
    <xf numFmtId="164" fontId="0" fillId="3" borderId="1" pivotButton="0" quotePrefix="0" xfId="0"/>
    <xf numFmtId="0" fontId="0" fillId="3" borderId="1" pivotButton="0" quotePrefix="0" xfId="0"/>
    <xf numFmtId="167" fontId="0" fillId="3" borderId="1" pivotButton="0" quotePrefix="0" xfId="0"/>
    <xf numFmtId="164" fontId="4" fillId="0" borderId="1" pivotButton="0" quotePrefix="0" xfId="0"/>
    <xf numFmtId="166" fontId="0" fillId="0" borderId="1" pivotButton="0" quotePrefix="0" xfId="0"/>
    <xf numFmtId="164" fontId="8" fillId="0" borderId="1" pivotButton="0" quotePrefix="0" xfId="0"/>
    <xf numFmtId="0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8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7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E1454"/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A1" s="1" t="inlineStr">
        <is>
          <t>Anexo 1 · Sistema de Costeo de Dulcería</t>
        </is>
      </c>
    </row>
    <row r="2">
      <c r="A2" s="2" t="inlineStr">
        <is>
          <t>Endulcora · Estudio Gastronómico, en colaboración con LEVENT — herramienta del eBook «Dulces Mexicanos Tradicionales: Del Jamoncillo al Cristalizado de Convento»</t>
        </is>
      </c>
    </row>
    <row r="3" ht="6" customHeight="1"/>
    <row r="4">
      <c r="B4" s="3" t="inlineStr">
        <is>
          <t>CÓMO SE USA ESTE ARCHIVO</t>
        </is>
      </c>
    </row>
    <row r="5">
      <c r="B5" s="4" t="inlineStr">
        <is>
          <t>1. Insumos</t>
        </is>
      </c>
    </row>
    <row r="6" ht="30" customHeight="1">
      <c r="B6" s="5" t="inlineStr">
        <is>
          <t>Escribe el PRECIO y la PRESENTACIÓN que TÚ compras, empezando por el costal de azúcar y la nuez. Los precios cargados son de referencia (mercado CDMX 2026), no cotizaciones.</t>
        </is>
      </c>
    </row>
    <row r="7">
      <c r="B7" s="4" t="inlineStr">
        <is>
          <t>2. Mi negocio</t>
        </is>
      </c>
    </row>
    <row r="8" ht="30" customHeight="1">
      <c r="B8" s="5" t="inlineStr">
        <is>
          <t>Captura tus gastos fijos del mes, cuántas piezas produces, el sueldo que quieres cobrarte y tus horas de trabajo. De aquí salen el overhead por pieza y el costo de tu hora.</t>
        </is>
      </c>
    </row>
    <row r="9">
      <c r="B9" s="4" t="inlineStr">
        <is>
          <t>3. Bases madre</t>
        </is>
      </c>
    </row>
    <row r="10" ht="30" customHeight="1">
      <c r="B10" s="5" t="inlineStr">
        <is>
          <t>Costo por lote y por pieza de las seis bases del Capítulo 3. Sirve para cotizar rápido cualquier dulce nuevo que crees tú.</t>
        </is>
      </c>
    </row>
    <row r="11">
      <c r="B11" s="4" t="inlineStr">
        <is>
          <t>4. Recetas y precios</t>
        </is>
      </c>
    </row>
    <row r="12" ht="30" customHeight="1">
      <c r="B12" s="5" t="inlineStr">
        <is>
          <t>La hoja principal. Costo POR PIEZA de las 50 recetas y precio sugerido en cuatro canales. Ajusta empaque, energía, minutos y % de merma por receta.</t>
        </is>
      </c>
    </row>
    <row r="13">
      <c r="B13" s="4" t="inlineStr">
        <is>
          <t>5. Producción</t>
        </is>
      </c>
    </row>
    <row r="14" ht="30" customHeight="1">
      <c r="B14" s="5" t="inlineStr">
        <is>
          <t>Registra cada lote: piezas buenas y falladas. Así conoces tu MERMA REAL de producción.</t>
        </is>
      </c>
    </row>
    <row r="15">
      <c r="B15" s="4" t="inlineStr">
        <is>
          <t>6. Ventas</t>
        </is>
      </c>
    </row>
    <row r="16" ht="30" customHeight="1">
      <c r="B16" s="5" t="inlineStr">
        <is>
          <t>Una línea por venta. Además del ingreso, registra el PRODUCTO NO VENDIDO: en dulcería no se tira, pero sí inmoviliza tu dinero.</t>
        </is>
      </c>
    </row>
    <row r="17">
      <c r="B17" s="4" t="inlineStr">
        <is>
          <t>7. Tablero</t>
        </is>
      </c>
    </row>
    <row r="18" ht="30" customHeight="1">
      <c r="B18" s="5" t="inlineStr">
        <is>
          <t>Resumen del mes: ingreso, utilidad, las dos mermas y punto de equilibrio.</t>
        </is>
      </c>
    </row>
    <row r="19">
      <c r="B19" s="3" t="inlineStr"/>
    </row>
    <row r="20">
      <c r="B20" s="3" t="inlineStr">
        <is>
          <t>LAS FÓRMULAS QUE USA</t>
        </is>
      </c>
    </row>
    <row r="21">
      <c r="B21" s="4" t="inlineStr">
        <is>
          <t>Costo por gramo</t>
        </is>
      </c>
    </row>
    <row r="22" ht="30" customHeight="1">
      <c r="B22" s="5">
        <f> Precio de compra ÷ Cantidad comprada</f>
        <v/>
      </c>
    </row>
    <row r="23">
      <c r="B23" s="4" t="inlineStr">
        <is>
          <t>Costo de insumos del lote</t>
        </is>
      </c>
    </row>
    <row r="24" ht="30" customHeight="1">
      <c r="B24" s="5">
        <f> SUMA(cantidad × costo por gramo) de todas las líneas de la receta</f>
        <v/>
      </c>
    </row>
    <row r="25">
      <c r="B25" s="4" t="inlineStr">
        <is>
          <t>Costo de insumos por pieza</t>
        </is>
      </c>
    </row>
    <row r="26" ht="30" customHeight="1">
      <c r="B26" s="5">
        <f> Costo del lote ÷ Piezas que rinde</f>
        <v/>
      </c>
    </row>
    <row r="27">
      <c r="B27" s="4" t="inlineStr">
        <is>
          <t>Costo base</t>
        </is>
      </c>
    </row>
    <row r="28" ht="30" customHeight="1">
      <c r="B28" s="5">
        <f> Insumos/pieza + Empaque + Energía + Mano de obra + Overhead</f>
        <v/>
      </c>
    </row>
    <row r="29">
      <c r="B29" s="4" t="inlineStr">
        <is>
          <t>Costo total unitario</t>
        </is>
      </c>
    </row>
    <row r="30" ht="30" customHeight="1">
      <c r="B30" s="5">
        <f> Costo base ÷ (1 − % merma)   ← se DIVIDE, no se suma</f>
        <v/>
      </c>
    </row>
    <row r="31">
      <c r="B31" s="4" t="inlineStr">
        <is>
          <t>Precio de venta (PVP)</t>
        </is>
      </c>
    </row>
    <row r="32" ht="30" customHeight="1">
      <c r="B32" s="5">
        <f> Costo total ÷ (1 − margen deseado)</f>
        <v/>
      </c>
    </row>
    <row r="33">
      <c r="B33" s="4" t="inlineStr">
        <is>
          <t>Utilidad por pieza</t>
        </is>
      </c>
    </row>
    <row r="34" ht="30" customHeight="1">
      <c r="B34" s="5">
        <f> PVP − Costo total</f>
        <v/>
      </c>
    </row>
    <row r="35">
      <c r="B35" s="3" t="inlineStr"/>
    </row>
    <row r="36">
      <c r="B36" s="3" t="inlineStr">
        <is>
          <t>ADVERTENCIAS</t>
        </is>
      </c>
    </row>
    <row r="37">
      <c r="B37" s="4" t="inlineStr">
        <is>
          <t>Los frutos secos son el insumo crítico</t>
        </is>
      </c>
    </row>
    <row r="38" ht="30" customHeight="1">
      <c r="B38" s="5" t="inlineStr">
        <is>
          <t>La nuez, el piñón y la almendra pueden ser más del 50 % del costo de una receta y suben cada diciembre. Actualiza su precio cada compra.</t>
        </is>
      </c>
    </row>
    <row r="39">
      <c r="B39" s="4" t="inlineStr">
        <is>
          <t>Cantidades «al gusto»</t>
        </is>
      </c>
    </row>
    <row r="40" ht="30" customHeight="1">
      <c r="B40" s="5" t="inlineStr">
        <is>
          <t>Las líneas del recetario que dicen «para decorar» o «lo necesario» se cargaron con una cantidad razonable por lote. Ajústalas a tu ejecución real en la hoja Ingredientes.</t>
        </is>
      </c>
    </row>
    <row r="41">
      <c r="B41" s="4" t="inlineStr">
        <is>
          <t>Empaque aparte</t>
        </is>
      </c>
    </row>
    <row r="42" ht="30" customHeight="1">
      <c r="B42" s="5" t="inlineStr">
        <is>
          <t>El empaque NO se cuenta como ingrediente: se captura por pieza en la hoja «Recetas y precios». Los insumos de empaque están en el catálogo solo como referencia de precio.</t>
        </is>
      </c>
    </row>
    <row r="43">
      <c r="B43" s="4" t="inlineStr">
        <is>
          <t>Las dos mermas</t>
        </is>
      </c>
    </row>
    <row r="44" ht="30" customHeight="1">
      <c r="B44" s="5" t="inlineStr">
        <is>
          <t>Merma de producción (lotes fallados) y producto no vendido. Cuenta las dos o tu costeo miente.</t>
        </is>
      </c>
    </row>
    <row r="45">
      <c r="B45" s="4" t="inlineStr">
        <is>
          <t>Alérgenos</t>
        </is>
      </c>
    </row>
    <row r="46" ht="30" customHeight="1">
      <c r="B46" s="5" t="inlineStr">
        <is>
          <t>Este recetario contiene LECHE, FRUTOS SECOS, CACAHUATE, AJONJOLÍ, HUEVO, TRIGO y ALCOHOL según la receta. Decláralos siempre en la etiqueta.</t>
        </is>
      </c>
    </row>
    <row r="47">
      <c r="B47" s="4" t="inlineStr">
        <is>
          <t>Uso</t>
        </is>
      </c>
    </row>
    <row r="48" ht="30" customHeight="1">
      <c r="B48" s="5" t="inlineStr">
        <is>
          <t>Uso personal del comprador. No se autoriza su reventa ni redistribución.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1454"/>
    <outlinePr summaryBelow="1" summaryRight="1"/>
    <pageSetUpPr/>
  </sheetPr>
  <dimension ref="A1:G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9" customWidth="1" min="3" max="3"/>
    <col width="22" customWidth="1" min="4" max="4"/>
    <col width="16" customWidth="1" min="5" max="5"/>
    <col width="15" customWidth="1" min="6" max="6"/>
    <col width="15" customWidth="1" min="7" max="7"/>
  </cols>
  <sheetData>
    <row r="1" ht="26" customHeight="1">
      <c r="A1" s="1" t="inlineStr">
        <is>
          <t>Insumos</t>
        </is>
      </c>
    </row>
    <row r="2">
      <c r="A2" s="2" t="inlineStr">
        <is>
          <t>Paso 1 · Cambia PRECIO y PRESENTACIÓN por los de tus tickets reales. Empieza por el azúcar y la nuez.</t>
        </is>
      </c>
    </row>
    <row r="3" ht="6" customHeight="1"/>
    <row r="4" ht="30" customHeight="1">
      <c r="A4" s="6" t="inlineStr">
        <is>
          <t>Categoría</t>
        </is>
      </c>
      <c r="B4" s="6" t="inlineStr">
        <is>
          <t>Insumo</t>
        </is>
      </c>
      <c r="C4" s="6" t="inlineStr">
        <is>
          <t>Unidad</t>
        </is>
      </c>
      <c r="D4" s="6" t="inlineStr">
        <is>
          <t>Presentación (cantidad que compras)</t>
        </is>
      </c>
      <c r="E4" s="6" t="inlineStr">
        <is>
          <t>Precio pagado (MXN)</t>
        </is>
      </c>
      <c r="F4" s="6" t="inlineStr">
        <is>
          <t>Costo por unidad</t>
        </is>
      </c>
      <c r="G4" s="6" t="inlineStr">
        <is>
          <t>Recetas que lo usan</t>
        </is>
      </c>
    </row>
    <row r="5">
      <c r="A5" s="7" t="inlineStr">
        <is>
          <t>Azúcares</t>
        </is>
      </c>
      <c r="B5" s="8" t="inlineStr">
        <is>
          <t>Azúcar refinada</t>
        </is>
      </c>
      <c r="C5" s="7" t="inlineStr">
        <is>
          <t>g</t>
        </is>
      </c>
      <c r="D5" s="8" t="n">
        <v>1000</v>
      </c>
      <c r="E5" s="9" t="n">
        <v>25</v>
      </c>
      <c r="F5" s="10">
        <f>IFERROR(E5/D5,0)</f>
        <v/>
      </c>
      <c r="G5" s="7">
        <f>COUNTIF(Ingredientes!$C:$C,B5)</f>
        <v/>
      </c>
    </row>
    <row r="6">
      <c r="A6" s="7" t="inlineStr">
        <is>
          <t>Azúcares</t>
        </is>
      </c>
      <c r="B6" s="8" t="inlineStr">
        <is>
          <t>Azúcar mascabado</t>
        </is>
      </c>
      <c r="C6" s="7" t="inlineStr">
        <is>
          <t>g</t>
        </is>
      </c>
      <c r="D6" s="8" t="n">
        <v>1000</v>
      </c>
      <c r="E6" s="9" t="n">
        <v>48</v>
      </c>
      <c r="F6" s="10">
        <f>IFERROR(E6/D6,0)</f>
        <v/>
      </c>
      <c r="G6" s="7">
        <f>COUNTIF(Ingredientes!$C:$C,B6)</f>
        <v/>
      </c>
    </row>
    <row r="7">
      <c r="A7" s="7" t="inlineStr">
        <is>
          <t>Azúcares</t>
        </is>
      </c>
      <c r="B7" s="8" t="inlineStr">
        <is>
          <t>Piloncillo</t>
        </is>
      </c>
      <c r="C7" s="7" t="inlineStr">
        <is>
          <t>g</t>
        </is>
      </c>
      <c r="D7" s="8" t="n">
        <v>1000</v>
      </c>
      <c r="E7" s="9" t="n">
        <v>58</v>
      </c>
      <c r="F7" s="10">
        <f>IFERROR(E7/D7,0)</f>
        <v/>
      </c>
      <c r="G7" s="7">
        <f>COUNTIF(Ingredientes!$C:$C,B7)</f>
        <v/>
      </c>
    </row>
    <row r="8">
      <c r="A8" s="7" t="inlineStr">
        <is>
          <t>Azúcares</t>
        </is>
      </c>
      <c r="B8" s="8" t="inlineStr">
        <is>
          <t>Glucosa / jarabe de maíz</t>
        </is>
      </c>
      <c r="C8" s="7" t="inlineStr">
        <is>
          <t>g</t>
        </is>
      </c>
      <c r="D8" s="8" t="n">
        <v>1000</v>
      </c>
      <c r="E8" s="9" t="n">
        <v>95</v>
      </c>
      <c r="F8" s="10">
        <f>IFERROR(E8/D8,0)</f>
        <v/>
      </c>
      <c r="G8" s="7">
        <f>COUNTIF(Ingredientes!$C:$C,B8)</f>
        <v/>
      </c>
    </row>
    <row r="9">
      <c r="A9" s="7" t="inlineStr">
        <is>
          <t>Azúcares</t>
        </is>
      </c>
      <c r="B9" s="8" t="inlineStr">
        <is>
          <t>Miel de abeja</t>
        </is>
      </c>
      <c r="C9" s="7" t="inlineStr">
        <is>
          <t>ml</t>
        </is>
      </c>
      <c r="D9" s="8" t="n">
        <v>1000</v>
      </c>
      <c r="E9" s="9" t="n">
        <v>220</v>
      </c>
      <c r="F9" s="10">
        <f>IFERROR(E9/D9,0)</f>
        <v/>
      </c>
      <c r="G9" s="7">
        <f>COUNTIF(Ingredientes!$C:$C,B9)</f>
        <v/>
      </c>
    </row>
    <row r="10">
      <c r="A10" s="7" t="inlineStr">
        <is>
          <t>Azúcares</t>
        </is>
      </c>
      <c r="B10" s="8" t="inlineStr">
        <is>
          <t>Miel de agave</t>
        </is>
      </c>
      <c r="C10" s="7" t="inlineStr">
        <is>
          <t>ml</t>
        </is>
      </c>
      <c r="D10" s="8" t="n">
        <v>1000</v>
      </c>
      <c r="E10" s="9" t="n">
        <v>140</v>
      </c>
      <c r="F10" s="10">
        <f>IFERROR(E10/D10,0)</f>
        <v/>
      </c>
      <c r="G10" s="7">
        <f>COUNTIF(Ingredientes!$C:$C,B10)</f>
        <v/>
      </c>
    </row>
    <row r="11">
      <c r="A11" s="7" t="inlineStr">
        <is>
          <t>Azúcares</t>
        </is>
      </c>
      <c r="B11" s="8" t="inlineStr">
        <is>
          <t>Melaza de piloncillo</t>
        </is>
      </c>
      <c r="C11" s="7" t="inlineStr">
        <is>
          <t>ml</t>
        </is>
      </c>
      <c r="D11" s="8" t="n">
        <v>1000</v>
      </c>
      <c r="E11" s="9" t="n">
        <v>80</v>
      </c>
      <c r="F11" s="10">
        <f>IFERROR(E11/D11,0)</f>
        <v/>
      </c>
      <c r="G11" s="7">
        <f>COUNTIF(Ingredientes!$C:$C,B11)</f>
        <v/>
      </c>
    </row>
    <row r="12">
      <c r="A12" s="7" t="inlineStr">
        <is>
          <t>Azúcares</t>
        </is>
      </c>
      <c r="B12" s="8" t="inlineStr">
        <is>
          <t>Jarabe de azúcar con piloncillo</t>
        </is>
      </c>
      <c r="C12" s="7" t="inlineStr">
        <is>
          <t>ml</t>
        </is>
      </c>
      <c r="D12" s="8" t="n">
        <v>1000</v>
      </c>
      <c r="E12" s="9" t="n">
        <v>60</v>
      </c>
      <c r="F12" s="10">
        <f>IFERROR(E12/D12,0)</f>
        <v/>
      </c>
      <c r="G12" s="7">
        <f>COUNTIF(Ingredientes!$C:$C,B12)</f>
        <v/>
      </c>
    </row>
    <row r="13">
      <c r="A13" s="7" t="inlineStr">
        <is>
          <t>Lácteos</t>
        </is>
      </c>
      <c r="B13" s="8" t="inlineStr">
        <is>
          <t>Leche entera</t>
        </is>
      </c>
      <c r="C13" s="7" t="inlineStr">
        <is>
          <t>ml</t>
        </is>
      </c>
      <c r="D13" s="8" t="n">
        <v>1000</v>
      </c>
      <c r="E13" s="9" t="n">
        <v>28</v>
      </c>
      <c r="F13" s="10">
        <f>IFERROR(E13/D13,0)</f>
        <v/>
      </c>
      <c r="G13" s="7">
        <f>COUNTIF(Ingredientes!$C:$C,B13)</f>
        <v/>
      </c>
    </row>
    <row r="14">
      <c r="A14" s="7" t="inlineStr">
        <is>
          <t>Lácteos</t>
        </is>
      </c>
      <c r="B14" s="8" t="inlineStr">
        <is>
          <t>Leche de cabra</t>
        </is>
      </c>
      <c r="C14" s="7" t="inlineStr">
        <is>
          <t>ml</t>
        </is>
      </c>
      <c r="D14" s="8" t="n">
        <v>1000</v>
      </c>
      <c r="E14" s="9" t="n">
        <v>55</v>
      </c>
      <c r="F14" s="10">
        <f>IFERROR(E14/D14,0)</f>
        <v/>
      </c>
      <c r="G14" s="7">
        <f>COUNTIF(Ingredientes!$C:$C,B14)</f>
        <v/>
      </c>
    </row>
    <row r="15">
      <c r="A15" s="7" t="inlineStr">
        <is>
          <t>Lácteos</t>
        </is>
      </c>
      <c r="B15" s="8" t="inlineStr">
        <is>
          <t>Leche condensada</t>
        </is>
      </c>
      <c r="C15" s="7" t="inlineStr">
        <is>
          <t>g</t>
        </is>
      </c>
      <c r="D15" s="8" t="n">
        <v>387</v>
      </c>
      <c r="E15" s="9" t="n">
        <v>42</v>
      </c>
      <c r="F15" s="10">
        <f>IFERROR(E15/D15,0)</f>
        <v/>
      </c>
      <c r="G15" s="7">
        <f>COUNTIF(Ingredientes!$C:$C,B15)</f>
        <v/>
      </c>
    </row>
    <row r="16">
      <c r="A16" s="7" t="inlineStr">
        <is>
          <t>Lácteos</t>
        </is>
      </c>
      <c r="B16" s="8" t="inlineStr">
        <is>
          <t>Leche en polvo entera</t>
        </is>
      </c>
      <c r="C16" s="7" t="inlineStr">
        <is>
          <t>g</t>
        </is>
      </c>
      <c r="D16" s="8" t="n">
        <v>1000</v>
      </c>
      <c r="E16" s="9" t="n">
        <v>220</v>
      </c>
      <c r="F16" s="10">
        <f>IFERROR(E16/D16,0)</f>
        <v/>
      </c>
      <c r="G16" s="7">
        <f>COUNTIF(Ingredientes!$C:$C,B16)</f>
        <v/>
      </c>
    </row>
    <row r="17">
      <c r="A17" s="7" t="inlineStr">
        <is>
          <t>Lácteos</t>
        </is>
      </c>
      <c r="B17" s="8" t="inlineStr">
        <is>
          <t>Mantequilla sin sal</t>
        </is>
      </c>
      <c r="C17" s="7" t="inlineStr">
        <is>
          <t>g</t>
        </is>
      </c>
      <c r="D17" s="8" t="n">
        <v>1000</v>
      </c>
      <c r="E17" s="9" t="n">
        <v>235</v>
      </c>
      <c r="F17" s="10">
        <f>IFERROR(E17/D17,0)</f>
        <v/>
      </c>
      <c r="G17" s="7">
        <f>COUNTIF(Ingredientes!$C:$C,B17)</f>
        <v/>
      </c>
    </row>
    <row r="18">
      <c r="A18" s="7" t="inlineStr">
        <is>
          <t>Lácteos</t>
        </is>
      </c>
      <c r="B18" s="8" t="inlineStr">
        <is>
          <t>Crema para batir</t>
        </is>
      </c>
      <c r="C18" s="7" t="inlineStr">
        <is>
          <t>ml</t>
        </is>
      </c>
      <c r="D18" s="8" t="n">
        <v>1000</v>
      </c>
      <c r="E18" s="9" t="n">
        <v>120</v>
      </c>
      <c r="F18" s="10">
        <f>IFERROR(E18/D18,0)</f>
        <v/>
      </c>
      <c r="G18" s="7">
        <f>COUNTIF(Ingredientes!$C:$C,B18)</f>
        <v/>
      </c>
    </row>
    <row r="19">
      <c r="A19" s="7" t="inlineStr">
        <is>
          <t>Lácteos</t>
        </is>
      </c>
      <c r="B19" s="8" t="inlineStr">
        <is>
          <t>Rompope artesanal</t>
        </is>
      </c>
      <c r="C19" s="7" t="inlineStr">
        <is>
          <t>ml</t>
        </is>
      </c>
      <c r="D19" s="8" t="n">
        <v>750</v>
      </c>
      <c r="E19" s="9" t="n">
        <v>190</v>
      </c>
      <c r="F19" s="10">
        <f>IFERROR(E19/D19,0)</f>
        <v/>
      </c>
      <c r="G19" s="7">
        <f>COUNTIF(Ingredientes!$C:$C,B19)</f>
        <v/>
      </c>
    </row>
    <row r="20">
      <c r="A20" s="7" t="inlineStr">
        <is>
          <t>Lácteos</t>
        </is>
      </c>
      <c r="B20" s="8" t="inlineStr">
        <is>
          <t>Cajeta (insumo)</t>
        </is>
      </c>
      <c r="C20" s="7" t="inlineStr">
        <is>
          <t>g</t>
        </is>
      </c>
      <c r="D20" s="8" t="n">
        <v>1000</v>
      </c>
      <c r="E20" s="9" t="n">
        <v>240</v>
      </c>
      <c r="F20" s="10">
        <f>IFERROR(E20/D20,0)</f>
        <v/>
      </c>
      <c r="G20" s="7">
        <f>COUNTIF(Ingredientes!$C:$C,B20)</f>
        <v/>
      </c>
    </row>
    <row r="21">
      <c r="A21" s="7" t="inlineStr">
        <is>
          <t>Lácteos</t>
        </is>
      </c>
      <c r="B21" s="8" t="inlineStr">
        <is>
          <t>Pasta de jamoncillo (insumo)</t>
        </is>
      </c>
      <c r="C21" s="7" t="inlineStr">
        <is>
          <t>g</t>
        </is>
      </c>
      <c r="D21" s="8" t="n">
        <v>1000</v>
      </c>
      <c r="E21" s="9" t="n">
        <v>190</v>
      </c>
      <c r="F21" s="10">
        <f>IFERROR(E21/D21,0)</f>
        <v/>
      </c>
      <c r="G21" s="7">
        <f>COUNTIF(Ingredientes!$C:$C,B21)</f>
        <v/>
      </c>
    </row>
    <row r="22">
      <c r="A22" s="7" t="inlineStr">
        <is>
          <t>Frutos secos</t>
        </is>
      </c>
      <c r="B22" s="8" t="inlineStr">
        <is>
          <t>Nuez de Castilla</t>
        </is>
      </c>
      <c r="C22" s="7" t="inlineStr">
        <is>
          <t>g</t>
        </is>
      </c>
      <c r="D22" s="8" t="n">
        <v>1000</v>
      </c>
      <c r="E22" s="9" t="n">
        <v>420</v>
      </c>
      <c r="F22" s="10">
        <f>IFERROR(E22/D22,0)</f>
        <v/>
      </c>
      <c r="G22" s="7">
        <f>COUNTIF(Ingredientes!$C:$C,B22)</f>
        <v/>
      </c>
    </row>
    <row r="23">
      <c r="A23" s="7" t="inlineStr">
        <is>
          <t>Frutos secos</t>
        </is>
      </c>
      <c r="B23" s="8" t="inlineStr">
        <is>
          <t>Almendra</t>
        </is>
      </c>
      <c r="C23" s="7" t="inlineStr">
        <is>
          <t>g</t>
        </is>
      </c>
      <c r="D23" s="8" t="n">
        <v>1000</v>
      </c>
      <c r="E23" s="9" t="n">
        <v>340</v>
      </c>
      <c r="F23" s="10">
        <f>IFERROR(E23/D23,0)</f>
        <v/>
      </c>
      <c r="G23" s="7">
        <f>COUNTIF(Ingredientes!$C:$C,B23)</f>
        <v/>
      </c>
    </row>
    <row r="24">
      <c r="A24" s="7" t="inlineStr">
        <is>
          <t>Frutos secos</t>
        </is>
      </c>
      <c r="B24" s="8" t="inlineStr">
        <is>
          <t>Cacahuate tostado</t>
        </is>
      </c>
      <c r="C24" s="7" t="inlineStr">
        <is>
          <t>g</t>
        </is>
      </c>
      <c r="D24" s="8" t="n">
        <v>1000</v>
      </c>
      <c r="E24" s="9" t="n">
        <v>120</v>
      </c>
      <c r="F24" s="10">
        <f>IFERROR(E24/D24,0)</f>
        <v/>
      </c>
      <c r="G24" s="7">
        <f>COUNTIF(Ingredientes!$C:$C,B24)</f>
        <v/>
      </c>
    </row>
    <row r="25">
      <c r="A25" s="7" t="inlineStr">
        <is>
          <t>Frutos secos</t>
        </is>
      </c>
      <c r="B25" s="8" t="inlineStr">
        <is>
          <t>Piñón rosa</t>
        </is>
      </c>
      <c r="C25" s="7" t="inlineStr">
        <is>
          <t>g</t>
        </is>
      </c>
      <c r="D25" s="8" t="n">
        <v>250</v>
      </c>
      <c r="E25" s="9" t="n">
        <v>340</v>
      </c>
      <c r="F25" s="10">
        <f>IFERROR(E25/D25,0)</f>
        <v/>
      </c>
      <c r="G25" s="7">
        <f>COUNTIF(Ingredientes!$C:$C,B25)</f>
        <v/>
      </c>
    </row>
    <row r="26">
      <c r="A26" s="7" t="inlineStr">
        <is>
          <t>Semillas</t>
        </is>
      </c>
      <c r="B26" s="8" t="inlineStr">
        <is>
          <t>Pepita de calabaza</t>
        </is>
      </c>
      <c r="C26" s="7" t="inlineStr">
        <is>
          <t>g</t>
        </is>
      </c>
      <c r="D26" s="8" t="n">
        <v>1000</v>
      </c>
      <c r="E26" s="9" t="n">
        <v>190</v>
      </c>
      <c r="F26" s="10">
        <f>IFERROR(E26/D26,0)</f>
        <v/>
      </c>
      <c r="G26" s="7">
        <f>COUNTIF(Ingredientes!$C:$C,B26)</f>
        <v/>
      </c>
    </row>
    <row r="27">
      <c r="A27" s="7" t="inlineStr">
        <is>
          <t>Semillas</t>
        </is>
      </c>
      <c r="B27" s="8" t="inlineStr">
        <is>
          <t>Ajonjolí</t>
        </is>
      </c>
      <c r="C27" s="7" t="inlineStr">
        <is>
          <t>g</t>
        </is>
      </c>
      <c r="D27" s="8" t="n">
        <v>1000</v>
      </c>
      <c r="E27" s="9" t="n">
        <v>140</v>
      </c>
      <c r="F27" s="10">
        <f>IFERROR(E27/D27,0)</f>
        <v/>
      </c>
      <c r="G27" s="7">
        <f>COUNTIF(Ingredientes!$C:$C,B27)</f>
        <v/>
      </c>
    </row>
    <row r="28">
      <c r="A28" s="7" t="inlineStr">
        <is>
          <t>Semillas</t>
        </is>
      </c>
      <c r="B28" s="8" t="inlineStr">
        <is>
          <t>Amaranto tostado</t>
        </is>
      </c>
      <c r="C28" s="7" t="inlineStr">
        <is>
          <t>g</t>
        </is>
      </c>
      <c r="D28" s="8" t="n">
        <v>1000</v>
      </c>
      <c r="E28" s="9" t="n">
        <v>130</v>
      </c>
      <c r="F28" s="10">
        <f>IFERROR(E28/D28,0)</f>
        <v/>
      </c>
      <c r="G28" s="7">
        <f>COUNTIF(Ingredientes!$C:$C,B28)</f>
        <v/>
      </c>
    </row>
    <row r="29">
      <c r="A29" s="7" t="inlineStr">
        <is>
          <t>Semillas</t>
        </is>
      </c>
      <c r="B29" s="8" t="inlineStr">
        <is>
          <t>Semillas mixtas / granola</t>
        </is>
      </c>
      <c r="C29" s="7" t="inlineStr">
        <is>
          <t>g</t>
        </is>
      </c>
      <c r="D29" s="8" t="n">
        <v>1000</v>
      </c>
      <c r="E29" s="9" t="n">
        <v>150</v>
      </c>
      <c r="F29" s="10">
        <f>IFERROR(E29/D29,0)</f>
        <v/>
      </c>
      <c r="G29" s="7">
        <f>COUNTIF(Ingredientes!$C:$C,B29)</f>
        <v/>
      </c>
    </row>
    <row r="30">
      <c r="A30" s="7" t="inlineStr">
        <is>
          <t>Coco y cacao</t>
        </is>
      </c>
      <c r="B30" s="8" t="inlineStr">
        <is>
          <t>Coco rallado deshidratado</t>
        </is>
      </c>
      <c r="C30" s="7" t="inlineStr">
        <is>
          <t>g</t>
        </is>
      </c>
      <c r="D30" s="8" t="n">
        <v>1000</v>
      </c>
      <c r="E30" s="9" t="n">
        <v>180</v>
      </c>
      <c r="F30" s="10">
        <f>IFERROR(E30/D30,0)</f>
        <v/>
      </c>
      <c r="G30" s="7">
        <f>COUNTIF(Ingredientes!$C:$C,B30)</f>
        <v/>
      </c>
    </row>
    <row r="31">
      <c r="A31" s="7" t="inlineStr">
        <is>
          <t>Coco y cacao</t>
        </is>
      </c>
      <c r="B31" s="8" t="inlineStr">
        <is>
          <t>Chocolate amargo / de mesa</t>
        </is>
      </c>
      <c r="C31" s="7" t="inlineStr">
        <is>
          <t>g</t>
        </is>
      </c>
      <c r="D31" s="8" t="n">
        <v>1000</v>
      </c>
      <c r="E31" s="9" t="n">
        <v>290</v>
      </c>
      <c r="F31" s="10">
        <f>IFERROR(E31/D31,0)</f>
        <v/>
      </c>
      <c r="G31" s="7">
        <f>COUNTIF(Ingredientes!$C:$C,B31)</f>
        <v/>
      </c>
    </row>
    <row r="32">
      <c r="A32" s="7" t="inlineStr">
        <is>
          <t>Coco y cacao</t>
        </is>
      </c>
      <c r="B32" s="8" t="inlineStr">
        <is>
          <t>Cocoa amarga en polvo</t>
        </is>
      </c>
      <c r="C32" s="7" t="inlineStr">
        <is>
          <t>g</t>
        </is>
      </c>
      <c r="D32" s="8" t="n">
        <v>500</v>
      </c>
      <c r="E32" s="9" t="n">
        <v>150</v>
      </c>
      <c r="F32" s="10">
        <f>IFERROR(E32/D32,0)</f>
        <v/>
      </c>
      <c r="G32" s="7">
        <f>COUNTIF(Ingredientes!$C:$C,B32)</f>
        <v/>
      </c>
    </row>
    <row r="33">
      <c r="A33" s="7" t="inlineStr">
        <is>
          <t>Frutas</t>
        </is>
      </c>
      <c r="B33" s="8" t="inlineStr">
        <is>
          <t>Piña</t>
        </is>
      </c>
      <c r="C33" s="7" t="inlineStr">
        <is>
          <t>g</t>
        </is>
      </c>
      <c r="D33" s="8" t="n">
        <v>1000</v>
      </c>
      <c r="E33" s="9" t="n">
        <v>28</v>
      </c>
      <c r="F33" s="10">
        <f>IFERROR(E33/D33,0)</f>
        <v/>
      </c>
      <c r="G33" s="7">
        <f>COUNTIF(Ingredientes!$C:$C,B33)</f>
        <v/>
      </c>
    </row>
    <row r="34">
      <c r="A34" s="7" t="inlineStr">
        <is>
          <t>Frutas</t>
        </is>
      </c>
      <c r="B34" s="8" t="inlineStr">
        <is>
          <t>Mango (pulpa)</t>
        </is>
      </c>
      <c r="C34" s="7" t="inlineStr">
        <is>
          <t>g</t>
        </is>
      </c>
      <c r="D34" s="8" t="n">
        <v>1000</v>
      </c>
      <c r="E34" s="9" t="n">
        <v>45</v>
      </c>
      <c r="F34" s="10">
        <f>IFERROR(E34/D34,0)</f>
        <v/>
      </c>
      <c r="G34" s="7">
        <f>COUNTIF(Ingredientes!$C:$C,B34)</f>
        <v/>
      </c>
    </row>
    <row r="35">
      <c r="A35" s="7" t="inlineStr">
        <is>
          <t>Frutas</t>
        </is>
      </c>
      <c r="B35" s="8" t="inlineStr">
        <is>
          <t>Membrillo</t>
        </is>
      </c>
      <c r="C35" s="7" t="inlineStr">
        <is>
          <t>g</t>
        </is>
      </c>
      <c r="D35" s="8" t="n">
        <v>1000</v>
      </c>
      <c r="E35" s="9" t="n">
        <v>55</v>
      </c>
      <c r="F35" s="10">
        <f>IFERROR(E35/D35,0)</f>
        <v/>
      </c>
      <c r="G35" s="7">
        <f>COUNTIF(Ingredientes!$C:$C,B35)</f>
        <v/>
      </c>
    </row>
    <row r="36">
      <c r="A36" s="7" t="inlineStr">
        <is>
          <t>Frutas</t>
        </is>
      </c>
      <c r="B36" s="8" t="inlineStr">
        <is>
          <t>Guayaba</t>
        </is>
      </c>
      <c r="C36" s="7" t="inlineStr">
        <is>
          <t>g</t>
        </is>
      </c>
      <c r="D36" s="8" t="n">
        <v>1000</v>
      </c>
      <c r="E36" s="9" t="n">
        <v>42</v>
      </c>
      <c r="F36" s="10">
        <f>IFERROR(E36/D36,0)</f>
        <v/>
      </c>
      <c r="G36" s="7">
        <f>COUNTIF(Ingredientes!$C:$C,B36)</f>
        <v/>
      </c>
    </row>
    <row r="37">
      <c r="A37" s="7" t="inlineStr">
        <is>
          <t>Frutas</t>
        </is>
      </c>
      <c r="B37" s="8" t="inlineStr">
        <is>
          <t>Tejocote</t>
        </is>
      </c>
      <c r="C37" s="7" t="inlineStr">
        <is>
          <t>g</t>
        </is>
      </c>
      <c r="D37" s="8" t="n">
        <v>1000</v>
      </c>
      <c r="E37" s="9" t="n">
        <v>70</v>
      </c>
      <c r="F37" s="10">
        <f>IFERROR(E37/D37,0)</f>
        <v/>
      </c>
      <c r="G37" s="7">
        <f>COUNTIF(Ingredientes!$C:$C,B37)</f>
        <v/>
      </c>
    </row>
    <row r="38">
      <c r="A38" s="7" t="inlineStr">
        <is>
          <t>Frutas</t>
        </is>
      </c>
      <c r="B38" s="8" t="inlineStr">
        <is>
          <t>Fresa</t>
        </is>
      </c>
      <c r="C38" s="7" t="inlineStr">
        <is>
          <t>g</t>
        </is>
      </c>
      <c r="D38" s="8" t="n">
        <v>1000</v>
      </c>
      <c r="E38" s="9" t="n">
        <v>60</v>
      </c>
      <c r="F38" s="10">
        <f>IFERROR(E38/D38,0)</f>
        <v/>
      </c>
      <c r="G38" s="7">
        <f>COUNTIF(Ingredientes!$C:$C,B38)</f>
        <v/>
      </c>
    </row>
    <row r="39">
      <c r="A39" s="7" t="inlineStr">
        <is>
          <t>Frutas</t>
        </is>
      </c>
      <c r="B39" s="8" t="inlineStr">
        <is>
          <t>Pera</t>
        </is>
      </c>
      <c r="C39" s="7" t="inlineStr">
        <is>
          <t>g</t>
        </is>
      </c>
      <c r="D39" s="8" t="n">
        <v>1000</v>
      </c>
      <c r="E39" s="9" t="n">
        <v>55</v>
      </c>
      <c r="F39" s="10">
        <f>IFERROR(E39/D39,0)</f>
        <v/>
      </c>
      <c r="G39" s="7">
        <f>COUNTIF(Ingredientes!$C:$C,B39)</f>
        <v/>
      </c>
    </row>
    <row r="40">
      <c r="A40" s="7" t="inlineStr">
        <is>
          <t>Frutas</t>
        </is>
      </c>
      <c r="B40" s="8" t="inlineStr">
        <is>
          <t>Limón</t>
        </is>
      </c>
      <c r="C40" s="7" t="inlineStr">
        <is>
          <t>g</t>
        </is>
      </c>
      <c r="D40" s="8" t="n">
        <v>1000</v>
      </c>
      <c r="E40" s="9" t="n">
        <v>32</v>
      </c>
      <c r="F40" s="10">
        <f>IFERROR(E40/D40,0)</f>
        <v/>
      </c>
      <c r="G40" s="7">
        <f>COUNTIF(Ingredientes!$C:$C,B40)</f>
        <v/>
      </c>
    </row>
    <row r="41">
      <c r="A41" s="7" t="inlineStr">
        <is>
          <t>Frutas</t>
        </is>
      </c>
      <c r="B41" s="8" t="inlineStr">
        <is>
          <t>Naranja</t>
        </is>
      </c>
      <c r="C41" s="7" t="inlineStr">
        <is>
          <t>g</t>
        </is>
      </c>
      <c r="D41" s="8" t="n">
        <v>1000</v>
      </c>
      <c r="E41" s="9" t="n">
        <v>28</v>
      </c>
      <c r="F41" s="10">
        <f>IFERROR(E41/D41,0)</f>
        <v/>
      </c>
      <c r="G41" s="7">
        <f>COUNTIF(Ingredientes!$C:$C,B41)</f>
        <v/>
      </c>
    </row>
    <row r="42">
      <c r="A42" s="7" t="inlineStr">
        <is>
          <t>Frutas</t>
        </is>
      </c>
      <c r="B42" s="8" t="inlineStr">
        <is>
          <t>Camote</t>
        </is>
      </c>
      <c r="C42" s="7" t="inlineStr">
        <is>
          <t>g</t>
        </is>
      </c>
      <c r="D42" s="8" t="n">
        <v>1000</v>
      </c>
      <c r="E42" s="9" t="n">
        <v>32</v>
      </c>
      <c r="F42" s="10">
        <f>IFERROR(E42/D42,0)</f>
        <v/>
      </c>
      <c r="G42" s="7">
        <f>COUNTIF(Ingredientes!$C:$C,B42)</f>
        <v/>
      </c>
    </row>
    <row r="43">
      <c r="A43" s="7" t="inlineStr">
        <is>
          <t>Frutas</t>
        </is>
      </c>
      <c r="B43" s="8" t="inlineStr">
        <is>
          <t>Calabaza de castilla</t>
        </is>
      </c>
      <c r="C43" s="7" t="inlineStr">
        <is>
          <t>g</t>
        </is>
      </c>
      <c r="D43" s="8" t="n">
        <v>1000</v>
      </c>
      <c r="E43" s="9" t="n">
        <v>22</v>
      </c>
      <c r="F43" s="10">
        <f>IFERROR(E43/D43,0)</f>
        <v/>
      </c>
      <c r="G43" s="7">
        <f>COUNTIF(Ingredientes!$C:$C,B43)</f>
        <v/>
      </c>
    </row>
    <row r="44">
      <c r="A44" s="7" t="inlineStr">
        <is>
          <t>Frutas</t>
        </is>
      </c>
      <c r="B44" s="8" t="inlineStr">
        <is>
          <t>Chilacayote</t>
        </is>
      </c>
      <c r="C44" s="7" t="inlineStr">
        <is>
          <t>g</t>
        </is>
      </c>
      <c r="D44" s="8" t="n">
        <v>1000</v>
      </c>
      <c r="E44" s="9" t="n">
        <v>20</v>
      </c>
      <c r="F44" s="10">
        <f>IFERROR(E44/D44,0)</f>
        <v/>
      </c>
      <c r="G44" s="7">
        <f>COUNTIF(Ingredientes!$C:$C,B44)</f>
        <v/>
      </c>
    </row>
    <row r="45">
      <c r="A45" s="7" t="inlineStr">
        <is>
          <t>Frutas</t>
        </is>
      </c>
      <c r="B45" s="8" t="inlineStr">
        <is>
          <t>Nopal</t>
        </is>
      </c>
      <c r="C45" s="7" t="inlineStr">
        <is>
          <t>g</t>
        </is>
      </c>
      <c r="D45" s="8" t="n">
        <v>1000</v>
      </c>
      <c r="E45" s="9" t="n">
        <v>25</v>
      </c>
      <c r="F45" s="10">
        <f>IFERROR(E45/D45,0)</f>
        <v/>
      </c>
      <c r="G45" s="7">
        <f>COUNTIF(Ingredientes!$C:$C,B45)</f>
        <v/>
      </c>
    </row>
    <row r="46">
      <c r="A46" s="7" t="inlineStr">
        <is>
          <t>Fruta seca</t>
        </is>
      </c>
      <c r="B46" s="8" t="inlineStr">
        <is>
          <t>Higo seco</t>
        </is>
      </c>
      <c r="C46" s="7" t="inlineStr">
        <is>
          <t>g</t>
        </is>
      </c>
      <c r="D46" s="8" t="n">
        <v>500</v>
      </c>
      <c r="E46" s="9" t="n">
        <v>180</v>
      </c>
      <c r="F46" s="10">
        <f>IFERROR(E46/D46,0)</f>
        <v/>
      </c>
      <c r="G46" s="7">
        <f>COUNTIF(Ingredientes!$C:$C,B46)</f>
        <v/>
      </c>
    </row>
    <row r="47">
      <c r="A47" s="7" t="inlineStr">
        <is>
          <t>Fruta seca</t>
        </is>
      </c>
      <c r="B47" s="8" t="inlineStr">
        <is>
          <t>Ciruela pasa</t>
        </is>
      </c>
      <c r="C47" s="7" t="inlineStr">
        <is>
          <t>g</t>
        </is>
      </c>
      <c r="D47" s="8" t="n">
        <v>500</v>
      </c>
      <c r="E47" s="9" t="n">
        <v>110</v>
      </c>
      <c r="F47" s="10">
        <f>IFERROR(E47/D47,0)</f>
        <v/>
      </c>
      <c r="G47" s="7">
        <f>COUNTIF(Ingredientes!$C:$C,B47)</f>
        <v/>
      </c>
    </row>
    <row r="48">
      <c r="A48" s="7" t="inlineStr">
        <is>
          <t>Fruta seca</t>
        </is>
      </c>
      <c r="B48" s="8" t="inlineStr">
        <is>
          <t>Pasas</t>
        </is>
      </c>
      <c r="C48" s="7" t="inlineStr">
        <is>
          <t>g</t>
        </is>
      </c>
      <c r="D48" s="8" t="n">
        <v>500</v>
      </c>
      <c r="E48" s="9" t="n">
        <v>80</v>
      </c>
      <c r="F48" s="10">
        <f>IFERROR(E48/D48,0)</f>
        <v/>
      </c>
      <c r="G48" s="7">
        <f>COUNTIF(Ingredientes!$C:$C,B48)</f>
        <v/>
      </c>
    </row>
    <row r="49">
      <c r="A49" s="7" t="inlineStr">
        <is>
          <t>Fruta seca</t>
        </is>
      </c>
      <c r="B49" s="8" t="inlineStr">
        <is>
          <t>Arándano deshidratado</t>
        </is>
      </c>
      <c r="C49" s="7" t="inlineStr">
        <is>
          <t>g</t>
        </is>
      </c>
      <c r="D49" s="8" t="n">
        <v>500</v>
      </c>
      <c r="E49" s="9" t="n">
        <v>150</v>
      </c>
      <c r="F49" s="10">
        <f>IFERROR(E49/D49,0)</f>
        <v/>
      </c>
      <c r="G49" s="7">
        <f>COUNTIF(Ingredientes!$C:$C,B49)</f>
        <v/>
      </c>
    </row>
    <row r="50">
      <c r="A50" s="7" t="inlineStr">
        <is>
          <t>Fruta seca</t>
        </is>
      </c>
      <c r="B50" s="8" t="inlineStr">
        <is>
          <t>Pulpa de tamarindo</t>
        </is>
      </c>
      <c r="C50" s="7" t="inlineStr">
        <is>
          <t>g</t>
        </is>
      </c>
      <c r="D50" s="8" t="n">
        <v>1000</v>
      </c>
      <c r="E50" s="9" t="n">
        <v>150</v>
      </c>
      <c r="F50" s="10">
        <f>IFERROR(E50/D50,0)</f>
        <v/>
      </c>
      <c r="G50" s="7">
        <f>COUNTIF(Ingredientes!$C:$C,B50)</f>
        <v/>
      </c>
    </row>
    <row r="51">
      <c r="A51" s="7" t="inlineStr">
        <is>
          <t>Fruta seca</t>
        </is>
      </c>
      <c r="B51" s="8" t="inlineStr">
        <is>
          <t>Cereza en almíbar</t>
        </is>
      </c>
      <c r="C51" s="7" t="inlineStr">
        <is>
          <t>g</t>
        </is>
      </c>
      <c r="D51" s="8" t="n">
        <v>500</v>
      </c>
      <c r="E51" s="9" t="n">
        <v>95</v>
      </c>
      <c r="F51" s="10">
        <f>IFERROR(E51/D51,0)</f>
        <v/>
      </c>
      <c r="G51" s="7">
        <f>COUNTIF(Ingredientes!$C:$C,B51)</f>
        <v/>
      </c>
    </row>
    <row r="52">
      <c r="A52" s="7" t="inlineStr">
        <is>
          <t>Especias</t>
        </is>
      </c>
      <c r="B52" s="8" t="inlineStr">
        <is>
          <t>Canela en raja</t>
        </is>
      </c>
      <c r="C52" s="7" t="inlineStr">
        <is>
          <t>g</t>
        </is>
      </c>
      <c r="D52" s="8" t="n">
        <v>100</v>
      </c>
      <c r="E52" s="9" t="n">
        <v>58</v>
      </c>
      <c r="F52" s="10">
        <f>IFERROR(E52/D52,0)</f>
        <v/>
      </c>
      <c r="G52" s="7">
        <f>COUNTIF(Ingredientes!$C:$C,B52)</f>
        <v/>
      </c>
    </row>
    <row r="53">
      <c r="A53" s="7" t="inlineStr">
        <is>
          <t>Especias</t>
        </is>
      </c>
      <c r="B53" s="8" t="inlineStr">
        <is>
          <t>Canela en polvo</t>
        </is>
      </c>
      <c r="C53" s="7" t="inlineStr">
        <is>
          <t>g</t>
        </is>
      </c>
      <c r="D53" s="8" t="n">
        <v>100</v>
      </c>
      <c r="E53" s="9" t="n">
        <v>52</v>
      </c>
      <c r="F53" s="10">
        <f>IFERROR(E53/D53,0)</f>
        <v/>
      </c>
      <c r="G53" s="7">
        <f>COUNTIF(Ingredientes!$C:$C,B53)</f>
        <v/>
      </c>
    </row>
    <row r="54">
      <c r="A54" s="7" t="inlineStr">
        <is>
          <t>Especias</t>
        </is>
      </c>
      <c r="B54" s="8" t="inlineStr">
        <is>
          <t>Clavo de olor</t>
        </is>
      </c>
      <c r="C54" s="7" t="inlineStr">
        <is>
          <t>g</t>
        </is>
      </c>
      <c r="D54" s="8" t="n">
        <v>100</v>
      </c>
      <c r="E54" s="9" t="n">
        <v>70</v>
      </c>
      <c r="F54" s="10">
        <f>IFERROR(E54/D54,0)</f>
        <v/>
      </c>
      <c r="G54" s="7">
        <f>COUNTIF(Ingredientes!$C:$C,B54)</f>
        <v/>
      </c>
    </row>
    <row r="55">
      <c r="A55" s="7" t="inlineStr">
        <is>
          <t>Especias</t>
        </is>
      </c>
      <c r="B55" s="8" t="inlineStr">
        <is>
          <t>Anís estrella</t>
        </is>
      </c>
      <c r="C55" s="7" t="inlineStr">
        <is>
          <t>g</t>
        </is>
      </c>
      <c r="D55" s="8" t="n">
        <v>100</v>
      </c>
      <c r="E55" s="9" t="n">
        <v>90</v>
      </c>
      <c r="F55" s="10">
        <f>IFERROR(E55/D55,0)</f>
        <v/>
      </c>
      <c r="G55" s="7">
        <f>COUNTIF(Ingredientes!$C:$C,B55)</f>
        <v/>
      </c>
    </row>
    <row r="56">
      <c r="A56" s="7" t="inlineStr">
        <is>
          <t>Especias</t>
        </is>
      </c>
      <c r="B56" s="8" t="inlineStr">
        <is>
          <t>Anís en grano</t>
        </is>
      </c>
      <c r="C56" s="7" t="inlineStr">
        <is>
          <t>g</t>
        </is>
      </c>
      <c r="D56" s="8" t="n">
        <v>100</v>
      </c>
      <c r="E56" s="9" t="n">
        <v>65</v>
      </c>
      <c r="F56" s="10">
        <f>IFERROR(E56/D56,0)</f>
        <v/>
      </c>
      <c r="G56" s="7">
        <f>COUNTIF(Ingredientes!$C:$C,B56)</f>
        <v/>
      </c>
    </row>
    <row r="57">
      <c r="A57" s="7" t="inlineStr">
        <is>
          <t>Especias</t>
        </is>
      </c>
      <c r="B57" s="8" t="inlineStr">
        <is>
          <t>Esencia de vainilla</t>
        </is>
      </c>
      <c r="C57" s="7" t="inlineStr">
        <is>
          <t>ml</t>
        </is>
      </c>
      <c r="D57" s="8" t="n">
        <v>250</v>
      </c>
      <c r="E57" s="9" t="n">
        <v>70</v>
      </c>
      <c r="F57" s="10">
        <f>IFERROR(E57/D57,0)</f>
        <v/>
      </c>
      <c r="G57" s="7">
        <f>COUNTIF(Ingredientes!$C:$C,B57)</f>
        <v/>
      </c>
    </row>
    <row r="58">
      <c r="A58" s="7" t="inlineStr">
        <is>
          <t>Especias</t>
        </is>
      </c>
      <c r="B58" s="8" t="inlineStr">
        <is>
          <t>Agua de chía</t>
        </is>
      </c>
      <c r="C58" s="7" t="inlineStr">
        <is>
          <t>ml</t>
        </is>
      </c>
      <c r="D58" s="8" t="n">
        <v>1000</v>
      </c>
      <c r="E58" s="9" t="n">
        <v>40</v>
      </c>
      <c r="F58" s="10">
        <f>IFERROR(E58/D58,0)</f>
        <v/>
      </c>
      <c r="G58" s="7">
        <f>COUNTIF(Ingredientes!$C:$C,B58)</f>
        <v/>
      </c>
    </row>
    <row r="59">
      <c r="A59" s="7" t="inlineStr">
        <is>
          <t>Enchilado</t>
        </is>
      </c>
      <c r="B59" s="8" t="inlineStr">
        <is>
          <t>Chile piquín en polvo</t>
        </is>
      </c>
      <c r="C59" s="7" t="inlineStr">
        <is>
          <t>g</t>
        </is>
      </c>
      <c r="D59" s="8" t="n">
        <v>500</v>
      </c>
      <c r="E59" s="9" t="n">
        <v>180</v>
      </c>
      <c r="F59" s="10">
        <f>IFERROR(E59/D59,0)</f>
        <v/>
      </c>
      <c r="G59" s="7">
        <f>COUNTIF(Ingredientes!$C:$C,B59)</f>
        <v/>
      </c>
    </row>
    <row r="60">
      <c r="A60" s="7" t="inlineStr">
        <is>
          <t>Enchilado</t>
        </is>
      </c>
      <c r="B60" s="8" t="inlineStr">
        <is>
          <t>Chamoy líquido</t>
        </is>
      </c>
      <c r="C60" s="7" t="inlineStr">
        <is>
          <t>ml</t>
        </is>
      </c>
      <c r="D60" s="8" t="n">
        <v>1000</v>
      </c>
      <c r="E60" s="9" t="n">
        <v>95</v>
      </c>
      <c r="F60" s="10">
        <f>IFERROR(E60/D60,0)</f>
        <v/>
      </c>
      <c r="G60" s="7">
        <f>COUNTIF(Ingredientes!$C:$C,B60)</f>
        <v/>
      </c>
    </row>
    <row r="61">
      <c r="A61" s="7" t="inlineStr">
        <is>
          <t>Enchilado</t>
        </is>
      </c>
      <c r="B61" s="8" t="inlineStr">
        <is>
          <t>Polvo enchilado tipo Miguelito</t>
        </is>
      </c>
      <c r="C61" s="7" t="inlineStr">
        <is>
          <t>g</t>
        </is>
      </c>
      <c r="D61" s="8" t="n">
        <v>500</v>
      </c>
      <c r="E61" s="9" t="n">
        <v>160</v>
      </c>
      <c r="F61" s="10">
        <f>IFERROR(E61/D61,0)</f>
        <v/>
      </c>
      <c r="G61" s="7">
        <f>COUNTIF(Ingredientes!$C:$C,B61)</f>
        <v/>
      </c>
    </row>
    <row r="62">
      <c r="A62" s="7" t="inlineStr">
        <is>
          <t>Enchilado</t>
        </is>
      </c>
      <c r="B62" s="8" t="inlineStr">
        <is>
          <t>Sal fina</t>
        </is>
      </c>
      <c r="C62" s="7" t="inlineStr">
        <is>
          <t>g</t>
        </is>
      </c>
      <c r="D62" s="8" t="n">
        <v>1000</v>
      </c>
      <c r="E62" s="9" t="n">
        <v>18</v>
      </c>
      <c r="F62" s="10">
        <f>IFERROR(E62/D62,0)</f>
        <v/>
      </c>
      <c r="G62" s="7">
        <f>COUNTIF(Ingredientes!$C:$C,B62)</f>
        <v/>
      </c>
    </row>
    <row r="63">
      <c r="A63" s="7" t="inlineStr">
        <is>
          <t>Básicos</t>
        </is>
      </c>
      <c r="B63" s="8" t="inlineStr">
        <is>
          <t>Agua purificada</t>
        </is>
      </c>
      <c r="C63" s="7" t="inlineStr">
        <is>
          <t>ml</t>
        </is>
      </c>
      <c r="D63" s="8" t="n">
        <v>20000</v>
      </c>
      <c r="E63" s="9" t="n">
        <v>45</v>
      </c>
      <c r="F63" s="10">
        <f>IFERROR(E63/D63,0)</f>
        <v/>
      </c>
      <c r="G63" s="7">
        <f>COUNTIF(Ingredientes!$C:$C,B63)</f>
        <v/>
      </c>
    </row>
    <row r="64">
      <c r="A64" s="7" t="inlineStr">
        <is>
          <t>Básicos</t>
        </is>
      </c>
      <c r="B64" s="8" t="inlineStr">
        <is>
          <t>Bicarbonato de sodio</t>
        </is>
      </c>
      <c r="C64" s="7" t="inlineStr">
        <is>
          <t>g</t>
        </is>
      </c>
      <c r="D64" s="8" t="n">
        <v>200</v>
      </c>
      <c r="E64" s="9" t="n">
        <v>35</v>
      </c>
      <c r="F64" s="10">
        <f>IFERROR(E64/D64,0)</f>
        <v/>
      </c>
      <c r="G64" s="7">
        <f>COUNTIF(Ingredientes!$C:$C,B64)</f>
        <v/>
      </c>
    </row>
    <row r="65">
      <c r="A65" s="7" t="inlineStr">
        <is>
          <t>Básicos</t>
        </is>
      </c>
      <c r="B65" s="8" t="inlineStr">
        <is>
          <t>Fécula de maíz (maicena)</t>
        </is>
      </c>
      <c r="C65" s="7" t="inlineStr">
        <is>
          <t>g</t>
        </is>
      </c>
      <c r="D65" s="8" t="n">
        <v>500</v>
      </c>
      <c r="E65" s="9" t="n">
        <v>42</v>
      </c>
      <c r="F65" s="10">
        <f>IFERROR(E65/D65,0)</f>
        <v/>
      </c>
      <c r="G65" s="7">
        <f>COUNTIF(Ingredientes!$C:$C,B65)</f>
        <v/>
      </c>
    </row>
    <row r="66">
      <c r="A66" s="7" t="inlineStr">
        <is>
          <t>Básicos</t>
        </is>
      </c>
      <c r="B66" s="8" t="inlineStr">
        <is>
          <t>Harina de trigo</t>
        </is>
      </c>
      <c r="C66" s="7" t="inlineStr">
        <is>
          <t>g</t>
        </is>
      </c>
      <c r="D66" s="8" t="n">
        <v>1000</v>
      </c>
      <c r="E66" s="9" t="n">
        <v>32</v>
      </c>
      <c r="F66" s="10">
        <f>IFERROR(E66/D66,0)</f>
        <v/>
      </c>
      <c r="G66" s="7">
        <f>COUNTIF(Ingredientes!$C:$C,B66)</f>
        <v/>
      </c>
    </row>
    <row r="67">
      <c r="A67" s="7" t="inlineStr">
        <is>
          <t>Básicos</t>
        </is>
      </c>
      <c r="B67" s="8" t="inlineStr">
        <is>
          <t>Huevo</t>
        </is>
      </c>
      <c r="C67" s="7" t="inlineStr">
        <is>
          <t>pza</t>
        </is>
      </c>
      <c r="D67" s="8" t="n">
        <v>30</v>
      </c>
      <c r="E67" s="9" t="n">
        <v>95</v>
      </c>
      <c r="F67" s="10">
        <f>IFERROR(E67/D67,0)</f>
        <v/>
      </c>
      <c r="G67" s="7">
        <f>COUNTIF(Ingredientes!$C:$C,B67)</f>
        <v/>
      </c>
    </row>
    <row r="68">
      <c r="A68" s="7" t="inlineStr">
        <is>
          <t>Básicos</t>
        </is>
      </c>
      <c r="B68" s="8" t="inlineStr">
        <is>
          <t>Aceite vegetal</t>
        </is>
      </c>
      <c r="C68" s="7" t="inlineStr">
        <is>
          <t>ml</t>
        </is>
      </c>
      <c r="D68" s="8" t="n">
        <v>1000</v>
      </c>
      <c r="E68" s="9" t="n">
        <v>42</v>
      </c>
      <c r="F68" s="10">
        <f>IFERROR(E68/D68,0)</f>
        <v/>
      </c>
      <c r="G68" s="7">
        <f>COUNTIF(Ingredientes!$C:$C,B68)</f>
        <v/>
      </c>
    </row>
    <row r="69">
      <c r="A69" s="7" t="inlineStr">
        <is>
          <t>Básicos</t>
        </is>
      </c>
      <c r="B69" s="8" t="inlineStr">
        <is>
          <t>Galleta María</t>
        </is>
      </c>
      <c r="C69" s="7" t="inlineStr">
        <is>
          <t>g</t>
        </is>
      </c>
      <c r="D69" s="8" t="n">
        <v>170</v>
      </c>
      <c r="E69" s="9" t="n">
        <v>28</v>
      </c>
      <c r="F69" s="10">
        <f>IFERROR(E69/D69,0)</f>
        <v/>
      </c>
      <c r="G69" s="7">
        <f>COUNTIF(Ingredientes!$C:$C,B69)</f>
        <v/>
      </c>
    </row>
    <row r="70">
      <c r="A70" s="7" t="inlineStr">
        <is>
          <t>Básicos</t>
        </is>
      </c>
      <c r="B70" s="8" t="inlineStr">
        <is>
          <t>Cal viva (grado alimenticio)</t>
        </is>
      </c>
      <c r="C70" s="7" t="inlineStr">
        <is>
          <t>g</t>
        </is>
      </c>
      <c r="D70" s="8" t="n">
        <v>1000</v>
      </c>
      <c r="E70" s="9" t="n">
        <v>45</v>
      </c>
      <c r="F70" s="10">
        <f>IFERROR(E70/D70,0)</f>
        <v/>
      </c>
      <c r="G70" s="7">
        <f>COUNTIF(Ingredientes!$C:$C,B70)</f>
        <v/>
      </c>
    </row>
    <row r="71">
      <c r="A71" s="7" t="inlineStr">
        <is>
          <t>Básicos</t>
        </is>
      </c>
      <c r="B71" s="8" t="inlineStr">
        <is>
          <t>Colorante vegetal</t>
        </is>
      </c>
      <c r="C71" s="7" t="inlineStr">
        <is>
          <t>ml</t>
        </is>
      </c>
      <c r="D71" s="8" t="n">
        <v>30</v>
      </c>
      <c r="E71" s="9" t="n">
        <v>38</v>
      </c>
      <c r="F71" s="10">
        <f>IFERROR(E71/D71,0)</f>
        <v/>
      </c>
      <c r="G71" s="7">
        <f>COUNTIF(Ingredientes!$C:$C,B71)</f>
        <v/>
      </c>
    </row>
    <row r="72">
      <c r="A72" s="7" t="inlineStr">
        <is>
          <t>Básicos</t>
        </is>
      </c>
      <c r="B72" s="8" t="inlineStr">
        <is>
          <t>Vino jerez dulce</t>
        </is>
      </c>
      <c r="C72" s="7" t="inlineStr">
        <is>
          <t>ml</t>
        </is>
      </c>
      <c r="D72" s="8" t="n">
        <v>750</v>
      </c>
      <c r="E72" s="9" t="n">
        <v>290</v>
      </c>
      <c r="F72" s="10">
        <f>IFERROR(E72/D72,0)</f>
        <v/>
      </c>
      <c r="G72" s="7">
        <f>COUNTIF(Ingredientes!$C:$C,B72)</f>
        <v/>
      </c>
    </row>
    <row r="73">
      <c r="A73" s="7" t="inlineStr">
        <is>
          <t>Empaque</t>
        </is>
      </c>
      <c r="B73" s="8" t="inlineStr">
        <is>
          <t>Celofán de color</t>
        </is>
      </c>
      <c r="C73" s="7" t="inlineStr">
        <is>
          <t>pza</t>
        </is>
      </c>
      <c r="D73" s="8" t="n">
        <v>100</v>
      </c>
      <c r="E73" s="9" t="n">
        <v>75</v>
      </c>
      <c r="F73" s="10">
        <f>IFERROR(E73/D73,0)</f>
        <v/>
      </c>
      <c r="G73" s="7">
        <f>COUNTIF(Ingredientes!$C:$C,B73)</f>
        <v/>
      </c>
    </row>
    <row r="74">
      <c r="A74" s="7" t="inlineStr">
        <is>
          <t>Empaque</t>
        </is>
      </c>
      <c r="B74" s="8" t="inlineStr">
        <is>
          <t>Papel encerado</t>
        </is>
      </c>
      <c r="C74" s="7" t="inlineStr">
        <is>
          <t>pza</t>
        </is>
      </c>
      <c r="D74" s="8" t="n">
        <v>100</v>
      </c>
      <c r="E74" s="9" t="n">
        <v>90</v>
      </c>
      <c r="F74" s="10">
        <f>IFERROR(E74/D74,0)</f>
        <v/>
      </c>
      <c r="G74" s="7">
        <f>COUNTIF(Ingredientes!$C:$C,B74)</f>
        <v/>
      </c>
    </row>
    <row r="75">
      <c r="A75" s="7" t="inlineStr">
        <is>
          <t>Empaque</t>
        </is>
      </c>
      <c r="B75" s="8" t="inlineStr">
        <is>
          <t>Etiqueta impresa</t>
        </is>
      </c>
      <c r="C75" s="7" t="inlineStr">
        <is>
          <t>pza</t>
        </is>
      </c>
      <c r="D75" s="8" t="n">
        <v>100</v>
      </c>
      <c r="E75" s="9" t="n">
        <v>120</v>
      </c>
      <c r="F75" s="10">
        <f>IFERROR(E75/D75,0)</f>
        <v/>
      </c>
      <c r="G75" s="7">
        <f>COUNTIF(Ingredientes!$C:$C,B75)</f>
        <v/>
      </c>
    </row>
    <row r="76">
      <c r="A76" s="7" t="inlineStr">
        <is>
          <t>Empaque</t>
        </is>
      </c>
      <c r="B76" s="8" t="inlineStr">
        <is>
          <t>Oblea para dulce</t>
        </is>
      </c>
      <c r="C76" s="7" t="inlineStr">
        <is>
          <t>pza</t>
        </is>
      </c>
      <c r="D76" s="8" t="n">
        <v>100</v>
      </c>
      <c r="E76" s="9" t="n">
        <v>60</v>
      </c>
      <c r="F76" s="10">
        <f>IFERROR(E76/D76,0)</f>
        <v/>
      </c>
      <c r="G76" s="7">
        <f>COUNTIF(Ingredientes!$C:$C,B76)</f>
        <v/>
      </c>
    </row>
    <row r="77">
      <c r="A77" s="7" t="inlineStr">
        <is>
          <t>Empaque</t>
        </is>
      </c>
      <c r="B77" s="8" t="inlineStr">
        <is>
          <t>Banderilla de madera</t>
        </is>
      </c>
      <c r="C77" s="7" t="inlineStr">
        <is>
          <t>pza</t>
        </is>
      </c>
      <c r="D77" s="8" t="n">
        <v>100</v>
      </c>
      <c r="E77" s="9" t="n">
        <v>55</v>
      </c>
      <c r="F77" s="10">
        <f>IFERROR(E77/D77,0)</f>
        <v/>
      </c>
      <c r="G77" s="7">
        <f>COUNTIF(Ingredientes!$C:$C,B77)</f>
        <v/>
      </c>
    </row>
    <row r="78">
      <c r="A78" s="7" t="inlineStr">
        <is>
          <t>Empaque</t>
        </is>
      </c>
      <c r="B78" s="8" t="inlineStr">
        <is>
          <t>Bolsa sellable</t>
        </is>
      </c>
      <c r="C78" s="7" t="inlineStr">
        <is>
          <t>pza</t>
        </is>
      </c>
      <c r="D78" s="8" t="n">
        <v>100</v>
      </c>
      <c r="E78" s="9" t="n">
        <v>85</v>
      </c>
      <c r="F78" s="10">
        <f>IFERROR(E78/D78,0)</f>
        <v/>
      </c>
      <c r="G78" s="7">
        <f>COUNTIF(Ingredientes!$C:$C,B78)</f>
        <v/>
      </c>
    </row>
    <row r="79">
      <c r="A79" s="7" t="inlineStr">
        <is>
          <t>Empaque</t>
        </is>
      </c>
      <c r="B79" s="8" t="inlineStr">
        <is>
          <t>Frasco de vidrio con tapa</t>
        </is>
      </c>
      <c r="C79" s="7" t="inlineStr">
        <is>
          <t>pza</t>
        </is>
      </c>
      <c r="D79" s="8" t="n">
        <v>12</v>
      </c>
      <c r="E79" s="9" t="n">
        <v>290</v>
      </c>
      <c r="F79" s="10">
        <f>IFERROR(E79/D79,0)</f>
        <v/>
      </c>
      <c r="G79" s="7">
        <f>COUNTIF(Ingredientes!$C:$C,B79)</f>
        <v/>
      </c>
    </row>
    <row r="80">
      <c r="A80" s="7" t="inlineStr">
        <is>
          <t>Empaque</t>
        </is>
      </c>
      <c r="B80" s="8" t="inlineStr">
        <is>
          <t>Caja artesanal de regalo</t>
        </is>
      </c>
      <c r="C80" s="7" t="inlineStr">
        <is>
          <t>pza</t>
        </is>
      </c>
      <c r="D80" s="8" t="n">
        <v>25</v>
      </c>
      <c r="E80" s="9" t="n">
        <v>900</v>
      </c>
      <c r="F80" s="10">
        <f>IFERROR(E80/D80,0)</f>
        <v/>
      </c>
      <c r="G80" s="7">
        <f>COUNTIF(Ingredientes!$C:$C,B80)</f>
        <v/>
      </c>
    </row>
    <row r="81">
      <c r="A81" s="7" t="inlineStr">
        <is>
          <t>Empaque</t>
        </is>
      </c>
      <c r="B81" s="8" t="inlineStr">
        <is>
          <t>Papel de ixtle / decorativo</t>
        </is>
      </c>
      <c r="C81" s="7" t="inlineStr">
        <is>
          <t>pza</t>
        </is>
      </c>
      <c r="D81" s="8" t="n">
        <v>50</v>
      </c>
      <c r="E81" s="9" t="n">
        <v>90</v>
      </c>
      <c r="F81" s="10">
        <f>IFERROR(E81/D81,0)</f>
        <v/>
      </c>
      <c r="G81" s="7">
        <f>COUNTIF(Ingredientes!$C:$C,B81)</f>
        <v/>
      </c>
    </row>
  </sheetData>
  <autoFilter ref="A4:G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E1454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4" customWidth="1" min="3" max="3"/>
    <col width="9" customWidth="1" min="4" max="4"/>
    <col width="15" customWidth="1" min="5" max="5"/>
    <col width="14" customWidth="1" min="6" max="6"/>
  </cols>
  <sheetData>
    <row r="1" ht="26" customHeight="1">
      <c r="A1" s="1" t="inlineStr">
        <is>
          <t>Las seis bases madre</t>
        </is>
      </c>
    </row>
    <row r="2">
      <c r="A2" s="2" t="inlineStr">
        <is>
          <t>Costo real de las fórmulas del Capítulo 3, con tus precios de insumos actuales.</t>
        </is>
      </c>
    </row>
    <row r="3" ht="6" customHeight="1"/>
    <row r="4" ht="30" customHeight="1">
      <c r="A4" s="6" t="inlineStr">
        <is>
          <t>Base madre</t>
        </is>
      </c>
      <c r="B4" s="6" t="inlineStr">
        <is>
          <t>Insumo</t>
        </is>
      </c>
      <c r="C4" s="6" t="inlineStr">
        <is>
          <t>Cantidad</t>
        </is>
      </c>
      <c r="D4" s="6" t="inlineStr">
        <is>
          <t>Unidad</t>
        </is>
      </c>
      <c r="E4" s="6" t="inlineStr">
        <is>
          <t>Costo por unidad</t>
        </is>
      </c>
      <c r="F4" s="6" t="inlineStr">
        <is>
          <t>Costo</t>
        </is>
      </c>
    </row>
    <row r="5">
      <c r="A5" s="11" t="inlineStr">
        <is>
          <t>B-1 · Leche quemada (base láctea)</t>
        </is>
      </c>
      <c r="B5" s="8" t="inlineStr">
        <is>
          <t>Leche entera</t>
        </is>
      </c>
      <c r="C5" s="8" t="n">
        <v>1000</v>
      </c>
      <c r="D5" s="7" t="inlineStr">
        <is>
          <t>ml</t>
        </is>
      </c>
      <c r="E5" s="12">
        <f>IFERROR(VLOOKUP(B5,Insumos!$B$5:$F$81,5,FALSE),0)</f>
        <v/>
      </c>
      <c r="F5" s="13">
        <f>C5*E5</f>
        <v/>
      </c>
    </row>
    <row r="6">
      <c r="A6" s="8" t="inlineStr"/>
      <c r="B6" s="8" t="inlineStr">
        <is>
          <t>Azúcar refinada</t>
        </is>
      </c>
      <c r="C6" s="8" t="n">
        <v>400</v>
      </c>
      <c r="D6" s="7" t="inlineStr">
        <is>
          <t>g</t>
        </is>
      </c>
      <c r="E6" s="12">
        <f>IFERROR(VLOOKUP(B6,Insumos!$B$5:$F$81,5,FALSE),0)</f>
        <v/>
      </c>
      <c r="F6" s="13">
        <f>C6*E6</f>
        <v/>
      </c>
    </row>
    <row r="7">
      <c r="A7" s="8" t="inlineStr"/>
      <c r="B7" s="8" t="inlineStr">
        <is>
          <t>Bicarbonato de sodio</t>
        </is>
      </c>
      <c r="C7" s="8" t="n">
        <v>1</v>
      </c>
      <c r="D7" s="7" t="inlineStr">
        <is>
          <t>g</t>
        </is>
      </c>
      <c r="E7" s="12">
        <f>IFERROR(VLOOKUP(B7,Insumos!$B$5:$F$81,5,FALSE),0)</f>
        <v/>
      </c>
      <c r="F7" s="13">
        <f>C7*E7</f>
        <v/>
      </c>
    </row>
    <row r="8">
      <c r="A8" s="8" t="inlineStr"/>
      <c r="B8" s="8" t="inlineStr">
        <is>
          <t>Esencia de vainilla</t>
        </is>
      </c>
      <c r="C8" s="8" t="n">
        <v>5</v>
      </c>
      <c r="D8" s="7" t="inlineStr">
        <is>
          <t>ml</t>
        </is>
      </c>
      <c r="E8" s="12">
        <f>IFERROR(VLOOKUP(B8,Insumos!$B$5:$F$81,5,FALSE),0)</f>
        <v/>
      </c>
      <c r="F8" s="13">
        <f>C8*E8</f>
        <v/>
      </c>
    </row>
    <row r="9">
      <c r="A9" s="14" t="n"/>
      <c r="B9" s="15" t="inlineStr">
        <is>
          <t>Costo del lote (520 g de pasta · rinde 20)</t>
        </is>
      </c>
      <c r="C9" s="14" t="n"/>
      <c r="D9" s="14" t="n"/>
      <c r="E9" s="14" t="n"/>
      <c r="F9" s="16">
        <f>SUM(F5:F8)</f>
        <v/>
      </c>
    </row>
    <row r="11">
      <c r="A11" s="11" t="inlineStr">
        <is>
          <t>B-2 · Cajeta de cabra</t>
        </is>
      </c>
      <c r="B11" s="8" t="inlineStr">
        <is>
          <t>Leche de cabra</t>
        </is>
      </c>
      <c r="C11" s="8" t="n">
        <v>1000</v>
      </c>
      <c r="D11" s="7" t="inlineStr">
        <is>
          <t>ml</t>
        </is>
      </c>
      <c r="E11" s="12">
        <f>IFERROR(VLOOKUP(B11,Insumos!$B$5:$F$81,5,FALSE),0)</f>
        <v/>
      </c>
      <c r="F11" s="13">
        <f>C11*E11</f>
        <v/>
      </c>
    </row>
    <row r="12">
      <c r="A12" s="8" t="inlineStr"/>
      <c r="B12" s="8" t="inlineStr">
        <is>
          <t>Azúcar refinada</t>
        </is>
      </c>
      <c r="C12" s="8" t="n">
        <v>400</v>
      </c>
      <c r="D12" s="7" t="inlineStr">
        <is>
          <t>g</t>
        </is>
      </c>
      <c r="E12" s="12">
        <f>IFERROR(VLOOKUP(B12,Insumos!$B$5:$F$81,5,FALSE),0)</f>
        <v/>
      </c>
      <c r="F12" s="13">
        <f>C12*E12</f>
        <v/>
      </c>
    </row>
    <row r="13">
      <c r="A13" s="8" t="inlineStr"/>
      <c r="B13" s="8" t="inlineStr">
        <is>
          <t>Bicarbonato de sodio</t>
        </is>
      </c>
      <c r="C13" s="8" t="n">
        <v>1</v>
      </c>
      <c r="D13" s="7" t="inlineStr">
        <is>
          <t>g</t>
        </is>
      </c>
      <c r="E13" s="12">
        <f>IFERROR(VLOOKUP(B13,Insumos!$B$5:$F$81,5,FALSE),0)</f>
        <v/>
      </c>
      <c r="F13" s="13">
        <f>C13*E13</f>
        <v/>
      </c>
    </row>
    <row r="14">
      <c r="A14" s="8" t="inlineStr"/>
      <c r="B14" s="8" t="inlineStr">
        <is>
          <t>Canela en raja</t>
        </is>
      </c>
      <c r="C14" s="8" t="n">
        <v>3</v>
      </c>
      <c r="D14" s="7" t="inlineStr">
        <is>
          <t>g</t>
        </is>
      </c>
      <c r="E14" s="12">
        <f>IFERROR(VLOOKUP(B14,Insumos!$B$5:$F$81,5,FALSE),0)</f>
        <v/>
      </c>
      <c r="F14" s="13">
        <f>C14*E14</f>
        <v/>
      </c>
    </row>
    <row r="15">
      <c r="A15" s="14" t="n"/>
      <c r="B15" s="15" t="inlineStr">
        <is>
          <t>Costo del lote (500 ml · rinde 1)</t>
        </is>
      </c>
      <c r="C15" s="14" t="n"/>
      <c r="D15" s="14" t="n"/>
      <c r="E15" s="14" t="n"/>
      <c r="F15" s="16">
        <f>SUM(F11:F14)</f>
        <v/>
      </c>
    </row>
    <row r="17">
      <c r="A17" s="11" t="inlineStr">
        <is>
          <t>B-3 · Miel de piloncillo especiada</t>
        </is>
      </c>
      <c r="B17" s="8" t="inlineStr">
        <is>
          <t>Piloncillo</t>
        </is>
      </c>
      <c r="C17" s="8" t="n">
        <v>500</v>
      </c>
      <c r="D17" s="7" t="inlineStr">
        <is>
          <t>g</t>
        </is>
      </c>
      <c r="E17" s="12">
        <f>IFERROR(VLOOKUP(B17,Insumos!$B$5:$F$81,5,FALSE),0)</f>
        <v/>
      </c>
      <c r="F17" s="13">
        <f>C17*E17</f>
        <v/>
      </c>
    </row>
    <row r="18">
      <c r="A18" s="8" t="inlineStr"/>
      <c r="B18" s="8" t="inlineStr">
        <is>
          <t>Agua purificada</t>
        </is>
      </c>
      <c r="C18" s="8" t="n">
        <v>500</v>
      </c>
      <c r="D18" s="7" t="inlineStr">
        <is>
          <t>ml</t>
        </is>
      </c>
      <c r="E18" s="12">
        <f>IFERROR(VLOOKUP(B18,Insumos!$B$5:$F$81,5,FALSE),0)</f>
        <v/>
      </c>
      <c r="F18" s="13">
        <f>C18*E18</f>
        <v/>
      </c>
    </row>
    <row r="19">
      <c r="A19" s="8" t="inlineStr"/>
      <c r="B19" s="8" t="inlineStr">
        <is>
          <t>Canela en raja</t>
        </is>
      </c>
      <c r="C19" s="8" t="n">
        <v>6</v>
      </c>
      <c r="D19" s="7" t="inlineStr">
        <is>
          <t>g</t>
        </is>
      </c>
      <c r="E19" s="12">
        <f>IFERROR(VLOOKUP(B19,Insumos!$B$5:$F$81,5,FALSE),0)</f>
        <v/>
      </c>
      <c r="F19" s="13">
        <f>C19*E19</f>
        <v/>
      </c>
    </row>
    <row r="20">
      <c r="A20" s="8" t="inlineStr"/>
      <c r="B20" s="8" t="inlineStr">
        <is>
          <t>Clavo de olor</t>
        </is>
      </c>
      <c r="C20" s="8" t="n">
        <v>1.5</v>
      </c>
      <c r="D20" s="7" t="inlineStr">
        <is>
          <t>g</t>
        </is>
      </c>
      <c r="E20" s="12">
        <f>IFERROR(VLOOKUP(B20,Insumos!$B$5:$F$81,5,FALSE),0)</f>
        <v/>
      </c>
      <c r="F20" s="13">
        <f>C20*E20</f>
        <v/>
      </c>
    </row>
    <row r="21">
      <c r="A21" s="8" t="inlineStr"/>
      <c r="B21" s="8" t="inlineStr">
        <is>
          <t>Anís estrella</t>
        </is>
      </c>
      <c r="C21" s="8" t="n">
        <v>2</v>
      </c>
      <c r="D21" s="7" t="inlineStr">
        <is>
          <t>g</t>
        </is>
      </c>
      <c r="E21" s="12">
        <f>IFERROR(VLOOKUP(B21,Insumos!$B$5:$F$81,5,FALSE),0)</f>
        <v/>
      </c>
      <c r="F21" s="13">
        <f>C21*E21</f>
        <v/>
      </c>
    </row>
    <row r="22">
      <c r="A22" s="14" t="n"/>
      <c r="B22" s="15" t="inlineStr">
        <is>
          <t>Costo del lote (700 ml de miel · rinde 8)</t>
        </is>
      </c>
      <c r="C22" s="14" t="n"/>
      <c r="D22" s="14" t="n"/>
      <c r="E22" s="14" t="n"/>
      <c r="F22" s="16">
        <f>SUM(F17:F21)</f>
        <v/>
      </c>
    </row>
    <row r="24">
      <c r="A24" s="11" t="inlineStr">
        <is>
          <t>B-4 · Azúcar trabajada</t>
        </is>
      </c>
      <c r="B24" s="8" t="inlineStr">
        <is>
          <t>Azúcar refinada</t>
        </is>
      </c>
      <c r="C24" s="8" t="n">
        <v>400</v>
      </c>
      <c r="D24" s="7" t="inlineStr">
        <is>
          <t>g</t>
        </is>
      </c>
      <c r="E24" s="12">
        <f>IFERROR(VLOOKUP(B24,Insumos!$B$5:$F$81,5,FALSE),0)</f>
        <v/>
      </c>
      <c r="F24" s="13">
        <f>C24*E24</f>
        <v/>
      </c>
    </row>
    <row r="25">
      <c r="A25" s="8" t="inlineStr"/>
      <c r="B25" s="8" t="inlineStr">
        <is>
          <t>Agua purificada</t>
        </is>
      </c>
      <c r="C25" s="8" t="n">
        <v>100</v>
      </c>
      <c r="D25" s="7" t="inlineStr">
        <is>
          <t>ml</t>
        </is>
      </c>
      <c r="E25" s="12">
        <f>IFERROR(VLOOKUP(B25,Insumos!$B$5:$F$81,5,FALSE),0)</f>
        <v/>
      </c>
      <c r="F25" s="13">
        <f>C25*E25</f>
        <v/>
      </c>
    </row>
    <row r="26">
      <c r="A26" s="8" t="inlineStr"/>
      <c r="B26" s="8" t="inlineStr">
        <is>
          <t>Glucosa / jarabe de maíz</t>
        </is>
      </c>
      <c r="C26" s="8" t="n">
        <v>20</v>
      </c>
      <c r="D26" s="7" t="inlineStr">
        <is>
          <t>g</t>
        </is>
      </c>
      <c r="E26" s="12">
        <f>IFERROR(VLOOKUP(B26,Insumos!$B$5:$F$81,5,FALSE),0)</f>
        <v/>
      </c>
      <c r="F26" s="13">
        <f>C26*E26</f>
        <v/>
      </c>
    </row>
    <row r="27">
      <c r="A27" s="8" t="inlineStr"/>
      <c r="B27" s="8" t="inlineStr">
        <is>
          <t>Mantequilla sin sal</t>
        </is>
      </c>
      <c r="C27" s="8" t="n">
        <v>10</v>
      </c>
      <c r="D27" s="7" t="inlineStr">
        <is>
          <t>g</t>
        </is>
      </c>
      <c r="E27" s="12">
        <f>IFERROR(VLOOKUP(B27,Insumos!$B$5:$F$81,5,FALSE),0)</f>
        <v/>
      </c>
      <c r="F27" s="13">
        <f>C27*E27</f>
        <v/>
      </c>
    </row>
    <row r="28">
      <c r="A28" s="14" t="n"/>
      <c r="B28" s="15" t="inlineStr">
        <is>
          <t>Costo del lote (480 g de caramelo · liga 500 g de semilla · rinde 12)</t>
        </is>
      </c>
      <c r="C28" s="14" t="n"/>
      <c r="D28" s="14" t="n"/>
      <c r="E28" s="14" t="n"/>
      <c r="F28" s="16">
        <f>SUM(F24:F27)</f>
        <v/>
      </c>
    </row>
    <row r="30">
      <c r="A30" s="11" t="inlineStr">
        <is>
          <t>B-5 · Jarabe de cristalizado</t>
        </is>
      </c>
      <c r="B30" s="8" t="inlineStr">
        <is>
          <t>Azúcar refinada</t>
        </is>
      </c>
      <c r="C30" s="8" t="n">
        <v>1000</v>
      </c>
      <c r="D30" s="7" t="inlineStr">
        <is>
          <t>g</t>
        </is>
      </c>
      <c r="E30" s="12">
        <f>IFERROR(VLOOKUP(B30,Insumos!$B$5:$F$81,5,FALSE),0)</f>
        <v/>
      </c>
      <c r="F30" s="13">
        <f>C30*E30</f>
        <v/>
      </c>
    </row>
    <row r="31">
      <c r="A31" s="8" t="inlineStr"/>
      <c r="B31" s="8" t="inlineStr">
        <is>
          <t>Agua purificada</t>
        </is>
      </c>
      <c r="C31" s="8" t="n">
        <v>1000</v>
      </c>
      <c r="D31" s="7" t="inlineStr">
        <is>
          <t>ml</t>
        </is>
      </c>
      <c r="E31" s="12">
        <f>IFERROR(VLOOKUP(B31,Insumos!$B$5:$F$81,5,FALSE),0)</f>
        <v/>
      </c>
      <c r="F31" s="13">
        <f>C31*E31</f>
        <v/>
      </c>
    </row>
    <row r="32">
      <c r="A32" s="8" t="inlineStr"/>
      <c r="B32" s="8" t="inlineStr">
        <is>
          <t>Cal viva (grado alimenticio)</t>
        </is>
      </c>
      <c r="C32" s="8" t="n">
        <v>10</v>
      </c>
      <c r="D32" s="7" t="inlineStr">
        <is>
          <t>g</t>
        </is>
      </c>
      <c r="E32" s="12">
        <f>IFERROR(VLOOKUP(B32,Insumos!$B$5:$F$81,5,FALSE),0)</f>
        <v/>
      </c>
      <c r="F32" s="13">
        <f>C32*E32</f>
        <v/>
      </c>
    </row>
    <row r="33">
      <c r="A33" s="8" t="inlineStr"/>
      <c r="B33" s="8" t="inlineStr">
        <is>
          <t>Limón</t>
        </is>
      </c>
      <c r="C33" s="8" t="n">
        <v>40</v>
      </c>
      <c r="D33" s="7" t="inlineStr">
        <is>
          <t>g</t>
        </is>
      </c>
      <c r="E33" s="12">
        <f>IFERROR(VLOOKUP(B33,Insumos!$B$5:$F$81,5,FALSE),0)</f>
        <v/>
      </c>
      <c r="F33" s="13">
        <f>C33*E33</f>
        <v/>
      </c>
    </row>
    <row r="34">
      <c r="A34" s="14" t="n"/>
      <c r="B34" s="15" t="inlineStr">
        <is>
          <t>Costo del lote (1.6 L de jarabe · confita 1 kg · rinde 12)</t>
        </is>
      </c>
      <c r="C34" s="14" t="n"/>
      <c r="D34" s="14" t="n"/>
      <c r="E34" s="14" t="n"/>
      <c r="F34" s="16">
        <f>SUM(F30:F33)</f>
        <v/>
      </c>
    </row>
    <row r="36">
      <c r="A36" s="11" t="inlineStr">
        <is>
          <t>B-6 · Pasta de fruta y enchilado</t>
        </is>
      </c>
      <c r="B36" s="8" t="inlineStr">
        <is>
          <t>Pulpa de tamarindo</t>
        </is>
      </c>
      <c r="C36" s="8" t="n">
        <v>500</v>
      </c>
      <c r="D36" s="7" t="inlineStr">
        <is>
          <t>g</t>
        </is>
      </c>
      <c r="E36" s="12">
        <f>IFERROR(VLOOKUP(B36,Insumos!$B$5:$F$81,5,FALSE),0)</f>
        <v/>
      </c>
      <c r="F36" s="13">
        <f>C36*E36</f>
        <v/>
      </c>
    </row>
    <row r="37">
      <c r="A37" s="8" t="inlineStr"/>
      <c r="B37" s="8" t="inlineStr">
        <is>
          <t>Azúcar refinada</t>
        </is>
      </c>
      <c r="C37" s="8" t="n">
        <v>400</v>
      </c>
      <c r="D37" s="7" t="inlineStr">
        <is>
          <t>g</t>
        </is>
      </c>
      <c r="E37" s="12">
        <f>IFERROR(VLOOKUP(B37,Insumos!$B$5:$F$81,5,FALSE),0)</f>
        <v/>
      </c>
      <c r="F37" s="13">
        <f>C37*E37</f>
        <v/>
      </c>
    </row>
    <row r="38">
      <c r="A38" s="8" t="inlineStr"/>
      <c r="B38" s="8" t="inlineStr">
        <is>
          <t>Glucosa / jarabe de maíz</t>
        </is>
      </c>
      <c r="C38" s="8" t="n">
        <v>20</v>
      </c>
      <c r="D38" s="7" t="inlineStr">
        <is>
          <t>g</t>
        </is>
      </c>
      <c r="E38" s="12">
        <f>IFERROR(VLOOKUP(B38,Insumos!$B$5:$F$81,5,FALSE),0)</f>
        <v/>
      </c>
      <c r="F38" s="13">
        <f>C38*E38</f>
        <v/>
      </c>
    </row>
    <row r="39">
      <c r="A39" s="8" t="inlineStr"/>
      <c r="B39" s="8" t="inlineStr">
        <is>
          <t>Limón</t>
        </is>
      </c>
      <c r="C39" s="8" t="n">
        <v>15</v>
      </c>
      <c r="D39" s="7" t="inlineStr">
        <is>
          <t>g</t>
        </is>
      </c>
      <c r="E39" s="12">
        <f>IFERROR(VLOOKUP(B39,Insumos!$B$5:$F$81,5,FALSE),0)</f>
        <v/>
      </c>
      <c r="F39" s="13">
        <f>C39*E39</f>
        <v/>
      </c>
    </row>
    <row r="40">
      <c r="A40" s="8" t="inlineStr"/>
      <c r="B40" s="8" t="inlineStr">
        <is>
          <t>Chile piquín en polvo</t>
        </is>
      </c>
      <c r="C40" s="8" t="n">
        <v>20</v>
      </c>
      <c r="D40" s="7" t="inlineStr">
        <is>
          <t>g</t>
        </is>
      </c>
      <c r="E40" s="12">
        <f>IFERROR(VLOOKUP(B40,Insumos!$B$5:$F$81,5,FALSE),0)</f>
        <v/>
      </c>
      <c r="F40" s="13">
        <f>C40*E40</f>
        <v/>
      </c>
    </row>
    <row r="41">
      <c r="A41" s="8" t="inlineStr"/>
      <c r="B41" s="8" t="inlineStr">
        <is>
          <t>Sal fina</t>
        </is>
      </c>
      <c r="C41" s="8" t="n">
        <v>2</v>
      </c>
      <c r="D41" s="7" t="inlineStr">
        <is>
          <t>g</t>
        </is>
      </c>
      <c r="E41" s="12">
        <f>IFERROR(VLOOKUP(B41,Insumos!$B$5:$F$81,5,FALSE),0)</f>
        <v/>
      </c>
      <c r="F41" s="13">
        <f>C41*E41</f>
        <v/>
      </c>
    </row>
    <row r="42">
      <c r="A42" s="14" t="n"/>
      <c r="B42" s="15" t="inlineStr">
        <is>
          <t>Costo del lote (700 g de pasta · rinde 25)</t>
        </is>
      </c>
      <c r="C42" s="14" t="n"/>
      <c r="D42" s="14" t="n"/>
      <c r="E42" s="14" t="n"/>
      <c r="F42" s="16">
        <f>SUM(F36:F41)</f>
        <v/>
      </c>
    </row>
    <row r="44">
      <c r="A44" s="3" t="inlineStr">
        <is>
          <t>RESUMEN · costo por base madre</t>
        </is>
      </c>
    </row>
    <row r="45" ht="30" customHeight="1">
      <c r="A45" s="6" t="inlineStr">
        <is>
          <t>Base madre</t>
        </is>
      </c>
      <c r="B45" s="6" t="inlineStr">
        <is>
          <t>Uso</t>
        </is>
      </c>
      <c r="C45" s="6" t="inlineStr">
        <is>
          <t>Rendimiento</t>
        </is>
      </c>
      <c r="D45" s="6" t="inlineStr">
        <is>
          <t>Piezas</t>
        </is>
      </c>
      <c r="E45" s="6" t="inlineStr">
        <is>
          <t>Costo del lote</t>
        </is>
      </c>
      <c r="F45" s="6" t="inlineStr">
        <is>
          <t>Costo por pieza</t>
        </is>
      </c>
    </row>
    <row r="46">
      <c r="A46" s="8" t="inlineStr">
        <is>
          <t>B-1 · Leche quemada (base láctea)</t>
        </is>
      </c>
      <c r="B46" s="7" t="inlineStr">
        <is>
          <t>Jamoncillos, pastillas, cocadas, mostachones y borrachitos</t>
        </is>
      </c>
      <c r="C46" s="7" t="inlineStr">
        <is>
          <t>520 g de pasta</t>
        </is>
      </c>
      <c r="D46" s="8" t="n">
        <v>20</v>
      </c>
      <c r="E46" s="13">
        <f>SUM(F5:F8)</f>
        <v/>
      </c>
      <c r="F46" s="13">
        <f>IFERROR(E46/D46,0)</f>
        <v/>
      </c>
    </row>
    <row r="47">
      <c r="A47" s="8" t="inlineStr">
        <is>
          <t>B-2 · Cajeta de cabra</t>
        </is>
      </c>
      <c r="B47" s="7" t="inlineStr">
        <is>
          <t>Cajeta, glorias y relleno de otras recetas</t>
        </is>
      </c>
      <c r="C47" s="7" t="inlineStr">
        <is>
          <t>500 ml</t>
        </is>
      </c>
      <c r="D47" s="8" t="n">
        <v>1</v>
      </c>
      <c r="E47" s="13">
        <f>SUM(F11:F14)</f>
        <v/>
      </c>
      <c r="F47" s="13">
        <f>IFERROR(E47/D47,0)</f>
        <v/>
      </c>
    </row>
    <row r="48">
      <c r="A48" s="8" t="inlineStr">
        <is>
          <t>B-3 · Miel de piloncillo especiada</t>
        </is>
      </c>
      <c r="B48" s="7" t="inlineStr">
        <is>
          <t>Tacha, chilacayote, tejocote, camote y muégano</t>
        </is>
      </c>
      <c r="C48" s="7" t="inlineStr">
        <is>
          <t>700 ml de miel</t>
        </is>
      </c>
      <c r="D48" s="8" t="n">
        <v>8</v>
      </c>
      <c r="E48" s="13">
        <f>SUM(F17:F21)</f>
        <v/>
      </c>
      <c r="F48" s="13">
        <f>IFERROR(E48/D48,0)</f>
        <v/>
      </c>
    </row>
    <row r="49">
      <c r="A49" s="8" t="inlineStr">
        <is>
          <t>B-4 · Azúcar trabajada</t>
        </is>
      </c>
      <c r="B49" s="7" t="inlineStr">
        <is>
          <t>Palanquetas, pepitorias, alegrías, turrón y alfeñique</t>
        </is>
      </c>
      <c r="C49" s="7" t="inlineStr">
        <is>
          <t>480 g de caramelo · liga 500 g de semilla</t>
        </is>
      </c>
      <c r="D49" s="8" t="n">
        <v>12</v>
      </c>
      <c r="E49" s="13">
        <f>SUM(F24:F27)</f>
        <v/>
      </c>
      <c r="F49" s="13">
        <f>IFERROR(E49/D49,0)</f>
        <v/>
      </c>
    </row>
    <row r="50">
      <c r="A50" s="8" t="inlineStr">
        <is>
          <t>B-5 · Jarabe de cristalizado</t>
        </is>
      </c>
      <c r="B50" s="7" t="inlineStr">
        <is>
          <t>Nopal, chilacayote, higo, limón, camote y pera cristalizados</t>
        </is>
      </c>
      <c r="C50" s="7" t="inlineStr">
        <is>
          <t>1.6 L de jarabe · confita 1 kg</t>
        </is>
      </c>
      <c r="D50" s="8" t="n">
        <v>12</v>
      </c>
      <c r="E50" s="13">
        <f>SUM(F30:F33)</f>
        <v/>
      </c>
      <c r="F50" s="13">
        <f>IFERROR(E50/D50,0)</f>
        <v/>
      </c>
    </row>
    <row r="51">
      <c r="A51" s="8" t="inlineStr">
        <is>
          <t>B-6 · Pasta de fruta y enchilado</t>
        </is>
      </c>
      <c r="B51" s="7" t="inlineStr">
        <is>
          <t>Ates, dulces machacados y enchilados de tamarindo</t>
        </is>
      </c>
      <c r="C51" s="7" t="inlineStr">
        <is>
          <t>700 g de pasta</t>
        </is>
      </c>
      <c r="D51" s="8" t="n">
        <v>25</v>
      </c>
      <c r="E51" s="13">
        <f>SUM(F36:F41)</f>
        <v/>
      </c>
      <c r="F51" s="13">
        <f>IFERROR(E51/D51,0)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1454"/>
    <outlinePr summaryBelow="1" summaryRight="1"/>
    <pageSetUpPr/>
  </sheetPr>
  <dimension ref="A1:H1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4" customWidth="1" min="3" max="3"/>
    <col width="11" customWidth="1" min="4" max="4"/>
    <col width="9" customWidth="1" min="5" max="5"/>
    <col width="15" customWidth="1" min="6" max="6"/>
    <col width="13" customWidth="1" min="7" max="7"/>
    <col width="60" customWidth="1" min="8" max="8"/>
  </cols>
  <sheetData>
    <row r="1" ht="26" customHeight="1">
      <c r="A1" s="1" t="inlineStr">
        <is>
          <t>Ingredientes de las 50 recetas</t>
        </is>
      </c>
    </row>
    <row r="2">
      <c r="A2" s="2" t="inlineStr">
        <is>
          <t>Cada línea del recetario, normalizada al catálogo de insumos. Las cantidades son para el LOTE completo.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Insumo</t>
        </is>
      </c>
      <c r="D4" s="6" t="inlineStr">
        <is>
          <t>Cantidad</t>
        </is>
      </c>
      <c r="E4" s="6" t="inlineStr">
        <is>
          <t>Unidad</t>
        </is>
      </c>
      <c r="F4" s="6" t="inlineStr">
        <is>
          <t>Costo por unidad</t>
        </is>
      </c>
      <c r="G4" s="6" t="inlineStr">
        <is>
          <t>Costo</t>
        </is>
      </c>
      <c r="H4" s="6" t="inlineStr">
        <is>
          <t>Texto original del recetario</t>
        </is>
      </c>
    </row>
    <row r="5">
      <c r="A5" s="7" t="n">
        <v>1</v>
      </c>
      <c r="B5" s="8" t="inlineStr">
        <is>
          <t>Jamoncillo de Leche (Dulce de Leche Cortada)</t>
        </is>
      </c>
      <c r="C5" s="8" t="inlineStr">
        <is>
          <t>Leche entera</t>
        </is>
      </c>
      <c r="D5" s="8" t="n">
        <v>1000</v>
      </c>
      <c r="E5" s="7" t="inlineStr">
        <is>
          <t>ml</t>
        </is>
      </c>
      <c r="F5" s="12">
        <f>IFERROR(VLOOKUP(C5,Insumos!$B$5:$F$81,5,FALSE),0)</f>
        <v/>
      </c>
      <c r="G5" s="13">
        <f>D5*F5</f>
        <v/>
      </c>
      <c r="H5" s="7" t="inlineStr">
        <is>
          <t>1 litro de leche entera</t>
        </is>
      </c>
    </row>
    <row r="6">
      <c r="A6" s="7" t="n">
        <v>1</v>
      </c>
      <c r="B6" s="8" t="inlineStr">
        <is>
          <t>Jamoncillo de Leche (Dulce de Leche Cortada)</t>
        </is>
      </c>
      <c r="C6" s="8" t="inlineStr">
        <is>
          <t>Azúcar refinada</t>
        </is>
      </c>
      <c r="D6" s="8" t="n">
        <v>500</v>
      </c>
      <c r="E6" s="7" t="inlineStr">
        <is>
          <t>g</t>
        </is>
      </c>
      <c r="F6" s="12">
        <f>IFERROR(VLOOKUP(C6,Insumos!$B$5:$F$81,5,FALSE),0)</f>
        <v/>
      </c>
      <c r="G6" s="13">
        <f>D6*F6</f>
        <v/>
      </c>
      <c r="H6" s="7" t="inlineStr">
        <is>
          <t>500 g de azúcar blanca</t>
        </is>
      </c>
    </row>
    <row r="7">
      <c r="A7" s="7" t="n">
        <v>1</v>
      </c>
      <c r="B7" s="8" t="inlineStr">
        <is>
          <t>Jamoncillo de Leche (Dulce de Leche Cortada)</t>
        </is>
      </c>
      <c r="C7" s="8" t="inlineStr">
        <is>
          <t>Bicarbonato de sodio</t>
        </is>
      </c>
      <c r="D7" s="8" t="n">
        <v>1</v>
      </c>
      <c r="E7" s="7" t="inlineStr">
        <is>
          <t>g</t>
        </is>
      </c>
      <c r="F7" s="12">
        <f>IFERROR(VLOOKUP(C7,Insumos!$B$5:$F$81,5,FALSE),0)</f>
        <v/>
      </c>
      <c r="G7" s="13">
        <f>D7*F7</f>
        <v/>
      </c>
      <c r="H7" s="7" t="inlineStr">
        <is>
          <t>1 pizca de bicarbonato de sodio</t>
        </is>
      </c>
    </row>
    <row r="8">
      <c r="A8" s="7" t="n">
        <v>1</v>
      </c>
      <c r="B8" s="8" t="inlineStr">
        <is>
          <t>Jamoncillo de Leche (Dulce de Leche Cortada)</t>
        </is>
      </c>
      <c r="C8" s="8" t="inlineStr">
        <is>
          <t>Esencia de vainilla</t>
        </is>
      </c>
      <c r="D8" s="8" t="n">
        <v>5</v>
      </c>
      <c r="E8" s="7" t="inlineStr">
        <is>
          <t>ml</t>
        </is>
      </c>
      <c r="F8" s="12">
        <f>IFERROR(VLOOKUP(C8,Insumos!$B$5:$F$81,5,FALSE),0)</f>
        <v/>
      </c>
      <c r="G8" s="13">
        <f>D8*F8</f>
        <v/>
      </c>
      <c r="H8" s="7" t="inlineStr">
        <is>
          <t>1 cucharadita de esencia de vainilla</t>
        </is>
      </c>
    </row>
    <row r="9">
      <c r="A9" s="7" t="n">
        <v>1</v>
      </c>
      <c r="B9" s="8" t="inlineStr">
        <is>
          <t>Jamoncillo de Leche (Dulce de Leche Cortada)</t>
        </is>
      </c>
      <c r="C9" s="8" t="inlineStr">
        <is>
          <t>Nuez de Castilla</t>
        </is>
      </c>
      <c r="D9" s="8" t="n">
        <v>60</v>
      </c>
      <c r="E9" s="7" t="inlineStr">
        <is>
          <t>g</t>
        </is>
      </c>
      <c r="F9" s="12">
        <f>IFERROR(VLOOKUP(C9,Insumos!$B$5:$F$81,5,FALSE),0)</f>
        <v/>
      </c>
      <c r="G9" s="13">
        <f>D9*F9</f>
        <v/>
      </c>
      <c r="H9" s="7" t="inlineStr">
        <is>
          <t>Nueces en mitades para decorar</t>
        </is>
      </c>
    </row>
    <row r="10">
      <c r="A10" s="7" t="n">
        <v>2</v>
      </c>
      <c r="B10" s="8" t="inlineStr">
        <is>
          <t>Glorias de Linares (Nuevo León)</t>
        </is>
      </c>
      <c r="C10" s="8" t="inlineStr">
        <is>
          <t>Leche de cabra</t>
        </is>
      </c>
      <c r="D10" s="8" t="n">
        <v>1000</v>
      </c>
      <c r="E10" s="7" t="inlineStr">
        <is>
          <t>ml</t>
        </is>
      </c>
      <c r="F10" s="12">
        <f>IFERROR(VLOOKUP(C10,Insumos!$B$5:$F$81,5,FALSE),0)</f>
        <v/>
      </c>
      <c r="G10" s="13">
        <f>D10*F10</f>
        <v/>
      </c>
      <c r="H10" s="7" t="inlineStr">
        <is>
          <t>1 litro de leche de cabra (o entera)</t>
        </is>
      </c>
    </row>
    <row r="11">
      <c r="A11" s="7" t="n">
        <v>2</v>
      </c>
      <c r="B11" s="8" t="inlineStr">
        <is>
          <t>Glorias de Linares (Nuevo León)</t>
        </is>
      </c>
      <c r="C11" s="8" t="inlineStr">
        <is>
          <t>Azúcar refinada</t>
        </is>
      </c>
      <c r="D11" s="8" t="n">
        <v>500</v>
      </c>
      <c r="E11" s="7" t="inlineStr">
        <is>
          <t>g</t>
        </is>
      </c>
      <c r="F11" s="12">
        <f>IFERROR(VLOOKUP(C11,Insumos!$B$5:$F$81,5,FALSE),0)</f>
        <v/>
      </c>
      <c r="G11" s="13">
        <f>D11*F11</f>
        <v/>
      </c>
      <c r="H11" s="7" t="inlineStr">
        <is>
          <t>500 g de azúcar</t>
        </is>
      </c>
    </row>
    <row r="12">
      <c r="A12" s="7" t="n">
        <v>2</v>
      </c>
      <c r="B12" s="8" t="inlineStr">
        <is>
          <t>Glorias de Linares (Nuevo León)</t>
        </is>
      </c>
      <c r="C12" s="8" t="inlineStr">
        <is>
          <t>Glucosa / jarabe de maíz</t>
        </is>
      </c>
      <c r="D12" s="8" t="n">
        <v>20.62</v>
      </c>
      <c r="E12" s="7" t="inlineStr">
        <is>
          <t>g</t>
        </is>
      </c>
      <c r="F12" s="12">
        <f>IFERROR(VLOOKUP(C12,Insumos!$B$5:$F$81,5,FALSE),0)</f>
        <v/>
      </c>
      <c r="G12" s="13">
        <f>D12*F12</f>
        <v/>
      </c>
      <c r="H12" s="7" t="inlineStr">
        <is>
          <t>1 cucharada de glucosa</t>
        </is>
      </c>
    </row>
    <row r="13">
      <c r="A13" s="7" t="n">
        <v>2</v>
      </c>
      <c r="B13" s="8" t="inlineStr">
        <is>
          <t>Glorias de Linares (Nuevo León)</t>
        </is>
      </c>
      <c r="C13" s="8" t="inlineStr">
        <is>
          <t>Nuez de Castilla</t>
        </is>
      </c>
      <c r="D13" s="8" t="n">
        <v>115</v>
      </c>
      <c r="E13" s="7" t="inlineStr">
        <is>
          <t>g</t>
        </is>
      </c>
      <c r="F13" s="12">
        <f>IFERROR(VLOOKUP(C13,Insumos!$B$5:$F$81,5,FALSE),0)</f>
        <v/>
      </c>
      <c r="G13" s="13">
        <f>D13*F13</f>
        <v/>
      </c>
      <c r="H13" s="7" t="inlineStr">
        <is>
          <t>1 taza de trozos de nuez de Castilla</t>
        </is>
      </c>
    </row>
    <row r="14">
      <c r="A14" s="7" t="n">
        <v>3</v>
      </c>
      <c r="B14" s="8" t="inlineStr">
        <is>
          <t>Cajeta Casera Quemada de Celaya</t>
        </is>
      </c>
      <c r="C14" s="8" t="inlineStr">
        <is>
          <t>Leche de cabra</t>
        </is>
      </c>
      <c r="D14" s="8" t="n">
        <v>1500</v>
      </c>
      <c r="E14" s="7" t="inlineStr">
        <is>
          <t>ml</t>
        </is>
      </c>
      <c r="F14" s="12">
        <f>IFERROR(VLOOKUP(C14,Insumos!$B$5:$F$81,5,FALSE),0)</f>
        <v/>
      </c>
      <c r="G14" s="13">
        <f>D14*F14</f>
        <v/>
      </c>
      <c r="H14" s="7" t="inlineStr">
        <is>
          <t>1.5 litros de leche de cabra fresca</t>
        </is>
      </c>
    </row>
    <row r="15">
      <c r="A15" s="7" t="n">
        <v>3</v>
      </c>
      <c r="B15" s="8" t="inlineStr">
        <is>
          <t>Cajeta Casera Quemada de Celaya</t>
        </is>
      </c>
      <c r="C15" s="8" t="inlineStr">
        <is>
          <t>Azúcar refinada</t>
        </is>
      </c>
      <c r="D15" s="8" t="n">
        <v>600</v>
      </c>
      <c r="E15" s="7" t="inlineStr">
        <is>
          <t>g</t>
        </is>
      </c>
      <c r="F15" s="12">
        <f>IFERROR(VLOOKUP(C15,Insumos!$B$5:$F$81,5,FALSE),0)</f>
        <v/>
      </c>
      <c r="G15" s="13">
        <f>D15*F15</f>
        <v/>
      </c>
      <c r="H15" s="7" t="inlineStr">
        <is>
          <t>600 g de azúcar estándar</t>
        </is>
      </c>
    </row>
    <row r="16">
      <c r="A16" s="7" t="n">
        <v>3</v>
      </c>
      <c r="B16" s="8" t="inlineStr">
        <is>
          <t>Cajeta Casera Quemada de Celaya</t>
        </is>
      </c>
      <c r="C16" s="8" t="inlineStr">
        <is>
          <t>Bicarbonato de sodio</t>
        </is>
      </c>
      <c r="D16" s="8" t="n">
        <v>0.78</v>
      </c>
      <c r="E16" s="7" t="inlineStr">
        <is>
          <t>g</t>
        </is>
      </c>
      <c r="F16" s="12">
        <f>IFERROR(VLOOKUP(C16,Insumos!$B$5:$F$81,5,FALSE),0)</f>
        <v/>
      </c>
      <c r="G16" s="13">
        <f>D16*F16</f>
        <v/>
      </c>
      <c r="H16" s="7" t="inlineStr">
        <is>
          <t>1/4 cucharadita de bicarbonato de sodio disuelto en 2 cucharadas de agua</t>
        </is>
      </c>
    </row>
    <row r="17">
      <c r="A17" s="7" t="n">
        <v>3</v>
      </c>
      <c r="B17" s="8" t="inlineStr">
        <is>
          <t>Cajeta Casera Quemada de Celaya</t>
        </is>
      </c>
      <c r="C17" s="8" t="inlineStr">
        <is>
          <t>Canela en raja</t>
        </is>
      </c>
      <c r="D17" s="8" t="n">
        <v>3</v>
      </c>
      <c r="E17" s="7" t="inlineStr">
        <is>
          <t>g</t>
        </is>
      </c>
      <c r="F17" s="12">
        <f>IFERROR(VLOOKUP(C17,Insumos!$B$5:$F$81,5,FALSE),0)</f>
        <v/>
      </c>
      <c r="G17" s="13">
        <f>D17*F17</f>
        <v/>
      </c>
      <c r="H17" s="7" t="inlineStr">
        <is>
          <t>1 rajita de canela</t>
        </is>
      </c>
    </row>
    <row r="18">
      <c r="A18" s="7" t="n">
        <v>4</v>
      </c>
      <c r="B18" s="8" t="inlineStr">
        <is>
          <t>Borrachitos poblanos con rompope</t>
        </is>
      </c>
      <c r="C18" s="8" t="inlineStr">
        <is>
          <t>Leche entera</t>
        </is>
      </c>
      <c r="D18" s="8" t="n">
        <v>720</v>
      </c>
      <c r="E18" s="7" t="inlineStr">
        <is>
          <t>ml</t>
        </is>
      </c>
      <c r="F18" s="12">
        <f>IFERROR(VLOOKUP(C18,Insumos!$B$5:$F$81,5,FALSE),0)</f>
        <v/>
      </c>
      <c r="G18" s="13">
        <f>D18*F18</f>
        <v/>
      </c>
      <c r="H18" s="7" t="inlineStr">
        <is>
          <t>3 tazas de leche entera</t>
        </is>
      </c>
    </row>
    <row r="19">
      <c r="A19" s="7" t="n">
        <v>4</v>
      </c>
      <c r="B19" s="8" t="inlineStr">
        <is>
          <t>Borrachitos poblanos con rompope</t>
        </is>
      </c>
      <c r="C19" s="8" t="inlineStr">
        <is>
          <t>Azúcar refinada</t>
        </is>
      </c>
      <c r="D19" s="8" t="n">
        <v>400</v>
      </c>
      <c r="E19" s="7" t="inlineStr">
        <is>
          <t>g</t>
        </is>
      </c>
      <c r="F19" s="12">
        <f>IFERROR(VLOOKUP(C19,Insumos!$B$5:$F$81,5,FALSE),0)</f>
        <v/>
      </c>
      <c r="G19" s="13">
        <f>D19*F19</f>
        <v/>
      </c>
      <c r="H19" s="7" t="inlineStr">
        <is>
          <t>2 tazas de azúcar blanca</t>
        </is>
      </c>
    </row>
    <row r="20">
      <c r="A20" s="7" t="n">
        <v>4</v>
      </c>
      <c r="B20" s="8" t="inlineStr">
        <is>
          <t>Borrachitos poblanos con rompope</t>
        </is>
      </c>
      <c r="C20" s="8" t="inlineStr">
        <is>
          <t>Fécula de maíz (maicena)</t>
        </is>
      </c>
      <c r="D20" s="8" t="n">
        <v>60</v>
      </c>
      <c r="E20" s="7" t="inlineStr">
        <is>
          <t>g</t>
        </is>
      </c>
      <c r="F20" s="12">
        <f>IFERROR(VLOOKUP(C20,Insumos!$B$5:$F$81,5,FALSE),0)</f>
        <v/>
      </c>
      <c r="G20" s="13">
        <f>D20*F20</f>
        <v/>
      </c>
      <c r="H20" s="7" t="inlineStr">
        <is>
          <t>1/2 taza de fécula de maíz (maicena)</t>
        </is>
      </c>
    </row>
    <row r="21">
      <c r="A21" s="7" t="n">
        <v>4</v>
      </c>
      <c r="B21" s="8" t="inlineStr">
        <is>
          <t>Borrachitos poblanos con rompope</t>
        </is>
      </c>
      <c r="C21" s="8" t="inlineStr">
        <is>
          <t>Rompope artesanal</t>
        </is>
      </c>
      <c r="D21" s="8" t="n">
        <v>120</v>
      </c>
      <c r="E21" s="7" t="inlineStr">
        <is>
          <t>ml</t>
        </is>
      </c>
      <c r="F21" s="12">
        <f>IFERROR(VLOOKUP(C21,Insumos!$B$5:$F$81,5,FALSE),0)</f>
        <v/>
      </c>
      <c r="G21" s="13">
        <f>D21*F21</f>
        <v/>
      </c>
      <c r="H21" s="7" t="inlineStr">
        <is>
          <t>1/2 taza de rompope artesanal</t>
        </is>
      </c>
    </row>
    <row r="22">
      <c r="A22" s="7" t="n">
        <v>4</v>
      </c>
      <c r="B22" s="8" t="inlineStr">
        <is>
          <t>Borrachitos poblanos con rompope</t>
        </is>
      </c>
      <c r="C22" s="8" t="inlineStr">
        <is>
          <t>Azúcar refinada</t>
        </is>
      </c>
      <c r="D22" s="8" t="n">
        <v>60</v>
      </c>
      <c r="E22" s="7" t="inlineStr">
        <is>
          <t>g</t>
        </is>
      </c>
      <c r="F22" s="12">
        <f>IFERROR(VLOOKUP(C22,Insumos!$B$5:$F$81,5,FALSE),0)</f>
        <v/>
      </c>
      <c r="G22" s="13">
        <f>D22*F22</f>
        <v/>
      </c>
      <c r="H22" s="7" t="inlineStr">
        <is>
          <t>Azúcar extra para rebozar</t>
        </is>
      </c>
    </row>
    <row r="23">
      <c r="A23" s="7" t="n">
        <v>5</v>
      </c>
      <c r="B23" s="8" t="inlineStr">
        <is>
          <t>Queso de Pera (Dulce de Leche moldeado)</t>
        </is>
      </c>
      <c r="C23" s="8" t="inlineStr">
        <is>
          <t>Leche entera</t>
        </is>
      </c>
      <c r="D23" s="8" t="n">
        <v>1000</v>
      </c>
      <c r="E23" s="7" t="inlineStr">
        <is>
          <t>ml</t>
        </is>
      </c>
      <c r="F23" s="12">
        <f>IFERROR(VLOOKUP(C23,Insumos!$B$5:$F$81,5,FALSE),0)</f>
        <v/>
      </c>
      <c r="G23" s="13">
        <f>D23*F23</f>
        <v/>
      </c>
      <c r="H23" s="7" t="inlineStr">
        <is>
          <t>1 litro de leche</t>
        </is>
      </c>
    </row>
    <row r="24">
      <c r="A24" s="7" t="n">
        <v>5</v>
      </c>
      <c r="B24" s="8" t="inlineStr">
        <is>
          <t>Queso de Pera (Dulce de Leche moldeado)</t>
        </is>
      </c>
      <c r="C24" s="8" t="inlineStr">
        <is>
          <t>Azúcar refinada</t>
        </is>
      </c>
      <c r="D24" s="8" t="n">
        <v>400</v>
      </c>
      <c r="E24" s="7" t="inlineStr">
        <is>
          <t>g</t>
        </is>
      </c>
      <c r="F24" s="12">
        <f>IFERROR(VLOOKUP(C24,Insumos!$B$5:$F$81,5,FALSE),0)</f>
        <v/>
      </c>
      <c r="G24" s="13">
        <f>D24*F24</f>
        <v/>
      </c>
      <c r="H24" s="7" t="inlineStr">
        <is>
          <t>400 g de azúcar</t>
        </is>
      </c>
    </row>
    <row r="25">
      <c r="A25" s="7" t="n">
        <v>5</v>
      </c>
      <c r="B25" s="8" t="inlineStr">
        <is>
          <t>Queso de Pera (Dulce de Leche moldeado)</t>
        </is>
      </c>
      <c r="C25" s="8" t="inlineStr">
        <is>
          <t>Mantequilla sin sal</t>
        </is>
      </c>
      <c r="D25" s="8" t="n">
        <v>14.19</v>
      </c>
      <c r="E25" s="7" t="inlineStr">
        <is>
          <t>g</t>
        </is>
      </c>
      <c r="F25" s="12">
        <f>IFERROR(VLOOKUP(C25,Insumos!$B$5:$F$81,5,FALSE),0)</f>
        <v/>
      </c>
      <c r="G25" s="13">
        <f>D25*F25</f>
        <v/>
      </c>
      <c r="H25" s="7" t="inlineStr">
        <is>
          <t>1 cucharada de mantequilla</t>
        </is>
      </c>
    </row>
    <row r="26">
      <c r="A26" s="7" t="n">
        <v>5</v>
      </c>
      <c r="B26" s="8" t="inlineStr">
        <is>
          <t>Queso de Pera (Dulce de Leche moldeado)</t>
        </is>
      </c>
      <c r="C26" s="8" t="inlineStr">
        <is>
          <t>Clavo de olor</t>
        </is>
      </c>
      <c r="D26" s="8" t="n">
        <v>2</v>
      </c>
      <c r="E26" s="7" t="inlineStr">
        <is>
          <t>g</t>
        </is>
      </c>
      <c r="F26" s="12">
        <f>IFERROR(VLOOKUP(C26,Insumos!$B$5:$F$81,5,FALSE),0)</f>
        <v/>
      </c>
      <c r="G26" s="13">
        <f>D26*F26</f>
        <v/>
      </c>
      <c r="H26" s="7" t="inlineStr">
        <is>
          <t>Clavos de olor enteros (para simular el tallo)</t>
        </is>
      </c>
    </row>
    <row r="27">
      <c r="A27" s="7" t="n">
        <v>5</v>
      </c>
      <c r="B27" s="8" t="inlineStr">
        <is>
          <t>Queso de Pera (Dulce de Leche moldeado)</t>
        </is>
      </c>
      <c r="C27" s="8" t="inlineStr">
        <is>
          <t>Colorante vegetal</t>
        </is>
      </c>
      <c r="D27" s="8" t="n">
        <v>3</v>
      </c>
      <c r="E27" s="7" t="inlineStr">
        <is>
          <t>ml</t>
        </is>
      </c>
      <c r="F27" s="12">
        <f>IFERROR(VLOOKUP(C27,Insumos!$B$5:$F$81,5,FALSE),0)</f>
        <v/>
      </c>
      <c r="G27" s="13">
        <f>D27*F27</f>
        <v/>
      </c>
      <c r="H27" s="7" t="inlineStr">
        <is>
          <t>Colorante vegetal rojo y verde (opcional)</t>
        </is>
      </c>
    </row>
    <row r="28">
      <c r="A28" s="7" t="n">
        <v>6</v>
      </c>
      <c r="B28" s="8" t="inlineStr">
        <is>
          <t>Jamoncillo de Piñón</t>
        </is>
      </c>
      <c r="C28" s="8" t="inlineStr">
        <is>
          <t>Leche condensada</t>
        </is>
      </c>
      <c r="D28" s="8" t="n">
        <v>500</v>
      </c>
      <c r="E28" s="7" t="inlineStr">
        <is>
          <t>g</t>
        </is>
      </c>
      <c r="F28" s="12">
        <f>IFERROR(VLOOKUP(C28,Insumos!$B$5:$F$81,5,FALSE),0)</f>
        <v/>
      </c>
      <c r="G28" s="13">
        <f>D28*F28</f>
        <v/>
      </c>
      <c r="H28" s="7" t="inlineStr">
        <is>
          <t>500 g de leche condensada</t>
        </is>
      </c>
    </row>
    <row r="29">
      <c r="A29" s="7" t="n">
        <v>6</v>
      </c>
      <c r="B29" s="8" t="inlineStr">
        <is>
          <t>Jamoncillo de Piñón</t>
        </is>
      </c>
      <c r="C29" s="8" t="inlineStr">
        <is>
          <t>Leche en polvo entera</t>
        </is>
      </c>
      <c r="D29" s="8" t="n">
        <v>200</v>
      </c>
      <c r="E29" s="7" t="inlineStr">
        <is>
          <t>g</t>
        </is>
      </c>
      <c r="F29" s="12">
        <f>IFERROR(VLOOKUP(C29,Insumos!$B$5:$F$81,5,FALSE),0)</f>
        <v/>
      </c>
      <c r="G29" s="13">
        <f>D29*F29</f>
        <v/>
      </c>
      <c r="H29" s="7" t="inlineStr">
        <is>
          <t>200 g de leche en polvo entera</t>
        </is>
      </c>
    </row>
    <row r="30">
      <c r="A30" s="7" t="n">
        <v>6</v>
      </c>
      <c r="B30" s="8" t="inlineStr">
        <is>
          <t>Jamoncillo de Piñón</t>
        </is>
      </c>
      <c r="C30" s="8" t="inlineStr">
        <is>
          <t>Piñón rosa</t>
        </is>
      </c>
      <c r="D30" s="8" t="n">
        <v>50</v>
      </c>
      <c r="E30" s="7" t="inlineStr">
        <is>
          <t>g</t>
        </is>
      </c>
      <c r="F30" s="12">
        <f>IFERROR(VLOOKUP(C30,Insumos!$B$5:$F$81,5,FALSE),0)</f>
        <v/>
      </c>
      <c r="G30" s="13">
        <f>D30*F30</f>
        <v/>
      </c>
      <c r="H30" s="7" t="inlineStr">
        <is>
          <t>50 g de piñones rosas limpios</t>
        </is>
      </c>
    </row>
    <row r="31">
      <c r="A31" s="7" t="n">
        <v>6</v>
      </c>
      <c r="B31" s="8" t="inlineStr">
        <is>
          <t>Jamoncillo de Piñón</t>
        </is>
      </c>
      <c r="C31" s="8" t="inlineStr">
        <is>
          <t>Mantequilla sin sal</t>
        </is>
      </c>
      <c r="D31" s="8" t="n">
        <v>14.19</v>
      </c>
      <c r="E31" s="7" t="inlineStr">
        <is>
          <t>g</t>
        </is>
      </c>
      <c r="F31" s="12">
        <f>IFERROR(VLOOKUP(C31,Insumos!$B$5:$F$81,5,FALSE),0)</f>
        <v/>
      </c>
      <c r="G31" s="13">
        <f>D31*F31</f>
        <v/>
      </c>
      <c r="H31" s="7" t="inlineStr">
        <is>
          <t>1 cucharada de mantequilla</t>
        </is>
      </c>
    </row>
    <row r="32">
      <c r="A32" s="7" t="n">
        <v>7</v>
      </c>
      <c r="B32" s="8" t="inlineStr">
        <is>
          <t>Cajeta Envinada con Nuez</t>
        </is>
      </c>
      <c r="C32" s="8" t="inlineStr">
        <is>
          <t>Leche de cabra</t>
        </is>
      </c>
      <c r="D32" s="8" t="n">
        <v>1000</v>
      </c>
      <c r="E32" s="7" t="inlineStr">
        <is>
          <t>ml</t>
        </is>
      </c>
      <c r="F32" s="12">
        <f>IFERROR(VLOOKUP(C32,Insumos!$B$5:$F$81,5,FALSE),0)</f>
        <v/>
      </c>
      <c r="G32" s="13">
        <f>D32*F32</f>
        <v/>
      </c>
      <c r="H32" s="7" t="inlineStr">
        <is>
          <t>1 litro de leche de cabra</t>
        </is>
      </c>
    </row>
    <row r="33">
      <c r="A33" s="7" t="n">
        <v>7</v>
      </c>
      <c r="B33" s="8" t="inlineStr">
        <is>
          <t>Cajeta Envinada con Nuez</t>
        </is>
      </c>
      <c r="C33" s="8" t="inlineStr">
        <is>
          <t>Azúcar refinada</t>
        </is>
      </c>
      <c r="D33" s="8" t="n">
        <v>450</v>
      </c>
      <c r="E33" s="7" t="inlineStr">
        <is>
          <t>g</t>
        </is>
      </c>
      <c r="F33" s="12">
        <f>IFERROR(VLOOKUP(C33,Insumos!$B$5:$F$81,5,FALSE),0)</f>
        <v/>
      </c>
      <c r="G33" s="13">
        <f>D33*F33</f>
        <v/>
      </c>
      <c r="H33" s="7" t="inlineStr">
        <is>
          <t>450 g de azúcar</t>
        </is>
      </c>
    </row>
    <row r="34">
      <c r="A34" s="7" t="n">
        <v>7</v>
      </c>
      <c r="B34" s="8" t="inlineStr">
        <is>
          <t>Cajeta Envinada con Nuez</t>
        </is>
      </c>
      <c r="C34" s="8" t="inlineStr">
        <is>
          <t>Vino jerez dulce</t>
        </is>
      </c>
      <c r="D34" s="8" t="n">
        <v>60</v>
      </c>
      <c r="E34" s="7" t="inlineStr">
        <is>
          <t>ml</t>
        </is>
      </c>
      <c r="F34" s="12">
        <f>IFERROR(VLOOKUP(C34,Insumos!$B$5:$F$81,5,FALSE),0)</f>
        <v/>
      </c>
      <c r="G34" s="13">
        <f>D34*F34</f>
        <v/>
      </c>
      <c r="H34" s="7" t="inlineStr">
        <is>
          <t>1/4 taza de vino Jerez dulce</t>
        </is>
      </c>
    </row>
    <row r="35">
      <c r="A35" s="7" t="n">
        <v>7</v>
      </c>
      <c r="B35" s="8" t="inlineStr">
        <is>
          <t>Cajeta Envinada con Nuez</t>
        </is>
      </c>
      <c r="C35" s="8" t="inlineStr">
        <is>
          <t>Nuez de Castilla</t>
        </is>
      </c>
      <c r="D35" s="8" t="n">
        <v>115</v>
      </c>
      <c r="E35" s="7" t="inlineStr">
        <is>
          <t>g</t>
        </is>
      </c>
      <c r="F35" s="12">
        <f>IFERROR(VLOOKUP(C35,Insumos!$B$5:$F$81,5,FALSE),0)</f>
        <v/>
      </c>
      <c r="G35" s="13">
        <f>D35*F35</f>
        <v/>
      </c>
      <c r="H35" s="7" t="inlineStr">
        <is>
          <t>1 taza de nueces picadas</t>
        </is>
      </c>
    </row>
    <row r="36">
      <c r="A36" s="7" t="n">
        <v>8</v>
      </c>
      <c r="B36" s="8" t="inlineStr">
        <is>
          <t>Dulce de Jamoncillo Tapado con Nueces</t>
        </is>
      </c>
      <c r="C36" s="8" t="inlineStr">
        <is>
          <t>Leche entera</t>
        </is>
      </c>
      <c r="D36" s="8" t="n">
        <v>1000</v>
      </c>
      <c r="E36" s="7" t="inlineStr">
        <is>
          <t>ml</t>
        </is>
      </c>
      <c r="F36" s="12">
        <f>IFERROR(VLOOKUP(C36,Insumos!$B$5:$F$81,5,FALSE),0)</f>
        <v/>
      </c>
      <c r="G36" s="13">
        <f>D36*F36</f>
        <v/>
      </c>
      <c r="H36" s="7" t="inlineStr">
        <is>
          <t>1 litro de leche</t>
        </is>
      </c>
    </row>
    <row r="37">
      <c r="A37" s="7" t="n">
        <v>8</v>
      </c>
      <c r="B37" s="8" t="inlineStr">
        <is>
          <t>Dulce de Jamoncillo Tapado con Nueces</t>
        </is>
      </c>
      <c r="C37" s="8" t="inlineStr">
        <is>
          <t>Azúcar refinada</t>
        </is>
      </c>
      <c r="D37" s="8" t="n">
        <v>500</v>
      </c>
      <c r="E37" s="7" t="inlineStr">
        <is>
          <t>g</t>
        </is>
      </c>
      <c r="F37" s="12">
        <f>IFERROR(VLOOKUP(C37,Insumos!$B$5:$F$81,5,FALSE),0)</f>
        <v/>
      </c>
      <c r="G37" s="13">
        <f>D37*F37</f>
        <v/>
      </c>
      <c r="H37" s="7" t="inlineStr">
        <is>
          <t>500 g de azúcar</t>
        </is>
      </c>
    </row>
    <row r="38">
      <c r="A38" s="7" t="n">
        <v>8</v>
      </c>
      <c r="B38" s="8" t="inlineStr">
        <is>
          <t>Dulce de Jamoncillo Tapado con Nueces</t>
        </is>
      </c>
      <c r="C38" s="8" t="inlineStr">
        <is>
          <t>Nuez de Castilla</t>
        </is>
      </c>
      <c r="D38" s="8" t="n">
        <v>115</v>
      </c>
      <c r="E38" s="7" t="inlineStr">
        <is>
          <t>g</t>
        </is>
      </c>
      <c r="F38" s="12">
        <f>IFERROR(VLOOKUP(C38,Insumos!$B$5:$F$81,5,FALSE),0)</f>
        <v/>
      </c>
      <c r="G38" s="13">
        <f>D38*F38</f>
        <v/>
      </c>
      <c r="H38" s="7" t="inlineStr">
        <is>
          <t>1 taza de nueces enteras</t>
        </is>
      </c>
    </row>
    <row r="39">
      <c r="A39" s="7" t="n">
        <v>8</v>
      </c>
      <c r="B39" s="8" t="inlineStr">
        <is>
          <t>Dulce de Jamoncillo Tapado con Nueces</t>
        </is>
      </c>
      <c r="C39" s="8" t="inlineStr">
        <is>
          <t>Canela en polvo</t>
        </is>
      </c>
      <c r="D39" s="8" t="n">
        <v>1.56</v>
      </c>
      <c r="E39" s="7" t="inlineStr">
        <is>
          <t>g</t>
        </is>
      </c>
      <c r="F39" s="12">
        <f>IFERROR(VLOOKUP(C39,Insumos!$B$5:$F$81,5,FALSE),0)</f>
        <v/>
      </c>
      <c r="G39" s="13">
        <f>D39*F39</f>
        <v/>
      </c>
      <c r="H39" s="7" t="inlineStr">
        <is>
          <t>1/2 cucharadita de canela en polvo</t>
        </is>
      </c>
    </row>
    <row r="40">
      <c r="A40" s="7" t="n">
        <v>9</v>
      </c>
      <c r="B40" s="8" t="inlineStr">
        <is>
          <t>Mostachones de Leche Condensada</t>
        </is>
      </c>
      <c r="C40" s="8" t="inlineStr">
        <is>
          <t>Leche condensada</t>
        </is>
      </c>
      <c r="D40" s="8" t="n">
        <v>387</v>
      </c>
      <c r="E40" s="7" t="inlineStr">
        <is>
          <t>g</t>
        </is>
      </c>
      <c r="F40" s="12">
        <f>IFERROR(VLOOKUP(C40,Insumos!$B$5:$F$81,5,FALSE),0)</f>
        <v/>
      </c>
      <c r="G40" s="13">
        <f>D40*F40</f>
        <v/>
      </c>
      <c r="H40" s="7" t="inlineStr">
        <is>
          <t>1 lata de leche condensada</t>
        </is>
      </c>
    </row>
    <row r="41">
      <c r="A41" s="7" t="n">
        <v>9</v>
      </c>
      <c r="B41" s="8" t="inlineStr">
        <is>
          <t>Mostachones de Leche Condensada</t>
        </is>
      </c>
      <c r="C41" s="8" t="inlineStr">
        <is>
          <t>Mantequilla sin sal</t>
        </is>
      </c>
      <c r="D41" s="8" t="n">
        <v>28.38</v>
      </c>
      <c r="E41" s="7" t="inlineStr">
        <is>
          <t>g</t>
        </is>
      </c>
      <c r="F41" s="12">
        <f>IFERROR(VLOOKUP(C41,Insumos!$B$5:$F$81,5,FALSE),0)</f>
        <v/>
      </c>
      <c r="G41" s="13">
        <f>D41*F41</f>
        <v/>
      </c>
      <c r="H41" s="7" t="inlineStr">
        <is>
          <t>2 cucharadas de mantequilla</t>
        </is>
      </c>
    </row>
    <row r="42">
      <c r="A42" s="7" t="n">
        <v>9</v>
      </c>
      <c r="B42" s="8" t="inlineStr">
        <is>
          <t>Mostachones de Leche Condensada</t>
        </is>
      </c>
      <c r="C42" s="8" t="inlineStr">
        <is>
          <t>Nuez de Castilla</t>
        </is>
      </c>
      <c r="D42" s="8" t="n">
        <v>115</v>
      </c>
      <c r="E42" s="7" t="inlineStr">
        <is>
          <t>g</t>
        </is>
      </c>
      <c r="F42" s="12">
        <f>IFERROR(VLOOKUP(C42,Insumos!$B$5:$F$81,5,FALSE),0)</f>
        <v/>
      </c>
      <c r="G42" s="13">
        <f>D42*F42</f>
        <v/>
      </c>
      <c r="H42" s="7" t="inlineStr">
        <is>
          <t>1 taza de nuez picada fina</t>
        </is>
      </c>
    </row>
    <row r="43">
      <c r="A43" s="7" t="n">
        <v>9</v>
      </c>
      <c r="B43" s="8" t="inlineStr">
        <is>
          <t>Mostachones de Leche Condensada</t>
        </is>
      </c>
      <c r="C43" s="8" t="inlineStr">
        <is>
          <t>Galleta María</t>
        </is>
      </c>
      <c r="D43" s="8" t="n">
        <v>80</v>
      </c>
      <c r="E43" s="7" t="inlineStr">
        <is>
          <t>g</t>
        </is>
      </c>
      <c r="F43" s="12">
        <f>IFERROR(VLOOKUP(C43,Insumos!$B$5:$F$81,5,FALSE),0)</f>
        <v/>
      </c>
      <c r="G43" s="13">
        <f>D43*F43</f>
        <v/>
      </c>
      <c r="H43" s="7" t="inlineStr">
        <is>
          <t>Galleta María molida (lo necesario para dar consistencia)</t>
        </is>
      </c>
    </row>
    <row r="44">
      <c r="A44" s="7" t="n">
        <v>10</v>
      </c>
      <c r="B44" s="8" t="inlineStr">
        <is>
          <t>Pastillas de Leche Quemada Tradicionales</t>
        </is>
      </c>
      <c r="C44" s="8" t="inlineStr">
        <is>
          <t>Leche entera</t>
        </is>
      </c>
      <c r="D44" s="8" t="n">
        <v>1000</v>
      </c>
      <c r="E44" s="7" t="inlineStr">
        <is>
          <t>ml</t>
        </is>
      </c>
      <c r="F44" s="12">
        <f>IFERROR(VLOOKUP(C44,Insumos!$B$5:$F$81,5,FALSE),0)</f>
        <v/>
      </c>
      <c r="G44" s="13">
        <f>D44*F44</f>
        <v/>
      </c>
      <c r="H44" s="7" t="inlineStr">
        <is>
          <t>1 litro de leche</t>
        </is>
      </c>
    </row>
    <row r="45">
      <c r="A45" s="7" t="n">
        <v>10</v>
      </c>
      <c r="B45" s="8" t="inlineStr">
        <is>
          <t>Pastillas de Leche Quemada Tradicionales</t>
        </is>
      </c>
      <c r="C45" s="8" t="inlineStr">
        <is>
          <t>Azúcar refinada</t>
        </is>
      </c>
      <c r="D45" s="8" t="n">
        <v>450</v>
      </c>
      <c r="E45" s="7" t="inlineStr">
        <is>
          <t>g</t>
        </is>
      </c>
      <c r="F45" s="12">
        <f>IFERROR(VLOOKUP(C45,Insumos!$B$5:$F$81,5,FALSE),0)</f>
        <v/>
      </c>
      <c r="G45" s="13">
        <f>D45*F45</f>
        <v/>
      </c>
      <c r="H45" s="7" t="inlineStr">
        <is>
          <t>450 g de azúcar refinada</t>
        </is>
      </c>
    </row>
    <row r="46">
      <c r="A46" s="7" t="n">
        <v>10</v>
      </c>
      <c r="B46" s="8" t="inlineStr">
        <is>
          <t>Pastillas de Leche Quemada Tradicionales</t>
        </is>
      </c>
      <c r="C46" s="8" t="inlineStr">
        <is>
          <t>Esencia de vainilla</t>
        </is>
      </c>
      <c r="D46" s="8" t="n">
        <v>5</v>
      </c>
      <c r="E46" s="7" t="inlineStr">
        <is>
          <t>ml</t>
        </is>
      </c>
      <c r="F46" s="12">
        <f>IFERROR(VLOOKUP(C46,Insumos!$B$5:$F$81,5,FALSE),0)</f>
        <v/>
      </c>
      <c r="G46" s="13">
        <f>D46*F46</f>
        <v/>
      </c>
      <c r="H46" s="7" t="inlineStr">
        <is>
          <t>1 cucharadita de vainilla</t>
        </is>
      </c>
    </row>
    <row r="47">
      <c r="A47" s="7" t="n">
        <v>11</v>
      </c>
      <c r="B47" s="8" t="inlineStr">
        <is>
          <t>Cocadas Horneadas Doraditas</t>
        </is>
      </c>
      <c r="C47" s="8" t="inlineStr">
        <is>
          <t>Coco rallado deshidratado</t>
        </is>
      </c>
      <c r="D47" s="8" t="n">
        <v>240</v>
      </c>
      <c r="E47" s="7" t="inlineStr">
        <is>
          <t>g</t>
        </is>
      </c>
      <c r="F47" s="12">
        <f>IFERROR(VLOOKUP(C47,Insumos!$B$5:$F$81,5,FALSE),0)</f>
        <v/>
      </c>
      <c r="G47" s="13">
        <f>D47*F47</f>
        <v/>
      </c>
      <c r="H47" s="7" t="inlineStr">
        <is>
          <t>3 tazas de coco rallado deshidratado (o fresco rallado)</t>
        </is>
      </c>
    </row>
    <row r="48">
      <c r="A48" s="7" t="n">
        <v>11</v>
      </c>
      <c r="B48" s="8" t="inlineStr">
        <is>
          <t>Cocadas Horneadas Doraditas</t>
        </is>
      </c>
      <c r="C48" s="8" t="inlineStr">
        <is>
          <t>Leche condensada</t>
        </is>
      </c>
      <c r="D48" s="8" t="n">
        <v>387</v>
      </c>
      <c r="E48" s="7" t="inlineStr">
        <is>
          <t>g</t>
        </is>
      </c>
      <c r="F48" s="12">
        <f>IFERROR(VLOOKUP(C48,Insumos!$B$5:$F$81,5,FALSE),0)</f>
        <v/>
      </c>
      <c r="G48" s="13">
        <f>D48*F48</f>
        <v/>
      </c>
      <c r="H48" s="7" t="inlineStr">
        <is>
          <t>1 lata de leche condensada</t>
        </is>
      </c>
    </row>
    <row r="49">
      <c r="A49" s="7" t="n">
        <v>11</v>
      </c>
      <c r="B49" s="8" t="inlineStr">
        <is>
          <t>Cocadas Horneadas Doraditas</t>
        </is>
      </c>
      <c r="C49" s="8" t="inlineStr">
        <is>
          <t>Huevo</t>
        </is>
      </c>
      <c r="D49" s="8" t="n">
        <v>2</v>
      </c>
      <c r="E49" s="7" t="inlineStr">
        <is>
          <t>pza</t>
        </is>
      </c>
      <c r="F49" s="12">
        <f>IFERROR(VLOOKUP(C49,Insumos!$B$5:$F$81,5,FALSE),0)</f>
        <v/>
      </c>
      <c r="G49" s="13">
        <f>D49*F49</f>
        <v/>
      </c>
      <c r="H49" s="7" t="inlineStr">
        <is>
          <t>2 yemas de huevo</t>
        </is>
      </c>
    </row>
    <row r="50">
      <c r="A50" s="7" t="n">
        <v>11</v>
      </c>
      <c r="B50" s="8" t="inlineStr">
        <is>
          <t>Cocadas Horneadas Doraditas</t>
        </is>
      </c>
      <c r="C50" s="8" t="inlineStr">
        <is>
          <t>Esencia de vainilla</t>
        </is>
      </c>
      <c r="D50" s="8" t="n">
        <v>5</v>
      </c>
      <c r="E50" s="7" t="inlineStr">
        <is>
          <t>ml</t>
        </is>
      </c>
      <c r="F50" s="12">
        <f>IFERROR(VLOOKUP(C50,Insumos!$B$5:$F$81,5,FALSE),0)</f>
        <v/>
      </c>
      <c r="G50" s="13">
        <f>D50*F50</f>
        <v/>
      </c>
      <c r="H50" s="7" t="inlineStr">
        <is>
          <t>1 cucharadita de esencia de vainilla</t>
        </is>
      </c>
    </row>
    <row r="51">
      <c r="A51" s="7" t="n">
        <v>11</v>
      </c>
      <c r="B51" s="8" t="inlineStr">
        <is>
          <t>Cocadas Horneadas Doraditas</t>
        </is>
      </c>
      <c r="C51" s="8" t="inlineStr">
        <is>
          <t>Colorante vegetal</t>
        </is>
      </c>
      <c r="D51" s="8" t="n">
        <v>3</v>
      </c>
      <c r="E51" s="7" t="inlineStr">
        <is>
          <t>ml</t>
        </is>
      </c>
      <c r="F51" s="12">
        <f>IFERROR(VLOOKUP(C51,Insumos!$B$5:$F$81,5,FALSE),0)</f>
        <v/>
      </c>
      <c r="G51" s="13">
        <f>D51*F51</f>
        <v/>
      </c>
      <c r="H51" s="7" t="inlineStr">
        <is>
          <t>Colorante vegetal rojo (opcional para el centro)</t>
        </is>
      </c>
    </row>
    <row r="52">
      <c r="A52" s="7" t="n">
        <v>12</v>
      </c>
      <c r="B52" s="8" t="inlineStr">
        <is>
          <t>Jamoncillo de Coco con Piña</t>
        </is>
      </c>
      <c r="C52" s="8" t="inlineStr">
        <is>
          <t>Coco rallado deshidratado</t>
        </is>
      </c>
      <c r="D52" s="8" t="n">
        <v>160</v>
      </c>
      <c r="E52" s="7" t="inlineStr">
        <is>
          <t>g</t>
        </is>
      </c>
      <c r="F52" s="12">
        <f>IFERROR(VLOOKUP(C52,Insumos!$B$5:$F$81,5,FALSE),0)</f>
        <v/>
      </c>
      <c r="G52" s="13">
        <f>D52*F52</f>
        <v/>
      </c>
      <c r="H52" s="7" t="inlineStr">
        <is>
          <t>2 tazas de coco rallado</t>
        </is>
      </c>
    </row>
    <row r="53">
      <c r="A53" s="7" t="n">
        <v>12</v>
      </c>
      <c r="B53" s="8" t="inlineStr">
        <is>
          <t>Jamoncillo de Coco con Piña</t>
        </is>
      </c>
      <c r="C53" s="8" t="inlineStr">
        <is>
          <t>Piña</t>
        </is>
      </c>
      <c r="D53" s="8" t="n">
        <v>165</v>
      </c>
      <c r="E53" s="7" t="inlineStr">
        <is>
          <t>g</t>
        </is>
      </c>
      <c r="F53" s="12">
        <f>IFERROR(VLOOKUP(C53,Insumos!$B$5:$F$81,5,FALSE),0)</f>
        <v/>
      </c>
      <c r="G53" s="13">
        <f>D53*F53</f>
        <v/>
      </c>
      <c r="H53" s="7" t="inlineStr">
        <is>
          <t>1 taza de piña natural picada finamente en almíbar</t>
        </is>
      </c>
    </row>
    <row r="54">
      <c r="A54" s="7" t="n">
        <v>12</v>
      </c>
      <c r="B54" s="8" t="inlineStr">
        <is>
          <t>Jamoncillo de Coco con Piña</t>
        </is>
      </c>
      <c r="C54" s="8" t="inlineStr">
        <is>
          <t>Azúcar refinada</t>
        </is>
      </c>
      <c r="D54" s="8" t="n">
        <v>400</v>
      </c>
      <c r="E54" s="7" t="inlineStr">
        <is>
          <t>g</t>
        </is>
      </c>
      <c r="F54" s="12">
        <f>IFERROR(VLOOKUP(C54,Insumos!$B$5:$F$81,5,FALSE),0)</f>
        <v/>
      </c>
      <c r="G54" s="13">
        <f>D54*F54</f>
        <v/>
      </c>
      <c r="H54" s="7" t="inlineStr">
        <is>
          <t>2 tazas de azúcar</t>
        </is>
      </c>
    </row>
    <row r="55">
      <c r="A55" s="7" t="n">
        <v>12</v>
      </c>
      <c r="B55" s="8" t="inlineStr">
        <is>
          <t>Jamoncillo de Coco con Piña</t>
        </is>
      </c>
      <c r="C55" s="8" t="inlineStr">
        <is>
          <t>Leche entera</t>
        </is>
      </c>
      <c r="D55" s="8" t="n">
        <v>240</v>
      </c>
      <c r="E55" s="7" t="inlineStr">
        <is>
          <t>ml</t>
        </is>
      </c>
      <c r="F55" s="12">
        <f>IFERROR(VLOOKUP(C55,Insumos!$B$5:$F$81,5,FALSE),0)</f>
        <v/>
      </c>
      <c r="G55" s="13">
        <f>D55*F55</f>
        <v/>
      </c>
      <c r="H55" s="7" t="inlineStr">
        <is>
          <t>1 taza de leche</t>
        </is>
      </c>
    </row>
    <row r="56">
      <c r="A56" s="7" t="n">
        <v>13</v>
      </c>
      <c r="B56" s="8" t="inlineStr">
        <is>
          <t>Conserva de Chilacayote con Piloncillo</t>
        </is>
      </c>
      <c r="C56" s="8" t="inlineStr">
        <is>
          <t>Chilacayote</t>
        </is>
      </c>
      <c r="D56" s="8" t="n">
        <v>2500</v>
      </c>
      <c r="E56" s="7" t="inlineStr">
        <is>
          <t>g</t>
        </is>
      </c>
      <c r="F56" s="12">
        <f>IFERROR(VLOOKUP(C56,Insumos!$B$5:$F$81,5,FALSE),0)</f>
        <v/>
      </c>
      <c r="G56" s="13">
        <f>D56*F56</f>
        <v/>
      </c>
      <c r="H56" s="7" t="inlineStr">
        <is>
          <t>1 chilacayote tierno mediano</t>
        </is>
      </c>
    </row>
    <row r="57">
      <c r="A57" s="7" t="n">
        <v>13</v>
      </c>
      <c r="B57" s="8" t="inlineStr">
        <is>
          <t>Conserva de Chilacayote con Piloncillo</t>
        </is>
      </c>
      <c r="C57" s="8" t="inlineStr">
        <is>
          <t>Piloncillo</t>
        </is>
      </c>
      <c r="D57" s="8" t="n">
        <v>1000</v>
      </c>
      <c r="E57" s="7" t="inlineStr">
        <is>
          <t>g</t>
        </is>
      </c>
      <c r="F57" s="12">
        <f>IFERROR(VLOOKUP(C57,Insumos!$B$5:$F$81,5,FALSE),0)</f>
        <v/>
      </c>
      <c r="G57" s="13">
        <f>D57*F57</f>
        <v/>
      </c>
      <c r="H57" s="7" t="inlineStr">
        <is>
          <t>1 kg de piloncillo en tarugos</t>
        </is>
      </c>
    </row>
    <row r="58">
      <c r="A58" s="7" t="n">
        <v>13</v>
      </c>
      <c r="B58" s="8" t="inlineStr">
        <is>
          <t>Conserva de Chilacayote con Piloncillo</t>
        </is>
      </c>
      <c r="C58" s="8" t="inlineStr">
        <is>
          <t>Canela en raja</t>
        </is>
      </c>
      <c r="D58" s="8" t="n">
        <v>3</v>
      </c>
      <c r="E58" s="7" t="inlineStr">
        <is>
          <t>g</t>
        </is>
      </c>
      <c r="F58" s="12">
        <f>IFERROR(VLOOKUP(C58,Insumos!$B$5:$F$81,5,FALSE),0)</f>
        <v/>
      </c>
      <c r="G58" s="13">
        <f>D58*F58</f>
        <v/>
      </c>
      <c r="H58" s="7" t="inlineStr">
        <is>
          <t>1 rajita de canela</t>
        </is>
      </c>
    </row>
    <row r="59">
      <c r="A59" s="7" t="n">
        <v>13</v>
      </c>
      <c r="B59" s="8" t="inlineStr">
        <is>
          <t>Conserva de Chilacayote con Piloncillo</t>
        </is>
      </c>
      <c r="C59" s="8" t="inlineStr">
        <is>
          <t>Clavo de olor</t>
        </is>
      </c>
      <c r="D59" s="8" t="n">
        <v>2</v>
      </c>
      <c r="E59" s="7" t="inlineStr">
        <is>
          <t>g</t>
        </is>
      </c>
      <c r="F59" s="12">
        <f>IFERROR(VLOOKUP(C59,Insumos!$B$5:$F$81,5,FALSE),0)</f>
        <v/>
      </c>
      <c r="G59" s="13">
        <f>D59*F59</f>
        <v/>
      </c>
      <c r="H59" s="7" t="inlineStr">
        <is>
          <t>Clavos de olor</t>
        </is>
      </c>
    </row>
    <row r="60">
      <c r="A60" s="7" t="n">
        <v>14</v>
      </c>
      <c r="B60" s="8" t="inlineStr">
        <is>
          <t>Dulce de Mango enmielado (Machacado)</t>
        </is>
      </c>
      <c r="C60" s="8" t="inlineStr">
        <is>
          <t>Mango (pulpa)</t>
        </is>
      </c>
      <c r="D60" s="8" t="n">
        <v>1000</v>
      </c>
      <c r="E60" s="7" t="inlineStr">
        <is>
          <t>g</t>
        </is>
      </c>
      <c r="F60" s="12">
        <f>IFERROR(VLOOKUP(C60,Insumos!$B$5:$F$81,5,FALSE),0)</f>
        <v/>
      </c>
      <c r="G60" s="13">
        <f>D60*F60</f>
        <v/>
      </c>
      <c r="H60" s="7" t="inlineStr">
        <is>
          <t>1 kg de pulpa de mango maduro (tipo Manila)</t>
        </is>
      </c>
    </row>
    <row r="61">
      <c r="A61" s="7" t="n">
        <v>14</v>
      </c>
      <c r="B61" s="8" t="inlineStr">
        <is>
          <t>Dulce de Mango enmielado (Machacado)</t>
        </is>
      </c>
      <c r="C61" s="8" t="inlineStr">
        <is>
          <t>Azúcar refinada</t>
        </is>
      </c>
      <c r="D61" s="8" t="n">
        <v>600</v>
      </c>
      <c r="E61" s="7" t="inlineStr">
        <is>
          <t>g</t>
        </is>
      </c>
      <c r="F61" s="12">
        <f>IFERROR(VLOOKUP(C61,Insumos!$B$5:$F$81,5,FALSE),0)</f>
        <v/>
      </c>
      <c r="G61" s="13">
        <f>D61*F61</f>
        <v/>
      </c>
      <c r="H61" s="7" t="inlineStr">
        <is>
          <t>600 g de azúcar</t>
        </is>
      </c>
    </row>
    <row r="62">
      <c r="A62" s="7" t="n">
        <v>14</v>
      </c>
      <c r="B62" s="8" t="inlineStr">
        <is>
          <t>Dulce de Mango enmielado (Machacado)</t>
        </is>
      </c>
      <c r="C62" s="8" t="inlineStr">
        <is>
          <t>Limón</t>
        </is>
      </c>
      <c r="D62" s="8" t="n">
        <v>40</v>
      </c>
      <c r="E62" s="7" t="inlineStr">
        <is>
          <t>g</t>
        </is>
      </c>
      <c r="F62" s="12">
        <f>IFERROR(VLOOKUP(C62,Insumos!$B$5:$F$81,5,FALSE),0)</f>
        <v/>
      </c>
      <c r="G62" s="13">
        <f>D62*F62</f>
        <v/>
      </c>
      <c r="H62" s="7" t="inlineStr">
        <is>
          <t>Jugo de medio limón</t>
        </is>
      </c>
    </row>
    <row r="63">
      <c r="A63" s="7" t="n">
        <v>15</v>
      </c>
      <c r="B63" s="8" t="inlineStr">
        <is>
          <t>Ate de Membrillo Tradicional</t>
        </is>
      </c>
      <c r="C63" s="8" t="inlineStr">
        <is>
          <t>Membrillo</t>
        </is>
      </c>
      <c r="D63" s="8" t="n">
        <v>1000</v>
      </c>
      <c r="E63" s="7" t="inlineStr">
        <is>
          <t>g</t>
        </is>
      </c>
      <c r="F63" s="12">
        <f>IFERROR(VLOOKUP(C63,Insumos!$B$5:$F$81,5,FALSE),0)</f>
        <v/>
      </c>
      <c r="G63" s="13">
        <f>D63*F63</f>
        <v/>
      </c>
      <c r="H63" s="7" t="inlineStr">
        <is>
          <t>1 kg de membrillos maduros limpios y sin centro</t>
        </is>
      </c>
    </row>
    <row r="64">
      <c r="A64" s="7" t="n">
        <v>15</v>
      </c>
      <c r="B64" s="8" t="inlineStr">
        <is>
          <t>Ate de Membrillo Tradicional</t>
        </is>
      </c>
      <c r="C64" s="8" t="inlineStr">
        <is>
          <t>Azúcar refinada</t>
        </is>
      </c>
      <c r="D64" s="8" t="n">
        <v>800</v>
      </c>
      <c r="E64" s="7" t="inlineStr">
        <is>
          <t>g</t>
        </is>
      </c>
      <c r="F64" s="12">
        <f>IFERROR(VLOOKUP(C64,Insumos!$B$5:$F$81,5,FALSE),0)</f>
        <v/>
      </c>
      <c r="G64" s="13">
        <f>D64*F64</f>
        <v/>
      </c>
      <c r="H64" s="7" t="inlineStr">
        <is>
          <t>800 g de azúcar refinada</t>
        </is>
      </c>
    </row>
    <row r="65">
      <c r="A65" s="7" t="n">
        <v>15</v>
      </c>
      <c r="B65" s="8" t="inlineStr">
        <is>
          <t>Ate de Membrillo Tradicional</t>
        </is>
      </c>
      <c r="C65" s="8" t="inlineStr">
        <is>
          <t>Limón</t>
        </is>
      </c>
      <c r="D65" s="8" t="n">
        <v>40</v>
      </c>
      <c r="E65" s="7" t="inlineStr">
        <is>
          <t>g</t>
        </is>
      </c>
      <c r="F65" s="12">
        <f>IFERROR(VLOOKUP(C65,Insumos!$B$5:$F$81,5,FALSE),0)</f>
        <v/>
      </c>
      <c r="G65" s="13">
        <f>D65*F65</f>
        <v/>
      </c>
      <c r="H65" s="7" t="inlineStr">
        <is>
          <t>Jugo de un limón</t>
        </is>
      </c>
    </row>
    <row r="66">
      <c r="A66" s="7" t="n">
        <v>16</v>
      </c>
      <c r="B66" s="8" t="inlineStr">
        <is>
          <t>Bocaditos de Coco y Limón</t>
        </is>
      </c>
      <c r="C66" s="8" t="inlineStr">
        <is>
          <t>Coco rallado deshidratado</t>
        </is>
      </c>
      <c r="D66" s="8" t="n">
        <v>160</v>
      </c>
      <c r="E66" s="7" t="inlineStr">
        <is>
          <t>g</t>
        </is>
      </c>
      <c r="F66" s="12">
        <f>IFERROR(VLOOKUP(C66,Insumos!$B$5:$F$81,5,FALSE),0)</f>
        <v/>
      </c>
      <c r="G66" s="13">
        <f>D66*F66</f>
        <v/>
      </c>
      <c r="H66" s="7" t="inlineStr">
        <is>
          <t>2 tazas de coco rallado</t>
        </is>
      </c>
    </row>
    <row r="67">
      <c r="A67" s="7" t="n">
        <v>16</v>
      </c>
      <c r="B67" s="8" t="inlineStr">
        <is>
          <t>Bocaditos de Coco y Limón</t>
        </is>
      </c>
      <c r="C67" s="8" t="inlineStr">
        <is>
          <t>Leche condensada</t>
        </is>
      </c>
      <c r="D67" s="8" t="n">
        <v>387</v>
      </c>
      <c r="E67" s="7" t="inlineStr">
        <is>
          <t>g</t>
        </is>
      </c>
      <c r="F67" s="12">
        <f>IFERROR(VLOOKUP(C67,Insumos!$B$5:$F$81,5,FALSE),0)</f>
        <v/>
      </c>
      <c r="G67" s="13">
        <f>D67*F67</f>
        <v/>
      </c>
      <c r="H67" s="7" t="inlineStr">
        <is>
          <t>1 lata de leche condensada</t>
        </is>
      </c>
    </row>
    <row r="68">
      <c r="A68" s="7" t="n">
        <v>16</v>
      </c>
      <c r="B68" s="8" t="inlineStr">
        <is>
          <t>Bocaditos de Coco y Limón</t>
        </is>
      </c>
      <c r="C68" s="8" t="inlineStr">
        <is>
          <t>Limón</t>
        </is>
      </c>
      <c r="D68" s="8" t="n">
        <v>40</v>
      </c>
      <c r="E68" s="7" t="inlineStr">
        <is>
          <t>g</t>
        </is>
      </c>
      <c r="F68" s="12">
        <f>IFERROR(VLOOKUP(C68,Insumos!$B$5:$F$81,5,FALSE),0)</f>
        <v/>
      </c>
      <c r="G68" s="13">
        <f>D68*F68</f>
        <v/>
      </c>
      <c r="H68" s="7" t="inlineStr">
        <is>
          <t>Ralladura de 2 limones limpios</t>
        </is>
      </c>
    </row>
    <row r="69">
      <c r="A69" s="7" t="n">
        <v>16</v>
      </c>
      <c r="B69" s="8" t="inlineStr">
        <is>
          <t>Bocaditos de Coco y Limón</t>
        </is>
      </c>
      <c r="C69" s="8" t="inlineStr">
        <is>
          <t>Colorante vegetal</t>
        </is>
      </c>
      <c r="D69" s="8" t="n">
        <v>0.1</v>
      </c>
      <c r="E69" s="7" t="inlineStr">
        <is>
          <t>ml</t>
        </is>
      </c>
      <c r="F69" s="12">
        <f>IFERROR(VLOOKUP(C69,Insumos!$B$5:$F$81,5,FALSE),0)</f>
        <v/>
      </c>
      <c r="G69" s="13">
        <f>D69*F69</f>
        <v/>
      </c>
      <c r="H69" s="7" t="inlineStr">
        <is>
          <t>2 gotas de colorante vegetal verde</t>
        </is>
      </c>
    </row>
    <row r="70">
      <c r="A70" s="7" t="n">
        <v>17</v>
      </c>
      <c r="B70" s="8" t="inlineStr">
        <is>
          <t>Calabaza en Tacha (Dulce de Día de Muertos)</t>
        </is>
      </c>
      <c r="C70" s="8" t="inlineStr">
        <is>
          <t>Calabaza de castilla</t>
        </is>
      </c>
      <c r="D70" s="8" t="n">
        <v>3000</v>
      </c>
      <c r="E70" s="7" t="inlineStr">
        <is>
          <t>g</t>
        </is>
      </c>
      <c r="F70" s="12">
        <f>IFERROR(VLOOKUP(C70,Insumos!$B$5:$F$81,5,FALSE),0)</f>
        <v/>
      </c>
      <c r="G70" s="13">
        <f>D70*F70</f>
        <v/>
      </c>
      <c r="H70" s="7" t="inlineStr">
        <is>
          <t>1 calabaza de castilla mediana en trozos con todo y semilla</t>
        </is>
      </c>
    </row>
    <row r="71">
      <c r="A71" s="7" t="n">
        <v>17</v>
      </c>
      <c r="B71" s="8" t="inlineStr">
        <is>
          <t>Calabaza en Tacha (Dulce de Día de Muertos)</t>
        </is>
      </c>
      <c r="C71" s="8" t="inlineStr">
        <is>
          <t>Piloncillo</t>
        </is>
      </c>
      <c r="D71" s="8" t="n">
        <v>1000</v>
      </c>
      <c r="E71" s="7" t="inlineStr">
        <is>
          <t>g</t>
        </is>
      </c>
      <c r="F71" s="12">
        <f>IFERROR(VLOOKUP(C71,Insumos!$B$5:$F$81,5,FALSE),0)</f>
        <v/>
      </c>
      <c r="G71" s="13">
        <f>D71*F71</f>
        <v/>
      </c>
      <c r="H71" s="7" t="inlineStr">
        <is>
          <t>1 kg de piloncillo</t>
        </is>
      </c>
    </row>
    <row r="72">
      <c r="A72" s="7" t="n">
        <v>17</v>
      </c>
      <c r="B72" s="8" t="inlineStr">
        <is>
          <t>Calabaza en Tacha (Dulce de Día de Muertos)</t>
        </is>
      </c>
      <c r="C72" s="8" t="inlineStr">
        <is>
          <t>Canela en raja</t>
        </is>
      </c>
      <c r="D72" s="8" t="n">
        <v>6</v>
      </c>
      <c r="E72" s="7" t="inlineStr">
        <is>
          <t>g</t>
        </is>
      </c>
      <c r="F72" s="12">
        <f>IFERROR(VLOOKUP(C72,Insumos!$B$5:$F$81,5,FALSE),0)</f>
        <v/>
      </c>
      <c r="G72" s="13">
        <f>D72*F72</f>
        <v/>
      </c>
      <c r="H72" s="7" t="inlineStr">
        <is>
          <t>2 rajas de canela</t>
        </is>
      </c>
    </row>
    <row r="73">
      <c r="A73" s="7" t="n">
        <v>17</v>
      </c>
      <c r="B73" s="8" t="inlineStr">
        <is>
          <t>Calabaza en Tacha (Dulce de Día de Muertos)</t>
        </is>
      </c>
      <c r="C73" s="8" t="inlineStr">
        <is>
          <t>Clavo de olor</t>
        </is>
      </c>
      <c r="D73" s="8" t="n">
        <v>1.5</v>
      </c>
      <c r="E73" s="7" t="inlineStr">
        <is>
          <t>g</t>
        </is>
      </c>
      <c r="F73" s="12">
        <f>IFERROR(VLOOKUP(C73,Insumos!$B$5:$F$81,5,FALSE),0)</f>
        <v/>
      </c>
      <c r="G73" s="13">
        <f>D73*F73</f>
        <v/>
      </c>
      <c r="H73" s="7" t="inlineStr">
        <is>
          <t>3 clavos de olor y 2 estrellas de anís</t>
        </is>
      </c>
    </row>
    <row r="74">
      <c r="A74" s="7" t="n">
        <v>17</v>
      </c>
      <c r="B74" s="8" t="inlineStr">
        <is>
          <t>Calabaza en Tacha (Dulce de Día de Muertos)</t>
        </is>
      </c>
      <c r="C74" s="8" t="inlineStr">
        <is>
          <t>Anís estrella</t>
        </is>
      </c>
      <c r="D74" s="8" t="n">
        <v>2</v>
      </c>
      <c r="E74" s="7" t="inlineStr">
        <is>
          <t>g</t>
        </is>
      </c>
      <c r="F74" s="12">
        <f>IFERROR(VLOOKUP(C74,Insumos!$B$5:$F$81,5,FALSE),0)</f>
        <v/>
      </c>
      <c r="G74" s="13">
        <f>D74*F74</f>
        <v/>
      </c>
      <c r="H74" s="7" t="inlineStr">
        <is>
          <t>3 clavos de olor y 2 estrellas de anís</t>
        </is>
      </c>
    </row>
    <row r="75">
      <c r="A75" s="7" t="n">
        <v>17</v>
      </c>
      <c r="B75" s="8" t="inlineStr">
        <is>
          <t>Calabaza en Tacha (Dulce de Día de Muertos)</t>
        </is>
      </c>
      <c r="C75" s="8" t="inlineStr">
        <is>
          <t>Naranja</t>
        </is>
      </c>
      <c r="D75" s="8" t="n">
        <v>200</v>
      </c>
      <c r="E75" s="7" t="inlineStr">
        <is>
          <t>g</t>
        </is>
      </c>
      <c r="F75" s="12">
        <f>IFERROR(VLOOKUP(C75,Insumos!$B$5:$F$81,5,FALSE),0)</f>
        <v/>
      </c>
      <c r="G75" s="13">
        <f>D75*F75</f>
        <v/>
      </c>
      <c r="H75" s="7" t="inlineStr">
        <is>
          <t>1 naranja en rodajas</t>
        </is>
      </c>
    </row>
    <row r="76">
      <c r="A76" s="7" t="n">
        <v>18</v>
      </c>
      <c r="B76" s="8" t="inlineStr">
        <is>
          <t>Ate de Guayaba Artesanal</t>
        </is>
      </c>
      <c r="C76" s="8" t="inlineStr">
        <is>
          <t>Guayaba</t>
        </is>
      </c>
      <c r="D76" s="8" t="n">
        <v>1000</v>
      </c>
      <c r="E76" s="7" t="inlineStr">
        <is>
          <t>g</t>
        </is>
      </c>
      <c r="F76" s="12">
        <f>IFERROR(VLOOKUP(C76,Insumos!$B$5:$F$81,5,FALSE),0)</f>
        <v/>
      </c>
      <c r="G76" s="13">
        <f>D76*F76</f>
        <v/>
      </c>
      <c r="H76" s="7" t="inlineStr">
        <is>
          <t>1 kg de guayabas maduras y limpias</t>
        </is>
      </c>
    </row>
    <row r="77">
      <c r="A77" s="7" t="n">
        <v>18</v>
      </c>
      <c r="B77" s="8" t="inlineStr">
        <is>
          <t>Ate de Guayaba Artesanal</t>
        </is>
      </c>
      <c r="C77" s="8" t="inlineStr">
        <is>
          <t>Azúcar refinada</t>
        </is>
      </c>
      <c r="D77" s="8" t="n">
        <v>750</v>
      </c>
      <c r="E77" s="7" t="inlineStr">
        <is>
          <t>g</t>
        </is>
      </c>
      <c r="F77" s="12">
        <f>IFERROR(VLOOKUP(C77,Insumos!$B$5:$F$81,5,FALSE),0)</f>
        <v/>
      </c>
      <c r="G77" s="13">
        <f>D77*F77</f>
        <v/>
      </c>
      <c r="H77" s="7" t="inlineStr">
        <is>
          <t>750 g de azúcar</t>
        </is>
      </c>
    </row>
    <row r="78">
      <c r="A78" s="7" t="n">
        <v>18</v>
      </c>
      <c r="B78" s="8" t="inlineStr">
        <is>
          <t>Ate de Guayaba Artesanal</t>
        </is>
      </c>
      <c r="C78" s="8" t="inlineStr">
        <is>
          <t>Limón</t>
        </is>
      </c>
      <c r="D78" s="8" t="n">
        <v>40</v>
      </c>
      <c r="E78" s="7" t="inlineStr">
        <is>
          <t>g</t>
        </is>
      </c>
      <c r="F78" s="12">
        <f>IFERROR(VLOOKUP(C78,Insumos!$B$5:$F$81,5,FALSE),0)</f>
        <v/>
      </c>
      <c r="G78" s="13">
        <f>D78*F78</f>
        <v/>
      </c>
      <c r="H78" s="7" t="inlineStr">
        <is>
          <t>Jugo de medio limón</t>
        </is>
      </c>
    </row>
    <row r="79">
      <c r="A79" s="7" t="n">
        <v>19</v>
      </c>
      <c r="B79" s="8" t="inlineStr">
        <is>
          <t>Dulce de Tejocote en Almíbar</t>
        </is>
      </c>
      <c r="C79" s="8" t="inlineStr">
        <is>
          <t>Tejocote</t>
        </is>
      </c>
      <c r="D79" s="8" t="n">
        <v>1000</v>
      </c>
      <c r="E79" s="7" t="inlineStr">
        <is>
          <t>g</t>
        </is>
      </c>
      <c r="F79" s="12">
        <f>IFERROR(VLOOKUP(C79,Insumos!$B$5:$F$81,5,FALSE),0)</f>
        <v/>
      </c>
      <c r="G79" s="13">
        <f>D79*F79</f>
        <v/>
      </c>
      <c r="H79" s="7" t="inlineStr">
        <is>
          <t>1 kg de tejocotes firmes</t>
        </is>
      </c>
    </row>
    <row r="80">
      <c r="A80" s="7" t="n">
        <v>19</v>
      </c>
      <c r="B80" s="8" t="inlineStr">
        <is>
          <t>Dulce de Tejocote en Almíbar</t>
        </is>
      </c>
      <c r="C80" s="8" t="inlineStr">
        <is>
          <t>Piloncillo</t>
        </is>
      </c>
      <c r="D80" s="8" t="n">
        <v>600</v>
      </c>
      <c r="E80" s="7" t="inlineStr">
        <is>
          <t>g</t>
        </is>
      </c>
      <c r="F80" s="12">
        <f>IFERROR(VLOOKUP(C80,Insumos!$B$5:$F$81,5,FALSE),0)</f>
        <v/>
      </c>
      <c r="G80" s="13">
        <f>D80*F80</f>
        <v/>
      </c>
      <c r="H80" s="7" t="inlineStr">
        <is>
          <t>600 g de piloncillo</t>
        </is>
      </c>
    </row>
    <row r="81">
      <c r="A81" s="7" t="n">
        <v>19</v>
      </c>
      <c r="B81" s="8" t="inlineStr">
        <is>
          <t>Dulce de Tejocote en Almíbar</t>
        </is>
      </c>
      <c r="C81" s="8" t="inlineStr">
        <is>
          <t>Canela en raja</t>
        </is>
      </c>
      <c r="D81" s="8" t="n">
        <v>6</v>
      </c>
      <c r="E81" s="7" t="inlineStr">
        <is>
          <t>g</t>
        </is>
      </c>
      <c r="F81" s="12">
        <f>IFERROR(VLOOKUP(C81,Insumos!$B$5:$F$81,5,FALSE),0)</f>
        <v/>
      </c>
      <c r="G81" s="13">
        <f>D81*F81</f>
        <v/>
      </c>
      <c r="H81" s="7" t="inlineStr">
        <is>
          <t>2 rajas de canela</t>
        </is>
      </c>
    </row>
    <row r="82">
      <c r="A82" s="7" t="n">
        <v>19</v>
      </c>
      <c r="B82" s="8" t="inlineStr">
        <is>
          <t>Dulce de Tejocote en Almíbar</t>
        </is>
      </c>
      <c r="C82" s="8" t="inlineStr">
        <is>
          <t>Clavo de olor</t>
        </is>
      </c>
      <c r="D82" s="8" t="n">
        <v>1.5</v>
      </c>
      <c r="E82" s="7" t="inlineStr">
        <is>
          <t>g</t>
        </is>
      </c>
      <c r="F82" s="12">
        <f>IFERROR(VLOOKUP(C82,Insumos!$B$5:$F$81,5,FALSE),0)</f>
        <v/>
      </c>
      <c r="G82" s="13">
        <f>D82*F82</f>
        <v/>
      </c>
      <c r="H82" s="7" t="inlineStr">
        <is>
          <t>3 clavos de olor</t>
        </is>
      </c>
    </row>
    <row r="83">
      <c r="A83" s="7" t="n">
        <v>20</v>
      </c>
      <c r="B83" s="8" t="inlineStr">
        <is>
          <t>Cocadas Coloridas Tradicionales</t>
        </is>
      </c>
      <c r="C83" s="8" t="inlineStr">
        <is>
          <t>Coco rallado deshidratado</t>
        </is>
      </c>
      <c r="D83" s="8" t="n">
        <v>240</v>
      </c>
      <c r="E83" s="7" t="inlineStr">
        <is>
          <t>g</t>
        </is>
      </c>
      <c r="F83" s="12">
        <f>IFERROR(VLOOKUP(C83,Insumos!$B$5:$F$81,5,FALSE),0)</f>
        <v/>
      </c>
      <c r="G83" s="13">
        <f>D83*F83</f>
        <v/>
      </c>
      <c r="H83" s="7" t="inlineStr">
        <is>
          <t>3 tazas de coco rallado</t>
        </is>
      </c>
    </row>
    <row r="84">
      <c r="A84" s="7" t="n">
        <v>20</v>
      </c>
      <c r="B84" s="8" t="inlineStr">
        <is>
          <t>Cocadas Coloridas Tradicionales</t>
        </is>
      </c>
      <c r="C84" s="8" t="inlineStr">
        <is>
          <t>Leche condensada</t>
        </is>
      </c>
      <c r="D84" s="8" t="n">
        <v>387</v>
      </c>
      <c r="E84" s="7" t="inlineStr">
        <is>
          <t>g</t>
        </is>
      </c>
      <c r="F84" s="12">
        <f>IFERROR(VLOOKUP(C84,Insumos!$B$5:$F$81,5,FALSE),0)</f>
        <v/>
      </c>
      <c r="G84" s="13">
        <f>D84*F84</f>
        <v/>
      </c>
      <c r="H84" s="7" t="inlineStr">
        <is>
          <t>1 lata de leche condensada</t>
        </is>
      </c>
    </row>
    <row r="85">
      <c r="A85" s="7" t="n">
        <v>20</v>
      </c>
      <c r="B85" s="8" t="inlineStr">
        <is>
          <t>Cocadas Coloridas Tradicionales</t>
        </is>
      </c>
      <c r="C85" s="8" t="inlineStr">
        <is>
          <t>Colorante vegetal</t>
        </is>
      </c>
      <c r="D85" s="8" t="n">
        <v>3</v>
      </c>
      <c r="E85" s="7" t="inlineStr">
        <is>
          <t>ml</t>
        </is>
      </c>
      <c r="F85" s="12">
        <f>IFERROR(VLOOKUP(C85,Insumos!$B$5:$F$81,5,FALSE),0)</f>
        <v/>
      </c>
      <c r="G85" s="13">
        <f>D85*F85</f>
        <v/>
      </c>
      <c r="H85" s="7" t="inlineStr">
        <is>
          <t>Colorantes vegetales (rosa mexicano, amarillo y verde)</t>
        </is>
      </c>
    </row>
    <row r="86">
      <c r="A86" s="7" t="n">
        <v>20</v>
      </c>
      <c r="B86" s="8" t="inlineStr">
        <is>
          <t>Cocadas Coloridas Tradicionales</t>
        </is>
      </c>
      <c r="C86" s="8" t="inlineStr">
        <is>
          <t>Cereza en almíbar</t>
        </is>
      </c>
      <c r="D86" s="8" t="n">
        <v>40</v>
      </c>
      <c r="E86" s="7" t="inlineStr">
        <is>
          <t>g</t>
        </is>
      </c>
      <c r="F86" s="12">
        <f>IFERROR(VLOOKUP(C86,Insumos!$B$5:$F$81,5,FALSE),0)</f>
        <v/>
      </c>
      <c r="G86" s="13">
        <f>D86*F86</f>
        <v/>
      </c>
      <c r="H86" s="7" t="inlineStr">
        <is>
          <t>Cerezas en almíbar partidas para decorar</t>
        </is>
      </c>
    </row>
    <row r="87">
      <c r="A87" s="7" t="n">
        <v>21</v>
      </c>
      <c r="B87" s="8" t="inlineStr">
        <is>
          <t>Alegrías de Amaranto y Miel Tradicionales</t>
        </is>
      </c>
      <c r="C87" s="8" t="inlineStr">
        <is>
          <t>Amaranto tostado</t>
        </is>
      </c>
      <c r="D87" s="8" t="n">
        <v>150</v>
      </c>
      <c r="E87" s="7" t="inlineStr">
        <is>
          <t>g</t>
        </is>
      </c>
      <c r="F87" s="12">
        <f>IFERROR(VLOOKUP(C87,Insumos!$B$5:$F$81,5,FALSE),0)</f>
        <v/>
      </c>
      <c r="G87" s="13">
        <f>D87*F87</f>
        <v/>
      </c>
      <c r="H87" s="7" t="inlineStr">
        <is>
          <t>3 tazas de amaranto tostado natural</t>
        </is>
      </c>
    </row>
    <row r="88">
      <c r="A88" s="7" t="n">
        <v>21</v>
      </c>
      <c r="B88" s="8" t="inlineStr">
        <is>
          <t>Alegrías de Amaranto y Miel Tradicionales</t>
        </is>
      </c>
      <c r="C88" s="8" t="inlineStr">
        <is>
          <t>Miel de abeja</t>
        </is>
      </c>
      <c r="D88" s="8" t="n">
        <v>240</v>
      </c>
      <c r="E88" s="7" t="inlineStr">
        <is>
          <t>ml</t>
        </is>
      </c>
      <c r="F88" s="12">
        <f>IFERROR(VLOOKUP(C88,Insumos!$B$5:$F$81,5,FALSE),0)</f>
        <v/>
      </c>
      <c r="G88" s="13">
        <f>D88*F88</f>
        <v/>
      </c>
      <c r="H88" s="7" t="inlineStr">
        <is>
          <t>1 taza de miel de abeja (o melaza de piloncillo)</t>
        </is>
      </c>
    </row>
    <row r="89">
      <c r="A89" s="7" t="n">
        <v>21</v>
      </c>
      <c r="B89" s="8" t="inlineStr">
        <is>
          <t>Alegrías de Amaranto y Miel Tradicionales</t>
        </is>
      </c>
      <c r="C89" s="8" t="inlineStr">
        <is>
          <t>Arándano deshidratado</t>
        </is>
      </c>
      <c r="D89" s="8" t="n">
        <v>65</v>
      </c>
      <c r="E89" s="7" t="inlineStr">
        <is>
          <t>g</t>
        </is>
      </c>
      <c r="F89" s="12">
        <f>IFERROR(VLOOKUP(C89,Insumos!$B$5:$F$81,5,FALSE),0)</f>
        <v/>
      </c>
      <c r="G89" s="13">
        <f>D89*F89</f>
        <v/>
      </c>
      <c r="H89" s="7" t="inlineStr">
        <is>
          <t>1/2 taza de pasitas o arándanos secos (opcional)</t>
        </is>
      </c>
    </row>
    <row r="90">
      <c r="A90" s="7" t="n">
        <v>22</v>
      </c>
      <c r="B90" s="8" t="inlineStr">
        <is>
          <t>Palanqueta de Cacahuate</t>
        </is>
      </c>
      <c r="C90" s="8" t="inlineStr">
        <is>
          <t>Cacahuate tostado</t>
        </is>
      </c>
      <c r="D90" s="8" t="n">
        <v>500</v>
      </c>
      <c r="E90" s="7" t="inlineStr">
        <is>
          <t>g</t>
        </is>
      </c>
      <c r="F90" s="12">
        <f>IFERROR(VLOOKUP(C90,Insumos!$B$5:$F$81,5,FALSE),0)</f>
        <v/>
      </c>
      <c r="G90" s="13">
        <f>D90*F90</f>
        <v/>
      </c>
      <c r="H90" s="7" t="inlineStr">
        <is>
          <t>500 g de cacahuates tostados sin sal (pelados)</t>
        </is>
      </c>
    </row>
    <row r="91">
      <c r="A91" s="7" t="n">
        <v>22</v>
      </c>
      <c r="B91" s="8" t="inlineStr">
        <is>
          <t>Palanqueta de Cacahuate</t>
        </is>
      </c>
      <c r="C91" s="8" t="inlineStr">
        <is>
          <t>Piloncillo</t>
        </is>
      </c>
      <c r="D91" s="8" t="n">
        <v>400</v>
      </c>
      <c r="E91" s="7" t="inlineStr">
        <is>
          <t>g</t>
        </is>
      </c>
      <c r="F91" s="12">
        <f>IFERROR(VLOOKUP(C91,Insumos!$B$5:$F$81,5,FALSE),0)</f>
        <v/>
      </c>
      <c r="G91" s="13">
        <f>D91*F91</f>
        <v/>
      </c>
      <c r="H91" s="7" t="inlineStr">
        <is>
          <t>400 g de piloncillo rallado o azúcar mascabado</t>
        </is>
      </c>
    </row>
    <row r="92">
      <c r="A92" s="7" t="n">
        <v>22</v>
      </c>
      <c r="B92" s="8" t="inlineStr">
        <is>
          <t>Palanqueta de Cacahuate</t>
        </is>
      </c>
      <c r="C92" s="8" t="inlineStr">
        <is>
          <t>Agua purificada</t>
        </is>
      </c>
      <c r="D92" s="8" t="n">
        <v>60</v>
      </c>
      <c r="E92" s="7" t="inlineStr">
        <is>
          <t>ml</t>
        </is>
      </c>
      <c r="F92" s="12">
        <f>IFERROR(VLOOKUP(C92,Insumos!$B$5:$F$81,5,FALSE),0)</f>
        <v/>
      </c>
      <c r="G92" s="13">
        <f>D92*F92</f>
        <v/>
      </c>
      <c r="H92" s="7" t="inlineStr">
        <is>
          <t>1/4 taza de agua</t>
        </is>
      </c>
    </row>
    <row r="93">
      <c r="A93" s="7" t="n">
        <v>22</v>
      </c>
      <c r="B93" s="8" t="inlineStr">
        <is>
          <t>Palanqueta de Cacahuate</t>
        </is>
      </c>
      <c r="C93" s="8" t="inlineStr">
        <is>
          <t>Mantequilla sin sal</t>
        </is>
      </c>
      <c r="D93" s="8" t="n">
        <v>14.19</v>
      </c>
      <c r="E93" s="7" t="inlineStr">
        <is>
          <t>g</t>
        </is>
      </c>
      <c r="F93" s="12">
        <f>IFERROR(VLOOKUP(C93,Insumos!$B$5:$F$81,5,FALSE),0)</f>
        <v/>
      </c>
      <c r="G93" s="13">
        <f>D93*F93</f>
        <v/>
      </c>
      <c r="H93" s="7" t="inlineStr">
        <is>
          <t>1 cucharada de mantequilla</t>
        </is>
      </c>
    </row>
    <row r="94">
      <c r="A94" s="7" t="n">
        <v>23</v>
      </c>
      <c r="B94" s="8" t="inlineStr">
        <is>
          <t>Pepitorias de Semilla de Calabaza</t>
        </is>
      </c>
      <c r="C94" s="8" t="inlineStr">
        <is>
          <t>Pepita de calabaza</t>
        </is>
      </c>
      <c r="D94" s="8" t="n">
        <v>260</v>
      </c>
      <c r="E94" s="7" t="inlineStr">
        <is>
          <t>g</t>
        </is>
      </c>
      <c r="F94" s="12">
        <f>IFERROR(VLOOKUP(C94,Insumos!$B$5:$F$81,5,FALSE),0)</f>
        <v/>
      </c>
      <c r="G94" s="13">
        <f>D94*F94</f>
        <v/>
      </c>
      <c r="H94" s="7" t="inlineStr">
        <is>
          <t>2 tazas de pepitas de calabaza verdes, limpias y tostadas</t>
        </is>
      </c>
    </row>
    <row r="95">
      <c r="A95" s="7" t="n">
        <v>23</v>
      </c>
      <c r="B95" s="8" t="inlineStr">
        <is>
          <t>Pepitorias de Semilla de Calabaza</t>
        </is>
      </c>
      <c r="C95" s="8" t="inlineStr">
        <is>
          <t>Azúcar refinada</t>
        </is>
      </c>
      <c r="D95" s="8" t="n">
        <v>300</v>
      </c>
      <c r="E95" s="7" t="inlineStr">
        <is>
          <t>g</t>
        </is>
      </c>
      <c r="F95" s="12">
        <f>IFERROR(VLOOKUP(C95,Insumos!$B$5:$F$81,5,FALSE),0)</f>
        <v/>
      </c>
      <c r="G95" s="13">
        <f>D95*F95</f>
        <v/>
      </c>
      <c r="H95" s="7" t="inlineStr">
        <is>
          <t>1.5 tazas de azúcar blanca</t>
        </is>
      </c>
    </row>
    <row r="96">
      <c r="A96" s="7" t="n">
        <v>23</v>
      </c>
      <c r="B96" s="8" t="inlineStr">
        <is>
          <t>Pepitorias de Semilla de Calabaza</t>
        </is>
      </c>
      <c r="C96" s="8" t="inlineStr">
        <is>
          <t>Agua purificada</t>
        </is>
      </c>
      <c r="D96" s="8" t="n">
        <v>80</v>
      </c>
      <c r="E96" s="7" t="inlineStr">
        <is>
          <t>ml</t>
        </is>
      </c>
      <c r="F96" s="12">
        <f>IFERROR(VLOOKUP(C96,Insumos!$B$5:$F$81,5,FALSE),0)</f>
        <v/>
      </c>
      <c r="G96" s="13">
        <f>D96*F96</f>
        <v/>
      </c>
      <c r="H96" s="7" t="inlineStr">
        <is>
          <t>1/3 taza de agua</t>
        </is>
      </c>
    </row>
    <row r="97">
      <c r="A97" s="7" t="n">
        <v>24</v>
      </c>
      <c r="B97" s="8" t="inlineStr">
        <is>
          <t>Palanqueta de Ajonjolí (Ajonjolín)</t>
        </is>
      </c>
      <c r="C97" s="8" t="inlineStr">
        <is>
          <t>Ajonjolí</t>
        </is>
      </c>
      <c r="D97" s="8" t="n">
        <v>290</v>
      </c>
      <c r="E97" s="7" t="inlineStr">
        <is>
          <t>g</t>
        </is>
      </c>
      <c r="F97" s="12">
        <f>IFERROR(VLOOKUP(C97,Insumos!$B$5:$F$81,5,FALSE),0)</f>
        <v/>
      </c>
      <c r="G97" s="13">
        <f>D97*F97</f>
        <v/>
      </c>
      <c r="H97" s="7" t="inlineStr">
        <is>
          <t>2 tazas de semillas de ajonjolí tostadas</t>
        </is>
      </c>
    </row>
    <row r="98">
      <c r="A98" s="7" t="n">
        <v>24</v>
      </c>
      <c r="B98" s="8" t="inlineStr">
        <is>
          <t>Palanqueta de Ajonjolí (Ajonjolín)</t>
        </is>
      </c>
      <c r="C98" s="8" t="inlineStr">
        <is>
          <t>Piloncillo</t>
        </is>
      </c>
      <c r="D98" s="8" t="n">
        <v>300</v>
      </c>
      <c r="E98" s="7" t="inlineStr">
        <is>
          <t>g</t>
        </is>
      </c>
      <c r="F98" s="12">
        <f>IFERROR(VLOOKUP(C98,Insumos!$B$5:$F$81,5,FALSE),0)</f>
        <v/>
      </c>
      <c r="G98" s="13">
        <f>D98*F98</f>
        <v/>
      </c>
      <c r="H98" s="7" t="inlineStr">
        <is>
          <t>300 g de piloncillo</t>
        </is>
      </c>
    </row>
    <row r="99">
      <c r="A99" s="7" t="n">
        <v>24</v>
      </c>
      <c r="B99" s="8" t="inlineStr">
        <is>
          <t>Palanqueta de Ajonjolí (Ajonjolín)</t>
        </is>
      </c>
      <c r="C99" s="8" t="inlineStr">
        <is>
          <t>Agua purificada</t>
        </is>
      </c>
      <c r="D99" s="8" t="n">
        <v>60</v>
      </c>
      <c r="E99" s="7" t="inlineStr">
        <is>
          <t>ml</t>
        </is>
      </c>
      <c r="F99" s="12">
        <f>IFERROR(VLOOKUP(C99,Insumos!$B$5:$F$81,5,FALSE),0)</f>
        <v/>
      </c>
      <c r="G99" s="13">
        <f>D99*F99</f>
        <v/>
      </c>
      <c r="H99" s="7" t="inlineStr">
        <is>
          <t>1/4 taza de agua</t>
        </is>
      </c>
    </row>
    <row r="100">
      <c r="A100" s="7" t="n">
        <v>25</v>
      </c>
      <c r="B100" s="8" t="inlineStr">
        <is>
          <t>Alegrías con Chocolate y Amaranto</t>
        </is>
      </c>
      <c r="C100" s="8" t="inlineStr">
        <is>
          <t>Amaranto tostado</t>
        </is>
      </c>
      <c r="D100" s="8" t="n">
        <v>150</v>
      </c>
      <c r="E100" s="7" t="inlineStr">
        <is>
          <t>g</t>
        </is>
      </c>
      <c r="F100" s="12">
        <f>IFERROR(VLOOKUP(C100,Insumos!$B$5:$F$81,5,FALSE),0)</f>
        <v/>
      </c>
      <c r="G100" s="13">
        <f>D100*F100</f>
        <v/>
      </c>
      <c r="H100" s="7" t="inlineStr">
        <is>
          <t>3 tazas de amaranto tostado</t>
        </is>
      </c>
    </row>
    <row r="101">
      <c r="A101" s="7" t="n">
        <v>25</v>
      </c>
      <c r="B101" s="8" t="inlineStr">
        <is>
          <t>Alegrías con Chocolate y Amaranto</t>
        </is>
      </c>
      <c r="C101" s="8" t="inlineStr">
        <is>
          <t>Miel de abeja</t>
        </is>
      </c>
      <c r="D101" s="8" t="n">
        <v>240</v>
      </c>
      <c r="E101" s="7" t="inlineStr">
        <is>
          <t>ml</t>
        </is>
      </c>
      <c r="F101" s="12">
        <f>IFERROR(VLOOKUP(C101,Insumos!$B$5:$F$81,5,FALSE),0)</f>
        <v/>
      </c>
      <c r="G101" s="13">
        <f>D101*F101</f>
        <v/>
      </c>
      <c r="H101" s="7" t="inlineStr">
        <is>
          <t>1 taza de miel de abeja</t>
        </is>
      </c>
    </row>
    <row r="102">
      <c r="A102" s="7" t="n">
        <v>25</v>
      </c>
      <c r="B102" s="8" t="inlineStr">
        <is>
          <t>Alegrías con Chocolate y Amaranto</t>
        </is>
      </c>
      <c r="C102" s="8" t="inlineStr">
        <is>
          <t>Chocolate amargo / de mesa</t>
        </is>
      </c>
      <c r="D102" s="8" t="n">
        <v>150</v>
      </c>
      <c r="E102" s="7" t="inlineStr">
        <is>
          <t>g</t>
        </is>
      </c>
      <c r="F102" s="12">
        <f>IFERROR(VLOOKUP(C102,Insumos!$B$5:$F$81,5,FALSE),0)</f>
        <v/>
      </c>
      <c r="G102" s="13">
        <f>D102*F102</f>
        <v/>
      </c>
      <c r="H102" s="7" t="inlineStr">
        <is>
          <t>150 g de chocolate amargo o de mesa derretido</t>
        </is>
      </c>
    </row>
    <row r="103">
      <c r="A103" s="7" t="n">
        <v>26</v>
      </c>
      <c r="B103" s="8" t="inlineStr">
        <is>
          <t>Dulce de Pepita de Calabaza (Jamoncillo de Pepita)</t>
        </is>
      </c>
      <c r="C103" s="8" t="inlineStr">
        <is>
          <t>Pepita de calabaza</t>
        </is>
      </c>
      <c r="D103" s="8" t="n">
        <v>260</v>
      </c>
      <c r="E103" s="7" t="inlineStr">
        <is>
          <t>g</t>
        </is>
      </c>
      <c r="F103" s="12">
        <f>IFERROR(VLOOKUP(C103,Insumos!$B$5:$F$81,5,FALSE),0)</f>
        <v/>
      </c>
      <c r="G103" s="13">
        <f>D103*F103</f>
        <v/>
      </c>
      <c r="H103" s="7" t="inlineStr">
        <is>
          <t>2 tazas de pepitas de calabaza sin cáscara molidas finamente</t>
        </is>
      </c>
    </row>
    <row r="104">
      <c r="A104" s="7" t="n">
        <v>26</v>
      </c>
      <c r="B104" s="8" t="inlineStr">
        <is>
          <t>Dulce de Pepita de Calabaza (Jamoncillo de Pepita)</t>
        </is>
      </c>
      <c r="C104" s="8" t="inlineStr">
        <is>
          <t>Azúcar refinada</t>
        </is>
      </c>
      <c r="D104" s="8" t="n">
        <v>300</v>
      </c>
      <c r="E104" s="7" t="inlineStr">
        <is>
          <t>g</t>
        </is>
      </c>
      <c r="F104" s="12">
        <f>IFERROR(VLOOKUP(C104,Insumos!$B$5:$F$81,5,FALSE),0)</f>
        <v/>
      </c>
      <c r="G104" s="13">
        <f>D104*F104</f>
        <v/>
      </c>
      <c r="H104" s="7" t="inlineStr">
        <is>
          <t>1.5 tazas de azúcar refinada</t>
        </is>
      </c>
    </row>
    <row r="105">
      <c r="A105" s="7" t="n">
        <v>26</v>
      </c>
      <c r="B105" s="8" t="inlineStr">
        <is>
          <t>Dulce de Pepita de Calabaza (Jamoncillo de Pepita)</t>
        </is>
      </c>
      <c r="C105" s="8" t="inlineStr">
        <is>
          <t>Leche entera</t>
        </is>
      </c>
      <c r="D105" s="8" t="n">
        <v>120</v>
      </c>
      <c r="E105" s="7" t="inlineStr">
        <is>
          <t>ml</t>
        </is>
      </c>
      <c r="F105" s="12">
        <f>IFERROR(VLOOKUP(C105,Insumos!$B$5:$F$81,5,FALSE),0)</f>
        <v/>
      </c>
      <c r="G105" s="13">
        <f>D105*F105</f>
        <v/>
      </c>
      <c r="H105" s="7" t="inlineStr">
        <is>
          <t>1/2 taza de leche</t>
        </is>
      </c>
    </row>
    <row r="106">
      <c r="A106" s="7" t="n">
        <v>26</v>
      </c>
      <c r="B106" s="8" t="inlineStr">
        <is>
          <t>Dulce de Pepita de Calabaza (Jamoncillo de Pepita)</t>
        </is>
      </c>
      <c r="C106" s="8" t="inlineStr">
        <is>
          <t>Colorante vegetal</t>
        </is>
      </c>
      <c r="D106" s="8" t="n">
        <v>3</v>
      </c>
      <c r="E106" s="7" t="inlineStr">
        <is>
          <t>ml</t>
        </is>
      </c>
      <c r="F106" s="12">
        <f>IFERROR(VLOOKUP(C106,Insumos!$B$5:$F$81,5,FALSE),0)</f>
        <v/>
      </c>
      <c r="G106" s="13">
        <f>D106*F106</f>
        <v/>
      </c>
      <c r="H106" s="7" t="inlineStr">
        <is>
          <t>Colorante vegetal verde (para decorar imitando frutas)</t>
        </is>
      </c>
    </row>
    <row r="107">
      <c r="A107" s="7" t="n">
        <v>27</v>
      </c>
      <c r="B107" s="8" t="inlineStr">
        <is>
          <t>Palanqueta de Nueces Mixtas</t>
        </is>
      </c>
      <c r="C107" s="8" t="inlineStr">
        <is>
          <t>Nuez de Castilla</t>
        </is>
      </c>
      <c r="D107" s="8" t="n">
        <v>115</v>
      </c>
      <c r="E107" s="7" t="inlineStr">
        <is>
          <t>g</t>
        </is>
      </c>
      <c r="F107" s="12">
        <f>IFERROR(VLOOKUP(C107,Insumos!$B$5:$F$81,5,FALSE),0)</f>
        <v/>
      </c>
      <c r="G107" s="13">
        <f>D107*F107</f>
        <v/>
      </c>
      <c r="H107" s="7" t="inlineStr">
        <is>
          <t>1 taza de nueces de Castilla, 1 taza de almendras y 1 taza de cacahuates</t>
        </is>
      </c>
    </row>
    <row r="108">
      <c r="A108" s="7" t="n">
        <v>27</v>
      </c>
      <c r="B108" s="8" t="inlineStr">
        <is>
          <t>Palanqueta de Nueces Mixtas</t>
        </is>
      </c>
      <c r="C108" s="8" t="inlineStr">
        <is>
          <t>Almendra</t>
        </is>
      </c>
      <c r="D108" s="8" t="n">
        <v>115</v>
      </c>
      <c r="E108" s="7" t="inlineStr">
        <is>
          <t>g</t>
        </is>
      </c>
      <c r="F108" s="12">
        <f>IFERROR(VLOOKUP(C108,Insumos!$B$5:$F$81,5,FALSE),0)</f>
        <v/>
      </c>
      <c r="G108" s="13">
        <f>D108*F108</f>
        <v/>
      </c>
      <c r="H108" s="7" t="inlineStr">
        <is>
          <t>1 taza de nueces de Castilla, 1 taza de almendras y 1 taza de cacahuates</t>
        </is>
      </c>
    </row>
    <row r="109">
      <c r="A109" s="7" t="n">
        <v>27</v>
      </c>
      <c r="B109" s="8" t="inlineStr">
        <is>
          <t>Palanqueta de Nueces Mixtas</t>
        </is>
      </c>
      <c r="C109" s="8" t="inlineStr">
        <is>
          <t>Cacahuate tostado</t>
        </is>
      </c>
      <c r="D109" s="8" t="n">
        <v>145</v>
      </c>
      <c r="E109" s="7" t="inlineStr">
        <is>
          <t>g</t>
        </is>
      </c>
      <c r="F109" s="12">
        <f>IFERROR(VLOOKUP(C109,Insumos!$B$5:$F$81,5,FALSE),0)</f>
        <v/>
      </c>
      <c r="G109" s="13">
        <f>D109*F109</f>
        <v/>
      </c>
      <c r="H109" s="7" t="inlineStr">
        <is>
          <t>1 taza de nueces de Castilla, 1 taza de almendras y 1 taza de cacahuates</t>
        </is>
      </c>
    </row>
    <row r="110">
      <c r="A110" s="7" t="n">
        <v>27</v>
      </c>
      <c r="B110" s="8" t="inlineStr">
        <is>
          <t>Palanqueta de Nueces Mixtas</t>
        </is>
      </c>
      <c r="C110" s="8" t="inlineStr">
        <is>
          <t>Piloncillo</t>
        </is>
      </c>
      <c r="D110" s="8" t="n">
        <v>400</v>
      </c>
      <c r="E110" s="7" t="inlineStr">
        <is>
          <t>g</t>
        </is>
      </c>
      <c r="F110" s="12">
        <f>IFERROR(VLOOKUP(C110,Insumos!$B$5:$F$81,5,FALSE),0)</f>
        <v/>
      </c>
      <c r="G110" s="13">
        <f>D110*F110</f>
        <v/>
      </c>
      <c r="H110" s="7" t="inlineStr">
        <is>
          <t>400 g de azúcar o piloncillo</t>
        </is>
      </c>
    </row>
    <row r="111">
      <c r="A111" s="7" t="n">
        <v>27</v>
      </c>
      <c r="B111" s="8" t="inlineStr">
        <is>
          <t>Palanqueta de Nueces Mixtas</t>
        </is>
      </c>
      <c r="C111" s="8" t="inlineStr">
        <is>
          <t>Agua purificada</t>
        </is>
      </c>
      <c r="D111" s="8" t="n">
        <v>60</v>
      </c>
      <c r="E111" s="7" t="inlineStr">
        <is>
          <t>ml</t>
        </is>
      </c>
      <c r="F111" s="12">
        <f>IFERROR(VLOOKUP(C111,Insumos!$B$5:$F$81,5,FALSE),0)</f>
        <v/>
      </c>
      <c r="G111" s="13">
        <f>D111*F111</f>
        <v/>
      </c>
      <c r="H111" s="7" t="inlineStr">
        <is>
          <t>1/4 taza de agua</t>
        </is>
      </c>
    </row>
    <row r="112">
      <c r="A112" s="7" t="n">
        <v>28</v>
      </c>
      <c r="B112" s="8" t="inlineStr">
        <is>
          <t>Barras de Amaranto con Frutos Secos</t>
        </is>
      </c>
      <c r="C112" s="8" t="inlineStr">
        <is>
          <t>Amaranto tostado</t>
        </is>
      </c>
      <c r="D112" s="8" t="n">
        <v>150</v>
      </c>
      <c r="E112" s="7" t="inlineStr">
        <is>
          <t>g</t>
        </is>
      </c>
      <c r="F112" s="12">
        <f>IFERROR(VLOOKUP(C112,Insumos!$B$5:$F$81,5,FALSE),0)</f>
        <v/>
      </c>
      <c r="G112" s="13">
        <f>D112*F112</f>
        <v/>
      </c>
      <c r="H112" s="7" t="inlineStr">
        <is>
          <t>3 tazas de amaranto</t>
        </is>
      </c>
    </row>
    <row r="113">
      <c r="A113" s="7" t="n">
        <v>28</v>
      </c>
      <c r="B113" s="8" t="inlineStr">
        <is>
          <t>Barras de Amaranto con Frutos Secos</t>
        </is>
      </c>
      <c r="C113" s="8" t="inlineStr">
        <is>
          <t>Miel de agave</t>
        </is>
      </c>
      <c r="D113" s="8" t="n">
        <v>240</v>
      </c>
      <c r="E113" s="7" t="inlineStr">
        <is>
          <t>ml</t>
        </is>
      </c>
      <c r="F113" s="12">
        <f>IFERROR(VLOOKUP(C113,Insumos!$B$5:$F$81,5,FALSE),0)</f>
        <v/>
      </c>
      <c r="G113" s="13">
        <f>D113*F113</f>
        <v/>
      </c>
      <c r="H113" s="7" t="inlineStr">
        <is>
          <t>1 taza de miel de agave o abeja</t>
        </is>
      </c>
    </row>
    <row r="114">
      <c r="A114" s="7" t="n">
        <v>28</v>
      </c>
      <c r="B114" s="8" t="inlineStr">
        <is>
          <t>Barras de Amaranto con Frutos Secos</t>
        </is>
      </c>
      <c r="C114" s="8" t="inlineStr">
        <is>
          <t>Arándano deshidratado</t>
        </is>
      </c>
      <c r="D114" s="8" t="n">
        <v>65</v>
      </c>
      <c r="E114" s="7" t="inlineStr">
        <is>
          <t>g</t>
        </is>
      </c>
      <c r="F114" s="12">
        <f>IFERROR(VLOOKUP(C114,Insumos!$B$5:$F$81,5,FALSE),0)</f>
        <v/>
      </c>
      <c r="G114" s="13">
        <f>D114*F114</f>
        <v/>
      </c>
      <c r="H114" s="7" t="inlineStr">
        <is>
          <t>1/2 taza de arándanos, pasitas y pepitas mixtas</t>
        </is>
      </c>
    </row>
    <row r="115">
      <c r="A115" s="7" t="n">
        <v>28</v>
      </c>
      <c r="B115" s="8" t="inlineStr">
        <is>
          <t>Barras de Amaranto con Frutos Secos</t>
        </is>
      </c>
      <c r="C115" s="8" t="inlineStr">
        <is>
          <t>Pepita de calabaza</t>
        </is>
      </c>
      <c r="D115" s="8" t="n">
        <v>3</v>
      </c>
      <c r="E115" s="7" t="inlineStr">
        <is>
          <t>g</t>
        </is>
      </c>
      <c r="F115" s="12">
        <f>IFERROR(VLOOKUP(C115,Insumos!$B$5:$F$81,5,FALSE),0)</f>
        <v/>
      </c>
      <c r="G115" s="13">
        <f>D115*F115</f>
        <v/>
      </c>
      <c r="H115" s="7" t="inlineStr">
        <is>
          <t>1/2 taza de arándanos, pasitas y pepitas mixtas</t>
        </is>
      </c>
    </row>
    <row r="116">
      <c r="A116" s="7" t="n">
        <v>29</v>
      </c>
      <c r="B116" s="8" t="inlineStr">
        <is>
          <t>Pepitorias Gigantes de Feria</t>
        </is>
      </c>
      <c r="C116" s="8" t="inlineStr">
        <is>
          <t>Pepita de calabaza</t>
        </is>
      </c>
      <c r="D116" s="8" t="n">
        <v>260</v>
      </c>
      <c r="E116" s="7" t="inlineStr">
        <is>
          <t>g</t>
        </is>
      </c>
      <c r="F116" s="12">
        <f>IFERROR(VLOOKUP(C116,Insumos!$B$5:$F$81,5,FALSE),0)</f>
        <v/>
      </c>
      <c r="G116" s="13">
        <f>D116*F116</f>
        <v/>
      </c>
      <c r="H116" s="7" t="inlineStr">
        <is>
          <t>2 tazas de pepita verde tostada</t>
        </is>
      </c>
    </row>
    <row r="117">
      <c r="A117" s="7" t="n">
        <v>29</v>
      </c>
      <c r="B117" s="8" t="inlineStr">
        <is>
          <t>Pepitorias Gigantes de Feria</t>
        </is>
      </c>
      <c r="C117" s="8" t="inlineStr">
        <is>
          <t>Azúcar refinada</t>
        </is>
      </c>
      <c r="D117" s="8" t="n">
        <v>400</v>
      </c>
      <c r="E117" s="7" t="inlineStr">
        <is>
          <t>g</t>
        </is>
      </c>
      <c r="F117" s="12">
        <f>IFERROR(VLOOKUP(C117,Insumos!$B$5:$F$81,5,FALSE),0)</f>
        <v/>
      </c>
      <c r="G117" s="13">
        <f>D117*F117</f>
        <v/>
      </c>
      <c r="H117" s="7" t="inlineStr">
        <is>
          <t>2 tazas de azúcar</t>
        </is>
      </c>
    </row>
    <row r="118">
      <c r="A118" s="7" t="n">
        <v>30</v>
      </c>
      <c r="B118" s="8" t="inlineStr">
        <is>
          <t>Turrón de Cacahuate Estilo Mexicano</t>
        </is>
      </c>
      <c r="C118" s="8" t="inlineStr">
        <is>
          <t>Cacahuate tostado</t>
        </is>
      </c>
      <c r="D118" s="8" t="n">
        <v>500</v>
      </c>
      <c r="E118" s="7" t="inlineStr">
        <is>
          <t>g</t>
        </is>
      </c>
      <c r="F118" s="12">
        <f>IFERROR(VLOOKUP(C118,Insumos!$B$5:$F$81,5,FALSE),0)</f>
        <v/>
      </c>
      <c r="G118" s="13">
        <f>D118*F118</f>
        <v/>
      </c>
      <c r="H118" s="7" t="inlineStr">
        <is>
          <t>500 g de cacahuates tostados</t>
        </is>
      </c>
    </row>
    <row r="119">
      <c r="A119" s="7" t="n">
        <v>30</v>
      </c>
      <c r="B119" s="8" t="inlineStr">
        <is>
          <t>Turrón de Cacahuate Estilo Mexicano</t>
        </is>
      </c>
      <c r="C119" s="8" t="inlineStr">
        <is>
          <t>Azúcar refinada</t>
        </is>
      </c>
      <c r="D119" s="8" t="n">
        <v>300</v>
      </c>
      <c r="E119" s="7" t="inlineStr">
        <is>
          <t>g</t>
        </is>
      </c>
      <c r="F119" s="12">
        <f>IFERROR(VLOOKUP(C119,Insumos!$B$5:$F$81,5,FALSE),0)</f>
        <v/>
      </c>
      <c r="G119" s="13">
        <f>D119*F119</f>
        <v/>
      </c>
      <c r="H119" s="7" t="inlineStr">
        <is>
          <t>300 g de azúcar blanca y 100 g de glucosa</t>
        </is>
      </c>
    </row>
    <row r="120">
      <c r="A120" s="7" t="n">
        <v>30</v>
      </c>
      <c r="B120" s="8" t="inlineStr">
        <is>
          <t>Turrón de Cacahuate Estilo Mexicano</t>
        </is>
      </c>
      <c r="C120" s="8" t="inlineStr">
        <is>
          <t>Glucosa / jarabe de maíz</t>
        </is>
      </c>
      <c r="D120" s="8" t="n">
        <v>100</v>
      </c>
      <c r="E120" s="7" t="inlineStr">
        <is>
          <t>g</t>
        </is>
      </c>
      <c r="F120" s="12">
        <f>IFERROR(VLOOKUP(C120,Insumos!$B$5:$F$81,5,FALSE),0)</f>
        <v/>
      </c>
      <c r="G120" s="13">
        <f>D120*F120</f>
        <v/>
      </c>
      <c r="H120" s="7" t="inlineStr">
        <is>
          <t>300 g de azúcar blanca y 100 g de glucosa</t>
        </is>
      </c>
    </row>
    <row r="121">
      <c r="A121" s="7" t="n">
        <v>30</v>
      </c>
      <c r="B121" s="8" t="inlineStr">
        <is>
          <t>Turrón de Cacahuate Estilo Mexicano</t>
        </is>
      </c>
      <c r="C121" s="8" t="inlineStr">
        <is>
          <t>Huevo</t>
        </is>
      </c>
      <c r="D121" s="8" t="n">
        <v>2</v>
      </c>
      <c r="E121" s="7" t="inlineStr">
        <is>
          <t>pza</t>
        </is>
      </c>
      <c r="F121" s="12">
        <f>IFERROR(VLOOKUP(C121,Insumos!$B$5:$F$81,5,FALSE),0)</f>
        <v/>
      </c>
      <c r="G121" s="13">
        <f>D121*F121</f>
        <v/>
      </c>
      <c r="H121" s="7" t="inlineStr">
        <is>
          <t>2 claras de huevo batidas a punto de turrón</t>
        </is>
      </c>
    </row>
    <row r="122">
      <c r="A122" s="7" t="n">
        <v>31</v>
      </c>
      <c r="B122" s="8" t="inlineStr">
        <is>
          <t>Bolitas de Tamarindo con Chile y Sal</t>
        </is>
      </c>
      <c r="C122" s="8" t="inlineStr">
        <is>
          <t>Pulpa de tamarindo</t>
        </is>
      </c>
      <c r="D122" s="8" t="n">
        <v>500</v>
      </c>
      <c r="E122" s="7" t="inlineStr">
        <is>
          <t>g</t>
        </is>
      </c>
      <c r="F122" s="12">
        <f>IFERROR(VLOOKUP(C122,Insumos!$B$5:$F$81,5,FALSE),0)</f>
        <v/>
      </c>
      <c r="G122" s="13">
        <f>D122*F122</f>
        <v/>
      </c>
      <c r="H122" s="7" t="inlineStr">
        <is>
          <t>500 g de pulpa de tamarindo natural (sin semillas)</t>
        </is>
      </c>
    </row>
    <row r="123">
      <c r="A123" s="7" t="n">
        <v>31</v>
      </c>
      <c r="B123" s="8" t="inlineStr">
        <is>
          <t>Bolitas de Tamarindo con Chile y Sal</t>
        </is>
      </c>
      <c r="C123" s="8" t="inlineStr">
        <is>
          <t>Azúcar refinada</t>
        </is>
      </c>
      <c r="D123" s="8" t="n">
        <v>400</v>
      </c>
      <c r="E123" s="7" t="inlineStr">
        <is>
          <t>g</t>
        </is>
      </c>
      <c r="F123" s="12">
        <f>IFERROR(VLOOKUP(C123,Insumos!$B$5:$F$81,5,FALSE),0)</f>
        <v/>
      </c>
      <c r="G123" s="13">
        <f>D123*F123</f>
        <v/>
      </c>
      <c r="H123" s="7" t="inlineStr">
        <is>
          <t>400 g de azúcar refinada</t>
        </is>
      </c>
    </row>
    <row r="124">
      <c r="A124" s="7" t="n">
        <v>31</v>
      </c>
      <c r="B124" s="8" t="inlineStr">
        <is>
          <t>Bolitas de Tamarindo con Chile y Sal</t>
        </is>
      </c>
      <c r="C124" s="8" t="inlineStr">
        <is>
          <t>Chile piquín en polvo</t>
        </is>
      </c>
      <c r="D124" s="8" t="n">
        <v>13.75</v>
      </c>
      <c r="E124" s="7" t="inlineStr">
        <is>
          <t>g</t>
        </is>
      </c>
      <c r="F124" s="12">
        <f>IFERROR(VLOOKUP(C124,Insumos!$B$5:$F$81,5,FALSE),0)</f>
        <v/>
      </c>
      <c r="G124" s="13">
        <f>D124*F124</f>
        <v/>
      </c>
      <c r="H124" s="7" t="inlineStr">
        <is>
          <t>2 cucharadas de chile piquín en polvo</t>
        </is>
      </c>
    </row>
    <row r="125">
      <c r="A125" s="7" t="n">
        <v>31</v>
      </c>
      <c r="B125" s="8" t="inlineStr">
        <is>
          <t>Bolitas de Tamarindo con Chile y Sal</t>
        </is>
      </c>
      <c r="C125" s="8" t="inlineStr">
        <is>
          <t>Sal fina</t>
        </is>
      </c>
      <c r="D125" s="8" t="n">
        <v>1</v>
      </c>
      <c r="E125" s="7" t="inlineStr">
        <is>
          <t>g</t>
        </is>
      </c>
      <c r="F125" s="12">
        <f>IFERROR(VLOOKUP(C125,Insumos!$B$5:$F$81,5,FALSE),0)</f>
        <v/>
      </c>
      <c r="G125" s="13">
        <f>D125*F125</f>
        <v/>
      </c>
      <c r="H125" s="7" t="inlineStr">
        <is>
          <t>1 pizca de sal</t>
        </is>
      </c>
    </row>
    <row r="126">
      <c r="A126" s="7" t="n">
        <v>32</v>
      </c>
      <c r="B126" s="8" t="inlineStr">
        <is>
          <t>Tarugos de Tamarindo Enchilados</t>
        </is>
      </c>
      <c r="C126" s="8" t="inlineStr">
        <is>
          <t>Pulpa de tamarindo</t>
        </is>
      </c>
      <c r="D126" s="8" t="n">
        <v>500</v>
      </c>
      <c r="E126" s="7" t="inlineStr">
        <is>
          <t>g</t>
        </is>
      </c>
      <c r="F126" s="12">
        <f>IFERROR(VLOOKUP(C126,Insumos!$B$5:$F$81,5,FALSE),0)</f>
        <v/>
      </c>
      <c r="G126" s="13">
        <f>D126*F126</f>
        <v/>
      </c>
      <c r="H126" s="7" t="inlineStr">
        <is>
          <t>500 g de tamarindo con cáscara (o pulpa limpia)</t>
        </is>
      </c>
    </row>
    <row r="127">
      <c r="A127" s="7" t="n">
        <v>32</v>
      </c>
      <c r="B127" s="8" t="inlineStr">
        <is>
          <t>Tarugos de Tamarindo Enchilados</t>
        </is>
      </c>
      <c r="C127" s="8" t="inlineStr">
        <is>
          <t>Azúcar refinada</t>
        </is>
      </c>
      <c r="D127" s="8" t="n">
        <v>350</v>
      </c>
      <c r="E127" s="7" t="inlineStr">
        <is>
          <t>g</t>
        </is>
      </c>
      <c r="F127" s="12">
        <f>IFERROR(VLOOKUP(C127,Insumos!$B$5:$F$81,5,FALSE),0)</f>
        <v/>
      </c>
      <c r="G127" s="13">
        <f>D127*F127</f>
        <v/>
      </c>
      <c r="H127" s="7" t="inlineStr">
        <is>
          <t>350 g de azúcar</t>
        </is>
      </c>
    </row>
    <row r="128">
      <c r="A128" s="7" t="n">
        <v>32</v>
      </c>
      <c r="B128" s="8" t="inlineStr">
        <is>
          <t>Tarugos de Tamarindo Enchilados</t>
        </is>
      </c>
      <c r="C128" s="8" t="inlineStr">
        <is>
          <t>Chamoy líquido</t>
        </is>
      </c>
      <c r="D128" s="8" t="n">
        <v>80</v>
      </c>
      <c r="E128" s="7" t="inlineStr">
        <is>
          <t>ml</t>
        </is>
      </c>
      <c r="F128" s="12">
        <f>IFERROR(VLOOKUP(C128,Insumos!$B$5:$F$81,5,FALSE),0)</f>
        <v/>
      </c>
      <c r="G128" s="13">
        <f>D128*F128</f>
        <v/>
      </c>
      <c r="H128" s="7" t="inlineStr">
        <is>
          <t>Chile en polvo chamoy</t>
        </is>
      </c>
    </row>
    <row r="129">
      <c r="A129" s="7" t="n">
        <v>33</v>
      </c>
      <c r="B129" s="8" t="inlineStr">
        <is>
          <t>Glorias de Tamarindo estilo Pulparindo</t>
        </is>
      </c>
      <c r="C129" s="8" t="inlineStr">
        <is>
          <t>Pulpa de tamarindo</t>
        </is>
      </c>
      <c r="D129" s="8" t="n">
        <v>400</v>
      </c>
      <c r="E129" s="7" t="inlineStr">
        <is>
          <t>g</t>
        </is>
      </c>
      <c r="F129" s="12">
        <f>IFERROR(VLOOKUP(C129,Insumos!$B$5:$F$81,5,FALSE),0)</f>
        <v/>
      </c>
      <c r="G129" s="13">
        <f>D129*F129</f>
        <v/>
      </c>
      <c r="H129" s="7" t="inlineStr">
        <is>
          <t>400 g de pulpa de tamarindo</t>
        </is>
      </c>
    </row>
    <row r="130">
      <c r="A130" s="7" t="n">
        <v>33</v>
      </c>
      <c r="B130" s="8" t="inlineStr">
        <is>
          <t>Glorias de Tamarindo estilo Pulparindo</t>
        </is>
      </c>
      <c r="C130" s="8" t="inlineStr">
        <is>
          <t>Azúcar refinada</t>
        </is>
      </c>
      <c r="D130" s="8" t="n">
        <v>300</v>
      </c>
      <c r="E130" s="7" t="inlineStr">
        <is>
          <t>g</t>
        </is>
      </c>
      <c r="F130" s="12">
        <f>IFERROR(VLOOKUP(C130,Insumos!$B$5:$F$81,5,FALSE),0)</f>
        <v/>
      </c>
      <c r="G130" s="13">
        <f>D130*F130</f>
        <v/>
      </c>
      <c r="H130" s="7" t="inlineStr">
        <is>
          <t>300 g de azúcar</t>
        </is>
      </c>
    </row>
    <row r="131">
      <c r="A131" s="7" t="n">
        <v>33</v>
      </c>
      <c r="B131" s="8" t="inlineStr">
        <is>
          <t>Glorias de Tamarindo estilo Pulparindo</t>
        </is>
      </c>
      <c r="C131" s="8" t="inlineStr">
        <is>
          <t>Glucosa / jarabe de maíz</t>
        </is>
      </c>
      <c r="D131" s="8" t="n">
        <v>41.25</v>
      </c>
      <c r="E131" s="7" t="inlineStr">
        <is>
          <t>g</t>
        </is>
      </c>
      <c r="F131" s="12">
        <f>IFERROR(VLOOKUP(C131,Insumos!$B$5:$F$81,5,FALSE),0)</f>
        <v/>
      </c>
      <c r="G131" s="13">
        <f>D131*F131</f>
        <v/>
      </c>
      <c r="H131" s="7" t="inlineStr">
        <is>
          <t>2 cucharadas de jarabe de maíz</t>
        </is>
      </c>
    </row>
    <row r="132">
      <c r="A132" s="7" t="n">
        <v>33</v>
      </c>
      <c r="B132" s="8" t="inlineStr">
        <is>
          <t>Glorias de Tamarindo estilo Pulparindo</t>
        </is>
      </c>
      <c r="C132" s="8" t="inlineStr">
        <is>
          <t>Chile piquín en polvo</t>
        </is>
      </c>
      <c r="D132" s="8" t="n">
        <v>25</v>
      </c>
      <c r="E132" s="7" t="inlineStr">
        <is>
          <t>g</t>
        </is>
      </c>
      <c r="F132" s="12">
        <f>IFERROR(VLOOKUP(C132,Insumos!$B$5:$F$81,5,FALSE),0)</f>
        <v/>
      </c>
      <c r="G132" s="13">
        <f>D132*F132</f>
        <v/>
      </c>
      <c r="H132" s="7" t="inlineStr">
        <is>
          <t>Chile piquín y jugo de limón</t>
        </is>
      </c>
    </row>
    <row r="133">
      <c r="A133" s="7" t="n">
        <v>33</v>
      </c>
      <c r="B133" s="8" t="inlineStr">
        <is>
          <t>Glorias de Tamarindo estilo Pulparindo</t>
        </is>
      </c>
      <c r="C133" s="8" t="inlineStr">
        <is>
          <t>Limón</t>
        </is>
      </c>
      <c r="D133" s="8" t="n">
        <v>40</v>
      </c>
      <c r="E133" s="7" t="inlineStr">
        <is>
          <t>g</t>
        </is>
      </c>
      <c r="F133" s="12">
        <f>IFERROR(VLOOKUP(C133,Insumos!$B$5:$F$81,5,FALSE),0)</f>
        <v/>
      </c>
      <c r="G133" s="13">
        <f>D133*F133</f>
        <v/>
      </c>
      <c r="H133" s="7" t="inlineStr">
        <is>
          <t>Chile piquín y jugo de limón</t>
        </is>
      </c>
    </row>
    <row r="134">
      <c r="A134" s="7" t="n">
        <v>34</v>
      </c>
      <c r="B134" s="8" t="inlineStr">
        <is>
          <t>Mangadas de Tamarindo con Chamoy</t>
        </is>
      </c>
      <c r="C134" s="8" t="inlineStr">
        <is>
          <t>Pulpa de tamarindo</t>
        </is>
      </c>
      <c r="D134" s="8" t="n">
        <v>400</v>
      </c>
      <c r="E134" s="7" t="inlineStr">
        <is>
          <t>g</t>
        </is>
      </c>
      <c r="F134" s="12">
        <f>IFERROR(VLOOKUP(C134,Insumos!$B$5:$F$81,5,FALSE),0)</f>
        <v/>
      </c>
      <c r="G134" s="13">
        <f>D134*F134</f>
        <v/>
      </c>
      <c r="H134" s="7" t="inlineStr">
        <is>
          <t>Pulpa de tamarindo endulzada</t>
        </is>
      </c>
    </row>
    <row r="135">
      <c r="A135" s="7" t="n">
        <v>34</v>
      </c>
      <c r="B135" s="8" t="inlineStr">
        <is>
          <t>Mangadas de Tamarindo con Chamoy</t>
        </is>
      </c>
      <c r="C135" s="8" t="inlineStr">
        <is>
          <t>Chamoy líquido</t>
        </is>
      </c>
      <c r="D135" s="8" t="n">
        <v>80</v>
      </c>
      <c r="E135" s="7" t="inlineStr">
        <is>
          <t>ml</t>
        </is>
      </c>
      <c r="F135" s="12">
        <f>IFERROR(VLOOKUP(C135,Insumos!$B$5:$F$81,5,FALSE),0)</f>
        <v/>
      </c>
      <c r="G135" s="13">
        <f>D135*F135</f>
        <v/>
      </c>
      <c r="H135" s="7" t="inlineStr">
        <is>
          <t>Chamoy líquido artesanal</t>
        </is>
      </c>
    </row>
    <row r="136">
      <c r="A136" s="7" t="n">
        <v>34</v>
      </c>
      <c r="B136" s="8" t="inlineStr">
        <is>
          <t>Mangadas de Tamarindo con Chamoy</t>
        </is>
      </c>
      <c r="C136" s="8" t="inlineStr">
        <is>
          <t>Polvo enchilado tipo Miguelito</t>
        </is>
      </c>
      <c r="D136" s="8" t="n">
        <v>25</v>
      </c>
      <c r="E136" s="7" t="inlineStr">
        <is>
          <t>g</t>
        </is>
      </c>
      <c r="F136" s="12">
        <f>IFERROR(VLOOKUP(C136,Insumos!$B$5:$F$81,5,FALSE),0)</f>
        <v/>
      </c>
      <c r="G136" s="13">
        <f>D136*F136</f>
        <v/>
      </c>
      <c r="H136" s="7" t="inlineStr">
        <is>
          <t>Chile en polvo Miguelito</t>
        </is>
      </c>
    </row>
    <row r="137">
      <c r="A137" s="7" t="n">
        <v>35</v>
      </c>
      <c r="B137" s="8" t="inlineStr">
        <is>
          <t>Ciruelas Pasas Rellenas de Jamoncillo</t>
        </is>
      </c>
      <c r="C137" s="8" t="inlineStr">
        <is>
          <t>Ciruela pasa</t>
        </is>
      </c>
      <c r="D137" s="8" t="n">
        <v>200</v>
      </c>
      <c r="E137" s="7" t="inlineStr">
        <is>
          <t>g</t>
        </is>
      </c>
      <c r="F137" s="12">
        <f>IFERROR(VLOOKUP(C137,Insumos!$B$5:$F$81,5,FALSE),0)</f>
        <v/>
      </c>
      <c r="G137" s="13">
        <f>D137*F137</f>
        <v/>
      </c>
      <c r="H137" s="7" t="inlineStr">
        <is>
          <t>20 ciruelas pasas grandes (sin hueso)</t>
        </is>
      </c>
    </row>
    <row r="138">
      <c r="A138" s="7" t="n">
        <v>35</v>
      </c>
      <c r="B138" s="8" t="inlineStr">
        <is>
          <t>Ciruelas Pasas Rellenas de Jamoncillo</t>
        </is>
      </c>
      <c r="C138" s="8" t="inlineStr">
        <is>
          <t>Pasta de jamoncillo (insumo)</t>
        </is>
      </c>
      <c r="D138" s="8" t="n">
        <v>260</v>
      </c>
      <c r="E138" s="7" t="inlineStr">
        <is>
          <t>g</t>
        </is>
      </c>
      <c r="F138" s="12">
        <f>IFERROR(VLOOKUP(C138,Insumos!$B$5:$F$81,5,FALSE),0)</f>
        <v/>
      </c>
      <c r="G138" s="13">
        <f>D138*F138</f>
        <v/>
      </c>
      <c r="H138" s="7" t="inlineStr">
        <is>
          <t>1 taza de pasta de jamoncillo blanco o de piñón</t>
        </is>
      </c>
    </row>
    <row r="139">
      <c r="A139" s="7" t="n">
        <v>36</v>
      </c>
      <c r="B139" s="8" t="inlineStr">
        <is>
          <t>Higos Cristalizados Rellenos de Dulce de Leche</t>
        </is>
      </c>
      <c r="C139" s="8" t="inlineStr">
        <is>
          <t>Higo seco</t>
        </is>
      </c>
      <c r="D139" s="8" t="n">
        <v>240</v>
      </c>
      <c r="E139" s="7" t="inlineStr">
        <is>
          <t>g</t>
        </is>
      </c>
      <c r="F139" s="12">
        <f>IFERROR(VLOOKUP(C139,Insumos!$B$5:$F$81,5,FALSE),0)</f>
        <v/>
      </c>
      <c r="G139" s="13">
        <f>D139*F139</f>
        <v/>
      </c>
      <c r="H139" s="7" t="inlineStr">
        <is>
          <t>12 higos secos o semi-frescos</t>
        </is>
      </c>
    </row>
    <row r="140">
      <c r="A140" s="7" t="n">
        <v>36</v>
      </c>
      <c r="B140" s="8" t="inlineStr">
        <is>
          <t>Higos Cristalizados Rellenos de Dulce de Leche</t>
        </is>
      </c>
      <c r="C140" s="8" t="inlineStr">
        <is>
          <t>Cajeta (insumo)</t>
        </is>
      </c>
      <c r="D140" s="8" t="n">
        <v>300</v>
      </c>
      <c r="E140" s="7" t="inlineStr">
        <is>
          <t>g</t>
        </is>
      </c>
      <c r="F140" s="12">
        <f>IFERROR(VLOOKUP(C140,Insumos!$B$5:$F$81,5,FALSE),0)</f>
        <v/>
      </c>
      <c r="G140" s="13">
        <f>D140*F140</f>
        <v/>
      </c>
      <c r="H140" s="7" t="inlineStr">
        <is>
          <t>1 taza de cajeta espesa</t>
        </is>
      </c>
    </row>
    <row r="141">
      <c r="A141" s="7" t="n">
        <v>36</v>
      </c>
      <c r="B141" s="8" t="inlineStr">
        <is>
          <t>Higos Cristalizados Rellenos de Dulce de Leche</t>
        </is>
      </c>
      <c r="C141" s="8" t="inlineStr">
        <is>
          <t>Jarabe de azúcar con piloncillo</t>
        </is>
      </c>
      <c r="D141" s="8" t="n">
        <v>250</v>
      </c>
      <c r="E141" s="7" t="inlineStr">
        <is>
          <t>ml</t>
        </is>
      </c>
      <c r="F141" s="12">
        <f>IFERROR(VLOOKUP(C141,Insumos!$B$5:$F$81,5,FALSE),0)</f>
        <v/>
      </c>
      <c r="G141" s="13">
        <f>D141*F141</f>
        <v/>
      </c>
      <c r="H141" s="7" t="inlineStr">
        <is>
          <t>Jarabe de azúcar con piloncillo</t>
        </is>
      </c>
    </row>
    <row r="142">
      <c r="A142" s="7" t="n">
        <v>37</v>
      </c>
      <c r="B142" s="8" t="inlineStr">
        <is>
          <t>Nopal Cristalizado Tradicional</t>
        </is>
      </c>
      <c r="C142" s="8" t="inlineStr">
        <is>
          <t>Nopal</t>
        </is>
      </c>
      <c r="D142" s="8" t="n">
        <v>720</v>
      </c>
      <c r="E142" s="7" t="inlineStr">
        <is>
          <t>g</t>
        </is>
      </c>
      <c r="F142" s="12">
        <f>IFERROR(VLOOKUP(C142,Insumos!$B$5:$F$81,5,FALSE),0)</f>
        <v/>
      </c>
      <c r="G142" s="13">
        <f>D142*F142</f>
        <v/>
      </c>
      <c r="H142" s="7" t="inlineStr">
        <is>
          <t>6 pencas de nopal tierno, limpias y sin espinas</t>
        </is>
      </c>
    </row>
    <row r="143">
      <c r="A143" s="7" t="n">
        <v>37</v>
      </c>
      <c r="B143" s="8" t="inlineStr">
        <is>
          <t>Nopal Cristalizado Tradicional</t>
        </is>
      </c>
      <c r="C143" s="8" t="inlineStr">
        <is>
          <t>Piña</t>
        </is>
      </c>
      <c r="D143" s="8" t="n">
        <v>3</v>
      </c>
      <c r="E143" s="7" t="inlineStr">
        <is>
          <t>g</t>
        </is>
      </c>
      <c r="F143" s="12">
        <f>IFERROR(VLOOKUP(C143,Insumos!$B$5:$F$81,5,FALSE),0)</f>
        <v/>
      </c>
      <c r="G143" s="13">
        <f>D143*F143</f>
        <v/>
      </c>
      <c r="H143" s="7" t="inlineStr">
        <is>
          <t>6 pencas de nopal tierno, limpias y sin espinas</t>
        </is>
      </c>
    </row>
    <row r="144">
      <c r="A144" s="7" t="n">
        <v>37</v>
      </c>
      <c r="B144" s="8" t="inlineStr">
        <is>
          <t>Nopal Cristalizado Tradicional</t>
        </is>
      </c>
      <c r="C144" s="8" t="inlineStr">
        <is>
          <t>Azúcar refinada</t>
        </is>
      </c>
      <c r="D144" s="8" t="n">
        <v>1000</v>
      </c>
      <c r="E144" s="7" t="inlineStr">
        <is>
          <t>g</t>
        </is>
      </c>
      <c r="F144" s="12">
        <f>IFERROR(VLOOKUP(C144,Insumos!$B$5:$F$81,5,FALSE),0)</f>
        <v/>
      </c>
      <c r="G144" s="13">
        <f>D144*F144</f>
        <v/>
      </c>
      <c r="H144" s="7" t="inlineStr">
        <is>
          <t>1 kg de azúcar refinada</t>
        </is>
      </c>
    </row>
    <row r="145">
      <c r="A145" s="7" t="n">
        <v>37</v>
      </c>
      <c r="B145" s="8" t="inlineStr">
        <is>
          <t>Nopal Cristalizado Tradicional</t>
        </is>
      </c>
      <c r="C145" s="8" t="inlineStr">
        <is>
          <t>Cal viva (grado alimenticio)</t>
        </is>
      </c>
      <c r="D145" s="8" t="n">
        <v>1</v>
      </c>
      <c r="E145" s="7" t="inlineStr">
        <is>
          <t>g</t>
        </is>
      </c>
      <c r="F145" s="12">
        <f>IFERROR(VLOOKUP(C145,Insumos!$B$5:$F$81,5,FALSE),0)</f>
        <v/>
      </c>
      <c r="G145" s="13">
        <f>D145*F145</f>
        <v/>
      </c>
      <c r="H145" s="7" t="inlineStr">
        <is>
          <t>1 pizca de cal viva (hidróxido de calcio) para curar</t>
        </is>
      </c>
    </row>
    <row r="146">
      <c r="A146" s="7" t="n">
        <v>38</v>
      </c>
      <c r="B146" s="8" t="inlineStr">
        <is>
          <t>Chilacayote Cristalizado</t>
        </is>
      </c>
      <c r="C146" s="8" t="inlineStr">
        <is>
          <t>Chilacayote</t>
        </is>
      </c>
      <c r="D146" s="8" t="n">
        <v>2500</v>
      </c>
      <c r="E146" s="7" t="inlineStr">
        <is>
          <t>g</t>
        </is>
      </c>
      <c r="F146" s="12">
        <f>IFERROR(VLOOKUP(C146,Insumos!$B$5:$F$81,5,FALSE),0)</f>
        <v/>
      </c>
      <c r="G146" s="13">
        <f>D146*F146</f>
        <v/>
      </c>
      <c r="H146" s="7" t="inlineStr">
        <is>
          <t>1 chilacayote tierno en trozos</t>
        </is>
      </c>
    </row>
    <row r="147">
      <c r="A147" s="7" t="n">
        <v>38</v>
      </c>
      <c r="B147" s="8" t="inlineStr">
        <is>
          <t>Chilacayote Cristalizado</t>
        </is>
      </c>
      <c r="C147" s="8" t="inlineStr">
        <is>
          <t>Azúcar refinada</t>
        </is>
      </c>
      <c r="D147" s="8" t="n">
        <v>1000</v>
      </c>
      <c r="E147" s="7" t="inlineStr">
        <is>
          <t>g</t>
        </is>
      </c>
      <c r="F147" s="12">
        <f>IFERROR(VLOOKUP(C147,Insumos!$B$5:$F$81,5,FALSE),0)</f>
        <v/>
      </c>
      <c r="G147" s="13">
        <f>D147*F147</f>
        <v/>
      </c>
      <c r="H147" s="7" t="inlineStr">
        <is>
          <t>1 kg de azúcar blanca</t>
        </is>
      </c>
    </row>
    <row r="148">
      <c r="A148" s="7" t="n">
        <v>38</v>
      </c>
      <c r="B148" s="8" t="inlineStr">
        <is>
          <t>Chilacayote Cristalizado</t>
        </is>
      </c>
      <c r="C148" s="8" t="inlineStr">
        <is>
          <t>Cal viva (grado alimenticio)</t>
        </is>
      </c>
      <c r="D148" s="8" t="n">
        <v>10</v>
      </c>
      <c r="E148" s="7" t="inlineStr">
        <is>
          <t>g</t>
        </is>
      </c>
      <c r="F148" s="12">
        <f>IFERROR(VLOOKUP(C148,Insumos!$B$5:$F$81,5,FALSE),0)</f>
        <v/>
      </c>
      <c r="G148" s="13">
        <f>D148*F148</f>
        <v/>
      </c>
      <c r="H148" s="7" t="inlineStr">
        <is>
          <t>Cal viva para el baño de endurecimiento</t>
        </is>
      </c>
    </row>
    <row r="149">
      <c r="A149" s="7" t="n">
        <v>39</v>
      </c>
      <c r="B149" s="8" t="inlineStr">
        <is>
          <t>Limones Rellenos de Coco Cristalizados</t>
        </is>
      </c>
      <c r="C149" s="8" t="inlineStr">
        <is>
          <t>Limón</t>
        </is>
      </c>
      <c r="D149" s="8" t="n">
        <v>600</v>
      </c>
      <c r="E149" s="7" t="inlineStr">
        <is>
          <t>g</t>
        </is>
      </c>
      <c r="F149" s="12">
        <f>IFERROR(VLOOKUP(C149,Insumos!$B$5:$F$81,5,FALSE),0)</f>
        <v/>
      </c>
      <c r="G149" s="13">
        <f>D149*F149</f>
        <v/>
      </c>
      <c r="H149" s="7" t="inlineStr">
        <is>
          <t>10 limones grandes (tipo Colima o real)</t>
        </is>
      </c>
    </row>
    <row r="150">
      <c r="A150" s="7" t="n">
        <v>39</v>
      </c>
      <c r="B150" s="8" t="inlineStr">
        <is>
          <t>Limones Rellenos de Coco Cristalizados</t>
        </is>
      </c>
      <c r="C150" s="8" t="inlineStr">
        <is>
          <t>Coco rallado deshidratado</t>
        </is>
      </c>
      <c r="D150" s="8" t="n">
        <v>80</v>
      </c>
      <c r="E150" s="7" t="inlineStr">
        <is>
          <t>g</t>
        </is>
      </c>
      <c r="F150" s="12">
        <f>IFERROR(VLOOKUP(C150,Insumos!$B$5:$F$81,5,FALSE),0)</f>
        <v/>
      </c>
      <c r="G150" s="13">
        <f>D150*F150</f>
        <v/>
      </c>
      <c r="H150" s="7" t="inlineStr">
        <is>
          <t>1 taza de coco rallado dulce</t>
        </is>
      </c>
    </row>
    <row r="151">
      <c r="A151" s="7" t="n">
        <v>39</v>
      </c>
      <c r="B151" s="8" t="inlineStr">
        <is>
          <t>Limones Rellenos de Coco Cristalizados</t>
        </is>
      </c>
      <c r="C151" s="8" t="inlineStr">
        <is>
          <t>Azúcar refinada</t>
        </is>
      </c>
      <c r="D151" s="8" t="n">
        <v>800</v>
      </c>
      <c r="E151" s="7" t="inlineStr">
        <is>
          <t>g</t>
        </is>
      </c>
      <c r="F151" s="12">
        <f>IFERROR(VLOOKUP(C151,Insumos!$B$5:$F$81,5,FALSE),0)</f>
        <v/>
      </c>
      <c r="G151" s="13">
        <f>D151*F151</f>
        <v/>
      </c>
      <c r="H151" s="7" t="inlineStr">
        <is>
          <t>800 g de azúcar</t>
        </is>
      </c>
    </row>
    <row r="152">
      <c r="A152" s="7" t="n">
        <v>40</v>
      </c>
      <c r="B152" s="8" t="inlineStr">
        <is>
          <t>Camote Cristalizado de Puebla</t>
        </is>
      </c>
      <c r="C152" s="8" t="inlineStr">
        <is>
          <t>Camote</t>
        </is>
      </c>
      <c r="D152" s="8" t="n">
        <v>1000</v>
      </c>
      <c r="E152" s="7" t="inlineStr">
        <is>
          <t>g</t>
        </is>
      </c>
      <c r="F152" s="12">
        <f>IFERROR(VLOOKUP(C152,Insumos!$B$5:$F$81,5,FALSE),0)</f>
        <v/>
      </c>
      <c r="G152" s="13">
        <f>D152*F152</f>
        <v/>
      </c>
      <c r="H152" s="7" t="inlineStr">
        <is>
          <t>1 kg de camotes amarillos o morados medianos</t>
        </is>
      </c>
    </row>
    <row r="153">
      <c r="A153" s="7" t="n">
        <v>40</v>
      </c>
      <c r="B153" s="8" t="inlineStr">
        <is>
          <t>Camote Cristalizado de Puebla</t>
        </is>
      </c>
      <c r="C153" s="8" t="inlineStr">
        <is>
          <t>Piloncillo</t>
        </is>
      </c>
      <c r="D153" s="8" t="n">
        <v>800</v>
      </c>
      <c r="E153" s="7" t="inlineStr">
        <is>
          <t>g</t>
        </is>
      </c>
      <c r="F153" s="12">
        <f>IFERROR(VLOOKUP(C153,Insumos!$B$5:$F$81,5,FALSE),0)</f>
        <v/>
      </c>
      <c r="G153" s="13">
        <f>D153*F153</f>
        <v/>
      </c>
      <c r="H153" s="7" t="inlineStr">
        <is>
          <t>800 g de piloncillo o azúcar</t>
        </is>
      </c>
    </row>
    <row r="154">
      <c r="A154" s="7" t="n">
        <v>40</v>
      </c>
      <c r="B154" s="8" t="inlineStr">
        <is>
          <t>Camote Cristalizado de Puebla</t>
        </is>
      </c>
      <c r="C154" s="8" t="inlineStr">
        <is>
          <t>Canela en raja</t>
        </is>
      </c>
      <c r="D154" s="8" t="n">
        <v>3</v>
      </c>
      <c r="E154" s="7" t="inlineStr">
        <is>
          <t>g</t>
        </is>
      </c>
      <c r="F154" s="12">
        <f>IFERROR(VLOOKUP(C154,Insumos!$B$5:$F$81,5,FALSE),0)</f>
        <v/>
      </c>
      <c r="G154" s="13">
        <f>D154*F154</f>
        <v/>
      </c>
      <c r="H154" s="7" t="inlineStr">
        <is>
          <t>1 rajita de canela</t>
        </is>
      </c>
    </row>
    <row r="155">
      <c r="A155" s="7" t="n">
        <v>41</v>
      </c>
      <c r="B155" s="8" t="inlineStr">
        <is>
          <t>Alfeñique Tradicional (Calaveritas de Azúcar)</t>
        </is>
      </c>
      <c r="C155" s="8" t="inlineStr">
        <is>
          <t>Azúcar refinada</t>
        </is>
      </c>
      <c r="D155" s="8" t="n">
        <v>1000</v>
      </c>
      <c r="E155" s="7" t="inlineStr">
        <is>
          <t>g</t>
        </is>
      </c>
      <c r="F155" s="12">
        <f>IFERROR(VLOOKUP(C155,Insumos!$B$5:$F$81,5,FALSE),0)</f>
        <v/>
      </c>
      <c r="G155" s="13">
        <f>D155*F155</f>
        <v/>
      </c>
      <c r="H155" s="7" t="inlineStr">
        <is>
          <t>1 kg de azúcar refinada</t>
        </is>
      </c>
    </row>
    <row r="156">
      <c r="A156" s="7" t="n">
        <v>41</v>
      </c>
      <c r="B156" s="8" t="inlineStr">
        <is>
          <t>Alfeñique Tradicional (Calaveritas de Azúcar)</t>
        </is>
      </c>
      <c r="C156" s="8" t="inlineStr">
        <is>
          <t>Agua de chía</t>
        </is>
      </c>
      <c r="D156" s="8" t="n">
        <v>60</v>
      </c>
      <c r="E156" s="7" t="inlineStr">
        <is>
          <t>ml</t>
        </is>
      </c>
      <c r="F156" s="12">
        <f>IFERROR(VLOOKUP(C156,Insumos!$B$5:$F$81,5,FALSE),0)</f>
        <v/>
      </c>
      <c r="G156" s="13">
        <f>D156*F156</f>
        <v/>
      </c>
      <c r="H156" s="7" t="inlineStr">
        <is>
          <t>1/4 taza de agua de chía o agua simple</t>
        </is>
      </c>
    </row>
    <row r="157">
      <c r="A157" s="7" t="n">
        <v>41</v>
      </c>
      <c r="B157" s="8" t="inlineStr">
        <is>
          <t>Alfeñique Tradicional (Calaveritas de Azúcar)</t>
        </is>
      </c>
      <c r="C157" s="8" t="inlineStr">
        <is>
          <t>Huevo</t>
        </is>
      </c>
      <c r="D157" s="8" t="n">
        <v>1</v>
      </c>
      <c r="E157" s="7" t="inlineStr">
        <is>
          <t>pza</t>
        </is>
      </c>
      <c r="F157" s="12">
        <f>IFERROR(VLOOKUP(C157,Insumos!$B$5:$F$81,5,FALSE),0)</f>
        <v/>
      </c>
      <c r="G157" s="13">
        <f>D157*F157</f>
        <v/>
      </c>
      <c r="H157" s="7" t="inlineStr">
        <is>
          <t>1 clara de huevo</t>
        </is>
      </c>
    </row>
    <row r="158">
      <c r="A158" s="7" t="n">
        <v>41</v>
      </c>
      <c r="B158" s="8" t="inlineStr">
        <is>
          <t>Alfeñique Tradicional (Calaveritas de Azúcar)</t>
        </is>
      </c>
      <c r="C158" s="8" t="inlineStr">
        <is>
          <t>Limón</t>
        </is>
      </c>
      <c r="D158" s="8" t="n">
        <v>3.12</v>
      </c>
      <c r="E158" s="7" t="inlineStr">
        <is>
          <t>g</t>
        </is>
      </c>
      <c r="F158" s="12">
        <f>IFERROR(VLOOKUP(C158,Insumos!$B$5:$F$81,5,FALSE),0)</f>
        <v/>
      </c>
      <c r="G158" s="13">
        <f>D158*F158</f>
        <v/>
      </c>
      <c r="H158" s="7" t="inlineStr">
        <is>
          <t>1 cucharadita de jugo de limón</t>
        </is>
      </c>
    </row>
    <row r="159">
      <c r="A159" s="7" t="n">
        <v>41</v>
      </c>
      <c r="B159" s="8" t="inlineStr">
        <is>
          <t>Alfeñique Tradicional (Calaveritas de Azúcar)</t>
        </is>
      </c>
      <c r="C159" s="8" t="inlineStr">
        <is>
          <t>Colorante vegetal</t>
        </is>
      </c>
      <c r="D159" s="8" t="n">
        <v>3</v>
      </c>
      <c r="E159" s="7" t="inlineStr">
        <is>
          <t>ml</t>
        </is>
      </c>
      <c r="F159" s="12">
        <f>IFERROR(VLOOKUP(C159,Insumos!$B$5:$F$81,5,FALSE),0)</f>
        <v/>
      </c>
      <c r="G159" s="13">
        <f>D159*F159</f>
        <v/>
      </c>
      <c r="H159" s="7" t="inlineStr">
        <is>
          <t>Colorantes vegetales y papel de ixtle o brillante para decorar</t>
        </is>
      </c>
    </row>
    <row r="160">
      <c r="A160" s="7" t="n">
        <v>42</v>
      </c>
      <c r="B160" s="8" t="inlineStr">
        <is>
          <t>Muéganos Poblanos Tradicionales</t>
        </is>
      </c>
      <c r="C160" s="8" t="inlineStr">
        <is>
          <t>Harina de trigo</t>
        </is>
      </c>
      <c r="D160" s="8" t="n">
        <v>240</v>
      </c>
      <c r="E160" s="7" t="inlineStr">
        <is>
          <t>g</t>
        </is>
      </c>
      <c r="F160" s="12">
        <f>IFERROR(VLOOKUP(C160,Insumos!$B$5:$F$81,5,FALSE),0)</f>
        <v/>
      </c>
      <c r="G160" s="13">
        <f>D160*F160</f>
        <v/>
      </c>
      <c r="H160" s="7" t="inlineStr">
        <is>
          <t>2 tazas de harina de trigo</t>
        </is>
      </c>
    </row>
    <row r="161">
      <c r="A161" s="7" t="n">
        <v>42</v>
      </c>
      <c r="B161" s="8" t="inlineStr">
        <is>
          <t>Muéganos Poblanos Tradicionales</t>
        </is>
      </c>
      <c r="C161" s="8" t="inlineStr">
        <is>
          <t>Agua purificada</t>
        </is>
      </c>
      <c r="D161" s="8" t="n">
        <v>120</v>
      </c>
      <c r="E161" s="7" t="inlineStr">
        <is>
          <t>ml</t>
        </is>
      </c>
      <c r="F161" s="12">
        <f>IFERROR(VLOOKUP(C161,Insumos!$B$5:$F$81,5,FALSE),0)</f>
        <v/>
      </c>
      <c r="G161" s="13">
        <f>D161*F161</f>
        <v/>
      </c>
      <c r="H161" s="7" t="inlineStr">
        <is>
          <t>1/2 taza de agua, 2 cucharadas de aceite y 1 pizca de sal</t>
        </is>
      </c>
    </row>
    <row r="162">
      <c r="A162" s="7" t="n">
        <v>42</v>
      </c>
      <c r="B162" s="8" t="inlineStr">
        <is>
          <t>Muéganos Poblanos Tradicionales</t>
        </is>
      </c>
      <c r="C162" s="8" t="inlineStr">
        <is>
          <t>Aceite vegetal</t>
        </is>
      </c>
      <c r="D162" s="8" t="n">
        <v>30</v>
      </c>
      <c r="E162" s="7" t="inlineStr">
        <is>
          <t>ml</t>
        </is>
      </c>
      <c r="F162" s="12">
        <f>IFERROR(VLOOKUP(C162,Insumos!$B$5:$F$81,5,FALSE),0)</f>
        <v/>
      </c>
      <c r="G162" s="13">
        <f>D162*F162</f>
        <v/>
      </c>
      <c r="H162" s="7" t="inlineStr">
        <is>
          <t>1/2 taza de agua, 2 cucharadas de aceite y 1 pizca de sal</t>
        </is>
      </c>
    </row>
    <row r="163">
      <c r="A163" s="7" t="n">
        <v>42</v>
      </c>
      <c r="B163" s="8" t="inlineStr">
        <is>
          <t>Muéganos Poblanos Tradicionales</t>
        </is>
      </c>
      <c r="C163" s="8" t="inlineStr">
        <is>
          <t>Sal fina</t>
        </is>
      </c>
      <c r="D163" s="8" t="n">
        <v>1</v>
      </c>
      <c r="E163" s="7" t="inlineStr">
        <is>
          <t>g</t>
        </is>
      </c>
      <c r="F163" s="12">
        <f>IFERROR(VLOOKUP(C163,Insumos!$B$5:$F$81,5,FALSE),0)</f>
        <v/>
      </c>
      <c r="G163" s="13">
        <f>D163*F163</f>
        <v/>
      </c>
      <c r="H163" s="7" t="inlineStr">
        <is>
          <t>1/2 taza de agua, 2 cucharadas de aceite y 1 pizca de sal</t>
        </is>
      </c>
    </row>
    <row r="164">
      <c r="A164" s="7" t="n">
        <v>42</v>
      </c>
      <c r="B164" s="8" t="inlineStr">
        <is>
          <t>Muéganos Poblanos Tradicionales</t>
        </is>
      </c>
      <c r="C164" s="8" t="inlineStr">
        <is>
          <t>Piloncillo</t>
        </is>
      </c>
      <c r="D164" s="8" t="n">
        <v>190</v>
      </c>
      <c r="E164" s="7" t="inlineStr">
        <is>
          <t>g</t>
        </is>
      </c>
      <c r="F164" s="12">
        <f>IFERROR(VLOOKUP(C164,Insumos!$B$5:$F$81,5,FALSE),0)</f>
        <v/>
      </c>
      <c r="G164" s="13">
        <f>D164*F164</f>
        <v/>
      </c>
      <c r="H164" s="7" t="inlineStr">
        <is>
          <t>1 taza de piloncillo y 1/2 taza de agua (para el jarabe de unión)</t>
        </is>
      </c>
    </row>
    <row r="165">
      <c r="A165" s="7" t="n">
        <v>42</v>
      </c>
      <c r="B165" s="8" t="inlineStr">
        <is>
          <t>Muéganos Poblanos Tradicionales</t>
        </is>
      </c>
      <c r="C165" s="8" t="inlineStr">
        <is>
          <t>Agua purificada</t>
        </is>
      </c>
      <c r="D165" s="8" t="n">
        <v>120</v>
      </c>
      <c r="E165" s="7" t="inlineStr">
        <is>
          <t>ml</t>
        </is>
      </c>
      <c r="F165" s="12">
        <f>IFERROR(VLOOKUP(C165,Insumos!$B$5:$F$81,5,FALSE),0)</f>
        <v/>
      </c>
      <c r="G165" s="13">
        <f>D165*F165</f>
        <v/>
      </c>
      <c r="H165" s="7" t="inlineStr">
        <is>
          <t>1 taza de piloncillo y 1/2 taza de agua (para el jarabe de unión)</t>
        </is>
      </c>
    </row>
    <row r="166">
      <c r="A166" s="7" t="n">
        <v>42</v>
      </c>
      <c r="B166" s="8" t="inlineStr">
        <is>
          <t>Muéganos Poblanos Tradicionales</t>
        </is>
      </c>
      <c r="C166" s="8" t="inlineStr">
        <is>
          <t>Aceite vegetal</t>
        </is>
      </c>
      <c r="D166" s="8" t="n">
        <v>300</v>
      </c>
      <c r="E166" s="7" t="inlineStr">
        <is>
          <t>ml</t>
        </is>
      </c>
      <c r="F166" s="12">
        <f>IFERROR(VLOOKUP(C166,Insumos!$B$5:$F$81,5,FALSE),0)</f>
        <v/>
      </c>
      <c r="G166" s="13">
        <f>D166*F166</f>
        <v/>
      </c>
      <c r="H166" s="7" t="inlineStr">
        <is>
          <t>Aceite para freír</t>
        </is>
      </c>
    </row>
    <row r="167">
      <c r="A167" s="7" t="n">
        <v>43</v>
      </c>
      <c r="B167" s="8" t="inlineStr">
        <is>
          <t>Jamoncillo de Pepita y Chocolate (Bicolor)</t>
        </is>
      </c>
      <c r="C167" s="8" t="inlineStr">
        <is>
          <t>Pepita de calabaza</t>
        </is>
      </c>
      <c r="D167" s="8" t="n">
        <v>260</v>
      </c>
      <c r="E167" s="7" t="inlineStr">
        <is>
          <t>g</t>
        </is>
      </c>
      <c r="F167" s="12">
        <f>IFERROR(VLOOKUP(C167,Insumos!$B$5:$F$81,5,FALSE),0)</f>
        <v/>
      </c>
      <c r="G167" s="13">
        <f>D167*F167</f>
        <v/>
      </c>
      <c r="H167" s="7" t="inlineStr">
        <is>
          <t>2 tazas de pepita de calabaza molida</t>
        </is>
      </c>
    </row>
    <row r="168">
      <c r="A168" s="7" t="n">
        <v>43</v>
      </c>
      <c r="B168" s="8" t="inlineStr">
        <is>
          <t>Jamoncillo de Pepita y Chocolate (Bicolor)</t>
        </is>
      </c>
      <c r="C168" s="8" t="inlineStr">
        <is>
          <t>Azúcar refinada</t>
        </is>
      </c>
      <c r="D168" s="8" t="n">
        <v>300</v>
      </c>
      <c r="E168" s="7" t="inlineStr">
        <is>
          <t>g</t>
        </is>
      </c>
      <c r="F168" s="12">
        <f>IFERROR(VLOOKUP(C168,Insumos!$B$5:$F$81,5,FALSE),0)</f>
        <v/>
      </c>
      <c r="G168" s="13">
        <f>D168*F168</f>
        <v/>
      </c>
      <c r="H168" s="7" t="inlineStr">
        <is>
          <t>1.5 tazas de azúcar y 1/2 taza de leche</t>
        </is>
      </c>
    </row>
    <row r="169">
      <c r="A169" s="7" t="n">
        <v>43</v>
      </c>
      <c r="B169" s="8" t="inlineStr">
        <is>
          <t>Jamoncillo de Pepita y Chocolate (Bicolor)</t>
        </is>
      </c>
      <c r="C169" s="8" t="inlineStr">
        <is>
          <t>Leche entera</t>
        </is>
      </c>
      <c r="D169" s="8" t="n">
        <v>120</v>
      </c>
      <c r="E169" s="7" t="inlineStr">
        <is>
          <t>ml</t>
        </is>
      </c>
      <c r="F169" s="12">
        <f>IFERROR(VLOOKUP(C169,Insumos!$B$5:$F$81,5,FALSE),0)</f>
        <v/>
      </c>
      <c r="G169" s="13">
        <f>D169*F169</f>
        <v/>
      </c>
      <c r="H169" s="7" t="inlineStr">
        <is>
          <t>1.5 tazas de azúcar y 1/2 taza de leche</t>
        </is>
      </c>
    </row>
    <row r="170">
      <c r="A170" s="7" t="n">
        <v>43</v>
      </c>
      <c r="B170" s="8" t="inlineStr">
        <is>
          <t>Jamoncillo de Pepita y Chocolate (Bicolor)</t>
        </is>
      </c>
      <c r="C170" s="8" t="inlineStr">
        <is>
          <t>Cocoa amarga en polvo</t>
        </is>
      </c>
      <c r="D170" s="8" t="n">
        <v>15.94</v>
      </c>
      <c r="E170" s="7" t="inlineStr">
        <is>
          <t>g</t>
        </is>
      </c>
      <c r="F170" s="12">
        <f>IFERROR(VLOOKUP(C170,Insumos!$B$5:$F$81,5,FALSE),0)</f>
        <v/>
      </c>
      <c r="G170" s="13">
        <f>D170*F170</f>
        <v/>
      </c>
      <c r="H170" s="7" t="inlineStr">
        <is>
          <t>3 cucharadas de cocoa amarga en polvo (para la capa de chocolate)</t>
        </is>
      </c>
    </row>
    <row r="171">
      <c r="A171" s="7" t="n">
        <v>44</v>
      </c>
      <c r="B171" s="8" t="inlineStr">
        <is>
          <t>Dulce de Pera Cristalizada</t>
        </is>
      </c>
      <c r="C171" s="8" t="inlineStr">
        <is>
          <t>Pera</t>
        </is>
      </c>
      <c r="D171" s="8" t="n">
        <v>1120</v>
      </c>
      <c r="E171" s="7" t="inlineStr">
        <is>
          <t>g</t>
        </is>
      </c>
      <c r="F171" s="12">
        <f>IFERROR(VLOOKUP(C171,Insumos!$B$5:$F$81,5,FALSE),0)</f>
        <v/>
      </c>
      <c r="G171" s="13">
        <f>D171*F171</f>
        <v/>
      </c>
      <c r="H171" s="7" t="inlineStr">
        <is>
          <t>8 peras firmes pequeñas enteras con rabito</t>
        </is>
      </c>
    </row>
    <row r="172">
      <c r="A172" s="7" t="n">
        <v>44</v>
      </c>
      <c r="B172" s="8" t="inlineStr">
        <is>
          <t>Dulce de Pera Cristalizada</t>
        </is>
      </c>
      <c r="C172" s="8" t="inlineStr">
        <is>
          <t>Azúcar refinada</t>
        </is>
      </c>
      <c r="D172" s="8" t="n">
        <v>800</v>
      </c>
      <c r="E172" s="7" t="inlineStr">
        <is>
          <t>g</t>
        </is>
      </c>
      <c r="F172" s="12">
        <f>IFERROR(VLOOKUP(C172,Insumos!$B$5:$F$81,5,FALSE),0)</f>
        <v/>
      </c>
      <c r="G172" s="13">
        <f>D172*F172</f>
        <v/>
      </c>
      <c r="H172" s="7" t="inlineStr">
        <is>
          <t>800 g de azúcar</t>
        </is>
      </c>
    </row>
    <row r="173">
      <c r="A173" s="7" t="n">
        <v>44</v>
      </c>
      <c r="B173" s="8" t="inlineStr">
        <is>
          <t>Dulce de Pera Cristalizada</t>
        </is>
      </c>
      <c r="C173" s="8" t="inlineStr">
        <is>
          <t>Agua purificada</t>
        </is>
      </c>
      <c r="D173" s="8" t="n">
        <v>500</v>
      </c>
      <c r="E173" s="7" t="inlineStr">
        <is>
          <t>ml</t>
        </is>
      </c>
      <c r="F173" s="12">
        <f>IFERROR(VLOOKUP(C173,Insumos!$B$5:$F$81,5,FALSE),0)</f>
        <v/>
      </c>
      <c r="G173" s="13">
        <f>D173*F173</f>
        <v/>
      </c>
      <c r="H173" s="7" t="inlineStr">
        <is>
          <t>Agua y canela</t>
        </is>
      </c>
    </row>
    <row r="174">
      <c r="A174" s="7" t="n">
        <v>44</v>
      </c>
      <c r="B174" s="8" t="inlineStr">
        <is>
          <t>Dulce de Pera Cristalizada</t>
        </is>
      </c>
      <c r="C174" s="8" t="inlineStr">
        <is>
          <t>Canela en polvo</t>
        </is>
      </c>
      <c r="D174" s="8" t="n">
        <v>5</v>
      </c>
      <c r="E174" s="7" t="inlineStr">
        <is>
          <t>g</t>
        </is>
      </c>
      <c r="F174" s="12">
        <f>IFERROR(VLOOKUP(C174,Insumos!$B$5:$F$81,5,FALSE),0)</f>
        <v/>
      </c>
      <c r="G174" s="13">
        <f>D174*F174</f>
        <v/>
      </c>
      <c r="H174" s="7" t="inlineStr">
        <is>
          <t>Agua y canela</t>
        </is>
      </c>
    </row>
    <row r="175">
      <c r="A175" s="7" t="n">
        <v>45</v>
      </c>
      <c r="B175" s="8" t="inlineStr">
        <is>
          <t>Macarrones de Leche de Monterrey</t>
        </is>
      </c>
      <c r="C175" s="8" t="inlineStr">
        <is>
          <t>Leche de cabra</t>
        </is>
      </c>
      <c r="D175" s="8" t="n">
        <v>1000</v>
      </c>
      <c r="E175" s="7" t="inlineStr">
        <is>
          <t>ml</t>
        </is>
      </c>
      <c r="F175" s="12">
        <f>IFERROR(VLOOKUP(C175,Insumos!$B$5:$F$81,5,FALSE),0)</f>
        <v/>
      </c>
      <c r="G175" s="13">
        <f>D175*F175</f>
        <v/>
      </c>
      <c r="H175" s="7" t="inlineStr">
        <is>
          <t>1 litro de leche de cabra o entera</t>
        </is>
      </c>
    </row>
    <row r="176">
      <c r="A176" s="7" t="n">
        <v>45</v>
      </c>
      <c r="B176" s="8" t="inlineStr">
        <is>
          <t>Macarrones de Leche de Monterrey</t>
        </is>
      </c>
      <c r="C176" s="8" t="inlineStr">
        <is>
          <t>Azúcar refinada</t>
        </is>
      </c>
      <c r="D176" s="8" t="n">
        <v>400</v>
      </c>
      <c r="E176" s="7" t="inlineStr">
        <is>
          <t>g</t>
        </is>
      </c>
      <c r="F176" s="12">
        <f>IFERROR(VLOOKUP(C176,Insumos!$B$5:$F$81,5,FALSE),0)</f>
        <v/>
      </c>
      <c r="G176" s="13">
        <f>D176*F176</f>
        <v/>
      </c>
      <c r="H176" s="7" t="inlineStr">
        <is>
          <t>400 g de azúcar</t>
        </is>
      </c>
    </row>
    <row r="177">
      <c r="A177" s="7" t="n">
        <v>45</v>
      </c>
      <c r="B177" s="8" t="inlineStr">
        <is>
          <t>Macarrones de Leche de Monterrey</t>
        </is>
      </c>
      <c r="C177" s="8" t="inlineStr">
        <is>
          <t>Harina de trigo</t>
        </is>
      </c>
      <c r="D177" s="8" t="n">
        <v>7.5</v>
      </c>
      <c r="E177" s="7" t="inlineStr">
        <is>
          <t>g</t>
        </is>
      </c>
      <c r="F177" s="12">
        <f>IFERROR(VLOOKUP(C177,Insumos!$B$5:$F$81,5,FALSE),0)</f>
        <v/>
      </c>
      <c r="G177" s="13">
        <f>D177*F177</f>
        <v/>
      </c>
      <c r="H177" s="7" t="inlineStr">
        <is>
          <t>1 cucharada de harina de trigo</t>
        </is>
      </c>
    </row>
    <row r="178">
      <c r="A178" s="7" t="n">
        <v>45</v>
      </c>
      <c r="B178" s="8" t="inlineStr">
        <is>
          <t>Macarrones de Leche de Monterrey</t>
        </is>
      </c>
      <c r="C178" s="8" t="inlineStr">
        <is>
          <t>Canela en polvo</t>
        </is>
      </c>
      <c r="D178" s="8" t="n">
        <v>5</v>
      </c>
      <c r="E178" s="7" t="inlineStr">
        <is>
          <t>g</t>
        </is>
      </c>
      <c r="F178" s="12">
        <f>IFERROR(VLOOKUP(C178,Insumos!$B$5:$F$81,5,FALSE),0)</f>
        <v/>
      </c>
      <c r="G178" s="13">
        <f>D178*F178</f>
        <v/>
      </c>
      <c r="H178" s="7" t="inlineStr">
        <is>
          <t>Canela en polvo</t>
        </is>
      </c>
    </row>
    <row r="179">
      <c r="A179" s="7" t="n">
        <v>46</v>
      </c>
      <c r="B179" s="8" t="inlineStr">
        <is>
          <t>Jamoncillo de Fresa y Leche</t>
        </is>
      </c>
      <c r="C179" s="8" t="inlineStr">
        <is>
          <t>Leche entera</t>
        </is>
      </c>
      <c r="D179" s="8" t="n">
        <v>1000</v>
      </c>
      <c r="E179" s="7" t="inlineStr">
        <is>
          <t>ml</t>
        </is>
      </c>
      <c r="F179" s="12">
        <f>IFERROR(VLOOKUP(C179,Insumos!$B$5:$F$81,5,FALSE),0)</f>
        <v/>
      </c>
      <c r="G179" s="13">
        <f>D179*F179</f>
        <v/>
      </c>
      <c r="H179" s="7" t="inlineStr">
        <is>
          <t>1 litro de leche y 500 g de azúcar</t>
        </is>
      </c>
    </row>
    <row r="180">
      <c r="A180" s="7" t="n">
        <v>46</v>
      </c>
      <c r="B180" s="8" t="inlineStr">
        <is>
          <t>Jamoncillo de Fresa y Leche</t>
        </is>
      </c>
      <c r="C180" s="8" t="inlineStr">
        <is>
          <t>Azúcar refinada</t>
        </is>
      </c>
      <c r="D180" s="8" t="n">
        <v>500</v>
      </c>
      <c r="E180" s="7" t="inlineStr">
        <is>
          <t>g</t>
        </is>
      </c>
      <c r="F180" s="12">
        <f>IFERROR(VLOOKUP(C180,Insumos!$B$5:$F$81,5,FALSE),0)</f>
        <v/>
      </c>
      <c r="G180" s="13">
        <f>D180*F180</f>
        <v/>
      </c>
      <c r="H180" s="7" t="inlineStr">
        <is>
          <t>1 litro de leche y 500 g de azúcar</t>
        </is>
      </c>
    </row>
    <row r="181">
      <c r="A181" s="7" t="n">
        <v>46</v>
      </c>
      <c r="B181" s="8" t="inlineStr">
        <is>
          <t>Jamoncillo de Fresa y Leche</t>
        </is>
      </c>
      <c r="C181" s="8" t="inlineStr">
        <is>
          <t>Fresa</t>
        </is>
      </c>
      <c r="D181" s="8" t="n">
        <v>100</v>
      </c>
      <c r="E181" s="7" t="inlineStr">
        <is>
          <t>g</t>
        </is>
      </c>
      <c r="F181" s="12">
        <f>IFERROR(VLOOKUP(C181,Insumos!$B$5:$F$81,5,FALSE),0)</f>
        <v/>
      </c>
      <c r="G181" s="13">
        <f>D181*F181</f>
        <v/>
      </c>
      <c r="H181" s="7" t="inlineStr">
        <is>
          <t>1/2 taza de puré de fresa natural</t>
        </is>
      </c>
    </row>
    <row r="182">
      <c r="A182" s="7" t="n">
        <v>46</v>
      </c>
      <c r="B182" s="8" t="inlineStr">
        <is>
          <t>Jamoncillo de Fresa y Leche</t>
        </is>
      </c>
      <c r="C182" s="8" t="inlineStr">
        <is>
          <t>Colorante vegetal</t>
        </is>
      </c>
      <c r="D182" s="8" t="n">
        <v>3</v>
      </c>
      <c r="E182" s="7" t="inlineStr">
        <is>
          <t>ml</t>
        </is>
      </c>
      <c r="F182" s="12">
        <f>IFERROR(VLOOKUP(C182,Insumos!$B$5:$F$81,5,FALSE),0)</f>
        <v/>
      </c>
      <c r="G182" s="13">
        <f>D182*F182</f>
        <v/>
      </c>
      <c r="H182" s="7" t="inlineStr">
        <is>
          <t>Colorante rosa natural</t>
        </is>
      </c>
    </row>
    <row r="183">
      <c r="A183" s="7" t="n">
        <v>47</v>
      </c>
      <c r="B183" s="8" t="inlineStr">
        <is>
          <t>Chancaquillas (Dulces de Piloncillo y Nueces)</t>
        </is>
      </c>
      <c r="C183" s="8" t="inlineStr">
        <is>
          <t>Piloncillo</t>
        </is>
      </c>
      <c r="D183" s="8" t="n">
        <v>300</v>
      </c>
      <c r="E183" s="7" t="inlineStr">
        <is>
          <t>g</t>
        </is>
      </c>
      <c r="F183" s="12">
        <f>IFERROR(VLOOKUP(C183,Insumos!$B$5:$F$81,5,FALSE),0)</f>
        <v/>
      </c>
      <c r="G183" s="13">
        <f>D183*F183</f>
        <v/>
      </c>
      <c r="H183" s="7" t="inlineStr">
        <is>
          <t>300 g de piloncillo</t>
        </is>
      </c>
    </row>
    <row r="184">
      <c r="A184" s="7" t="n">
        <v>47</v>
      </c>
      <c r="B184" s="8" t="inlineStr">
        <is>
          <t>Chancaquillas (Dulces de Piloncillo y Nueces)</t>
        </is>
      </c>
      <c r="C184" s="8" t="inlineStr">
        <is>
          <t>Agua purificada</t>
        </is>
      </c>
      <c r="D184" s="8" t="n">
        <v>60</v>
      </c>
      <c r="E184" s="7" t="inlineStr">
        <is>
          <t>ml</t>
        </is>
      </c>
      <c r="F184" s="12">
        <f>IFERROR(VLOOKUP(C184,Insumos!$B$5:$F$81,5,FALSE),0)</f>
        <v/>
      </c>
      <c r="G184" s="13">
        <f>D184*F184</f>
        <v/>
      </c>
      <c r="H184" s="7" t="inlineStr">
        <is>
          <t>1/4 taza de agua y 1 cucharada de anís en grano</t>
        </is>
      </c>
    </row>
    <row r="185">
      <c r="A185" s="7" t="n">
        <v>47</v>
      </c>
      <c r="B185" s="8" t="inlineStr">
        <is>
          <t>Chancaquillas (Dulces de Piloncillo y Nueces)</t>
        </is>
      </c>
      <c r="C185" s="8" t="inlineStr">
        <is>
          <t>Anís en grano</t>
        </is>
      </c>
      <c r="D185" s="8" t="n">
        <v>9.380000000000001</v>
      </c>
      <c r="E185" s="7" t="inlineStr">
        <is>
          <t>g</t>
        </is>
      </c>
      <c r="F185" s="12">
        <f>IFERROR(VLOOKUP(C185,Insumos!$B$5:$F$81,5,FALSE),0)</f>
        <v/>
      </c>
      <c r="G185" s="13">
        <f>D185*F185</f>
        <v/>
      </c>
      <c r="H185" s="7" t="inlineStr">
        <is>
          <t>1/4 taza de agua y 1 cucharada de anís en grano</t>
        </is>
      </c>
    </row>
    <row r="186">
      <c r="A186" s="7" t="n">
        <v>47</v>
      </c>
      <c r="B186" s="8" t="inlineStr">
        <is>
          <t>Chancaquillas (Dulces de Piloncillo y Nueces)</t>
        </is>
      </c>
      <c r="C186" s="8" t="inlineStr">
        <is>
          <t>Nuez de Castilla</t>
        </is>
      </c>
      <c r="D186" s="8" t="n">
        <v>115</v>
      </c>
      <c r="E186" s="7" t="inlineStr">
        <is>
          <t>g</t>
        </is>
      </c>
      <c r="F186" s="12">
        <f>IFERROR(VLOOKUP(C186,Insumos!$B$5:$F$81,5,FALSE),0)</f>
        <v/>
      </c>
      <c r="G186" s="13">
        <f>D186*F186</f>
        <v/>
      </c>
      <c r="H186" s="7" t="inlineStr">
        <is>
          <t>1 taza de nueces de Castilla picadas groseramente</t>
        </is>
      </c>
    </row>
    <row r="187">
      <c r="A187" s="7" t="n">
        <v>48</v>
      </c>
      <c r="B187" s="8" t="inlineStr">
        <is>
          <t>Pepitas Enmieladas con Canela</t>
        </is>
      </c>
      <c r="C187" s="8" t="inlineStr">
        <is>
          <t>Pepita de calabaza</t>
        </is>
      </c>
      <c r="D187" s="8" t="n">
        <v>260</v>
      </c>
      <c r="E187" s="7" t="inlineStr">
        <is>
          <t>g</t>
        </is>
      </c>
      <c r="F187" s="12">
        <f>IFERROR(VLOOKUP(C187,Insumos!$B$5:$F$81,5,FALSE),0)</f>
        <v/>
      </c>
      <c r="G187" s="13">
        <f>D187*F187</f>
        <v/>
      </c>
      <c r="H187" s="7" t="inlineStr">
        <is>
          <t>2 tazas de pepitas de calabaza</t>
        </is>
      </c>
    </row>
    <row r="188">
      <c r="A188" s="7" t="n">
        <v>48</v>
      </c>
      <c r="B188" s="8" t="inlineStr">
        <is>
          <t>Pepitas Enmieladas con Canela</t>
        </is>
      </c>
      <c r="C188" s="8" t="inlineStr">
        <is>
          <t>Azúcar mascabado</t>
        </is>
      </c>
      <c r="D188" s="8" t="n">
        <v>220</v>
      </c>
      <c r="E188" s="7" t="inlineStr">
        <is>
          <t>g</t>
        </is>
      </c>
      <c r="F188" s="12">
        <f>IFERROR(VLOOKUP(C188,Insumos!$B$5:$F$81,5,FALSE),0)</f>
        <v/>
      </c>
      <c r="G188" s="13">
        <f>D188*F188</f>
        <v/>
      </c>
      <c r="H188" s="7" t="inlineStr">
        <is>
          <t>1 taza de azúcar mascabado</t>
        </is>
      </c>
    </row>
    <row r="189">
      <c r="A189" s="7" t="n">
        <v>48</v>
      </c>
      <c r="B189" s="8" t="inlineStr">
        <is>
          <t>Pepitas Enmieladas con Canela</t>
        </is>
      </c>
      <c r="C189" s="8" t="inlineStr">
        <is>
          <t>Canela en polvo</t>
        </is>
      </c>
      <c r="D189" s="8" t="n">
        <v>3.12</v>
      </c>
      <c r="E189" s="7" t="inlineStr">
        <is>
          <t>g</t>
        </is>
      </c>
      <c r="F189" s="12">
        <f>IFERROR(VLOOKUP(C189,Insumos!$B$5:$F$81,5,FALSE),0)</f>
        <v/>
      </c>
      <c r="G189" s="13">
        <f>D189*F189</f>
        <v/>
      </c>
      <c r="H189" s="7" t="inlineStr">
        <is>
          <t>1 cucharadita de canela en polvo y 2 cucharadas de agua</t>
        </is>
      </c>
    </row>
    <row r="190">
      <c r="A190" s="7" t="n">
        <v>48</v>
      </c>
      <c r="B190" s="8" t="inlineStr">
        <is>
          <t>Pepitas Enmieladas con Canela</t>
        </is>
      </c>
      <c r="C190" s="8" t="inlineStr">
        <is>
          <t>Agua purificada</t>
        </is>
      </c>
      <c r="D190" s="8" t="n">
        <v>30</v>
      </c>
      <c r="E190" s="7" t="inlineStr">
        <is>
          <t>ml</t>
        </is>
      </c>
      <c r="F190" s="12">
        <f>IFERROR(VLOOKUP(C190,Insumos!$B$5:$F$81,5,FALSE),0)</f>
        <v/>
      </c>
      <c r="G190" s="13">
        <f>D190*F190</f>
        <v/>
      </c>
      <c r="H190" s="7" t="inlineStr">
        <is>
          <t>1 cucharadita de canela en polvo y 2 cucharadas de agua</t>
        </is>
      </c>
    </row>
    <row r="191">
      <c r="A191" s="7" t="n">
        <v>49</v>
      </c>
      <c r="B191" s="8" t="inlineStr">
        <is>
          <t>Dulce de Nuez con Rompope (Borrachitos de Nuez)</t>
        </is>
      </c>
      <c r="C191" s="8" t="inlineStr">
        <is>
          <t>Leche condensada</t>
        </is>
      </c>
      <c r="D191" s="8" t="n">
        <v>600</v>
      </c>
      <c r="E191" s="7" t="inlineStr">
        <is>
          <t>g</t>
        </is>
      </c>
      <c r="F191" s="12">
        <f>IFERROR(VLOOKUP(C191,Insumos!$B$5:$F$81,5,FALSE),0)</f>
        <v/>
      </c>
      <c r="G191" s="13">
        <f>D191*F191</f>
        <v/>
      </c>
      <c r="H191" s="7" t="inlineStr">
        <is>
          <t>2 tazas de leche condensada</t>
        </is>
      </c>
    </row>
    <row r="192">
      <c r="A192" s="7" t="n">
        <v>49</v>
      </c>
      <c r="B192" s="8" t="inlineStr">
        <is>
          <t>Dulce de Nuez con Rompope (Borrachitos de Nuez)</t>
        </is>
      </c>
      <c r="C192" s="8" t="inlineStr">
        <is>
          <t>Nuez de Castilla</t>
        </is>
      </c>
      <c r="D192" s="8" t="n">
        <v>115</v>
      </c>
      <c r="E192" s="7" t="inlineStr">
        <is>
          <t>g</t>
        </is>
      </c>
      <c r="F192" s="12">
        <f>IFERROR(VLOOKUP(C192,Insumos!$B$5:$F$81,5,FALSE),0)</f>
        <v/>
      </c>
      <c r="G192" s="13">
        <f>D192*F192</f>
        <v/>
      </c>
      <c r="H192" s="7" t="inlineStr">
        <is>
          <t>1 taza de nueces molidas finas</t>
        </is>
      </c>
    </row>
    <row r="193">
      <c r="A193" s="7" t="n">
        <v>49</v>
      </c>
      <c r="B193" s="8" t="inlineStr">
        <is>
          <t>Dulce de Nuez con Rompope (Borrachitos de Nuez)</t>
        </is>
      </c>
      <c r="C193" s="8" t="inlineStr">
        <is>
          <t>Rompope artesanal</t>
        </is>
      </c>
      <c r="D193" s="8" t="n">
        <v>80</v>
      </c>
      <c r="E193" s="7" t="inlineStr">
        <is>
          <t>ml</t>
        </is>
      </c>
      <c r="F193" s="12">
        <f>IFERROR(VLOOKUP(C193,Insumos!$B$5:$F$81,5,FALSE),0)</f>
        <v/>
      </c>
      <c r="G193" s="13">
        <f>D193*F193</f>
        <v/>
      </c>
      <c r="H193" s="7" t="inlineStr">
        <is>
          <t>1/3 taza de rompope de buena calidad</t>
        </is>
      </c>
    </row>
    <row r="194">
      <c r="A194" s="7" t="n">
        <v>49</v>
      </c>
      <c r="B194" s="8" t="inlineStr">
        <is>
          <t>Dulce de Nuez con Rompope (Borrachitos de Nuez)</t>
        </is>
      </c>
      <c r="C194" s="8" t="inlineStr">
        <is>
          <t>Mantequilla sin sal</t>
        </is>
      </c>
      <c r="D194" s="8" t="n">
        <v>14.19</v>
      </c>
      <c r="E194" s="7" t="inlineStr">
        <is>
          <t>g</t>
        </is>
      </c>
      <c r="F194" s="12">
        <f>IFERROR(VLOOKUP(C194,Insumos!$B$5:$F$81,5,FALSE),0)</f>
        <v/>
      </c>
      <c r="G194" s="13">
        <f>D194*F194</f>
        <v/>
      </c>
      <c r="H194" s="7" t="inlineStr">
        <is>
          <t>1 cucharada de mantequilla</t>
        </is>
      </c>
    </row>
    <row r="195">
      <c r="A195" s="7" t="n">
        <v>50</v>
      </c>
      <c r="B195" s="8" t="inlineStr">
        <is>
          <t>Bolitas de Tamarindo con Ajonjolí Tostado</t>
        </is>
      </c>
      <c r="C195" s="8" t="inlineStr">
        <is>
          <t>Pulpa de tamarindo</t>
        </is>
      </c>
      <c r="D195" s="8" t="n">
        <v>500</v>
      </c>
      <c r="E195" s="7" t="inlineStr">
        <is>
          <t>g</t>
        </is>
      </c>
      <c r="F195" s="12">
        <f>IFERROR(VLOOKUP(C195,Insumos!$B$5:$F$81,5,FALSE),0)</f>
        <v/>
      </c>
      <c r="G195" s="13">
        <f>D195*F195</f>
        <v/>
      </c>
      <c r="H195" s="7" t="inlineStr">
        <is>
          <t>500 g de pulpa de tamarindo</t>
        </is>
      </c>
    </row>
    <row r="196">
      <c r="A196" s="7" t="n">
        <v>50</v>
      </c>
      <c r="B196" s="8" t="inlineStr">
        <is>
          <t>Bolitas de Tamarindo con Ajonjolí Tostado</t>
        </is>
      </c>
      <c r="C196" s="8" t="inlineStr">
        <is>
          <t>Azúcar refinada</t>
        </is>
      </c>
      <c r="D196" s="8" t="n">
        <v>400</v>
      </c>
      <c r="E196" s="7" t="inlineStr">
        <is>
          <t>g</t>
        </is>
      </c>
      <c r="F196" s="12">
        <f>IFERROR(VLOOKUP(C196,Insumos!$B$5:$F$81,5,FALSE),0)</f>
        <v/>
      </c>
      <c r="G196" s="13">
        <f>D196*F196</f>
        <v/>
      </c>
      <c r="H196" s="7" t="inlineStr">
        <is>
          <t>400 g de azúcar</t>
        </is>
      </c>
    </row>
    <row r="197">
      <c r="A197" s="7" t="n">
        <v>50</v>
      </c>
      <c r="B197" s="8" t="inlineStr">
        <is>
          <t>Bolitas de Tamarindo con Ajonjolí Tostado</t>
        </is>
      </c>
      <c r="C197" s="8" t="inlineStr">
        <is>
          <t>Ajonjolí</t>
        </is>
      </c>
      <c r="D197" s="8" t="n">
        <v>145</v>
      </c>
      <c r="E197" s="7" t="inlineStr">
        <is>
          <t>g</t>
        </is>
      </c>
      <c r="F197" s="12">
        <f>IFERROR(VLOOKUP(C197,Insumos!$B$5:$F$81,5,FALSE),0)</f>
        <v/>
      </c>
      <c r="G197" s="13">
        <f>D197*F197</f>
        <v/>
      </c>
      <c r="H197" s="7" t="inlineStr">
        <is>
          <t>1 taza de semillas de ajonjolí tostadas</t>
        </is>
      </c>
    </row>
  </sheetData>
  <autoFilter ref="A4:H1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E1454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3" customWidth="1" min="4" max="4"/>
    <col width="36" customWidth="1" min="5" max="5"/>
    <col width="15" customWidth="1" min="6" max="6"/>
    <col width="22" customWidth="1" min="7" max="7"/>
  </cols>
  <sheetData>
    <row r="1" ht="26" customHeight="1">
      <c r="A1" s="1" t="inlineStr">
        <is>
          <t>Mi negocio</t>
        </is>
      </c>
    </row>
    <row r="2">
      <c r="A2" s="2" t="inlineStr">
        <is>
          <t>Los supuestos que mueven todos los precios. Si estos números están mal, todos tus precios están mal.</t>
        </is>
      </c>
    </row>
    <row r="3" ht="6" customHeight="1"/>
    <row r="4">
      <c r="B4" s="3" t="inlineStr">
        <is>
          <t>GASTOS FIJOS MENSUALES</t>
        </is>
      </c>
      <c r="E4" s="3" t="inlineStr">
        <is>
          <t>TRABAJO Y VOLUMEN</t>
        </is>
      </c>
    </row>
    <row r="5">
      <c r="B5" s="8" t="inlineStr">
        <is>
          <t>Renta del local / espacio de producción</t>
        </is>
      </c>
      <c r="C5" s="17" t="n">
        <v>5000</v>
      </c>
      <c r="E5" s="8" t="inlineStr">
        <is>
          <t>Piezas que produces al mes</t>
        </is>
      </c>
      <c r="F5" s="18" t="n">
        <v>8000</v>
      </c>
    </row>
    <row r="6">
      <c r="B6" s="8" t="inlineStr">
        <is>
          <t>Gas de la hornilla</t>
        </is>
      </c>
      <c r="C6" s="17" t="n">
        <v>1500</v>
      </c>
      <c r="E6" s="8" t="inlineStr">
        <is>
          <t>Sueldo mensual que quieres cobrarte</t>
        </is>
      </c>
      <c r="F6" s="17" t="n">
        <v>15000</v>
      </c>
    </row>
    <row r="7">
      <c r="B7" s="8" t="inlineStr">
        <is>
          <t>Luz y agua</t>
        </is>
      </c>
      <c r="C7" s="17" t="n">
        <v>900</v>
      </c>
      <c r="E7" s="8" t="inlineStr">
        <is>
          <t>Horas de trabajo al mes</t>
        </is>
      </c>
      <c r="F7" s="18" t="n">
        <v>200</v>
      </c>
    </row>
    <row r="8">
      <c r="B8" s="8" t="inlineStr">
        <is>
          <t>Internet y telefonía</t>
        </is>
      </c>
      <c r="C8" s="17" t="n">
        <v>500</v>
      </c>
      <c r="E8" s="8" t="inlineStr">
        <is>
          <t>% de merma de producción por defecto</t>
        </is>
      </c>
      <c r="F8" s="19" t="n">
        <v>0.08</v>
      </c>
    </row>
    <row r="9">
      <c r="B9" s="8" t="inlineStr">
        <is>
          <t>Publicidad y redes</t>
        </is>
      </c>
      <c r="C9" s="17" t="n">
        <v>700</v>
      </c>
    </row>
    <row r="10">
      <c r="B10" s="8" t="inlineStr">
        <is>
          <t>Papelería, limpieza y consumibles</t>
        </is>
      </c>
      <c r="C10" s="17" t="n">
        <v>400</v>
      </c>
      <c r="E10" s="20" t="inlineStr">
        <is>
          <t>Overhead por pieza</t>
        </is>
      </c>
      <c r="F10" s="21">
        <f>IFERROR($C$15/$F$5,0)</f>
        <v/>
      </c>
    </row>
    <row r="11">
      <c r="B11" s="8" t="inlineStr">
        <is>
          <t>Transporte y repartos</t>
        </is>
      </c>
      <c r="C11" s="17" t="n">
        <v>800</v>
      </c>
      <c r="E11" s="20" t="inlineStr">
        <is>
          <t>Costo de tu hora de trabajo</t>
        </is>
      </c>
      <c r="F11" s="21">
        <f>IFERROR($F$6/$F$7,0)</f>
        <v/>
      </c>
    </row>
    <row r="12">
      <c r="B12" s="8" t="inlineStr">
        <is>
          <t>Depreciación de cazo, moldes y equipo</t>
        </is>
      </c>
      <c r="C12" s="17" t="n">
        <v>600</v>
      </c>
    </row>
    <row r="13">
      <c r="B13" s="8" t="inlineStr">
        <is>
          <t>Sueldos fijos de terceros</t>
        </is>
      </c>
      <c r="C13" s="17" t="n">
        <v>1200</v>
      </c>
      <c r="E13" s="3" t="inlineStr">
        <is>
          <t>MÁRGENES OBJETIVO POR CANAL</t>
        </is>
      </c>
    </row>
    <row r="14">
      <c r="B14" s="8" t="inlineStr">
        <is>
          <t>Otros gastos fijos</t>
        </is>
      </c>
      <c r="C14" s="17" t="n">
        <v>400</v>
      </c>
      <c r="E14" s="8" t="inlineStr">
        <is>
          <t>Mostrador y tianguis</t>
        </is>
      </c>
      <c r="F14" s="19" t="n">
        <v>0.55</v>
      </c>
      <c r="G14" s="22" t="inlineStr">
        <is>
          <t>libro: 50 % – 65 %</t>
        </is>
      </c>
    </row>
    <row r="15">
      <c r="B15" s="20" t="inlineStr">
        <is>
          <t>TOTAL DE GASTOS FIJOS</t>
        </is>
      </c>
      <c r="C15" s="23">
        <f>SUM(C5:C14)</f>
        <v/>
      </c>
      <c r="E15" s="8" t="inlineStr">
        <is>
          <t>Caja o bolsa de regalo</t>
        </is>
      </c>
      <c r="F15" s="19" t="n">
        <v>0.72</v>
      </c>
      <c r="G15" s="22" t="inlineStr">
        <is>
          <t>libro: 65 % – 78 %</t>
        </is>
      </c>
    </row>
    <row r="16">
      <c r="E16" s="8" t="inlineStr">
        <is>
          <t>Restaurante / petit four</t>
        </is>
      </c>
      <c r="F16" s="19" t="n">
        <v>0.8</v>
      </c>
      <c r="G16" s="22" t="inlineStr">
        <is>
          <t>libro: 75 % – 88 %</t>
        </is>
      </c>
    </row>
    <row r="17">
      <c r="E17" s="8" t="inlineStr">
        <is>
          <t>Mayoreo a dulcerías</t>
        </is>
      </c>
      <c r="F17" s="19" t="n">
        <v>0.32</v>
      </c>
      <c r="G17" s="22" t="inlineStr">
        <is>
          <t>libro: 25 % – 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1454"/>
    <outlinePr summaryBelow="1" summaryRight="1"/>
    <pageSetUpPr/>
  </sheetPr>
  <dimension ref="A1:U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30" customWidth="1" min="4" max="4"/>
    <col width="20" customWidth="1" min="5" max="5"/>
    <col width="11" customWidth="1" min="6" max="6"/>
    <col width="14" customWidth="1" min="7" max="7"/>
    <col width="14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2" customWidth="1" min="14" max="14"/>
    <col width="9" customWidth="1" min="15" max="15"/>
    <col width="15" customWidth="1" min="16" max="16"/>
    <col width="13" customWidth="1" min="17" max="17"/>
    <col width="14" customWidth="1" min="18" max="18"/>
    <col width="14" customWidth="1" min="19" max="19"/>
    <col width="12" customWidth="1" min="20" max="20"/>
    <col width="14" customWidth="1" min="21" max="21"/>
  </cols>
  <sheetData>
    <row r="1" ht="26" customHeight="1">
      <c r="A1" s="1" t="inlineStr">
        <is>
          <t>Recetas y precios</t>
        </is>
      </c>
    </row>
    <row r="2">
      <c r="A2" s="2" t="inlineStr">
        <is>
          <t>La hoja principal. Costos POR PIEZA. Ajusta empaque, energía, minutos y merma por receta.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Capítulo</t>
        </is>
      </c>
      <c r="D4" s="6" t="inlineStr">
        <is>
          <t>Base madre</t>
        </is>
      </c>
      <c r="E4" s="6" t="inlineStr">
        <is>
          <t>Punto de azúcar</t>
        </is>
      </c>
      <c r="F4" s="6" t="inlineStr">
        <is>
          <t>Piezas que rinde</t>
        </is>
      </c>
      <c r="G4" s="6" t="inlineStr">
        <is>
          <t>Costo insumos del lote</t>
        </is>
      </c>
      <c r="H4" s="6" t="inlineStr">
        <is>
          <t>Costo insumos / pieza</t>
        </is>
      </c>
      <c r="I4" s="6" t="inlineStr">
        <is>
          <t>Empaque</t>
        </is>
      </c>
      <c r="J4" s="6" t="inlineStr">
        <is>
          <t>Energía</t>
        </is>
      </c>
      <c r="K4" s="6" t="inlineStr">
        <is>
          <t>Min. de trabajo</t>
        </is>
      </c>
      <c r="L4" s="6" t="inlineStr">
        <is>
          <t>Mano de obra</t>
        </is>
      </c>
      <c r="M4" s="6" t="inlineStr">
        <is>
          <t>Overhead</t>
        </is>
      </c>
      <c r="N4" s="6" t="inlineStr">
        <is>
          <t>Costo base</t>
        </is>
      </c>
      <c r="O4" s="6" t="inlineStr">
        <is>
          <t>% merma</t>
        </is>
      </c>
      <c r="P4" s="6" t="inlineStr">
        <is>
          <t>COSTO TOTAL / PIEZA</t>
        </is>
      </c>
      <c r="Q4" s="6" t="inlineStr">
        <is>
          <t>PVP mostrador</t>
        </is>
      </c>
      <c r="R4" s="6" t="inlineStr">
        <is>
          <t>PVP caja de regalo</t>
        </is>
      </c>
      <c r="S4" s="6" t="inlineStr">
        <is>
          <t>PVP restaurante</t>
        </is>
      </c>
      <c r="T4" s="6" t="inlineStr">
        <is>
          <t>PVP mayoreo</t>
        </is>
      </c>
      <c r="U4" s="6" t="inlineStr">
        <is>
          <t>Utilidad mostrador</t>
        </is>
      </c>
    </row>
    <row r="5">
      <c r="A5" s="7" t="n">
        <v>1</v>
      </c>
      <c r="B5" s="8" t="inlineStr">
        <is>
          <t>Jamoncillo de Leche (Dulce de Leche Cortada)</t>
        </is>
      </c>
      <c r="C5" s="7" t="inlineStr">
        <is>
          <t>Cap. 6 · Leche y cajeta</t>
        </is>
      </c>
      <c r="D5" s="7" t="inlineStr">
        <is>
          <t>B-1 · Leche quemada (base láctea)</t>
        </is>
      </c>
      <c r="E5" s="7" t="inlineStr">
        <is>
          <t>Bola suave · 112–116 °C</t>
        </is>
      </c>
      <c r="F5" s="8" t="n">
        <v>20</v>
      </c>
      <c r="G5" s="13">
        <f>SUMIF(Ingredientes!$A:$A,A5,Ingredientes!$G:$G)</f>
        <v/>
      </c>
      <c r="H5" s="13">
        <f>IFERROR(G5/F5,0)</f>
        <v/>
      </c>
      <c r="I5" s="24" t="n">
        <v>0.6</v>
      </c>
      <c r="J5" s="24" t="n">
        <v>0.45</v>
      </c>
      <c r="K5" s="25" t="n">
        <v>1</v>
      </c>
      <c r="L5" s="13">
        <f>K5/60*'Mi negocio'!$F$11</f>
        <v/>
      </c>
      <c r="M5" s="13">
        <f>'Mi negocio'!$F$10</f>
        <v/>
      </c>
      <c r="N5" s="13">
        <f>H5+I5+J5+L5+M5</f>
        <v/>
      </c>
      <c r="O5" s="26">
        <f>'Mi negocio'!$F$8</f>
        <v/>
      </c>
      <c r="P5" s="27">
        <f>IFERROR(N5/(1-O5),0)</f>
        <v/>
      </c>
      <c r="Q5" s="28">
        <f>IFERROR(CEILING(P5/(1-'Mi negocio'!$F$14),1),0)</f>
        <v/>
      </c>
      <c r="R5" s="28">
        <f>IFERROR(CEILING(P5/(1-'Mi negocio'!$F$15),1),0)</f>
        <v/>
      </c>
      <c r="S5" s="28">
        <f>IFERROR(CEILING(P5/(1-'Mi negocio'!$F$16),1),0)</f>
        <v/>
      </c>
      <c r="T5" s="28">
        <f>IFERROR(CEILING(P5/(1-'Mi negocio'!$F$17),1),0)</f>
        <v/>
      </c>
      <c r="U5" s="29">
        <f>Q5-P5</f>
        <v/>
      </c>
    </row>
    <row r="6">
      <c r="A6" s="7" t="n">
        <v>2</v>
      </c>
      <c r="B6" s="8" t="inlineStr">
        <is>
          <t>Glorias de Linares (Nuevo León)</t>
        </is>
      </c>
      <c r="C6" s="7" t="inlineStr">
        <is>
          <t>Cap. 6 · Leche y cajeta</t>
        </is>
      </c>
      <c r="D6" s="7" t="inlineStr">
        <is>
          <t>B-2 · Cajeta de cabra</t>
        </is>
      </c>
      <c r="E6" s="7" t="inlineStr">
        <is>
          <t>Bola suave · 112–116 °C</t>
        </is>
      </c>
      <c r="F6" s="8" t="n">
        <v>25</v>
      </c>
      <c r="G6" s="13">
        <f>SUMIF(Ingredientes!$A:$A,A6,Ingredientes!$G:$G)</f>
        <v/>
      </c>
      <c r="H6" s="13">
        <f>IFERROR(G6/F6,0)</f>
        <v/>
      </c>
      <c r="I6" s="24" t="n">
        <v>0.6</v>
      </c>
      <c r="J6" s="24" t="n">
        <v>0.45</v>
      </c>
      <c r="K6" s="25" t="n">
        <v>1</v>
      </c>
      <c r="L6" s="13">
        <f>K6/60*'Mi negocio'!$F$11</f>
        <v/>
      </c>
      <c r="M6" s="13">
        <f>'Mi negocio'!$F$10</f>
        <v/>
      </c>
      <c r="N6" s="13">
        <f>H6+I6+J6+L6+M6</f>
        <v/>
      </c>
      <c r="O6" s="26">
        <f>'Mi negocio'!$F$8</f>
        <v/>
      </c>
      <c r="P6" s="27">
        <f>IFERROR(N6/(1-O6),0)</f>
        <v/>
      </c>
      <c r="Q6" s="28">
        <f>IFERROR(CEILING(P6/(1-'Mi negocio'!$F$14),1),0)</f>
        <v/>
      </c>
      <c r="R6" s="28">
        <f>IFERROR(CEILING(P6/(1-'Mi negocio'!$F$15),1),0)</f>
        <v/>
      </c>
      <c r="S6" s="28">
        <f>IFERROR(CEILING(P6/(1-'Mi negocio'!$F$16),1),0)</f>
        <v/>
      </c>
      <c r="T6" s="28">
        <f>IFERROR(CEILING(P6/(1-'Mi negocio'!$F$17),1),0)</f>
        <v/>
      </c>
      <c r="U6" s="29">
        <f>Q6-P6</f>
        <v/>
      </c>
    </row>
    <row r="7">
      <c r="A7" s="7" t="n">
        <v>3</v>
      </c>
      <c r="B7" s="8" t="inlineStr">
        <is>
          <t>Cajeta Casera Quemada de Celaya</t>
        </is>
      </c>
      <c r="C7" s="7" t="inlineStr">
        <is>
          <t>Cap. 6 · Leche y cajeta</t>
        </is>
      </c>
      <c r="D7" s="7" t="inlineStr">
        <is>
          <t>B-2 · Cajeta de cabra</t>
        </is>
      </c>
      <c r="E7" s="7" t="inlineStr">
        <is>
          <t>Hebra · 103–105 °C</t>
        </is>
      </c>
      <c r="F7" s="8" t="n">
        <v>1</v>
      </c>
      <c r="G7" s="13">
        <f>SUMIF(Ingredientes!$A:$A,A7,Ingredientes!$G:$G)</f>
        <v/>
      </c>
      <c r="H7" s="13">
        <f>IFERROR(G7/F7,0)</f>
        <v/>
      </c>
      <c r="I7" s="24" t="n">
        <v>0.6</v>
      </c>
      <c r="J7" s="24" t="n">
        <v>0.45</v>
      </c>
      <c r="K7" s="25" t="n">
        <v>1.8</v>
      </c>
      <c r="L7" s="13">
        <f>K7/60*'Mi negocio'!$F$11</f>
        <v/>
      </c>
      <c r="M7" s="13">
        <f>'Mi negocio'!$F$10</f>
        <v/>
      </c>
      <c r="N7" s="13">
        <f>H7+I7+J7+L7+M7</f>
        <v/>
      </c>
      <c r="O7" s="26">
        <f>'Mi negocio'!$F$8</f>
        <v/>
      </c>
      <c r="P7" s="27">
        <f>IFERROR(N7/(1-O7),0)</f>
        <v/>
      </c>
      <c r="Q7" s="28">
        <f>IFERROR(CEILING(P7/(1-'Mi negocio'!$F$14),1),0)</f>
        <v/>
      </c>
      <c r="R7" s="28">
        <f>IFERROR(CEILING(P7/(1-'Mi negocio'!$F$15),1),0)</f>
        <v/>
      </c>
      <c r="S7" s="28">
        <f>IFERROR(CEILING(P7/(1-'Mi negocio'!$F$16),1),0)</f>
        <v/>
      </c>
      <c r="T7" s="28">
        <f>IFERROR(CEILING(P7/(1-'Mi negocio'!$F$17),1),0)</f>
        <v/>
      </c>
      <c r="U7" s="29">
        <f>Q7-P7</f>
        <v/>
      </c>
    </row>
    <row r="8">
      <c r="A8" s="7" t="n">
        <v>4</v>
      </c>
      <c r="B8" s="8" t="inlineStr">
        <is>
          <t>Borrachitos poblanos con rompope</t>
        </is>
      </c>
      <c r="C8" s="7" t="inlineStr">
        <is>
          <t>Cap. 6 · Leche y cajeta</t>
        </is>
      </c>
      <c r="D8" s="7" t="inlineStr">
        <is>
          <t>B-1 · Leche quemada (base láctea)</t>
        </is>
      </c>
      <c r="E8" s="7" t="inlineStr">
        <is>
          <t>Hebra · 103–105 °C</t>
        </is>
      </c>
      <c r="F8" s="8" t="n">
        <v>30</v>
      </c>
      <c r="G8" s="13">
        <f>SUMIF(Ingredientes!$A:$A,A8,Ingredientes!$G:$G)</f>
        <v/>
      </c>
      <c r="H8" s="13">
        <f>IFERROR(G8/F8,0)</f>
        <v/>
      </c>
      <c r="I8" s="24" t="n">
        <v>0.6</v>
      </c>
      <c r="J8" s="24" t="n">
        <v>0.45</v>
      </c>
      <c r="K8" s="25" t="n">
        <v>1</v>
      </c>
      <c r="L8" s="13">
        <f>K8/60*'Mi negocio'!$F$11</f>
        <v/>
      </c>
      <c r="M8" s="13">
        <f>'Mi negocio'!$F$10</f>
        <v/>
      </c>
      <c r="N8" s="13">
        <f>H8+I8+J8+L8+M8</f>
        <v/>
      </c>
      <c r="O8" s="26">
        <f>'Mi negocio'!$F$8</f>
        <v/>
      </c>
      <c r="P8" s="27">
        <f>IFERROR(N8/(1-O8),0)</f>
        <v/>
      </c>
      <c r="Q8" s="28">
        <f>IFERROR(CEILING(P8/(1-'Mi negocio'!$F$14),1),0)</f>
        <v/>
      </c>
      <c r="R8" s="28">
        <f>IFERROR(CEILING(P8/(1-'Mi negocio'!$F$15),1),0)</f>
        <v/>
      </c>
      <c r="S8" s="28">
        <f>IFERROR(CEILING(P8/(1-'Mi negocio'!$F$16),1),0)</f>
        <v/>
      </c>
      <c r="T8" s="28">
        <f>IFERROR(CEILING(P8/(1-'Mi negocio'!$F$17),1),0)</f>
        <v/>
      </c>
      <c r="U8" s="29">
        <f>Q8-P8</f>
        <v/>
      </c>
    </row>
    <row r="9">
      <c r="A9" s="7" t="n">
        <v>5</v>
      </c>
      <c r="B9" s="8" t="inlineStr">
        <is>
          <t>Queso de Pera (Dulce de Leche moldeado)</t>
        </is>
      </c>
      <c r="C9" s="7" t="inlineStr">
        <is>
          <t>Cap. 6 · Leche y cajeta</t>
        </is>
      </c>
      <c r="D9" s="7" t="inlineStr">
        <is>
          <t>B-1 · Leche quemada (base láctea)</t>
        </is>
      </c>
      <c r="E9" s="7" t="inlineStr">
        <is>
          <t>Bola dura · 121–130 °C</t>
        </is>
      </c>
      <c r="F9" s="8" t="n">
        <v>12</v>
      </c>
      <c r="G9" s="13">
        <f>SUMIF(Ingredientes!$A:$A,A9,Ingredientes!$G:$G)</f>
        <v/>
      </c>
      <c r="H9" s="13">
        <f>IFERROR(G9/F9,0)</f>
        <v/>
      </c>
      <c r="I9" s="24" t="n">
        <v>0.6</v>
      </c>
      <c r="J9" s="24" t="n">
        <v>0.45</v>
      </c>
      <c r="K9" s="25" t="n">
        <v>1</v>
      </c>
      <c r="L9" s="13">
        <f>K9/60*'Mi negocio'!$F$11</f>
        <v/>
      </c>
      <c r="M9" s="13">
        <f>'Mi negocio'!$F$10</f>
        <v/>
      </c>
      <c r="N9" s="13">
        <f>H9+I9+J9+L9+M9</f>
        <v/>
      </c>
      <c r="O9" s="26">
        <f>'Mi negocio'!$F$8</f>
        <v/>
      </c>
      <c r="P9" s="27">
        <f>IFERROR(N9/(1-O9),0)</f>
        <v/>
      </c>
      <c r="Q9" s="28">
        <f>IFERROR(CEILING(P9/(1-'Mi negocio'!$F$14),1),0)</f>
        <v/>
      </c>
      <c r="R9" s="28">
        <f>IFERROR(CEILING(P9/(1-'Mi negocio'!$F$15),1),0)</f>
        <v/>
      </c>
      <c r="S9" s="28">
        <f>IFERROR(CEILING(P9/(1-'Mi negocio'!$F$16),1),0)</f>
        <v/>
      </c>
      <c r="T9" s="28">
        <f>IFERROR(CEILING(P9/(1-'Mi negocio'!$F$17),1),0)</f>
        <v/>
      </c>
      <c r="U9" s="29">
        <f>Q9-P9</f>
        <v/>
      </c>
    </row>
    <row r="10">
      <c r="A10" s="7" t="n">
        <v>6</v>
      </c>
      <c r="B10" s="8" t="inlineStr">
        <is>
          <t>Jamoncillo de Piñón</t>
        </is>
      </c>
      <c r="C10" s="7" t="inlineStr">
        <is>
          <t>Cap. 6 · Leche y cajeta</t>
        </is>
      </c>
      <c r="D10" s="7" t="inlineStr">
        <is>
          <t>B-1 · Leche quemada (base láctea)</t>
        </is>
      </c>
      <c r="E10" s="7" t="inlineStr">
        <is>
          <t>Sin punto de azúcar</t>
        </is>
      </c>
      <c r="F10" s="8" t="n">
        <v>15</v>
      </c>
      <c r="G10" s="13">
        <f>SUMIF(Ingredientes!$A:$A,A10,Ingredientes!$G:$G)</f>
        <v/>
      </c>
      <c r="H10" s="13">
        <f>IFERROR(G10/F10,0)</f>
        <v/>
      </c>
      <c r="I10" s="24" t="n">
        <v>0.6</v>
      </c>
      <c r="J10" s="24" t="n">
        <v>0.45</v>
      </c>
      <c r="K10" s="25" t="n">
        <v>0.7</v>
      </c>
      <c r="L10" s="13">
        <f>K10/60*'Mi negocio'!$F$11</f>
        <v/>
      </c>
      <c r="M10" s="13">
        <f>'Mi negocio'!$F$10</f>
        <v/>
      </c>
      <c r="N10" s="13">
        <f>H10+I10+J10+L10+M10</f>
        <v/>
      </c>
      <c r="O10" s="26">
        <f>'Mi negocio'!$F$8</f>
        <v/>
      </c>
      <c r="P10" s="27">
        <f>IFERROR(N10/(1-O10),0)</f>
        <v/>
      </c>
      <c r="Q10" s="28">
        <f>IFERROR(CEILING(P10/(1-'Mi negocio'!$F$14),1),0)</f>
        <v/>
      </c>
      <c r="R10" s="28">
        <f>IFERROR(CEILING(P10/(1-'Mi negocio'!$F$15),1),0)</f>
        <v/>
      </c>
      <c r="S10" s="28">
        <f>IFERROR(CEILING(P10/(1-'Mi negocio'!$F$16),1),0)</f>
        <v/>
      </c>
      <c r="T10" s="28">
        <f>IFERROR(CEILING(P10/(1-'Mi negocio'!$F$17),1),0)</f>
        <v/>
      </c>
      <c r="U10" s="29">
        <f>Q10-P10</f>
        <v/>
      </c>
    </row>
    <row r="11">
      <c r="A11" s="7" t="n">
        <v>7</v>
      </c>
      <c r="B11" s="8" t="inlineStr">
        <is>
          <t>Cajeta Envinada con Nuez</t>
        </is>
      </c>
      <c r="C11" s="7" t="inlineStr">
        <is>
          <t>Cap. 6 · Leche y cajeta</t>
        </is>
      </c>
      <c r="D11" s="7" t="inlineStr">
        <is>
          <t>B-2 · Cajeta de cabra</t>
        </is>
      </c>
      <c r="E11" s="7" t="inlineStr">
        <is>
          <t>Hebra · 103–105 °C</t>
        </is>
      </c>
      <c r="F11" s="8" t="n">
        <v>4</v>
      </c>
      <c r="G11" s="13">
        <f>SUMIF(Ingredientes!$A:$A,A11,Ingredientes!$G:$G)</f>
        <v/>
      </c>
      <c r="H11" s="13">
        <f>IFERROR(G11/F11,0)</f>
        <v/>
      </c>
      <c r="I11" s="24" t="n">
        <v>0.6</v>
      </c>
      <c r="J11" s="24" t="n">
        <v>0.45</v>
      </c>
      <c r="K11" s="25" t="n">
        <v>1.8</v>
      </c>
      <c r="L11" s="13">
        <f>K11/60*'Mi negocio'!$F$11</f>
        <v/>
      </c>
      <c r="M11" s="13">
        <f>'Mi negocio'!$F$10</f>
        <v/>
      </c>
      <c r="N11" s="13">
        <f>H11+I11+J11+L11+M11</f>
        <v/>
      </c>
      <c r="O11" s="26">
        <f>'Mi negocio'!$F$8</f>
        <v/>
      </c>
      <c r="P11" s="27">
        <f>IFERROR(N11/(1-O11),0)</f>
        <v/>
      </c>
      <c r="Q11" s="28">
        <f>IFERROR(CEILING(P11/(1-'Mi negocio'!$F$14),1),0)</f>
        <v/>
      </c>
      <c r="R11" s="28">
        <f>IFERROR(CEILING(P11/(1-'Mi negocio'!$F$15),1),0)</f>
        <v/>
      </c>
      <c r="S11" s="28">
        <f>IFERROR(CEILING(P11/(1-'Mi negocio'!$F$16),1),0)</f>
        <v/>
      </c>
      <c r="T11" s="28">
        <f>IFERROR(CEILING(P11/(1-'Mi negocio'!$F$17),1),0)</f>
        <v/>
      </c>
      <c r="U11" s="29">
        <f>Q11-P11</f>
        <v/>
      </c>
    </row>
    <row r="12">
      <c r="A12" s="7" t="n">
        <v>8</v>
      </c>
      <c r="B12" s="8" t="inlineStr">
        <is>
          <t>Dulce de Jamoncillo Tapado con Nueces</t>
        </is>
      </c>
      <c r="C12" s="7" t="inlineStr">
        <is>
          <t>Cap. 6 · Leche y cajeta</t>
        </is>
      </c>
      <c r="D12" s="7" t="inlineStr">
        <is>
          <t>B-1 · Leche quemada (base láctea)</t>
        </is>
      </c>
      <c r="E12" s="7" t="inlineStr">
        <is>
          <t>Bola suave · 112–116 °C</t>
        </is>
      </c>
      <c r="F12" s="8" t="n">
        <v>16</v>
      </c>
      <c r="G12" s="13">
        <f>SUMIF(Ingredientes!$A:$A,A12,Ingredientes!$G:$G)</f>
        <v/>
      </c>
      <c r="H12" s="13">
        <f>IFERROR(G12/F12,0)</f>
        <v/>
      </c>
      <c r="I12" s="24" t="n">
        <v>0.6</v>
      </c>
      <c r="J12" s="24" t="n">
        <v>0.45</v>
      </c>
      <c r="K12" s="25" t="n">
        <v>0.7</v>
      </c>
      <c r="L12" s="13">
        <f>K12/60*'Mi negocio'!$F$11</f>
        <v/>
      </c>
      <c r="M12" s="13">
        <f>'Mi negocio'!$F$10</f>
        <v/>
      </c>
      <c r="N12" s="13">
        <f>H12+I12+J12+L12+M12</f>
        <v/>
      </c>
      <c r="O12" s="26">
        <f>'Mi negocio'!$F$8</f>
        <v/>
      </c>
      <c r="P12" s="27">
        <f>IFERROR(N12/(1-O12),0)</f>
        <v/>
      </c>
      <c r="Q12" s="28">
        <f>IFERROR(CEILING(P12/(1-'Mi negocio'!$F$14),1),0)</f>
        <v/>
      </c>
      <c r="R12" s="28">
        <f>IFERROR(CEILING(P12/(1-'Mi negocio'!$F$15),1),0)</f>
        <v/>
      </c>
      <c r="S12" s="28">
        <f>IFERROR(CEILING(P12/(1-'Mi negocio'!$F$16),1),0)</f>
        <v/>
      </c>
      <c r="T12" s="28">
        <f>IFERROR(CEILING(P12/(1-'Mi negocio'!$F$17),1),0)</f>
        <v/>
      </c>
      <c r="U12" s="29">
        <f>Q12-P12</f>
        <v/>
      </c>
    </row>
    <row r="13">
      <c r="A13" s="7" t="n">
        <v>9</v>
      </c>
      <c r="B13" s="8" t="inlineStr">
        <is>
          <t>Mostachones de Leche Condensada</t>
        </is>
      </c>
      <c r="C13" s="7" t="inlineStr">
        <is>
          <t>Cap. 6 · Leche y cajeta</t>
        </is>
      </c>
      <c r="D13" s="7" t="inlineStr">
        <is>
          <t>B-1 · Leche quemada (base láctea)</t>
        </is>
      </c>
      <c r="E13" s="7" t="inlineStr">
        <is>
          <t>Sin punto de azúcar</t>
        </is>
      </c>
      <c r="F13" s="8" t="n">
        <v>20</v>
      </c>
      <c r="G13" s="13">
        <f>SUMIF(Ingredientes!$A:$A,A13,Ingredientes!$G:$G)</f>
        <v/>
      </c>
      <c r="H13" s="13">
        <f>IFERROR(G13/F13,0)</f>
        <v/>
      </c>
      <c r="I13" s="24" t="n">
        <v>0.6</v>
      </c>
      <c r="J13" s="24" t="n">
        <v>0.45</v>
      </c>
      <c r="K13" s="25" t="n">
        <v>0.7</v>
      </c>
      <c r="L13" s="13">
        <f>K13/60*'Mi negocio'!$F$11</f>
        <v/>
      </c>
      <c r="M13" s="13">
        <f>'Mi negocio'!$F$10</f>
        <v/>
      </c>
      <c r="N13" s="13">
        <f>H13+I13+J13+L13+M13</f>
        <v/>
      </c>
      <c r="O13" s="26">
        <f>'Mi negocio'!$F$8</f>
        <v/>
      </c>
      <c r="P13" s="27">
        <f>IFERROR(N13/(1-O13),0)</f>
        <v/>
      </c>
      <c r="Q13" s="28">
        <f>IFERROR(CEILING(P13/(1-'Mi negocio'!$F$14),1),0)</f>
        <v/>
      </c>
      <c r="R13" s="28">
        <f>IFERROR(CEILING(P13/(1-'Mi negocio'!$F$15),1),0)</f>
        <v/>
      </c>
      <c r="S13" s="28">
        <f>IFERROR(CEILING(P13/(1-'Mi negocio'!$F$16),1),0)</f>
        <v/>
      </c>
      <c r="T13" s="28">
        <f>IFERROR(CEILING(P13/(1-'Mi negocio'!$F$17),1),0)</f>
        <v/>
      </c>
      <c r="U13" s="29">
        <f>Q13-P13</f>
        <v/>
      </c>
    </row>
    <row r="14">
      <c r="A14" s="7" t="n">
        <v>10</v>
      </c>
      <c r="B14" s="8" t="inlineStr">
        <is>
          <t>Pastillas de Leche Quemada Tradicionales</t>
        </is>
      </c>
      <c r="C14" s="7" t="inlineStr">
        <is>
          <t>Cap. 6 · Leche y cajeta</t>
        </is>
      </c>
      <c r="D14" s="7" t="inlineStr">
        <is>
          <t>B-1 · Leche quemada (base láctea)</t>
        </is>
      </c>
      <c r="E14" s="7" t="inlineStr">
        <is>
          <t>Bola dura · 121–130 °C</t>
        </is>
      </c>
      <c r="F14" s="8" t="n">
        <v>30</v>
      </c>
      <c r="G14" s="13">
        <f>SUMIF(Ingredientes!$A:$A,A14,Ingredientes!$G:$G)</f>
        <v/>
      </c>
      <c r="H14" s="13">
        <f>IFERROR(G14/F14,0)</f>
        <v/>
      </c>
      <c r="I14" s="24" t="n">
        <v>0.6</v>
      </c>
      <c r="J14" s="24" t="n">
        <v>0.45</v>
      </c>
      <c r="K14" s="25" t="n">
        <v>1</v>
      </c>
      <c r="L14" s="13">
        <f>K14/60*'Mi negocio'!$F$11</f>
        <v/>
      </c>
      <c r="M14" s="13">
        <f>'Mi negocio'!$F$10</f>
        <v/>
      </c>
      <c r="N14" s="13">
        <f>H14+I14+J14+L14+M14</f>
        <v/>
      </c>
      <c r="O14" s="26">
        <f>'Mi negocio'!$F$8</f>
        <v/>
      </c>
      <c r="P14" s="27">
        <f>IFERROR(N14/(1-O14),0)</f>
        <v/>
      </c>
      <c r="Q14" s="28">
        <f>IFERROR(CEILING(P14/(1-'Mi negocio'!$F$14),1),0)</f>
        <v/>
      </c>
      <c r="R14" s="28">
        <f>IFERROR(CEILING(P14/(1-'Mi negocio'!$F$15),1),0)</f>
        <v/>
      </c>
      <c r="S14" s="28">
        <f>IFERROR(CEILING(P14/(1-'Mi negocio'!$F$16),1),0)</f>
        <v/>
      </c>
      <c r="T14" s="28">
        <f>IFERROR(CEILING(P14/(1-'Mi negocio'!$F$17),1),0)</f>
        <v/>
      </c>
      <c r="U14" s="29">
        <f>Q14-P14</f>
        <v/>
      </c>
    </row>
    <row r="15">
      <c r="A15" s="7" t="n">
        <v>11</v>
      </c>
      <c r="B15" s="8" t="inlineStr">
        <is>
          <t>Cocadas Horneadas Doraditas</t>
        </is>
      </c>
      <c r="C15" s="7" t="inlineStr">
        <is>
          <t>Cap. 7 · Coco y fruta</t>
        </is>
      </c>
      <c r="D15" s="7" t="inlineStr">
        <is>
          <t>B-1 · Leche quemada (base láctea)</t>
        </is>
      </c>
      <c r="E15" s="7" t="inlineStr">
        <is>
          <t>Sin punto de azúcar</t>
        </is>
      </c>
      <c r="F15" s="8" t="n">
        <v>15</v>
      </c>
      <c r="G15" s="13">
        <f>SUMIF(Ingredientes!$A:$A,A15,Ingredientes!$G:$G)</f>
        <v/>
      </c>
      <c r="H15" s="13">
        <f>IFERROR(G15/F15,0)</f>
        <v/>
      </c>
      <c r="I15" s="24" t="n">
        <v>0.6</v>
      </c>
      <c r="J15" s="24" t="n">
        <v>0.45</v>
      </c>
      <c r="K15" s="25" t="n">
        <v>0.7</v>
      </c>
      <c r="L15" s="13">
        <f>K15/60*'Mi negocio'!$F$11</f>
        <v/>
      </c>
      <c r="M15" s="13">
        <f>'Mi negocio'!$F$10</f>
        <v/>
      </c>
      <c r="N15" s="13">
        <f>H15+I15+J15+L15+M15</f>
        <v/>
      </c>
      <c r="O15" s="26">
        <f>'Mi negocio'!$F$8</f>
        <v/>
      </c>
      <c r="P15" s="27">
        <f>IFERROR(N15/(1-O15),0)</f>
        <v/>
      </c>
      <c r="Q15" s="28">
        <f>IFERROR(CEILING(P15/(1-'Mi negocio'!$F$14),1),0)</f>
        <v/>
      </c>
      <c r="R15" s="28">
        <f>IFERROR(CEILING(P15/(1-'Mi negocio'!$F$15),1),0)</f>
        <v/>
      </c>
      <c r="S15" s="28">
        <f>IFERROR(CEILING(P15/(1-'Mi negocio'!$F$16),1),0)</f>
        <v/>
      </c>
      <c r="T15" s="28">
        <f>IFERROR(CEILING(P15/(1-'Mi negocio'!$F$17),1),0)</f>
        <v/>
      </c>
      <c r="U15" s="29">
        <f>Q15-P15</f>
        <v/>
      </c>
    </row>
    <row r="16">
      <c r="A16" s="7" t="n">
        <v>12</v>
      </c>
      <c r="B16" s="8" t="inlineStr">
        <is>
          <t>Jamoncillo de Coco con Piña</t>
        </is>
      </c>
      <c r="C16" s="7" t="inlineStr">
        <is>
          <t>Cap. 7 · Coco y fruta</t>
        </is>
      </c>
      <c r="D16" s="7" t="inlineStr">
        <is>
          <t>B-1 · Leche quemada (base láctea)</t>
        </is>
      </c>
      <c r="E16" s="7" t="inlineStr">
        <is>
          <t>Bola suave · 112–116 °C</t>
        </is>
      </c>
      <c r="F16" s="8" t="n">
        <v>20</v>
      </c>
      <c r="G16" s="13">
        <f>SUMIF(Ingredientes!$A:$A,A16,Ingredientes!$G:$G)</f>
        <v/>
      </c>
      <c r="H16" s="13">
        <f>IFERROR(G16/F16,0)</f>
        <v/>
      </c>
      <c r="I16" s="24" t="n">
        <v>0.6</v>
      </c>
      <c r="J16" s="24" t="n">
        <v>0.45</v>
      </c>
      <c r="K16" s="25" t="n">
        <v>1</v>
      </c>
      <c r="L16" s="13">
        <f>K16/60*'Mi negocio'!$F$11</f>
        <v/>
      </c>
      <c r="M16" s="13">
        <f>'Mi negocio'!$F$10</f>
        <v/>
      </c>
      <c r="N16" s="13">
        <f>H16+I16+J16+L16+M16</f>
        <v/>
      </c>
      <c r="O16" s="26">
        <f>'Mi negocio'!$F$8</f>
        <v/>
      </c>
      <c r="P16" s="27">
        <f>IFERROR(N16/(1-O16),0)</f>
        <v/>
      </c>
      <c r="Q16" s="28">
        <f>IFERROR(CEILING(P16/(1-'Mi negocio'!$F$14),1),0)</f>
        <v/>
      </c>
      <c r="R16" s="28">
        <f>IFERROR(CEILING(P16/(1-'Mi negocio'!$F$15),1),0)</f>
        <v/>
      </c>
      <c r="S16" s="28">
        <f>IFERROR(CEILING(P16/(1-'Mi negocio'!$F$16),1),0)</f>
        <v/>
      </c>
      <c r="T16" s="28">
        <f>IFERROR(CEILING(P16/(1-'Mi negocio'!$F$17),1),0)</f>
        <v/>
      </c>
      <c r="U16" s="29">
        <f>Q16-P16</f>
        <v/>
      </c>
    </row>
    <row r="17">
      <c r="A17" s="7" t="n">
        <v>13</v>
      </c>
      <c r="B17" s="8" t="inlineStr">
        <is>
          <t>Conserva de Chilacayote con Piloncillo</t>
        </is>
      </c>
      <c r="C17" s="7" t="inlineStr">
        <is>
          <t>Cap. 7 · Coco y fruta</t>
        </is>
      </c>
      <c r="D17" s="7" t="inlineStr">
        <is>
          <t>B-3 · Miel de piloncillo especiada</t>
        </is>
      </c>
      <c r="E17" s="7" t="inlineStr">
        <is>
          <t>Hebra · 103–105 °C</t>
        </is>
      </c>
      <c r="F17" s="8" t="n">
        <v>10</v>
      </c>
      <c r="G17" s="13">
        <f>SUMIF(Ingredientes!$A:$A,A17,Ingredientes!$G:$G)</f>
        <v/>
      </c>
      <c r="H17" s="13">
        <f>IFERROR(G17/F17,0)</f>
        <v/>
      </c>
      <c r="I17" s="24" t="n">
        <v>0.6</v>
      </c>
      <c r="J17" s="24" t="n">
        <v>0.45</v>
      </c>
      <c r="K17" s="25" t="n">
        <v>1</v>
      </c>
      <c r="L17" s="13">
        <f>K17/60*'Mi negocio'!$F$11</f>
        <v/>
      </c>
      <c r="M17" s="13">
        <f>'Mi negocio'!$F$10</f>
        <v/>
      </c>
      <c r="N17" s="13">
        <f>H17+I17+J17+L17+M17</f>
        <v/>
      </c>
      <c r="O17" s="26">
        <f>'Mi negocio'!$F$8</f>
        <v/>
      </c>
      <c r="P17" s="27">
        <f>IFERROR(N17/(1-O17),0)</f>
        <v/>
      </c>
      <c r="Q17" s="28">
        <f>IFERROR(CEILING(P17/(1-'Mi negocio'!$F$14),1),0)</f>
        <v/>
      </c>
      <c r="R17" s="28">
        <f>IFERROR(CEILING(P17/(1-'Mi negocio'!$F$15),1),0)</f>
        <v/>
      </c>
      <c r="S17" s="28">
        <f>IFERROR(CEILING(P17/(1-'Mi negocio'!$F$16),1),0)</f>
        <v/>
      </c>
      <c r="T17" s="28">
        <f>IFERROR(CEILING(P17/(1-'Mi negocio'!$F$17),1),0)</f>
        <v/>
      </c>
      <c r="U17" s="29">
        <f>Q17-P17</f>
        <v/>
      </c>
    </row>
    <row r="18">
      <c r="A18" s="7" t="n">
        <v>14</v>
      </c>
      <c r="B18" s="8" t="inlineStr">
        <is>
          <t>Dulce de Mango enmielado (Machacado)</t>
        </is>
      </c>
      <c r="C18" s="7" t="inlineStr">
        <is>
          <t>Cap. 7 · Coco y fruta</t>
        </is>
      </c>
      <c r="D18" s="7" t="inlineStr">
        <is>
          <t>B-6 · Pasta de fruta y enchilado</t>
        </is>
      </c>
      <c r="E18" s="7" t="inlineStr">
        <is>
          <t>Hebra · 103–105 °C</t>
        </is>
      </c>
      <c r="F18" s="8" t="n">
        <v>12</v>
      </c>
      <c r="G18" s="13">
        <f>SUMIF(Ingredientes!$A:$A,A18,Ingredientes!$G:$G)</f>
        <v/>
      </c>
      <c r="H18" s="13">
        <f>IFERROR(G18/F18,0)</f>
        <v/>
      </c>
      <c r="I18" s="24" t="n">
        <v>0.6</v>
      </c>
      <c r="J18" s="24" t="n">
        <v>0.45</v>
      </c>
      <c r="K18" s="25" t="n">
        <v>0.7</v>
      </c>
      <c r="L18" s="13">
        <f>K18/60*'Mi negocio'!$F$11</f>
        <v/>
      </c>
      <c r="M18" s="13">
        <f>'Mi negocio'!$F$10</f>
        <v/>
      </c>
      <c r="N18" s="13">
        <f>H18+I18+J18+L18+M18</f>
        <v/>
      </c>
      <c r="O18" s="26">
        <f>'Mi negocio'!$F$8</f>
        <v/>
      </c>
      <c r="P18" s="27">
        <f>IFERROR(N18/(1-O18),0)</f>
        <v/>
      </c>
      <c r="Q18" s="28">
        <f>IFERROR(CEILING(P18/(1-'Mi negocio'!$F$14),1),0)</f>
        <v/>
      </c>
      <c r="R18" s="28">
        <f>IFERROR(CEILING(P18/(1-'Mi negocio'!$F$15),1),0)</f>
        <v/>
      </c>
      <c r="S18" s="28">
        <f>IFERROR(CEILING(P18/(1-'Mi negocio'!$F$16),1),0)</f>
        <v/>
      </c>
      <c r="T18" s="28">
        <f>IFERROR(CEILING(P18/(1-'Mi negocio'!$F$17),1),0)</f>
        <v/>
      </c>
      <c r="U18" s="29">
        <f>Q18-P18</f>
        <v/>
      </c>
    </row>
    <row r="19">
      <c r="A19" s="7" t="n">
        <v>15</v>
      </c>
      <c r="B19" s="8" t="inlineStr">
        <is>
          <t>Ate de Membrillo Tradicional</t>
        </is>
      </c>
      <c r="C19" s="7" t="inlineStr">
        <is>
          <t>Cap. 7 · Coco y fruta</t>
        </is>
      </c>
      <c r="D19" s="7" t="inlineStr">
        <is>
          <t>B-6 · Pasta de fruta y enchilado</t>
        </is>
      </c>
      <c r="E19" s="7" t="inlineStr">
        <is>
          <t>Bola dura · 121–130 °C</t>
        </is>
      </c>
      <c r="F19" s="8" t="n">
        <v>1</v>
      </c>
      <c r="G19" s="13">
        <f>SUMIF(Ingredientes!$A:$A,A19,Ingredientes!$G:$G)</f>
        <v/>
      </c>
      <c r="H19" s="13">
        <f>IFERROR(G19/F19,0)</f>
        <v/>
      </c>
      <c r="I19" s="24" t="n">
        <v>0.6</v>
      </c>
      <c r="J19" s="24" t="n">
        <v>0.45</v>
      </c>
      <c r="K19" s="25" t="n">
        <v>1.8</v>
      </c>
      <c r="L19" s="13">
        <f>K19/60*'Mi negocio'!$F$11</f>
        <v/>
      </c>
      <c r="M19" s="13">
        <f>'Mi negocio'!$F$10</f>
        <v/>
      </c>
      <c r="N19" s="13">
        <f>H19+I19+J19+L19+M19</f>
        <v/>
      </c>
      <c r="O19" s="26">
        <f>'Mi negocio'!$F$8</f>
        <v/>
      </c>
      <c r="P19" s="27">
        <f>IFERROR(N19/(1-O19),0)</f>
        <v/>
      </c>
      <c r="Q19" s="28">
        <f>IFERROR(CEILING(P19/(1-'Mi negocio'!$F$14),1),0)</f>
        <v/>
      </c>
      <c r="R19" s="28">
        <f>IFERROR(CEILING(P19/(1-'Mi negocio'!$F$15),1),0)</f>
        <v/>
      </c>
      <c r="S19" s="28">
        <f>IFERROR(CEILING(P19/(1-'Mi negocio'!$F$16),1),0)</f>
        <v/>
      </c>
      <c r="T19" s="28">
        <f>IFERROR(CEILING(P19/(1-'Mi negocio'!$F$17),1),0)</f>
        <v/>
      </c>
      <c r="U19" s="29">
        <f>Q19-P19</f>
        <v/>
      </c>
    </row>
    <row r="20">
      <c r="A20" s="7" t="n">
        <v>16</v>
      </c>
      <c r="B20" s="8" t="inlineStr">
        <is>
          <t>Bocaditos de Coco y Limón</t>
        </is>
      </c>
      <c r="C20" s="7" t="inlineStr">
        <is>
          <t>Cap. 7 · Coco y fruta</t>
        </is>
      </c>
      <c r="D20" s="7" t="inlineStr">
        <is>
          <t>B-1 · Leche quemada (base láctea)</t>
        </is>
      </c>
      <c r="E20" s="7" t="inlineStr">
        <is>
          <t>Sin punto de azúcar</t>
        </is>
      </c>
      <c r="F20" s="8" t="n">
        <v>20</v>
      </c>
      <c r="G20" s="13">
        <f>SUMIF(Ingredientes!$A:$A,A20,Ingredientes!$G:$G)</f>
        <v/>
      </c>
      <c r="H20" s="13">
        <f>IFERROR(G20/F20,0)</f>
        <v/>
      </c>
      <c r="I20" s="24" t="n">
        <v>0.6</v>
      </c>
      <c r="J20" s="24" t="n">
        <v>0.45</v>
      </c>
      <c r="K20" s="25" t="n">
        <v>0.7</v>
      </c>
      <c r="L20" s="13">
        <f>K20/60*'Mi negocio'!$F$11</f>
        <v/>
      </c>
      <c r="M20" s="13">
        <f>'Mi negocio'!$F$10</f>
        <v/>
      </c>
      <c r="N20" s="13">
        <f>H20+I20+J20+L20+M20</f>
        <v/>
      </c>
      <c r="O20" s="26">
        <f>'Mi negocio'!$F$8</f>
        <v/>
      </c>
      <c r="P20" s="27">
        <f>IFERROR(N20/(1-O20),0)</f>
        <v/>
      </c>
      <c r="Q20" s="28">
        <f>IFERROR(CEILING(P20/(1-'Mi negocio'!$F$14),1),0)</f>
        <v/>
      </c>
      <c r="R20" s="28">
        <f>IFERROR(CEILING(P20/(1-'Mi negocio'!$F$15),1),0)</f>
        <v/>
      </c>
      <c r="S20" s="28">
        <f>IFERROR(CEILING(P20/(1-'Mi negocio'!$F$16),1),0)</f>
        <v/>
      </c>
      <c r="T20" s="28">
        <f>IFERROR(CEILING(P20/(1-'Mi negocio'!$F$17),1),0)</f>
        <v/>
      </c>
      <c r="U20" s="29">
        <f>Q20-P20</f>
        <v/>
      </c>
    </row>
    <row r="21">
      <c r="A21" s="7" t="n">
        <v>17</v>
      </c>
      <c r="B21" s="8" t="inlineStr">
        <is>
          <t>Calabaza en Tacha (Dulce de Día de Muertos)</t>
        </is>
      </c>
      <c r="C21" s="7" t="inlineStr">
        <is>
          <t>Cap. 7 · Coco y fruta</t>
        </is>
      </c>
      <c r="D21" s="7" t="inlineStr">
        <is>
          <t>B-3 · Miel de piloncillo especiada</t>
        </is>
      </c>
      <c r="E21" s="7" t="inlineStr">
        <is>
          <t>Hebra · 103–105 °C</t>
        </is>
      </c>
      <c r="F21" s="8" t="n">
        <v>8</v>
      </c>
      <c r="G21" s="13">
        <f>SUMIF(Ingredientes!$A:$A,A21,Ingredientes!$G:$G)</f>
        <v/>
      </c>
      <c r="H21" s="13">
        <f>IFERROR(G21/F21,0)</f>
        <v/>
      </c>
      <c r="I21" s="24" t="n">
        <v>0.6</v>
      </c>
      <c r="J21" s="24" t="n">
        <v>0.45</v>
      </c>
      <c r="K21" s="25" t="n">
        <v>0.7</v>
      </c>
      <c r="L21" s="13">
        <f>K21/60*'Mi negocio'!$F$11</f>
        <v/>
      </c>
      <c r="M21" s="13">
        <f>'Mi negocio'!$F$10</f>
        <v/>
      </c>
      <c r="N21" s="13">
        <f>H21+I21+J21+L21+M21</f>
        <v/>
      </c>
      <c r="O21" s="26">
        <f>'Mi negocio'!$F$8</f>
        <v/>
      </c>
      <c r="P21" s="27">
        <f>IFERROR(N21/(1-O21),0)</f>
        <v/>
      </c>
      <c r="Q21" s="28">
        <f>IFERROR(CEILING(P21/(1-'Mi negocio'!$F$14),1),0)</f>
        <v/>
      </c>
      <c r="R21" s="28">
        <f>IFERROR(CEILING(P21/(1-'Mi negocio'!$F$15),1),0)</f>
        <v/>
      </c>
      <c r="S21" s="28">
        <f>IFERROR(CEILING(P21/(1-'Mi negocio'!$F$16),1),0)</f>
        <v/>
      </c>
      <c r="T21" s="28">
        <f>IFERROR(CEILING(P21/(1-'Mi negocio'!$F$17),1),0)</f>
        <v/>
      </c>
      <c r="U21" s="29">
        <f>Q21-P21</f>
        <v/>
      </c>
    </row>
    <row r="22">
      <c r="A22" s="7" t="n">
        <v>18</v>
      </c>
      <c r="B22" s="8" t="inlineStr">
        <is>
          <t>Ate de Guayaba Artesanal</t>
        </is>
      </c>
      <c r="C22" s="7" t="inlineStr">
        <is>
          <t>Cap. 7 · Coco y fruta</t>
        </is>
      </c>
      <c r="D22" s="7" t="inlineStr">
        <is>
          <t>B-6 · Pasta de fruta y enchilado</t>
        </is>
      </c>
      <c r="E22" s="7" t="inlineStr">
        <is>
          <t>Bola dura · 121–130 °C</t>
        </is>
      </c>
      <c r="F22" s="8" t="n">
        <v>1</v>
      </c>
      <c r="G22" s="13">
        <f>SUMIF(Ingredientes!$A:$A,A22,Ingredientes!$G:$G)</f>
        <v/>
      </c>
      <c r="H22" s="13">
        <f>IFERROR(G22/F22,0)</f>
        <v/>
      </c>
      <c r="I22" s="24" t="n">
        <v>0.6</v>
      </c>
      <c r="J22" s="24" t="n">
        <v>0.45</v>
      </c>
      <c r="K22" s="25" t="n">
        <v>1.8</v>
      </c>
      <c r="L22" s="13">
        <f>K22/60*'Mi negocio'!$F$11</f>
        <v/>
      </c>
      <c r="M22" s="13">
        <f>'Mi negocio'!$F$10</f>
        <v/>
      </c>
      <c r="N22" s="13">
        <f>H22+I22+J22+L22+M22</f>
        <v/>
      </c>
      <c r="O22" s="26">
        <f>'Mi negocio'!$F$8</f>
        <v/>
      </c>
      <c r="P22" s="27">
        <f>IFERROR(N22/(1-O22),0)</f>
        <v/>
      </c>
      <c r="Q22" s="28">
        <f>IFERROR(CEILING(P22/(1-'Mi negocio'!$F$14),1),0)</f>
        <v/>
      </c>
      <c r="R22" s="28">
        <f>IFERROR(CEILING(P22/(1-'Mi negocio'!$F$15),1),0)</f>
        <v/>
      </c>
      <c r="S22" s="28">
        <f>IFERROR(CEILING(P22/(1-'Mi negocio'!$F$16),1),0)</f>
        <v/>
      </c>
      <c r="T22" s="28">
        <f>IFERROR(CEILING(P22/(1-'Mi negocio'!$F$17),1),0)</f>
        <v/>
      </c>
      <c r="U22" s="29">
        <f>Q22-P22</f>
        <v/>
      </c>
    </row>
    <row r="23">
      <c r="A23" s="7" t="n">
        <v>19</v>
      </c>
      <c r="B23" s="8" t="inlineStr">
        <is>
          <t>Dulce de Tejocote en Almíbar</t>
        </is>
      </c>
      <c r="C23" s="7" t="inlineStr">
        <is>
          <t>Cap. 7 · Coco y fruta</t>
        </is>
      </c>
      <c r="D23" s="7" t="inlineStr">
        <is>
          <t>B-3 · Miel de piloncillo especiada</t>
        </is>
      </c>
      <c r="E23" s="7" t="inlineStr">
        <is>
          <t>Hebra · 103–105 °C</t>
        </is>
      </c>
      <c r="F23" s="8" t="n">
        <v>6</v>
      </c>
      <c r="G23" s="13">
        <f>SUMIF(Ingredientes!$A:$A,A23,Ingredientes!$G:$G)</f>
        <v/>
      </c>
      <c r="H23" s="13">
        <f>IFERROR(G23/F23,0)</f>
        <v/>
      </c>
      <c r="I23" s="24" t="n">
        <v>0.6</v>
      </c>
      <c r="J23" s="24" t="n">
        <v>0.45</v>
      </c>
      <c r="K23" s="25" t="n">
        <v>1</v>
      </c>
      <c r="L23" s="13">
        <f>K23/60*'Mi negocio'!$F$11</f>
        <v/>
      </c>
      <c r="M23" s="13">
        <f>'Mi negocio'!$F$10</f>
        <v/>
      </c>
      <c r="N23" s="13">
        <f>H23+I23+J23+L23+M23</f>
        <v/>
      </c>
      <c r="O23" s="26">
        <f>'Mi negocio'!$F$8</f>
        <v/>
      </c>
      <c r="P23" s="27">
        <f>IFERROR(N23/(1-O23),0)</f>
        <v/>
      </c>
      <c r="Q23" s="28">
        <f>IFERROR(CEILING(P23/(1-'Mi negocio'!$F$14),1),0)</f>
        <v/>
      </c>
      <c r="R23" s="28">
        <f>IFERROR(CEILING(P23/(1-'Mi negocio'!$F$15),1),0)</f>
        <v/>
      </c>
      <c r="S23" s="28">
        <f>IFERROR(CEILING(P23/(1-'Mi negocio'!$F$16),1),0)</f>
        <v/>
      </c>
      <c r="T23" s="28">
        <f>IFERROR(CEILING(P23/(1-'Mi negocio'!$F$17),1),0)</f>
        <v/>
      </c>
      <c r="U23" s="29">
        <f>Q23-P23</f>
        <v/>
      </c>
    </row>
    <row r="24">
      <c r="A24" s="7" t="n">
        <v>20</v>
      </c>
      <c r="B24" s="8" t="inlineStr">
        <is>
          <t>Cocadas Coloridas Tradicionales</t>
        </is>
      </c>
      <c r="C24" s="7" t="inlineStr">
        <is>
          <t>Cap. 7 · Coco y fruta</t>
        </is>
      </c>
      <c r="D24" s="7" t="inlineStr">
        <is>
          <t>B-1 · Leche quemada (base láctea)</t>
        </is>
      </c>
      <c r="E24" s="7" t="inlineStr">
        <is>
          <t>Sin punto de azúcar</t>
        </is>
      </c>
      <c r="F24" s="8" t="n">
        <v>15</v>
      </c>
      <c r="G24" s="13">
        <f>SUMIF(Ingredientes!$A:$A,A24,Ingredientes!$G:$G)</f>
        <v/>
      </c>
      <c r="H24" s="13">
        <f>IFERROR(G24/F24,0)</f>
        <v/>
      </c>
      <c r="I24" s="24" t="n">
        <v>0.6</v>
      </c>
      <c r="J24" s="24" t="n">
        <v>0.45</v>
      </c>
      <c r="K24" s="25" t="n">
        <v>0.7</v>
      </c>
      <c r="L24" s="13">
        <f>K24/60*'Mi negocio'!$F$11</f>
        <v/>
      </c>
      <c r="M24" s="13">
        <f>'Mi negocio'!$F$10</f>
        <v/>
      </c>
      <c r="N24" s="13">
        <f>H24+I24+J24+L24+M24</f>
        <v/>
      </c>
      <c r="O24" s="26">
        <f>'Mi negocio'!$F$8</f>
        <v/>
      </c>
      <c r="P24" s="27">
        <f>IFERROR(N24/(1-O24),0)</f>
        <v/>
      </c>
      <c r="Q24" s="28">
        <f>IFERROR(CEILING(P24/(1-'Mi negocio'!$F$14),1),0)</f>
        <v/>
      </c>
      <c r="R24" s="28">
        <f>IFERROR(CEILING(P24/(1-'Mi negocio'!$F$15),1),0)</f>
        <v/>
      </c>
      <c r="S24" s="28">
        <f>IFERROR(CEILING(P24/(1-'Mi negocio'!$F$16),1),0)</f>
        <v/>
      </c>
      <c r="T24" s="28">
        <f>IFERROR(CEILING(P24/(1-'Mi negocio'!$F$17),1),0)</f>
        <v/>
      </c>
      <c r="U24" s="29">
        <f>Q24-P24</f>
        <v/>
      </c>
    </row>
    <row r="25">
      <c r="A25" s="7" t="n">
        <v>21</v>
      </c>
      <c r="B25" s="8" t="inlineStr">
        <is>
          <t>Alegrías de Amaranto y Miel Tradicionales</t>
        </is>
      </c>
      <c r="C25" s="7" t="inlineStr">
        <is>
          <t>Cap. 8 · Semillas y palanquetas</t>
        </is>
      </c>
      <c r="D25" s="7" t="inlineStr">
        <is>
          <t>B-4 · Azúcar trabajada (caramelo, palanqueta y alfeñique)</t>
        </is>
      </c>
      <c r="E25" s="7" t="inlineStr">
        <is>
          <t>Bola suave · 112–116 °C</t>
        </is>
      </c>
      <c r="F25" s="8" t="n">
        <v>12</v>
      </c>
      <c r="G25" s="13">
        <f>SUMIF(Ingredientes!$A:$A,A25,Ingredientes!$G:$G)</f>
        <v/>
      </c>
      <c r="H25" s="13">
        <f>IFERROR(G25/F25,0)</f>
        <v/>
      </c>
      <c r="I25" s="24" t="n">
        <v>0.6</v>
      </c>
      <c r="J25" s="24" t="n">
        <v>0.45</v>
      </c>
      <c r="K25" s="25" t="n">
        <v>0.7</v>
      </c>
      <c r="L25" s="13">
        <f>K25/60*'Mi negocio'!$F$11</f>
        <v/>
      </c>
      <c r="M25" s="13">
        <f>'Mi negocio'!$F$10</f>
        <v/>
      </c>
      <c r="N25" s="13">
        <f>H25+I25+J25+L25+M25</f>
        <v/>
      </c>
      <c r="O25" s="26">
        <f>'Mi negocio'!$F$8</f>
        <v/>
      </c>
      <c r="P25" s="27">
        <f>IFERROR(N25/(1-O25),0)</f>
        <v/>
      </c>
      <c r="Q25" s="28">
        <f>IFERROR(CEILING(P25/(1-'Mi negocio'!$F$14),1),0)</f>
        <v/>
      </c>
      <c r="R25" s="28">
        <f>IFERROR(CEILING(P25/(1-'Mi negocio'!$F$15),1),0)</f>
        <v/>
      </c>
      <c r="S25" s="28">
        <f>IFERROR(CEILING(P25/(1-'Mi negocio'!$F$16),1),0)</f>
        <v/>
      </c>
      <c r="T25" s="28">
        <f>IFERROR(CEILING(P25/(1-'Mi negocio'!$F$17),1),0)</f>
        <v/>
      </c>
      <c r="U25" s="29">
        <f>Q25-P25</f>
        <v/>
      </c>
    </row>
    <row r="26">
      <c r="A26" s="7" t="n">
        <v>22</v>
      </c>
      <c r="B26" s="8" t="inlineStr">
        <is>
          <t>Palanqueta de Cacahuate</t>
        </is>
      </c>
      <c r="C26" s="7" t="inlineStr">
        <is>
          <t>Cap. 8 · Semillas y palanquetas</t>
        </is>
      </c>
      <c r="D26" s="7" t="inlineStr">
        <is>
          <t>B-4 · Azúcar trabajada (caramelo, palanqueta y alfeñique)</t>
        </is>
      </c>
      <c r="E26" s="7" t="inlineStr">
        <is>
          <t>Quebradizo · 149–154 °C</t>
        </is>
      </c>
      <c r="F26" s="8" t="n">
        <v>10</v>
      </c>
      <c r="G26" s="13">
        <f>SUMIF(Ingredientes!$A:$A,A26,Ingredientes!$G:$G)</f>
        <v/>
      </c>
      <c r="H26" s="13">
        <f>IFERROR(G26/F26,0)</f>
        <v/>
      </c>
      <c r="I26" s="24" t="n">
        <v>0.6</v>
      </c>
      <c r="J26" s="24" t="n">
        <v>0.45</v>
      </c>
      <c r="K26" s="25" t="n">
        <v>1</v>
      </c>
      <c r="L26" s="13">
        <f>K26/60*'Mi negocio'!$F$11</f>
        <v/>
      </c>
      <c r="M26" s="13">
        <f>'Mi negocio'!$F$10</f>
        <v/>
      </c>
      <c r="N26" s="13">
        <f>H26+I26+J26+L26+M26</f>
        <v/>
      </c>
      <c r="O26" s="26">
        <f>'Mi negocio'!$F$8</f>
        <v/>
      </c>
      <c r="P26" s="27">
        <f>IFERROR(N26/(1-O26),0)</f>
        <v/>
      </c>
      <c r="Q26" s="28">
        <f>IFERROR(CEILING(P26/(1-'Mi negocio'!$F$14),1),0)</f>
        <v/>
      </c>
      <c r="R26" s="28">
        <f>IFERROR(CEILING(P26/(1-'Mi negocio'!$F$15),1),0)</f>
        <v/>
      </c>
      <c r="S26" s="28">
        <f>IFERROR(CEILING(P26/(1-'Mi negocio'!$F$16),1),0)</f>
        <v/>
      </c>
      <c r="T26" s="28">
        <f>IFERROR(CEILING(P26/(1-'Mi negocio'!$F$17),1),0)</f>
        <v/>
      </c>
      <c r="U26" s="29">
        <f>Q26-P26</f>
        <v/>
      </c>
    </row>
    <row r="27">
      <c r="A27" s="7" t="n">
        <v>23</v>
      </c>
      <c r="B27" s="8" t="inlineStr">
        <is>
          <t>Pepitorias de Semilla de Calabaza</t>
        </is>
      </c>
      <c r="C27" s="7" t="inlineStr">
        <is>
          <t>Cap. 8 · Semillas y palanquetas</t>
        </is>
      </c>
      <c r="D27" s="7" t="inlineStr">
        <is>
          <t>B-4 · Azúcar trabajada (caramelo, palanqueta y alfeñique)</t>
        </is>
      </c>
      <c r="E27" s="7" t="inlineStr">
        <is>
          <t>Caramelo · 160–170 °C</t>
        </is>
      </c>
      <c r="F27" s="8" t="n">
        <v>15</v>
      </c>
      <c r="G27" s="13">
        <f>SUMIF(Ingredientes!$A:$A,A27,Ingredientes!$G:$G)</f>
        <v/>
      </c>
      <c r="H27" s="13">
        <f>IFERROR(G27/F27,0)</f>
        <v/>
      </c>
      <c r="I27" s="24" t="n">
        <v>0.6</v>
      </c>
      <c r="J27" s="24" t="n">
        <v>0.45</v>
      </c>
      <c r="K27" s="25" t="n">
        <v>1</v>
      </c>
      <c r="L27" s="13">
        <f>K27/60*'Mi negocio'!$F$11</f>
        <v/>
      </c>
      <c r="M27" s="13">
        <f>'Mi negocio'!$F$10</f>
        <v/>
      </c>
      <c r="N27" s="13">
        <f>H27+I27+J27+L27+M27</f>
        <v/>
      </c>
      <c r="O27" s="26">
        <f>'Mi negocio'!$F$8</f>
        <v/>
      </c>
      <c r="P27" s="27">
        <f>IFERROR(N27/(1-O27),0)</f>
        <v/>
      </c>
      <c r="Q27" s="28">
        <f>IFERROR(CEILING(P27/(1-'Mi negocio'!$F$14),1),0)</f>
        <v/>
      </c>
      <c r="R27" s="28">
        <f>IFERROR(CEILING(P27/(1-'Mi negocio'!$F$15),1),0)</f>
        <v/>
      </c>
      <c r="S27" s="28">
        <f>IFERROR(CEILING(P27/(1-'Mi negocio'!$F$16),1),0)</f>
        <v/>
      </c>
      <c r="T27" s="28">
        <f>IFERROR(CEILING(P27/(1-'Mi negocio'!$F$17),1),0)</f>
        <v/>
      </c>
      <c r="U27" s="29">
        <f>Q27-P27</f>
        <v/>
      </c>
    </row>
    <row r="28">
      <c r="A28" s="7" t="n">
        <v>24</v>
      </c>
      <c r="B28" s="8" t="inlineStr">
        <is>
          <t>Palanqueta de Ajonjolí (Ajonjolín)</t>
        </is>
      </c>
      <c r="C28" s="7" t="inlineStr">
        <is>
          <t>Cap. 8 · Semillas y palanquetas</t>
        </is>
      </c>
      <c r="D28" s="7" t="inlineStr">
        <is>
          <t>B-4 · Azúcar trabajada (caramelo, palanqueta y alfeñique)</t>
        </is>
      </c>
      <c r="E28" s="7" t="inlineStr">
        <is>
          <t>Quebradizo · 149–154 °C</t>
        </is>
      </c>
      <c r="F28" s="8" t="n">
        <v>12</v>
      </c>
      <c r="G28" s="13">
        <f>SUMIF(Ingredientes!$A:$A,A28,Ingredientes!$G:$G)</f>
        <v/>
      </c>
      <c r="H28" s="13">
        <f>IFERROR(G28/F28,0)</f>
        <v/>
      </c>
      <c r="I28" s="24" t="n">
        <v>0.6</v>
      </c>
      <c r="J28" s="24" t="n">
        <v>0.45</v>
      </c>
      <c r="K28" s="25" t="n">
        <v>0.7</v>
      </c>
      <c r="L28" s="13">
        <f>K28/60*'Mi negocio'!$F$11</f>
        <v/>
      </c>
      <c r="M28" s="13">
        <f>'Mi negocio'!$F$10</f>
        <v/>
      </c>
      <c r="N28" s="13">
        <f>H28+I28+J28+L28+M28</f>
        <v/>
      </c>
      <c r="O28" s="26">
        <f>'Mi negocio'!$F$8</f>
        <v/>
      </c>
      <c r="P28" s="27">
        <f>IFERROR(N28/(1-O28),0)</f>
        <v/>
      </c>
      <c r="Q28" s="28">
        <f>IFERROR(CEILING(P28/(1-'Mi negocio'!$F$14),1),0)</f>
        <v/>
      </c>
      <c r="R28" s="28">
        <f>IFERROR(CEILING(P28/(1-'Mi negocio'!$F$15),1),0)</f>
        <v/>
      </c>
      <c r="S28" s="28">
        <f>IFERROR(CEILING(P28/(1-'Mi negocio'!$F$16),1),0)</f>
        <v/>
      </c>
      <c r="T28" s="28">
        <f>IFERROR(CEILING(P28/(1-'Mi negocio'!$F$17),1),0)</f>
        <v/>
      </c>
      <c r="U28" s="29">
        <f>Q28-P28</f>
        <v/>
      </c>
    </row>
    <row r="29">
      <c r="A29" s="7" t="n">
        <v>25</v>
      </c>
      <c r="B29" s="8" t="inlineStr">
        <is>
          <t>Alegrías con Chocolate y Amaranto</t>
        </is>
      </c>
      <c r="C29" s="7" t="inlineStr">
        <is>
          <t>Cap. 8 · Semillas y palanquetas</t>
        </is>
      </c>
      <c r="D29" s="7" t="inlineStr">
        <is>
          <t>B-4 · Azúcar trabajada (caramelo, palanqueta y alfeñique)</t>
        </is>
      </c>
      <c r="E29" s="7" t="inlineStr">
        <is>
          <t>Bola suave · 112–116 °C</t>
        </is>
      </c>
      <c r="F29" s="8" t="n">
        <v>12</v>
      </c>
      <c r="G29" s="13">
        <f>SUMIF(Ingredientes!$A:$A,A29,Ingredientes!$G:$G)</f>
        <v/>
      </c>
      <c r="H29" s="13">
        <f>IFERROR(G29/F29,0)</f>
        <v/>
      </c>
      <c r="I29" s="24" t="n">
        <v>0.6</v>
      </c>
      <c r="J29" s="24" t="n">
        <v>0.45</v>
      </c>
      <c r="K29" s="25" t="n">
        <v>0.7</v>
      </c>
      <c r="L29" s="13">
        <f>K29/60*'Mi negocio'!$F$11</f>
        <v/>
      </c>
      <c r="M29" s="13">
        <f>'Mi negocio'!$F$10</f>
        <v/>
      </c>
      <c r="N29" s="13">
        <f>H29+I29+J29+L29+M29</f>
        <v/>
      </c>
      <c r="O29" s="26">
        <f>'Mi negocio'!$F$8</f>
        <v/>
      </c>
      <c r="P29" s="27">
        <f>IFERROR(N29/(1-O29),0)</f>
        <v/>
      </c>
      <c r="Q29" s="28">
        <f>IFERROR(CEILING(P29/(1-'Mi negocio'!$F$14),1),0)</f>
        <v/>
      </c>
      <c r="R29" s="28">
        <f>IFERROR(CEILING(P29/(1-'Mi negocio'!$F$15),1),0)</f>
        <v/>
      </c>
      <c r="S29" s="28">
        <f>IFERROR(CEILING(P29/(1-'Mi negocio'!$F$16),1),0)</f>
        <v/>
      </c>
      <c r="T29" s="28">
        <f>IFERROR(CEILING(P29/(1-'Mi negocio'!$F$17),1),0)</f>
        <v/>
      </c>
      <c r="U29" s="29">
        <f>Q29-P29</f>
        <v/>
      </c>
    </row>
    <row r="30">
      <c r="A30" s="7" t="n">
        <v>26</v>
      </c>
      <c r="B30" s="8" t="inlineStr">
        <is>
          <t>Dulce de Pepita de Calabaza (Jamoncillo de Pepita)</t>
        </is>
      </c>
      <c r="C30" s="7" t="inlineStr">
        <is>
          <t>Cap. 8 · Semillas y palanquetas</t>
        </is>
      </c>
      <c r="D30" s="7" t="inlineStr">
        <is>
          <t>B-1 · Leche quemada (base láctea)</t>
        </is>
      </c>
      <c r="E30" s="7" t="inlineStr">
        <is>
          <t>Bola suave · 112–116 °C</t>
        </is>
      </c>
      <c r="F30" s="8" t="n">
        <v>16</v>
      </c>
      <c r="G30" s="13">
        <f>SUMIF(Ingredientes!$A:$A,A30,Ingredientes!$G:$G)</f>
        <v/>
      </c>
      <c r="H30" s="13">
        <f>IFERROR(G30/F30,0)</f>
        <v/>
      </c>
      <c r="I30" s="24" t="n">
        <v>0.6</v>
      </c>
      <c r="J30" s="24" t="n">
        <v>0.45</v>
      </c>
      <c r="K30" s="25" t="n">
        <v>1</v>
      </c>
      <c r="L30" s="13">
        <f>K30/60*'Mi negocio'!$F$11</f>
        <v/>
      </c>
      <c r="M30" s="13">
        <f>'Mi negocio'!$F$10</f>
        <v/>
      </c>
      <c r="N30" s="13">
        <f>H30+I30+J30+L30+M30</f>
        <v/>
      </c>
      <c r="O30" s="26">
        <f>'Mi negocio'!$F$8</f>
        <v/>
      </c>
      <c r="P30" s="27">
        <f>IFERROR(N30/(1-O30),0)</f>
        <v/>
      </c>
      <c r="Q30" s="28">
        <f>IFERROR(CEILING(P30/(1-'Mi negocio'!$F$14),1),0)</f>
        <v/>
      </c>
      <c r="R30" s="28">
        <f>IFERROR(CEILING(P30/(1-'Mi negocio'!$F$15),1),0)</f>
        <v/>
      </c>
      <c r="S30" s="28">
        <f>IFERROR(CEILING(P30/(1-'Mi negocio'!$F$16),1),0)</f>
        <v/>
      </c>
      <c r="T30" s="28">
        <f>IFERROR(CEILING(P30/(1-'Mi negocio'!$F$17),1),0)</f>
        <v/>
      </c>
      <c r="U30" s="29">
        <f>Q30-P30</f>
        <v/>
      </c>
    </row>
    <row r="31">
      <c r="A31" s="7" t="n">
        <v>27</v>
      </c>
      <c r="B31" s="8" t="inlineStr">
        <is>
          <t>Palanqueta de Nueces Mixtas</t>
        </is>
      </c>
      <c r="C31" s="7" t="inlineStr">
        <is>
          <t>Cap. 8 · Semillas y palanquetas</t>
        </is>
      </c>
      <c r="D31" s="7" t="inlineStr">
        <is>
          <t>B-4 · Azúcar trabajada (caramelo, palanqueta y alfeñique)</t>
        </is>
      </c>
      <c r="E31" s="7" t="inlineStr">
        <is>
          <t>Caramelo · 160–170 °C</t>
        </is>
      </c>
      <c r="F31" s="8" t="n">
        <v>10</v>
      </c>
      <c r="G31" s="13">
        <f>SUMIF(Ingredientes!$A:$A,A31,Ingredientes!$G:$G)</f>
        <v/>
      </c>
      <c r="H31" s="13">
        <f>IFERROR(G31/F31,0)</f>
        <v/>
      </c>
      <c r="I31" s="24" t="n">
        <v>0.6</v>
      </c>
      <c r="J31" s="24" t="n">
        <v>0.45</v>
      </c>
      <c r="K31" s="25" t="n">
        <v>1</v>
      </c>
      <c r="L31" s="13">
        <f>K31/60*'Mi negocio'!$F$11</f>
        <v/>
      </c>
      <c r="M31" s="13">
        <f>'Mi negocio'!$F$10</f>
        <v/>
      </c>
      <c r="N31" s="13">
        <f>H31+I31+J31+L31+M31</f>
        <v/>
      </c>
      <c r="O31" s="26">
        <f>'Mi negocio'!$F$8</f>
        <v/>
      </c>
      <c r="P31" s="27">
        <f>IFERROR(N31/(1-O31),0)</f>
        <v/>
      </c>
      <c r="Q31" s="28">
        <f>IFERROR(CEILING(P31/(1-'Mi negocio'!$F$14),1),0)</f>
        <v/>
      </c>
      <c r="R31" s="28">
        <f>IFERROR(CEILING(P31/(1-'Mi negocio'!$F$15),1),0)</f>
        <v/>
      </c>
      <c r="S31" s="28">
        <f>IFERROR(CEILING(P31/(1-'Mi negocio'!$F$16),1),0)</f>
        <v/>
      </c>
      <c r="T31" s="28">
        <f>IFERROR(CEILING(P31/(1-'Mi negocio'!$F$17),1),0)</f>
        <v/>
      </c>
      <c r="U31" s="29">
        <f>Q31-P31</f>
        <v/>
      </c>
    </row>
    <row r="32">
      <c r="A32" s="7" t="n">
        <v>28</v>
      </c>
      <c r="B32" s="8" t="inlineStr">
        <is>
          <t>Barras de Amaranto con Frutos Secos</t>
        </is>
      </c>
      <c r="C32" s="7" t="inlineStr">
        <is>
          <t>Cap. 8 · Semillas y palanquetas</t>
        </is>
      </c>
      <c r="D32" s="7" t="inlineStr">
        <is>
          <t>B-4 · Azúcar trabajada (caramelo, palanqueta y alfeñique)</t>
        </is>
      </c>
      <c r="E32" s="7" t="inlineStr">
        <is>
          <t>Bola suave · 112–116 °C</t>
        </is>
      </c>
      <c r="F32" s="8" t="n">
        <v>12</v>
      </c>
      <c r="G32" s="13">
        <f>SUMIF(Ingredientes!$A:$A,A32,Ingredientes!$G:$G)</f>
        <v/>
      </c>
      <c r="H32" s="13">
        <f>IFERROR(G32/F32,0)</f>
        <v/>
      </c>
      <c r="I32" s="24" t="n">
        <v>0.6</v>
      </c>
      <c r="J32" s="24" t="n">
        <v>0.45</v>
      </c>
      <c r="K32" s="25" t="n">
        <v>0.7</v>
      </c>
      <c r="L32" s="13">
        <f>K32/60*'Mi negocio'!$F$11</f>
        <v/>
      </c>
      <c r="M32" s="13">
        <f>'Mi negocio'!$F$10</f>
        <v/>
      </c>
      <c r="N32" s="13">
        <f>H32+I32+J32+L32+M32</f>
        <v/>
      </c>
      <c r="O32" s="26">
        <f>'Mi negocio'!$F$8</f>
        <v/>
      </c>
      <c r="P32" s="27">
        <f>IFERROR(N32/(1-O32),0)</f>
        <v/>
      </c>
      <c r="Q32" s="28">
        <f>IFERROR(CEILING(P32/(1-'Mi negocio'!$F$14),1),0)</f>
        <v/>
      </c>
      <c r="R32" s="28">
        <f>IFERROR(CEILING(P32/(1-'Mi negocio'!$F$15),1),0)</f>
        <v/>
      </c>
      <c r="S32" s="28">
        <f>IFERROR(CEILING(P32/(1-'Mi negocio'!$F$16),1),0)</f>
        <v/>
      </c>
      <c r="T32" s="28">
        <f>IFERROR(CEILING(P32/(1-'Mi negocio'!$F$17),1),0)</f>
        <v/>
      </c>
      <c r="U32" s="29">
        <f>Q32-P32</f>
        <v/>
      </c>
    </row>
    <row r="33">
      <c r="A33" s="7" t="n">
        <v>29</v>
      </c>
      <c r="B33" s="8" t="inlineStr">
        <is>
          <t>Pepitorias Gigantes de Feria</t>
        </is>
      </c>
      <c r="C33" s="7" t="inlineStr">
        <is>
          <t>Cap. 8 · Semillas y palanquetas</t>
        </is>
      </c>
      <c r="D33" s="7" t="inlineStr">
        <is>
          <t>B-4 · Azúcar trabajada (caramelo, palanqueta y alfeñique)</t>
        </is>
      </c>
      <c r="E33" s="7" t="inlineStr">
        <is>
          <t>Caramelo · 160–170 °C</t>
        </is>
      </c>
      <c r="F33" s="8" t="n">
        <v>6</v>
      </c>
      <c r="G33" s="13">
        <f>SUMIF(Ingredientes!$A:$A,A33,Ingredientes!$G:$G)</f>
        <v/>
      </c>
      <c r="H33" s="13">
        <f>IFERROR(G33/F33,0)</f>
        <v/>
      </c>
      <c r="I33" s="24" t="n">
        <v>0.6</v>
      </c>
      <c r="J33" s="24" t="n">
        <v>0.45</v>
      </c>
      <c r="K33" s="25" t="n">
        <v>1</v>
      </c>
      <c r="L33" s="13">
        <f>K33/60*'Mi negocio'!$F$11</f>
        <v/>
      </c>
      <c r="M33" s="13">
        <f>'Mi negocio'!$F$10</f>
        <v/>
      </c>
      <c r="N33" s="13">
        <f>H33+I33+J33+L33+M33</f>
        <v/>
      </c>
      <c r="O33" s="26">
        <f>'Mi negocio'!$F$8</f>
        <v/>
      </c>
      <c r="P33" s="27">
        <f>IFERROR(N33/(1-O33),0)</f>
        <v/>
      </c>
      <c r="Q33" s="28">
        <f>IFERROR(CEILING(P33/(1-'Mi negocio'!$F$14),1),0)</f>
        <v/>
      </c>
      <c r="R33" s="28">
        <f>IFERROR(CEILING(P33/(1-'Mi negocio'!$F$15),1),0)</f>
        <v/>
      </c>
      <c r="S33" s="28">
        <f>IFERROR(CEILING(P33/(1-'Mi negocio'!$F$16),1),0)</f>
        <v/>
      </c>
      <c r="T33" s="28">
        <f>IFERROR(CEILING(P33/(1-'Mi negocio'!$F$17),1),0)</f>
        <v/>
      </c>
      <c r="U33" s="29">
        <f>Q33-P33</f>
        <v/>
      </c>
    </row>
    <row r="34">
      <c r="A34" s="7" t="n">
        <v>30</v>
      </c>
      <c r="B34" s="8" t="inlineStr">
        <is>
          <t>Turrón de Cacahuate Estilo Mexicano</t>
        </is>
      </c>
      <c r="C34" s="7" t="inlineStr">
        <is>
          <t>Cap. 8 · Semillas y palanquetas</t>
        </is>
      </c>
      <c r="D34" s="7" t="inlineStr">
        <is>
          <t>B-4 · Azúcar trabajada (caramelo, palanqueta y alfeñique)</t>
        </is>
      </c>
      <c r="E34" s="7" t="inlineStr">
        <is>
          <t>Bola dura · 121–130 °C</t>
        </is>
      </c>
      <c r="F34" s="8" t="n">
        <v>15</v>
      </c>
      <c r="G34" s="13">
        <f>SUMIF(Ingredientes!$A:$A,A34,Ingredientes!$G:$G)</f>
        <v/>
      </c>
      <c r="H34" s="13">
        <f>IFERROR(G34/F34,0)</f>
        <v/>
      </c>
      <c r="I34" s="24" t="n">
        <v>0.6</v>
      </c>
      <c r="J34" s="24" t="n">
        <v>0.45</v>
      </c>
      <c r="K34" s="25" t="n">
        <v>1.8</v>
      </c>
      <c r="L34" s="13">
        <f>K34/60*'Mi negocio'!$F$11</f>
        <v/>
      </c>
      <c r="M34" s="13">
        <f>'Mi negocio'!$F$10</f>
        <v/>
      </c>
      <c r="N34" s="13">
        <f>H34+I34+J34+L34+M34</f>
        <v/>
      </c>
      <c r="O34" s="26">
        <f>'Mi negocio'!$F$8</f>
        <v/>
      </c>
      <c r="P34" s="27">
        <f>IFERROR(N34/(1-O34),0)</f>
        <v/>
      </c>
      <c r="Q34" s="28">
        <f>IFERROR(CEILING(P34/(1-'Mi negocio'!$F$14),1),0)</f>
        <v/>
      </c>
      <c r="R34" s="28">
        <f>IFERROR(CEILING(P34/(1-'Mi negocio'!$F$15),1),0)</f>
        <v/>
      </c>
      <c r="S34" s="28">
        <f>IFERROR(CEILING(P34/(1-'Mi negocio'!$F$16),1),0)</f>
        <v/>
      </c>
      <c r="T34" s="28">
        <f>IFERROR(CEILING(P34/(1-'Mi negocio'!$F$17),1),0)</f>
        <v/>
      </c>
      <c r="U34" s="29">
        <f>Q34-P34</f>
        <v/>
      </c>
    </row>
    <row r="35">
      <c r="A35" s="7" t="n">
        <v>31</v>
      </c>
      <c r="B35" s="8" t="inlineStr">
        <is>
          <t>Bolitas de Tamarindo con Chile y Sal</t>
        </is>
      </c>
      <c r="C35" s="7" t="inlineStr">
        <is>
          <t>Cap. 9 · Enchilados</t>
        </is>
      </c>
      <c r="D35" s="7" t="inlineStr">
        <is>
          <t>B-6 · Pasta de fruta y enchilado</t>
        </is>
      </c>
      <c r="E35" s="7" t="inlineStr">
        <is>
          <t>Bola suave · 112–116 °C</t>
        </is>
      </c>
      <c r="F35" s="8" t="n">
        <v>25</v>
      </c>
      <c r="G35" s="13">
        <f>SUMIF(Ingredientes!$A:$A,A35,Ingredientes!$G:$G)</f>
        <v/>
      </c>
      <c r="H35" s="13">
        <f>IFERROR(G35/F35,0)</f>
        <v/>
      </c>
      <c r="I35" s="24" t="n">
        <v>0.6</v>
      </c>
      <c r="J35" s="24" t="n">
        <v>0.45</v>
      </c>
      <c r="K35" s="25" t="n">
        <v>0.7</v>
      </c>
      <c r="L35" s="13">
        <f>K35/60*'Mi negocio'!$F$11</f>
        <v/>
      </c>
      <c r="M35" s="13">
        <f>'Mi negocio'!$F$10</f>
        <v/>
      </c>
      <c r="N35" s="13">
        <f>H35+I35+J35+L35+M35</f>
        <v/>
      </c>
      <c r="O35" s="26">
        <f>'Mi negocio'!$F$8</f>
        <v/>
      </c>
      <c r="P35" s="27">
        <f>IFERROR(N35/(1-O35),0)</f>
        <v/>
      </c>
      <c r="Q35" s="28">
        <f>IFERROR(CEILING(P35/(1-'Mi negocio'!$F$14),1),0)</f>
        <v/>
      </c>
      <c r="R35" s="28">
        <f>IFERROR(CEILING(P35/(1-'Mi negocio'!$F$15),1),0)</f>
        <v/>
      </c>
      <c r="S35" s="28">
        <f>IFERROR(CEILING(P35/(1-'Mi negocio'!$F$16),1),0)</f>
        <v/>
      </c>
      <c r="T35" s="28">
        <f>IFERROR(CEILING(P35/(1-'Mi negocio'!$F$17),1),0)</f>
        <v/>
      </c>
      <c r="U35" s="29">
        <f>Q35-P35</f>
        <v/>
      </c>
    </row>
    <row r="36">
      <c r="A36" s="7" t="n">
        <v>32</v>
      </c>
      <c r="B36" s="8" t="inlineStr">
        <is>
          <t>Tarugos de Tamarindo Enchilados</t>
        </is>
      </c>
      <c r="C36" s="7" t="inlineStr">
        <is>
          <t>Cap. 9 · Enchilados</t>
        </is>
      </c>
      <c r="D36" s="7" t="inlineStr">
        <is>
          <t>B-6 · Pasta de fruta y enchilado</t>
        </is>
      </c>
      <c r="E36" s="7" t="inlineStr">
        <is>
          <t>Bola suave · 112–116 °C</t>
        </is>
      </c>
      <c r="F36" s="8" t="n">
        <v>20</v>
      </c>
      <c r="G36" s="13">
        <f>SUMIF(Ingredientes!$A:$A,A36,Ingredientes!$G:$G)</f>
        <v/>
      </c>
      <c r="H36" s="13">
        <f>IFERROR(G36/F36,0)</f>
        <v/>
      </c>
      <c r="I36" s="24" t="n">
        <v>0.6</v>
      </c>
      <c r="J36" s="24" t="n">
        <v>0.45</v>
      </c>
      <c r="K36" s="25" t="n">
        <v>0.7</v>
      </c>
      <c r="L36" s="13">
        <f>K36/60*'Mi negocio'!$F$11</f>
        <v/>
      </c>
      <c r="M36" s="13">
        <f>'Mi negocio'!$F$10</f>
        <v/>
      </c>
      <c r="N36" s="13">
        <f>H36+I36+J36+L36+M36</f>
        <v/>
      </c>
      <c r="O36" s="26">
        <f>'Mi negocio'!$F$8</f>
        <v/>
      </c>
      <c r="P36" s="27">
        <f>IFERROR(N36/(1-O36),0)</f>
        <v/>
      </c>
      <c r="Q36" s="28">
        <f>IFERROR(CEILING(P36/(1-'Mi negocio'!$F$14),1),0)</f>
        <v/>
      </c>
      <c r="R36" s="28">
        <f>IFERROR(CEILING(P36/(1-'Mi negocio'!$F$15),1),0)</f>
        <v/>
      </c>
      <c r="S36" s="28">
        <f>IFERROR(CEILING(P36/(1-'Mi negocio'!$F$16),1),0)</f>
        <v/>
      </c>
      <c r="T36" s="28">
        <f>IFERROR(CEILING(P36/(1-'Mi negocio'!$F$17),1),0)</f>
        <v/>
      </c>
      <c r="U36" s="29">
        <f>Q36-P36</f>
        <v/>
      </c>
    </row>
    <row r="37">
      <c r="A37" s="7" t="n">
        <v>33</v>
      </c>
      <c r="B37" s="8" t="inlineStr">
        <is>
          <t>Glorias de Tamarindo estilo Pulparindo</t>
        </is>
      </c>
      <c r="C37" s="7" t="inlineStr">
        <is>
          <t>Cap. 9 · Enchilados</t>
        </is>
      </c>
      <c r="D37" s="7" t="inlineStr">
        <is>
          <t>B-6 · Pasta de fruta y enchilado</t>
        </is>
      </c>
      <c r="E37" s="7" t="inlineStr">
        <is>
          <t>Bola dura · 121–130 °C</t>
        </is>
      </c>
      <c r="F37" s="8" t="n">
        <v>15</v>
      </c>
      <c r="G37" s="13">
        <f>SUMIF(Ingredientes!$A:$A,A37,Ingredientes!$G:$G)</f>
        <v/>
      </c>
      <c r="H37" s="13">
        <f>IFERROR(G37/F37,0)</f>
        <v/>
      </c>
      <c r="I37" s="24" t="n">
        <v>0.6</v>
      </c>
      <c r="J37" s="24" t="n">
        <v>0.45</v>
      </c>
      <c r="K37" s="25" t="n">
        <v>1</v>
      </c>
      <c r="L37" s="13">
        <f>K37/60*'Mi negocio'!$F$11</f>
        <v/>
      </c>
      <c r="M37" s="13">
        <f>'Mi negocio'!$F$10</f>
        <v/>
      </c>
      <c r="N37" s="13">
        <f>H37+I37+J37+L37+M37</f>
        <v/>
      </c>
      <c r="O37" s="26">
        <f>'Mi negocio'!$F$8</f>
        <v/>
      </c>
      <c r="P37" s="27">
        <f>IFERROR(N37/(1-O37),0)</f>
        <v/>
      </c>
      <c r="Q37" s="28">
        <f>IFERROR(CEILING(P37/(1-'Mi negocio'!$F$14),1),0)</f>
        <v/>
      </c>
      <c r="R37" s="28">
        <f>IFERROR(CEILING(P37/(1-'Mi negocio'!$F$15),1),0)</f>
        <v/>
      </c>
      <c r="S37" s="28">
        <f>IFERROR(CEILING(P37/(1-'Mi negocio'!$F$16),1),0)</f>
        <v/>
      </c>
      <c r="T37" s="28">
        <f>IFERROR(CEILING(P37/(1-'Mi negocio'!$F$17),1),0)</f>
        <v/>
      </c>
      <c r="U37" s="29">
        <f>Q37-P37</f>
        <v/>
      </c>
    </row>
    <row r="38">
      <c r="A38" s="7" t="n">
        <v>34</v>
      </c>
      <c r="B38" s="8" t="inlineStr">
        <is>
          <t>Mangadas de Tamarindo con Chamoy</t>
        </is>
      </c>
      <c r="C38" s="7" t="inlineStr">
        <is>
          <t>Cap. 9 · Enchilados</t>
        </is>
      </c>
      <c r="D38" s="7" t="inlineStr">
        <is>
          <t>B-6 · Pasta de fruta y enchilado</t>
        </is>
      </c>
      <c r="E38" s="7" t="inlineStr">
        <is>
          <t>Sin punto de azúcar</t>
        </is>
      </c>
      <c r="F38" s="8" t="n">
        <v>10</v>
      </c>
      <c r="G38" s="13">
        <f>SUMIF(Ingredientes!$A:$A,A38,Ingredientes!$G:$G)</f>
        <v/>
      </c>
      <c r="H38" s="13">
        <f>IFERROR(G38/F38,0)</f>
        <v/>
      </c>
      <c r="I38" s="24" t="n">
        <v>0.6</v>
      </c>
      <c r="J38" s="24" t="n">
        <v>0.45</v>
      </c>
      <c r="K38" s="25" t="n">
        <v>0.7</v>
      </c>
      <c r="L38" s="13">
        <f>K38/60*'Mi negocio'!$F$11</f>
        <v/>
      </c>
      <c r="M38" s="13">
        <f>'Mi negocio'!$F$10</f>
        <v/>
      </c>
      <c r="N38" s="13">
        <f>H38+I38+J38+L38+M38</f>
        <v/>
      </c>
      <c r="O38" s="26">
        <f>'Mi negocio'!$F$8</f>
        <v/>
      </c>
      <c r="P38" s="27">
        <f>IFERROR(N38/(1-O38),0)</f>
        <v/>
      </c>
      <c r="Q38" s="28">
        <f>IFERROR(CEILING(P38/(1-'Mi negocio'!$F$14),1),0)</f>
        <v/>
      </c>
      <c r="R38" s="28">
        <f>IFERROR(CEILING(P38/(1-'Mi negocio'!$F$15),1),0)</f>
        <v/>
      </c>
      <c r="S38" s="28">
        <f>IFERROR(CEILING(P38/(1-'Mi negocio'!$F$16),1),0)</f>
        <v/>
      </c>
      <c r="T38" s="28">
        <f>IFERROR(CEILING(P38/(1-'Mi negocio'!$F$17),1),0)</f>
        <v/>
      </c>
      <c r="U38" s="29">
        <f>Q38-P38</f>
        <v/>
      </c>
    </row>
    <row r="39">
      <c r="A39" s="7" t="n">
        <v>35</v>
      </c>
      <c r="B39" s="8" t="inlineStr">
        <is>
          <t>Ciruelas Pasas Rellenas de Jamoncillo</t>
        </is>
      </c>
      <c r="C39" s="7" t="inlineStr">
        <is>
          <t>Cap. 9 · Enchilados</t>
        </is>
      </c>
      <c r="D39" s="7" t="inlineStr">
        <is>
          <t>B-1 · Leche quemada (base láctea)</t>
        </is>
      </c>
      <c r="E39" s="7" t="inlineStr">
        <is>
          <t>Sin punto de azúcar</t>
        </is>
      </c>
      <c r="F39" s="8" t="n">
        <v>20</v>
      </c>
      <c r="G39" s="13">
        <f>SUMIF(Ingredientes!$A:$A,A39,Ingredientes!$G:$G)</f>
        <v/>
      </c>
      <c r="H39" s="13">
        <f>IFERROR(G39/F39,0)</f>
        <v/>
      </c>
      <c r="I39" s="24" t="n">
        <v>0.6</v>
      </c>
      <c r="J39" s="24" t="n">
        <v>0.45</v>
      </c>
      <c r="K39" s="25" t="n">
        <v>0.7</v>
      </c>
      <c r="L39" s="13">
        <f>K39/60*'Mi negocio'!$F$11</f>
        <v/>
      </c>
      <c r="M39" s="13">
        <f>'Mi negocio'!$F$10</f>
        <v/>
      </c>
      <c r="N39" s="13">
        <f>H39+I39+J39+L39+M39</f>
        <v/>
      </c>
      <c r="O39" s="26">
        <f>'Mi negocio'!$F$8</f>
        <v/>
      </c>
      <c r="P39" s="27">
        <f>IFERROR(N39/(1-O39),0)</f>
        <v/>
      </c>
      <c r="Q39" s="28">
        <f>IFERROR(CEILING(P39/(1-'Mi negocio'!$F$14),1),0)</f>
        <v/>
      </c>
      <c r="R39" s="28">
        <f>IFERROR(CEILING(P39/(1-'Mi negocio'!$F$15),1),0)</f>
        <v/>
      </c>
      <c r="S39" s="28">
        <f>IFERROR(CEILING(P39/(1-'Mi negocio'!$F$16),1),0)</f>
        <v/>
      </c>
      <c r="T39" s="28">
        <f>IFERROR(CEILING(P39/(1-'Mi negocio'!$F$17),1),0)</f>
        <v/>
      </c>
      <c r="U39" s="29">
        <f>Q39-P39</f>
        <v/>
      </c>
    </row>
    <row r="40">
      <c r="A40" s="7" t="n">
        <v>36</v>
      </c>
      <c r="B40" s="8" t="inlineStr">
        <is>
          <t>Higos Cristalizados Rellenos de Dulce de Leche</t>
        </is>
      </c>
      <c r="C40" s="7" t="inlineStr">
        <is>
          <t>Cap. 9 · Enchilados</t>
        </is>
      </c>
      <c r="D40" s="7" t="inlineStr">
        <is>
          <t>B-5 · Jarabe de cristalizado</t>
        </is>
      </c>
      <c r="E40" s="7" t="inlineStr">
        <is>
          <t>Hebra · 103–105 °C</t>
        </is>
      </c>
      <c r="F40" s="8" t="n">
        <v>12</v>
      </c>
      <c r="G40" s="13">
        <f>SUMIF(Ingredientes!$A:$A,A40,Ingredientes!$G:$G)</f>
        <v/>
      </c>
      <c r="H40" s="13">
        <f>IFERROR(G40/F40,0)</f>
        <v/>
      </c>
      <c r="I40" s="24" t="n">
        <v>0.6</v>
      </c>
      <c r="J40" s="24" t="n">
        <v>0.45</v>
      </c>
      <c r="K40" s="25" t="n">
        <v>1</v>
      </c>
      <c r="L40" s="13">
        <f>K40/60*'Mi negocio'!$F$11</f>
        <v/>
      </c>
      <c r="M40" s="13">
        <f>'Mi negocio'!$F$10</f>
        <v/>
      </c>
      <c r="N40" s="13">
        <f>H40+I40+J40+L40+M40</f>
        <v/>
      </c>
      <c r="O40" s="26">
        <f>'Mi negocio'!$F$8</f>
        <v/>
      </c>
      <c r="P40" s="27">
        <f>IFERROR(N40/(1-O40),0)</f>
        <v/>
      </c>
      <c r="Q40" s="28">
        <f>IFERROR(CEILING(P40/(1-'Mi negocio'!$F$14),1),0)</f>
        <v/>
      </c>
      <c r="R40" s="28">
        <f>IFERROR(CEILING(P40/(1-'Mi negocio'!$F$15),1),0)</f>
        <v/>
      </c>
      <c r="S40" s="28">
        <f>IFERROR(CEILING(P40/(1-'Mi negocio'!$F$16),1),0)</f>
        <v/>
      </c>
      <c r="T40" s="28">
        <f>IFERROR(CEILING(P40/(1-'Mi negocio'!$F$17),1),0)</f>
        <v/>
      </c>
      <c r="U40" s="29">
        <f>Q40-P40</f>
        <v/>
      </c>
    </row>
    <row r="41">
      <c r="A41" s="7" t="n">
        <v>37</v>
      </c>
      <c r="B41" s="8" t="inlineStr">
        <is>
          <t>Nopal Cristalizado Tradicional</t>
        </is>
      </c>
      <c r="C41" s="7" t="inlineStr">
        <is>
          <t>Cap. 9 · Enchilados</t>
        </is>
      </c>
      <c r="D41" s="7" t="inlineStr">
        <is>
          <t>B-5 · Jarabe de cristalizado</t>
        </is>
      </c>
      <c r="E41" s="7" t="inlineStr">
        <is>
          <t>Hebra · 103–105 °C</t>
        </is>
      </c>
      <c r="F41" s="8" t="n">
        <v>15</v>
      </c>
      <c r="G41" s="13">
        <f>SUMIF(Ingredientes!$A:$A,A41,Ingredientes!$G:$G)</f>
        <v/>
      </c>
      <c r="H41" s="13">
        <f>IFERROR(G41/F41,0)</f>
        <v/>
      </c>
      <c r="I41" s="24" t="n">
        <v>0.6</v>
      </c>
      <c r="J41" s="24" t="n">
        <v>0.45</v>
      </c>
      <c r="K41" s="25" t="n">
        <v>1.8</v>
      </c>
      <c r="L41" s="13">
        <f>K41/60*'Mi negocio'!$F$11</f>
        <v/>
      </c>
      <c r="M41" s="13">
        <f>'Mi negocio'!$F$10</f>
        <v/>
      </c>
      <c r="N41" s="13">
        <f>H41+I41+J41+L41+M41</f>
        <v/>
      </c>
      <c r="O41" s="26">
        <f>'Mi negocio'!$F$8</f>
        <v/>
      </c>
      <c r="P41" s="27">
        <f>IFERROR(N41/(1-O41),0)</f>
        <v/>
      </c>
      <c r="Q41" s="28">
        <f>IFERROR(CEILING(P41/(1-'Mi negocio'!$F$14),1),0)</f>
        <v/>
      </c>
      <c r="R41" s="28">
        <f>IFERROR(CEILING(P41/(1-'Mi negocio'!$F$15),1),0)</f>
        <v/>
      </c>
      <c r="S41" s="28">
        <f>IFERROR(CEILING(P41/(1-'Mi negocio'!$F$16),1),0)</f>
        <v/>
      </c>
      <c r="T41" s="28">
        <f>IFERROR(CEILING(P41/(1-'Mi negocio'!$F$17),1),0)</f>
        <v/>
      </c>
      <c r="U41" s="29">
        <f>Q41-P41</f>
        <v/>
      </c>
    </row>
    <row r="42">
      <c r="A42" s="7" t="n">
        <v>38</v>
      </c>
      <c r="B42" s="8" t="inlineStr">
        <is>
          <t>Chilacayote Cristalizado</t>
        </is>
      </c>
      <c r="C42" s="7" t="inlineStr">
        <is>
          <t>Cap. 9 · Enchilados</t>
        </is>
      </c>
      <c r="D42" s="7" t="inlineStr">
        <is>
          <t>B-5 · Jarabe de cristalizado</t>
        </is>
      </c>
      <c r="E42" s="7" t="inlineStr">
        <is>
          <t>Hebra · 103–105 °C</t>
        </is>
      </c>
      <c r="F42" s="8" t="n">
        <v>12</v>
      </c>
      <c r="G42" s="13">
        <f>SUMIF(Ingredientes!$A:$A,A42,Ingredientes!$G:$G)</f>
        <v/>
      </c>
      <c r="H42" s="13">
        <f>IFERROR(G42/F42,0)</f>
        <v/>
      </c>
      <c r="I42" s="24" t="n">
        <v>0.6</v>
      </c>
      <c r="J42" s="24" t="n">
        <v>0.45</v>
      </c>
      <c r="K42" s="25" t="n">
        <v>1.8</v>
      </c>
      <c r="L42" s="13">
        <f>K42/60*'Mi negocio'!$F$11</f>
        <v/>
      </c>
      <c r="M42" s="13">
        <f>'Mi negocio'!$F$10</f>
        <v/>
      </c>
      <c r="N42" s="13">
        <f>H42+I42+J42+L42+M42</f>
        <v/>
      </c>
      <c r="O42" s="26">
        <f>'Mi negocio'!$F$8</f>
        <v/>
      </c>
      <c r="P42" s="27">
        <f>IFERROR(N42/(1-O42),0)</f>
        <v/>
      </c>
      <c r="Q42" s="28">
        <f>IFERROR(CEILING(P42/(1-'Mi negocio'!$F$14),1),0)</f>
        <v/>
      </c>
      <c r="R42" s="28">
        <f>IFERROR(CEILING(P42/(1-'Mi negocio'!$F$15),1),0)</f>
        <v/>
      </c>
      <c r="S42" s="28">
        <f>IFERROR(CEILING(P42/(1-'Mi negocio'!$F$16),1),0)</f>
        <v/>
      </c>
      <c r="T42" s="28">
        <f>IFERROR(CEILING(P42/(1-'Mi negocio'!$F$17),1),0)</f>
        <v/>
      </c>
      <c r="U42" s="29">
        <f>Q42-P42</f>
        <v/>
      </c>
    </row>
    <row r="43">
      <c r="A43" s="7" t="n">
        <v>39</v>
      </c>
      <c r="B43" s="8" t="inlineStr">
        <is>
          <t>Limones Rellenos de Coco Cristalizados</t>
        </is>
      </c>
      <c r="C43" s="7" t="inlineStr">
        <is>
          <t>Cap. 9 · Enchilados</t>
        </is>
      </c>
      <c r="D43" s="7" t="inlineStr">
        <is>
          <t>B-5 · Jarabe de cristalizado</t>
        </is>
      </c>
      <c r="E43" s="7" t="inlineStr">
        <is>
          <t>Hebra · 103–105 °C</t>
        </is>
      </c>
      <c r="F43" s="8" t="n">
        <v>10</v>
      </c>
      <c r="G43" s="13">
        <f>SUMIF(Ingredientes!$A:$A,A43,Ingredientes!$G:$G)</f>
        <v/>
      </c>
      <c r="H43" s="13">
        <f>IFERROR(G43/F43,0)</f>
        <v/>
      </c>
      <c r="I43" s="24" t="n">
        <v>0.6</v>
      </c>
      <c r="J43" s="24" t="n">
        <v>0.45</v>
      </c>
      <c r="K43" s="25" t="n">
        <v>1.8</v>
      </c>
      <c r="L43" s="13">
        <f>K43/60*'Mi negocio'!$F$11</f>
        <v/>
      </c>
      <c r="M43" s="13">
        <f>'Mi negocio'!$F$10</f>
        <v/>
      </c>
      <c r="N43" s="13">
        <f>H43+I43+J43+L43+M43</f>
        <v/>
      </c>
      <c r="O43" s="26">
        <f>'Mi negocio'!$F$8</f>
        <v/>
      </c>
      <c r="P43" s="27">
        <f>IFERROR(N43/(1-O43),0)</f>
        <v/>
      </c>
      <c r="Q43" s="28">
        <f>IFERROR(CEILING(P43/(1-'Mi negocio'!$F$14),1),0)</f>
        <v/>
      </c>
      <c r="R43" s="28">
        <f>IFERROR(CEILING(P43/(1-'Mi negocio'!$F$15),1),0)</f>
        <v/>
      </c>
      <c r="S43" s="28">
        <f>IFERROR(CEILING(P43/(1-'Mi negocio'!$F$16),1),0)</f>
        <v/>
      </c>
      <c r="T43" s="28">
        <f>IFERROR(CEILING(P43/(1-'Mi negocio'!$F$17),1),0)</f>
        <v/>
      </c>
      <c r="U43" s="29">
        <f>Q43-P43</f>
        <v/>
      </c>
    </row>
    <row r="44">
      <c r="A44" s="7" t="n">
        <v>40</v>
      </c>
      <c r="B44" s="8" t="inlineStr">
        <is>
          <t>Camote Cristalizado de Puebla</t>
        </is>
      </c>
      <c r="C44" s="7" t="inlineStr">
        <is>
          <t>Cap. 9 · Enchilados</t>
        </is>
      </c>
      <c r="D44" s="7" t="inlineStr">
        <is>
          <t>B-5 · Jarabe de cristalizado</t>
        </is>
      </c>
      <c r="E44" s="7" t="inlineStr">
        <is>
          <t>Hebra · 103–105 °C</t>
        </is>
      </c>
      <c r="F44" s="8" t="n">
        <v>8</v>
      </c>
      <c r="G44" s="13">
        <f>SUMIF(Ingredientes!$A:$A,A44,Ingredientes!$G:$G)</f>
        <v/>
      </c>
      <c r="H44" s="13">
        <f>IFERROR(G44/F44,0)</f>
        <v/>
      </c>
      <c r="I44" s="24" t="n">
        <v>0.6</v>
      </c>
      <c r="J44" s="24" t="n">
        <v>0.45</v>
      </c>
      <c r="K44" s="25" t="n">
        <v>1</v>
      </c>
      <c r="L44" s="13">
        <f>K44/60*'Mi negocio'!$F$11</f>
        <v/>
      </c>
      <c r="M44" s="13">
        <f>'Mi negocio'!$F$10</f>
        <v/>
      </c>
      <c r="N44" s="13">
        <f>H44+I44+J44+L44+M44</f>
        <v/>
      </c>
      <c r="O44" s="26">
        <f>'Mi negocio'!$F$8</f>
        <v/>
      </c>
      <c r="P44" s="27">
        <f>IFERROR(N44/(1-O44),0)</f>
        <v/>
      </c>
      <c r="Q44" s="28">
        <f>IFERROR(CEILING(P44/(1-'Mi negocio'!$F$14),1),0)</f>
        <v/>
      </c>
      <c r="R44" s="28">
        <f>IFERROR(CEILING(P44/(1-'Mi negocio'!$F$15),1),0)</f>
        <v/>
      </c>
      <c r="S44" s="28">
        <f>IFERROR(CEILING(P44/(1-'Mi negocio'!$F$16),1),0)</f>
        <v/>
      </c>
      <c r="T44" s="28">
        <f>IFERROR(CEILING(P44/(1-'Mi negocio'!$F$17),1),0)</f>
        <v/>
      </c>
      <c r="U44" s="29">
        <f>Q44-P44</f>
        <v/>
      </c>
    </row>
    <row r="45">
      <c r="A45" s="7" t="n">
        <v>41</v>
      </c>
      <c r="B45" s="8" t="inlineStr">
        <is>
          <t>Alfeñique Tradicional (Calaveritas de Azúcar)</t>
        </is>
      </c>
      <c r="C45" s="7" t="inlineStr">
        <is>
          <t>Cap. 10 · Confitería y tradición</t>
        </is>
      </c>
      <c r="D45" s="7" t="inlineStr">
        <is>
          <t>B-4 · Azúcar trabajada (caramelo, palanqueta y alfeñique)</t>
        </is>
      </c>
      <c r="E45" s="7" t="inlineStr">
        <is>
          <t>Bola dura · 121–130 °C</t>
        </is>
      </c>
      <c r="F45" s="8" t="n">
        <v>10</v>
      </c>
      <c r="G45" s="13">
        <f>SUMIF(Ingredientes!$A:$A,A45,Ingredientes!$G:$G)</f>
        <v/>
      </c>
      <c r="H45" s="13">
        <f>IFERROR(G45/F45,0)</f>
        <v/>
      </c>
      <c r="I45" s="24" t="n">
        <v>0.6</v>
      </c>
      <c r="J45" s="24" t="n">
        <v>0.45</v>
      </c>
      <c r="K45" s="25" t="n">
        <v>1.8</v>
      </c>
      <c r="L45" s="13">
        <f>K45/60*'Mi negocio'!$F$11</f>
        <v/>
      </c>
      <c r="M45" s="13">
        <f>'Mi negocio'!$F$10</f>
        <v/>
      </c>
      <c r="N45" s="13">
        <f>H45+I45+J45+L45+M45</f>
        <v/>
      </c>
      <c r="O45" s="26">
        <f>'Mi negocio'!$F$8</f>
        <v/>
      </c>
      <c r="P45" s="27">
        <f>IFERROR(N45/(1-O45),0)</f>
        <v/>
      </c>
      <c r="Q45" s="28">
        <f>IFERROR(CEILING(P45/(1-'Mi negocio'!$F$14),1),0)</f>
        <v/>
      </c>
      <c r="R45" s="28">
        <f>IFERROR(CEILING(P45/(1-'Mi negocio'!$F$15),1),0)</f>
        <v/>
      </c>
      <c r="S45" s="28">
        <f>IFERROR(CEILING(P45/(1-'Mi negocio'!$F$16),1),0)</f>
        <v/>
      </c>
      <c r="T45" s="28">
        <f>IFERROR(CEILING(P45/(1-'Mi negocio'!$F$17),1),0)</f>
        <v/>
      </c>
      <c r="U45" s="29">
        <f>Q45-P45</f>
        <v/>
      </c>
    </row>
    <row r="46">
      <c r="A46" s="7" t="n">
        <v>42</v>
      </c>
      <c r="B46" s="8" t="inlineStr">
        <is>
          <t>Muéganos Poblanos Tradicionales</t>
        </is>
      </c>
      <c r="C46" s="7" t="inlineStr">
        <is>
          <t>Cap. 10 · Confitería y tradición</t>
        </is>
      </c>
      <c r="D46" s="7" t="inlineStr">
        <is>
          <t>B-3 · Miel de piloncillo especiada</t>
        </is>
      </c>
      <c r="E46" s="7" t="inlineStr">
        <is>
          <t>Bola dura · 121–130 °C</t>
        </is>
      </c>
      <c r="F46" s="8" t="n">
        <v>12</v>
      </c>
      <c r="G46" s="13">
        <f>SUMIF(Ingredientes!$A:$A,A46,Ingredientes!$G:$G)</f>
        <v/>
      </c>
      <c r="H46" s="13">
        <f>IFERROR(G46/F46,0)</f>
        <v/>
      </c>
      <c r="I46" s="24" t="n">
        <v>0.6</v>
      </c>
      <c r="J46" s="24" t="n">
        <v>0.45</v>
      </c>
      <c r="K46" s="25" t="n">
        <v>1</v>
      </c>
      <c r="L46" s="13">
        <f>K46/60*'Mi negocio'!$F$11</f>
        <v/>
      </c>
      <c r="M46" s="13">
        <f>'Mi negocio'!$F$10</f>
        <v/>
      </c>
      <c r="N46" s="13">
        <f>H46+I46+J46+L46+M46</f>
        <v/>
      </c>
      <c r="O46" s="26">
        <f>'Mi negocio'!$F$8</f>
        <v/>
      </c>
      <c r="P46" s="27">
        <f>IFERROR(N46/(1-O46),0)</f>
        <v/>
      </c>
      <c r="Q46" s="28">
        <f>IFERROR(CEILING(P46/(1-'Mi negocio'!$F$14),1),0)</f>
        <v/>
      </c>
      <c r="R46" s="28">
        <f>IFERROR(CEILING(P46/(1-'Mi negocio'!$F$15),1),0)</f>
        <v/>
      </c>
      <c r="S46" s="28">
        <f>IFERROR(CEILING(P46/(1-'Mi negocio'!$F$16),1),0)</f>
        <v/>
      </c>
      <c r="T46" s="28">
        <f>IFERROR(CEILING(P46/(1-'Mi negocio'!$F$17),1),0)</f>
        <v/>
      </c>
      <c r="U46" s="29">
        <f>Q46-P46</f>
        <v/>
      </c>
    </row>
    <row r="47">
      <c r="A47" s="7" t="n">
        <v>43</v>
      </c>
      <c r="B47" s="8" t="inlineStr">
        <is>
          <t>Jamoncillo de Pepita y Chocolate (Bicolor)</t>
        </is>
      </c>
      <c r="C47" s="7" t="inlineStr">
        <is>
          <t>Cap. 10 · Confitería y tradición</t>
        </is>
      </c>
      <c r="D47" s="7" t="inlineStr">
        <is>
          <t>B-1 · Leche quemada (base láctea)</t>
        </is>
      </c>
      <c r="E47" s="7" t="inlineStr">
        <is>
          <t>Bola suave · 112–116 °C</t>
        </is>
      </c>
      <c r="F47" s="8" t="n">
        <v>15</v>
      </c>
      <c r="G47" s="13">
        <f>SUMIF(Ingredientes!$A:$A,A47,Ingredientes!$G:$G)</f>
        <v/>
      </c>
      <c r="H47" s="13">
        <f>IFERROR(G47/F47,0)</f>
        <v/>
      </c>
      <c r="I47" s="24" t="n">
        <v>0.6</v>
      </c>
      <c r="J47" s="24" t="n">
        <v>0.45</v>
      </c>
      <c r="K47" s="25" t="n">
        <v>1</v>
      </c>
      <c r="L47" s="13">
        <f>K47/60*'Mi negocio'!$F$11</f>
        <v/>
      </c>
      <c r="M47" s="13">
        <f>'Mi negocio'!$F$10</f>
        <v/>
      </c>
      <c r="N47" s="13">
        <f>H47+I47+J47+L47+M47</f>
        <v/>
      </c>
      <c r="O47" s="26">
        <f>'Mi negocio'!$F$8</f>
        <v/>
      </c>
      <c r="P47" s="27">
        <f>IFERROR(N47/(1-O47),0)</f>
        <v/>
      </c>
      <c r="Q47" s="28">
        <f>IFERROR(CEILING(P47/(1-'Mi negocio'!$F$14),1),0)</f>
        <v/>
      </c>
      <c r="R47" s="28">
        <f>IFERROR(CEILING(P47/(1-'Mi negocio'!$F$15),1),0)</f>
        <v/>
      </c>
      <c r="S47" s="28">
        <f>IFERROR(CEILING(P47/(1-'Mi negocio'!$F$16),1),0)</f>
        <v/>
      </c>
      <c r="T47" s="28">
        <f>IFERROR(CEILING(P47/(1-'Mi negocio'!$F$17),1),0)</f>
        <v/>
      </c>
      <c r="U47" s="29">
        <f>Q47-P47</f>
        <v/>
      </c>
    </row>
    <row r="48">
      <c r="A48" s="7" t="n">
        <v>44</v>
      </c>
      <c r="B48" s="8" t="inlineStr">
        <is>
          <t>Dulce de Pera Cristalizada</t>
        </is>
      </c>
      <c r="C48" s="7" t="inlineStr">
        <is>
          <t>Cap. 10 · Confitería y tradición</t>
        </is>
      </c>
      <c r="D48" s="7" t="inlineStr">
        <is>
          <t>B-5 · Jarabe de cristalizado</t>
        </is>
      </c>
      <c r="E48" s="7" t="inlineStr">
        <is>
          <t>Hebra · 103–105 °C</t>
        </is>
      </c>
      <c r="F48" s="8" t="n">
        <v>8</v>
      </c>
      <c r="G48" s="13">
        <f>SUMIF(Ingredientes!$A:$A,A48,Ingredientes!$G:$G)</f>
        <v/>
      </c>
      <c r="H48" s="13">
        <f>IFERROR(G48/F48,0)</f>
        <v/>
      </c>
      <c r="I48" s="24" t="n">
        <v>0.6</v>
      </c>
      <c r="J48" s="24" t="n">
        <v>0.45</v>
      </c>
      <c r="K48" s="25" t="n">
        <v>1.8</v>
      </c>
      <c r="L48" s="13">
        <f>K48/60*'Mi negocio'!$F$11</f>
        <v/>
      </c>
      <c r="M48" s="13">
        <f>'Mi negocio'!$F$10</f>
        <v/>
      </c>
      <c r="N48" s="13">
        <f>H48+I48+J48+L48+M48</f>
        <v/>
      </c>
      <c r="O48" s="26">
        <f>'Mi negocio'!$F$8</f>
        <v/>
      </c>
      <c r="P48" s="27">
        <f>IFERROR(N48/(1-O48),0)</f>
        <v/>
      </c>
      <c r="Q48" s="28">
        <f>IFERROR(CEILING(P48/(1-'Mi negocio'!$F$14),1),0)</f>
        <v/>
      </c>
      <c r="R48" s="28">
        <f>IFERROR(CEILING(P48/(1-'Mi negocio'!$F$15),1),0)</f>
        <v/>
      </c>
      <c r="S48" s="28">
        <f>IFERROR(CEILING(P48/(1-'Mi negocio'!$F$16),1),0)</f>
        <v/>
      </c>
      <c r="T48" s="28">
        <f>IFERROR(CEILING(P48/(1-'Mi negocio'!$F$17),1),0)</f>
        <v/>
      </c>
      <c r="U48" s="29">
        <f>Q48-P48</f>
        <v/>
      </c>
    </row>
    <row r="49">
      <c r="A49" s="7" t="n">
        <v>45</v>
      </c>
      <c r="B49" s="8" t="inlineStr">
        <is>
          <t>Macarrones de Leche de Monterrey</t>
        </is>
      </c>
      <c r="C49" s="7" t="inlineStr">
        <is>
          <t>Cap. 10 · Confitería y tradición</t>
        </is>
      </c>
      <c r="D49" s="7" t="inlineStr">
        <is>
          <t>B-1 · Leche quemada (base láctea)</t>
        </is>
      </c>
      <c r="E49" s="7" t="inlineStr">
        <is>
          <t>Bola dura · 121–130 °C</t>
        </is>
      </c>
      <c r="F49" s="8" t="n">
        <v>20</v>
      </c>
      <c r="G49" s="13">
        <f>SUMIF(Ingredientes!$A:$A,A49,Ingredientes!$G:$G)</f>
        <v/>
      </c>
      <c r="H49" s="13">
        <f>IFERROR(G49/F49,0)</f>
        <v/>
      </c>
      <c r="I49" s="24" t="n">
        <v>0.6</v>
      </c>
      <c r="J49" s="24" t="n">
        <v>0.45</v>
      </c>
      <c r="K49" s="25" t="n">
        <v>1</v>
      </c>
      <c r="L49" s="13">
        <f>K49/60*'Mi negocio'!$F$11</f>
        <v/>
      </c>
      <c r="M49" s="13">
        <f>'Mi negocio'!$F$10</f>
        <v/>
      </c>
      <c r="N49" s="13">
        <f>H49+I49+J49+L49+M49</f>
        <v/>
      </c>
      <c r="O49" s="26">
        <f>'Mi negocio'!$F$8</f>
        <v/>
      </c>
      <c r="P49" s="27">
        <f>IFERROR(N49/(1-O49),0)</f>
        <v/>
      </c>
      <c r="Q49" s="28">
        <f>IFERROR(CEILING(P49/(1-'Mi negocio'!$F$14),1),0)</f>
        <v/>
      </c>
      <c r="R49" s="28">
        <f>IFERROR(CEILING(P49/(1-'Mi negocio'!$F$15),1),0)</f>
        <v/>
      </c>
      <c r="S49" s="28">
        <f>IFERROR(CEILING(P49/(1-'Mi negocio'!$F$16),1),0)</f>
        <v/>
      </c>
      <c r="T49" s="28">
        <f>IFERROR(CEILING(P49/(1-'Mi negocio'!$F$17),1),0)</f>
        <v/>
      </c>
      <c r="U49" s="29">
        <f>Q49-P49</f>
        <v/>
      </c>
    </row>
    <row r="50">
      <c r="A50" s="7" t="n">
        <v>46</v>
      </c>
      <c r="B50" s="8" t="inlineStr">
        <is>
          <t>Jamoncillo de Fresa y Leche</t>
        </is>
      </c>
      <c r="C50" s="7" t="inlineStr">
        <is>
          <t>Cap. 10 · Confitería y tradición</t>
        </is>
      </c>
      <c r="D50" s="7" t="inlineStr">
        <is>
          <t>B-1 · Leche quemada (base láctea)</t>
        </is>
      </c>
      <c r="E50" s="7" t="inlineStr">
        <is>
          <t>Bola suave · 112–116 °C</t>
        </is>
      </c>
      <c r="F50" s="8" t="n">
        <v>15</v>
      </c>
      <c r="G50" s="13">
        <f>SUMIF(Ingredientes!$A:$A,A50,Ingredientes!$G:$G)</f>
        <v/>
      </c>
      <c r="H50" s="13">
        <f>IFERROR(G50/F50,0)</f>
        <v/>
      </c>
      <c r="I50" s="24" t="n">
        <v>0.6</v>
      </c>
      <c r="J50" s="24" t="n">
        <v>0.45</v>
      </c>
      <c r="K50" s="25" t="n">
        <v>0.7</v>
      </c>
      <c r="L50" s="13">
        <f>K50/60*'Mi negocio'!$F$11</f>
        <v/>
      </c>
      <c r="M50" s="13">
        <f>'Mi negocio'!$F$10</f>
        <v/>
      </c>
      <c r="N50" s="13">
        <f>H50+I50+J50+L50+M50</f>
        <v/>
      </c>
      <c r="O50" s="26">
        <f>'Mi negocio'!$F$8</f>
        <v/>
      </c>
      <c r="P50" s="27">
        <f>IFERROR(N50/(1-O50),0)</f>
        <v/>
      </c>
      <c r="Q50" s="28">
        <f>IFERROR(CEILING(P50/(1-'Mi negocio'!$F$14),1),0)</f>
        <v/>
      </c>
      <c r="R50" s="28">
        <f>IFERROR(CEILING(P50/(1-'Mi negocio'!$F$15),1),0)</f>
        <v/>
      </c>
      <c r="S50" s="28">
        <f>IFERROR(CEILING(P50/(1-'Mi negocio'!$F$16),1),0)</f>
        <v/>
      </c>
      <c r="T50" s="28">
        <f>IFERROR(CEILING(P50/(1-'Mi negocio'!$F$17),1),0)</f>
        <v/>
      </c>
      <c r="U50" s="29">
        <f>Q50-P50</f>
        <v/>
      </c>
    </row>
    <row r="51">
      <c r="A51" s="7" t="n">
        <v>47</v>
      </c>
      <c r="B51" s="8" t="inlineStr">
        <is>
          <t>Chancaquillas (Dulces de Piloncillo y Nueces)</t>
        </is>
      </c>
      <c r="C51" s="7" t="inlineStr">
        <is>
          <t>Cap. 10 · Confitería y tradición</t>
        </is>
      </c>
      <c r="D51" s="7" t="inlineStr">
        <is>
          <t>B-3 · Miel de piloncillo especiada</t>
        </is>
      </c>
      <c r="E51" s="7" t="inlineStr">
        <is>
          <t>Bola dura · 121–130 °C</t>
        </is>
      </c>
      <c r="F51" s="8" t="n">
        <v>12</v>
      </c>
      <c r="G51" s="13">
        <f>SUMIF(Ingredientes!$A:$A,A51,Ingredientes!$G:$G)</f>
        <v/>
      </c>
      <c r="H51" s="13">
        <f>IFERROR(G51/F51,0)</f>
        <v/>
      </c>
      <c r="I51" s="24" t="n">
        <v>0.6</v>
      </c>
      <c r="J51" s="24" t="n">
        <v>0.45</v>
      </c>
      <c r="K51" s="25" t="n">
        <v>0.7</v>
      </c>
      <c r="L51" s="13">
        <f>K51/60*'Mi negocio'!$F$11</f>
        <v/>
      </c>
      <c r="M51" s="13">
        <f>'Mi negocio'!$F$10</f>
        <v/>
      </c>
      <c r="N51" s="13">
        <f>H51+I51+J51+L51+M51</f>
        <v/>
      </c>
      <c r="O51" s="26">
        <f>'Mi negocio'!$F$8</f>
        <v/>
      </c>
      <c r="P51" s="27">
        <f>IFERROR(N51/(1-O51),0)</f>
        <v/>
      </c>
      <c r="Q51" s="28">
        <f>IFERROR(CEILING(P51/(1-'Mi negocio'!$F$14),1),0)</f>
        <v/>
      </c>
      <c r="R51" s="28">
        <f>IFERROR(CEILING(P51/(1-'Mi negocio'!$F$15),1),0)</f>
        <v/>
      </c>
      <c r="S51" s="28">
        <f>IFERROR(CEILING(P51/(1-'Mi negocio'!$F$16),1),0)</f>
        <v/>
      </c>
      <c r="T51" s="28">
        <f>IFERROR(CEILING(P51/(1-'Mi negocio'!$F$17),1),0)</f>
        <v/>
      </c>
      <c r="U51" s="29">
        <f>Q51-P51</f>
        <v/>
      </c>
    </row>
    <row r="52">
      <c r="A52" s="7" t="n">
        <v>48</v>
      </c>
      <c r="B52" s="8" t="inlineStr">
        <is>
          <t>Pepitas Enmieladas con Canela</t>
        </is>
      </c>
      <c r="C52" s="7" t="inlineStr">
        <is>
          <t>Cap. 10 · Confitería y tradición</t>
        </is>
      </c>
      <c r="D52" s="7" t="inlineStr">
        <is>
          <t>B-4 · Azúcar trabajada (caramelo, palanqueta y alfeñique)</t>
        </is>
      </c>
      <c r="E52" s="7" t="inlineStr">
        <is>
          <t>Quebradizo · 149–154 °C</t>
        </is>
      </c>
      <c r="F52" s="8" t="n">
        <v>10</v>
      </c>
      <c r="G52" s="13">
        <f>SUMIF(Ingredientes!$A:$A,A52,Ingredientes!$G:$G)</f>
        <v/>
      </c>
      <c r="H52" s="13">
        <f>IFERROR(G52/F52,0)</f>
        <v/>
      </c>
      <c r="I52" s="24" t="n">
        <v>0.6</v>
      </c>
      <c r="J52" s="24" t="n">
        <v>0.45</v>
      </c>
      <c r="K52" s="25" t="n">
        <v>0.7</v>
      </c>
      <c r="L52" s="13">
        <f>K52/60*'Mi negocio'!$F$11</f>
        <v/>
      </c>
      <c r="M52" s="13">
        <f>'Mi negocio'!$F$10</f>
        <v/>
      </c>
      <c r="N52" s="13">
        <f>H52+I52+J52+L52+M52</f>
        <v/>
      </c>
      <c r="O52" s="26">
        <f>'Mi negocio'!$F$8</f>
        <v/>
      </c>
      <c r="P52" s="27">
        <f>IFERROR(N52/(1-O52),0)</f>
        <v/>
      </c>
      <c r="Q52" s="28">
        <f>IFERROR(CEILING(P52/(1-'Mi negocio'!$F$14),1),0)</f>
        <v/>
      </c>
      <c r="R52" s="28">
        <f>IFERROR(CEILING(P52/(1-'Mi negocio'!$F$15),1),0)</f>
        <v/>
      </c>
      <c r="S52" s="28">
        <f>IFERROR(CEILING(P52/(1-'Mi negocio'!$F$16),1),0)</f>
        <v/>
      </c>
      <c r="T52" s="28">
        <f>IFERROR(CEILING(P52/(1-'Mi negocio'!$F$17),1),0)</f>
        <v/>
      </c>
      <c r="U52" s="29">
        <f>Q52-P52</f>
        <v/>
      </c>
    </row>
    <row r="53">
      <c r="A53" s="7" t="n">
        <v>49</v>
      </c>
      <c r="B53" s="8" t="inlineStr">
        <is>
          <t>Dulce de Nuez con Rompope (Borrachitos de Nuez)</t>
        </is>
      </c>
      <c r="C53" s="7" t="inlineStr">
        <is>
          <t>Cap. 10 · Confitería y tradición</t>
        </is>
      </c>
      <c r="D53" s="7" t="inlineStr">
        <is>
          <t>B-1 · Leche quemada (base láctea)</t>
        </is>
      </c>
      <c r="E53" s="7" t="inlineStr">
        <is>
          <t>Sin punto de azúcar</t>
        </is>
      </c>
      <c r="F53" s="8" t="n">
        <v>16</v>
      </c>
      <c r="G53" s="13">
        <f>SUMIF(Ingredientes!$A:$A,A53,Ingredientes!$G:$G)</f>
        <v/>
      </c>
      <c r="H53" s="13">
        <f>IFERROR(G53/F53,0)</f>
        <v/>
      </c>
      <c r="I53" s="24" t="n">
        <v>0.6</v>
      </c>
      <c r="J53" s="24" t="n">
        <v>0.45</v>
      </c>
      <c r="K53" s="25" t="n">
        <v>0.7</v>
      </c>
      <c r="L53" s="13">
        <f>K53/60*'Mi negocio'!$F$11</f>
        <v/>
      </c>
      <c r="M53" s="13">
        <f>'Mi negocio'!$F$10</f>
        <v/>
      </c>
      <c r="N53" s="13">
        <f>H53+I53+J53+L53+M53</f>
        <v/>
      </c>
      <c r="O53" s="26">
        <f>'Mi negocio'!$F$8</f>
        <v/>
      </c>
      <c r="P53" s="27">
        <f>IFERROR(N53/(1-O53),0)</f>
        <v/>
      </c>
      <c r="Q53" s="28">
        <f>IFERROR(CEILING(P53/(1-'Mi negocio'!$F$14),1),0)</f>
        <v/>
      </c>
      <c r="R53" s="28">
        <f>IFERROR(CEILING(P53/(1-'Mi negocio'!$F$15),1),0)</f>
        <v/>
      </c>
      <c r="S53" s="28">
        <f>IFERROR(CEILING(P53/(1-'Mi negocio'!$F$16),1),0)</f>
        <v/>
      </c>
      <c r="T53" s="28">
        <f>IFERROR(CEILING(P53/(1-'Mi negocio'!$F$17),1),0)</f>
        <v/>
      </c>
      <c r="U53" s="29">
        <f>Q53-P53</f>
        <v/>
      </c>
    </row>
    <row r="54">
      <c r="A54" s="7" t="n">
        <v>50</v>
      </c>
      <c r="B54" s="8" t="inlineStr">
        <is>
          <t>Bolitas de Tamarindo con Ajonjolí Tostado</t>
        </is>
      </c>
      <c r="C54" s="7" t="inlineStr">
        <is>
          <t>Cap. 10 · Confitería y tradición</t>
        </is>
      </c>
      <c r="D54" s="7" t="inlineStr">
        <is>
          <t>B-6 · Pasta de fruta y enchilado</t>
        </is>
      </c>
      <c r="E54" s="7" t="inlineStr">
        <is>
          <t>Bola suave · 112–116 °C</t>
        </is>
      </c>
      <c r="F54" s="8" t="n">
        <v>25</v>
      </c>
      <c r="G54" s="13">
        <f>SUMIF(Ingredientes!$A:$A,A54,Ingredientes!$G:$G)</f>
        <v/>
      </c>
      <c r="H54" s="13">
        <f>IFERROR(G54/F54,0)</f>
        <v/>
      </c>
      <c r="I54" s="24" t="n">
        <v>0.6</v>
      </c>
      <c r="J54" s="24" t="n">
        <v>0.45</v>
      </c>
      <c r="K54" s="25" t="n">
        <v>0.7</v>
      </c>
      <c r="L54" s="13">
        <f>K54/60*'Mi negocio'!$F$11</f>
        <v/>
      </c>
      <c r="M54" s="13">
        <f>'Mi negocio'!$F$10</f>
        <v/>
      </c>
      <c r="N54" s="13">
        <f>H54+I54+J54+L54+M54</f>
        <v/>
      </c>
      <c r="O54" s="26">
        <f>'Mi negocio'!$F$8</f>
        <v/>
      </c>
      <c r="P54" s="27">
        <f>IFERROR(N54/(1-O54),0)</f>
        <v/>
      </c>
      <c r="Q54" s="28">
        <f>IFERROR(CEILING(P54/(1-'Mi negocio'!$F$14),1),0)</f>
        <v/>
      </c>
      <c r="R54" s="28">
        <f>IFERROR(CEILING(P54/(1-'Mi negocio'!$F$15),1),0)</f>
        <v/>
      </c>
      <c r="S54" s="28">
        <f>IFERROR(CEILING(P54/(1-'Mi negocio'!$F$16),1),0)</f>
        <v/>
      </c>
      <c r="T54" s="28">
        <f>IFERROR(CEILING(P54/(1-'Mi negocio'!$F$17),1),0)</f>
        <v/>
      </c>
      <c r="U54" s="29">
        <f>Q54-P54</f>
        <v/>
      </c>
    </row>
    <row r="56">
      <c r="B56" s="3" t="inlineStr">
        <is>
          <t>PROMEDIOS DEL RECETARIO</t>
        </is>
      </c>
    </row>
    <row r="57">
      <c r="B57" s="30" t="inlineStr">
        <is>
          <t>Costo total promedio por pieza</t>
        </is>
      </c>
      <c r="C57" s="31">
        <f>AVERAGE(P5:P54)</f>
        <v/>
      </c>
    </row>
    <row r="58">
      <c r="B58" s="30" t="inlineStr">
        <is>
          <t>PVP promedio de mostrador</t>
        </is>
      </c>
      <c r="C58" s="32">
        <f>AVERAGE(Q5:Q54)</f>
        <v/>
      </c>
    </row>
    <row r="59">
      <c r="B59" s="30" t="inlineStr">
        <is>
          <t>Utilidad promedio por pieza</t>
        </is>
      </c>
      <c r="C59" s="31">
        <f>AVERAGE(U5:U54)</f>
        <v/>
      </c>
    </row>
    <row r="60">
      <c r="B60" s="30" t="inlineStr">
        <is>
          <t>Receta más cara</t>
        </is>
      </c>
      <c r="C60" s="4">
        <f>INDEX(B5:B54,MATCH(MAX(P5:P54),P5:P54,0))</f>
        <v/>
      </c>
    </row>
    <row r="61">
      <c r="B61" s="30" t="inlineStr">
        <is>
          <t>Receta más barata</t>
        </is>
      </c>
      <c r="C61" s="4">
        <f>INDEX(B5:B54,MATCH(MIN(P5:P54),P5:P54,0))</f>
        <v/>
      </c>
    </row>
  </sheetData>
  <autoFilter ref="A4:U54"/>
  <conditionalFormatting sqref="P5:P54">
    <cfRule type="dataBar" priority="1">
      <dataBar>
        <cfvo type="min"/>
        <cfvo type="max"/>
        <color rgb="007A2E7E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E1454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40" customWidth="1" min="4" max="4"/>
    <col width="15" customWidth="1" min="5" max="5"/>
    <col width="11" customWidth="1" min="6" max="6"/>
    <col width="10" customWidth="1" min="7" max="7"/>
    <col width="10" customWidth="1" min="8" max="8"/>
    <col width="12" customWidth="1" min="9" max="9"/>
    <col width="14" customWidth="1" min="10" max="10"/>
    <col width="30" customWidth="1" min="11" max="11"/>
    <col width="32" customWidth="1" min="12" max="12"/>
  </cols>
  <sheetData>
    <row r="1" ht="26" customHeight="1">
      <c r="A1" s="1" t="inlineStr">
        <is>
          <t>Bitácora de producción y merma</t>
        </is>
      </c>
    </row>
    <row r="2">
      <c r="A2" s="2" t="inlineStr">
        <is>
          <t>Anota cada lote. Aquí descubres tu MERMA REAL de producción: si es distinta a la que supones, tus precios están mal.</t>
        </is>
      </c>
    </row>
    <row r="3" ht="6" customHeight="1"/>
    <row r="4" ht="30" customHeight="1">
      <c r="A4" s="6" t="inlineStr">
        <is>
          <t>Fecha</t>
        </is>
      </c>
      <c r="B4" s="6" t="inlineStr">
        <is>
          <t>Lote</t>
        </is>
      </c>
      <c r="C4" s="6" t="inlineStr">
        <is>
          <t># receta</t>
        </is>
      </c>
      <c r="D4" s="6" t="inlineStr">
        <is>
          <t>Receta</t>
        </is>
      </c>
      <c r="E4" s="6" t="inlineStr">
        <is>
          <t>Punto alcanzado (°C)</t>
        </is>
      </c>
      <c r="F4" s="6" t="inlineStr">
        <is>
          <t>Planeadas</t>
        </is>
      </c>
      <c r="G4" s="6" t="inlineStr">
        <is>
          <t>Buenas</t>
        </is>
      </c>
      <c r="H4" s="6" t="inlineStr">
        <is>
          <t>Falladas</t>
        </is>
      </c>
      <c r="I4" s="6" t="inlineStr">
        <is>
          <t>% merma real</t>
        </is>
      </c>
      <c r="J4" s="6" t="inlineStr">
        <is>
          <t>Costo perdido</t>
        </is>
      </c>
      <c r="K4" s="6" t="inlineStr">
        <is>
          <t>Causa principal</t>
        </is>
      </c>
      <c r="L4" s="6" t="inlineStr">
        <is>
          <t>Notas</t>
        </is>
      </c>
    </row>
    <row r="5">
      <c r="A5" s="33" t="n"/>
      <c r="B5" s="34" t="n"/>
      <c r="C5" s="34" t="n"/>
      <c r="D5" s="7">
        <f>IFERROR(VLOOKUP(C5,'Recetas y precios'!$A$5:$B$54,2,FALSE),"")</f>
        <v/>
      </c>
      <c r="E5" s="34" t="n"/>
      <c r="F5" s="34" t="n"/>
      <c r="G5" s="34" t="n"/>
      <c r="H5" s="34" t="n"/>
      <c r="I5" s="35">
        <f>IFERROR(H5/(G5+H5),"")</f>
        <v/>
      </c>
      <c r="J5" s="13">
        <f>IFERROR(H5*VLOOKUP(C5,'Recetas y precios'!$A$5:$P$54,16,FALSE),"")</f>
        <v/>
      </c>
      <c r="K5" s="34" t="n"/>
      <c r="L5" s="34" t="n"/>
    </row>
    <row r="6">
      <c r="A6" s="33" t="n"/>
      <c r="B6" s="34" t="n"/>
      <c r="C6" s="34" t="n"/>
      <c r="D6" s="7">
        <f>IFERROR(VLOOKUP(C6,'Recetas y precios'!$A$5:$B$54,2,FALSE),"")</f>
        <v/>
      </c>
      <c r="E6" s="34" t="n"/>
      <c r="F6" s="34" t="n"/>
      <c r="G6" s="34" t="n"/>
      <c r="H6" s="34" t="n"/>
      <c r="I6" s="35">
        <f>IFERROR(H6/(G6+H6),"")</f>
        <v/>
      </c>
      <c r="J6" s="13">
        <f>IFERROR(H6*VLOOKUP(C6,'Recetas y precios'!$A$5:$P$54,16,FALSE),"")</f>
        <v/>
      </c>
      <c r="K6" s="34" t="n"/>
      <c r="L6" s="34" t="n"/>
    </row>
    <row r="7">
      <c r="A7" s="33" t="n"/>
      <c r="B7" s="34" t="n"/>
      <c r="C7" s="34" t="n"/>
      <c r="D7" s="7">
        <f>IFERROR(VLOOKUP(C7,'Recetas y precios'!$A$5:$B$54,2,FALSE),"")</f>
        <v/>
      </c>
      <c r="E7" s="34" t="n"/>
      <c r="F7" s="34" t="n"/>
      <c r="G7" s="34" t="n"/>
      <c r="H7" s="34" t="n"/>
      <c r="I7" s="35">
        <f>IFERROR(H7/(G7+H7),"")</f>
        <v/>
      </c>
      <c r="J7" s="13">
        <f>IFERROR(H7*VLOOKUP(C7,'Recetas y precios'!$A$5:$P$54,16,FALSE),"")</f>
        <v/>
      </c>
      <c r="K7" s="34" t="n"/>
      <c r="L7" s="34" t="n"/>
    </row>
    <row r="8">
      <c r="A8" s="33" t="n"/>
      <c r="B8" s="34" t="n"/>
      <c r="C8" s="34" t="n"/>
      <c r="D8" s="7">
        <f>IFERROR(VLOOKUP(C8,'Recetas y precios'!$A$5:$B$54,2,FALSE),"")</f>
        <v/>
      </c>
      <c r="E8" s="34" t="n"/>
      <c r="F8" s="34" t="n"/>
      <c r="G8" s="34" t="n"/>
      <c r="H8" s="34" t="n"/>
      <c r="I8" s="35">
        <f>IFERROR(H8/(G8+H8),"")</f>
        <v/>
      </c>
      <c r="J8" s="13">
        <f>IFERROR(H8*VLOOKUP(C8,'Recetas y precios'!$A$5:$P$54,16,FALSE),"")</f>
        <v/>
      </c>
      <c r="K8" s="34" t="n"/>
      <c r="L8" s="34" t="n"/>
    </row>
    <row r="9">
      <c r="A9" s="33" t="n"/>
      <c r="B9" s="34" t="n"/>
      <c r="C9" s="34" t="n"/>
      <c r="D9" s="7">
        <f>IFERROR(VLOOKUP(C9,'Recetas y precios'!$A$5:$B$54,2,FALSE),"")</f>
        <v/>
      </c>
      <c r="E9" s="34" t="n"/>
      <c r="F9" s="34" t="n"/>
      <c r="G9" s="34" t="n"/>
      <c r="H9" s="34" t="n"/>
      <c r="I9" s="35">
        <f>IFERROR(H9/(G9+H9),"")</f>
        <v/>
      </c>
      <c r="J9" s="13">
        <f>IFERROR(H9*VLOOKUP(C9,'Recetas y precios'!$A$5:$P$54,16,FALSE),"")</f>
        <v/>
      </c>
      <c r="K9" s="34" t="n"/>
      <c r="L9" s="34" t="n"/>
    </row>
    <row r="10">
      <c r="A10" s="33" t="n"/>
      <c r="B10" s="34" t="n"/>
      <c r="C10" s="34" t="n"/>
      <c r="D10" s="7">
        <f>IFERROR(VLOOKUP(C10,'Recetas y precios'!$A$5:$B$54,2,FALSE),"")</f>
        <v/>
      </c>
      <c r="E10" s="34" t="n"/>
      <c r="F10" s="34" t="n"/>
      <c r="G10" s="34" t="n"/>
      <c r="H10" s="34" t="n"/>
      <c r="I10" s="35">
        <f>IFERROR(H10/(G10+H10),"")</f>
        <v/>
      </c>
      <c r="J10" s="13">
        <f>IFERROR(H10*VLOOKUP(C10,'Recetas y precios'!$A$5:$P$54,16,FALSE),"")</f>
        <v/>
      </c>
      <c r="K10" s="34" t="n"/>
      <c r="L10" s="34" t="n"/>
    </row>
    <row r="11">
      <c r="A11" s="33" t="n"/>
      <c r="B11" s="34" t="n"/>
      <c r="C11" s="34" t="n"/>
      <c r="D11" s="7">
        <f>IFERROR(VLOOKUP(C11,'Recetas y precios'!$A$5:$B$54,2,FALSE),"")</f>
        <v/>
      </c>
      <c r="E11" s="34" t="n"/>
      <c r="F11" s="34" t="n"/>
      <c r="G11" s="34" t="n"/>
      <c r="H11" s="34" t="n"/>
      <c r="I11" s="35">
        <f>IFERROR(H11/(G11+H11),"")</f>
        <v/>
      </c>
      <c r="J11" s="13">
        <f>IFERROR(H11*VLOOKUP(C11,'Recetas y precios'!$A$5:$P$54,16,FALSE),"")</f>
        <v/>
      </c>
      <c r="K11" s="34" t="n"/>
      <c r="L11" s="34" t="n"/>
    </row>
    <row r="12">
      <c r="A12" s="33" t="n"/>
      <c r="B12" s="34" t="n"/>
      <c r="C12" s="34" t="n"/>
      <c r="D12" s="7">
        <f>IFERROR(VLOOKUP(C12,'Recetas y precios'!$A$5:$B$54,2,FALSE),"")</f>
        <v/>
      </c>
      <c r="E12" s="34" t="n"/>
      <c r="F12" s="34" t="n"/>
      <c r="G12" s="34" t="n"/>
      <c r="H12" s="34" t="n"/>
      <c r="I12" s="35">
        <f>IFERROR(H12/(G12+H12),"")</f>
        <v/>
      </c>
      <c r="J12" s="13">
        <f>IFERROR(H12*VLOOKUP(C12,'Recetas y precios'!$A$5:$P$54,16,FALSE),"")</f>
        <v/>
      </c>
      <c r="K12" s="34" t="n"/>
      <c r="L12" s="34" t="n"/>
    </row>
    <row r="13">
      <c r="A13" s="33" t="n"/>
      <c r="B13" s="34" t="n"/>
      <c r="C13" s="34" t="n"/>
      <c r="D13" s="7">
        <f>IFERROR(VLOOKUP(C13,'Recetas y precios'!$A$5:$B$54,2,FALSE),"")</f>
        <v/>
      </c>
      <c r="E13" s="34" t="n"/>
      <c r="F13" s="34" t="n"/>
      <c r="G13" s="34" t="n"/>
      <c r="H13" s="34" t="n"/>
      <c r="I13" s="35">
        <f>IFERROR(H13/(G13+H13),"")</f>
        <v/>
      </c>
      <c r="J13" s="13">
        <f>IFERROR(H13*VLOOKUP(C13,'Recetas y precios'!$A$5:$P$54,16,FALSE),"")</f>
        <v/>
      </c>
      <c r="K13" s="34" t="n"/>
      <c r="L13" s="34" t="n"/>
    </row>
    <row r="14">
      <c r="A14" s="33" t="n"/>
      <c r="B14" s="34" t="n"/>
      <c r="C14" s="34" t="n"/>
      <c r="D14" s="7">
        <f>IFERROR(VLOOKUP(C14,'Recetas y precios'!$A$5:$B$54,2,FALSE),"")</f>
        <v/>
      </c>
      <c r="E14" s="34" t="n"/>
      <c r="F14" s="34" t="n"/>
      <c r="G14" s="34" t="n"/>
      <c r="H14" s="34" t="n"/>
      <c r="I14" s="35">
        <f>IFERROR(H14/(G14+H14),"")</f>
        <v/>
      </c>
      <c r="J14" s="13">
        <f>IFERROR(H14*VLOOKUP(C14,'Recetas y precios'!$A$5:$P$54,16,FALSE),"")</f>
        <v/>
      </c>
      <c r="K14" s="34" t="n"/>
      <c r="L14" s="34" t="n"/>
    </row>
    <row r="15">
      <c r="A15" s="33" t="n"/>
      <c r="B15" s="34" t="n"/>
      <c r="C15" s="34" t="n"/>
      <c r="D15" s="7">
        <f>IFERROR(VLOOKUP(C15,'Recetas y precios'!$A$5:$B$54,2,FALSE),"")</f>
        <v/>
      </c>
      <c r="E15" s="34" t="n"/>
      <c r="F15" s="34" t="n"/>
      <c r="G15" s="34" t="n"/>
      <c r="H15" s="34" t="n"/>
      <c r="I15" s="35">
        <f>IFERROR(H15/(G15+H15),"")</f>
        <v/>
      </c>
      <c r="J15" s="13">
        <f>IFERROR(H15*VLOOKUP(C15,'Recetas y precios'!$A$5:$P$54,16,FALSE),"")</f>
        <v/>
      </c>
      <c r="K15" s="34" t="n"/>
      <c r="L15" s="34" t="n"/>
    </row>
    <row r="16">
      <c r="A16" s="33" t="n"/>
      <c r="B16" s="34" t="n"/>
      <c r="C16" s="34" t="n"/>
      <c r="D16" s="7">
        <f>IFERROR(VLOOKUP(C16,'Recetas y precios'!$A$5:$B$54,2,FALSE),"")</f>
        <v/>
      </c>
      <c r="E16" s="34" t="n"/>
      <c r="F16" s="34" t="n"/>
      <c r="G16" s="34" t="n"/>
      <c r="H16" s="34" t="n"/>
      <c r="I16" s="35">
        <f>IFERROR(H16/(G16+H16),"")</f>
        <v/>
      </c>
      <c r="J16" s="13">
        <f>IFERROR(H16*VLOOKUP(C16,'Recetas y precios'!$A$5:$P$54,16,FALSE),"")</f>
        <v/>
      </c>
      <c r="K16" s="34" t="n"/>
      <c r="L16" s="34" t="n"/>
    </row>
    <row r="17">
      <c r="A17" s="33" t="n"/>
      <c r="B17" s="34" t="n"/>
      <c r="C17" s="34" t="n"/>
      <c r="D17" s="7">
        <f>IFERROR(VLOOKUP(C17,'Recetas y precios'!$A$5:$B$54,2,FALSE),"")</f>
        <v/>
      </c>
      <c r="E17" s="34" t="n"/>
      <c r="F17" s="34" t="n"/>
      <c r="G17" s="34" t="n"/>
      <c r="H17" s="34" t="n"/>
      <c r="I17" s="35">
        <f>IFERROR(H17/(G17+H17),"")</f>
        <v/>
      </c>
      <c r="J17" s="13">
        <f>IFERROR(H17*VLOOKUP(C17,'Recetas y precios'!$A$5:$P$54,16,FALSE),"")</f>
        <v/>
      </c>
      <c r="K17" s="34" t="n"/>
      <c r="L17" s="34" t="n"/>
    </row>
    <row r="18">
      <c r="A18" s="33" t="n"/>
      <c r="B18" s="34" t="n"/>
      <c r="C18" s="34" t="n"/>
      <c r="D18" s="7">
        <f>IFERROR(VLOOKUP(C18,'Recetas y precios'!$A$5:$B$54,2,FALSE),"")</f>
        <v/>
      </c>
      <c r="E18" s="34" t="n"/>
      <c r="F18" s="34" t="n"/>
      <c r="G18" s="34" t="n"/>
      <c r="H18" s="34" t="n"/>
      <c r="I18" s="35">
        <f>IFERROR(H18/(G18+H18),"")</f>
        <v/>
      </c>
      <c r="J18" s="13">
        <f>IFERROR(H18*VLOOKUP(C18,'Recetas y precios'!$A$5:$P$54,16,FALSE),"")</f>
        <v/>
      </c>
      <c r="K18" s="34" t="n"/>
      <c r="L18" s="34" t="n"/>
    </row>
    <row r="19">
      <c r="A19" s="33" t="n"/>
      <c r="B19" s="34" t="n"/>
      <c r="C19" s="34" t="n"/>
      <c r="D19" s="7">
        <f>IFERROR(VLOOKUP(C19,'Recetas y precios'!$A$5:$B$54,2,FALSE),"")</f>
        <v/>
      </c>
      <c r="E19" s="34" t="n"/>
      <c r="F19" s="34" t="n"/>
      <c r="G19" s="34" t="n"/>
      <c r="H19" s="34" t="n"/>
      <c r="I19" s="35">
        <f>IFERROR(H19/(G19+H19),"")</f>
        <v/>
      </c>
      <c r="J19" s="13">
        <f>IFERROR(H19*VLOOKUP(C19,'Recetas y precios'!$A$5:$P$54,16,FALSE),"")</f>
        <v/>
      </c>
      <c r="K19" s="34" t="n"/>
      <c r="L19" s="34" t="n"/>
    </row>
    <row r="20">
      <c r="A20" s="33" t="n"/>
      <c r="B20" s="34" t="n"/>
      <c r="C20" s="34" t="n"/>
      <c r="D20" s="7">
        <f>IFERROR(VLOOKUP(C20,'Recetas y precios'!$A$5:$B$54,2,FALSE),"")</f>
        <v/>
      </c>
      <c r="E20" s="34" t="n"/>
      <c r="F20" s="34" t="n"/>
      <c r="G20" s="34" t="n"/>
      <c r="H20" s="34" t="n"/>
      <c r="I20" s="35">
        <f>IFERROR(H20/(G20+H20),"")</f>
        <v/>
      </c>
      <c r="J20" s="13">
        <f>IFERROR(H20*VLOOKUP(C20,'Recetas y precios'!$A$5:$P$54,16,FALSE),"")</f>
        <v/>
      </c>
      <c r="K20" s="34" t="n"/>
      <c r="L20" s="34" t="n"/>
    </row>
    <row r="21">
      <c r="A21" s="33" t="n"/>
      <c r="B21" s="34" t="n"/>
      <c r="C21" s="34" t="n"/>
      <c r="D21" s="7">
        <f>IFERROR(VLOOKUP(C21,'Recetas y precios'!$A$5:$B$54,2,FALSE),"")</f>
        <v/>
      </c>
      <c r="E21" s="34" t="n"/>
      <c r="F21" s="34" t="n"/>
      <c r="G21" s="34" t="n"/>
      <c r="H21" s="34" t="n"/>
      <c r="I21" s="35">
        <f>IFERROR(H21/(G21+H21),"")</f>
        <v/>
      </c>
      <c r="J21" s="13">
        <f>IFERROR(H21*VLOOKUP(C21,'Recetas y precios'!$A$5:$P$54,16,FALSE),"")</f>
        <v/>
      </c>
      <c r="K21" s="34" t="n"/>
      <c r="L21" s="34" t="n"/>
    </row>
    <row r="22">
      <c r="A22" s="33" t="n"/>
      <c r="B22" s="34" t="n"/>
      <c r="C22" s="34" t="n"/>
      <c r="D22" s="7">
        <f>IFERROR(VLOOKUP(C22,'Recetas y precios'!$A$5:$B$54,2,FALSE),"")</f>
        <v/>
      </c>
      <c r="E22" s="34" t="n"/>
      <c r="F22" s="34" t="n"/>
      <c r="G22" s="34" t="n"/>
      <c r="H22" s="34" t="n"/>
      <c r="I22" s="35">
        <f>IFERROR(H22/(G22+H22),"")</f>
        <v/>
      </c>
      <c r="J22" s="13">
        <f>IFERROR(H22*VLOOKUP(C22,'Recetas y precios'!$A$5:$P$54,16,FALSE),"")</f>
        <v/>
      </c>
      <c r="K22" s="34" t="n"/>
      <c r="L22" s="34" t="n"/>
    </row>
    <row r="23">
      <c r="A23" s="33" t="n"/>
      <c r="B23" s="34" t="n"/>
      <c r="C23" s="34" t="n"/>
      <c r="D23" s="7">
        <f>IFERROR(VLOOKUP(C23,'Recetas y precios'!$A$5:$B$54,2,FALSE),"")</f>
        <v/>
      </c>
      <c r="E23" s="34" t="n"/>
      <c r="F23" s="34" t="n"/>
      <c r="G23" s="34" t="n"/>
      <c r="H23" s="34" t="n"/>
      <c r="I23" s="35">
        <f>IFERROR(H23/(G23+H23),"")</f>
        <v/>
      </c>
      <c r="J23" s="13">
        <f>IFERROR(H23*VLOOKUP(C23,'Recetas y precios'!$A$5:$P$54,16,FALSE),"")</f>
        <v/>
      </c>
      <c r="K23" s="34" t="n"/>
      <c r="L23" s="34" t="n"/>
    </row>
    <row r="24">
      <c r="A24" s="33" t="n"/>
      <c r="B24" s="34" t="n"/>
      <c r="C24" s="34" t="n"/>
      <c r="D24" s="7">
        <f>IFERROR(VLOOKUP(C24,'Recetas y precios'!$A$5:$B$54,2,FALSE),"")</f>
        <v/>
      </c>
      <c r="E24" s="34" t="n"/>
      <c r="F24" s="34" t="n"/>
      <c r="G24" s="34" t="n"/>
      <c r="H24" s="34" t="n"/>
      <c r="I24" s="35">
        <f>IFERROR(H24/(G24+H24),"")</f>
        <v/>
      </c>
      <c r="J24" s="13">
        <f>IFERROR(H24*VLOOKUP(C24,'Recetas y precios'!$A$5:$P$54,16,FALSE),"")</f>
        <v/>
      </c>
      <c r="K24" s="34" t="n"/>
      <c r="L24" s="34" t="n"/>
    </row>
    <row r="25">
      <c r="A25" s="33" t="n"/>
      <c r="B25" s="34" t="n"/>
      <c r="C25" s="34" t="n"/>
      <c r="D25" s="7">
        <f>IFERROR(VLOOKUP(C25,'Recetas y precios'!$A$5:$B$54,2,FALSE),"")</f>
        <v/>
      </c>
      <c r="E25" s="34" t="n"/>
      <c r="F25" s="34" t="n"/>
      <c r="G25" s="34" t="n"/>
      <c r="H25" s="34" t="n"/>
      <c r="I25" s="35">
        <f>IFERROR(H25/(G25+H25),"")</f>
        <v/>
      </c>
      <c r="J25" s="13">
        <f>IFERROR(H25*VLOOKUP(C25,'Recetas y precios'!$A$5:$P$54,16,FALSE),"")</f>
        <v/>
      </c>
      <c r="K25" s="34" t="n"/>
      <c r="L25" s="34" t="n"/>
    </row>
    <row r="26">
      <c r="A26" s="33" t="n"/>
      <c r="B26" s="34" t="n"/>
      <c r="C26" s="34" t="n"/>
      <c r="D26" s="7">
        <f>IFERROR(VLOOKUP(C26,'Recetas y precios'!$A$5:$B$54,2,FALSE),"")</f>
        <v/>
      </c>
      <c r="E26" s="34" t="n"/>
      <c r="F26" s="34" t="n"/>
      <c r="G26" s="34" t="n"/>
      <c r="H26" s="34" t="n"/>
      <c r="I26" s="35">
        <f>IFERROR(H26/(G26+H26),"")</f>
        <v/>
      </c>
      <c r="J26" s="13">
        <f>IFERROR(H26*VLOOKUP(C26,'Recetas y precios'!$A$5:$P$54,16,FALSE),"")</f>
        <v/>
      </c>
      <c r="K26" s="34" t="n"/>
      <c r="L26" s="34" t="n"/>
    </row>
    <row r="27">
      <c r="A27" s="33" t="n"/>
      <c r="B27" s="34" t="n"/>
      <c r="C27" s="34" t="n"/>
      <c r="D27" s="7">
        <f>IFERROR(VLOOKUP(C27,'Recetas y precios'!$A$5:$B$54,2,FALSE),"")</f>
        <v/>
      </c>
      <c r="E27" s="34" t="n"/>
      <c r="F27" s="34" t="n"/>
      <c r="G27" s="34" t="n"/>
      <c r="H27" s="34" t="n"/>
      <c r="I27" s="35">
        <f>IFERROR(H27/(G27+H27),"")</f>
        <v/>
      </c>
      <c r="J27" s="13">
        <f>IFERROR(H27*VLOOKUP(C27,'Recetas y precios'!$A$5:$P$54,16,FALSE),"")</f>
        <v/>
      </c>
      <c r="K27" s="34" t="n"/>
      <c r="L27" s="34" t="n"/>
    </row>
    <row r="28">
      <c r="A28" s="33" t="n"/>
      <c r="B28" s="34" t="n"/>
      <c r="C28" s="34" t="n"/>
      <c r="D28" s="7">
        <f>IFERROR(VLOOKUP(C28,'Recetas y precios'!$A$5:$B$54,2,FALSE),"")</f>
        <v/>
      </c>
      <c r="E28" s="34" t="n"/>
      <c r="F28" s="34" t="n"/>
      <c r="G28" s="34" t="n"/>
      <c r="H28" s="34" t="n"/>
      <c r="I28" s="35">
        <f>IFERROR(H28/(G28+H28),"")</f>
        <v/>
      </c>
      <c r="J28" s="13">
        <f>IFERROR(H28*VLOOKUP(C28,'Recetas y precios'!$A$5:$P$54,16,FALSE),"")</f>
        <v/>
      </c>
      <c r="K28" s="34" t="n"/>
      <c r="L28" s="34" t="n"/>
    </row>
    <row r="29">
      <c r="A29" s="33" t="n"/>
      <c r="B29" s="34" t="n"/>
      <c r="C29" s="34" t="n"/>
      <c r="D29" s="7">
        <f>IFERROR(VLOOKUP(C29,'Recetas y precios'!$A$5:$B$54,2,FALSE),"")</f>
        <v/>
      </c>
      <c r="E29" s="34" t="n"/>
      <c r="F29" s="34" t="n"/>
      <c r="G29" s="34" t="n"/>
      <c r="H29" s="34" t="n"/>
      <c r="I29" s="35">
        <f>IFERROR(H29/(G29+H29),"")</f>
        <v/>
      </c>
      <c r="J29" s="13">
        <f>IFERROR(H29*VLOOKUP(C29,'Recetas y precios'!$A$5:$P$54,16,FALSE),"")</f>
        <v/>
      </c>
      <c r="K29" s="34" t="n"/>
      <c r="L29" s="34" t="n"/>
    </row>
    <row r="30">
      <c r="A30" s="33" t="n"/>
      <c r="B30" s="34" t="n"/>
      <c r="C30" s="34" t="n"/>
      <c r="D30" s="7">
        <f>IFERROR(VLOOKUP(C30,'Recetas y precios'!$A$5:$B$54,2,FALSE),"")</f>
        <v/>
      </c>
      <c r="E30" s="34" t="n"/>
      <c r="F30" s="34" t="n"/>
      <c r="G30" s="34" t="n"/>
      <c r="H30" s="34" t="n"/>
      <c r="I30" s="35">
        <f>IFERROR(H30/(G30+H30),"")</f>
        <v/>
      </c>
      <c r="J30" s="13">
        <f>IFERROR(H30*VLOOKUP(C30,'Recetas y precios'!$A$5:$P$54,16,FALSE),"")</f>
        <v/>
      </c>
      <c r="K30" s="34" t="n"/>
      <c r="L30" s="34" t="n"/>
    </row>
    <row r="31">
      <c r="A31" s="33" t="n"/>
      <c r="B31" s="34" t="n"/>
      <c r="C31" s="34" t="n"/>
      <c r="D31" s="7">
        <f>IFERROR(VLOOKUP(C31,'Recetas y precios'!$A$5:$B$54,2,FALSE),"")</f>
        <v/>
      </c>
      <c r="E31" s="34" t="n"/>
      <c r="F31" s="34" t="n"/>
      <c r="G31" s="34" t="n"/>
      <c r="H31" s="34" t="n"/>
      <c r="I31" s="35">
        <f>IFERROR(H31/(G31+H31),"")</f>
        <v/>
      </c>
      <c r="J31" s="13">
        <f>IFERROR(H31*VLOOKUP(C31,'Recetas y precios'!$A$5:$P$54,16,FALSE),"")</f>
        <v/>
      </c>
      <c r="K31" s="34" t="n"/>
      <c r="L31" s="34" t="n"/>
    </row>
    <row r="32">
      <c r="A32" s="33" t="n"/>
      <c r="B32" s="34" t="n"/>
      <c r="C32" s="34" t="n"/>
      <c r="D32" s="7">
        <f>IFERROR(VLOOKUP(C32,'Recetas y precios'!$A$5:$B$54,2,FALSE),"")</f>
        <v/>
      </c>
      <c r="E32" s="34" t="n"/>
      <c r="F32" s="34" t="n"/>
      <c r="G32" s="34" t="n"/>
      <c r="H32" s="34" t="n"/>
      <c r="I32" s="35">
        <f>IFERROR(H32/(G32+H32),"")</f>
        <v/>
      </c>
      <c r="J32" s="13">
        <f>IFERROR(H32*VLOOKUP(C32,'Recetas y precios'!$A$5:$P$54,16,FALSE),"")</f>
        <v/>
      </c>
      <c r="K32" s="34" t="n"/>
      <c r="L32" s="34" t="n"/>
    </row>
    <row r="33">
      <c r="A33" s="33" t="n"/>
      <c r="B33" s="34" t="n"/>
      <c r="C33" s="34" t="n"/>
      <c r="D33" s="7">
        <f>IFERROR(VLOOKUP(C33,'Recetas y precios'!$A$5:$B$54,2,FALSE),"")</f>
        <v/>
      </c>
      <c r="E33" s="34" t="n"/>
      <c r="F33" s="34" t="n"/>
      <c r="G33" s="34" t="n"/>
      <c r="H33" s="34" t="n"/>
      <c r="I33" s="35">
        <f>IFERROR(H33/(G33+H33),"")</f>
        <v/>
      </c>
      <c r="J33" s="13">
        <f>IFERROR(H33*VLOOKUP(C33,'Recetas y precios'!$A$5:$P$54,16,FALSE),"")</f>
        <v/>
      </c>
      <c r="K33" s="34" t="n"/>
      <c r="L33" s="34" t="n"/>
    </row>
    <row r="34">
      <c r="A34" s="33" t="n"/>
      <c r="B34" s="34" t="n"/>
      <c r="C34" s="34" t="n"/>
      <c r="D34" s="7">
        <f>IFERROR(VLOOKUP(C34,'Recetas y precios'!$A$5:$B$54,2,FALSE),"")</f>
        <v/>
      </c>
      <c r="E34" s="34" t="n"/>
      <c r="F34" s="34" t="n"/>
      <c r="G34" s="34" t="n"/>
      <c r="H34" s="34" t="n"/>
      <c r="I34" s="35">
        <f>IFERROR(H34/(G34+H34),"")</f>
        <v/>
      </c>
      <c r="J34" s="13">
        <f>IFERROR(H34*VLOOKUP(C34,'Recetas y precios'!$A$5:$P$54,16,FALSE),"")</f>
        <v/>
      </c>
      <c r="K34" s="34" t="n"/>
      <c r="L34" s="34" t="n"/>
    </row>
    <row r="35">
      <c r="A35" s="33" t="n"/>
      <c r="B35" s="34" t="n"/>
      <c r="C35" s="34" t="n"/>
      <c r="D35" s="7">
        <f>IFERROR(VLOOKUP(C35,'Recetas y precios'!$A$5:$B$54,2,FALSE),"")</f>
        <v/>
      </c>
      <c r="E35" s="34" t="n"/>
      <c r="F35" s="34" t="n"/>
      <c r="G35" s="34" t="n"/>
      <c r="H35" s="34" t="n"/>
      <c r="I35" s="35">
        <f>IFERROR(H35/(G35+H35),"")</f>
        <v/>
      </c>
      <c r="J35" s="13">
        <f>IFERROR(H35*VLOOKUP(C35,'Recetas y precios'!$A$5:$P$54,16,FALSE),"")</f>
        <v/>
      </c>
      <c r="K35" s="34" t="n"/>
      <c r="L35" s="34" t="n"/>
    </row>
    <row r="36">
      <c r="A36" s="33" t="n"/>
      <c r="B36" s="34" t="n"/>
      <c r="C36" s="34" t="n"/>
      <c r="D36" s="7">
        <f>IFERROR(VLOOKUP(C36,'Recetas y precios'!$A$5:$B$54,2,FALSE),"")</f>
        <v/>
      </c>
      <c r="E36" s="34" t="n"/>
      <c r="F36" s="34" t="n"/>
      <c r="G36" s="34" t="n"/>
      <c r="H36" s="34" t="n"/>
      <c r="I36" s="35">
        <f>IFERROR(H36/(G36+H36),"")</f>
        <v/>
      </c>
      <c r="J36" s="13">
        <f>IFERROR(H36*VLOOKUP(C36,'Recetas y precios'!$A$5:$P$54,16,FALSE),"")</f>
        <v/>
      </c>
      <c r="K36" s="34" t="n"/>
      <c r="L36" s="34" t="n"/>
    </row>
    <row r="37">
      <c r="A37" s="33" t="n"/>
      <c r="B37" s="34" t="n"/>
      <c r="C37" s="34" t="n"/>
      <c r="D37" s="7">
        <f>IFERROR(VLOOKUP(C37,'Recetas y precios'!$A$5:$B$54,2,FALSE),"")</f>
        <v/>
      </c>
      <c r="E37" s="34" t="n"/>
      <c r="F37" s="34" t="n"/>
      <c r="G37" s="34" t="n"/>
      <c r="H37" s="34" t="n"/>
      <c r="I37" s="35">
        <f>IFERROR(H37/(G37+H37),"")</f>
        <v/>
      </c>
      <c r="J37" s="13">
        <f>IFERROR(H37*VLOOKUP(C37,'Recetas y precios'!$A$5:$P$54,16,FALSE),"")</f>
        <v/>
      </c>
      <c r="K37" s="34" t="n"/>
      <c r="L37" s="34" t="n"/>
    </row>
    <row r="38">
      <c r="A38" s="33" t="n"/>
      <c r="B38" s="34" t="n"/>
      <c r="C38" s="34" t="n"/>
      <c r="D38" s="7">
        <f>IFERROR(VLOOKUP(C38,'Recetas y precios'!$A$5:$B$54,2,FALSE),"")</f>
        <v/>
      </c>
      <c r="E38" s="34" t="n"/>
      <c r="F38" s="34" t="n"/>
      <c r="G38" s="34" t="n"/>
      <c r="H38" s="34" t="n"/>
      <c r="I38" s="35">
        <f>IFERROR(H38/(G38+H38),"")</f>
        <v/>
      </c>
      <c r="J38" s="13">
        <f>IFERROR(H38*VLOOKUP(C38,'Recetas y precios'!$A$5:$P$54,16,FALSE),"")</f>
        <v/>
      </c>
      <c r="K38" s="34" t="n"/>
      <c r="L38" s="34" t="n"/>
    </row>
    <row r="39">
      <c r="A39" s="33" t="n"/>
      <c r="B39" s="34" t="n"/>
      <c r="C39" s="34" t="n"/>
      <c r="D39" s="7">
        <f>IFERROR(VLOOKUP(C39,'Recetas y precios'!$A$5:$B$54,2,FALSE),"")</f>
        <v/>
      </c>
      <c r="E39" s="34" t="n"/>
      <c r="F39" s="34" t="n"/>
      <c r="G39" s="34" t="n"/>
      <c r="H39" s="34" t="n"/>
      <c r="I39" s="35">
        <f>IFERROR(H39/(G39+H39),"")</f>
        <v/>
      </c>
      <c r="J39" s="13">
        <f>IFERROR(H39*VLOOKUP(C39,'Recetas y precios'!$A$5:$P$54,16,FALSE),"")</f>
        <v/>
      </c>
      <c r="K39" s="34" t="n"/>
      <c r="L39" s="34" t="n"/>
    </row>
    <row r="40">
      <c r="A40" s="33" t="n"/>
      <c r="B40" s="34" t="n"/>
      <c r="C40" s="34" t="n"/>
      <c r="D40" s="7">
        <f>IFERROR(VLOOKUP(C40,'Recetas y precios'!$A$5:$B$54,2,FALSE),"")</f>
        <v/>
      </c>
      <c r="E40" s="34" t="n"/>
      <c r="F40" s="34" t="n"/>
      <c r="G40" s="34" t="n"/>
      <c r="H40" s="34" t="n"/>
      <c r="I40" s="35">
        <f>IFERROR(H40/(G40+H40),"")</f>
        <v/>
      </c>
      <c r="J40" s="13">
        <f>IFERROR(H40*VLOOKUP(C40,'Recetas y precios'!$A$5:$P$54,16,FALSE),"")</f>
        <v/>
      </c>
      <c r="K40" s="34" t="n"/>
      <c r="L40" s="34" t="n"/>
    </row>
    <row r="41">
      <c r="A41" s="33" t="n"/>
      <c r="B41" s="34" t="n"/>
      <c r="C41" s="34" t="n"/>
      <c r="D41" s="7">
        <f>IFERROR(VLOOKUP(C41,'Recetas y precios'!$A$5:$B$54,2,FALSE),"")</f>
        <v/>
      </c>
      <c r="E41" s="34" t="n"/>
      <c r="F41" s="34" t="n"/>
      <c r="G41" s="34" t="n"/>
      <c r="H41" s="34" t="n"/>
      <c r="I41" s="35">
        <f>IFERROR(H41/(G41+H41),"")</f>
        <v/>
      </c>
      <c r="J41" s="13">
        <f>IFERROR(H41*VLOOKUP(C41,'Recetas y precios'!$A$5:$P$54,16,FALSE),"")</f>
        <v/>
      </c>
      <c r="K41" s="34" t="n"/>
      <c r="L41" s="34" t="n"/>
    </row>
    <row r="42">
      <c r="A42" s="33" t="n"/>
      <c r="B42" s="34" t="n"/>
      <c r="C42" s="34" t="n"/>
      <c r="D42" s="7">
        <f>IFERROR(VLOOKUP(C42,'Recetas y precios'!$A$5:$B$54,2,FALSE),"")</f>
        <v/>
      </c>
      <c r="E42" s="34" t="n"/>
      <c r="F42" s="34" t="n"/>
      <c r="G42" s="34" t="n"/>
      <c r="H42" s="34" t="n"/>
      <c r="I42" s="35">
        <f>IFERROR(H42/(G42+H42),"")</f>
        <v/>
      </c>
      <c r="J42" s="13">
        <f>IFERROR(H42*VLOOKUP(C42,'Recetas y precios'!$A$5:$P$54,16,FALSE),"")</f>
        <v/>
      </c>
      <c r="K42" s="34" t="n"/>
      <c r="L42" s="34" t="n"/>
    </row>
    <row r="43">
      <c r="A43" s="33" t="n"/>
      <c r="B43" s="34" t="n"/>
      <c r="C43" s="34" t="n"/>
      <c r="D43" s="7">
        <f>IFERROR(VLOOKUP(C43,'Recetas y precios'!$A$5:$B$54,2,FALSE),"")</f>
        <v/>
      </c>
      <c r="E43" s="34" t="n"/>
      <c r="F43" s="34" t="n"/>
      <c r="G43" s="34" t="n"/>
      <c r="H43" s="34" t="n"/>
      <c r="I43" s="35">
        <f>IFERROR(H43/(G43+H43),"")</f>
        <v/>
      </c>
      <c r="J43" s="13">
        <f>IFERROR(H43*VLOOKUP(C43,'Recetas y precios'!$A$5:$P$54,16,FALSE),"")</f>
        <v/>
      </c>
      <c r="K43" s="34" t="n"/>
      <c r="L43" s="34" t="n"/>
    </row>
    <row r="44">
      <c r="A44" s="33" t="n"/>
      <c r="B44" s="34" t="n"/>
      <c r="C44" s="34" t="n"/>
      <c r="D44" s="7">
        <f>IFERROR(VLOOKUP(C44,'Recetas y precios'!$A$5:$B$54,2,FALSE),"")</f>
        <v/>
      </c>
      <c r="E44" s="34" t="n"/>
      <c r="F44" s="34" t="n"/>
      <c r="G44" s="34" t="n"/>
      <c r="H44" s="34" t="n"/>
      <c r="I44" s="35">
        <f>IFERROR(H44/(G44+H44),"")</f>
        <v/>
      </c>
      <c r="J44" s="13">
        <f>IFERROR(H44*VLOOKUP(C44,'Recetas y precios'!$A$5:$P$54,16,FALSE),"")</f>
        <v/>
      </c>
      <c r="K44" s="34" t="n"/>
      <c r="L44" s="34" t="n"/>
    </row>
    <row r="45">
      <c r="A45" s="33" t="n"/>
      <c r="B45" s="34" t="n"/>
      <c r="C45" s="34" t="n"/>
      <c r="D45" s="7">
        <f>IFERROR(VLOOKUP(C45,'Recetas y precios'!$A$5:$B$54,2,FALSE),"")</f>
        <v/>
      </c>
      <c r="E45" s="34" t="n"/>
      <c r="F45" s="34" t="n"/>
      <c r="G45" s="34" t="n"/>
      <c r="H45" s="34" t="n"/>
      <c r="I45" s="35">
        <f>IFERROR(H45/(G45+H45),"")</f>
        <v/>
      </c>
      <c r="J45" s="13">
        <f>IFERROR(H45*VLOOKUP(C45,'Recetas y precios'!$A$5:$P$54,16,FALSE),"")</f>
        <v/>
      </c>
      <c r="K45" s="34" t="n"/>
      <c r="L45" s="34" t="n"/>
    </row>
    <row r="46">
      <c r="A46" s="33" t="n"/>
      <c r="B46" s="34" t="n"/>
      <c r="C46" s="34" t="n"/>
      <c r="D46" s="7">
        <f>IFERROR(VLOOKUP(C46,'Recetas y precios'!$A$5:$B$54,2,FALSE),"")</f>
        <v/>
      </c>
      <c r="E46" s="34" t="n"/>
      <c r="F46" s="34" t="n"/>
      <c r="G46" s="34" t="n"/>
      <c r="H46" s="34" t="n"/>
      <c r="I46" s="35">
        <f>IFERROR(H46/(G46+H46),"")</f>
        <v/>
      </c>
      <c r="J46" s="13">
        <f>IFERROR(H46*VLOOKUP(C46,'Recetas y precios'!$A$5:$P$54,16,FALSE),"")</f>
        <v/>
      </c>
      <c r="K46" s="34" t="n"/>
      <c r="L46" s="34" t="n"/>
    </row>
    <row r="47">
      <c r="A47" s="33" t="n"/>
      <c r="B47" s="34" t="n"/>
      <c r="C47" s="34" t="n"/>
      <c r="D47" s="7">
        <f>IFERROR(VLOOKUP(C47,'Recetas y precios'!$A$5:$B$54,2,FALSE),"")</f>
        <v/>
      </c>
      <c r="E47" s="34" t="n"/>
      <c r="F47" s="34" t="n"/>
      <c r="G47" s="34" t="n"/>
      <c r="H47" s="34" t="n"/>
      <c r="I47" s="35">
        <f>IFERROR(H47/(G47+H47),"")</f>
        <v/>
      </c>
      <c r="J47" s="13">
        <f>IFERROR(H47*VLOOKUP(C47,'Recetas y precios'!$A$5:$P$54,16,FALSE),"")</f>
        <v/>
      </c>
      <c r="K47" s="34" t="n"/>
      <c r="L47" s="34" t="n"/>
    </row>
    <row r="48">
      <c r="A48" s="33" t="n"/>
      <c r="B48" s="34" t="n"/>
      <c r="C48" s="34" t="n"/>
      <c r="D48" s="7">
        <f>IFERROR(VLOOKUP(C48,'Recetas y precios'!$A$5:$B$54,2,FALSE),"")</f>
        <v/>
      </c>
      <c r="E48" s="34" t="n"/>
      <c r="F48" s="34" t="n"/>
      <c r="G48" s="34" t="n"/>
      <c r="H48" s="34" t="n"/>
      <c r="I48" s="35">
        <f>IFERROR(H48/(G48+H48),"")</f>
        <v/>
      </c>
      <c r="J48" s="13">
        <f>IFERROR(H48*VLOOKUP(C48,'Recetas y precios'!$A$5:$P$54,16,FALSE),"")</f>
        <v/>
      </c>
      <c r="K48" s="34" t="n"/>
      <c r="L48" s="34" t="n"/>
    </row>
    <row r="49">
      <c r="A49" s="33" t="n"/>
      <c r="B49" s="34" t="n"/>
      <c r="C49" s="34" t="n"/>
      <c r="D49" s="7">
        <f>IFERROR(VLOOKUP(C49,'Recetas y precios'!$A$5:$B$54,2,FALSE),"")</f>
        <v/>
      </c>
      <c r="E49" s="34" t="n"/>
      <c r="F49" s="34" t="n"/>
      <c r="G49" s="34" t="n"/>
      <c r="H49" s="34" t="n"/>
      <c r="I49" s="35">
        <f>IFERROR(H49/(G49+H49),"")</f>
        <v/>
      </c>
      <c r="J49" s="13">
        <f>IFERROR(H49*VLOOKUP(C49,'Recetas y precios'!$A$5:$P$54,16,FALSE),"")</f>
        <v/>
      </c>
      <c r="K49" s="34" t="n"/>
      <c r="L49" s="34" t="n"/>
    </row>
    <row r="50">
      <c r="A50" s="33" t="n"/>
      <c r="B50" s="34" t="n"/>
      <c r="C50" s="34" t="n"/>
      <c r="D50" s="7">
        <f>IFERROR(VLOOKUP(C50,'Recetas y precios'!$A$5:$B$54,2,FALSE),"")</f>
        <v/>
      </c>
      <c r="E50" s="34" t="n"/>
      <c r="F50" s="34" t="n"/>
      <c r="G50" s="34" t="n"/>
      <c r="H50" s="34" t="n"/>
      <c r="I50" s="35">
        <f>IFERROR(H50/(G50+H50),"")</f>
        <v/>
      </c>
      <c r="J50" s="13">
        <f>IFERROR(H50*VLOOKUP(C50,'Recetas y precios'!$A$5:$P$54,16,FALSE),"")</f>
        <v/>
      </c>
      <c r="K50" s="34" t="n"/>
      <c r="L50" s="34" t="n"/>
    </row>
    <row r="51">
      <c r="A51" s="33" t="n"/>
      <c r="B51" s="34" t="n"/>
      <c r="C51" s="34" t="n"/>
      <c r="D51" s="7">
        <f>IFERROR(VLOOKUP(C51,'Recetas y precios'!$A$5:$B$54,2,FALSE),"")</f>
        <v/>
      </c>
      <c r="E51" s="34" t="n"/>
      <c r="F51" s="34" t="n"/>
      <c r="G51" s="34" t="n"/>
      <c r="H51" s="34" t="n"/>
      <c r="I51" s="35">
        <f>IFERROR(H51/(G51+H51),"")</f>
        <v/>
      </c>
      <c r="J51" s="13">
        <f>IFERROR(H51*VLOOKUP(C51,'Recetas y precios'!$A$5:$P$54,16,FALSE),"")</f>
        <v/>
      </c>
      <c r="K51" s="34" t="n"/>
      <c r="L51" s="34" t="n"/>
    </row>
    <row r="52">
      <c r="A52" s="33" t="n"/>
      <c r="B52" s="34" t="n"/>
      <c r="C52" s="34" t="n"/>
      <c r="D52" s="7">
        <f>IFERROR(VLOOKUP(C52,'Recetas y precios'!$A$5:$B$54,2,FALSE),"")</f>
        <v/>
      </c>
      <c r="E52" s="34" t="n"/>
      <c r="F52" s="34" t="n"/>
      <c r="G52" s="34" t="n"/>
      <c r="H52" s="34" t="n"/>
      <c r="I52" s="35">
        <f>IFERROR(H52/(G52+H52),"")</f>
        <v/>
      </c>
      <c r="J52" s="13">
        <f>IFERROR(H52*VLOOKUP(C52,'Recetas y precios'!$A$5:$P$54,16,FALSE),"")</f>
        <v/>
      </c>
      <c r="K52" s="34" t="n"/>
      <c r="L52" s="34" t="n"/>
    </row>
    <row r="53">
      <c r="A53" s="33" t="n"/>
      <c r="B53" s="34" t="n"/>
      <c r="C53" s="34" t="n"/>
      <c r="D53" s="7">
        <f>IFERROR(VLOOKUP(C53,'Recetas y precios'!$A$5:$B$54,2,FALSE),"")</f>
        <v/>
      </c>
      <c r="E53" s="34" t="n"/>
      <c r="F53" s="34" t="n"/>
      <c r="G53" s="34" t="n"/>
      <c r="H53" s="34" t="n"/>
      <c r="I53" s="35">
        <f>IFERROR(H53/(G53+H53),"")</f>
        <v/>
      </c>
      <c r="J53" s="13">
        <f>IFERROR(H53*VLOOKUP(C53,'Recetas y precios'!$A$5:$P$54,16,FALSE),"")</f>
        <v/>
      </c>
      <c r="K53" s="34" t="n"/>
      <c r="L53" s="34" t="n"/>
    </row>
    <row r="54">
      <c r="A54" s="33" t="n"/>
      <c r="B54" s="34" t="n"/>
      <c r="C54" s="34" t="n"/>
      <c r="D54" s="7">
        <f>IFERROR(VLOOKUP(C54,'Recetas y precios'!$A$5:$B$54,2,FALSE),"")</f>
        <v/>
      </c>
      <c r="E54" s="34" t="n"/>
      <c r="F54" s="34" t="n"/>
      <c r="G54" s="34" t="n"/>
      <c r="H54" s="34" t="n"/>
      <c r="I54" s="35">
        <f>IFERROR(H54/(G54+H54),"")</f>
        <v/>
      </c>
      <c r="J54" s="13">
        <f>IFERROR(H54*VLOOKUP(C54,'Recetas y precios'!$A$5:$P$54,16,FALSE),"")</f>
        <v/>
      </c>
      <c r="K54" s="34" t="n"/>
      <c r="L54" s="34" t="n"/>
    </row>
    <row r="55">
      <c r="A55" s="33" t="n"/>
      <c r="B55" s="34" t="n"/>
      <c r="C55" s="34" t="n"/>
      <c r="D55" s="7">
        <f>IFERROR(VLOOKUP(C55,'Recetas y precios'!$A$5:$B$54,2,FALSE),"")</f>
        <v/>
      </c>
      <c r="E55" s="34" t="n"/>
      <c r="F55" s="34" t="n"/>
      <c r="G55" s="34" t="n"/>
      <c r="H55" s="34" t="n"/>
      <c r="I55" s="35">
        <f>IFERROR(H55/(G55+H55),"")</f>
        <v/>
      </c>
      <c r="J55" s="13">
        <f>IFERROR(H55*VLOOKUP(C55,'Recetas y precios'!$A$5:$P$54,16,FALSE),"")</f>
        <v/>
      </c>
      <c r="K55" s="34" t="n"/>
      <c r="L55" s="34" t="n"/>
    </row>
    <row r="56">
      <c r="A56" s="33" t="n"/>
      <c r="B56" s="34" t="n"/>
      <c r="C56" s="34" t="n"/>
      <c r="D56" s="7">
        <f>IFERROR(VLOOKUP(C56,'Recetas y precios'!$A$5:$B$54,2,FALSE),"")</f>
        <v/>
      </c>
      <c r="E56" s="34" t="n"/>
      <c r="F56" s="34" t="n"/>
      <c r="G56" s="34" t="n"/>
      <c r="H56" s="34" t="n"/>
      <c r="I56" s="35">
        <f>IFERROR(H56/(G56+H56),"")</f>
        <v/>
      </c>
      <c r="J56" s="13">
        <f>IFERROR(H56*VLOOKUP(C56,'Recetas y precios'!$A$5:$P$54,16,FALSE),"")</f>
        <v/>
      </c>
      <c r="K56" s="34" t="n"/>
      <c r="L56" s="34" t="n"/>
    </row>
    <row r="57">
      <c r="A57" s="33" t="n"/>
      <c r="B57" s="34" t="n"/>
      <c r="C57" s="34" t="n"/>
      <c r="D57" s="7">
        <f>IFERROR(VLOOKUP(C57,'Recetas y precios'!$A$5:$B$54,2,FALSE),"")</f>
        <v/>
      </c>
      <c r="E57" s="34" t="n"/>
      <c r="F57" s="34" t="n"/>
      <c r="G57" s="34" t="n"/>
      <c r="H57" s="34" t="n"/>
      <c r="I57" s="35">
        <f>IFERROR(H57/(G57+H57),"")</f>
        <v/>
      </c>
      <c r="J57" s="13">
        <f>IFERROR(H57*VLOOKUP(C57,'Recetas y precios'!$A$5:$P$54,16,FALSE),"")</f>
        <v/>
      </c>
      <c r="K57" s="34" t="n"/>
      <c r="L57" s="34" t="n"/>
    </row>
    <row r="58">
      <c r="A58" s="33" t="n"/>
      <c r="B58" s="34" t="n"/>
      <c r="C58" s="34" t="n"/>
      <c r="D58" s="7">
        <f>IFERROR(VLOOKUP(C58,'Recetas y precios'!$A$5:$B$54,2,FALSE),"")</f>
        <v/>
      </c>
      <c r="E58" s="34" t="n"/>
      <c r="F58" s="34" t="n"/>
      <c r="G58" s="34" t="n"/>
      <c r="H58" s="34" t="n"/>
      <c r="I58" s="35">
        <f>IFERROR(H58/(G58+H58),"")</f>
        <v/>
      </c>
      <c r="J58" s="13">
        <f>IFERROR(H58*VLOOKUP(C58,'Recetas y precios'!$A$5:$P$54,16,FALSE),"")</f>
        <v/>
      </c>
      <c r="K58" s="34" t="n"/>
      <c r="L58" s="34" t="n"/>
    </row>
    <row r="59">
      <c r="A59" s="33" t="n"/>
      <c r="B59" s="34" t="n"/>
      <c r="C59" s="34" t="n"/>
      <c r="D59" s="7">
        <f>IFERROR(VLOOKUP(C59,'Recetas y precios'!$A$5:$B$54,2,FALSE),"")</f>
        <v/>
      </c>
      <c r="E59" s="34" t="n"/>
      <c r="F59" s="34" t="n"/>
      <c r="G59" s="34" t="n"/>
      <c r="H59" s="34" t="n"/>
      <c r="I59" s="35">
        <f>IFERROR(H59/(G59+H59),"")</f>
        <v/>
      </c>
      <c r="J59" s="13">
        <f>IFERROR(H59*VLOOKUP(C59,'Recetas y precios'!$A$5:$P$54,16,FALSE),"")</f>
        <v/>
      </c>
      <c r="K59" s="34" t="n"/>
      <c r="L59" s="34" t="n"/>
    </row>
    <row r="60">
      <c r="A60" s="33" t="n"/>
      <c r="B60" s="34" t="n"/>
      <c r="C60" s="34" t="n"/>
      <c r="D60" s="7">
        <f>IFERROR(VLOOKUP(C60,'Recetas y precios'!$A$5:$B$54,2,FALSE),"")</f>
        <v/>
      </c>
      <c r="E60" s="34" t="n"/>
      <c r="F60" s="34" t="n"/>
      <c r="G60" s="34" t="n"/>
      <c r="H60" s="34" t="n"/>
      <c r="I60" s="35">
        <f>IFERROR(H60/(G60+H60),"")</f>
        <v/>
      </c>
      <c r="J60" s="13">
        <f>IFERROR(H60*VLOOKUP(C60,'Recetas y precios'!$A$5:$P$54,16,FALSE),"")</f>
        <v/>
      </c>
      <c r="K60" s="34" t="n"/>
      <c r="L60" s="34" t="n"/>
    </row>
    <row r="61">
      <c r="A61" s="33" t="n"/>
      <c r="B61" s="34" t="n"/>
      <c r="C61" s="34" t="n"/>
      <c r="D61" s="7">
        <f>IFERROR(VLOOKUP(C61,'Recetas y precios'!$A$5:$B$54,2,FALSE),"")</f>
        <v/>
      </c>
      <c r="E61" s="34" t="n"/>
      <c r="F61" s="34" t="n"/>
      <c r="G61" s="34" t="n"/>
      <c r="H61" s="34" t="n"/>
      <c r="I61" s="35">
        <f>IFERROR(H61/(G61+H61),"")</f>
        <v/>
      </c>
      <c r="J61" s="13">
        <f>IFERROR(H61*VLOOKUP(C61,'Recetas y precios'!$A$5:$P$54,16,FALSE),"")</f>
        <v/>
      </c>
      <c r="K61" s="34" t="n"/>
      <c r="L61" s="34" t="n"/>
    </row>
    <row r="62">
      <c r="A62" s="33" t="n"/>
      <c r="B62" s="34" t="n"/>
      <c r="C62" s="34" t="n"/>
      <c r="D62" s="7">
        <f>IFERROR(VLOOKUP(C62,'Recetas y precios'!$A$5:$B$54,2,FALSE),"")</f>
        <v/>
      </c>
      <c r="E62" s="34" t="n"/>
      <c r="F62" s="34" t="n"/>
      <c r="G62" s="34" t="n"/>
      <c r="H62" s="34" t="n"/>
      <c r="I62" s="35">
        <f>IFERROR(H62/(G62+H62),"")</f>
        <v/>
      </c>
      <c r="J62" s="13">
        <f>IFERROR(H62*VLOOKUP(C62,'Recetas y precios'!$A$5:$P$54,16,FALSE),"")</f>
        <v/>
      </c>
      <c r="K62" s="34" t="n"/>
      <c r="L62" s="34" t="n"/>
    </row>
    <row r="63">
      <c r="A63" s="33" t="n"/>
      <c r="B63" s="34" t="n"/>
      <c r="C63" s="34" t="n"/>
      <c r="D63" s="7">
        <f>IFERROR(VLOOKUP(C63,'Recetas y precios'!$A$5:$B$54,2,FALSE),"")</f>
        <v/>
      </c>
      <c r="E63" s="34" t="n"/>
      <c r="F63" s="34" t="n"/>
      <c r="G63" s="34" t="n"/>
      <c r="H63" s="34" t="n"/>
      <c r="I63" s="35">
        <f>IFERROR(H63/(G63+H63),"")</f>
        <v/>
      </c>
      <c r="J63" s="13">
        <f>IFERROR(H63*VLOOKUP(C63,'Recetas y precios'!$A$5:$P$54,16,FALSE),"")</f>
        <v/>
      </c>
      <c r="K63" s="34" t="n"/>
      <c r="L63" s="34" t="n"/>
    </row>
    <row r="64">
      <c r="A64" s="33" t="n"/>
      <c r="B64" s="34" t="n"/>
      <c r="C64" s="34" t="n"/>
      <c r="D64" s="7">
        <f>IFERROR(VLOOKUP(C64,'Recetas y precios'!$A$5:$B$54,2,FALSE),"")</f>
        <v/>
      </c>
      <c r="E64" s="34" t="n"/>
      <c r="F64" s="34" t="n"/>
      <c r="G64" s="34" t="n"/>
      <c r="H64" s="34" t="n"/>
      <c r="I64" s="35">
        <f>IFERROR(H64/(G64+H64),"")</f>
        <v/>
      </c>
      <c r="J64" s="13">
        <f>IFERROR(H64*VLOOKUP(C64,'Recetas y precios'!$A$5:$P$54,16,FALSE),"")</f>
        <v/>
      </c>
      <c r="K64" s="34" t="n"/>
      <c r="L64" s="34" t="n"/>
    </row>
    <row r="65">
      <c r="A65" s="33" t="n"/>
      <c r="B65" s="34" t="n"/>
      <c r="C65" s="34" t="n"/>
      <c r="D65" s="7">
        <f>IFERROR(VLOOKUP(C65,'Recetas y precios'!$A$5:$B$54,2,FALSE),"")</f>
        <v/>
      </c>
      <c r="E65" s="34" t="n"/>
      <c r="F65" s="34" t="n"/>
      <c r="G65" s="34" t="n"/>
      <c r="H65" s="34" t="n"/>
      <c r="I65" s="35">
        <f>IFERROR(H65/(G65+H65),"")</f>
        <v/>
      </c>
      <c r="J65" s="13">
        <f>IFERROR(H65*VLOOKUP(C65,'Recetas y precios'!$A$5:$P$54,16,FALSE),"")</f>
        <v/>
      </c>
      <c r="K65" s="34" t="n"/>
      <c r="L65" s="34" t="n"/>
    </row>
    <row r="66">
      <c r="A66" s="33" t="n"/>
      <c r="B66" s="34" t="n"/>
      <c r="C66" s="34" t="n"/>
      <c r="D66" s="7">
        <f>IFERROR(VLOOKUP(C66,'Recetas y precios'!$A$5:$B$54,2,FALSE),"")</f>
        <v/>
      </c>
      <c r="E66" s="34" t="n"/>
      <c r="F66" s="34" t="n"/>
      <c r="G66" s="34" t="n"/>
      <c r="H66" s="34" t="n"/>
      <c r="I66" s="35">
        <f>IFERROR(H66/(G66+H66),"")</f>
        <v/>
      </c>
      <c r="J66" s="13">
        <f>IFERROR(H66*VLOOKUP(C66,'Recetas y precios'!$A$5:$P$54,16,FALSE),"")</f>
        <v/>
      </c>
      <c r="K66" s="34" t="n"/>
      <c r="L66" s="34" t="n"/>
    </row>
    <row r="67">
      <c r="A67" s="33" t="n"/>
      <c r="B67" s="34" t="n"/>
      <c r="C67" s="34" t="n"/>
      <c r="D67" s="7">
        <f>IFERROR(VLOOKUP(C67,'Recetas y precios'!$A$5:$B$54,2,FALSE),"")</f>
        <v/>
      </c>
      <c r="E67" s="34" t="n"/>
      <c r="F67" s="34" t="n"/>
      <c r="G67" s="34" t="n"/>
      <c r="H67" s="34" t="n"/>
      <c r="I67" s="35">
        <f>IFERROR(H67/(G67+H67),"")</f>
        <v/>
      </c>
      <c r="J67" s="13">
        <f>IFERROR(H67*VLOOKUP(C67,'Recetas y precios'!$A$5:$P$54,16,FALSE),"")</f>
        <v/>
      </c>
      <c r="K67" s="34" t="n"/>
      <c r="L67" s="34" t="n"/>
    </row>
    <row r="68">
      <c r="A68" s="33" t="n"/>
      <c r="B68" s="34" t="n"/>
      <c r="C68" s="34" t="n"/>
      <c r="D68" s="7">
        <f>IFERROR(VLOOKUP(C68,'Recetas y precios'!$A$5:$B$54,2,FALSE),"")</f>
        <v/>
      </c>
      <c r="E68" s="34" t="n"/>
      <c r="F68" s="34" t="n"/>
      <c r="G68" s="34" t="n"/>
      <c r="H68" s="34" t="n"/>
      <c r="I68" s="35">
        <f>IFERROR(H68/(G68+H68),"")</f>
        <v/>
      </c>
      <c r="J68" s="13">
        <f>IFERROR(H68*VLOOKUP(C68,'Recetas y precios'!$A$5:$P$54,16,FALSE),"")</f>
        <v/>
      </c>
      <c r="K68" s="34" t="n"/>
      <c r="L68" s="34" t="n"/>
    </row>
    <row r="69">
      <c r="A69" s="33" t="n"/>
      <c r="B69" s="34" t="n"/>
      <c r="C69" s="34" t="n"/>
      <c r="D69" s="7">
        <f>IFERROR(VLOOKUP(C69,'Recetas y precios'!$A$5:$B$54,2,FALSE),"")</f>
        <v/>
      </c>
      <c r="E69" s="34" t="n"/>
      <c r="F69" s="34" t="n"/>
      <c r="G69" s="34" t="n"/>
      <c r="H69" s="34" t="n"/>
      <c r="I69" s="35">
        <f>IFERROR(H69/(G69+H69),"")</f>
        <v/>
      </c>
      <c r="J69" s="13">
        <f>IFERROR(H69*VLOOKUP(C69,'Recetas y precios'!$A$5:$P$54,16,FALSE),"")</f>
        <v/>
      </c>
      <c r="K69" s="34" t="n"/>
      <c r="L69" s="34" t="n"/>
    </row>
    <row r="70">
      <c r="A70" s="33" t="n"/>
      <c r="B70" s="34" t="n"/>
      <c r="C70" s="34" t="n"/>
      <c r="D70" s="7">
        <f>IFERROR(VLOOKUP(C70,'Recetas y precios'!$A$5:$B$54,2,FALSE),"")</f>
        <v/>
      </c>
      <c r="E70" s="34" t="n"/>
      <c r="F70" s="34" t="n"/>
      <c r="G70" s="34" t="n"/>
      <c r="H70" s="34" t="n"/>
      <c r="I70" s="35">
        <f>IFERROR(H70/(G70+H70),"")</f>
        <v/>
      </c>
      <c r="J70" s="13">
        <f>IFERROR(H70*VLOOKUP(C70,'Recetas y precios'!$A$5:$P$54,16,FALSE),"")</f>
        <v/>
      </c>
      <c r="K70" s="34" t="n"/>
      <c r="L70" s="34" t="n"/>
    </row>
    <row r="71">
      <c r="A71" s="33" t="n"/>
      <c r="B71" s="34" t="n"/>
      <c r="C71" s="34" t="n"/>
      <c r="D71" s="7">
        <f>IFERROR(VLOOKUP(C71,'Recetas y precios'!$A$5:$B$54,2,FALSE),"")</f>
        <v/>
      </c>
      <c r="E71" s="34" t="n"/>
      <c r="F71" s="34" t="n"/>
      <c r="G71" s="34" t="n"/>
      <c r="H71" s="34" t="n"/>
      <c r="I71" s="35">
        <f>IFERROR(H71/(G71+H71),"")</f>
        <v/>
      </c>
      <c r="J71" s="13">
        <f>IFERROR(H71*VLOOKUP(C71,'Recetas y precios'!$A$5:$P$54,16,FALSE),"")</f>
        <v/>
      </c>
      <c r="K71" s="34" t="n"/>
      <c r="L71" s="34" t="n"/>
    </row>
    <row r="72">
      <c r="A72" s="33" t="n"/>
      <c r="B72" s="34" t="n"/>
      <c r="C72" s="34" t="n"/>
      <c r="D72" s="7">
        <f>IFERROR(VLOOKUP(C72,'Recetas y precios'!$A$5:$B$54,2,FALSE),"")</f>
        <v/>
      </c>
      <c r="E72" s="34" t="n"/>
      <c r="F72" s="34" t="n"/>
      <c r="G72" s="34" t="n"/>
      <c r="H72" s="34" t="n"/>
      <c r="I72" s="35">
        <f>IFERROR(H72/(G72+H72),"")</f>
        <v/>
      </c>
      <c r="J72" s="13">
        <f>IFERROR(H72*VLOOKUP(C72,'Recetas y precios'!$A$5:$P$54,16,FALSE),"")</f>
        <v/>
      </c>
      <c r="K72" s="34" t="n"/>
      <c r="L72" s="34" t="n"/>
    </row>
    <row r="73">
      <c r="A73" s="33" t="n"/>
      <c r="B73" s="34" t="n"/>
      <c r="C73" s="34" t="n"/>
      <c r="D73" s="7">
        <f>IFERROR(VLOOKUP(C73,'Recetas y precios'!$A$5:$B$54,2,FALSE),"")</f>
        <v/>
      </c>
      <c r="E73" s="34" t="n"/>
      <c r="F73" s="34" t="n"/>
      <c r="G73" s="34" t="n"/>
      <c r="H73" s="34" t="n"/>
      <c r="I73" s="35">
        <f>IFERROR(H73/(G73+H73),"")</f>
        <v/>
      </c>
      <c r="J73" s="13">
        <f>IFERROR(H73*VLOOKUP(C73,'Recetas y precios'!$A$5:$P$54,16,FALSE),"")</f>
        <v/>
      </c>
      <c r="K73" s="34" t="n"/>
      <c r="L73" s="34" t="n"/>
    </row>
    <row r="74">
      <c r="A74" s="33" t="n"/>
      <c r="B74" s="34" t="n"/>
      <c r="C74" s="34" t="n"/>
      <c r="D74" s="7">
        <f>IFERROR(VLOOKUP(C74,'Recetas y precios'!$A$5:$B$54,2,FALSE),"")</f>
        <v/>
      </c>
      <c r="E74" s="34" t="n"/>
      <c r="F74" s="34" t="n"/>
      <c r="G74" s="34" t="n"/>
      <c r="H74" s="34" t="n"/>
      <c r="I74" s="35">
        <f>IFERROR(H74/(G74+H74),"")</f>
        <v/>
      </c>
      <c r="J74" s="13">
        <f>IFERROR(H74*VLOOKUP(C74,'Recetas y precios'!$A$5:$P$54,16,FALSE),"")</f>
        <v/>
      </c>
      <c r="K74" s="34" t="n"/>
      <c r="L74" s="34" t="n"/>
    </row>
    <row r="75">
      <c r="A75" s="33" t="n"/>
      <c r="B75" s="34" t="n"/>
      <c r="C75" s="34" t="n"/>
      <c r="D75" s="7">
        <f>IFERROR(VLOOKUP(C75,'Recetas y precios'!$A$5:$B$54,2,FALSE),"")</f>
        <v/>
      </c>
      <c r="E75" s="34" t="n"/>
      <c r="F75" s="34" t="n"/>
      <c r="G75" s="34" t="n"/>
      <c r="H75" s="34" t="n"/>
      <c r="I75" s="35">
        <f>IFERROR(H75/(G75+H75),"")</f>
        <v/>
      </c>
      <c r="J75" s="13">
        <f>IFERROR(H75*VLOOKUP(C75,'Recetas y precios'!$A$5:$P$54,16,FALSE),"")</f>
        <v/>
      </c>
      <c r="K75" s="34" t="n"/>
      <c r="L75" s="34" t="n"/>
    </row>
    <row r="76">
      <c r="A76" s="33" t="n"/>
      <c r="B76" s="34" t="n"/>
      <c r="C76" s="34" t="n"/>
      <c r="D76" s="7">
        <f>IFERROR(VLOOKUP(C76,'Recetas y precios'!$A$5:$B$54,2,FALSE),"")</f>
        <v/>
      </c>
      <c r="E76" s="34" t="n"/>
      <c r="F76" s="34" t="n"/>
      <c r="G76" s="34" t="n"/>
      <c r="H76" s="34" t="n"/>
      <c r="I76" s="35">
        <f>IFERROR(H76/(G76+H76),"")</f>
        <v/>
      </c>
      <c r="J76" s="13">
        <f>IFERROR(H76*VLOOKUP(C76,'Recetas y precios'!$A$5:$P$54,16,FALSE),"")</f>
        <v/>
      </c>
      <c r="K76" s="34" t="n"/>
      <c r="L76" s="34" t="n"/>
    </row>
    <row r="77">
      <c r="A77" s="33" t="n"/>
      <c r="B77" s="34" t="n"/>
      <c r="C77" s="34" t="n"/>
      <c r="D77" s="7">
        <f>IFERROR(VLOOKUP(C77,'Recetas y precios'!$A$5:$B$54,2,FALSE),"")</f>
        <v/>
      </c>
      <c r="E77" s="34" t="n"/>
      <c r="F77" s="34" t="n"/>
      <c r="G77" s="34" t="n"/>
      <c r="H77" s="34" t="n"/>
      <c r="I77" s="35">
        <f>IFERROR(H77/(G77+H77),"")</f>
        <v/>
      </c>
      <c r="J77" s="13">
        <f>IFERROR(H77*VLOOKUP(C77,'Recetas y precios'!$A$5:$P$54,16,FALSE),"")</f>
        <v/>
      </c>
      <c r="K77" s="34" t="n"/>
      <c r="L77" s="34" t="n"/>
    </row>
    <row r="78">
      <c r="A78" s="33" t="n"/>
      <c r="B78" s="34" t="n"/>
      <c r="C78" s="34" t="n"/>
      <c r="D78" s="7">
        <f>IFERROR(VLOOKUP(C78,'Recetas y precios'!$A$5:$B$54,2,FALSE),"")</f>
        <v/>
      </c>
      <c r="E78" s="34" t="n"/>
      <c r="F78" s="34" t="n"/>
      <c r="G78" s="34" t="n"/>
      <c r="H78" s="34" t="n"/>
      <c r="I78" s="35">
        <f>IFERROR(H78/(G78+H78),"")</f>
        <v/>
      </c>
      <c r="J78" s="13">
        <f>IFERROR(H78*VLOOKUP(C78,'Recetas y precios'!$A$5:$P$54,16,FALSE),"")</f>
        <v/>
      </c>
      <c r="K78" s="34" t="n"/>
      <c r="L78" s="34" t="n"/>
    </row>
    <row r="79">
      <c r="A79" s="33" t="n"/>
      <c r="B79" s="34" t="n"/>
      <c r="C79" s="34" t="n"/>
      <c r="D79" s="7">
        <f>IFERROR(VLOOKUP(C79,'Recetas y precios'!$A$5:$B$54,2,FALSE),"")</f>
        <v/>
      </c>
      <c r="E79" s="34" t="n"/>
      <c r="F79" s="34" t="n"/>
      <c r="G79" s="34" t="n"/>
      <c r="H79" s="34" t="n"/>
      <c r="I79" s="35">
        <f>IFERROR(H79/(G79+H79),"")</f>
        <v/>
      </c>
      <c r="J79" s="13">
        <f>IFERROR(H79*VLOOKUP(C79,'Recetas y precios'!$A$5:$P$54,16,FALSE),"")</f>
        <v/>
      </c>
      <c r="K79" s="34" t="n"/>
      <c r="L79" s="34" t="n"/>
    </row>
    <row r="80">
      <c r="A80" s="33" t="n"/>
      <c r="B80" s="34" t="n"/>
      <c r="C80" s="34" t="n"/>
      <c r="D80" s="7">
        <f>IFERROR(VLOOKUP(C80,'Recetas y precios'!$A$5:$B$54,2,FALSE),"")</f>
        <v/>
      </c>
      <c r="E80" s="34" t="n"/>
      <c r="F80" s="34" t="n"/>
      <c r="G80" s="34" t="n"/>
      <c r="H80" s="34" t="n"/>
      <c r="I80" s="35">
        <f>IFERROR(H80/(G80+H80),"")</f>
        <v/>
      </c>
      <c r="J80" s="13">
        <f>IFERROR(H80*VLOOKUP(C80,'Recetas y precios'!$A$5:$P$54,16,FALSE),"")</f>
        <v/>
      </c>
      <c r="K80" s="34" t="n"/>
      <c r="L80" s="34" t="n"/>
    </row>
    <row r="81">
      <c r="A81" s="33" t="n"/>
      <c r="B81" s="34" t="n"/>
      <c r="C81" s="34" t="n"/>
      <c r="D81" s="7">
        <f>IFERROR(VLOOKUP(C81,'Recetas y precios'!$A$5:$B$54,2,FALSE),"")</f>
        <v/>
      </c>
      <c r="E81" s="34" t="n"/>
      <c r="F81" s="34" t="n"/>
      <c r="G81" s="34" t="n"/>
      <c r="H81" s="34" t="n"/>
      <c r="I81" s="35">
        <f>IFERROR(H81/(G81+H81),"")</f>
        <v/>
      </c>
      <c r="J81" s="13">
        <f>IFERROR(H81*VLOOKUP(C81,'Recetas y precios'!$A$5:$P$54,16,FALSE),"")</f>
        <v/>
      </c>
      <c r="K81" s="34" t="n"/>
      <c r="L81" s="34" t="n"/>
    </row>
    <row r="82">
      <c r="A82" s="33" t="n"/>
      <c r="B82" s="34" t="n"/>
      <c r="C82" s="34" t="n"/>
      <c r="D82" s="7">
        <f>IFERROR(VLOOKUP(C82,'Recetas y precios'!$A$5:$B$54,2,FALSE),"")</f>
        <v/>
      </c>
      <c r="E82" s="34" t="n"/>
      <c r="F82" s="34" t="n"/>
      <c r="G82" s="34" t="n"/>
      <c r="H82" s="34" t="n"/>
      <c r="I82" s="35">
        <f>IFERROR(H82/(G82+H82),"")</f>
        <v/>
      </c>
      <c r="J82" s="13">
        <f>IFERROR(H82*VLOOKUP(C82,'Recetas y precios'!$A$5:$P$54,16,FALSE),"")</f>
        <v/>
      </c>
      <c r="K82" s="34" t="n"/>
      <c r="L82" s="34" t="n"/>
    </row>
    <row r="83">
      <c r="A83" s="33" t="n"/>
      <c r="B83" s="34" t="n"/>
      <c r="C83" s="34" t="n"/>
      <c r="D83" s="7">
        <f>IFERROR(VLOOKUP(C83,'Recetas y precios'!$A$5:$B$54,2,FALSE),"")</f>
        <v/>
      </c>
      <c r="E83" s="34" t="n"/>
      <c r="F83" s="34" t="n"/>
      <c r="G83" s="34" t="n"/>
      <c r="H83" s="34" t="n"/>
      <c r="I83" s="35">
        <f>IFERROR(H83/(G83+H83),"")</f>
        <v/>
      </c>
      <c r="J83" s="13">
        <f>IFERROR(H83*VLOOKUP(C83,'Recetas y precios'!$A$5:$P$54,16,FALSE),"")</f>
        <v/>
      </c>
      <c r="K83" s="34" t="n"/>
      <c r="L83" s="34" t="n"/>
    </row>
    <row r="84">
      <c r="A84" s="33" t="n"/>
      <c r="B84" s="34" t="n"/>
      <c r="C84" s="34" t="n"/>
      <c r="D84" s="7">
        <f>IFERROR(VLOOKUP(C84,'Recetas y precios'!$A$5:$B$54,2,FALSE),"")</f>
        <v/>
      </c>
      <c r="E84" s="34" t="n"/>
      <c r="F84" s="34" t="n"/>
      <c r="G84" s="34" t="n"/>
      <c r="H84" s="34" t="n"/>
      <c r="I84" s="35">
        <f>IFERROR(H84/(G84+H84),"")</f>
        <v/>
      </c>
      <c r="J84" s="13">
        <f>IFERROR(H84*VLOOKUP(C84,'Recetas y precios'!$A$5:$P$54,16,FALSE),"")</f>
        <v/>
      </c>
      <c r="K84" s="34" t="n"/>
      <c r="L84" s="34" t="n"/>
    </row>
    <row r="85">
      <c r="A85" s="33" t="n"/>
      <c r="B85" s="34" t="n"/>
      <c r="C85" s="34" t="n"/>
      <c r="D85" s="7">
        <f>IFERROR(VLOOKUP(C85,'Recetas y precios'!$A$5:$B$54,2,FALSE),"")</f>
        <v/>
      </c>
      <c r="E85" s="34" t="n"/>
      <c r="F85" s="34" t="n"/>
      <c r="G85" s="34" t="n"/>
      <c r="H85" s="34" t="n"/>
      <c r="I85" s="35">
        <f>IFERROR(H85/(G85+H85),"")</f>
        <v/>
      </c>
      <c r="J85" s="13">
        <f>IFERROR(H85*VLOOKUP(C85,'Recetas y precios'!$A$5:$P$54,16,FALSE),"")</f>
        <v/>
      </c>
      <c r="K85" s="34" t="n"/>
      <c r="L85" s="34" t="n"/>
    </row>
    <row r="86">
      <c r="A86" s="33" t="n"/>
      <c r="B86" s="34" t="n"/>
      <c r="C86" s="34" t="n"/>
      <c r="D86" s="7">
        <f>IFERROR(VLOOKUP(C86,'Recetas y precios'!$A$5:$B$54,2,FALSE),"")</f>
        <v/>
      </c>
      <c r="E86" s="34" t="n"/>
      <c r="F86" s="34" t="n"/>
      <c r="G86" s="34" t="n"/>
      <c r="H86" s="34" t="n"/>
      <c r="I86" s="35">
        <f>IFERROR(H86/(G86+H86),"")</f>
        <v/>
      </c>
      <c r="J86" s="13">
        <f>IFERROR(H86*VLOOKUP(C86,'Recetas y precios'!$A$5:$P$54,16,FALSE),"")</f>
        <v/>
      </c>
      <c r="K86" s="34" t="n"/>
      <c r="L86" s="34" t="n"/>
    </row>
    <row r="87">
      <c r="A87" s="33" t="n"/>
      <c r="B87" s="34" t="n"/>
      <c r="C87" s="34" t="n"/>
      <c r="D87" s="7">
        <f>IFERROR(VLOOKUP(C87,'Recetas y precios'!$A$5:$B$54,2,FALSE),"")</f>
        <v/>
      </c>
      <c r="E87" s="34" t="n"/>
      <c r="F87" s="34" t="n"/>
      <c r="G87" s="34" t="n"/>
      <c r="H87" s="34" t="n"/>
      <c r="I87" s="35">
        <f>IFERROR(H87/(G87+H87),"")</f>
        <v/>
      </c>
      <c r="J87" s="13">
        <f>IFERROR(H87*VLOOKUP(C87,'Recetas y precios'!$A$5:$P$54,16,FALSE),"")</f>
        <v/>
      </c>
      <c r="K87" s="34" t="n"/>
      <c r="L87" s="34" t="n"/>
    </row>
    <row r="88">
      <c r="A88" s="33" t="n"/>
      <c r="B88" s="34" t="n"/>
      <c r="C88" s="34" t="n"/>
      <c r="D88" s="7">
        <f>IFERROR(VLOOKUP(C88,'Recetas y precios'!$A$5:$B$54,2,FALSE),"")</f>
        <v/>
      </c>
      <c r="E88" s="34" t="n"/>
      <c r="F88" s="34" t="n"/>
      <c r="G88" s="34" t="n"/>
      <c r="H88" s="34" t="n"/>
      <c r="I88" s="35">
        <f>IFERROR(H88/(G88+H88),"")</f>
        <v/>
      </c>
      <c r="J88" s="13">
        <f>IFERROR(H88*VLOOKUP(C88,'Recetas y precios'!$A$5:$P$54,16,FALSE),"")</f>
        <v/>
      </c>
      <c r="K88" s="34" t="n"/>
      <c r="L88" s="34" t="n"/>
    </row>
    <row r="89">
      <c r="A89" s="33" t="n"/>
      <c r="B89" s="34" t="n"/>
      <c r="C89" s="34" t="n"/>
      <c r="D89" s="7">
        <f>IFERROR(VLOOKUP(C89,'Recetas y precios'!$A$5:$B$54,2,FALSE),"")</f>
        <v/>
      </c>
      <c r="E89" s="34" t="n"/>
      <c r="F89" s="34" t="n"/>
      <c r="G89" s="34" t="n"/>
      <c r="H89" s="34" t="n"/>
      <c r="I89" s="35">
        <f>IFERROR(H89/(G89+H89),"")</f>
        <v/>
      </c>
      <c r="J89" s="13">
        <f>IFERROR(H89*VLOOKUP(C89,'Recetas y precios'!$A$5:$P$54,16,FALSE),"")</f>
        <v/>
      </c>
      <c r="K89" s="34" t="n"/>
      <c r="L89" s="34" t="n"/>
    </row>
    <row r="90">
      <c r="A90" s="33" t="n"/>
      <c r="B90" s="34" t="n"/>
      <c r="C90" s="34" t="n"/>
      <c r="D90" s="7">
        <f>IFERROR(VLOOKUP(C90,'Recetas y precios'!$A$5:$B$54,2,FALSE),"")</f>
        <v/>
      </c>
      <c r="E90" s="34" t="n"/>
      <c r="F90" s="34" t="n"/>
      <c r="G90" s="34" t="n"/>
      <c r="H90" s="34" t="n"/>
      <c r="I90" s="35">
        <f>IFERROR(H90/(G90+H90),"")</f>
        <v/>
      </c>
      <c r="J90" s="13">
        <f>IFERROR(H90*VLOOKUP(C90,'Recetas y precios'!$A$5:$P$54,16,FALSE),"")</f>
        <v/>
      </c>
      <c r="K90" s="34" t="n"/>
      <c r="L90" s="34" t="n"/>
    </row>
    <row r="91">
      <c r="A91" s="33" t="n"/>
      <c r="B91" s="34" t="n"/>
      <c r="C91" s="34" t="n"/>
      <c r="D91" s="7">
        <f>IFERROR(VLOOKUP(C91,'Recetas y precios'!$A$5:$B$54,2,FALSE),"")</f>
        <v/>
      </c>
      <c r="E91" s="34" t="n"/>
      <c r="F91" s="34" t="n"/>
      <c r="G91" s="34" t="n"/>
      <c r="H91" s="34" t="n"/>
      <c r="I91" s="35">
        <f>IFERROR(H91/(G91+H91),"")</f>
        <v/>
      </c>
      <c r="J91" s="13">
        <f>IFERROR(H91*VLOOKUP(C91,'Recetas y precios'!$A$5:$P$54,16,FALSE),"")</f>
        <v/>
      </c>
      <c r="K91" s="34" t="n"/>
      <c r="L91" s="34" t="n"/>
    </row>
    <row r="92">
      <c r="A92" s="33" t="n"/>
      <c r="B92" s="34" t="n"/>
      <c r="C92" s="34" t="n"/>
      <c r="D92" s="7">
        <f>IFERROR(VLOOKUP(C92,'Recetas y precios'!$A$5:$B$54,2,FALSE),"")</f>
        <v/>
      </c>
      <c r="E92" s="34" t="n"/>
      <c r="F92" s="34" t="n"/>
      <c r="G92" s="34" t="n"/>
      <c r="H92" s="34" t="n"/>
      <c r="I92" s="35">
        <f>IFERROR(H92/(G92+H92),"")</f>
        <v/>
      </c>
      <c r="J92" s="13">
        <f>IFERROR(H92*VLOOKUP(C92,'Recetas y precios'!$A$5:$P$54,16,FALSE),"")</f>
        <v/>
      </c>
      <c r="K92" s="34" t="n"/>
      <c r="L92" s="34" t="n"/>
    </row>
    <row r="93">
      <c r="A93" s="33" t="n"/>
      <c r="B93" s="34" t="n"/>
      <c r="C93" s="34" t="n"/>
      <c r="D93" s="7">
        <f>IFERROR(VLOOKUP(C93,'Recetas y precios'!$A$5:$B$54,2,FALSE),"")</f>
        <v/>
      </c>
      <c r="E93" s="34" t="n"/>
      <c r="F93" s="34" t="n"/>
      <c r="G93" s="34" t="n"/>
      <c r="H93" s="34" t="n"/>
      <c r="I93" s="35">
        <f>IFERROR(H93/(G93+H93),"")</f>
        <v/>
      </c>
      <c r="J93" s="13">
        <f>IFERROR(H93*VLOOKUP(C93,'Recetas y precios'!$A$5:$P$54,16,FALSE),"")</f>
        <v/>
      </c>
      <c r="K93" s="34" t="n"/>
      <c r="L93" s="34" t="n"/>
    </row>
    <row r="94">
      <c r="A94" s="33" t="n"/>
      <c r="B94" s="34" t="n"/>
      <c r="C94" s="34" t="n"/>
      <c r="D94" s="7">
        <f>IFERROR(VLOOKUP(C94,'Recetas y precios'!$A$5:$B$54,2,FALSE),"")</f>
        <v/>
      </c>
      <c r="E94" s="34" t="n"/>
      <c r="F94" s="34" t="n"/>
      <c r="G94" s="34" t="n"/>
      <c r="H94" s="34" t="n"/>
      <c r="I94" s="35">
        <f>IFERROR(H94/(G94+H94),"")</f>
        <v/>
      </c>
      <c r="J94" s="13">
        <f>IFERROR(H94*VLOOKUP(C94,'Recetas y precios'!$A$5:$P$54,16,FALSE),"")</f>
        <v/>
      </c>
      <c r="K94" s="34" t="n"/>
      <c r="L94" s="34" t="n"/>
    </row>
    <row r="95">
      <c r="A95" s="33" t="n"/>
      <c r="B95" s="34" t="n"/>
      <c r="C95" s="34" t="n"/>
      <c r="D95" s="7">
        <f>IFERROR(VLOOKUP(C95,'Recetas y precios'!$A$5:$B$54,2,FALSE),"")</f>
        <v/>
      </c>
      <c r="E95" s="34" t="n"/>
      <c r="F95" s="34" t="n"/>
      <c r="G95" s="34" t="n"/>
      <c r="H95" s="34" t="n"/>
      <c r="I95" s="35">
        <f>IFERROR(H95/(G95+H95),"")</f>
        <v/>
      </c>
      <c r="J95" s="13">
        <f>IFERROR(H95*VLOOKUP(C95,'Recetas y precios'!$A$5:$P$54,16,FALSE),"")</f>
        <v/>
      </c>
      <c r="K95" s="34" t="n"/>
      <c r="L95" s="34" t="n"/>
    </row>
    <row r="96">
      <c r="A96" s="33" t="n"/>
      <c r="B96" s="34" t="n"/>
      <c r="C96" s="34" t="n"/>
      <c r="D96" s="7">
        <f>IFERROR(VLOOKUP(C96,'Recetas y precios'!$A$5:$B$54,2,FALSE),"")</f>
        <v/>
      </c>
      <c r="E96" s="34" t="n"/>
      <c r="F96" s="34" t="n"/>
      <c r="G96" s="34" t="n"/>
      <c r="H96" s="34" t="n"/>
      <c r="I96" s="35">
        <f>IFERROR(H96/(G96+H96),"")</f>
        <v/>
      </c>
      <c r="J96" s="13">
        <f>IFERROR(H96*VLOOKUP(C96,'Recetas y precios'!$A$5:$P$54,16,FALSE),"")</f>
        <v/>
      </c>
      <c r="K96" s="34" t="n"/>
      <c r="L96" s="34" t="n"/>
    </row>
    <row r="97">
      <c r="A97" s="33" t="n"/>
      <c r="B97" s="34" t="n"/>
      <c r="C97" s="34" t="n"/>
      <c r="D97" s="7">
        <f>IFERROR(VLOOKUP(C97,'Recetas y precios'!$A$5:$B$54,2,FALSE),"")</f>
        <v/>
      </c>
      <c r="E97" s="34" t="n"/>
      <c r="F97" s="34" t="n"/>
      <c r="G97" s="34" t="n"/>
      <c r="H97" s="34" t="n"/>
      <c r="I97" s="35">
        <f>IFERROR(H97/(G97+H97),"")</f>
        <v/>
      </c>
      <c r="J97" s="13">
        <f>IFERROR(H97*VLOOKUP(C97,'Recetas y precios'!$A$5:$P$54,16,FALSE),"")</f>
        <v/>
      </c>
      <c r="K97" s="34" t="n"/>
      <c r="L97" s="34" t="n"/>
    </row>
    <row r="98">
      <c r="A98" s="33" t="n"/>
      <c r="B98" s="34" t="n"/>
      <c r="C98" s="34" t="n"/>
      <c r="D98" s="7">
        <f>IFERROR(VLOOKUP(C98,'Recetas y precios'!$A$5:$B$54,2,FALSE),"")</f>
        <v/>
      </c>
      <c r="E98" s="34" t="n"/>
      <c r="F98" s="34" t="n"/>
      <c r="G98" s="34" t="n"/>
      <c r="H98" s="34" t="n"/>
      <c r="I98" s="35">
        <f>IFERROR(H98/(G98+H98),"")</f>
        <v/>
      </c>
      <c r="J98" s="13">
        <f>IFERROR(H98*VLOOKUP(C98,'Recetas y precios'!$A$5:$P$54,16,FALSE),"")</f>
        <v/>
      </c>
      <c r="K98" s="34" t="n"/>
      <c r="L98" s="34" t="n"/>
    </row>
    <row r="99">
      <c r="A99" s="33" t="n"/>
      <c r="B99" s="34" t="n"/>
      <c r="C99" s="34" t="n"/>
      <c r="D99" s="7">
        <f>IFERROR(VLOOKUP(C99,'Recetas y precios'!$A$5:$B$54,2,FALSE),"")</f>
        <v/>
      </c>
      <c r="E99" s="34" t="n"/>
      <c r="F99" s="34" t="n"/>
      <c r="G99" s="34" t="n"/>
      <c r="H99" s="34" t="n"/>
      <c r="I99" s="35">
        <f>IFERROR(H99/(G99+H99),"")</f>
        <v/>
      </c>
      <c r="J99" s="13">
        <f>IFERROR(H99*VLOOKUP(C99,'Recetas y precios'!$A$5:$P$54,16,FALSE),"")</f>
        <v/>
      </c>
      <c r="K99" s="34" t="n"/>
      <c r="L99" s="34" t="n"/>
    </row>
    <row r="100">
      <c r="A100" s="33" t="n"/>
      <c r="B100" s="34" t="n"/>
      <c r="C100" s="34" t="n"/>
      <c r="D100" s="7">
        <f>IFERROR(VLOOKUP(C100,'Recetas y precios'!$A$5:$B$54,2,FALSE),"")</f>
        <v/>
      </c>
      <c r="E100" s="34" t="n"/>
      <c r="F100" s="34" t="n"/>
      <c r="G100" s="34" t="n"/>
      <c r="H100" s="34" t="n"/>
      <c r="I100" s="35">
        <f>IFERROR(H100/(G100+H100),"")</f>
        <v/>
      </c>
      <c r="J100" s="13">
        <f>IFERROR(H100*VLOOKUP(C100,'Recetas y precios'!$A$5:$P$54,16,FALSE),"")</f>
        <v/>
      </c>
      <c r="K100" s="34" t="n"/>
      <c r="L100" s="34" t="n"/>
    </row>
    <row r="101">
      <c r="A101" s="33" t="n"/>
      <c r="B101" s="34" t="n"/>
      <c r="C101" s="34" t="n"/>
      <c r="D101" s="7">
        <f>IFERROR(VLOOKUP(C101,'Recetas y precios'!$A$5:$B$54,2,FALSE),"")</f>
        <v/>
      </c>
      <c r="E101" s="34" t="n"/>
      <c r="F101" s="34" t="n"/>
      <c r="G101" s="34" t="n"/>
      <c r="H101" s="34" t="n"/>
      <c r="I101" s="35">
        <f>IFERROR(H101/(G101+H101),"")</f>
        <v/>
      </c>
      <c r="J101" s="13">
        <f>IFERROR(H101*VLOOKUP(C101,'Recetas y precios'!$A$5:$P$54,16,FALSE),"")</f>
        <v/>
      </c>
      <c r="K101" s="34" t="n"/>
      <c r="L101" s="34" t="n"/>
    </row>
    <row r="102">
      <c r="A102" s="33" t="n"/>
      <c r="B102" s="34" t="n"/>
      <c r="C102" s="34" t="n"/>
      <c r="D102" s="7">
        <f>IFERROR(VLOOKUP(C102,'Recetas y precios'!$A$5:$B$54,2,FALSE),"")</f>
        <v/>
      </c>
      <c r="E102" s="34" t="n"/>
      <c r="F102" s="34" t="n"/>
      <c r="G102" s="34" t="n"/>
      <c r="H102" s="34" t="n"/>
      <c r="I102" s="35">
        <f>IFERROR(H102/(G102+H102),"")</f>
        <v/>
      </c>
      <c r="J102" s="13">
        <f>IFERROR(H102*VLOOKUP(C102,'Recetas y precios'!$A$5:$P$54,16,FALSE),"")</f>
        <v/>
      </c>
      <c r="K102" s="34" t="n"/>
      <c r="L102" s="34" t="n"/>
    </row>
    <row r="103">
      <c r="A103" s="33" t="n"/>
      <c r="B103" s="34" t="n"/>
      <c r="C103" s="34" t="n"/>
      <c r="D103" s="7">
        <f>IFERROR(VLOOKUP(C103,'Recetas y precios'!$A$5:$B$54,2,FALSE),"")</f>
        <v/>
      </c>
      <c r="E103" s="34" t="n"/>
      <c r="F103" s="34" t="n"/>
      <c r="G103" s="34" t="n"/>
      <c r="H103" s="34" t="n"/>
      <c r="I103" s="35">
        <f>IFERROR(H103/(G103+H103),"")</f>
        <v/>
      </c>
      <c r="J103" s="13">
        <f>IFERROR(H103*VLOOKUP(C103,'Recetas y precios'!$A$5:$P$54,16,FALSE),"")</f>
        <v/>
      </c>
      <c r="K103" s="34" t="n"/>
      <c r="L103" s="34" t="n"/>
    </row>
    <row r="104">
      <c r="A104" s="33" t="n"/>
      <c r="B104" s="34" t="n"/>
      <c r="C104" s="34" t="n"/>
      <c r="D104" s="7">
        <f>IFERROR(VLOOKUP(C104,'Recetas y precios'!$A$5:$B$54,2,FALSE),"")</f>
        <v/>
      </c>
      <c r="E104" s="34" t="n"/>
      <c r="F104" s="34" t="n"/>
      <c r="G104" s="34" t="n"/>
      <c r="H104" s="34" t="n"/>
      <c r="I104" s="35">
        <f>IFERROR(H104/(G104+H104),"")</f>
        <v/>
      </c>
      <c r="J104" s="13">
        <f>IFERROR(H104*VLOOKUP(C104,'Recetas y precios'!$A$5:$P$54,16,FALSE),"")</f>
        <v/>
      </c>
      <c r="K104" s="34" t="n"/>
      <c r="L104" s="34" t="n"/>
    </row>
    <row r="105">
      <c r="A105" s="33" t="n"/>
      <c r="B105" s="34" t="n"/>
      <c r="C105" s="34" t="n"/>
      <c r="D105" s="7">
        <f>IFERROR(VLOOKUP(C105,'Recetas y precios'!$A$5:$B$54,2,FALSE),"")</f>
        <v/>
      </c>
      <c r="E105" s="34" t="n"/>
      <c r="F105" s="34" t="n"/>
      <c r="G105" s="34" t="n"/>
      <c r="H105" s="34" t="n"/>
      <c r="I105" s="35">
        <f>IFERROR(H105/(G105+H105),"")</f>
        <v/>
      </c>
      <c r="J105" s="13">
        <f>IFERROR(H105*VLOOKUP(C105,'Recetas y precios'!$A$5:$P$54,16,FALSE),"")</f>
        <v/>
      </c>
      <c r="K105" s="34" t="n"/>
      <c r="L105" s="34" t="n"/>
    </row>
    <row r="106">
      <c r="A106" s="33" t="n"/>
      <c r="B106" s="34" t="n"/>
      <c r="C106" s="34" t="n"/>
      <c r="D106" s="7">
        <f>IFERROR(VLOOKUP(C106,'Recetas y precios'!$A$5:$B$54,2,FALSE),"")</f>
        <v/>
      </c>
      <c r="E106" s="34" t="n"/>
      <c r="F106" s="34" t="n"/>
      <c r="G106" s="34" t="n"/>
      <c r="H106" s="34" t="n"/>
      <c r="I106" s="35">
        <f>IFERROR(H106/(G106+H106),"")</f>
        <v/>
      </c>
      <c r="J106" s="13">
        <f>IFERROR(H106*VLOOKUP(C106,'Recetas y precios'!$A$5:$P$54,16,FALSE),"")</f>
        <v/>
      </c>
      <c r="K106" s="34" t="n"/>
      <c r="L106" s="34" t="n"/>
    </row>
    <row r="107">
      <c r="A107" s="33" t="n"/>
      <c r="B107" s="34" t="n"/>
      <c r="C107" s="34" t="n"/>
      <c r="D107" s="7">
        <f>IFERROR(VLOOKUP(C107,'Recetas y precios'!$A$5:$B$54,2,FALSE),"")</f>
        <v/>
      </c>
      <c r="E107" s="34" t="n"/>
      <c r="F107" s="34" t="n"/>
      <c r="G107" s="34" t="n"/>
      <c r="H107" s="34" t="n"/>
      <c r="I107" s="35">
        <f>IFERROR(H107/(G107+H107),"")</f>
        <v/>
      </c>
      <c r="J107" s="13">
        <f>IFERROR(H107*VLOOKUP(C107,'Recetas y precios'!$A$5:$P$54,16,FALSE),"")</f>
        <v/>
      </c>
      <c r="K107" s="34" t="n"/>
      <c r="L107" s="34" t="n"/>
    </row>
    <row r="108">
      <c r="A108" s="33" t="n"/>
      <c r="B108" s="34" t="n"/>
      <c r="C108" s="34" t="n"/>
      <c r="D108" s="7">
        <f>IFERROR(VLOOKUP(C108,'Recetas y precios'!$A$5:$B$54,2,FALSE),"")</f>
        <v/>
      </c>
      <c r="E108" s="34" t="n"/>
      <c r="F108" s="34" t="n"/>
      <c r="G108" s="34" t="n"/>
      <c r="H108" s="34" t="n"/>
      <c r="I108" s="35">
        <f>IFERROR(H108/(G108+H108),"")</f>
        <v/>
      </c>
      <c r="J108" s="13">
        <f>IFERROR(H108*VLOOKUP(C108,'Recetas y precios'!$A$5:$P$54,16,FALSE),"")</f>
        <v/>
      </c>
      <c r="K108" s="34" t="n"/>
      <c r="L108" s="34" t="n"/>
    </row>
    <row r="109">
      <c r="A109" s="33" t="n"/>
      <c r="B109" s="34" t="n"/>
      <c r="C109" s="34" t="n"/>
      <c r="D109" s="7">
        <f>IFERROR(VLOOKUP(C109,'Recetas y precios'!$A$5:$B$54,2,FALSE),"")</f>
        <v/>
      </c>
      <c r="E109" s="34" t="n"/>
      <c r="F109" s="34" t="n"/>
      <c r="G109" s="34" t="n"/>
      <c r="H109" s="34" t="n"/>
      <c r="I109" s="35">
        <f>IFERROR(H109/(G109+H109),"")</f>
        <v/>
      </c>
      <c r="J109" s="13">
        <f>IFERROR(H109*VLOOKUP(C109,'Recetas y precios'!$A$5:$P$54,16,FALSE),"")</f>
        <v/>
      </c>
      <c r="K109" s="34" t="n"/>
      <c r="L109" s="34" t="n"/>
    </row>
    <row r="110">
      <c r="A110" s="33" t="n"/>
      <c r="B110" s="34" t="n"/>
      <c r="C110" s="34" t="n"/>
      <c r="D110" s="7">
        <f>IFERROR(VLOOKUP(C110,'Recetas y precios'!$A$5:$B$54,2,FALSE),"")</f>
        <v/>
      </c>
      <c r="E110" s="34" t="n"/>
      <c r="F110" s="34" t="n"/>
      <c r="G110" s="34" t="n"/>
      <c r="H110" s="34" t="n"/>
      <c r="I110" s="35">
        <f>IFERROR(H110/(G110+H110),"")</f>
        <v/>
      </c>
      <c r="J110" s="13">
        <f>IFERROR(H110*VLOOKUP(C110,'Recetas y precios'!$A$5:$P$54,16,FALSE),"")</f>
        <v/>
      </c>
      <c r="K110" s="34" t="n"/>
      <c r="L110" s="34" t="n"/>
    </row>
    <row r="111">
      <c r="A111" s="33" t="n"/>
      <c r="B111" s="34" t="n"/>
      <c r="C111" s="34" t="n"/>
      <c r="D111" s="7">
        <f>IFERROR(VLOOKUP(C111,'Recetas y precios'!$A$5:$B$54,2,FALSE),"")</f>
        <v/>
      </c>
      <c r="E111" s="34" t="n"/>
      <c r="F111" s="34" t="n"/>
      <c r="G111" s="34" t="n"/>
      <c r="H111" s="34" t="n"/>
      <c r="I111" s="35">
        <f>IFERROR(H111/(G111+H111),"")</f>
        <v/>
      </c>
      <c r="J111" s="13">
        <f>IFERROR(H111*VLOOKUP(C111,'Recetas y precios'!$A$5:$P$54,16,FALSE),"")</f>
        <v/>
      </c>
      <c r="K111" s="34" t="n"/>
      <c r="L111" s="34" t="n"/>
    </row>
    <row r="112">
      <c r="A112" s="33" t="n"/>
      <c r="B112" s="34" t="n"/>
      <c r="C112" s="34" t="n"/>
      <c r="D112" s="7">
        <f>IFERROR(VLOOKUP(C112,'Recetas y precios'!$A$5:$B$54,2,FALSE),"")</f>
        <v/>
      </c>
      <c r="E112" s="34" t="n"/>
      <c r="F112" s="34" t="n"/>
      <c r="G112" s="34" t="n"/>
      <c r="H112" s="34" t="n"/>
      <c r="I112" s="35">
        <f>IFERROR(H112/(G112+H112),"")</f>
        <v/>
      </c>
      <c r="J112" s="13">
        <f>IFERROR(H112*VLOOKUP(C112,'Recetas y precios'!$A$5:$P$54,16,FALSE),"")</f>
        <v/>
      </c>
      <c r="K112" s="34" t="n"/>
      <c r="L112" s="34" t="n"/>
    </row>
    <row r="113">
      <c r="A113" s="33" t="n"/>
      <c r="B113" s="34" t="n"/>
      <c r="C113" s="34" t="n"/>
      <c r="D113" s="7">
        <f>IFERROR(VLOOKUP(C113,'Recetas y precios'!$A$5:$B$54,2,FALSE),"")</f>
        <v/>
      </c>
      <c r="E113" s="34" t="n"/>
      <c r="F113" s="34" t="n"/>
      <c r="G113" s="34" t="n"/>
      <c r="H113" s="34" t="n"/>
      <c r="I113" s="35">
        <f>IFERROR(H113/(G113+H113),"")</f>
        <v/>
      </c>
      <c r="J113" s="13">
        <f>IFERROR(H113*VLOOKUP(C113,'Recetas y precios'!$A$5:$P$54,16,FALSE),"")</f>
        <v/>
      </c>
      <c r="K113" s="34" t="n"/>
      <c r="L113" s="34" t="n"/>
    </row>
    <row r="114">
      <c r="A114" s="33" t="n"/>
      <c r="B114" s="34" t="n"/>
      <c r="C114" s="34" t="n"/>
      <c r="D114" s="7">
        <f>IFERROR(VLOOKUP(C114,'Recetas y precios'!$A$5:$B$54,2,FALSE),"")</f>
        <v/>
      </c>
      <c r="E114" s="34" t="n"/>
      <c r="F114" s="34" t="n"/>
      <c r="G114" s="34" t="n"/>
      <c r="H114" s="34" t="n"/>
      <c r="I114" s="35">
        <f>IFERROR(H114/(G114+H114),"")</f>
        <v/>
      </c>
      <c r="J114" s="13">
        <f>IFERROR(H114*VLOOKUP(C114,'Recetas y precios'!$A$5:$P$54,16,FALSE),"")</f>
        <v/>
      </c>
      <c r="K114" s="34" t="n"/>
      <c r="L114" s="34" t="n"/>
    </row>
    <row r="115">
      <c r="A115" s="33" t="n"/>
      <c r="B115" s="34" t="n"/>
      <c r="C115" s="34" t="n"/>
      <c r="D115" s="7">
        <f>IFERROR(VLOOKUP(C115,'Recetas y precios'!$A$5:$B$54,2,FALSE),"")</f>
        <v/>
      </c>
      <c r="E115" s="34" t="n"/>
      <c r="F115" s="34" t="n"/>
      <c r="G115" s="34" t="n"/>
      <c r="H115" s="34" t="n"/>
      <c r="I115" s="35">
        <f>IFERROR(H115/(G115+H115),"")</f>
        <v/>
      </c>
      <c r="J115" s="13">
        <f>IFERROR(H115*VLOOKUP(C115,'Recetas y precios'!$A$5:$P$54,16,FALSE),"")</f>
        <v/>
      </c>
      <c r="K115" s="34" t="n"/>
      <c r="L115" s="34" t="n"/>
    </row>
    <row r="116">
      <c r="A116" s="33" t="n"/>
      <c r="B116" s="34" t="n"/>
      <c r="C116" s="34" t="n"/>
      <c r="D116" s="7">
        <f>IFERROR(VLOOKUP(C116,'Recetas y precios'!$A$5:$B$54,2,FALSE),"")</f>
        <v/>
      </c>
      <c r="E116" s="34" t="n"/>
      <c r="F116" s="34" t="n"/>
      <c r="G116" s="34" t="n"/>
      <c r="H116" s="34" t="n"/>
      <c r="I116" s="35">
        <f>IFERROR(H116/(G116+H116),"")</f>
        <v/>
      </c>
      <c r="J116" s="13">
        <f>IFERROR(H116*VLOOKUP(C116,'Recetas y precios'!$A$5:$P$54,16,FALSE),"")</f>
        <v/>
      </c>
      <c r="K116" s="34" t="n"/>
      <c r="L116" s="34" t="n"/>
    </row>
    <row r="117">
      <c r="A117" s="33" t="n"/>
      <c r="B117" s="34" t="n"/>
      <c r="C117" s="34" t="n"/>
      <c r="D117" s="7">
        <f>IFERROR(VLOOKUP(C117,'Recetas y precios'!$A$5:$B$54,2,FALSE),"")</f>
        <v/>
      </c>
      <c r="E117" s="34" t="n"/>
      <c r="F117" s="34" t="n"/>
      <c r="G117" s="34" t="n"/>
      <c r="H117" s="34" t="n"/>
      <c r="I117" s="35">
        <f>IFERROR(H117/(G117+H117),"")</f>
        <v/>
      </c>
      <c r="J117" s="13">
        <f>IFERROR(H117*VLOOKUP(C117,'Recetas y precios'!$A$5:$P$54,16,FALSE),"")</f>
        <v/>
      </c>
      <c r="K117" s="34" t="n"/>
      <c r="L117" s="34" t="n"/>
    </row>
    <row r="118">
      <c r="A118" s="33" t="n"/>
      <c r="B118" s="34" t="n"/>
      <c r="C118" s="34" t="n"/>
      <c r="D118" s="7">
        <f>IFERROR(VLOOKUP(C118,'Recetas y precios'!$A$5:$B$54,2,FALSE),"")</f>
        <v/>
      </c>
      <c r="E118" s="34" t="n"/>
      <c r="F118" s="34" t="n"/>
      <c r="G118" s="34" t="n"/>
      <c r="H118" s="34" t="n"/>
      <c r="I118" s="35">
        <f>IFERROR(H118/(G118+H118),"")</f>
        <v/>
      </c>
      <c r="J118" s="13">
        <f>IFERROR(H118*VLOOKUP(C118,'Recetas y precios'!$A$5:$P$54,16,FALSE),"")</f>
        <v/>
      </c>
      <c r="K118" s="34" t="n"/>
      <c r="L118" s="34" t="n"/>
    </row>
    <row r="119">
      <c r="A119" s="33" t="n"/>
      <c r="B119" s="34" t="n"/>
      <c r="C119" s="34" t="n"/>
      <c r="D119" s="7">
        <f>IFERROR(VLOOKUP(C119,'Recetas y precios'!$A$5:$B$54,2,FALSE),"")</f>
        <v/>
      </c>
      <c r="E119" s="34" t="n"/>
      <c r="F119" s="34" t="n"/>
      <c r="G119" s="34" t="n"/>
      <c r="H119" s="34" t="n"/>
      <c r="I119" s="35">
        <f>IFERROR(H119/(G119+H119),"")</f>
        <v/>
      </c>
      <c r="J119" s="13">
        <f>IFERROR(H119*VLOOKUP(C119,'Recetas y precios'!$A$5:$P$54,16,FALSE),"")</f>
        <v/>
      </c>
      <c r="K119" s="34" t="n"/>
      <c r="L119" s="34" t="n"/>
    </row>
    <row r="120">
      <c r="A120" s="33" t="n"/>
      <c r="B120" s="34" t="n"/>
      <c r="C120" s="34" t="n"/>
      <c r="D120" s="7">
        <f>IFERROR(VLOOKUP(C120,'Recetas y precios'!$A$5:$B$54,2,FALSE),"")</f>
        <v/>
      </c>
      <c r="E120" s="34" t="n"/>
      <c r="F120" s="34" t="n"/>
      <c r="G120" s="34" t="n"/>
      <c r="H120" s="34" t="n"/>
      <c r="I120" s="35">
        <f>IFERROR(H120/(G120+H120),"")</f>
        <v/>
      </c>
      <c r="J120" s="13">
        <f>IFERROR(H120*VLOOKUP(C120,'Recetas y precios'!$A$5:$P$54,16,FALSE),"")</f>
        <v/>
      </c>
      <c r="K120" s="34" t="n"/>
      <c r="L120" s="34" t="n"/>
    </row>
    <row r="121">
      <c r="A121" s="33" t="n"/>
      <c r="B121" s="34" t="n"/>
      <c r="C121" s="34" t="n"/>
      <c r="D121" s="7">
        <f>IFERROR(VLOOKUP(C121,'Recetas y precios'!$A$5:$B$54,2,FALSE),"")</f>
        <v/>
      </c>
      <c r="E121" s="34" t="n"/>
      <c r="F121" s="34" t="n"/>
      <c r="G121" s="34" t="n"/>
      <c r="H121" s="34" t="n"/>
      <c r="I121" s="35">
        <f>IFERROR(H121/(G121+H121),"")</f>
        <v/>
      </c>
      <c r="J121" s="13">
        <f>IFERROR(H121*VLOOKUP(C121,'Recetas y precios'!$A$5:$P$54,16,FALSE),"")</f>
        <v/>
      </c>
      <c r="K121" s="34" t="n"/>
      <c r="L121" s="34" t="n"/>
    </row>
    <row r="122">
      <c r="A122" s="33" t="n"/>
      <c r="B122" s="34" t="n"/>
      <c r="C122" s="34" t="n"/>
      <c r="D122" s="7">
        <f>IFERROR(VLOOKUP(C122,'Recetas y precios'!$A$5:$B$54,2,FALSE),"")</f>
        <v/>
      </c>
      <c r="E122" s="34" t="n"/>
      <c r="F122" s="34" t="n"/>
      <c r="G122" s="34" t="n"/>
      <c r="H122" s="34" t="n"/>
      <c r="I122" s="35">
        <f>IFERROR(H122/(G122+H122),"")</f>
        <v/>
      </c>
      <c r="J122" s="13">
        <f>IFERROR(H122*VLOOKUP(C122,'Recetas y precios'!$A$5:$P$54,16,FALSE),"")</f>
        <v/>
      </c>
      <c r="K122" s="34" t="n"/>
      <c r="L122" s="34" t="n"/>
    </row>
    <row r="123">
      <c r="A123" s="33" t="n"/>
      <c r="B123" s="34" t="n"/>
      <c r="C123" s="34" t="n"/>
      <c r="D123" s="7">
        <f>IFERROR(VLOOKUP(C123,'Recetas y precios'!$A$5:$B$54,2,FALSE),"")</f>
        <v/>
      </c>
      <c r="E123" s="34" t="n"/>
      <c r="F123" s="34" t="n"/>
      <c r="G123" s="34" t="n"/>
      <c r="H123" s="34" t="n"/>
      <c r="I123" s="35">
        <f>IFERROR(H123/(G123+H123),"")</f>
        <v/>
      </c>
      <c r="J123" s="13">
        <f>IFERROR(H123*VLOOKUP(C123,'Recetas y precios'!$A$5:$P$54,16,FALSE),"")</f>
        <v/>
      </c>
      <c r="K123" s="34" t="n"/>
      <c r="L123" s="34" t="n"/>
    </row>
    <row r="124">
      <c r="A124" s="33" t="n"/>
      <c r="B124" s="34" t="n"/>
      <c r="C124" s="34" t="n"/>
      <c r="D124" s="7">
        <f>IFERROR(VLOOKUP(C124,'Recetas y precios'!$A$5:$B$54,2,FALSE),"")</f>
        <v/>
      </c>
      <c r="E124" s="34" t="n"/>
      <c r="F124" s="34" t="n"/>
      <c r="G124" s="34" t="n"/>
      <c r="H124" s="34" t="n"/>
      <c r="I124" s="35">
        <f>IFERROR(H124/(G124+H124),"")</f>
        <v/>
      </c>
      <c r="J124" s="13">
        <f>IFERROR(H124*VLOOKUP(C124,'Recetas y precios'!$A$5:$P$54,16,FALSE),"")</f>
        <v/>
      </c>
      <c r="K124" s="34" t="n"/>
      <c r="L124" s="34" t="n"/>
    </row>
    <row r="125">
      <c r="A125" s="33" t="n"/>
      <c r="B125" s="34" t="n"/>
      <c r="C125" s="34" t="n"/>
      <c r="D125" s="7">
        <f>IFERROR(VLOOKUP(C125,'Recetas y precios'!$A$5:$B$54,2,FALSE),"")</f>
        <v/>
      </c>
      <c r="E125" s="34" t="n"/>
      <c r="F125" s="34" t="n"/>
      <c r="G125" s="34" t="n"/>
      <c r="H125" s="34" t="n"/>
      <c r="I125" s="35">
        <f>IFERROR(H125/(G125+H125),"")</f>
        <v/>
      </c>
      <c r="J125" s="13">
        <f>IFERROR(H125*VLOOKUP(C125,'Recetas y precios'!$A$5:$P$54,16,FALSE),"")</f>
        <v/>
      </c>
      <c r="K125" s="34" t="n"/>
      <c r="L125" s="34" t="n"/>
    </row>
    <row r="126">
      <c r="A126" s="33" t="n"/>
      <c r="B126" s="34" t="n"/>
      <c r="C126" s="34" t="n"/>
      <c r="D126" s="7">
        <f>IFERROR(VLOOKUP(C126,'Recetas y precios'!$A$5:$B$54,2,FALSE),"")</f>
        <v/>
      </c>
      <c r="E126" s="34" t="n"/>
      <c r="F126" s="34" t="n"/>
      <c r="G126" s="34" t="n"/>
      <c r="H126" s="34" t="n"/>
      <c r="I126" s="35">
        <f>IFERROR(H126/(G126+H126),"")</f>
        <v/>
      </c>
      <c r="J126" s="13">
        <f>IFERROR(H126*VLOOKUP(C126,'Recetas y precios'!$A$5:$P$54,16,FALSE),"")</f>
        <v/>
      </c>
      <c r="K126" s="34" t="n"/>
      <c r="L126" s="34" t="n"/>
    </row>
    <row r="127">
      <c r="A127" s="33" t="n"/>
      <c r="B127" s="34" t="n"/>
      <c r="C127" s="34" t="n"/>
      <c r="D127" s="7">
        <f>IFERROR(VLOOKUP(C127,'Recetas y precios'!$A$5:$B$54,2,FALSE),"")</f>
        <v/>
      </c>
      <c r="E127" s="34" t="n"/>
      <c r="F127" s="34" t="n"/>
      <c r="G127" s="34" t="n"/>
      <c r="H127" s="34" t="n"/>
      <c r="I127" s="35">
        <f>IFERROR(H127/(G127+H127),"")</f>
        <v/>
      </c>
      <c r="J127" s="13">
        <f>IFERROR(H127*VLOOKUP(C127,'Recetas y precios'!$A$5:$P$54,16,FALSE),"")</f>
        <v/>
      </c>
      <c r="K127" s="34" t="n"/>
      <c r="L127" s="34" t="n"/>
    </row>
    <row r="128">
      <c r="A128" s="33" t="n"/>
      <c r="B128" s="34" t="n"/>
      <c r="C128" s="34" t="n"/>
      <c r="D128" s="7">
        <f>IFERROR(VLOOKUP(C128,'Recetas y precios'!$A$5:$B$54,2,FALSE),"")</f>
        <v/>
      </c>
      <c r="E128" s="34" t="n"/>
      <c r="F128" s="34" t="n"/>
      <c r="G128" s="34" t="n"/>
      <c r="H128" s="34" t="n"/>
      <c r="I128" s="35">
        <f>IFERROR(H128/(G128+H128),"")</f>
        <v/>
      </c>
      <c r="J128" s="13">
        <f>IFERROR(H128*VLOOKUP(C128,'Recetas y precios'!$A$5:$P$54,16,FALSE),"")</f>
        <v/>
      </c>
      <c r="K128" s="34" t="n"/>
      <c r="L128" s="34" t="n"/>
    </row>
    <row r="129">
      <c r="A129" s="33" t="n"/>
      <c r="B129" s="34" t="n"/>
      <c r="C129" s="34" t="n"/>
      <c r="D129" s="7">
        <f>IFERROR(VLOOKUP(C129,'Recetas y precios'!$A$5:$B$54,2,FALSE),"")</f>
        <v/>
      </c>
      <c r="E129" s="34" t="n"/>
      <c r="F129" s="34" t="n"/>
      <c r="G129" s="34" t="n"/>
      <c r="H129" s="34" t="n"/>
      <c r="I129" s="35">
        <f>IFERROR(H129/(G129+H129),"")</f>
        <v/>
      </c>
      <c r="J129" s="13">
        <f>IFERROR(H129*VLOOKUP(C129,'Recetas y precios'!$A$5:$P$54,16,FALSE),"")</f>
        <v/>
      </c>
      <c r="K129" s="34" t="n"/>
      <c r="L129" s="34" t="n"/>
    </row>
    <row r="130">
      <c r="A130" s="33" t="n"/>
      <c r="B130" s="34" t="n"/>
      <c r="C130" s="34" t="n"/>
      <c r="D130" s="7">
        <f>IFERROR(VLOOKUP(C130,'Recetas y precios'!$A$5:$B$54,2,FALSE),"")</f>
        <v/>
      </c>
      <c r="E130" s="34" t="n"/>
      <c r="F130" s="34" t="n"/>
      <c r="G130" s="34" t="n"/>
      <c r="H130" s="34" t="n"/>
      <c r="I130" s="35">
        <f>IFERROR(H130/(G130+H130),"")</f>
        <v/>
      </c>
      <c r="J130" s="13">
        <f>IFERROR(H130*VLOOKUP(C130,'Recetas y precios'!$A$5:$P$54,16,FALSE),"")</f>
        <v/>
      </c>
      <c r="K130" s="34" t="n"/>
      <c r="L130" s="34" t="n"/>
    </row>
    <row r="131">
      <c r="A131" s="33" t="n"/>
      <c r="B131" s="34" t="n"/>
      <c r="C131" s="34" t="n"/>
      <c r="D131" s="7">
        <f>IFERROR(VLOOKUP(C131,'Recetas y precios'!$A$5:$B$54,2,FALSE),"")</f>
        <v/>
      </c>
      <c r="E131" s="34" t="n"/>
      <c r="F131" s="34" t="n"/>
      <c r="G131" s="34" t="n"/>
      <c r="H131" s="34" t="n"/>
      <c r="I131" s="35">
        <f>IFERROR(H131/(G131+H131),"")</f>
        <v/>
      </c>
      <c r="J131" s="13">
        <f>IFERROR(H131*VLOOKUP(C131,'Recetas y precios'!$A$5:$P$54,16,FALSE),"")</f>
        <v/>
      </c>
      <c r="K131" s="34" t="n"/>
      <c r="L131" s="34" t="n"/>
    </row>
    <row r="132">
      <c r="A132" s="33" t="n"/>
      <c r="B132" s="34" t="n"/>
      <c r="C132" s="34" t="n"/>
      <c r="D132" s="7">
        <f>IFERROR(VLOOKUP(C132,'Recetas y precios'!$A$5:$B$54,2,FALSE),"")</f>
        <v/>
      </c>
      <c r="E132" s="34" t="n"/>
      <c r="F132" s="34" t="n"/>
      <c r="G132" s="34" t="n"/>
      <c r="H132" s="34" t="n"/>
      <c r="I132" s="35">
        <f>IFERROR(H132/(G132+H132),"")</f>
        <v/>
      </c>
      <c r="J132" s="13">
        <f>IFERROR(H132*VLOOKUP(C132,'Recetas y precios'!$A$5:$P$54,16,FALSE),"")</f>
        <v/>
      </c>
      <c r="K132" s="34" t="n"/>
      <c r="L132" s="34" t="n"/>
    </row>
    <row r="133">
      <c r="A133" s="33" t="n"/>
      <c r="B133" s="34" t="n"/>
      <c r="C133" s="34" t="n"/>
      <c r="D133" s="7">
        <f>IFERROR(VLOOKUP(C133,'Recetas y precios'!$A$5:$B$54,2,FALSE),"")</f>
        <v/>
      </c>
      <c r="E133" s="34" t="n"/>
      <c r="F133" s="34" t="n"/>
      <c r="G133" s="34" t="n"/>
      <c r="H133" s="34" t="n"/>
      <c r="I133" s="35">
        <f>IFERROR(H133/(G133+H133),"")</f>
        <v/>
      </c>
      <c r="J133" s="13">
        <f>IFERROR(H133*VLOOKUP(C133,'Recetas y precios'!$A$5:$P$54,16,FALSE),"")</f>
        <v/>
      </c>
      <c r="K133" s="34" t="n"/>
      <c r="L133" s="34" t="n"/>
    </row>
    <row r="134">
      <c r="A134" s="33" t="n"/>
      <c r="B134" s="34" t="n"/>
      <c r="C134" s="34" t="n"/>
      <c r="D134" s="7">
        <f>IFERROR(VLOOKUP(C134,'Recetas y precios'!$A$5:$B$54,2,FALSE),"")</f>
        <v/>
      </c>
      <c r="E134" s="34" t="n"/>
      <c r="F134" s="34" t="n"/>
      <c r="G134" s="34" t="n"/>
      <c r="H134" s="34" t="n"/>
      <c r="I134" s="35">
        <f>IFERROR(H134/(G134+H134),"")</f>
        <v/>
      </c>
      <c r="J134" s="13">
        <f>IFERROR(H134*VLOOKUP(C134,'Recetas y precios'!$A$5:$P$54,16,FALSE),"")</f>
        <v/>
      </c>
      <c r="K134" s="34" t="n"/>
      <c r="L134" s="34" t="n"/>
    </row>
    <row r="135">
      <c r="A135" s="33" t="n"/>
      <c r="B135" s="34" t="n"/>
      <c r="C135" s="34" t="n"/>
      <c r="D135" s="7">
        <f>IFERROR(VLOOKUP(C135,'Recetas y precios'!$A$5:$B$54,2,FALSE),"")</f>
        <v/>
      </c>
      <c r="E135" s="34" t="n"/>
      <c r="F135" s="34" t="n"/>
      <c r="G135" s="34" t="n"/>
      <c r="H135" s="34" t="n"/>
      <c r="I135" s="35">
        <f>IFERROR(H135/(G135+H135),"")</f>
        <v/>
      </c>
      <c r="J135" s="13">
        <f>IFERROR(H135*VLOOKUP(C135,'Recetas y precios'!$A$5:$P$54,16,FALSE),"")</f>
        <v/>
      </c>
      <c r="K135" s="34" t="n"/>
      <c r="L135" s="34" t="n"/>
    </row>
    <row r="136">
      <c r="A136" s="33" t="n"/>
      <c r="B136" s="34" t="n"/>
      <c r="C136" s="34" t="n"/>
      <c r="D136" s="7">
        <f>IFERROR(VLOOKUP(C136,'Recetas y precios'!$A$5:$B$54,2,FALSE),"")</f>
        <v/>
      </c>
      <c r="E136" s="34" t="n"/>
      <c r="F136" s="34" t="n"/>
      <c r="G136" s="34" t="n"/>
      <c r="H136" s="34" t="n"/>
      <c r="I136" s="35">
        <f>IFERROR(H136/(G136+H136),"")</f>
        <v/>
      </c>
      <c r="J136" s="13">
        <f>IFERROR(H136*VLOOKUP(C136,'Recetas y precios'!$A$5:$P$54,16,FALSE),"")</f>
        <v/>
      </c>
      <c r="K136" s="34" t="n"/>
      <c r="L136" s="34" t="n"/>
    </row>
    <row r="137">
      <c r="A137" s="33" t="n"/>
      <c r="B137" s="34" t="n"/>
      <c r="C137" s="34" t="n"/>
      <c r="D137" s="7">
        <f>IFERROR(VLOOKUP(C137,'Recetas y precios'!$A$5:$B$54,2,FALSE),"")</f>
        <v/>
      </c>
      <c r="E137" s="34" t="n"/>
      <c r="F137" s="34" t="n"/>
      <c r="G137" s="34" t="n"/>
      <c r="H137" s="34" t="n"/>
      <c r="I137" s="35">
        <f>IFERROR(H137/(G137+H137),"")</f>
        <v/>
      </c>
      <c r="J137" s="13">
        <f>IFERROR(H137*VLOOKUP(C137,'Recetas y precios'!$A$5:$P$54,16,FALSE),"")</f>
        <v/>
      </c>
      <c r="K137" s="34" t="n"/>
      <c r="L137" s="34" t="n"/>
    </row>
    <row r="138">
      <c r="A138" s="33" t="n"/>
      <c r="B138" s="34" t="n"/>
      <c r="C138" s="34" t="n"/>
      <c r="D138" s="7">
        <f>IFERROR(VLOOKUP(C138,'Recetas y precios'!$A$5:$B$54,2,FALSE),"")</f>
        <v/>
      </c>
      <c r="E138" s="34" t="n"/>
      <c r="F138" s="34" t="n"/>
      <c r="G138" s="34" t="n"/>
      <c r="H138" s="34" t="n"/>
      <c r="I138" s="35">
        <f>IFERROR(H138/(G138+H138),"")</f>
        <v/>
      </c>
      <c r="J138" s="13">
        <f>IFERROR(H138*VLOOKUP(C138,'Recetas y precios'!$A$5:$P$54,16,FALSE),"")</f>
        <v/>
      </c>
      <c r="K138" s="34" t="n"/>
      <c r="L138" s="34" t="n"/>
    </row>
    <row r="139">
      <c r="A139" s="33" t="n"/>
      <c r="B139" s="34" t="n"/>
      <c r="C139" s="34" t="n"/>
      <c r="D139" s="7">
        <f>IFERROR(VLOOKUP(C139,'Recetas y precios'!$A$5:$B$54,2,FALSE),"")</f>
        <v/>
      </c>
      <c r="E139" s="34" t="n"/>
      <c r="F139" s="34" t="n"/>
      <c r="G139" s="34" t="n"/>
      <c r="H139" s="34" t="n"/>
      <c r="I139" s="35">
        <f>IFERROR(H139/(G139+H139),"")</f>
        <v/>
      </c>
      <c r="J139" s="13">
        <f>IFERROR(H139*VLOOKUP(C139,'Recetas y precios'!$A$5:$P$54,16,FALSE),"")</f>
        <v/>
      </c>
      <c r="K139" s="34" t="n"/>
      <c r="L139" s="34" t="n"/>
    </row>
    <row r="140">
      <c r="A140" s="33" t="n"/>
      <c r="B140" s="34" t="n"/>
      <c r="C140" s="34" t="n"/>
      <c r="D140" s="7">
        <f>IFERROR(VLOOKUP(C140,'Recetas y precios'!$A$5:$B$54,2,FALSE),"")</f>
        <v/>
      </c>
      <c r="E140" s="34" t="n"/>
      <c r="F140" s="34" t="n"/>
      <c r="G140" s="34" t="n"/>
      <c r="H140" s="34" t="n"/>
      <c r="I140" s="35">
        <f>IFERROR(H140/(G140+H140),"")</f>
        <v/>
      </c>
      <c r="J140" s="13">
        <f>IFERROR(H140*VLOOKUP(C140,'Recetas y precios'!$A$5:$P$54,16,FALSE),"")</f>
        <v/>
      </c>
      <c r="K140" s="34" t="n"/>
      <c r="L140" s="34" t="n"/>
    </row>
    <row r="141">
      <c r="A141" s="33" t="n"/>
      <c r="B141" s="34" t="n"/>
      <c r="C141" s="34" t="n"/>
      <c r="D141" s="7">
        <f>IFERROR(VLOOKUP(C141,'Recetas y precios'!$A$5:$B$54,2,FALSE),"")</f>
        <v/>
      </c>
      <c r="E141" s="34" t="n"/>
      <c r="F141" s="34" t="n"/>
      <c r="G141" s="34" t="n"/>
      <c r="H141" s="34" t="n"/>
      <c r="I141" s="35">
        <f>IFERROR(H141/(G141+H141),"")</f>
        <v/>
      </c>
      <c r="J141" s="13">
        <f>IFERROR(H141*VLOOKUP(C141,'Recetas y precios'!$A$5:$P$54,16,FALSE),"")</f>
        <v/>
      </c>
      <c r="K141" s="34" t="n"/>
      <c r="L141" s="34" t="n"/>
    </row>
    <row r="142">
      <c r="A142" s="33" t="n"/>
      <c r="B142" s="34" t="n"/>
      <c r="C142" s="34" t="n"/>
      <c r="D142" s="7">
        <f>IFERROR(VLOOKUP(C142,'Recetas y precios'!$A$5:$B$54,2,FALSE),"")</f>
        <v/>
      </c>
      <c r="E142" s="34" t="n"/>
      <c r="F142" s="34" t="n"/>
      <c r="G142" s="34" t="n"/>
      <c r="H142" s="34" t="n"/>
      <c r="I142" s="35">
        <f>IFERROR(H142/(G142+H142),"")</f>
        <v/>
      </c>
      <c r="J142" s="13">
        <f>IFERROR(H142*VLOOKUP(C142,'Recetas y precios'!$A$5:$P$54,16,FALSE),"")</f>
        <v/>
      </c>
      <c r="K142" s="34" t="n"/>
      <c r="L142" s="34" t="n"/>
    </row>
    <row r="143">
      <c r="A143" s="33" t="n"/>
      <c r="B143" s="34" t="n"/>
      <c r="C143" s="34" t="n"/>
      <c r="D143" s="7">
        <f>IFERROR(VLOOKUP(C143,'Recetas y precios'!$A$5:$B$54,2,FALSE),"")</f>
        <v/>
      </c>
      <c r="E143" s="34" t="n"/>
      <c r="F143" s="34" t="n"/>
      <c r="G143" s="34" t="n"/>
      <c r="H143" s="34" t="n"/>
      <c r="I143" s="35">
        <f>IFERROR(H143/(G143+H143),"")</f>
        <v/>
      </c>
      <c r="J143" s="13">
        <f>IFERROR(H143*VLOOKUP(C143,'Recetas y precios'!$A$5:$P$54,16,FALSE),"")</f>
        <v/>
      </c>
      <c r="K143" s="34" t="n"/>
      <c r="L143" s="34" t="n"/>
    </row>
    <row r="144">
      <c r="A144" s="33" t="n"/>
      <c r="B144" s="34" t="n"/>
      <c r="C144" s="34" t="n"/>
      <c r="D144" s="7">
        <f>IFERROR(VLOOKUP(C144,'Recetas y precios'!$A$5:$B$54,2,FALSE),"")</f>
        <v/>
      </c>
      <c r="E144" s="34" t="n"/>
      <c r="F144" s="34" t="n"/>
      <c r="G144" s="34" t="n"/>
      <c r="H144" s="34" t="n"/>
      <c r="I144" s="35">
        <f>IFERROR(H144/(G144+H144),"")</f>
        <v/>
      </c>
      <c r="J144" s="13">
        <f>IFERROR(H144*VLOOKUP(C144,'Recetas y precios'!$A$5:$P$54,16,FALSE),"")</f>
        <v/>
      </c>
      <c r="K144" s="34" t="n"/>
      <c r="L144" s="34" t="n"/>
    </row>
    <row r="145">
      <c r="A145" s="33" t="n"/>
      <c r="B145" s="34" t="n"/>
      <c r="C145" s="34" t="n"/>
      <c r="D145" s="7">
        <f>IFERROR(VLOOKUP(C145,'Recetas y precios'!$A$5:$B$54,2,FALSE),"")</f>
        <v/>
      </c>
      <c r="E145" s="34" t="n"/>
      <c r="F145" s="34" t="n"/>
      <c r="G145" s="34" t="n"/>
      <c r="H145" s="34" t="n"/>
      <c r="I145" s="35">
        <f>IFERROR(H145/(G145+H145),"")</f>
        <v/>
      </c>
      <c r="J145" s="13">
        <f>IFERROR(H145*VLOOKUP(C145,'Recetas y precios'!$A$5:$P$54,16,FALSE),"")</f>
        <v/>
      </c>
      <c r="K145" s="34" t="n"/>
      <c r="L145" s="34" t="n"/>
    </row>
    <row r="146">
      <c r="A146" s="33" t="n"/>
      <c r="B146" s="34" t="n"/>
      <c r="C146" s="34" t="n"/>
      <c r="D146" s="7">
        <f>IFERROR(VLOOKUP(C146,'Recetas y precios'!$A$5:$B$54,2,FALSE),"")</f>
        <v/>
      </c>
      <c r="E146" s="34" t="n"/>
      <c r="F146" s="34" t="n"/>
      <c r="G146" s="34" t="n"/>
      <c r="H146" s="34" t="n"/>
      <c r="I146" s="35">
        <f>IFERROR(H146/(G146+H146),"")</f>
        <v/>
      </c>
      <c r="J146" s="13">
        <f>IFERROR(H146*VLOOKUP(C146,'Recetas y precios'!$A$5:$P$54,16,FALSE),"")</f>
        <v/>
      </c>
      <c r="K146" s="34" t="n"/>
      <c r="L146" s="34" t="n"/>
    </row>
    <row r="147">
      <c r="A147" s="33" t="n"/>
      <c r="B147" s="34" t="n"/>
      <c r="C147" s="34" t="n"/>
      <c r="D147" s="7">
        <f>IFERROR(VLOOKUP(C147,'Recetas y precios'!$A$5:$B$54,2,FALSE),"")</f>
        <v/>
      </c>
      <c r="E147" s="34" t="n"/>
      <c r="F147" s="34" t="n"/>
      <c r="G147" s="34" t="n"/>
      <c r="H147" s="34" t="n"/>
      <c r="I147" s="35">
        <f>IFERROR(H147/(G147+H147),"")</f>
        <v/>
      </c>
      <c r="J147" s="13">
        <f>IFERROR(H147*VLOOKUP(C147,'Recetas y precios'!$A$5:$P$54,16,FALSE),"")</f>
        <v/>
      </c>
      <c r="K147" s="34" t="n"/>
      <c r="L147" s="34" t="n"/>
    </row>
    <row r="148">
      <c r="A148" s="33" t="n"/>
      <c r="B148" s="34" t="n"/>
      <c r="C148" s="34" t="n"/>
      <c r="D148" s="7">
        <f>IFERROR(VLOOKUP(C148,'Recetas y precios'!$A$5:$B$54,2,FALSE),"")</f>
        <v/>
      </c>
      <c r="E148" s="34" t="n"/>
      <c r="F148" s="34" t="n"/>
      <c r="G148" s="34" t="n"/>
      <c r="H148" s="34" t="n"/>
      <c r="I148" s="35">
        <f>IFERROR(H148/(G148+H148),"")</f>
        <v/>
      </c>
      <c r="J148" s="13">
        <f>IFERROR(H148*VLOOKUP(C148,'Recetas y precios'!$A$5:$P$54,16,FALSE),"")</f>
        <v/>
      </c>
      <c r="K148" s="34" t="n"/>
      <c r="L148" s="34" t="n"/>
    </row>
    <row r="149">
      <c r="A149" s="33" t="n"/>
      <c r="B149" s="34" t="n"/>
      <c r="C149" s="34" t="n"/>
      <c r="D149" s="7">
        <f>IFERROR(VLOOKUP(C149,'Recetas y precios'!$A$5:$B$54,2,FALSE),"")</f>
        <v/>
      </c>
      <c r="E149" s="34" t="n"/>
      <c r="F149" s="34" t="n"/>
      <c r="G149" s="34" t="n"/>
      <c r="H149" s="34" t="n"/>
      <c r="I149" s="35">
        <f>IFERROR(H149/(G149+H149),"")</f>
        <v/>
      </c>
      <c r="J149" s="13">
        <f>IFERROR(H149*VLOOKUP(C149,'Recetas y precios'!$A$5:$P$54,16,FALSE),"")</f>
        <v/>
      </c>
      <c r="K149" s="34" t="n"/>
      <c r="L149" s="34" t="n"/>
    </row>
    <row r="150">
      <c r="A150" s="33" t="n"/>
      <c r="B150" s="34" t="n"/>
      <c r="C150" s="34" t="n"/>
      <c r="D150" s="7">
        <f>IFERROR(VLOOKUP(C150,'Recetas y precios'!$A$5:$B$54,2,FALSE),"")</f>
        <v/>
      </c>
      <c r="E150" s="34" t="n"/>
      <c r="F150" s="34" t="n"/>
      <c r="G150" s="34" t="n"/>
      <c r="H150" s="34" t="n"/>
      <c r="I150" s="35">
        <f>IFERROR(H150/(G150+H150),"")</f>
        <v/>
      </c>
      <c r="J150" s="13">
        <f>IFERROR(H150*VLOOKUP(C150,'Recetas y precios'!$A$5:$P$54,16,FALSE),"")</f>
        <v/>
      </c>
      <c r="K150" s="34" t="n"/>
      <c r="L150" s="34" t="n"/>
    </row>
    <row r="151">
      <c r="A151" s="33" t="n"/>
      <c r="B151" s="34" t="n"/>
      <c r="C151" s="34" t="n"/>
      <c r="D151" s="7">
        <f>IFERROR(VLOOKUP(C151,'Recetas y precios'!$A$5:$B$54,2,FALSE),"")</f>
        <v/>
      </c>
      <c r="E151" s="34" t="n"/>
      <c r="F151" s="34" t="n"/>
      <c r="G151" s="34" t="n"/>
      <c r="H151" s="34" t="n"/>
      <c r="I151" s="35">
        <f>IFERROR(H151/(G151+H151),"")</f>
        <v/>
      </c>
      <c r="J151" s="13">
        <f>IFERROR(H151*VLOOKUP(C151,'Recetas y precios'!$A$5:$P$54,16,FALSE),"")</f>
        <v/>
      </c>
      <c r="K151" s="34" t="n"/>
      <c r="L151" s="34" t="n"/>
    </row>
    <row r="152">
      <c r="A152" s="33" t="n"/>
      <c r="B152" s="34" t="n"/>
      <c r="C152" s="34" t="n"/>
      <c r="D152" s="7">
        <f>IFERROR(VLOOKUP(C152,'Recetas y precios'!$A$5:$B$54,2,FALSE),"")</f>
        <v/>
      </c>
      <c r="E152" s="34" t="n"/>
      <c r="F152" s="34" t="n"/>
      <c r="G152" s="34" t="n"/>
      <c r="H152" s="34" t="n"/>
      <c r="I152" s="35">
        <f>IFERROR(H152/(G152+H152),"")</f>
        <v/>
      </c>
      <c r="J152" s="13">
        <f>IFERROR(H152*VLOOKUP(C152,'Recetas y precios'!$A$5:$P$54,16,FALSE),"")</f>
        <v/>
      </c>
      <c r="K152" s="34" t="n"/>
      <c r="L152" s="34" t="n"/>
    </row>
    <row r="153">
      <c r="A153" s="33" t="n"/>
      <c r="B153" s="34" t="n"/>
      <c r="C153" s="34" t="n"/>
      <c r="D153" s="7">
        <f>IFERROR(VLOOKUP(C153,'Recetas y precios'!$A$5:$B$54,2,FALSE),"")</f>
        <v/>
      </c>
      <c r="E153" s="34" t="n"/>
      <c r="F153" s="34" t="n"/>
      <c r="G153" s="34" t="n"/>
      <c r="H153" s="34" t="n"/>
      <c r="I153" s="35">
        <f>IFERROR(H153/(G153+H153),"")</f>
        <v/>
      </c>
      <c r="J153" s="13">
        <f>IFERROR(H153*VLOOKUP(C153,'Recetas y precios'!$A$5:$P$54,16,FALSE),"")</f>
        <v/>
      </c>
      <c r="K153" s="34" t="n"/>
      <c r="L153" s="34" t="n"/>
    </row>
    <row r="154">
      <c r="A154" s="33" t="n"/>
      <c r="B154" s="34" t="n"/>
      <c r="C154" s="34" t="n"/>
      <c r="D154" s="7">
        <f>IFERROR(VLOOKUP(C154,'Recetas y precios'!$A$5:$B$54,2,FALSE),"")</f>
        <v/>
      </c>
      <c r="E154" s="34" t="n"/>
      <c r="F154" s="34" t="n"/>
      <c r="G154" s="34" t="n"/>
      <c r="H154" s="34" t="n"/>
      <c r="I154" s="35">
        <f>IFERROR(H154/(G154+H154),"")</f>
        <v/>
      </c>
      <c r="J154" s="13">
        <f>IFERROR(H154*VLOOKUP(C154,'Recetas y precios'!$A$5:$P$54,16,FALSE),"")</f>
        <v/>
      </c>
      <c r="K154" s="34" t="n"/>
      <c r="L154" s="34" t="n"/>
    </row>
    <row r="155">
      <c r="A155" s="33" t="n"/>
      <c r="B155" s="34" t="n"/>
      <c r="C155" s="34" t="n"/>
      <c r="D155" s="7">
        <f>IFERROR(VLOOKUP(C155,'Recetas y precios'!$A$5:$B$54,2,FALSE),"")</f>
        <v/>
      </c>
      <c r="E155" s="34" t="n"/>
      <c r="F155" s="34" t="n"/>
      <c r="G155" s="34" t="n"/>
      <c r="H155" s="34" t="n"/>
      <c r="I155" s="35">
        <f>IFERROR(H155/(G155+H155),"")</f>
        <v/>
      </c>
      <c r="J155" s="13">
        <f>IFERROR(H155*VLOOKUP(C155,'Recetas y precios'!$A$5:$P$54,16,FALSE),"")</f>
        <v/>
      </c>
      <c r="K155" s="34" t="n"/>
      <c r="L155" s="34" t="n"/>
    </row>
    <row r="156">
      <c r="A156" s="33" t="n"/>
      <c r="B156" s="34" t="n"/>
      <c r="C156" s="34" t="n"/>
      <c r="D156" s="7">
        <f>IFERROR(VLOOKUP(C156,'Recetas y precios'!$A$5:$B$54,2,FALSE),"")</f>
        <v/>
      </c>
      <c r="E156" s="34" t="n"/>
      <c r="F156" s="34" t="n"/>
      <c r="G156" s="34" t="n"/>
      <c r="H156" s="34" t="n"/>
      <c r="I156" s="35">
        <f>IFERROR(H156/(G156+H156),"")</f>
        <v/>
      </c>
      <c r="J156" s="13">
        <f>IFERROR(H156*VLOOKUP(C156,'Recetas y precios'!$A$5:$P$54,16,FALSE),"")</f>
        <v/>
      </c>
      <c r="K156" s="34" t="n"/>
      <c r="L156" s="34" t="n"/>
    </row>
    <row r="157">
      <c r="A157" s="33" t="n"/>
      <c r="B157" s="34" t="n"/>
      <c r="C157" s="34" t="n"/>
      <c r="D157" s="7">
        <f>IFERROR(VLOOKUP(C157,'Recetas y precios'!$A$5:$B$54,2,FALSE),"")</f>
        <v/>
      </c>
      <c r="E157" s="34" t="n"/>
      <c r="F157" s="34" t="n"/>
      <c r="G157" s="34" t="n"/>
      <c r="H157" s="34" t="n"/>
      <c r="I157" s="35">
        <f>IFERROR(H157/(G157+H157),"")</f>
        <v/>
      </c>
      <c r="J157" s="13">
        <f>IFERROR(H157*VLOOKUP(C157,'Recetas y precios'!$A$5:$P$54,16,FALSE),"")</f>
        <v/>
      </c>
      <c r="K157" s="34" t="n"/>
      <c r="L157" s="34" t="n"/>
    </row>
    <row r="158">
      <c r="A158" s="33" t="n"/>
      <c r="B158" s="34" t="n"/>
      <c r="C158" s="34" t="n"/>
      <c r="D158" s="7">
        <f>IFERROR(VLOOKUP(C158,'Recetas y precios'!$A$5:$B$54,2,FALSE),"")</f>
        <v/>
      </c>
      <c r="E158" s="34" t="n"/>
      <c r="F158" s="34" t="n"/>
      <c r="G158" s="34" t="n"/>
      <c r="H158" s="34" t="n"/>
      <c r="I158" s="35">
        <f>IFERROR(H158/(G158+H158),"")</f>
        <v/>
      </c>
      <c r="J158" s="13">
        <f>IFERROR(H158*VLOOKUP(C158,'Recetas y precios'!$A$5:$P$54,16,FALSE),"")</f>
        <v/>
      </c>
      <c r="K158" s="34" t="n"/>
      <c r="L158" s="34" t="n"/>
    </row>
    <row r="159">
      <c r="A159" s="33" t="n"/>
      <c r="B159" s="34" t="n"/>
      <c r="C159" s="34" t="n"/>
      <c r="D159" s="7">
        <f>IFERROR(VLOOKUP(C159,'Recetas y precios'!$A$5:$B$54,2,FALSE),"")</f>
        <v/>
      </c>
      <c r="E159" s="34" t="n"/>
      <c r="F159" s="34" t="n"/>
      <c r="G159" s="34" t="n"/>
      <c r="H159" s="34" t="n"/>
      <c r="I159" s="35">
        <f>IFERROR(H159/(G159+H159),"")</f>
        <v/>
      </c>
      <c r="J159" s="13">
        <f>IFERROR(H159*VLOOKUP(C159,'Recetas y precios'!$A$5:$P$54,16,FALSE),"")</f>
        <v/>
      </c>
      <c r="K159" s="34" t="n"/>
      <c r="L159" s="34" t="n"/>
    </row>
    <row r="160">
      <c r="A160" s="33" t="n"/>
      <c r="B160" s="34" t="n"/>
      <c r="C160" s="34" t="n"/>
      <c r="D160" s="7">
        <f>IFERROR(VLOOKUP(C160,'Recetas y precios'!$A$5:$B$54,2,FALSE),"")</f>
        <v/>
      </c>
      <c r="E160" s="34" t="n"/>
      <c r="F160" s="34" t="n"/>
      <c r="G160" s="34" t="n"/>
      <c r="H160" s="34" t="n"/>
      <c r="I160" s="35">
        <f>IFERROR(H160/(G160+H160),"")</f>
        <v/>
      </c>
      <c r="J160" s="13">
        <f>IFERROR(H160*VLOOKUP(C160,'Recetas y precios'!$A$5:$P$54,16,FALSE),"")</f>
        <v/>
      </c>
      <c r="K160" s="34" t="n"/>
      <c r="L160" s="34" t="n"/>
    </row>
    <row r="161">
      <c r="A161" s="33" t="n"/>
      <c r="B161" s="34" t="n"/>
      <c r="C161" s="34" t="n"/>
      <c r="D161" s="7">
        <f>IFERROR(VLOOKUP(C161,'Recetas y precios'!$A$5:$B$54,2,FALSE),"")</f>
        <v/>
      </c>
      <c r="E161" s="34" t="n"/>
      <c r="F161" s="34" t="n"/>
      <c r="G161" s="34" t="n"/>
      <c r="H161" s="34" t="n"/>
      <c r="I161" s="35">
        <f>IFERROR(H161/(G161+H161),"")</f>
        <v/>
      </c>
      <c r="J161" s="13">
        <f>IFERROR(H161*VLOOKUP(C161,'Recetas y precios'!$A$5:$P$54,16,FALSE),"")</f>
        <v/>
      </c>
      <c r="K161" s="34" t="n"/>
      <c r="L161" s="34" t="n"/>
    </row>
    <row r="162">
      <c r="A162" s="33" t="n"/>
      <c r="B162" s="34" t="n"/>
      <c r="C162" s="34" t="n"/>
      <c r="D162" s="7">
        <f>IFERROR(VLOOKUP(C162,'Recetas y precios'!$A$5:$B$54,2,FALSE),"")</f>
        <v/>
      </c>
      <c r="E162" s="34" t="n"/>
      <c r="F162" s="34" t="n"/>
      <c r="G162" s="34" t="n"/>
      <c r="H162" s="34" t="n"/>
      <c r="I162" s="35">
        <f>IFERROR(H162/(G162+H162),"")</f>
        <v/>
      </c>
      <c r="J162" s="13">
        <f>IFERROR(H162*VLOOKUP(C162,'Recetas y precios'!$A$5:$P$54,16,FALSE),"")</f>
        <v/>
      </c>
      <c r="K162" s="34" t="n"/>
      <c r="L162" s="34" t="n"/>
    </row>
    <row r="163">
      <c r="A163" s="33" t="n"/>
      <c r="B163" s="34" t="n"/>
      <c r="C163" s="34" t="n"/>
      <c r="D163" s="7">
        <f>IFERROR(VLOOKUP(C163,'Recetas y precios'!$A$5:$B$54,2,FALSE),"")</f>
        <v/>
      </c>
      <c r="E163" s="34" t="n"/>
      <c r="F163" s="34" t="n"/>
      <c r="G163" s="34" t="n"/>
      <c r="H163" s="34" t="n"/>
      <c r="I163" s="35">
        <f>IFERROR(H163/(G163+H163),"")</f>
        <v/>
      </c>
      <c r="J163" s="13">
        <f>IFERROR(H163*VLOOKUP(C163,'Recetas y precios'!$A$5:$P$54,16,FALSE),"")</f>
        <v/>
      </c>
      <c r="K163" s="34" t="n"/>
      <c r="L163" s="34" t="n"/>
    </row>
    <row r="164">
      <c r="A164" s="33" t="n"/>
      <c r="B164" s="34" t="n"/>
      <c r="C164" s="34" t="n"/>
      <c r="D164" s="7">
        <f>IFERROR(VLOOKUP(C164,'Recetas y precios'!$A$5:$B$54,2,FALSE),"")</f>
        <v/>
      </c>
      <c r="E164" s="34" t="n"/>
      <c r="F164" s="34" t="n"/>
      <c r="G164" s="34" t="n"/>
      <c r="H164" s="34" t="n"/>
      <c r="I164" s="35">
        <f>IFERROR(H164/(G164+H164),"")</f>
        <v/>
      </c>
      <c r="J164" s="13">
        <f>IFERROR(H164*VLOOKUP(C164,'Recetas y precios'!$A$5:$P$54,16,FALSE),"")</f>
        <v/>
      </c>
      <c r="K164" s="34" t="n"/>
      <c r="L164" s="34" t="n"/>
    </row>
    <row r="165">
      <c r="A165" s="33" t="n"/>
      <c r="B165" s="34" t="n"/>
      <c r="C165" s="34" t="n"/>
      <c r="D165" s="7">
        <f>IFERROR(VLOOKUP(C165,'Recetas y precios'!$A$5:$B$54,2,FALSE),"")</f>
        <v/>
      </c>
      <c r="E165" s="34" t="n"/>
      <c r="F165" s="34" t="n"/>
      <c r="G165" s="34" t="n"/>
      <c r="H165" s="34" t="n"/>
      <c r="I165" s="35">
        <f>IFERROR(H165/(G165+H165),"")</f>
        <v/>
      </c>
      <c r="J165" s="13">
        <f>IFERROR(H165*VLOOKUP(C165,'Recetas y precios'!$A$5:$P$54,16,FALSE),"")</f>
        <v/>
      </c>
      <c r="K165" s="34" t="n"/>
      <c r="L165" s="34" t="n"/>
    </row>
    <row r="166">
      <c r="A166" s="33" t="n"/>
      <c r="B166" s="34" t="n"/>
      <c r="C166" s="34" t="n"/>
      <c r="D166" s="7">
        <f>IFERROR(VLOOKUP(C166,'Recetas y precios'!$A$5:$B$54,2,FALSE),"")</f>
        <v/>
      </c>
      <c r="E166" s="34" t="n"/>
      <c r="F166" s="34" t="n"/>
      <c r="G166" s="34" t="n"/>
      <c r="H166" s="34" t="n"/>
      <c r="I166" s="35">
        <f>IFERROR(H166/(G166+H166),"")</f>
        <v/>
      </c>
      <c r="J166" s="13">
        <f>IFERROR(H166*VLOOKUP(C166,'Recetas y precios'!$A$5:$P$54,16,FALSE),"")</f>
        <v/>
      </c>
      <c r="K166" s="34" t="n"/>
      <c r="L166" s="34" t="n"/>
    </row>
    <row r="167">
      <c r="A167" s="33" t="n"/>
      <c r="B167" s="34" t="n"/>
      <c r="C167" s="34" t="n"/>
      <c r="D167" s="7">
        <f>IFERROR(VLOOKUP(C167,'Recetas y precios'!$A$5:$B$54,2,FALSE),"")</f>
        <v/>
      </c>
      <c r="E167" s="34" t="n"/>
      <c r="F167" s="34" t="n"/>
      <c r="G167" s="34" t="n"/>
      <c r="H167" s="34" t="n"/>
      <c r="I167" s="35">
        <f>IFERROR(H167/(G167+H167),"")</f>
        <v/>
      </c>
      <c r="J167" s="13">
        <f>IFERROR(H167*VLOOKUP(C167,'Recetas y precios'!$A$5:$P$54,16,FALSE),"")</f>
        <v/>
      </c>
      <c r="K167" s="34" t="n"/>
      <c r="L167" s="34" t="n"/>
    </row>
    <row r="168">
      <c r="A168" s="33" t="n"/>
      <c r="B168" s="34" t="n"/>
      <c r="C168" s="34" t="n"/>
      <c r="D168" s="7">
        <f>IFERROR(VLOOKUP(C168,'Recetas y precios'!$A$5:$B$54,2,FALSE),"")</f>
        <v/>
      </c>
      <c r="E168" s="34" t="n"/>
      <c r="F168" s="34" t="n"/>
      <c r="G168" s="34" t="n"/>
      <c r="H168" s="34" t="n"/>
      <c r="I168" s="35">
        <f>IFERROR(H168/(G168+H168),"")</f>
        <v/>
      </c>
      <c r="J168" s="13">
        <f>IFERROR(H168*VLOOKUP(C168,'Recetas y precios'!$A$5:$P$54,16,FALSE),"")</f>
        <v/>
      </c>
      <c r="K168" s="34" t="n"/>
      <c r="L168" s="34" t="n"/>
    </row>
    <row r="169">
      <c r="A169" s="33" t="n"/>
      <c r="B169" s="34" t="n"/>
      <c r="C169" s="34" t="n"/>
      <c r="D169" s="7">
        <f>IFERROR(VLOOKUP(C169,'Recetas y precios'!$A$5:$B$54,2,FALSE),"")</f>
        <v/>
      </c>
      <c r="E169" s="34" t="n"/>
      <c r="F169" s="34" t="n"/>
      <c r="G169" s="34" t="n"/>
      <c r="H169" s="34" t="n"/>
      <c r="I169" s="35">
        <f>IFERROR(H169/(G169+H169),"")</f>
        <v/>
      </c>
      <c r="J169" s="13">
        <f>IFERROR(H169*VLOOKUP(C169,'Recetas y precios'!$A$5:$P$54,16,FALSE),"")</f>
        <v/>
      </c>
      <c r="K169" s="34" t="n"/>
      <c r="L169" s="34" t="n"/>
    </row>
    <row r="170">
      <c r="A170" s="33" t="n"/>
      <c r="B170" s="34" t="n"/>
      <c r="C170" s="34" t="n"/>
      <c r="D170" s="7">
        <f>IFERROR(VLOOKUP(C170,'Recetas y precios'!$A$5:$B$54,2,FALSE),"")</f>
        <v/>
      </c>
      <c r="E170" s="34" t="n"/>
      <c r="F170" s="34" t="n"/>
      <c r="G170" s="34" t="n"/>
      <c r="H170" s="34" t="n"/>
      <c r="I170" s="35">
        <f>IFERROR(H170/(G170+H170),"")</f>
        <v/>
      </c>
      <c r="J170" s="13">
        <f>IFERROR(H170*VLOOKUP(C170,'Recetas y precios'!$A$5:$P$54,16,FALSE),"")</f>
        <v/>
      </c>
      <c r="K170" s="34" t="n"/>
      <c r="L170" s="34" t="n"/>
    </row>
    <row r="171">
      <c r="A171" s="33" t="n"/>
      <c r="B171" s="34" t="n"/>
      <c r="C171" s="34" t="n"/>
      <c r="D171" s="7">
        <f>IFERROR(VLOOKUP(C171,'Recetas y precios'!$A$5:$B$54,2,FALSE),"")</f>
        <v/>
      </c>
      <c r="E171" s="34" t="n"/>
      <c r="F171" s="34" t="n"/>
      <c r="G171" s="34" t="n"/>
      <c r="H171" s="34" t="n"/>
      <c r="I171" s="35">
        <f>IFERROR(H171/(G171+H171),"")</f>
        <v/>
      </c>
      <c r="J171" s="13">
        <f>IFERROR(H171*VLOOKUP(C171,'Recetas y precios'!$A$5:$P$54,16,FALSE),"")</f>
        <v/>
      </c>
      <c r="K171" s="34" t="n"/>
      <c r="L171" s="34" t="n"/>
    </row>
    <row r="172">
      <c r="A172" s="33" t="n"/>
      <c r="B172" s="34" t="n"/>
      <c r="C172" s="34" t="n"/>
      <c r="D172" s="7">
        <f>IFERROR(VLOOKUP(C172,'Recetas y precios'!$A$5:$B$54,2,FALSE),"")</f>
        <v/>
      </c>
      <c r="E172" s="34" t="n"/>
      <c r="F172" s="34" t="n"/>
      <c r="G172" s="34" t="n"/>
      <c r="H172" s="34" t="n"/>
      <c r="I172" s="35">
        <f>IFERROR(H172/(G172+H172),"")</f>
        <v/>
      </c>
      <c r="J172" s="13">
        <f>IFERROR(H172*VLOOKUP(C172,'Recetas y precios'!$A$5:$P$54,16,FALSE),"")</f>
        <v/>
      </c>
      <c r="K172" s="34" t="n"/>
      <c r="L172" s="34" t="n"/>
    </row>
    <row r="173">
      <c r="A173" s="33" t="n"/>
      <c r="B173" s="34" t="n"/>
      <c r="C173" s="34" t="n"/>
      <c r="D173" s="7">
        <f>IFERROR(VLOOKUP(C173,'Recetas y precios'!$A$5:$B$54,2,FALSE),"")</f>
        <v/>
      </c>
      <c r="E173" s="34" t="n"/>
      <c r="F173" s="34" t="n"/>
      <c r="G173" s="34" t="n"/>
      <c r="H173" s="34" t="n"/>
      <c r="I173" s="35">
        <f>IFERROR(H173/(G173+H173),"")</f>
        <v/>
      </c>
      <c r="J173" s="13">
        <f>IFERROR(H173*VLOOKUP(C173,'Recetas y precios'!$A$5:$P$54,16,FALSE),"")</f>
        <v/>
      </c>
      <c r="K173" s="34" t="n"/>
      <c r="L173" s="34" t="n"/>
    </row>
    <row r="174">
      <c r="A174" s="33" t="n"/>
      <c r="B174" s="34" t="n"/>
      <c r="C174" s="34" t="n"/>
      <c r="D174" s="7">
        <f>IFERROR(VLOOKUP(C174,'Recetas y precios'!$A$5:$B$54,2,FALSE),"")</f>
        <v/>
      </c>
      <c r="E174" s="34" t="n"/>
      <c r="F174" s="34" t="n"/>
      <c r="G174" s="34" t="n"/>
      <c r="H174" s="34" t="n"/>
      <c r="I174" s="35">
        <f>IFERROR(H174/(G174+H174),"")</f>
        <v/>
      </c>
      <c r="J174" s="13">
        <f>IFERROR(H174*VLOOKUP(C174,'Recetas y precios'!$A$5:$P$54,16,FALSE),"")</f>
        <v/>
      </c>
      <c r="K174" s="34" t="n"/>
      <c r="L174" s="34" t="n"/>
    </row>
    <row r="175">
      <c r="A175" s="33" t="n"/>
      <c r="B175" s="34" t="n"/>
      <c r="C175" s="34" t="n"/>
      <c r="D175" s="7">
        <f>IFERROR(VLOOKUP(C175,'Recetas y precios'!$A$5:$B$54,2,FALSE),"")</f>
        <v/>
      </c>
      <c r="E175" s="34" t="n"/>
      <c r="F175" s="34" t="n"/>
      <c r="G175" s="34" t="n"/>
      <c r="H175" s="34" t="n"/>
      <c r="I175" s="35">
        <f>IFERROR(H175/(G175+H175),"")</f>
        <v/>
      </c>
      <c r="J175" s="13">
        <f>IFERROR(H175*VLOOKUP(C175,'Recetas y precios'!$A$5:$P$54,16,FALSE),"")</f>
        <v/>
      </c>
      <c r="K175" s="34" t="n"/>
      <c r="L175" s="34" t="n"/>
    </row>
    <row r="176">
      <c r="A176" s="33" t="n"/>
      <c r="B176" s="34" t="n"/>
      <c r="C176" s="34" t="n"/>
      <c r="D176" s="7">
        <f>IFERROR(VLOOKUP(C176,'Recetas y precios'!$A$5:$B$54,2,FALSE),"")</f>
        <v/>
      </c>
      <c r="E176" s="34" t="n"/>
      <c r="F176" s="34" t="n"/>
      <c r="G176" s="34" t="n"/>
      <c r="H176" s="34" t="n"/>
      <c r="I176" s="35">
        <f>IFERROR(H176/(G176+H176),"")</f>
        <v/>
      </c>
      <c r="J176" s="13">
        <f>IFERROR(H176*VLOOKUP(C176,'Recetas y precios'!$A$5:$P$54,16,FALSE),"")</f>
        <v/>
      </c>
      <c r="K176" s="34" t="n"/>
      <c r="L176" s="34" t="n"/>
    </row>
    <row r="177">
      <c r="A177" s="33" t="n"/>
      <c r="B177" s="34" t="n"/>
      <c r="C177" s="34" t="n"/>
      <c r="D177" s="7">
        <f>IFERROR(VLOOKUP(C177,'Recetas y precios'!$A$5:$B$54,2,FALSE),"")</f>
        <v/>
      </c>
      <c r="E177" s="34" t="n"/>
      <c r="F177" s="34" t="n"/>
      <c r="G177" s="34" t="n"/>
      <c r="H177" s="34" t="n"/>
      <c r="I177" s="35">
        <f>IFERROR(H177/(G177+H177),"")</f>
        <v/>
      </c>
      <c r="J177" s="13">
        <f>IFERROR(H177*VLOOKUP(C177,'Recetas y precios'!$A$5:$P$54,16,FALSE),"")</f>
        <v/>
      </c>
      <c r="K177" s="34" t="n"/>
      <c r="L177" s="34" t="n"/>
    </row>
    <row r="178">
      <c r="A178" s="33" t="n"/>
      <c r="B178" s="34" t="n"/>
      <c r="C178" s="34" t="n"/>
      <c r="D178" s="7">
        <f>IFERROR(VLOOKUP(C178,'Recetas y precios'!$A$5:$B$54,2,FALSE),"")</f>
        <v/>
      </c>
      <c r="E178" s="34" t="n"/>
      <c r="F178" s="34" t="n"/>
      <c r="G178" s="34" t="n"/>
      <c r="H178" s="34" t="n"/>
      <c r="I178" s="35">
        <f>IFERROR(H178/(G178+H178),"")</f>
        <v/>
      </c>
      <c r="J178" s="13">
        <f>IFERROR(H178*VLOOKUP(C178,'Recetas y precios'!$A$5:$P$54,16,FALSE),"")</f>
        <v/>
      </c>
      <c r="K178" s="34" t="n"/>
      <c r="L178" s="34" t="n"/>
    </row>
    <row r="179">
      <c r="A179" s="33" t="n"/>
      <c r="B179" s="34" t="n"/>
      <c r="C179" s="34" t="n"/>
      <c r="D179" s="7">
        <f>IFERROR(VLOOKUP(C179,'Recetas y precios'!$A$5:$B$54,2,FALSE),"")</f>
        <v/>
      </c>
      <c r="E179" s="34" t="n"/>
      <c r="F179" s="34" t="n"/>
      <c r="G179" s="34" t="n"/>
      <c r="H179" s="34" t="n"/>
      <c r="I179" s="35">
        <f>IFERROR(H179/(G179+H179),"")</f>
        <v/>
      </c>
      <c r="J179" s="13">
        <f>IFERROR(H179*VLOOKUP(C179,'Recetas y precios'!$A$5:$P$54,16,FALSE),"")</f>
        <v/>
      </c>
      <c r="K179" s="34" t="n"/>
      <c r="L179" s="34" t="n"/>
    </row>
    <row r="180">
      <c r="A180" s="33" t="n"/>
      <c r="B180" s="34" t="n"/>
      <c r="C180" s="34" t="n"/>
      <c r="D180" s="7">
        <f>IFERROR(VLOOKUP(C180,'Recetas y precios'!$A$5:$B$54,2,FALSE),"")</f>
        <v/>
      </c>
      <c r="E180" s="34" t="n"/>
      <c r="F180" s="34" t="n"/>
      <c r="G180" s="34" t="n"/>
      <c r="H180" s="34" t="n"/>
      <c r="I180" s="35">
        <f>IFERROR(H180/(G180+H180),"")</f>
        <v/>
      </c>
      <c r="J180" s="13">
        <f>IFERROR(H180*VLOOKUP(C180,'Recetas y precios'!$A$5:$P$54,16,FALSE),"")</f>
        <v/>
      </c>
      <c r="K180" s="34" t="n"/>
      <c r="L180" s="34" t="n"/>
    </row>
    <row r="181">
      <c r="A181" s="33" t="n"/>
      <c r="B181" s="34" t="n"/>
      <c r="C181" s="34" t="n"/>
      <c r="D181" s="7">
        <f>IFERROR(VLOOKUP(C181,'Recetas y precios'!$A$5:$B$54,2,FALSE),"")</f>
        <v/>
      </c>
      <c r="E181" s="34" t="n"/>
      <c r="F181" s="34" t="n"/>
      <c r="G181" s="34" t="n"/>
      <c r="H181" s="34" t="n"/>
      <c r="I181" s="35">
        <f>IFERROR(H181/(G181+H181),"")</f>
        <v/>
      </c>
      <c r="J181" s="13">
        <f>IFERROR(H181*VLOOKUP(C181,'Recetas y precios'!$A$5:$P$54,16,FALSE),"")</f>
        <v/>
      </c>
      <c r="K181" s="34" t="n"/>
      <c r="L181" s="34" t="n"/>
    </row>
    <row r="182">
      <c r="A182" s="33" t="n"/>
      <c r="B182" s="34" t="n"/>
      <c r="C182" s="34" t="n"/>
      <c r="D182" s="7">
        <f>IFERROR(VLOOKUP(C182,'Recetas y precios'!$A$5:$B$54,2,FALSE),"")</f>
        <v/>
      </c>
      <c r="E182" s="34" t="n"/>
      <c r="F182" s="34" t="n"/>
      <c r="G182" s="34" t="n"/>
      <c r="H182" s="34" t="n"/>
      <c r="I182" s="35">
        <f>IFERROR(H182/(G182+H182),"")</f>
        <v/>
      </c>
      <c r="J182" s="13">
        <f>IFERROR(H182*VLOOKUP(C182,'Recetas y precios'!$A$5:$P$54,16,FALSE),"")</f>
        <v/>
      </c>
      <c r="K182" s="34" t="n"/>
      <c r="L182" s="34" t="n"/>
    </row>
    <row r="183">
      <c r="A183" s="33" t="n"/>
      <c r="B183" s="34" t="n"/>
      <c r="C183" s="34" t="n"/>
      <c r="D183" s="7">
        <f>IFERROR(VLOOKUP(C183,'Recetas y precios'!$A$5:$B$54,2,FALSE),"")</f>
        <v/>
      </c>
      <c r="E183" s="34" t="n"/>
      <c r="F183" s="34" t="n"/>
      <c r="G183" s="34" t="n"/>
      <c r="H183" s="34" t="n"/>
      <c r="I183" s="35">
        <f>IFERROR(H183/(G183+H183),"")</f>
        <v/>
      </c>
      <c r="J183" s="13">
        <f>IFERROR(H183*VLOOKUP(C183,'Recetas y precios'!$A$5:$P$54,16,FALSE),"")</f>
        <v/>
      </c>
      <c r="K183" s="34" t="n"/>
      <c r="L183" s="34" t="n"/>
    </row>
    <row r="184">
      <c r="A184" s="33" t="n"/>
      <c r="B184" s="34" t="n"/>
      <c r="C184" s="34" t="n"/>
      <c r="D184" s="7">
        <f>IFERROR(VLOOKUP(C184,'Recetas y precios'!$A$5:$B$54,2,FALSE),"")</f>
        <v/>
      </c>
      <c r="E184" s="34" t="n"/>
      <c r="F184" s="34" t="n"/>
      <c r="G184" s="34" t="n"/>
      <c r="H184" s="34" t="n"/>
      <c r="I184" s="35">
        <f>IFERROR(H184/(G184+H184),"")</f>
        <v/>
      </c>
      <c r="J184" s="13">
        <f>IFERROR(H184*VLOOKUP(C184,'Recetas y precios'!$A$5:$P$54,16,FALSE),"")</f>
        <v/>
      </c>
      <c r="K184" s="34" t="n"/>
      <c r="L184" s="34" t="n"/>
    </row>
    <row r="185">
      <c r="A185" s="33" t="n"/>
      <c r="B185" s="34" t="n"/>
      <c r="C185" s="34" t="n"/>
      <c r="D185" s="7">
        <f>IFERROR(VLOOKUP(C185,'Recetas y precios'!$A$5:$B$54,2,FALSE),"")</f>
        <v/>
      </c>
      <c r="E185" s="34" t="n"/>
      <c r="F185" s="34" t="n"/>
      <c r="G185" s="34" t="n"/>
      <c r="H185" s="34" t="n"/>
      <c r="I185" s="35">
        <f>IFERROR(H185/(G185+H185),"")</f>
        <v/>
      </c>
      <c r="J185" s="13">
        <f>IFERROR(H185*VLOOKUP(C185,'Recetas y precios'!$A$5:$P$54,16,FALSE),"")</f>
        <v/>
      </c>
      <c r="K185" s="34" t="n"/>
      <c r="L185" s="34" t="n"/>
    </row>
    <row r="186">
      <c r="A186" s="33" t="n"/>
      <c r="B186" s="34" t="n"/>
      <c r="C186" s="34" t="n"/>
      <c r="D186" s="7">
        <f>IFERROR(VLOOKUP(C186,'Recetas y precios'!$A$5:$B$54,2,FALSE),"")</f>
        <v/>
      </c>
      <c r="E186" s="34" t="n"/>
      <c r="F186" s="34" t="n"/>
      <c r="G186" s="34" t="n"/>
      <c r="H186" s="34" t="n"/>
      <c r="I186" s="35">
        <f>IFERROR(H186/(G186+H186),"")</f>
        <v/>
      </c>
      <c r="J186" s="13">
        <f>IFERROR(H186*VLOOKUP(C186,'Recetas y precios'!$A$5:$P$54,16,FALSE),"")</f>
        <v/>
      </c>
      <c r="K186" s="34" t="n"/>
      <c r="L186" s="34" t="n"/>
    </row>
    <row r="187">
      <c r="A187" s="33" t="n"/>
      <c r="B187" s="34" t="n"/>
      <c r="C187" s="34" t="n"/>
      <c r="D187" s="7">
        <f>IFERROR(VLOOKUP(C187,'Recetas y precios'!$A$5:$B$54,2,FALSE),"")</f>
        <v/>
      </c>
      <c r="E187" s="34" t="n"/>
      <c r="F187" s="34" t="n"/>
      <c r="G187" s="34" t="n"/>
      <c r="H187" s="34" t="n"/>
      <c r="I187" s="35">
        <f>IFERROR(H187/(G187+H187),"")</f>
        <v/>
      </c>
      <c r="J187" s="13">
        <f>IFERROR(H187*VLOOKUP(C187,'Recetas y precios'!$A$5:$P$54,16,FALSE),"")</f>
        <v/>
      </c>
      <c r="K187" s="34" t="n"/>
      <c r="L187" s="34" t="n"/>
    </row>
    <row r="188">
      <c r="A188" s="33" t="n"/>
      <c r="B188" s="34" t="n"/>
      <c r="C188" s="34" t="n"/>
      <c r="D188" s="7">
        <f>IFERROR(VLOOKUP(C188,'Recetas y precios'!$A$5:$B$54,2,FALSE),"")</f>
        <v/>
      </c>
      <c r="E188" s="34" t="n"/>
      <c r="F188" s="34" t="n"/>
      <c r="G188" s="34" t="n"/>
      <c r="H188" s="34" t="n"/>
      <c r="I188" s="35">
        <f>IFERROR(H188/(G188+H188),"")</f>
        <v/>
      </c>
      <c r="J188" s="13">
        <f>IFERROR(H188*VLOOKUP(C188,'Recetas y precios'!$A$5:$P$54,16,FALSE),"")</f>
        <v/>
      </c>
      <c r="K188" s="34" t="n"/>
      <c r="L188" s="34" t="n"/>
    </row>
    <row r="189">
      <c r="A189" s="33" t="n"/>
      <c r="B189" s="34" t="n"/>
      <c r="C189" s="34" t="n"/>
      <c r="D189" s="7">
        <f>IFERROR(VLOOKUP(C189,'Recetas y precios'!$A$5:$B$54,2,FALSE),"")</f>
        <v/>
      </c>
      <c r="E189" s="34" t="n"/>
      <c r="F189" s="34" t="n"/>
      <c r="G189" s="34" t="n"/>
      <c r="H189" s="34" t="n"/>
      <c r="I189" s="35">
        <f>IFERROR(H189/(G189+H189),"")</f>
        <v/>
      </c>
      <c r="J189" s="13">
        <f>IFERROR(H189*VLOOKUP(C189,'Recetas y precios'!$A$5:$P$54,16,FALSE),"")</f>
        <v/>
      </c>
      <c r="K189" s="34" t="n"/>
      <c r="L189" s="34" t="n"/>
    </row>
    <row r="190">
      <c r="A190" s="33" t="n"/>
      <c r="B190" s="34" t="n"/>
      <c r="C190" s="34" t="n"/>
      <c r="D190" s="7">
        <f>IFERROR(VLOOKUP(C190,'Recetas y precios'!$A$5:$B$54,2,FALSE),"")</f>
        <v/>
      </c>
      <c r="E190" s="34" t="n"/>
      <c r="F190" s="34" t="n"/>
      <c r="G190" s="34" t="n"/>
      <c r="H190" s="34" t="n"/>
      <c r="I190" s="35">
        <f>IFERROR(H190/(G190+H190),"")</f>
        <v/>
      </c>
      <c r="J190" s="13">
        <f>IFERROR(H190*VLOOKUP(C190,'Recetas y precios'!$A$5:$P$54,16,FALSE),"")</f>
        <v/>
      </c>
      <c r="K190" s="34" t="n"/>
      <c r="L190" s="34" t="n"/>
    </row>
    <row r="191">
      <c r="A191" s="33" t="n"/>
      <c r="B191" s="34" t="n"/>
      <c r="C191" s="34" t="n"/>
      <c r="D191" s="7">
        <f>IFERROR(VLOOKUP(C191,'Recetas y precios'!$A$5:$B$54,2,FALSE),"")</f>
        <v/>
      </c>
      <c r="E191" s="34" t="n"/>
      <c r="F191" s="34" t="n"/>
      <c r="G191" s="34" t="n"/>
      <c r="H191" s="34" t="n"/>
      <c r="I191" s="35">
        <f>IFERROR(H191/(G191+H191),"")</f>
        <v/>
      </c>
      <c r="J191" s="13">
        <f>IFERROR(H191*VLOOKUP(C191,'Recetas y precios'!$A$5:$P$54,16,FALSE),"")</f>
        <v/>
      </c>
      <c r="K191" s="34" t="n"/>
      <c r="L191" s="34" t="n"/>
    </row>
    <row r="192">
      <c r="A192" s="33" t="n"/>
      <c r="B192" s="34" t="n"/>
      <c r="C192" s="34" t="n"/>
      <c r="D192" s="7">
        <f>IFERROR(VLOOKUP(C192,'Recetas y precios'!$A$5:$B$54,2,FALSE),"")</f>
        <v/>
      </c>
      <c r="E192" s="34" t="n"/>
      <c r="F192" s="34" t="n"/>
      <c r="G192" s="34" t="n"/>
      <c r="H192" s="34" t="n"/>
      <c r="I192" s="35">
        <f>IFERROR(H192/(G192+H192),"")</f>
        <v/>
      </c>
      <c r="J192" s="13">
        <f>IFERROR(H192*VLOOKUP(C192,'Recetas y precios'!$A$5:$P$54,16,FALSE),"")</f>
        <v/>
      </c>
      <c r="K192" s="34" t="n"/>
      <c r="L192" s="34" t="n"/>
    </row>
    <row r="193">
      <c r="A193" s="33" t="n"/>
      <c r="B193" s="34" t="n"/>
      <c r="C193" s="34" t="n"/>
      <c r="D193" s="7">
        <f>IFERROR(VLOOKUP(C193,'Recetas y precios'!$A$5:$B$54,2,FALSE),"")</f>
        <v/>
      </c>
      <c r="E193" s="34" t="n"/>
      <c r="F193" s="34" t="n"/>
      <c r="G193" s="34" t="n"/>
      <c r="H193" s="34" t="n"/>
      <c r="I193" s="35">
        <f>IFERROR(H193/(G193+H193),"")</f>
        <v/>
      </c>
      <c r="J193" s="13">
        <f>IFERROR(H193*VLOOKUP(C193,'Recetas y precios'!$A$5:$P$54,16,FALSE),"")</f>
        <v/>
      </c>
      <c r="K193" s="34" t="n"/>
      <c r="L193" s="34" t="n"/>
    </row>
    <row r="194">
      <c r="A194" s="33" t="n"/>
      <c r="B194" s="34" t="n"/>
      <c r="C194" s="34" t="n"/>
      <c r="D194" s="7">
        <f>IFERROR(VLOOKUP(C194,'Recetas y precios'!$A$5:$B$54,2,FALSE),"")</f>
        <v/>
      </c>
      <c r="E194" s="34" t="n"/>
      <c r="F194" s="34" t="n"/>
      <c r="G194" s="34" t="n"/>
      <c r="H194" s="34" t="n"/>
      <c r="I194" s="35">
        <f>IFERROR(H194/(G194+H194),"")</f>
        <v/>
      </c>
      <c r="J194" s="13">
        <f>IFERROR(H194*VLOOKUP(C194,'Recetas y precios'!$A$5:$P$54,16,FALSE),"")</f>
        <v/>
      </c>
      <c r="K194" s="34" t="n"/>
      <c r="L194" s="34" t="n"/>
    </row>
    <row r="195">
      <c r="A195" s="33" t="n"/>
      <c r="B195" s="34" t="n"/>
      <c r="C195" s="34" t="n"/>
      <c r="D195" s="7">
        <f>IFERROR(VLOOKUP(C195,'Recetas y precios'!$A$5:$B$54,2,FALSE),"")</f>
        <v/>
      </c>
      <c r="E195" s="34" t="n"/>
      <c r="F195" s="34" t="n"/>
      <c r="G195" s="34" t="n"/>
      <c r="H195" s="34" t="n"/>
      <c r="I195" s="35">
        <f>IFERROR(H195/(G195+H195),"")</f>
        <v/>
      </c>
      <c r="J195" s="13">
        <f>IFERROR(H195*VLOOKUP(C195,'Recetas y precios'!$A$5:$P$54,16,FALSE),"")</f>
        <v/>
      </c>
      <c r="K195" s="34" t="n"/>
      <c r="L195" s="34" t="n"/>
    </row>
    <row r="196">
      <c r="A196" s="33" t="n"/>
      <c r="B196" s="34" t="n"/>
      <c r="C196" s="34" t="n"/>
      <c r="D196" s="7">
        <f>IFERROR(VLOOKUP(C196,'Recetas y precios'!$A$5:$B$54,2,FALSE),"")</f>
        <v/>
      </c>
      <c r="E196" s="34" t="n"/>
      <c r="F196" s="34" t="n"/>
      <c r="G196" s="34" t="n"/>
      <c r="H196" s="34" t="n"/>
      <c r="I196" s="35">
        <f>IFERROR(H196/(G196+H196),"")</f>
        <v/>
      </c>
      <c r="J196" s="13">
        <f>IFERROR(H196*VLOOKUP(C196,'Recetas y precios'!$A$5:$P$54,16,FALSE),"")</f>
        <v/>
      </c>
      <c r="K196" s="34" t="n"/>
      <c r="L196" s="34" t="n"/>
    </row>
    <row r="197">
      <c r="A197" s="33" t="n"/>
      <c r="B197" s="34" t="n"/>
      <c r="C197" s="34" t="n"/>
      <c r="D197" s="7">
        <f>IFERROR(VLOOKUP(C197,'Recetas y precios'!$A$5:$B$54,2,FALSE),"")</f>
        <v/>
      </c>
      <c r="E197" s="34" t="n"/>
      <c r="F197" s="34" t="n"/>
      <c r="G197" s="34" t="n"/>
      <c r="H197" s="34" t="n"/>
      <c r="I197" s="35">
        <f>IFERROR(H197/(G197+H197),"")</f>
        <v/>
      </c>
      <c r="J197" s="13">
        <f>IFERROR(H197*VLOOKUP(C197,'Recetas y precios'!$A$5:$P$54,16,FALSE),"")</f>
        <v/>
      </c>
      <c r="K197" s="34" t="n"/>
      <c r="L197" s="34" t="n"/>
    </row>
    <row r="198">
      <c r="A198" s="33" t="n"/>
      <c r="B198" s="34" t="n"/>
      <c r="C198" s="34" t="n"/>
      <c r="D198" s="7">
        <f>IFERROR(VLOOKUP(C198,'Recetas y precios'!$A$5:$B$54,2,FALSE),"")</f>
        <v/>
      </c>
      <c r="E198" s="34" t="n"/>
      <c r="F198" s="34" t="n"/>
      <c r="G198" s="34" t="n"/>
      <c r="H198" s="34" t="n"/>
      <c r="I198" s="35">
        <f>IFERROR(H198/(G198+H198),"")</f>
        <v/>
      </c>
      <c r="J198" s="13">
        <f>IFERROR(H198*VLOOKUP(C198,'Recetas y precios'!$A$5:$P$54,16,FALSE),"")</f>
        <v/>
      </c>
      <c r="K198" s="34" t="n"/>
      <c r="L198" s="34" t="n"/>
    </row>
    <row r="199">
      <c r="A199" s="33" t="n"/>
      <c r="B199" s="34" t="n"/>
      <c r="C199" s="34" t="n"/>
      <c r="D199" s="7">
        <f>IFERROR(VLOOKUP(C199,'Recetas y precios'!$A$5:$B$54,2,FALSE),"")</f>
        <v/>
      </c>
      <c r="E199" s="34" t="n"/>
      <c r="F199" s="34" t="n"/>
      <c r="G199" s="34" t="n"/>
      <c r="H199" s="34" t="n"/>
      <c r="I199" s="35">
        <f>IFERROR(H199/(G199+H199),"")</f>
        <v/>
      </c>
      <c r="J199" s="13">
        <f>IFERROR(H199*VLOOKUP(C199,'Recetas y precios'!$A$5:$P$54,16,FALSE),"")</f>
        <v/>
      </c>
      <c r="K199" s="34" t="n"/>
      <c r="L199" s="34" t="n"/>
    </row>
    <row r="200">
      <c r="A200" s="33" t="n"/>
      <c r="B200" s="34" t="n"/>
      <c r="C200" s="34" t="n"/>
      <c r="D200" s="7">
        <f>IFERROR(VLOOKUP(C200,'Recetas y precios'!$A$5:$B$54,2,FALSE),"")</f>
        <v/>
      </c>
      <c r="E200" s="34" t="n"/>
      <c r="F200" s="34" t="n"/>
      <c r="G200" s="34" t="n"/>
      <c r="H200" s="34" t="n"/>
      <c r="I200" s="35">
        <f>IFERROR(H200/(G200+H200),"")</f>
        <v/>
      </c>
      <c r="J200" s="13">
        <f>IFERROR(H200*VLOOKUP(C200,'Recetas y precios'!$A$5:$P$54,16,FALSE),"")</f>
        <v/>
      </c>
      <c r="K200" s="34" t="n"/>
      <c r="L200" s="34" t="n"/>
    </row>
    <row r="201">
      <c r="A201" s="33" t="n"/>
      <c r="B201" s="34" t="n"/>
      <c r="C201" s="34" t="n"/>
      <c r="D201" s="7">
        <f>IFERROR(VLOOKUP(C201,'Recetas y precios'!$A$5:$B$54,2,FALSE),"")</f>
        <v/>
      </c>
      <c r="E201" s="34" t="n"/>
      <c r="F201" s="34" t="n"/>
      <c r="G201" s="34" t="n"/>
      <c r="H201" s="34" t="n"/>
      <c r="I201" s="35">
        <f>IFERROR(H201/(G201+H201),"")</f>
        <v/>
      </c>
      <c r="J201" s="13">
        <f>IFERROR(H201*VLOOKUP(C201,'Recetas y precios'!$A$5:$P$54,16,FALSE),"")</f>
        <v/>
      </c>
      <c r="K201" s="34" t="n"/>
      <c r="L201" s="34" t="n"/>
    </row>
    <row r="202">
      <c r="A202" s="33" t="n"/>
      <c r="B202" s="34" t="n"/>
      <c r="C202" s="34" t="n"/>
      <c r="D202" s="7">
        <f>IFERROR(VLOOKUP(C202,'Recetas y precios'!$A$5:$B$54,2,FALSE),"")</f>
        <v/>
      </c>
      <c r="E202" s="34" t="n"/>
      <c r="F202" s="34" t="n"/>
      <c r="G202" s="34" t="n"/>
      <c r="H202" s="34" t="n"/>
      <c r="I202" s="35">
        <f>IFERROR(H202/(G202+H202),"")</f>
        <v/>
      </c>
      <c r="J202" s="13">
        <f>IFERROR(H202*VLOOKUP(C202,'Recetas y precios'!$A$5:$P$54,16,FALSE),"")</f>
        <v/>
      </c>
      <c r="K202" s="34" t="n"/>
      <c r="L202" s="34" t="n"/>
    </row>
    <row r="203">
      <c r="A203" s="33" t="n"/>
      <c r="B203" s="34" t="n"/>
      <c r="C203" s="34" t="n"/>
      <c r="D203" s="7">
        <f>IFERROR(VLOOKUP(C203,'Recetas y precios'!$A$5:$B$54,2,FALSE),"")</f>
        <v/>
      </c>
      <c r="E203" s="34" t="n"/>
      <c r="F203" s="34" t="n"/>
      <c r="G203" s="34" t="n"/>
      <c r="H203" s="34" t="n"/>
      <c r="I203" s="35">
        <f>IFERROR(H203/(G203+H203),"")</f>
        <v/>
      </c>
      <c r="J203" s="13">
        <f>IFERROR(H203*VLOOKUP(C203,'Recetas y precios'!$A$5:$P$54,16,FALSE),"")</f>
        <v/>
      </c>
      <c r="K203" s="34" t="n"/>
      <c r="L203" s="34" t="n"/>
    </row>
    <row r="204">
      <c r="A204" s="33" t="n"/>
      <c r="B204" s="34" t="n"/>
      <c r="C204" s="34" t="n"/>
      <c r="D204" s="7">
        <f>IFERROR(VLOOKUP(C204,'Recetas y precios'!$A$5:$B$54,2,FALSE),"")</f>
        <v/>
      </c>
      <c r="E204" s="34" t="n"/>
      <c r="F204" s="34" t="n"/>
      <c r="G204" s="34" t="n"/>
      <c r="H204" s="34" t="n"/>
      <c r="I204" s="35">
        <f>IFERROR(H204/(G204+H204),"")</f>
        <v/>
      </c>
      <c r="J204" s="13">
        <f>IFERROR(H204*VLOOKUP(C204,'Recetas y precios'!$A$5:$P$54,16,FALSE),"")</f>
        <v/>
      </c>
      <c r="K204" s="34" t="n"/>
      <c r="L204" s="34" t="n"/>
    </row>
    <row r="205">
      <c r="A205" s="33" t="n"/>
      <c r="B205" s="34" t="n"/>
      <c r="C205" s="34" t="n"/>
      <c r="D205" s="7">
        <f>IFERROR(VLOOKUP(C205,'Recetas y precios'!$A$5:$B$54,2,FALSE),"")</f>
        <v/>
      </c>
      <c r="E205" s="34" t="n"/>
      <c r="F205" s="34" t="n"/>
      <c r="G205" s="34" t="n"/>
      <c r="H205" s="34" t="n"/>
      <c r="I205" s="35">
        <f>IFERROR(H205/(G205+H205),"")</f>
        <v/>
      </c>
      <c r="J205" s="13">
        <f>IFERROR(H205*VLOOKUP(C205,'Recetas y precios'!$A$5:$P$54,16,FALSE),"")</f>
        <v/>
      </c>
      <c r="K205" s="34" t="n"/>
      <c r="L205" s="34" t="n"/>
    </row>
    <row r="206">
      <c r="A206" s="33" t="n"/>
      <c r="B206" s="34" t="n"/>
      <c r="C206" s="34" t="n"/>
      <c r="D206" s="7">
        <f>IFERROR(VLOOKUP(C206,'Recetas y precios'!$A$5:$B$54,2,FALSE),"")</f>
        <v/>
      </c>
      <c r="E206" s="34" t="n"/>
      <c r="F206" s="34" t="n"/>
      <c r="G206" s="34" t="n"/>
      <c r="H206" s="34" t="n"/>
      <c r="I206" s="35">
        <f>IFERROR(H206/(G206+H206),"")</f>
        <v/>
      </c>
      <c r="J206" s="13">
        <f>IFERROR(H206*VLOOKUP(C206,'Recetas y precios'!$A$5:$P$54,16,FALSE),"")</f>
        <v/>
      </c>
      <c r="K206" s="34" t="n"/>
      <c r="L206" s="34" t="n"/>
    </row>
    <row r="207">
      <c r="A207" s="33" t="n"/>
      <c r="B207" s="34" t="n"/>
      <c r="C207" s="34" t="n"/>
      <c r="D207" s="7">
        <f>IFERROR(VLOOKUP(C207,'Recetas y precios'!$A$5:$B$54,2,FALSE),"")</f>
        <v/>
      </c>
      <c r="E207" s="34" t="n"/>
      <c r="F207" s="34" t="n"/>
      <c r="G207" s="34" t="n"/>
      <c r="H207" s="34" t="n"/>
      <c r="I207" s="35">
        <f>IFERROR(H207/(G207+H207),"")</f>
        <v/>
      </c>
      <c r="J207" s="13">
        <f>IFERROR(H207*VLOOKUP(C207,'Recetas y precios'!$A$5:$P$54,16,FALSE),"")</f>
        <v/>
      </c>
      <c r="K207" s="34" t="n"/>
      <c r="L207" s="34" t="n"/>
    </row>
    <row r="208">
      <c r="A208" s="33" t="n"/>
      <c r="B208" s="34" t="n"/>
      <c r="C208" s="34" t="n"/>
      <c r="D208" s="7">
        <f>IFERROR(VLOOKUP(C208,'Recetas y precios'!$A$5:$B$54,2,FALSE),"")</f>
        <v/>
      </c>
      <c r="E208" s="34" t="n"/>
      <c r="F208" s="34" t="n"/>
      <c r="G208" s="34" t="n"/>
      <c r="H208" s="34" t="n"/>
      <c r="I208" s="35">
        <f>IFERROR(H208/(G208+H208),"")</f>
        <v/>
      </c>
      <c r="J208" s="13">
        <f>IFERROR(H208*VLOOKUP(C208,'Recetas y precios'!$A$5:$P$54,16,FALSE),"")</f>
        <v/>
      </c>
      <c r="K208" s="34" t="n"/>
      <c r="L208" s="34" t="n"/>
    </row>
    <row r="209">
      <c r="A209" s="33" t="n"/>
      <c r="B209" s="34" t="n"/>
      <c r="C209" s="34" t="n"/>
      <c r="D209" s="7">
        <f>IFERROR(VLOOKUP(C209,'Recetas y precios'!$A$5:$B$54,2,FALSE),"")</f>
        <v/>
      </c>
      <c r="E209" s="34" t="n"/>
      <c r="F209" s="34" t="n"/>
      <c r="G209" s="34" t="n"/>
      <c r="H209" s="34" t="n"/>
      <c r="I209" s="35">
        <f>IFERROR(H209/(G209+H209),"")</f>
        <v/>
      </c>
      <c r="J209" s="13">
        <f>IFERROR(H209*VLOOKUP(C209,'Recetas y precios'!$A$5:$P$54,16,FALSE),"")</f>
        <v/>
      </c>
      <c r="K209" s="34" t="n"/>
      <c r="L209" s="34" t="n"/>
    </row>
    <row r="210">
      <c r="A210" s="33" t="n"/>
      <c r="B210" s="34" t="n"/>
      <c r="C210" s="34" t="n"/>
      <c r="D210" s="7">
        <f>IFERROR(VLOOKUP(C210,'Recetas y precios'!$A$5:$B$54,2,FALSE),"")</f>
        <v/>
      </c>
      <c r="E210" s="34" t="n"/>
      <c r="F210" s="34" t="n"/>
      <c r="G210" s="34" t="n"/>
      <c r="H210" s="34" t="n"/>
      <c r="I210" s="35">
        <f>IFERROR(H210/(G210+H210),"")</f>
        <v/>
      </c>
      <c r="J210" s="13">
        <f>IFERROR(H210*VLOOKUP(C210,'Recetas y precios'!$A$5:$P$54,16,FALSE),"")</f>
        <v/>
      </c>
      <c r="K210" s="34" t="n"/>
      <c r="L210" s="34" t="n"/>
    </row>
    <row r="211">
      <c r="A211" s="33" t="n"/>
      <c r="B211" s="34" t="n"/>
      <c r="C211" s="34" t="n"/>
      <c r="D211" s="7">
        <f>IFERROR(VLOOKUP(C211,'Recetas y precios'!$A$5:$B$54,2,FALSE),"")</f>
        <v/>
      </c>
      <c r="E211" s="34" t="n"/>
      <c r="F211" s="34" t="n"/>
      <c r="G211" s="34" t="n"/>
      <c r="H211" s="34" t="n"/>
      <c r="I211" s="35">
        <f>IFERROR(H211/(G211+H211),"")</f>
        <v/>
      </c>
      <c r="J211" s="13">
        <f>IFERROR(H211*VLOOKUP(C211,'Recetas y precios'!$A$5:$P$54,16,FALSE),"")</f>
        <v/>
      </c>
      <c r="K211" s="34" t="n"/>
      <c r="L211" s="34" t="n"/>
    </row>
    <row r="212">
      <c r="A212" s="33" t="n"/>
      <c r="B212" s="34" t="n"/>
      <c r="C212" s="34" t="n"/>
      <c r="D212" s="7">
        <f>IFERROR(VLOOKUP(C212,'Recetas y precios'!$A$5:$B$54,2,FALSE),"")</f>
        <v/>
      </c>
      <c r="E212" s="34" t="n"/>
      <c r="F212" s="34" t="n"/>
      <c r="G212" s="34" t="n"/>
      <c r="H212" s="34" t="n"/>
      <c r="I212" s="35">
        <f>IFERROR(H212/(G212+H212),"")</f>
        <v/>
      </c>
      <c r="J212" s="13">
        <f>IFERROR(H212*VLOOKUP(C212,'Recetas y precios'!$A$5:$P$54,16,FALSE),"")</f>
        <v/>
      </c>
      <c r="K212" s="34" t="n"/>
      <c r="L212" s="34" t="n"/>
    </row>
    <row r="213">
      <c r="A213" s="33" t="n"/>
      <c r="B213" s="34" t="n"/>
      <c r="C213" s="34" t="n"/>
      <c r="D213" s="7">
        <f>IFERROR(VLOOKUP(C213,'Recetas y precios'!$A$5:$B$54,2,FALSE),"")</f>
        <v/>
      </c>
      <c r="E213" s="34" t="n"/>
      <c r="F213" s="34" t="n"/>
      <c r="G213" s="34" t="n"/>
      <c r="H213" s="34" t="n"/>
      <c r="I213" s="35">
        <f>IFERROR(H213/(G213+H213),"")</f>
        <v/>
      </c>
      <c r="J213" s="13">
        <f>IFERROR(H213*VLOOKUP(C213,'Recetas y precios'!$A$5:$P$54,16,FALSE),"")</f>
        <v/>
      </c>
      <c r="K213" s="34" t="n"/>
      <c r="L213" s="34" t="n"/>
    </row>
    <row r="214">
      <c r="A214" s="33" t="n"/>
      <c r="B214" s="34" t="n"/>
      <c r="C214" s="34" t="n"/>
      <c r="D214" s="7">
        <f>IFERROR(VLOOKUP(C214,'Recetas y precios'!$A$5:$B$54,2,FALSE),"")</f>
        <v/>
      </c>
      <c r="E214" s="34" t="n"/>
      <c r="F214" s="34" t="n"/>
      <c r="G214" s="34" t="n"/>
      <c r="H214" s="34" t="n"/>
      <c r="I214" s="35">
        <f>IFERROR(H214/(G214+H214),"")</f>
        <v/>
      </c>
      <c r="J214" s="13">
        <f>IFERROR(H214*VLOOKUP(C214,'Recetas y precios'!$A$5:$P$54,16,FALSE),"")</f>
        <v/>
      </c>
      <c r="K214" s="34" t="n"/>
      <c r="L214" s="34" t="n"/>
    </row>
    <row r="215">
      <c r="A215" s="33" t="n"/>
      <c r="B215" s="34" t="n"/>
      <c r="C215" s="34" t="n"/>
      <c r="D215" s="7">
        <f>IFERROR(VLOOKUP(C215,'Recetas y precios'!$A$5:$B$54,2,FALSE),"")</f>
        <v/>
      </c>
      <c r="E215" s="34" t="n"/>
      <c r="F215" s="34" t="n"/>
      <c r="G215" s="34" t="n"/>
      <c r="H215" s="34" t="n"/>
      <c r="I215" s="35">
        <f>IFERROR(H215/(G215+H215),"")</f>
        <v/>
      </c>
      <c r="J215" s="13">
        <f>IFERROR(H215*VLOOKUP(C215,'Recetas y precios'!$A$5:$P$54,16,FALSE),"")</f>
        <v/>
      </c>
      <c r="K215" s="34" t="n"/>
      <c r="L215" s="34" t="n"/>
    </row>
    <row r="216">
      <c r="A216" s="33" t="n"/>
      <c r="B216" s="34" t="n"/>
      <c r="C216" s="34" t="n"/>
      <c r="D216" s="7">
        <f>IFERROR(VLOOKUP(C216,'Recetas y precios'!$A$5:$B$54,2,FALSE),"")</f>
        <v/>
      </c>
      <c r="E216" s="34" t="n"/>
      <c r="F216" s="34" t="n"/>
      <c r="G216" s="34" t="n"/>
      <c r="H216" s="34" t="n"/>
      <c r="I216" s="35">
        <f>IFERROR(H216/(G216+H216),"")</f>
        <v/>
      </c>
      <c r="J216" s="13">
        <f>IFERROR(H216*VLOOKUP(C216,'Recetas y precios'!$A$5:$P$54,16,FALSE),"")</f>
        <v/>
      </c>
      <c r="K216" s="34" t="n"/>
      <c r="L216" s="34" t="n"/>
    </row>
    <row r="217">
      <c r="A217" s="33" t="n"/>
      <c r="B217" s="34" t="n"/>
      <c r="C217" s="34" t="n"/>
      <c r="D217" s="7">
        <f>IFERROR(VLOOKUP(C217,'Recetas y precios'!$A$5:$B$54,2,FALSE),"")</f>
        <v/>
      </c>
      <c r="E217" s="34" t="n"/>
      <c r="F217" s="34" t="n"/>
      <c r="G217" s="34" t="n"/>
      <c r="H217" s="34" t="n"/>
      <c r="I217" s="35">
        <f>IFERROR(H217/(G217+H217),"")</f>
        <v/>
      </c>
      <c r="J217" s="13">
        <f>IFERROR(H217*VLOOKUP(C217,'Recetas y precios'!$A$5:$P$54,16,FALSE),"")</f>
        <v/>
      </c>
      <c r="K217" s="34" t="n"/>
      <c r="L217" s="34" t="n"/>
    </row>
    <row r="218">
      <c r="A218" s="33" t="n"/>
      <c r="B218" s="34" t="n"/>
      <c r="C218" s="34" t="n"/>
      <c r="D218" s="7">
        <f>IFERROR(VLOOKUP(C218,'Recetas y precios'!$A$5:$B$54,2,FALSE),"")</f>
        <v/>
      </c>
      <c r="E218" s="34" t="n"/>
      <c r="F218" s="34" t="n"/>
      <c r="G218" s="34" t="n"/>
      <c r="H218" s="34" t="n"/>
      <c r="I218" s="35">
        <f>IFERROR(H218/(G218+H218),"")</f>
        <v/>
      </c>
      <c r="J218" s="13">
        <f>IFERROR(H218*VLOOKUP(C218,'Recetas y precios'!$A$5:$P$54,16,FALSE),"")</f>
        <v/>
      </c>
      <c r="K218" s="34" t="n"/>
      <c r="L218" s="34" t="n"/>
    </row>
    <row r="219">
      <c r="A219" s="33" t="n"/>
      <c r="B219" s="34" t="n"/>
      <c r="C219" s="34" t="n"/>
      <c r="D219" s="7">
        <f>IFERROR(VLOOKUP(C219,'Recetas y precios'!$A$5:$B$54,2,FALSE),"")</f>
        <v/>
      </c>
      <c r="E219" s="34" t="n"/>
      <c r="F219" s="34" t="n"/>
      <c r="G219" s="34" t="n"/>
      <c r="H219" s="34" t="n"/>
      <c r="I219" s="35">
        <f>IFERROR(H219/(G219+H219),"")</f>
        <v/>
      </c>
      <c r="J219" s="13">
        <f>IFERROR(H219*VLOOKUP(C219,'Recetas y precios'!$A$5:$P$54,16,FALSE),"")</f>
        <v/>
      </c>
      <c r="K219" s="34" t="n"/>
      <c r="L219" s="34" t="n"/>
    </row>
    <row r="220">
      <c r="A220" s="33" t="n"/>
      <c r="B220" s="34" t="n"/>
      <c r="C220" s="34" t="n"/>
      <c r="D220" s="7">
        <f>IFERROR(VLOOKUP(C220,'Recetas y precios'!$A$5:$B$54,2,FALSE),"")</f>
        <v/>
      </c>
      <c r="E220" s="34" t="n"/>
      <c r="F220" s="34" t="n"/>
      <c r="G220" s="34" t="n"/>
      <c r="H220" s="34" t="n"/>
      <c r="I220" s="35">
        <f>IFERROR(H220/(G220+H220),"")</f>
        <v/>
      </c>
      <c r="J220" s="13">
        <f>IFERROR(H220*VLOOKUP(C220,'Recetas y precios'!$A$5:$P$54,16,FALSE),"")</f>
        <v/>
      </c>
      <c r="K220" s="34" t="n"/>
      <c r="L220" s="34" t="n"/>
    </row>
    <row r="221">
      <c r="A221" s="33" t="n"/>
      <c r="B221" s="34" t="n"/>
      <c r="C221" s="34" t="n"/>
      <c r="D221" s="7">
        <f>IFERROR(VLOOKUP(C221,'Recetas y precios'!$A$5:$B$54,2,FALSE),"")</f>
        <v/>
      </c>
      <c r="E221" s="34" t="n"/>
      <c r="F221" s="34" t="n"/>
      <c r="G221" s="34" t="n"/>
      <c r="H221" s="34" t="n"/>
      <c r="I221" s="35">
        <f>IFERROR(H221/(G221+H221),"")</f>
        <v/>
      </c>
      <c r="J221" s="13">
        <f>IFERROR(H221*VLOOKUP(C221,'Recetas y precios'!$A$5:$P$54,16,FALSE),"")</f>
        <v/>
      </c>
      <c r="K221" s="34" t="n"/>
      <c r="L221" s="34" t="n"/>
    </row>
    <row r="222">
      <c r="A222" s="33" t="n"/>
      <c r="B222" s="34" t="n"/>
      <c r="C222" s="34" t="n"/>
      <c r="D222" s="7">
        <f>IFERROR(VLOOKUP(C222,'Recetas y precios'!$A$5:$B$54,2,FALSE),"")</f>
        <v/>
      </c>
      <c r="E222" s="34" t="n"/>
      <c r="F222" s="34" t="n"/>
      <c r="G222" s="34" t="n"/>
      <c r="H222" s="34" t="n"/>
      <c r="I222" s="35">
        <f>IFERROR(H222/(G222+H222),"")</f>
        <v/>
      </c>
      <c r="J222" s="13">
        <f>IFERROR(H222*VLOOKUP(C222,'Recetas y precios'!$A$5:$P$54,16,FALSE),"")</f>
        <v/>
      </c>
      <c r="K222" s="34" t="n"/>
      <c r="L222" s="34" t="n"/>
    </row>
    <row r="223">
      <c r="A223" s="33" t="n"/>
      <c r="B223" s="34" t="n"/>
      <c r="C223" s="34" t="n"/>
      <c r="D223" s="7">
        <f>IFERROR(VLOOKUP(C223,'Recetas y precios'!$A$5:$B$54,2,FALSE),"")</f>
        <v/>
      </c>
      <c r="E223" s="34" t="n"/>
      <c r="F223" s="34" t="n"/>
      <c r="G223" s="34" t="n"/>
      <c r="H223" s="34" t="n"/>
      <c r="I223" s="35">
        <f>IFERROR(H223/(G223+H223),"")</f>
        <v/>
      </c>
      <c r="J223" s="13">
        <f>IFERROR(H223*VLOOKUP(C223,'Recetas y precios'!$A$5:$P$54,16,FALSE),"")</f>
        <v/>
      </c>
      <c r="K223" s="34" t="n"/>
      <c r="L223" s="34" t="n"/>
    </row>
    <row r="224">
      <c r="A224" s="33" t="n"/>
      <c r="B224" s="34" t="n"/>
      <c r="C224" s="34" t="n"/>
      <c r="D224" s="7">
        <f>IFERROR(VLOOKUP(C224,'Recetas y precios'!$A$5:$B$54,2,FALSE),"")</f>
        <v/>
      </c>
      <c r="E224" s="34" t="n"/>
      <c r="F224" s="34" t="n"/>
      <c r="G224" s="34" t="n"/>
      <c r="H224" s="34" t="n"/>
      <c r="I224" s="35">
        <f>IFERROR(H224/(G224+H224),"")</f>
        <v/>
      </c>
      <c r="J224" s="13">
        <f>IFERROR(H224*VLOOKUP(C224,'Recetas y precios'!$A$5:$P$54,16,FALSE),"")</f>
        <v/>
      </c>
      <c r="K224" s="34" t="n"/>
      <c r="L224" s="34" t="n"/>
    </row>
    <row r="225">
      <c r="A225" s="33" t="n"/>
      <c r="B225" s="34" t="n"/>
      <c r="C225" s="34" t="n"/>
      <c r="D225" s="7">
        <f>IFERROR(VLOOKUP(C225,'Recetas y precios'!$A$5:$B$54,2,FALSE),"")</f>
        <v/>
      </c>
      <c r="E225" s="34" t="n"/>
      <c r="F225" s="34" t="n"/>
      <c r="G225" s="34" t="n"/>
      <c r="H225" s="34" t="n"/>
      <c r="I225" s="35">
        <f>IFERROR(H225/(G225+H225),"")</f>
        <v/>
      </c>
      <c r="J225" s="13">
        <f>IFERROR(H225*VLOOKUP(C225,'Recetas y precios'!$A$5:$P$54,16,FALSE),"")</f>
        <v/>
      </c>
      <c r="K225" s="34" t="n"/>
      <c r="L225" s="34" t="n"/>
    </row>
    <row r="226">
      <c r="A226" s="33" t="n"/>
      <c r="B226" s="34" t="n"/>
      <c r="C226" s="34" t="n"/>
      <c r="D226" s="7">
        <f>IFERROR(VLOOKUP(C226,'Recetas y precios'!$A$5:$B$54,2,FALSE),"")</f>
        <v/>
      </c>
      <c r="E226" s="34" t="n"/>
      <c r="F226" s="34" t="n"/>
      <c r="G226" s="34" t="n"/>
      <c r="H226" s="34" t="n"/>
      <c r="I226" s="35">
        <f>IFERROR(H226/(G226+H226),"")</f>
        <v/>
      </c>
      <c r="J226" s="13">
        <f>IFERROR(H226*VLOOKUP(C226,'Recetas y precios'!$A$5:$P$54,16,FALSE),"")</f>
        <v/>
      </c>
      <c r="K226" s="34" t="n"/>
      <c r="L226" s="34" t="n"/>
    </row>
    <row r="227">
      <c r="A227" s="33" t="n"/>
      <c r="B227" s="34" t="n"/>
      <c r="C227" s="34" t="n"/>
      <c r="D227" s="7">
        <f>IFERROR(VLOOKUP(C227,'Recetas y precios'!$A$5:$B$54,2,FALSE),"")</f>
        <v/>
      </c>
      <c r="E227" s="34" t="n"/>
      <c r="F227" s="34" t="n"/>
      <c r="G227" s="34" t="n"/>
      <c r="H227" s="34" t="n"/>
      <c r="I227" s="35">
        <f>IFERROR(H227/(G227+H227),"")</f>
        <v/>
      </c>
      <c r="J227" s="13">
        <f>IFERROR(H227*VLOOKUP(C227,'Recetas y precios'!$A$5:$P$54,16,FALSE),"")</f>
        <v/>
      </c>
      <c r="K227" s="34" t="n"/>
      <c r="L227" s="34" t="n"/>
    </row>
    <row r="228">
      <c r="A228" s="33" t="n"/>
      <c r="B228" s="34" t="n"/>
      <c r="C228" s="34" t="n"/>
      <c r="D228" s="7">
        <f>IFERROR(VLOOKUP(C228,'Recetas y precios'!$A$5:$B$54,2,FALSE),"")</f>
        <v/>
      </c>
      <c r="E228" s="34" t="n"/>
      <c r="F228" s="34" t="n"/>
      <c r="G228" s="34" t="n"/>
      <c r="H228" s="34" t="n"/>
      <c r="I228" s="35">
        <f>IFERROR(H228/(G228+H228),"")</f>
        <v/>
      </c>
      <c r="J228" s="13">
        <f>IFERROR(H228*VLOOKUP(C228,'Recetas y precios'!$A$5:$P$54,16,FALSE),"")</f>
        <v/>
      </c>
      <c r="K228" s="34" t="n"/>
      <c r="L228" s="34" t="n"/>
    </row>
    <row r="229">
      <c r="A229" s="33" t="n"/>
      <c r="B229" s="34" t="n"/>
      <c r="C229" s="34" t="n"/>
      <c r="D229" s="7">
        <f>IFERROR(VLOOKUP(C229,'Recetas y precios'!$A$5:$B$54,2,FALSE),"")</f>
        <v/>
      </c>
      <c r="E229" s="34" t="n"/>
      <c r="F229" s="34" t="n"/>
      <c r="G229" s="34" t="n"/>
      <c r="H229" s="34" t="n"/>
      <c r="I229" s="35">
        <f>IFERROR(H229/(G229+H229),"")</f>
        <v/>
      </c>
      <c r="J229" s="13">
        <f>IFERROR(H229*VLOOKUP(C229,'Recetas y precios'!$A$5:$P$54,16,FALSE),"")</f>
        <v/>
      </c>
      <c r="K229" s="34" t="n"/>
      <c r="L229" s="34" t="n"/>
    </row>
    <row r="230">
      <c r="A230" s="33" t="n"/>
      <c r="B230" s="34" t="n"/>
      <c r="C230" s="34" t="n"/>
      <c r="D230" s="7">
        <f>IFERROR(VLOOKUP(C230,'Recetas y precios'!$A$5:$B$54,2,FALSE),"")</f>
        <v/>
      </c>
      <c r="E230" s="34" t="n"/>
      <c r="F230" s="34" t="n"/>
      <c r="G230" s="34" t="n"/>
      <c r="H230" s="34" t="n"/>
      <c r="I230" s="35">
        <f>IFERROR(H230/(G230+H230),"")</f>
        <v/>
      </c>
      <c r="J230" s="13">
        <f>IFERROR(H230*VLOOKUP(C230,'Recetas y precios'!$A$5:$P$54,16,FALSE),"")</f>
        <v/>
      </c>
      <c r="K230" s="34" t="n"/>
      <c r="L230" s="34" t="n"/>
    </row>
    <row r="231">
      <c r="A231" s="33" t="n"/>
      <c r="B231" s="34" t="n"/>
      <c r="C231" s="34" t="n"/>
      <c r="D231" s="7">
        <f>IFERROR(VLOOKUP(C231,'Recetas y precios'!$A$5:$B$54,2,FALSE),"")</f>
        <v/>
      </c>
      <c r="E231" s="34" t="n"/>
      <c r="F231" s="34" t="n"/>
      <c r="G231" s="34" t="n"/>
      <c r="H231" s="34" t="n"/>
      <c r="I231" s="35">
        <f>IFERROR(H231/(G231+H231),"")</f>
        <v/>
      </c>
      <c r="J231" s="13">
        <f>IFERROR(H231*VLOOKUP(C231,'Recetas y precios'!$A$5:$P$54,16,FALSE),"")</f>
        <v/>
      </c>
      <c r="K231" s="34" t="n"/>
      <c r="L231" s="34" t="n"/>
    </row>
    <row r="232">
      <c r="A232" s="33" t="n"/>
      <c r="B232" s="34" t="n"/>
      <c r="C232" s="34" t="n"/>
      <c r="D232" s="7">
        <f>IFERROR(VLOOKUP(C232,'Recetas y precios'!$A$5:$B$54,2,FALSE),"")</f>
        <v/>
      </c>
      <c r="E232" s="34" t="n"/>
      <c r="F232" s="34" t="n"/>
      <c r="G232" s="34" t="n"/>
      <c r="H232" s="34" t="n"/>
      <c r="I232" s="35">
        <f>IFERROR(H232/(G232+H232),"")</f>
        <v/>
      </c>
      <c r="J232" s="13">
        <f>IFERROR(H232*VLOOKUP(C232,'Recetas y precios'!$A$5:$P$54,16,FALSE),"")</f>
        <v/>
      </c>
      <c r="K232" s="34" t="n"/>
      <c r="L232" s="34" t="n"/>
    </row>
    <row r="233">
      <c r="A233" s="33" t="n"/>
      <c r="B233" s="34" t="n"/>
      <c r="C233" s="34" t="n"/>
      <c r="D233" s="7">
        <f>IFERROR(VLOOKUP(C233,'Recetas y precios'!$A$5:$B$54,2,FALSE),"")</f>
        <v/>
      </c>
      <c r="E233" s="34" t="n"/>
      <c r="F233" s="34" t="n"/>
      <c r="G233" s="34" t="n"/>
      <c r="H233" s="34" t="n"/>
      <c r="I233" s="35">
        <f>IFERROR(H233/(G233+H233),"")</f>
        <v/>
      </c>
      <c r="J233" s="13">
        <f>IFERROR(H233*VLOOKUP(C233,'Recetas y precios'!$A$5:$P$54,16,FALSE),"")</f>
        <v/>
      </c>
      <c r="K233" s="34" t="n"/>
      <c r="L233" s="34" t="n"/>
    </row>
    <row r="234">
      <c r="A234" s="33" t="n"/>
      <c r="B234" s="34" t="n"/>
      <c r="C234" s="34" t="n"/>
      <c r="D234" s="7">
        <f>IFERROR(VLOOKUP(C234,'Recetas y precios'!$A$5:$B$54,2,FALSE),"")</f>
        <v/>
      </c>
      <c r="E234" s="34" t="n"/>
      <c r="F234" s="34" t="n"/>
      <c r="G234" s="34" t="n"/>
      <c r="H234" s="34" t="n"/>
      <c r="I234" s="35">
        <f>IFERROR(H234/(G234+H234),"")</f>
        <v/>
      </c>
      <c r="J234" s="13">
        <f>IFERROR(H234*VLOOKUP(C234,'Recetas y precios'!$A$5:$P$54,16,FALSE),"")</f>
        <v/>
      </c>
      <c r="K234" s="34" t="n"/>
      <c r="L234" s="34" t="n"/>
    </row>
    <row r="235">
      <c r="A235" s="33" t="n"/>
      <c r="B235" s="34" t="n"/>
      <c r="C235" s="34" t="n"/>
      <c r="D235" s="7">
        <f>IFERROR(VLOOKUP(C235,'Recetas y precios'!$A$5:$B$54,2,FALSE),"")</f>
        <v/>
      </c>
      <c r="E235" s="34" t="n"/>
      <c r="F235" s="34" t="n"/>
      <c r="G235" s="34" t="n"/>
      <c r="H235" s="34" t="n"/>
      <c r="I235" s="35">
        <f>IFERROR(H235/(G235+H235),"")</f>
        <v/>
      </c>
      <c r="J235" s="13">
        <f>IFERROR(H235*VLOOKUP(C235,'Recetas y precios'!$A$5:$P$54,16,FALSE),"")</f>
        <v/>
      </c>
      <c r="K235" s="34" t="n"/>
      <c r="L235" s="34" t="n"/>
    </row>
    <row r="236">
      <c r="A236" s="33" t="n"/>
      <c r="B236" s="34" t="n"/>
      <c r="C236" s="34" t="n"/>
      <c r="D236" s="7">
        <f>IFERROR(VLOOKUP(C236,'Recetas y precios'!$A$5:$B$54,2,FALSE),"")</f>
        <v/>
      </c>
      <c r="E236" s="34" t="n"/>
      <c r="F236" s="34" t="n"/>
      <c r="G236" s="34" t="n"/>
      <c r="H236" s="34" t="n"/>
      <c r="I236" s="35">
        <f>IFERROR(H236/(G236+H236),"")</f>
        <v/>
      </c>
      <c r="J236" s="13">
        <f>IFERROR(H236*VLOOKUP(C236,'Recetas y precios'!$A$5:$P$54,16,FALSE),"")</f>
        <v/>
      </c>
      <c r="K236" s="34" t="n"/>
      <c r="L236" s="34" t="n"/>
    </row>
    <row r="237">
      <c r="A237" s="33" t="n"/>
      <c r="B237" s="34" t="n"/>
      <c r="C237" s="34" t="n"/>
      <c r="D237" s="7">
        <f>IFERROR(VLOOKUP(C237,'Recetas y precios'!$A$5:$B$54,2,FALSE),"")</f>
        <v/>
      </c>
      <c r="E237" s="34" t="n"/>
      <c r="F237" s="34" t="n"/>
      <c r="G237" s="34" t="n"/>
      <c r="H237" s="34" t="n"/>
      <c r="I237" s="35">
        <f>IFERROR(H237/(G237+H237),"")</f>
        <v/>
      </c>
      <c r="J237" s="13">
        <f>IFERROR(H237*VLOOKUP(C237,'Recetas y precios'!$A$5:$P$54,16,FALSE),"")</f>
        <v/>
      </c>
      <c r="K237" s="34" t="n"/>
      <c r="L237" s="34" t="n"/>
    </row>
    <row r="238">
      <c r="A238" s="33" t="n"/>
      <c r="B238" s="34" t="n"/>
      <c r="C238" s="34" t="n"/>
      <c r="D238" s="7">
        <f>IFERROR(VLOOKUP(C238,'Recetas y precios'!$A$5:$B$54,2,FALSE),"")</f>
        <v/>
      </c>
      <c r="E238" s="34" t="n"/>
      <c r="F238" s="34" t="n"/>
      <c r="G238" s="34" t="n"/>
      <c r="H238" s="34" t="n"/>
      <c r="I238" s="35">
        <f>IFERROR(H238/(G238+H238),"")</f>
        <v/>
      </c>
      <c r="J238" s="13">
        <f>IFERROR(H238*VLOOKUP(C238,'Recetas y precios'!$A$5:$P$54,16,FALSE),"")</f>
        <v/>
      </c>
      <c r="K238" s="34" t="n"/>
      <c r="L238" s="34" t="n"/>
    </row>
    <row r="239">
      <c r="A239" s="33" t="n"/>
      <c r="B239" s="34" t="n"/>
      <c r="C239" s="34" t="n"/>
      <c r="D239" s="7">
        <f>IFERROR(VLOOKUP(C239,'Recetas y precios'!$A$5:$B$54,2,FALSE),"")</f>
        <v/>
      </c>
      <c r="E239" s="34" t="n"/>
      <c r="F239" s="34" t="n"/>
      <c r="G239" s="34" t="n"/>
      <c r="H239" s="34" t="n"/>
      <c r="I239" s="35">
        <f>IFERROR(H239/(G239+H239),"")</f>
        <v/>
      </c>
      <c r="J239" s="13">
        <f>IFERROR(H239*VLOOKUP(C239,'Recetas y precios'!$A$5:$P$54,16,FALSE),"")</f>
        <v/>
      </c>
      <c r="K239" s="34" t="n"/>
      <c r="L239" s="34" t="n"/>
    </row>
    <row r="240">
      <c r="A240" s="33" t="n"/>
      <c r="B240" s="34" t="n"/>
      <c r="C240" s="34" t="n"/>
      <c r="D240" s="7">
        <f>IFERROR(VLOOKUP(C240,'Recetas y precios'!$A$5:$B$54,2,FALSE),"")</f>
        <v/>
      </c>
      <c r="E240" s="34" t="n"/>
      <c r="F240" s="34" t="n"/>
      <c r="G240" s="34" t="n"/>
      <c r="H240" s="34" t="n"/>
      <c r="I240" s="35">
        <f>IFERROR(H240/(G240+H240),"")</f>
        <v/>
      </c>
      <c r="J240" s="13">
        <f>IFERROR(H240*VLOOKUP(C240,'Recetas y precios'!$A$5:$P$54,16,FALSE),"")</f>
        <v/>
      </c>
      <c r="K240" s="34" t="n"/>
      <c r="L240" s="34" t="n"/>
    </row>
    <row r="241">
      <c r="A241" s="33" t="n"/>
      <c r="B241" s="34" t="n"/>
      <c r="C241" s="34" t="n"/>
      <c r="D241" s="7">
        <f>IFERROR(VLOOKUP(C241,'Recetas y precios'!$A$5:$B$54,2,FALSE),"")</f>
        <v/>
      </c>
      <c r="E241" s="34" t="n"/>
      <c r="F241" s="34" t="n"/>
      <c r="G241" s="34" t="n"/>
      <c r="H241" s="34" t="n"/>
      <c r="I241" s="35">
        <f>IFERROR(H241/(G241+H241),"")</f>
        <v/>
      </c>
      <c r="J241" s="13">
        <f>IFERROR(H241*VLOOKUP(C241,'Recetas y precios'!$A$5:$P$54,16,FALSE),"")</f>
        <v/>
      </c>
      <c r="K241" s="34" t="n"/>
      <c r="L241" s="34" t="n"/>
    </row>
    <row r="242">
      <c r="A242" s="33" t="n"/>
      <c r="B242" s="34" t="n"/>
      <c r="C242" s="34" t="n"/>
      <c r="D242" s="7">
        <f>IFERROR(VLOOKUP(C242,'Recetas y precios'!$A$5:$B$54,2,FALSE),"")</f>
        <v/>
      </c>
      <c r="E242" s="34" t="n"/>
      <c r="F242" s="34" t="n"/>
      <c r="G242" s="34" t="n"/>
      <c r="H242" s="34" t="n"/>
      <c r="I242" s="35">
        <f>IFERROR(H242/(G242+H242),"")</f>
        <v/>
      </c>
      <c r="J242" s="13">
        <f>IFERROR(H242*VLOOKUP(C242,'Recetas y precios'!$A$5:$P$54,16,FALSE),"")</f>
        <v/>
      </c>
      <c r="K242" s="34" t="n"/>
      <c r="L242" s="34" t="n"/>
    </row>
    <row r="243">
      <c r="A243" s="33" t="n"/>
      <c r="B243" s="34" t="n"/>
      <c r="C243" s="34" t="n"/>
      <c r="D243" s="7">
        <f>IFERROR(VLOOKUP(C243,'Recetas y precios'!$A$5:$B$54,2,FALSE),"")</f>
        <v/>
      </c>
      <c r="E243" s="34" t="n"/>
      <c r="F243" s="34" t="n"/>
      <c r="G243" s="34" t="n"/>
      <c r="H243" s="34" t="n"/>
      <c r="I243" s="35">
        <f>IFERROR(H243/(G243+H243),"")</f>
        <v/>
      </c>
      <c r="J243" s="13">
        <f>IFERROR(H243*VLOOKUP(C243,'Recetas y precios'!$A$5:$P$54,16,FALSE),"")</f>
        <v/>
      </c>
      <c r="K243" s="34" t="n"/>
      <c r="L243" s="34" t="n"/>
    </row>
    <row r="244">
      <c r="A244" s="33" t="n"/>
      <c r="B244" s="34" t="n"/>
      <c r="C244" s="34" t="n"/>
      <c r="D244" s="7">
        <f>IFERROR(VLOOKUP(C244,'Recetas y precios'!$A$5:$B$54,2,FALSE),"")</f>
        <v/>
      </c>
      <c r="E244" s="34" t="n"/>
      <c r="F244" s="34" t="n"/>
      <c r="G244" s="34" t="n"/>
      <c r="H244" s="34" t="n"/>
      <c r="I244" s="35">
        <f>IFERROR(H244/(G244+H244),"")</f>
        <v/>
      </c>
      <c r="J244" s="13">
        <f>IFERROR(H244*VLOOKUP(C244,'Recetas y precios'!$A$5:$P$54,16,FALSE),"")</f>
        <v/>
      </c>
      <c r="K244" s="34" t="n"/>
      <c r="L244" s="34" t="n"/>
    </row>
    <row r="245">
      <c r="A245" s="33" t="n"/>
      <c r="B245" s="34" t="n"/>
      <c r="C245" s="34" t="n"/>
      <c r="D245" s="7">
        <f>IFERROR(VLOOKUP(C245,'Recetas y precios'!$A$5:$B$54,2,FALSE),"")</f>
        <v/>
      </c>
      <c r="E245" s="34" t="n"/>
      <c r="F245" s="34" t="n"/>
      <c r="G245" s="34" t="n"/>
      <c r="H245" s="34" t="n"/>
      <c r="I245" s="35">
        <f>IFERROR(H245/(G245+H245),"")</f>
        <v/>
      </c>
      <c r="J245" s="13">
        <f>IFERROR(H245*VLOOKUP(C245,'Recetas y precios'!$A$5:$P$54,16,FALSE),"")</f>
        <v/>
      </c>
      <c r="K245" s="34" t="n"/>
      <c r="L245" s="34" t="n"/>
    </row>
    <row r="246">
      <c r="A246" s="33" t="n"/>
      <c r="B246" s="34" t="n"/>
      <c r="C246" s="34" t="n"/>
      <c r="D246" s="7">
        <f>IFERROR(VLOOKUP(C246,'Recetas y precios'!$A$5:$B$54,2,FALSE),"")</f>
        <v/>
      </c>
      <c r="E246" s="34" t="n"/>
      <c r="F246" s="34" t="n"/>
      <c r="G246" s="34" t="n"/>
      <c r="H246" s="34" t="n"/>
      <c r="I246" s="35">
        <f>IFERROR(H246/(G246+H246),"")</f>
        <v/>
      </c>
      <c r="J246" s="13">
        <f>IFERROR(H246*VLOOKUP(C246,'Recetas y precios'!$A$5:$P$54,16,FALSE),"")</f>
        <v/>
      </c>
      <c r="K246" s="34" t="n"/>
      <c r="L246" s="34" t="n"/>
    </row>
    <row r="247">
      <c r="A247" s="33" t="n"/>
      <c r="B247" s="34" t="n"/>
      <c r="C247" s="34" t="n"/>
      <c r="D247" s="7">
        <f>IFERROR(VLOOKUP(C247,'Recetas y precios'!$A$5:$B$54,2,FALSE),"")</f>
        <v/>
      </c>
      <c r="E247" s="34" t="n"/>
      <c r="F247" s="34" t="n"/>
      <c r="G247" s="34" t="n"/>
      <c r="H247" s="34" t="n"/>
      <c r="I247" s="35">
        <f>IFERROR(H247/(G247+H247),"")</f>
        <v/>
      </c>
      <c r="J247" s="13">
        <f>IFERROR(H247*VLOOKUP(C247,'Recetas y precios'!$A$5:$P$54,16,FALSE),"")</f>
        <v/>
      </c>
      <c r="K247" s="34" t="n"/>
      <c r="L247" s="34" t="n"/>
    </row>
    <row r="248">
      <c r="A248" s="33" t="n"/>
      <c r="B248" s="34" t="n"/>
      <c r="C248" s="34" t="n"/>
      <c r="D248" s="7">
        <f>IFERROR(VLOOKUP(C248,'Recetas y precios'!$A$5:$B$54,2,FALSE),"")</f>
        <v/>
      </c>
      <c r="E248" s="34" t="n"/>
      <c r="F248" s="34" t="n"/>
      <c r="G248" s="34" t="n"/>
      <c r="H248" s="34" t="n"/>
      <c r="I248" s="35">
        <f>IFERROR(H248/(G248+H248),"")</f>
        <v/>
      </c>
      <c r="J248" s="13">
        <f>IFERROR(H248*VLOOKUP(C248,'Recetas y precios'!$A$5:$P$54,16,FALSE),"")</f>
        <v/>
      </c>
      <c r="K248" s="34" t="n"/>
      <c r="L248" s="34" t="n"/>
    </row>
    <row r="249">
      <c r="A249" s="33" t="n"/>
      <c r="B249" s="34" t="n"/>
      <c r="C249" s="34" t="n"/>
      <c r="D249" s="7">
        <f>IFERROR(VLOOKUP(C249,'Recetas y precios'!$A$5:$B$54,2,FALSE),"")</f>
        <v/>
      </c>
      <c r="E249" s="34" t="n"/>
      <c r="F249" s="34" t="n"/>
      <c r="G249" s="34" t="n"/>
      <c r="H249" s="34" t="n"/>
      <c r="I249" s="35">
        <f>IFERROR(H249/(G249+H249),"")</f>
        <v/>
      </c>
      <c r="J249" s="13">
        <f>IFERROR(H249*VLOOKUP(C249,'Recetas y precios'!$A$5:$P$54,16,FALSE),"")</f>
        <v/>
      </c>
      <c r="K249" s="34" t="n"/>
      <c r="L249" s="34" t="n"/>
    </row>
    <row r="250">
      <c r="A250" s="33" t="n"/>
      <c r="B250" s="34" t="n"/>
      <c r="C250" s="34" t="n"/>
      <c r="D250" s="7">
        <f>IFERROR(VLOOKUP(C250,'Recetas y precios'!$A$5:$B$54,2,FALSE),"")</f>
        <v/>
      </c>
      <c r="E250" s="34" t="n"/>
      <c r="F250" s="34" t="n"/>
      <c r="G250" s="34" t="n"/>
      <c r="H250" s="34" t="n"/>
      <c r="I250" s="35">
        <f>IFERROR(H250/(G250+H250),"")</f>
        <v/>
      </c>
      <c r="J250" s="13">
        <f>IFERROR(H250*VLOOKUP(C250,'Recetas y precios'!$A$5:$P$54,16,FALSE),"")</f>
        <v/>
      </c>
      <c r="K250" s="34" t="n"/>
      <c r="L250" s="34" t="n"/>
    </row>
    <row r="251">
      <c r="A251" s="33" t="n"/>
      <c r="B251" s="34" t="n"/>
      <c r="C251" s="34" t="n"/>
      <c r="D251" s="7">
        <f>IFERROR(VLOOKUP(C251,'Recetas y precios'!$A$5:$B$54,2,FALSE),"")</f>
        <v/>
      </c>
      <c r="E251" s="34" t="n"/>
      <c r="F251" s="34" t="n"/>
      <c r="G251" s="34" t="n"/>
      <c r="H251" s="34" t="n"/>
      <c r="I251" s="35">
        <f>IFERROR(H251/(G251+H251),"")</f>
        <v/>
      </c>
      <c r="J251" s="13">
        <f>IFERROR(H251*VLOOKUP(C251,'Recetas y precios'!$A$5:$P$54,16,FALSE),"")</f>
        <v/>
      </c>
      <c r="K251" s="34" t="n"/>
      <c r="L251" s="34" t="n"/>
    </row>
    <row r="252">
      <c r="A252" s="33" t="n"/>
      <c r="B252" s="34" t="n"/>
      <c r="C252" s="34" t="n"/>
      <c r="D252" s="7">
        <f>IFERROR(VLOOKUP(C252,'Recetas y precios'!$A$5:$B$54,2,FALSE),"")</f>
        <v/>
      </c>
      <c r="E252" s="34" t="n"/>
      <c r="F252" s="34" t="n"/>
      <c r="G252" s="34" t="n"/>
      <c r="H252" s="34" t="n"/>
      <c r="I252" s="35">
        <f>IFERROR(H252/(G252+H252),"")</f>
        <v/>
      </c>
      <c r="J252" s="13">
        <f>IFERROR(H252*VLOOKUP(C252,'Recetas y precios'!$A$5:$P$54,16,FALSE),"")</f>
        <v/>
      </c>
      <c r="K252" s="34" t="n"/>
      <c r="L252" s="34" t="n"/>
    </row>
    <row r="253">
      <c r="A253" s="33" t="n"/>
      <c r="B253" s="34" t="n"/>
      <c r="C253" s="34" t="n"/>
      <c r="D253" s="7">
        <f>IFERROR(VLOOKUP(C253,'Recetas y precios'!$A$5:$B$54,2,FALSE),"")</f>
        <v/>
      </c>
      <c r="E253" s="34" t="n"/>
      <c r="F253" s="34" t="n"/>
      <c r="G253" s="34" t="n"/>
      <c r="H253" s="34" t="n"/>
      <c r="I253" s="35">
        <f>IFERROR(H253/(G253+H253),"")</f>
        <v/>
      </c>
      <c r="J253" s="13">
        <f>IFERROR(H253*VLOOKUP(C253,'Recetas y precios'!$A$5:$P$54,16,FALSE),"")</f>
        <v/>
      </c>
      <c r="K253" s="34" t="n"/>
      <c r="L253" s="34" t="n"/>
    </row>
    <row r="254">
      <c r="A254" s="33" t="n"/>
      <c r="B254" s="34" t="n"/>
      <c r="C254" s="34" t="n"/>
      <c r="D254" s="7">
        <f>IFERROR(VLOOKUP(C254,'Recetas y precios'!$A$5:$B$54,2,FALSE),"")</f>
        <v/>
      </c>
      <c r="E254" s="34" t="n"/>
      <c r="F254" s="34" t="n"/>
      <c r="G254" s="34" t="n"/>
      <c r="H254" s="34" t="n"/>
      <c r="I254" s="35">
        <f>IFERROR(H254/(G254+H254),"")</f>
        <v/>
      </c>
      <c r="J254" s="13">
        <f>IFERROR(H254*VLOOKUP(C254,'Recetas y precios'!$A$5:$P$54,16,FALSE),"")</f>
        <v/>
      </c>
      <c r="K254" s="34" t="n"/>
      <c r="L254" s="34" t="n"/>
    </row>
    <row r="255">
      <c r="A255" s="33" t="n"/>
      <c r="B255" s="34" t="n"/>
      <c r="C255" s="34" t="n"/>
      <c r="D255" s="7">
        <f>IFERROR(VLOOKUP(C255,'Recetas y precios'!$A$5:$B$54,2,FALSE),"")</f>
        <v/>
      </c>
      <c r="E255" s="34" t="n"/>
      <c r="F255" s="34" t="n"/>
      <c r="G255" s="34" t="n"/>
      <c r="H255" s="34" t="n"/>
      <c r="I255" s="35">
        <f>IFERROR(H255/(G255+H255),"")</f>
        <v/>
      </c>
      <c r="J255" s="13">
        <f>IFERROR(H255*VLOOKUP(C255,'Recetas y precios'!$A$5:$P$54,16,FALSE),"")</f>
        <v/>
      </c>
      <c r="K255" s="34" t="n"/>
      <c r="L255" s="34" t="n"/>
    </row>
    <row r="256">
      <c r="A256" s="33" t="n"/>
      <c r="B256" s="34" t="n"/>
      <c r="C256" s="34" t="n"/>
      <c r="D256" s="7">
        <f>IFERROR(VLOOKUP(C256,'Recetas y precios'!$A$5:$B$54,2,FALSE),"")</f>
        <v/>
      </c>
      <c r="E256" s="34" t="n"/>
      <c r="F256" s="34" t="n"/>
      <c r="G256" s="34" t="n"/>
      <c r="H256" s="34" t="n"/>
      <c r="I256" s="35">
        <f>IFERROR(H256/(G256+H256),"")</f>
        <v/>
      </c>
      <c r="J256" s="13">
        <f>IFERROR(H256*VLOOKUP(C256,'Recetas y precios'!$A$5:$P$54,16,FALSE),"")</f>
        <v/>
      </c>
      <c r="K256" s="34" t="n"/>
      <c r="L256" s="34" t="n"/>
    </row>
    <row r="257">
      <c r="A257" s="33" t="n"/>
      <c r="B257" s="34" t="n"/>
      <c r="C257" s="34" t="n"/>
      <c r="D257" s="7">
        <f>IFERROR(VLOOKUP(C257,'Recetas y precios'!$A$5:$B$54,2,FALSE),"")</f>
        <v/>
      </c>
      <c r="E257" s="34" t="n"/>
      <c r="F257" s="34" t="n"/>
      <c r="G257" s="34" t="n"/>
      <c r="H257" s="34" t="n"/>
      <c r="I257" s="35">
        <f>IFERROR(H257/(G257+H257),"")</f>
        <v/>
      </c>
      <c r="J257" s="13">
        <f>IFERROR(H257*VLOOKUP(C257,'Recetas y precios'!$A$5:$P$54,16,FALSE),"")</f>
        <v/>
      </c>
      <c r="K257" s="34" t="n"/>
      <c r="L257" s="34" t="n"/>
    </row>
    <row r="258">
      <c r="A258" s="33" t="n"/>
      <c r="B258" s="34" t="n"/>
      <c r="C258" s="34" t="n"/>
      <c r="D258" s="7">
        <f>IFERROR(VLOOKUP(C258,'Recetas y precios'!$A$5:$B$54,2,FALSE),"")</f>
        <v/>
      </c>
      <c r="E258" s="34" t="n"/>
      <c r="F258" s="34" t="n"/>
      <c r="G258" s="34" t="n"/>
      <c r="H258" s="34" t="n"/>
      <c r="I258" s="35">
        <f>IFERROR(H258/(G258+H258),"")</f>
        <v/>
      </c>
      <c r="J258" s="13">
        <f>IFERROR(H258*VLOOKUP(C258,'Recetas y precios'!$A$5:$P$54,16,FALSE),"")</f>
        <v/>
      </c>
      <c r="K258" s="34" t="n"/>
      <c r="L258" s="34" t="n"/>
    </row>
    <row r="259">
      <c r="A259" s="33" t="n"/>
      <c r="B259" s="34" t="n"/>
      <c r="C259" s="34" t="n"/>
      <c r="D259" s="7">
        <f>IFERROR(VLOOKUP(C259,'Recetas y precios'!$A$5:$B$54,2,FALSE),"")</f>
        <v/>
      </c>
      <c r="E259" s="34" t="n"/>
      <c r="F259" s="34" t="n"/>
      <c r="G259" s="34" t="n"/>
      <c r="H259" s="34" t="n"/>
      <c r="I259" s="35">
        <f>IFERROR(H259/(G259+H259),"")</f>
        <v/>
      </c>
      <c r="J259" s="13">
        <f>IFERROR(H259*VLOOKUP(C259,'Recetas y precios'!$A$5:$P$54,16,FALSE),"")</f>
        <v/>
      </c>
      <c r="K259" s="34" t="n"/>
      <c r="L259" s="34" t="n"/>
    </row>
    <row r="260">
      <c r="A260" s="33" t="n"/>
      <c r="B260" s="34" t="n"/>
      <c r="C260" s="34" t="n"/>
      <c r="D260" s="7">
        <f>IFERROR(VLOOKUP(C260,'Recetas y precios'!$A$5:$B$54,2,FALSE),"")</f>
        <v/>
      </c>
      <c r="E260" s="34" t="n"/>
      <c r="F260" s="34" t="n"/>
      <c r="G260" s="34" t="n"/>
      <c r="H260" s="34" t="n"/>
      <c r="I260" s="35">
        <f>IFERROR(H260/(G260+H260),"")</f>
        <v/>
      </c>
      <c r="J260" s="13">
        <f>IFERROR(H260*VLOOKUP(C260,'Recetas y precios'!$A$5:$P$54,16,FALSE),"")</f>
        <v/>
      </c>
      <c r="K260" s="34" t="n"/>
      <c r="L260" s="34" t="n"/>
    </row>
    <row r="261">
      <c r="A261" s="33" t="n"/>
      <c r="B261" s="34" t="n"/>
      <c r="C261" s="34" t="n"/>
      <c r="D261" s="7">
        <f>IFERROR(VLOOKUP(C261,'Recetas y precios'!$A$5:$B$54,2,FALSE),"")</f>
        <v/>
      </c>
      <c r="E261" s="34" t="n"/>
      <c r="F261" s="34" t="n"/>
      <c r="G261" s="34" t="n"/>
      <c r="H261" s="34" t="n"/>
      <c r="I261" s="35">
        <f>IFERROR(H261/(G261+H261),"")</f>
        <v/>
      </c>
      <c r="J261" s="13">
        <f>IFERROR(H261*VLOOKUP(C261,'Recetas y precios'!$A$5:$P$54,16,FALSE),"")</f>
        <v/>
      </c>
      <c r="K261" s="34" t="n"/>
      <c r="L261" s="34" t="n"/>
    </row>
    <row r="262">
      <c r="A262" s="33" t="n"/>
      <c r="B262" s="34" t="n"/>
      <c r="C262" s="34" t="n"/>
      <c r="D262" s="7">
        <f>IFERROR(VLOOKUP(C262,'Recetas y precios'!$A$5:$B$54,2,FALSE),"")</f>
        <v/>
      </c>
      <c r="E262" s="34" t="n"/>
      <c r="F262" s="34" t="n"/>
      <c r="G262" s="34" t="n"/>
      <c r="H262" s="34" t="n"/>
      <c r="I262" s="35">
        <f>IFERROR(H262/(G262+H262),"")</f>
        <v/>
      </c>
      <c r="J262" s="13">
        <f>IFERROR(H262*VLOOKUP(C262,'Recetas y precios'!$A$5:$P$54,16,FALSE),"")</f>
        <v/>
      </c>
      <c r="K262" s="34" t="n"/>
      <c r="L262" s="34" t="n"/>
    </row>
    <row r="263">
      <c r="A263" s="33" t="n"/>
      <c r="B263" s="34" t="n"/>
      <c r="C263" s="34" t="n"/>
      <c r="D263" s="7">
        <f>IFERROR(VLOOKUP(C263,'Recetas y precios'!$A$5:$B$54,2,FALSE),"")</f>
        <v/>
      </c>
      <c r="E263" s="34" t="n"/>
      <c r="F263" s="34" t="n"/>
      <c r="G263" s="34" t="n"/>
      <c r="H263" s="34" t="n"/>
      <c r="I263" s="35">
        <f>IFERROR(H263/(G263+H263),"")</f>
        <v/>
      </c>
      <c r="J263" s="13">
        <f>IFERROR(H263*VLOOKUP(C263,'Recetas y precios'!$A$5:$P$54,16,FALSE),"")</f>
        <v/>
      </c>
      <c r="K263" s="34" t="n"/>
      <c r="L263" s="34" t="n"/>
    </row>
    <row r="264">
      <c r="A264" s="33" t="n"/>
      <c r="B264" s="34" t="n"/>
      <c r="C264" s="34" t="n"/>
      <c r="D264" s="7">
        <f>IFERROR(VLOOKUP(C264,'Recetas y precios'!$A$5:$B$54,2,FALSE),"")</f>
        <v/>
      </c>
      <c r="E264" s="34" t="n"/>
      <c r="F264" s="34" t="n"/>
      <c r="G264" s="34" t="n"/>
      <c r="H264" s="34" t="n"/>
      <c r="I264" s="35">
        <f>IFERROR(H264/(G264+H264),"")</f>
        <v/>
      </c>
      <c r="J264" s="13">
        <f>IFERROR(H264*VLOOKUP(C264,'Recetas y precios'!$A$5:$P$54,16,FALSE),"")</f>
        <v/>
      </c>
      <c r="K264" s="34" t="n"/>
      <c r="L264" s="34" t="n"/>
    </row>
    <row r="265">
      <c r="A265" s="33" t="n"/>
      <c r="B265" s="34" t="n"/>
      <c r="C265" s="34" t="n"/>
      <c r="D265" s="7">
        <f>IFERROR(VLOOKUP(C265,'Recetas y precios'!$A$5:$B$54,2,FALSE),"")</f>
        <v/>
      </c>
      <c r="E265" s="34" t="n"/>
      <c r="F265" s="34" t="n"/>
      <c r="G265" s="34" t="n"/>
      <c r="H265" s="34" t="n"/>
      <c r="I265" s="35">
        <f>IFERROR(H265/(G265+H265),"")</f>
        <v/>
      </c>
      <c r="J265" s="13">
        <f>IFERROR(H265*VLOOKUP(C265,'Recetas y precios'!$A$5:$P$54,16,FALSE),"")</f>
        <v/>
      </c>
      <c r="K265" s="34" t="n"/>
      <c r="L265" s="34" t="n"/>
    </row>
    <row r="266">
      <c r="A266" s="33" t="n"/>
      <c r="B266" s="34" t="n"/>
      <c r="C266" s="34" t="n"/>
      <c r="D266" s="7">
        <f>IFERROR(VLOOKUP(C266,'Recetas y precios'!$A$5:$B$54,2,FALSE),"")</f>
        <v/>
      </c>
      <c r="E266" s="34" t="n"/>
      <c r="F266" s="34" t="n"/>
      <c r="G266" s="34" t="n"/>
      <c r="H266" s="34" t="n"/>
      <c r="I266" s="35">
        <f>IFERROR(H266/(G266+H266),"")</f>
        <v/>
      </c>
      <c r="J266" s="13">
        <f>IFERROR(H266*VLOOKUP(C266,'Recetas y precios'!$A$5:$P$54,16,FALSE),"")</f>
        <v/>
      </c>
      <c r="K266" s="34" t="n"/>
      <c r="L266" s="34" t="n"/>
    </row>
    <row r="267">
      <c r="A267" s="33" t="n"/>
      <c r="B267" s="34" t="n"/>
      <c r="C267" s="34" t="n"/>
      <c r="D267" s="7">
        <f>IFERROR(VLOOKUP(C267,'Recetas y precios'!$A$5:$B$54,2,FALSE),"")</f>
        <v/>
      </c>
      <c r="E267" s="34" t="n"/>
      <c r="F267" s="34" t="n"/>
      <c r="G267" s="34" t="n"/>
      <c r="H267" s="34" t="n"/>
      <c r="I267" s="35">
        <f>IFERROR(H267/(G267+H267),"")</f>
        <v/>
      </c>
      <c r="J267" s="13">
        <f>IFERROR(H267*VLOOKUP(C267,'Recetas y precios'!$A$5:$P$54,16,FALSE),"")</f>
        <v/>
      </c>
      <c r="K267" s="34" t="n"/>
      <c r="L267" s="34" t="n"/>
    </row>
    <row r="268">
      <c r="A268" s="33" t="n"/>
      <c r="B268" s="34" t="n"/>
      <c r="C268" s="34" t="n"/>
      <c r="D268" s="7">
        <f>IFERROR(VLOOKUP(C268,'Recetas y precios'!$A$5:$B$54,2,FALSE),"")</f>
        <v/>
      </c>
      <c r="E268" s="34" t="n"/>
      <c r="F268" s="34" t="n"/>
      <c r="G268" s="34" t="n"/>
      <c r="H268" s="34" t="n"/>
      <c r="I268" s="35">
        <f>IFERROR(H268/(G268+H268),"")</f>
        <v/>
      </c>
      <c r="J268" s="13">
        <f>IFERROR(H268*VLOOKUP(C268,'Recetas y precios'!$A$5:$P$54,16,FALSE),"")</f>
        <v/>
      </c>
      <c r="K268" s="34" t="n"/>
      <c r="L268" s="34" t="n"/>
    </row>
    <row r="269">
      <c r="A269" s="33" t="n"/>
      <c r="B269" s="34" t="n"/>
      <c r="C269" s="34" t="n"/>
      <c r="D269" s="7">
        <f>IFERROR(VLOOKUP(C269,'Recetas y precios'!$A$5:$B$54,2,FALSE),"")</f>
        <v/>
      </c>
      <c r="E269" s="34" t="n"/>
      <c r="F269" s="34" t="n"/>
      <c r="G269" s="34" t="n"/>
      <c r="H269" s="34" t="n"/>
      <c r="I269" s="35">
        <f>IFERROR(H269/(G269+H269),"")</f>
        <v/>
      </c>
      <c r="J269" s="13">
        <f>IFERROR(H269*VLOOKUP(C269,'Recetas y precios'!$A$5:$P$54,16,FALSE),"")</f>
        <v/>
      </c>
      <c r="K269" s="34" t="n"/>
      <c r="L269" s="34" t="n"/>
    </row>
    <row r="270">
      <c r="A270" s="33" t="n"/>
      <c r="B270" s="34" t="n"/>
      <c r="C270" s="34" t="n"/>
      <c r="D270" s="7">
        <f>IFERROR(VLOOKUP(C270,'Recetas y precios'!$A$5:$B$54,2,FALSE),"")</f>
        <v/>
      </c>
      <c r="E270" s="34" t="n"/>
      <c r="F270" s="34" t="n"/>
      <c r="G270" s="34" t="n"/>
      <c r="H270" s="34" t="n"/>
      <c r="I270" s="35">
        <f>IFERROR(H270/(G270+H270),"")</f>
        <v/>
      </c>
      <c r="J270" s="13">
        <f>IFERROR(H270*VLOOKUP(C270,'Recetas y precios'!$A$5:$P$54,16,FALSE),"")</f>
        <v/>
      </c>
      <c r="K270" s="34" t="n"/>
      <c r="L270" s="34" t="n"/>
    </row>
    <row r="271">
      <c r="A271" s="33" t="n"/>
      <c r="B271" s="34" t="n"/>
      <c r="C271" s="34" t="n"/>
      <c r="D271" s="7">
        <f>IFERROR(VLOOKUP(C271,'Recetas y precios'!$A$5:$B$54,2,FALSE),"")</f>
        <v/>
      </c>
      <c r="E271" s="34" t="n"/>
      <c r="F271" s="34" t="n"/>
      <c r="G271" s="34" t="n"/>
      <c r="H271" s="34" t="n"/>
      <c r="I271" s="35">
        <f>IFERROR(H271/(G271+H271),"")</f>
        <v/>
      </c>
      <c r="J271" s="13">
        <f>IFERROR(H271*VLOOKUP(C271,'Recetas y precios'!$A$5:$P$54,16,FALSE),"")</f>
        <v/>
      </c>
      <c r="K271" s="34" t="n"/>
      <c r="L271" s="34" t="n"/>
    </row>
    <row r="272">
      <c r="A272" s="33" t="n"/>
      <c r="B272" s="34" t="n"/>
      <c r="C272" s="34" t="n"/>
      <c r="D272" s="7">
        <f>IFERROR(VLOOKUP(C272,'Recetas y precios'!$A$5:$B$54,2,FALSE),"")</f>
        <v/>
      </c>
      <c r="E272" s="34" t="n"/>
      <c r="F272" s="34" t="n"/>
      <c r="G272" s="34" t="n"/>
      <c r="H272" s="34" t="n"/>
      <c r="I272" s="35">
        <f>IFERROR(H272/(G272+H272),"")</f>
        <v/>
      </c>
      <c r="J272" s="13">
        <f>IFERROR(H272*VLOOKUP(C272,'Recetas y precios'!$A$5:$P$54,16,FALSE),"")</f>
        <v/>
      </c>
      <c r="K272" s="34" t="n"/>
      <c r="L272" s="34" t="n"/>
    </row>
    <row r="273">
      <c r="A273" s="33" t="n"/>
      <c r="B273" s="34" t="n"/>
      <c r="C273" s="34" t="n"/>
      <c r="D273" s="7">
        <f>IFERROR(VLOOKUP(C273,'Recetas y precios'!$A$5:$B$54,2,FALSE),"")</f>
        <v/>
      </c>
      <c r="E273" s="34" t="n"/>
      <c r="F273" s="34" t="n"/>
      <c r="G273" s="34" t="n"/>
      <c r="H273" s="34" t="n"/>
      <c r="I273" s="35">
        <f>IFERROR(H273/(G273+H273),"")</f>
        <v/>
      </c>
      <c r="J273" s="13">
        <f>IFERROR(H273*VLOOKUP(C273,'Recetas y precios'!$A$5:$P$54,16,FALSE),"")</f>
        <v/>
      </c>
      <c r="K273" s="34" t="n"/>
      <c r="L273" s="34" t="n"/>
    </row>
    <row r="274">
      <c r="A274" s="33" t="n"/>
      <c r="B274" s="34" t="n"/>
      <c r="C274" s="34" t="n"/>
      <c r="D274" s="7">
        <f>IFERROR(VLOOKUP(C274,'Recetas y precios'!$A$5:$B$54,2,FALSE),"")</f>
        <v/>
      </c>
      <c r="E274" s="34" t="n"/>
      <c r="F274" s="34" t="n"/>
      <c r="G274" s="34" t="n"/>
      <c r="H274" s="34" t="n"/>
      <c r="I274" s="35">
        <f>IFERROR(H274/(G274+H274),"")</f>
        <v/>
      </c>
      <c r="J274" s="13">
        <f>IFERROR(H274*VLOOKUP(C274,'Recetas y precios'!$A$5:$P$54,16,FALSE),"")</f>
        <v/>
      </c>
      <c r="K274" s="34" t="n"/>
      <c r="L274" s="34" t="n"/>
    </row>
    <row r="275">
      <c r="A275" s="33" t="n"/>
      <c r="B275" s="34" t="n"/>
      <c r="C275" s="34" t="n"/>
      <c r="D275" s="7">
        <f>IFERROR(VLOOKUP(C275,'Recetas y precios'!$A$5:$B$54,2,FALSE),"")</f>
        <v/>
      </c>
      <c r="E275" s="34" t="n"/>
      <c r="F275" s="34" t="n"/>
      <c r="G275" s="34" t="n"/>
      <c r="H275" s="34" t="n"/>
      <c r="I275" s="35">
        <f>IFERROR(H275/(G275+H275),"")</f>
        <v/>
      </c>
      <c r="J275" s="13">
        <f>IFERROR(H275*VLOOKUP(C275,'Recetas y precios'!$A$5:$P$54,16,FALSE),"")</f>
        <v/>
      </c>
      <c r="K275" s="34" t="n"/>
      <c r="L275" s="34" t="n"/>
    </row>
    <row r="276">
      <c r="A276" s="33" t="n"/>
      <c r="B276" s="34" t="n"/>
      <c r="C276" s="34" t="n"/>
      <c r="D276" s="7">
        <f>IFERROR(VLOOKUP(C276,'Recetas y precios'!$A$5:$B$54,2,FALSE),"")</f>
        <v/>
      </c>
      <c r="E276" s="34" t="n"/>
      <c r="F276" s="34" t="n"/>
      <c r="G276" s="34" t="n"/>
      <c r="H276" s="34" t="n"/>
      <c r="I276" s="35">
        <f>IFERROR(H276/(G276+H276),"")</f>
        <v/>
      </c>
      <c r="J276" s="13">
        <f>IFERROR(H276*VLOOKUP(C276,'Recetas y precios'!$A$5:$P$54,16,FALSE),"")</f>
        <v/>
      </c>
      <c r="K276" s="34" t="n"/>
      <c r="L276" s="34" t="n"/>
    </row>
    <row r="277">
      <c r="A277" s="33" t="n"/>
      <c r="B277" s="34" t="n"/>
      <c r="C277" s="34" t="n"/>
      <c r="D277" s="7">
        <f>IFERROR(VLOOKUP(C277,'Recetas y precios'!$A$5:$B$54,2,FALSE),"")</f>
        <v/>
      </c>
      <c r="E277" s="34" t="n"/>
      <c r="F277" s="34" t="n"/>
      <c r="G277" s="34" t="n"/>
      <c r="H277" s="34" t="n"/>
      <c r="I277" s="35">
        <f>IFERROR(H277/(G277+H277),"")</f>
        <v/>
      </c>
      <c r="J277" s="13">
        <f>IFERROR(H277*VLOOKUP(C277,'Recetas y precios'!$A$5:$P$54,16,FALSE),"")</f>
        <v/>
      </c>
      <c r="K277" s="34" t="n"/>
      <c r="L277" s="34" t="n"/>
    </row>
    <row r="278">
      <c r="A278" s="33" t="n"/>
      <c r="B278" s="34" t="n"/>
      <c r="C278" s="34" t="n"/>
      <c r="D278" s="7">
        <f>IFERROR(VLOOKUP(C278,'Recetas y precios'!$A$5:$B$54,2,FALSE),"")</f>
        <v/>
      </c>
      <c r="E278" s="34" t="n"/>
      <c r="F278" s="34" t="n"/>
      <c r="G278" s="34" t="n"/>
      <c r="H278" s="34" t="n"/>
      <c r="I278" s="35">
        <f>IFERROR(H278/(G278+H278),"")</f>
        <v/>
      </c>
      <c r="J278" s="13">
        <f>IFERROR(H278*VLOOKUP(C278,'Recetas y precios'!$A$5:$P$54,16,FALSE),"")</f>
        <v/>
      </c>
      <c r="K278" s="34" t="n"/>
      <c r="L278" s="34" t="n"/>
    </row>
    <row r="279">
      <c r="A279" s="33" t="n"/>
      <c r="B279" s="34" t="n"/>
      <c r="C279" s="34" t="n"/>
      <c r="D279" s="7">
        <f>IFERROR(VLOOKUP(C279,'Recetas y precios'!$A$5:$B$54,2,FALSE),"")</f>
        <v/>
      </c>
      <c r="E279" s="34" t="n"/>
      <c r="F279" s="34" t="n"/>
      <c r="G279" s="34" t="n"/>
      <c r="H279" s="34" t="n"/>
      <c r="I279" s="35">
        <f>IFERROR(H279/(G279+H279),"")</f>
        <v/>
      </c>
      <c r="J279" s="13">
        <f>IFERROR(H279*VLOOKUP(C279,'Recetas y precios'!$A$5:$P$54,16,FALSE),"")</f>
        <v/>
      </c>
      <c r="K279" s="34" t="n"/>
      <c r="L279" s="34" t="n"/>
    </row>
    <row r="280">
      <c r="A280" s="33" t="n"/>
      <c r="B280" s="34" t="n"/>
      <c r="C280" s="34" t="n"/>
      <c r="D280" s="7">
        <f>IFERROR(VLOOKUP(C280,'Recetas y precios'!$A$5:$B$54,2,FALSE),"")</f>
        <v/>
      </c>
      <c r="E280" s="34" t="n"/>
      <c r="F280" s="34" t="n"/>
      <c r="G280" s="34" t="n"/>
      <c r="H280" s="34" t="n"/>
      <c r="I280" s="35">
        <f>IFERROR(H280/(G280+H280),"")</f>
        <v/>
      </c>
      <c r="J280" s="13">
        <f>IFERROR(H280*VLOOKUP(C280,'Recetas y precios'!$A$5:$P$54,16,FALSE),"")</f>
        <v/>
      </c>
      <c r="K280" s="34" t="n"/>
      <c r="L280" s="34" t="n"/>
    </row>
    <row r="281">
      <c r="A281" s="33" t="n"/>
      <c r="B281" s="34" t="n"/>
      <c r="C281" s="34" t="n"/>
      <c r="D281" s="7">
        <f>IFERROR(VLOOKUP(C281,'Recetas y precios'!$A$5:$B$54,2,FALSE),"")</f>
        <v/>
      </c>
      <c r="E281" s="34" t="n"/>
      <c r="F281" s="34" t="n"/>
      <c r="G281" s="34" t="n"/>
      <c r="H281" s="34" t="n"/>
      <c r="I281" s="35">
        <f>IFERROR(H281/(G281+H281),"")</f>
        <v/>
      </c>
      <c r="J281" s="13">
        <f>IFERROR(H281*VLOOKUP(C281,'Recetas y precios'!$A$5:$P$54,16,FALSE),"")</f>
        <v/>
      </c>
      <c r="K281" s="34" t="n"/>
      <c r="L281" s="34" t="n"/>
    </row>
    <row r="282">
      <c r="A282" s="33" t="n"/>
      <c r="B282" s="34" t="n"/>
      <c r="C282" s="34" t="n"/>
      <c r="D282" s="7">
        <f>IFERROR(VLOOKUP(C282,'Recetas y precios'!$A$5:$B$54,2,FALSE),"")</f>
        <v/>
      </c>
      <c r="E282" s="34" t="n"/>
      <c r="F282" s="34" t="n"/>
      <c r="G282" s="34" t="n"/>
      <c r="H282" s="34" t="n"/>
      <c r="I282" s="35">
        <f>IFERROR(H282/(G282+H282),"")</f>
        <v/>
      </c>
      <c r="J282" s="13">
        <f>IFERROR(H282*VLOOKUP(C282,'Recetas y precios'!$A$5:$P$54,16,FALSE),"")</f>
        <v/>
      </c>
      <c r="K282" s="34" t="n"/>
      <c r="L282" s="34" t="n"/>
    </row>
    <row r="283">
      <c r="A283" s="33" t="n"/>
      <c r="B283" s="34" t="n"/>
      <c r="C283" s="34" t="n"/>
      <c r="D283" s="7">
        <f>IFERROR(VLOOKUP(C283,'Recetas y precios'!$A$5:$B$54,2,FALSE),"")</f>
        <v/>
      </c>
      <c r="E283" s="34" t="n"/>
      <c r="F283" s="34" t="n"/>
      <c r="G283" s="34" t="n"/>
      <c r="H283" s="34" t="n"/>
      <c r="I283" s="35">
        <f>IFERROR(H283/(G283+H283),"")</f>
        <v/>
      </c>
      <c r="J283" s="13">
        <f>IFERROR(H283*VLOOKUP(C283,'Recetas y precios'!$A$5:$P$54,16,FALSE),"")</f>
        <v/>
      </c>
      <c r="K283" s="34" t="n"/>
      <c r="L283" s="34" t="n"/>
    </row>
    <row r="284">
      <c r="A284" s="33" t="n"/>
      <c r="B284" s="34" t="n"/>
      <c r="C284" s="34" t="n"/>
      <c r="D284" s="7">
        <f>IFERROR(VLOOKUP(C284,'Recetas y precios'!$A$5:$B$54,2,FALSE),"")</f>
        <v/>
      </c>
      <c r="E284" s="34" t="n"/>
      <c r="F284" s="34" t="n"/>
      <c r="G284" s="34" t="n"/>
      <c r="H284" s="34" t="n"/>
      <c r="I284" s="35">
        <f>IFERROR(H284/(G284+H284),"")</f>
        <v/>
      </c>
      <c r="J284" s="13">
        <f>IFERROR(H284*VLOOKUP(C284,'Recetas y precios'!$A$5:$P$54,16,FALSE),"")</f>
        <v/>
      </c>
      <c r="K284" s="34" t="n"/>
      <c r="L284" s="34" t="n"/>
    </row>
    <row r="285">
      <c r="A285" s="33" t="n"/>
      <c r="B285" s="34" t="n"/>
      <c r="C285" s="34" t="n"/>
      <c r="D285" s="7">
        <f>IFERROR(VLOOKUP(C285,'Recetas y precios'!$A$5:$B$54,2,FALSE),"")</f>
        <v/>
      </c>
      <c r="E285" s="34" t="n"/>
      <c r="F285" s="34" t="n"/>
      <c r="G285" s="34" t="n"/>
      <c r="H285" s="34" t="n"/>
      <c r="I285" s="35">
        <f>IFERROR(H285/(G285+H285),"")</f>
        <v/>
      </c>
      <c r="J285" s="13">
        <f>IFERROR(H285*VLOOKUP(C285,'Recetas y precios'!$A$5:$P$54,16,FALSE),"")</f>
        <v/>
      </c>
      <c r="K285" s="34" t="n"/>
      <c r="L285" s="34" t="n"/>
    </row>
    <row r="286">
      <c r="A286" s="33" t="n"/>
      <c r="B286" s="34" t="n"/>
      <c r="C286" s="34" t="n"/>
      <c r="D286" s="7">
        <f>IFERROR(VLOOKUP(C286,'Recetas y precios'!$A$5:$B$54,2,FALSE),"")</f>
        <v/>
      </c>
      <c r="E286" s="34" t="n"/>
      <c r="F286" s="34" t="n"/>
      <c r="G286" s="34" t="n"/>
      <c r="H286" s="34" t="n"/>
      <c r="I286" s="35">
        <f>IFERROR(H286/(G286+H286),"")</f>
        <v/>
      </c>
      <c r="J286" s="13">
        <f>IFERROR(H286*VLOOKUP(C286,'Recetas y precios'!$A$5:$P$54,16,FALSE),"")</f>
        <v/>
      </c>
      <c r="K286" s="34" t="n"/>
      <c r="L286" s="34" t="n"/>
    </row>
    <row r="287">
      <c r="A287" s="33" t="n"/>
      <c r="B287" s="34" t="n"/>
      <c r="C287" s="34" t="n"/>
      <c r="D287" s="7">
        <f>IFERROR(VLOOKUP(C287,'Recetas y precios'!$A$5:$B$54,2,FALSE),"")</f>
        <v/>
      </c>
      <c r="E287" s="34" t="n"/>
      <c r="F287" s="34" t="n"/>
      <c r="G287" s="34" t="n"/>
      <c r="H287" s="34" t="n"/>
      <c r="I287" s="35">
        <f>IFERROR(H287/(G287+H287),"")</f>
        <v/>
      </c>
      <c r="J287" s="13">
        <f>IFERROR(H287*VLOOKUP(C287,'Recetas y precios'!$A$5:$P$54,16,FALSE),"")</f>
        <v/>
      </c>
      <c r="K287" s="34" t="n"/>
      <c r="L287" s="34" t="n"/>
    </row>
    <row r="288">
      <c r="A288" s="33" t="n"/>
      <c r="B288" s="34" t="n"/>
      <c r="C288" s="34" t="n"/>
      <c r="D288" s="7">
        <f>IFERROR(VLOOKUP(C288,'Recetas y precios'!$A$5:$B$54,2,FALSE),"")</f>
        <v/>
      </c>
      <c r="E288" s="34" t="n"/>
      <c r="F288" s="34" t="n"/>
      <c r="G288" s="34" t="n"/>
      <c r="H288" s="34" t="n"/>
      <c r="I288" s="35">
        <f>IFERROR(H288/(G288+H288),"")</f>
        <v/>
      </c>
      <c r="J288" s="13">
        <f>IFERROR(H288*VLOOKUP(C288,'Recetas y precios'!$A$5:$P$54,16,FALSE),"")</f>
        <v/>
      </c>
      <c r="K288" s="34" t="n"/>
      <c r="L288" s="34" t="n"/>
    </row>
    <row r="289">
      <c r="A289" s="33" t="n"/>
      <c r="B289" s="34" t="n"/>
      <c r="C289" s="34" t="n"/>
      <c r="D289" s="7">
        <f>IFERROR(VLOOKUP(C289,'Recetas y precios'!$A$5:$B$54,2,FALSE),"")</f>
        <v/>
      </c>
      <c r="E289" s="34" t="n"/>
      <c r="F289" s="34" t="n"/>
      <c r="G289" s="34" t="n"/>
      <c r="H289" s="34" t="n"/>
      <c r="I289" s="35">
        <f>IFERROR(H289/(G289+H289),"")</f>
        <v/>
      </c>
      <c r="J289" s="13">
        <f>IFERROR(H289*VLOOKUP(C289,'Recetas y precios'!$A$5:$P$54,16,FALSE),"")</f>
        <v/>
      </c>
      <c r="K289" s="34" t="n"/>
      <c r="L289" s="34" t="n"/>
    </row>
    <row r="290">
      <c r="A290" s="33" t="n"/>
      <c r="B290" s="34" t="n"/>
      <c r="C290" s="34" t="n"/>
      <c r="D290" s="7">
        <f>IFERROR(VLOOKUP(C290,'Recetas y precios'!$A$5:$B$54,2,FALSE),"")</f>
        <v/>
      </c>
      <c r="E290" s="34" t="n"/>
      <c r="F290" s="34" t="n"/>
      <c r="G290" s="34" t="n"/>
      <c r="H290" s="34" t="n"/>
      <c r="I290" s="35">
        <f>IFERROR(H290/(G290+H290),"")</f>
        <v/>
      </c>
      <c r="J290" s="13">
        <f>IFERROR(H290*VLOOKUP(C290,'Recetas y precios'!$A$5:$P$54,16,FALSE),"")</f>
        <v/>
      </c>
      <c r="K290" s="34" t="n"/>
      <c r="L290" s="34" t="n"/>
    </row>
    <row r="291">
      <c r="A291" s="33" t="n"/>
      <c r="B291" s="34" t="n"/>
      <c r="C291" s="34" t="n"/>
      <c r="D291" s="7">
        <f>IFERROR(VLOOKUP(C291,'Recetas y precios'!$A$5:$B$54,2,FALSE),"")</f>
        <v/>
      </c>
      <c r="E291" s="34" t="n"/>
      <c r="F291" s="34" t="n"/>
      <c r="G291" s="34" t="n"/>
      <c r="H291" s="34" t="n"/>
      <c r="I291" s="35">
        <f>IFERROR(H291/(G291+H291),"")</f>
        <v/>
      </c>
      <c r="J291" s="13">
        <f>IFERROR(H291*VLOOKUP(C291,'Recetas y precios'!$A$5:$P$54,16,FALSE),"")</f>
        <v/>
      </c>
      <c r="K291" s="34" t="n"/>
      <c r="L291" s="34" t="n"/>
    </row>
    <row r="292">
      <c r="A292" s="33" t="n"/>
      <c r="B292" s="34" t="n"/>
      <c r="C292" s="34" t="n"/>
      <c r="D292" s="7">
        <f>IFERROR(VLOOKUP(C292,'Recetas y precios'!$A$5:$B$54,2,FALSE),"")</f>
        <v/>
      </c>
      <c r="E292" s="34" t="n"/>
      <c r="F292" s="34" t="n"/>
      <c r="G292" s="34" t="n"/>
      <c r="H292" s="34" t="n"/>
      <c r="I292" s="35">
        <f>IFERROR(H292/(G292+H292),"")</f>
        <v/>
      </c>
      <c r="J292" s="13">
        <f>IFERROR(H292*VLOOKUP(C292,'Recetas y precios'!$A$5:$P$54,16,FALSE),"")</f>
        <v/>
      </c>
      <c r="K292" s="34" t="n"/>
      <c r="L292" s="34" t="n"/>
    </row>
    <row r="293">
      <c r="A293" s="33" t="n"/>
      <c r="B293" s="34" t="n"/>
      <c r="C293" s="34" t="n"/>
      <c r="D293" s="7">
        <f>IFERROR(VLOOKUP(C293,'Recetas y precios'!$A$5:$B$54,2,FALSE),"")</f>
        <v/>
      </c>
      <c r="E293" s="34" t="n"/>
      <c r="F293" s="34" t="n"/>
      <c r="G293" s="34" t="n"/>
      <c r="H293" s="34" t="n"/>
      <c r="I293" s="35">
        <f>IFERROR(H293/(G293+H293),"")</f>
        <v/>
      </c>
      <c r="J293" s="13">
        <f>IFERROR(H293*VLOOKUP(C293,'Recetas y precios'!$A$5:$P$54,16,FALSE),"")</f>
        <v/>
      </c>
      <c r="K293" s="34" t="n"/>
      <c r="L293" s="34" t="n"/>
    </row>
    <row r="294">
      <c r="A294" s="33" t="n"/>
      <c r="B294" s="34" t="n"/>
      <c r="C294" s="34" t="n"/>
      <c r="D294" s="7">
        <f>IFERROR(VLOOKUP(C294,'Recetas y precios'!$A$5:$B$54,2,FALSE),"")</f>
        <v/>
      </c>
      <c r="E294" s="34" t="n"/>
      <c r="F294" s="34" t="n"/>
      <c r="G294" s="34" t="n"/>
      <c r="H294" s="34" t="n"/>
      <c r="I294" s="35">
        <f>IFERROR(H294/(G294+H294),"")</f>
        <v/>
      </c>
      <c r="J294" s="13">
        <f>IFERROR(H294*VLOOKUP(C294,'Recetas y precios'!$A$5:$P$54,16,FALSE),"")</f>
        <v/>
      </c>
      <c r="K294" s="34" t="n"/>
      <c r="L294" s="34" t="n"/>
    </row>
    <row r="295">
      <c r="A295" s="33" t="n"/>
      <c r="B295" s="34" t="n"/>
      <c r="C295" s="34" t="n"/>
      <c r="D295" s="7">
        <f>IFERROR(VLOOKUP(C295,'Recetas y precios'!$A$5:$B$54,2,FALSE),"")</f>
        <v/>
      </c>
      <c r="E295" s="34" t="n"/>
      <c r="F295" s="34" t="n"/>
      <c r="G295" s="34" t="n"/>
      <c r="H295" s="34" t="n"/>
      <c r="I295" s="35">
        <f>IFERROR(H295/(G295+H295),"")</f>
        <v/>
      </c>
      <c r="J295" s="13">
        <f>IFERROR(H295*VLOOKUP(C295,'Recetas y precios'!$A$5:$P$54,16,FALSE),"")</f>
        <v/>
      </c>
      <c r="K295" s="34" t="n"/>
      <c r="L295" s="34" t="n"/>
    </row>
    <row r="296">
      <c r="A296" s="33" t="n"/>
      <c r="B296" s="34" t="n"/>
      <c r="C296" s="34" t="n"/>
      <c r="D296" s="7">
        <f>IFERROR(VLOOKUP(C296,'Recetas y precios'!$A$5:$B$54,2,FALSE),"")</f>
        <v/>
      </c>
      <c r="E296" s="34" t="n"/>
      <c r="F296" s="34" t="n"/>
      <c r="G296" s="34" t="n"/>
      <c r="H296" s="34" t="n"/>
      <c r="I296" s="35">
        <f>IFERROR(H296/(G296+H296),"")</f>
        <v/>
      </c>
      <c r="J296" s="13">
        <f>IFERROR(H296*VLOOKUP(C296,'Recetas y precios'!$A$5:$P$54,16,FALSE),"")</f>
        <v/>
      </c>
      <c r="K296" s="34" t="n"/>
      <c r="L296" s="34" t="n"/>
    </row>
    <row r="297">
      <c r="A297" s="33" t="n"/>
      <c r="B297" s="34" t="n"/>
      <c r="C297" s="34" t="n"/>
      <c r="D297" s="7">
        <f>IFERROR(VLOOKUP(C297,'Recetas y precios'!$A$5:$B$54,2,FALSE),"")</f>
        <v/>
      </c>
      <c r="E297" s="34" t="n"/>
      <c r="F297" s="34" t="n"/>
      <c r="G297" s="34" t="n"/>
      <c r="H297" s="34" t="n"/>
      <c r="I297" s="35">
        <f>IFERROR(H297/(G297+H297),"")</f>
        <v/>
      </c>
      <c r="J297" s="13">
        <f>IFERROR(H297*VLOOKUP(C297,'Recetas y precios'!$A$5:$P$54,16,FALSE),"")</f>
        <v/>
      </c>
      <c r="K297" s="34" t="n"/>
      <c r="L297" s="34" t="n"/>
    </row>
    <row r="298">
      <c r="A298" s="33" t="n"/>
      <c r="B298" s="34" t="n"/>
      <c r="C298" s="34" t="n"/>
      <c r="D298" s="7">
        <f>IFERROR(VLOOKUP(C298,'Recetas y precios'!$A$5:$B$54,2,FALSE),"")</f>
        <v/>
      </c>
      <c r="E298" s="34" t="n"/>
      <c r="F298" s="34" t="n"/>
      <c r="G298" s="34" t="n"/>
      <c r="H298" s="34" t="n"/>
      <c r="I298" s="35">
        <f>IFERROR(H298/(G298+H298),"")</f>
        <v/>
      </c>
      <c r="J298" s="13">
        <f>IFERROR(H298*VLOOKUP(C298,'Recetas y precios'!$A$5:$P$54,16,FALSE),"")</f>
        <v/>
      </c>
      <c r="K298" s="34" t="n"/>
      <c r="L298" s="34" t="n"/>
    </row>
    <row r="299">
      <c r="A299" s="33" t="n"/>
      <c r="B299" s="34" t="n"/>
      <c r="C299" s="34" t="n"/>
      <c r="D299" s="7">
        <f>IFERROR(VLOOKUP(C299,'Recetas y precios'!$A$5:$B$54,2,FALSE),"")</f>
        <v/>
      </c>
      <c r="E299" s="34" t="n"/>
      <c r="F299" s="34" t="n"/>
      <c r="G299" s="34" t="n"/>
      <c r="H299" s="34" t="n"/>
      <c r="I299" s="35">
        <f>IFERROR(H299/(G299+H299),"")</f>
        <v/>
      </c>
      <c r="J299" s="13">
        <f>IFERROR(H299*VLOOKUP(C299,'Recetas y precios'!$A$5:$P$54,16,FALSE),"")</f>
        <v/>
      </c>
      <c r="K299" s="34" t="n"/>
      <c r="L299" s="34" t="n"/>
    </row>
    <row r="300">
      <c r="A300" s="33" t="n"/>
      <c r="B300" s="34" t="n"/>
      <c r="C300" s="34" t="n"/>
      <c r="D300" s="7">
        <f>IFERROR(VLOOKUP(C300,'Recetas y precios'!$A$5:$B$54,2,FALSE),"")</f>
        <v/>
      </c>
      <c r="E300" s="34" t="n"/>
      <c r="F300" s="34" t="n"/>
      <c r="G300" s="34" t="n"/>
      <c r="H300" s="34" t="n"/>
      <c r="I300" s="35">
        <f>IFERROR(H300/(G300+H300),"")</f>
        <v/>
      </c>
      <c r="J300" s="13">
        <f>IFERROR(H300*VLOOKUP(C300,'Recetas y precios'!$A$5:$P$54,16,FALSE),"")</f>
        <v/>
      </c>
      <c r="K300" s="34" t="n"/>
      <c r="L300" s="34" t="n"/>
    </row>
    <row r="301">
      <c r="A301" s="33" t="n"/>
      <c r="B301" s="34" t="n"/>
      <c r="C301" s="34" t="n"/>
      <c r="D301" s="7">
        <f>IFERROR(VLOOKUP(C301,'Recetas y precios'!$A$5:$B$54,2,FALSE),"")</f>
        <v/>
      </c>
      <c r="E301" s="34" t="n"/>
      <c r="F301" s="34" t="n"/>
      <c r="G301" s="34" t="n"/>
      <c r="H301" s="34" t="n"/>
      <c r="I301" s="35">
        <f>IFERROR(H301/(G301+H301),"")</f>
        <v/>
      </c>
      <c r="J301" s="13">
        <f>IFERROR(H301*VLOOKUP(C301,'Recetas y precios'!$A$5:$P$54,16,FALSE),"")</f>
        <v/>
      </c>
      <c r="K301" s="34" t="n"/>
      <c r="L301" s="34" t="n"/>
    </row>
    <row r="302">
      <c r="A302" s="33" t="n"/>
      <c r="B302" s="34" t="n"/>
      <c r="C302" s="34" t="n"/>
      <c r="D302" s="7">
        <f>IFERROR(VLOOKUP(C302,'Recetas y precios'!$A$5:$B$54,2,FALSE),"")</f>
        <v/>
      </c>
      <c r="E302" s="34" t="n"/>
      <c r="F302" s="34" t="n"/>
      <c r="G302" s="34" t="n"/>
      <c r="H302" s="34" t="n"/>
      <c r="I302" s="35">
        <f>IFERROR(H302/(G302+H302),"")</f>
        <v/>
      </c>
      <c r="J302" s="13">
        <f>IFERROR(H302*VLOOKUP(C302,'Recetas y precios'!$A$5:$P$54,16,FALSE),"")</f>
        <v/>
      </c>
      <c r="K302" s="34" t="n"/>
      <c r="L302" s="34" t="n"/>
    </row>
    <row r="303">
      <c r="A303" s="33" t="n"/>
      <c r="B303" s="34" t="n"/>
      <c r="C303" s="34" t="n"/>
      <c r="D303" s="7">
        <f>IFERROR(VLOOKUP(C303,'Recetas y precios'!$A$5:$B$54,2,FALSE),"")</f>
        <v/>
      </c>
      <c r="E303" s="34" t="n"/>
      <c r="F303" s="34" t="n"/>
      <c r="G303" s="34" t="n"/>
      <c r="H303" s="34" t="n"/>
      <c r="I303" s="35">
        <f>IFERROR(H303/(G303+H303),"")</f>
        <v/>
      </c>
      <c r="J303" s="13">
        <f>IFERROR(H303*VLOOKUP(C303,'Recetas y precios'!$A$5:$P$54,16,FALSE),"")</f>
        <v/>
      </c>
      <c r="K303" s="34" t="n"/>
      <c r="L303" s="34" t="n"/>
    </row>
    <row r="304">
      <c r="A304" s="33" t="n"/>
      <c r="B304" s="34" t="n"/>
      <c r="C304" s="34" t="n"/>
      <c r="D304" s="7">
        <f>IFERROR(VLOOKUP(C304,'Recetas y precios'!$A$5:$B$54,2,FALSE),"")</f>
        <v/>
      </c>
      <c r="E304" s="34" t="n"/>
      <c r="F304" s="34" t="n"/>
      <c r="G304" s="34" t="n"/>
      <c r="H304" s="34" t="n"/>
      <c r="I304" s="35">
        <f>IFERROR(H304/(G304+H304),"")</f>
        <v/>
      </c>
      <c r="J304" s="13">
        <f>IFERROR(H304*VLOOKUP(C304,'Recetas y precios'!$A$5:$P$54,16,FALSE),"")</f>
        <v/>
      </c>
      <c r="K304" s="34" t="n"/>
      <c r="L304" s="34" t="n"/>
    </row>
  </sheetData>
  <conditionalFormatting sqref="I5:I304">
    <cfRule type="cellIs" priority="1" operator="greaterThan" dxfId="0">
      <formula>'Mi negocio'!$F$8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E1454"/>
    <outlinePr summaryBelow="1" summaryRight="1"/>
    <pageSetUpPr/>
  </sheetPr>
  <dimension ref="A1:M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8" customWidth="1" min="3" max="3"/>
    <col width="26" customWidth="1" min="4" max="4"/>
    <col width="12" customWidth="1" min="5" max="5"/>
    <col width="13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0" customWidth="1" min="12" max="12"/>
    <col width="26" customWidth="1" min="13" max="13"/>
  </cols>
  <sheetData>
    <row r="1" ht="26" customHeight="1">
      <c r="A1" s="1" t="inlineStr">
        <is>
          <t>Bitácora de ventas y producto no vendido</t>
        </is>
      </c>
    </row>
    <row r="2">
      <c r="A2" s="2" t="inlineStr">
        <is>
          <t>Una línea por venta o por jornada. El producto no vendido no se tira en dulcería, pero sí inmoviliza tu dinero: regístralo.</t>
        </is>
      </c>
    </row>
    <row r="3" ht="6" customHeight="1"/>
    <row r="4" ht="30" customHeight="1">
      <c r="A4" s="6" t="inlineStr">
        <is>
          <t>Fecha</t>
        </is>
      </c>
      <c r="B4" s="6" t="inlineStr">
        <is>
          <t># receta</t>
        </is>
      </c>
      <c r="C4" s="6" t="inlineStr">
        <is>
          <t>Receta</t>
        </is>
      </c>
      <c r="D4" s="6" t="inlineStr">
        <is>
          <t>Canal</t>
        </is>
      </c>
      <c r="E4" s="6" t="inlineStr">
        <is>
          <t>Piezas vendidas</t>
        </is>
      </c>
      <c r="F4" s="6" t="inlineStr">
        <is>
          <t>Precio unitario</t>
        </is>
      </c>
      <c r="G4" s="6" t="inlineStr">
        <is>
          <t>Ingreso</t>
        </is>
      </c>
      <c r="H4" s="6" t="inlineStr">
        <is>
          <t>Costo de lo vendido</t>
        </is>
      </c>
      <c r="I4" s="6" t="inlineStr">
        <is>
          <t>Piezas no vendidas</t>
        </is>
      </c>
      <c r="J4" s="6" t="inlineStr">
        <is>
          <t>Costo del no vendido</t>
        </is>
      </c>
      <c r="K4" s="6" t="inlineStr">
        <is>
          <t>Utilidad neta</t>
        </is>
      </c>
      <c r="L4" s="6" t="inlineStr">
        <is>
          <t>Margen</t>
        </is>
      </c>
      <c r="M4" s="6" t="inlineStr">
        <is>
          <t>Cliente o nota</t>
        </is>
      </c>
    </row>
    <row r="5">
      <c r="A5" s="33" t="n"/>
      <c r="B5" s="34" t="n"/>
      <c r="C5" s="7">
        <f>IFERROR(VLOOKUP(B5,'Recetas y precios'!$A$5:$B$54,2,FALSE),"")</f>
        <v/>
      </c>
      <c r="D5" s="34" t="n"/>
      <c r="E5" s="34" t="n"/>
      <c r="F5" s="34" t="n"/>
      <c r="G5" s="13">
        <f>IFERROR(E5*F5,"")</f>
        <v/>
      </c>
      <c r="H5" s="13">
        <f>IFERROR(E5*VLOOKUP(B5,'Recetas y precios'!$A$5:$P$54,16,FALSE),"")</f>
        <v/>
      </c>
      <c r="I5" s="34" t="n"/>
      <c r="J5" s="13">
        <f>IFERROR(I5*VLOOKUP(B5,'Recetas y precios'!$A$5:$P$54,16,FALSE),"")</f>
        <v/>
      </c>
      <c r="K5" s="13">
        <f>IFERROR(G5-H5,"")</f>
        <v/>
      </c>
      <c r="L5" s="35">
        <f>IFERROR(K5/G5,"")</f>
        <v/>
      </c>
      <c r="M5" s="34" t="n"/>
    </row>
    <row r="6">
      <c r="A6" s="33" t="n"/>
      <c r="B6" s="34" t="n"/>
      <c r="C6" s="7">
        <f>IFERROR(VLOOKUP(B6,'Recetas y precios'!$A$5:$B$54,2,FALSE),"")</f>
        <v/>
      </c>
      <c r="D6" s="34" t="n"/>
      <c r="E6" s="34" t="n"/>
      <c r="F6" s="34" t="n"/>
      <c r="G6" s="13">
        <f>IFERROR(E6*F6,"")</f>
        <v/>
      </c>
      <c r="H6" s="13">
        <f>IFERROR(E6*VLOOKUP(B6,'Recetas y precios'!$A$5:$P$54,16,FALSE),"")</f>
        <v/>
      </c>
      <c r="I6" s="34" t="n"/>
      <c r="J6" s="13">
        <f>IFERROR(I6*VLOOKUP(B6,'Recetas y precios'!$A$5:$P$54,16,FALSE),"")</f>
        <v/>
      </c>
      <c r="K6" s="13">
        <f>IFERROR(G6-H6,"")</f>
        <v/>
      </c>
      <c r="L6" s="35">
        <f>IFERROR(K6/G6,"")</f>
        <v/>
      </c>
      <c r="M6" s="34" t="n"/>
    </row>
    <row r="7">
      <c r="A7" s="33" t="n"/>
      <c r="B7" s="34" t="n"/>
      <c r="C7" s="7">
        <f>IFERROR(VLOOKUP(B7,'Recetas y precios'!$A$5:$B$54,2,FALSE),"")</f>
        <v/>
      </c>
      <c r="D7" s="34" t="n"/>
      <c r="E7" s="34" t="n"/>
      <c r="F7" s="34" t="n"/>
      <c r="G7" s="13">
        <f>IFERROR(E7*F7,"")</f>
        <v/>
      </c>
      <c r="H7" s="13">
        <f>IFERROR(E7*VLOOKUP(B7,'Recetas y precios'!$A$5:$P$54,16,FALSE),"")</f>
        <v/>
      </c>
      <c r="I7" s="34" t="n"/>
      <c r="J7" s="13">
        <f>IFERROR(I7*VLOOKUP(B7,'Recetas y precios'!$A$5:$P$54,16,FALSE),"")</f>
        <v/>
      </c>
      <c r="K7" s="13">
        <f>IFERROR(G7-H7,"")</f>
        <v/>
      </c>
      <c r="L7" s="35">
        <f>IFERROR(K7/G7,"")</f>
        <v/>
      </c>
      <c r="M7" s="34" t="n"/>
    </row>
    <row r="8">
      <c r="A8" s="33" t="n"/>
      <c r="B8" s="34" t="n"/>
      <c r="C8" s="7">
        <f>IFERROR(VLOOKUP(B8,'Recetas y precios'!$A$5:$B$54,2,FALSE),"")</f>
        <v/>
      </c>
      <c r="D8" s="34" t="n"/>
      <c r="E8" s="34" t="n"/>
      <c r="F8" s="34" t="n"/>
      <c r="G8" s="13">
        <f>IFERROR(E8*F8,"")</f>
        <v/>
      </c>
      <c r="H8" s="13">
        <f>IFERROR(E8*VLOOKUP(B8,'Recetas y precios'!$A$5:$P$54,16,FALSE),"")</f>
        <v/>
      </c>
      <c r="I8" s="34" t="n"/>
      <c r="J8" s="13">
        <f>IFERROR(I8*VLOOKUP(B8,'Recetas y precios'!$A$5:$P$54,16,FALSE),"")</f>
        <v/>
      </c>
      <c r="K8" s="13">
        <f>IFERROR(G8-H8,"")</f>
        <v/>
      </c>
      <c r="L8" s="35">
        <f>IFERROR(K8/G8,"")</f>
        <v/>
      </c>
      <c r="M8" s="34" t="n"/>
    </row>
    <row r="9">
      <c r="A9" s="33" t="n"/>
      <c r="B9" s="34" t="n"/>
      <c r="C9" s="7">
        <f>IFERROR(VLOOKUP(B9,'Recetas y precios'!$A$5:$B$54,2,FALSE),"")</f>
        <v/>
      </c>
      <c r="D9" s="34" t="n"/>
      <c r="E9" s="34" t="n"/>
      <c r="F9" s="34" t="n"/>
      <c r="G9" s="13">
        <f>IFERROR(E9*F9,"")</f>
        <v/>
      </c>
      <c r="H9" s="13">
        <f>IFERROR(E9*VLOOKUP(B9,'Recetas y precios'!$A$5:$P$54,16,FALSE),"")</f>
        <v/>
      </c>
      <c r="I9" s="34" t="n"/>
      <c r="J9" s="13">
        <f>IFERROR(I9*VLOOKUP(B9,'Recetas y precios'!$A$5:$P$54,16,FALSE),"")</f>
        <v/>
      </c>
      <c r="K9" s="13">
        <f>IFERROR(G9-H9,"")</f>
        <v/>
      </c>
      <c r="L9" s="35">
        <f>IFERROR(K9/G9,"")</f>
        <v/>
      </c>
      <c r="M9" s="34" t="n"/>
    </row>
    <row r="10">
      <c r="A10" s="33" t="n"/>
      <c r="B10" s="34" t="n"/>
      <c r="C10" s="7">
        <f>IFERROR(VLOOKUP(B10,'Recetas y precios'!$A$5:$B$54,2,FALSE),"")</f>
        <v/>
      </c>
      <c r="D10" s="34" t="n"/>
      <c r="E10" s="34" t="n"/>
      <c r="F10" s="34" t="n"/>
      <c r="G10" s="13">
        <f>IFERROR(E10*F10,"")</f>
        <v/>
      </c>
      <c r="H10" s="13">
        <f>IFERROR(E10*VLOOKUP(B10,'Recetas y precios'!$A$5:$P$54,16,FALSE),"")</f>
        <v/>
      </c>
      <c r="I10" s="34" t="n"/>
      <c r="J10" s="13">
        <f>IFERROR(I10*VLOOKUP(B10,'Recetas y precios'!$A$5:$P$54,16,FALSE),"")</f>
        <v/>
      </c>
      <c r="K10" s="13">
        <f>IFERROR(G10-H10,"")</f>
        <v/>
      </c>
      <c r="L10" s="35">
        <f>IFERROR(K10/G10,"")</f>
        <v/>
      </c>
      <c r="M10" s="34" t="n"/>
    </row>
    <row r="11">
      <c r="A11" s="33" t="n"/>
      <c r="B11" s="34" t="n"/>
      <c r="C11" s="7">
        <f>IFERROR(VLOOKUP(B11,'Recetas y precios'!$A$5:$B$54,2,FALSE),"")</f>
        <v/>
      </c>
      <c r="D11" s="34" t="n"/>
      <c r="E11" s="34" t="n"/>
      <c r="F11" s="34" t="n"/>
      <c r="G11" s="13">
        <f>IFERROR(E11*F11,"")</f>
        <v/>
      </c>
      <c r="H11" s="13">
        <f>IFERROR(E11*VLOOKUP(B11,'Recetas y precios'!$A$5:$P$54,16,FALSE),"")</f>
        <v/>
      </c>
      <c r="I11" s="34" t="n"/>
      <c r="J11" s="13">
        <f>IFERROR(I11*VLOOKUP(B11,'Recetas y precios'!$A$5:$P$54,16,FALSE),"")</f>
        <v/>
      </c>
      <c r="K11" s="13">
        <f>IFERROR(G11-H11,"")</f>
        <v/>
      </c>
      <c r="L11" s="35">
        <f>IFERROR(K11/G11,"")</f>
        <v/>
      </c>
      <c r="M11" s="34" t="n"/>
    </row>
    <row r="12">
      <c r="A12" s="33" t="n"/>
      <c r="B12" s="34" t="n"/>
      <c r="C12" s="7">
        <f>IFERROR(VLOOKUP(B12,'Recetas y precios'!$A$5:$B$54,2,FALSE),"")</f>
        <v/>
      </c>
      <c r="D12" s="34" t="n"/>
      <c r="E12" s="34" t="n"/>
      <c r="F12" s="34" t="n"/>
      <c r="G12" s="13">
        <f>IFERROR(E12*F12,"")</f>
        <v/>
      </c>
      <c r="H12" s="13">
        <f>IFERROR(E12*VLOOKUP(B12,'Recetas y precios'!$A$5:$P$54,16,FALSE),"")</f>
        <v/>
      </c>
      <c r="I12" s="34" t="n"/>
      <c r="J12" s="13">
        <f>IFERROR(I12*VLOOKUP(B12,'Recetas y precios'!$A$5:$P$54,16,FALSE),"")</f>
        <v/>
      </c>
      <c r="K12" s="13">
        <f>IFERROR(G12-H12,"")</f>
        <v/>
      </c>
      <c r="L12" s="35">
        <f>IFERROR(K12/G12,"")</f>
        <v/>
      </c>
      <c r="M12" s="34" t="n"/>
    </row>
    <row r="13">
      <c r="A13" s="33" t="n"/>
      <c r="B13" s="34" t="n"/>
      <c r="C13" s="7">
        <f>IFERROR(VLOOKUP(B13,'Recetas y precios'!$A$5:$B$54,2,FALSE),"")</f>
        <v/>
      </c>
      <c r="D13" s="34" t="n"/>
      <c r="E13" s="34" t="n"/>
      <c r="F13" s="34" t="n"/>
      <c r="G13" s="13">
        <f>IFERROR(E13*F13,"")</f>
        <v/>
      </c>
      <c r="H13" s="13">
        <f>IFERROR(E13*VLOOKUP(B13,'Recetas y precios'!$A$5:$P$54,16,FALSE),"")</f>
        <v/>
      </c>
      <c r="I13" s="34" t="n"/>
      <c r="J13" s="13">
        <f>IFERROR(I13*VLOOKUP(B13,'Recetas y precios'!$A$5:$P$54,16,FALSE),"")</f>
        <v/>
      </c>
      <c r="K13" s="13">
        <f>IFERROR(G13-H13,"")</f>
        <v/>
      </c>
      <c r="L13" s="35">
        <f>IFERROR(K13/G13,"")</f>
        <v/>
      </c>
      <c r="M13" s="34" t="n"/>
    </row>
    <row r="14">
      <c r="A14" s="33" t="n"/>
      <c r="B14" s="34" t="n"/>
      <c r="C14" s="7">
        <f>IFERROR(VLOOKUP(B14,'Recetas y precios'!$A$5:$B$54,2,FALSE),"")</f>
        <v/>
      </c>
      <c r="D14" s="34" t="n"/>
      <c r="E14" s="34" t="n"/>
      <c r="F14" s="34" t="n"/>
      <c r="G14" s="13">
        <f>IFERROR(E14*F14,"")</f>
        <v/>
      </c>
      <c r="H14" s="13">
        <f>IFERROR(E14*VLOOKUP(B14,'Recetas y precios'!$A$5:$P$54,16,FALSE),"")</f>
        <v/>
      </c>
      <c r="I14" s="34" t="n"/>
      <c r="J14" s="13">
        <f>IFERROR(I14*VLOOKUP(B14,'Recetas y precios'!$A$5:$P$54,16,FALSE),"")</f>
        <v/>
      </c>
      <c r="K14" s="13">
        <f>IFERROR(G14-H14,"")</f>
        <v/>
      </c>
      <c r="L14" s="35">
        <f>IFERROR(K14/G14,"")</f>
        <v/>
      </c>
      <c r="M14" s="34" t="n"/>
    </row>
    <row r="15">
      <c r="A15" s="33" t="n"/>
      <c r="B15" s="34" t="n"/>
      <c r="C15" s="7">
        <f>IFERROR(VLOOKUP(B15,'Recetas y precios'!$A$5:$B$54,2,FALSE),"")</f>
        <v/>
      </c>
      <c r="D15" s="34" t="n"/>
      <c r="E15" s="34" t="n"/>
      <c r="F15" s="34" t="n"/>
      <c r="G15" s="13">
        <f>IFERROR(E15*F15,"")</f>
        <v/>
      </c>
      <c r="H15" s="13">
        <f>IFERROR(E15*VLOOKUP(B15,'Recetas y precios'!$A$5:$P$54,16,FALSE),"")</f>
        <v/>
      </c>
      <c r="I15" s="34" t="n"/>
      <c r="J15" s="13">
        <f>IFERROR(I15*VLOOKUP(B15,'Recetas y precios'!$A$5:$P$54,16,FALSE),"")</f>
        <v/>
      </c>
      <c r="K15" s="13">
        <f>IFERROR(G15-H15,"")</f>
        <v/>
      </c>
      <c r="L15" s="35">
        <f>IFERROR(K15/G15,"")</f>
        <v/>
      </c>
      <c r="M15" s="34" t="n"/>
    </row>
    <row r="16">
      <c r="A16" s="33" t="n"/>
      <c r="B16" s="34" t="n"/>
      <c r="C16" s="7">
        <f>IFERROR(VLOOKUP(B16,'Recetas y precios'!$A$5:$B$54,2,FALSE),"")</f>
        <v/>
      </c>
      <c r="D16" s="34" t="n"/>
      <c r="E16" s="34" t="n"/>
      <c r="F16" s="34" t="n"/>
      <c r="G16" s="13">
        <f>IFERROR(E16*F16,"")</f>
        <v/>
      </c>
      <c r="H16" s="13">
        <f>IFERROR(E16*VLOOKUP(B16,'Recetas y precios'!$A$5:$P$54,16,FALSE),"")</f>
        <v/>
      </c>
      <c r="I16" s="34" t="n"/>
      <c r="J16" s="13">
        <f>IFERROR(I16*VLOOKUP(B16,'Recetas y precios'!$A$5:$P$54,16,FALSE),"")</f>
        <v/>
      </c>
      <c r="K16" s="13">
        <f>IFERROR(G16-H16,"")</f>
        <v/>
      </c>
      <c r="L16" s="35">
        <f>IFERROR(K16/G16,"")</f>
        <v/>
      </c>
      <c r="M16" s="34" t="n"/>
    </row>
    <row r="17">
      <c r="A17" s="33" t="n"/>
      <c r="B17" s="34" t="n"/>
      <c r="C17" s="7">
        <f>IFERROR(VLOOKUP(B17,'Recetas y precios'!$A$5:$B$54,2,FALSE),"")</f>
        <v/>
      </c>
      <c r="D17" s="34" t="n"/>
      <c r="E17" s="34" t="n"/>
      <c r="F17" s="34" t="n"/>
      <c r="G17" s="13">
        <f>IFERROR(E17*F17,"")</f>
        <v/>
      </c>
      <c r="H17" s="13">
        <f>IFERROR(E17*VLOOKUP(B17,'Recetas y precios'!$A$5:$P$54,16,FALSE),"")</f>
        <v/>
      </c>
      <c r="I17" s="34" t="n"/>
      <c r="J17" s="13">
        <f>IFERROR(I17*VLOOKUP(B17,'Recetas y precios'!$A$5:$P$54,16,FALSE),"")</f>
        <v/>
      </c>
      <c r="K17" s="13">
        <f>IFERROR(G17-H17,"")</f>
        <v/>
      </c>
      <c r="L17" s="35">
        <f>IFERROR(K17/G17,"")</f>
        <v/>
      </c>
      <c r="M17" s="34" t="n"/>
    </row>
    <row r="18">
      <c r="A18" s="33" t="n"/>
      <c r="B18" s="34" t="n"/>
      <c r="C18" s="7">
        <f>IFERROR(VLOOKUP(B18,'Recetas y precios'!$A$5:$B$54,2,FALSE),"")</f>
        <v/>
      </c>
      <c r="D18" s="34" t="n"/>
      <c r="E18" s="34" t="n"/>
      <c r="F18" s="34" t="n"/>
      <c r="G18" s="13">
        <f>IFERROR(E18*F18,"")</f>
        <v/>
      </c>
      <c r="H18" s="13">
        <f>IFERROR(E18*VLOOKUP(B18,'Recetas y precios'!$A$5:$P$54,16,FALSE),"")</f>
        <v/>
      </c>
      <c r="I18" s="34" t="n"/>
      <c r="J18" s="13">
        <f>IFERROR(I18*VLOOKUP(B18,'Recetas y precios'!$A$5:$P$54,16,FALSE),"")</f>
        <v/>
      </c>
      <c r="K18" s="13">
        <f>IFERROR(G18-H18,"")</f>
        <v/>
      </c>
      <c r="L18" s="35">
        <f>IFERROR(K18/G18,"")</f>
        <v/>
      </c>
      <c r="M18" s="34" t="n"/>
    </row>
    <row r="19">
      <c r="A19" s="33" t="n"/>
      <c r="B19" s="34" t="n"/>
      <c r="C19" s="7">
        <f>IFERROR(VLOOKUP(B19,'Recetas y precios'!$A$5:$B$54,2,FALSE),"")</f>
        <v/>
      </c>
      <c r="D19" s="34" t="n"/>
      <c r="E19" s="34" t="n"/>
      <c r="F19" s="34" t="n"/>
      <c r="G19" s="13">
        <f>IFERROR(E19*F19,"")</f>
        <v/>
      </c>
      <c r="H19" s="13">
        <f>IFERROR(E19*VLOOKUP(B19,'Recetas y precios'!$A$5:$P$54,16,FALSE),"")</f>
        <v/>
      </c>
      <c r="I19" s="34" t="n"/>
      <c r="J19" s="13">
        <f>IFERROR(I19*VLOOKUP(B19,'Recetas y precios'!$A$5:$P$54,16,FALSE),"")</f>
        <v/>
      </c>
      <c r="K19" s="13">
        <f>IFERROR(G19-H19,"")</f>
        <v/>
      </c>
      <c r="L19" s="35">
        <f>IFERROR(K19/G19,"")</f>
        <v/>
      </c>
      <c r="M19" s="34" t="n"/>
    </row>
    <row r="20">
      <c r="A20" s="33" t="n"/>
      <c r="B20" s="34" t="n"/>
      <c r="C20" s="7">
        <f>IFERROR(VLOOKUP(B20,'Recetas y precios'!$A$5:$B$54,2,FALSE),"")</f>
        <v/>
      </c>
      <c r="D20" s="34" t="n"/>
      <c r="E20" s="34" t="n"/>
      <c r="F20" s="34" t="n"/>
      <c r="G20" s="13">
        <f>IFERROR(E20*F20,"")</f>
        <v/>
      </c>
      <c r="H20" s="13">
        <f>IFERROR(E20*VLOOKUP(B20,'Recetas y precios'!$A$5:$P$54,16,FALSE),"")</f>
        <v/>
      </c>
      <c r="I20" s="34" t="n"/>
      <c r="J20" s="13">
        <f>IFERROR(I20*VLOOKUP(B20,'Recetas y precios'!$A$5:$P$54,16,FALSE),"")</f>
        <v/>
      </c>
      <c r="K20" s="13">
        <f>IFERROR(G20-H20,"")</f>
        <v/>
      </c>
      <c r="L20" s="35">
        <f>IFERROR(K20/G20,"")</f>
        <v/>
      </c>
      <c r="M20" s="34" t="n"/>
    </row>
    <row r="21">
      <c r="A21" s="33" t="n"/>
      <c r="B21" s="34" t="n"/>
      <c r="C21" s="7">
        <f>IFERROR(VLOOKUP(B21,'Recetas y precios'!$A$5:$B$54,2,FALSE),"")</f>
        <v/>
      </c>
      <c r="D21" s="34" t="n"/>
      <c r="E21" s="34" t="n"/>
      <c r="F21" s="34" t="n"/>
      <c r="G21" s="13">
        <f>IFERROR(E21*F21,"")</f>
        <v/>
      </c>
      <c r="H21" s="13">
        <f>IFERROR(E21*VLOOKUP(B21,'Recetas y precios'!$A$5:$P$54,16,FALSE),"")</f>
        <v/>
      </c>
      <c r="I21" s="34" t="n"/>
      <c r="J21" s="13">
        <f>IFERROR(I21*VLOOKUP(B21,'Recetas y precios'!$A$5:$P$54,16,FALSE),"")</f>
        <v/>
      </c>
      <c r="K21" s="13">
        <f>IFERROR(G21-H21,"")</f>
        <v/>
      </c>
      <c r="L21" s="35">
        <f>IFERROR(K21/G21,"")</f>
        <v/>
      </c>
      <c r="M21" s="34" t="n"/>
    </row>
    <row r="22">
      <c r="A22" s="33" t="n"/>
      <c r="B22" s="34" t="n"/>
      <c r="C22" s="7">
        <f>IFERROR(VLOOKUP(B22,'Recetas y precios'!$A$5:$B$54,2,FALSE),"")</f>
        <v/>
      </c>
      <c r="D22" s="34" t="n"/>
      <c r="E22" s="34" t="n"/>
      <c r="F22" s="34" t="n"/>
      <c r="G22" s="13">
        <f>IFERROR(E22*F22,"")</f>
        <v/>
      </c>
      <c r="H22" s="13">
        <f>IFERROR(E22*VLOOKUP(B22,'Recetas y precios'!$A$5:$P$54,16,FALSE),"")</f>
        <v/>
      </c>
      <c r="I22" s="34" t="n"/>
      <c r="J22" s="13">
        <f>IFERROR(I22*VLOOKUP(B22,'Recetas y precios'!$A$5:$P$54,16,FALSE),"")</f>
        <v/>
      </c>
      <c r="K22" s="13">
        <f>IFERROR(G22-H22,"")</f>
        <v/>
      </c>
      <c r="L22" s="35">
        <f>IFERROR(K22/G22,"")</f>
        <v/>
      </c>
      <c r="M22" s="34" t="n"/>
    </row>
    <row r="23">
      <c r="A23" s="33" t="n"/>
      <c r="B23" s="34" t="n"/>
      <c r="C23" s="7">
        <f>IFERROR(VLOOKUP(B23,'Recetas y precios'!$A$5:$B$54,2,FALSE),"")</f>
        <v/>
      </c>
      <c r="D23" s="34" t="n"/>
      <c r="E23" s="34" t="n"/>
      <c r="F23" s="34" t="n"/>
      <c r="G23" s="13">
        <f>IFERROR(E23*F23,"")</f>
        <v/>
      </c>
      <c r="H23" s="13">
        <f>IFERROR(E23*VLOOKUP(B23,'Recetas y precios'!$A$5:$P$54,16,FALSE),"")</f>
        <v/>
      </c>
      <c r="I23" s="34" t="n"/>
      <c r="J23" s="13">
        <f>IFERROR(I23*VLOOKUP(B23,'Recetas y precios'!$A$5:$P$54,16,FALSE),"")</f>
        <v/>
      </c>
      <c r="K23" s="13">
        <f>IFERROR(G23-H23,"")</f>
        <v/>
      </c>
      <c r="L23" s="35">
        <f>IFERROR(K23/G23,"")</f>
        <v/>
      </c>
      <c r="M23" s="34" t="n"/>
    </row>
    <row r="24">
      <c r="A24" s="33" t="n"/>
      <c r="B24" s="34" t="n"/>
      <c r="C24" s="7">
        <f>IFERROR(VLOOKUP(B24,'Recetas y precios'!$A$5:$B$54,2,FALSE),"")</f>
        <v/>
      </c>
      <c r="D24" s="34" t="n"/>
      <c r="E24" s="34" t="n"/>
      <c r="F24" s="34" t="n"/>
      <c r="G24" s="13">
        <f>IFERROR(E24*F24,"")</f>
        <v/>
      </c>
      <c r="H24" s="13">
        <f>IFERROR(E24*VLOOKUP(B24,'Recetas y precios'!$A$5:$P$54,16,FALSE),"")</f>
        <v/>
      </c>
      <c r="I24" s="34" t="n"/>
      <c r="J24" s="13">
        <f>IFERROR(I24*VLOOKUP(B24,'Recetas y precios'!$A$5:$P$54,16,FALSE),"")</f>
        <v/>
      </c>
      <c r="K24" s="13">
        <f>IFERROR(G24-H24,"")</f>
        <v/>
      </c>
      <c r="L24" s="35">
        <f>IFERROR(K24/G24,"")</f>
        <v/>
      </c>
      <c r="M24" s="34" t="n"/>
    </row>
    <row r="25">
      <c r="A25" s="33" t="n"/>
      <c r="B25" s="34" t="n"/>
      <c r="C25" s="7">
        <f>IFERROR(VLOOKUP(B25,'Recetas y precios'!$A$5:$B$54,2,FALSE),"")</f>
        <v/>
      </c>
      <c r="D25" s="34" t="n"/>
      <c r="E25" s="34" t="n"/>
      <c r="F25" s="34" t="n"/>
      <c r="G25" s="13">
        <f>IFERROR(E25*F25,"")</f>
        <v/>
      </c>
      <c r="H25" s="13">
        <f>IFERROR(E25*VLOOKUP(B25,'Recetas y precios'!$A$5:$P$54,16,FALSE),"")</f>
        <v/>
      </c>
      <c r="I25" s="34" t="n"/>
      <c r="J25" s="13">
        <f>IFERROR(I25*VLOOKUP(B25,'Recetas y precios'!$A$5:$P$54,16,FALSE),"")</f>
        <v/>
      </c>
      <c r="K25" s="13">
        <f>IFERROR(G25-H25,"")</f>
        <v/>
      </c>
      <c r="L25" s="35">
        <f>IFERROR(K25/G25,"")</f>
        <v/>
      </c>
      <c r="M25" s="34" t="n"/>
    </row>
    <row r="26">
      <c r="A26" s="33" t="n"/>
      <c r="B26" s="34" t="n"/>
      <c r="C26" s="7">
        <f>IFERROR(VLOOKUP(B26,'Recetas y precios'!$A$5:$B$54,2,FALSE),"")</f>
        <v/>
      </c>
      <c r="D26" s="34" t="n"/>
      <c r="E26" s="34" t="n"/>
      <c r="F26" s="34" t="n"/>
      <c r="G26" s="13">
        <f>IFERROR(E26*F26,"")</f>
        <v/>
      </c>
      <c r="H26" s="13">
        <f>IFERROR(E26*VLOOKUP(B26,'Recetas y precios'!$A$5:$P$54,16,FALSE),"")</f>
        <v/>
      </c>
      <c r="I26" s="34" t="n"/>
      <c r="J26" s="13">
        <f>IFERROR(I26*VLOOKUP(B26,'Recetas y precios'!$A$5:$P$54,16,FALSE),"")</f>
        <v/>
      </c>
      <c r="K26" s="13">
        <f>IFERROR(G26-H26,"")</f>
        <v/>
      </c>
      <c r="L26" s="35">
        <f>IFERROR(K26/G26,"")</f>
        <v/>
      </c>
      <c r="M26" s="34" t="n"/>
    </row>
    <row r="27">
      <c r="A27" s="33" t="n"/>
      <c r="B27" s="34" t="n"/>
      <c r="C27" s="7">
        <f>IFERROR(VLOOKUP(B27,'Recetas y precios'!$A$5:$B$54,2,FALSE),"")</f>
        <v/>
      </c>
      <c r="D27" s="34" t="n"/>
      <c r="E27" s="34" t="n"/>
      <c r="F27" s="34" t="n"/>
      <c r="G27" s="13">
        <f>IFERROR(E27*F27,"")</f>
        <v/>
      </c>
      <c r="H27" s="13">
        <f>IFERROR(E27*VLOOKUP(B27,'Recetas y precios'!$A$5:$P$54,16,FALSE),"")</f>
        <v/>
      </c>
      <c r="I27" s="34" t="n"/>
      <c r="J27" s="13">
        <f>IFERROR(I27*VLOOKUP(B27,'Recetas y precios'!$A$5:$P$54,16,FALSE),"")</f>
        <v/>
      </c>
      <c r="K27" s="13">
        <f>IFERROR(G27-H27,"")</f>
        <v/>
      </c>
      <c r="L27" s="35">
        <f>IFERROR(K27/G27,"")</f>
        <v/>
      </c>
      <c r="M27" s="34" t="n"/>
    </row>
    <row r="28">
      <c r="A28" s="33" t="n"/>
      <c r="B28" s="34" t="n"/>
      <c r="C28" s="7">
        <f>IFERROR(VLOOKUP(B28,'Recetas y precios'!$A$5:$B$54,2,FALSE),"")</f>
        <v/>
      </c>
      <c r="D28" s="34" t="n"/>
      <c r="E28" s="34" t="n"/>
      <c r="F28" s="34" t="n"/>
      <c r="G28" s="13">
        <f>IFERROR(E28*F28,"")</f>
        <v/>
      </c>
      <c r="H28" s="13">
        <f>IFERROR(E28*VLOOKUP(B28,'Recetas y precios'!$A$5:$P$54,16,FALSE),"")</f>
        <v/>
      </c>
      <c r="I28" s="34" t="n"/>
      <c r="J28" s="13">
        <f>IFERROR(I28*VLOOKUP(B28,'Recetas y precios'!$A$5:$P$54,16,FALSE),"")</f>
        <v/>
      </c>
      <c r="K28" s="13">
        <f>IFERROR(G28-H28,"")</f>
        <v/>
      </c>
      <c r="L28" s="35">
        <f>IFERROR(K28/G28,"")</f>
        <v/>
      </c>
      <c r="M28" s="34" t="n"/>
    </row>
    <row r="29">
      <c r="A29" s="33" t="n"/>
      <c r="B29" s="34" t="n"/>
      <c r="C29" s="7">
        <f>IFERROR(VLOOKUP(B29,'Recetas y precios'!$A$5:$B$54,2,FALSE),"")</f>
        <v/>
      </c>
      <c r="D29" s="34" t="n"/>
      <c r="E29" s="34" t="n"/>
      <c r="F29" s="34" t="n"/>
      <c r="G29" s="13">
        <f>IFERROR(E29*F29,"")</f>
        <v/>
      </c>
      <c r="H29" s="13">
        <f>IFERROR(E29*VLOOKUP(B29,'Recetas y precios'!$A$5:$P$54,16,FALSE),"")</f>
        <v/>
      </c>
      <c r="I29" s="34" t="n"/>
      <c r="J29" s="13">
        <f>IFERROR(I29*VLOOKUP(B29,'Recetas y precios'!$A$5:$P$54,16,FALSE),"")</f>
        <v/>
      </c>
      <c r="K29" s="13">
        <f>IFERROR(G29-H29,"")</f>
        <v/>
      </c>
      <c r="L29" s="35">
        <f>IFERROR(K29/G29,"")</f>
        <v/>
      </c>
      <c r="M29" s="34" t="n"/>
    </row>
    <row r="30">
      <c r="A30" s="33" t="n"/>
      <c r="B30" s="34" t="n"/>
      <c r="C30" s="7">
        <f>IFERROR(VLOOKUP(B30,'Recetas y precios'!$A$5:$B$54,2,FALSE),"")</f>
        <v/>
      </c>
      <c r="D30" s="34" t="n"/>
      <c r="E30" s="34" t="n"/>
      <c r="F30" s="34" t="n"/>
      <c r="G30" s="13">
        <f>IFERROR(E30*F30,"")</f>
        <v/>
      </c>
      <c r="H30" s="13">
        <f>IFERROR(E30*VLOOKUP(B30,'Recetas y precios'!$A$5:$P$54,16,FALSE),"")</f>
        <v/>
      </c>
      <c r="I30" s="34" t="n"/>
      <c r="J30" s="13">
        <f>IFERROR(I30*VLOOKUP(B30,'Recetas y precios'!$A$5:$P$54,16,FALSE),"")</f>
        <v/>
      </c>
      <c r="K30" s="13">
        <f>IFERROR(G30-H30,"")</f>
        <v/>
      </c>
      <c r="L30" s="35">
        <f>IFERROR(K30/G30,"")</f>
        <v/>
      </c>
      <c r="M30" s="34" t="n"/>
    </row>
    <row r="31">
      <c r="A31" s="33" t="n"/>
      <c r="B31" s="34" t="n"/>
      <c r="C31" s="7">
        <f>IFERROR(VLOOKUP(B31,'Recetas y precios'!$A$5:$B$54,2,FALSE),"")</f>
        <v/>
      </c>
      <c r="D31" s="34" t="n"/>
      <c r="E31" s="34" t="n"/>
      <c r="F31" s="34" t="n"/>
      <c r="G31" s="13">
        <f>IFERROR(E31*F31,"")</f>
        <v/>
      </c>
      <c r="H31" s="13">
        <f>IFERROR(E31*VLOOKUP(B31,'Recetas y precios'!$A$5:$P$54,16,FALSE),"")</f>
        <v/>
      </c>
      <c r="I31" s="34" t="n"/>
      <c r="J31" s="13">
        <f>IFERROR(I31*VLOOKUP(B31,'Recetas y precios'!$A$5:$P$54,16,FALSE),"")</f>
        <v/>
      </c>
      <c r="K31" s="13">
        <f>IFERROR(G31-H31,"")</f>
        <v/>
      </c>
      <c r="L31" s="35">
        <f>IFERROR(K31/G31,"")</f>
        <v/>
      </c>
      <c r="M31" s="34" t="n"/>
    </row>
    <row r="32">
      <c r="A32" s="33" t="n"/>
      <c r="B32" s="34" t="n"/>
      <c r="C32" s="7">
        <f>IFERROR(VLOOKUP(B32,'Recetas y precios'!$A$5:$B$54,2,FALSE),"")</f>
        <v/>
      </c>
      <c r="D32" s="34" t="n"/>
      <c r="E32" s="34" t="n"/>
      <c r="F32" s="34" t="n"/>
      <c r="G32" s="13">
        <f>IFERROR(E32*F32,"")</f>
        <v/>
      </c>
      <c r="H32" s="13">
        <f>IFERROR(E32*VLOOKUP(B32,'Recetas y precios'!$A$5:$P$54,16,FALSE),"")</f>
        <v/>
      </c>
      <c r="I32" s="34" t="n"/>
      <c r="J32" s="13">
        <f>IFERROR(I32*VLOOKUP(B32,'Recetas y precios'!$A$5:$P$54,16,FALSE),"")</f>
        <v/>
      </c>
      <c r="K32" s="13">
        <f>IFERROR(G32-H32,"")</f>
        <v/>
      </c>
      <c r="L32" s="35">
        <f>IFERROR(K32/G32,"")</f>
        <v/>
      </c>
      <c r="M32" s="34" t="n"/>
    </row>
    <row r="33">
      <c r="A33" s="33" t="n"/>
      <c r="B33" s="34" t="n"/>
      <c r="C33" s="7">
        <f>IFERROR(VLOOKUP(B33,'Recetas y precios'!$A$5:$B$54,2,FALSE),"")</f>
        <v/>
      </c>
      <c r="D33" s="34" t="n"/>
      <c r="E33" s="34" t="n"/>
      <c r="F33" s="34" t="n"/>
      <c r="G33" s="13">
        <f>IFERROR(E33*F33,"")</f>
        <v/>
      </c>
      <c r="H33" s="13">
        <f>IFERROR(E33*VLOOKUP(B33,'Recetas y precios'!$A$5:$P$54,16,FALSE),"")</f>
        <v/>
      </c>
      <c r="I33" s="34" t="n"/>
      <c r="J33" s="13">
        <f>IFERROR(I33*VLOOKUP(B33,'Recetas y precios'!$A$5:$P$54,16,FALSE),"")</f>
        <v/>
      </c>
      <c r="K33" s="13">
        <f>IFERROR(G33-H33,"")</f>
        <v/>
      </c>
      <c r="L33" s="35">
        <f>IFERROR(K33/G33,"")</f>
        <v/>
      </c>
      <c r="M33" s="34" t="n"/>
    </row>
    <row r="34">
      <c r="A34" s="33" t="n"/>
      <c r="B34" s="34" t="n"/>
      <c r="C34" s="7">
        <f>IFERROR(VLOOKUP(B34,'Recetas y precios'!$A$5:$B$54,2,FALSE),"")</f>
        <v/>
      </c>
      <c r="D34" s="34" t="n"/>
      <c r="E34" s="34" t="n"/>
      <c r="F34" s="34" t="n"/>
      <c r="G34" s="13">
        <f>IFERROR(E34*F34,"")</f>
        <v/>
      </c>
      <c r="H34" s="13">
        <f>IFERROR(E34*VLOOKUP(B34,'Recetas y precios'!$A$5:$P$54,16,FALSE),"")</f>
        <v/>
      </c>
      <c r="I34" s="34" t="n"/>
      <c r="J34" s="13">
        <f>IFERROR(I34*VLOOKUP(B34,'Recetas y precios'!$A$5:$P$54,16,FALSE),"")</f>
        <v/>
      </c>
      <c r="K34" s="13">
        <f>IFERROR(G34-H34,"")</f>
        <v/>
      </c>
      <c r="L34" s="35">
        <f>IFERROR(K34/G34,"")</f>
        <v/>
      </c>
      <c r="M34" s="34" t="n"/>
    </row>
    <row r="35">
      <c r="A35" s="33" t="n"/>
      <c r="B35" s="34" t="n"/>
      <c r="C35" s="7">
        <f>IFERROR(VLOOKUP(B35,'Recetas y precios'!$A$5:$B$54,2,FALSE),"")</f>
        <v/>
      </c>
      <c r="D35" s="34" t="n"/>
      <c r="E35" s="34" t="n"/>
      <c r="F35" s="34" t="n"/>
      <c r="G35" s="13">
        <f>IFERROR(E35*F35,"")</f>
        <v/>
      </c>
      <c r="H35" s="13">
        <f>IFERROR(E35*VLOOKUP(B35,'Recetas y precios'!$A$5:$P$54,16,FALSE),"")</f>
        <v/>
      </c>
      <c r="I35" s="34" t="n"/>
      <c r="J35" s="13">
        <f>IFERROR(I35*VLOOKUP(B35,'Recetas y precios'!$A$5:$P$54,16,FALSE),"")</f>
        <v/>
      </c>
      <c r="K35" s="13">
        <f>IFERROR(G35-H35,"")</f>
        <v/>
      </c>
      <c r="L35" s="35">
        <f>IFERROR(K35/G35,"")</f>
        <v/>
      </c>
      <c r="M35" s="34" t="n"/>
    </row>
    <row r="36">
      <c r="A36" s="33" t="n"/>
      <c r="B36" s="34" t="n"/>
      <c r="C36" s="7">
        <f>IFERROR(VLOOKUP(B36,'Recetas y precios'!$A$5:$B$54,2,FALSE),"")</f>
        <v/>
      </c>
      <c r="D36" s="34" t="n"/>
      <c r="E36" s="34" t="n"/>
      <c r="F36" s="34" t="n"/>
      <c r="G36" s="13">
        <f>IFERROR(E36*F36,"")</f>
        <v/>
      </c>
      <c r="H36" s="13">
        <f>IFERROR(E36*VLOOKUP(B36,'Recetas y precios'!$A$5:$P$54,16,FALSE),"")</f>
        <v/>
      </c>
      <c r="I36" s="34" t="n"/>
      <c r="J36" s="13">
        <f>IFERROR(I36*VLOOKUP(B36,'Recetas y precios'!$A$5:$P$54,16,FALSE),"")</f>
        <v/>
      </c>
      <c r="K36" s="13">
        <f>IFERROR(G36-H36,"")</f>
        <v/>
      </c>
      <c r="L36" s="35">
        <f>IFERROR(K36/G36,"")</f>
        <v/>
      </c>
      <c r="M36" s="34" t="n"/>
    </row>
    <row r="37">
      <c r="A37" s="33" t="n"/>
      <c r="B37" s="34" t="n"/>
      <c r="C37" s="7">
        <f>IFERROR(VLOOKUP(B37,'Recetas y precios'!$A$5:$B$54,2,FALSE),"")</f>
        <v/>
      </c>
      <c r="D37" s="34" t="n"/>
      <c r="E37" s="34" t="n"/>
      <c r="F37" s="34" t="n"/>
      <c r="G37" s="13">
        <f>IFERROR(E37*F37,"")</f>
        <v/>
      </c>
      <c r="H37" s="13">
        <f>IFERROR(E37*VLOOKUP(B37,'Recetas y precios'!$A$5:$P$54,16,FALSE),"")</f>
        <v/>
      </c>
      <c r="I37" s="34" t="n"/>
      <c r="J37" s="13">
        <f>IFERROR(I37*VLOOKUP(B37,'Recetas y precios'!$A$5:$P$54,16,FALSE),"")</f>
        <v/>
      </c>
      <c r="K37" s="13">
        <f>IFERROR(G37-H37,"")</f>
        <v/>
      </c>
      <c r="L37" s="35">
        <f>IFERROR(K37/G37,"")</f>
        <v/>
      </c>
      <c r="M37" s="34" t="n"/>
    </row>
    <row r="38">
      <c r="A38" s="33" t="n"/>
      <c r="B38" s="34" t="n"/>
      <c r="C38" s="7">
        <f>IFERROR(VLOOKUP(B38,'Recetas y precios'!$A$5:$B$54,2,FALSE),"")</f>
        <v/>
      </c>
      <c r="D38" s="34" t="n"/>
      <c r="E38" s="34" t="n"/>
      <c r="F38" s="34" t="n"/>
      <c r="G38" s="13">
        <f>IFERROR(E38*F38,"")</f>
        <v/>
      </c>
      <c r="H38" s="13">
        <f>IFERROR(E38*VLOOKUP(B38,'Recetas y precios'!$A$5:$P$54,16,FALSE),"")</f>
        <v/>
      </c>
      <c r="I38" s="34" t="n"/>
      <c r="J38" s="13">
        <f>IFERROR(I38*VLOOKUP(B38,'Recetas y precios'!$A$5:$P$54,16,FALSE),"")</f>
        <v/>
      </c>
      <c r="K38" s="13">
        <f>IFERROR(G38-H38,"")</f>
        <v/>
      </c>
      <c r="L38" s="35">
        <f>IFERROR(K38/G38,"")</f>
        <v/>
      </c>
      <c r="M38" s="34" t="n"/>
    </row>
    <row r="39">
      <c r="A39" s="33" t="n"/>
      <c r="B39" s="34" t="n"/>
      <c r="C39" s="7">
        <f>IFERROR(VLOOKUP(B39,'Recetas y precios'!$A$5:$B$54,2,FALSE),"")</f>
        <v/>
      </c>
      <c r="D39" s="34" t="n"/>
      <c r="E39" s="34" t="n"/>
      <c r="F39" s="34" t="n"/>
      <c r="G39" s="13">
        <f>IFERROR(E39*F39,"")</f>
        <v/>
      </c>
      <c r="H39" s="13">
        <f>IFERROR(E39*VLOOKUP(B39,'Recetas y precios'!$A$5:$P$54,16,FALSE),"")</f>
        <v/>
      </c>
      <c r="I39" s="34" t="n"/>
      <c r="J39" s="13">
        <f>IFERROR(I39*VLOOKUP(B39,'Recetas y precios'!$A$5:$P$54,16,FALSE),"")</f>
        <v/>
      </c>
      <c r="K39" s="13">
        <f>IFERROR(G39-H39,"")</f>
        <v/>
      </c>
      <c r="L39" s="35">
        <f>IFERROR(K39/G39,"")</f>
        <v/>
      </c>
      <c r="M39" s="34" t="n"/>
    </row>
    <row r="40">
      <c r="A40" s="33" t="n"/>
      <c r="B40" s="34" t="n"/>
      <c r="C40" s="7">
        <f>IFERROR(VLOOKUP(B40,'Recetas y precios'!$A$5:$B$54,2,FALSE),"")</f>
        <v/>
      </c>
      <c r="D40" s="34" t="n"/>
      <c r="E40" s="34" t="n"/>
      <c r="F40" s="34" t="n"/>
      <c r="G40" s="13">
        <f>IFERROR(E40*F40,"")</f>
        <v/>
      </c>
      <c r="H40" s="13">
        <f>IFERROR(E40*VLOOKUP(B40,'Recetas y precios'!$A$5:$P$54,16,FALSE),"")</f>
        <v/>
      </c>
      <c r="I40" s="34" t="n"/>
      <c r="J40" s="13">
        <f>IFERROR(I40*VLOOKUP(B40,'Recetas y precios'!$A$5:$P$54,16,FALSE),"")</f>
        <v/>
      </c>
      <c r="K40" s="13">
        <f>IFERROR(G40-H40,"")</f>
        <v/>
      </c>
      <c r="L40" s="35">
        <f>IFERROR(K40/G40,"")</f>
        <v/>
      </c>
      <c r="M40" s="34" t="n"/>
    </row>
    <row r="41">
      <c r="A41" s="33" t="n"/>
      <c r="B41" s="34" t="n"/>
      <c r="C41" s="7">
        <f>IFERROR(VLOOKUP(B41,'Recetas y precios'!$A$5:$B$54,2,FALSE),"")</f>
        <v/>
      </c>
      <c r="D41" s="34" t="n"/>
      <c r="E41" s="34" t="n"/>
      <c r="F41" s="34" t="n"/>
      <c r="G41" s="13">
        <f>IFERROR(E41*F41,"")</f>
        <v/>
      </c>
      <c r="H41" s="13">
        <f>IFERROR(E41*VLOOKUP(B41,'Recetas y precios'!$A$5:$P$54,16,FALSE),"")</f>
        <v/>
      </c>
      <c r="I41" s="34" t="n"/>
      <c r="J41" s="13">
        <f>IFERROR(I41*VLOOKUP(B41,'Recetas y precios'!$A$5:$P$54,16,FALSE),"")</f>
        <v/>
      </c>
      <c r="K41" s="13">
        <f>IFERROR(G41-H41,"")</f>
        <v/>
      </c>
      <c r="L41" s="35">
        <f>IFERROR(K41/G41,"")</f>
        <v/>
      </c>
      <c r="M41" s="34" t="n"/>
    </row>
    <row r="42">
      <c r="A42" s="33" t="n"/>
      <c r="B42" s="34" t="n"/>
      <c r="C42" s="7">
        <f>IFERROR(VLOOKUP(B42,'Recetas y precios'!$A$5:$B$54,2,FALSE),"")</f>
        <v/>
      </c>
      <c r="D42" s="34" t="n"/>
      <c r="E42" s="34" t="n"/>
      <c r="F42" s="34" t="n"/>
      <c r="G42" s="13">
        <f>IFERROR(E42*F42,"")</f>
        <v/>
      </c>
      <c r="H42" s="13">
        <f>IFERROR(E42*VLOOKUP(B42,'Recetas y precios'!$A$5:$P$54,16,FALSE),"")</f>
        <v/>
      </c>
      <c r="I42" s="34" t="n"/>
      <c r="J42" s="13">
        <f>IFERROR(I42*VLOOKUP(B42,'Recetas y precios'!$A$5:$P$54,16,FALSE),"")</f>
        <v/>
      </c>
      <c r="K42" s="13">
        <f>IFERROR(G42-H42,"")</f>
        <v/>
      </c>
      <c r="L42" s="35">
        <f>IFERROR(K42/G42,"")</f>
        <v/>
      </c>
      <c r="M42" s="34" t="n"/>
    </row>
    <row r="43">
      <c r="A43" s="33" t="n"/>
      <c r="B43" s="34" t="n"/>
      <c r="C43" s="7">
        <f>IFERROR(VLOOKUP(B43,'Recetas y precios'!$A$5:$B$54,2,FALSE),"")</f>
        <v/>
      </c>
      <c r="D43" s="34" t="n"/>
      <c r="E43" s="34" t="n"/>
      <c r="F43" s="34" t="n"/>
      <c r="G43" s="13">
        <f>IFERROR(E43*F43,"")</f>
        <v/>
      </c>
      <c r="H43" s="13">
        <f>IFERROR(E43*VLOOKUP(B43,'Recetas y precios'!$A$5:$P$54,16,FALSE),"")</f>
        <v/>
      </c>
      <c r="I43" s="34" t="n"/>
      <c r="J43" s="13">
        <f>IFERROR(I43*VLOOKUP(B43,'Recetas y precios'!$A$5:$P$54,16,FALSE),"")</f>
        <v/>
      </c>
      <c r="K43" s="13">
        <f>IFERROR(G43-H43,"")</f>
        <v/>
      </c>
      <c r="L43" s="35">
        <f>IFERROR(K43/G43,"")</f>
        <v/>
      </c>
      <c r="M43" s="34" t="n"/>
    </row>
    <row r="44">
      <c r="A44" s="33" t="n"/>
      <c r="B44" s="34" t="n"/>
      <c r="C44" s="7">
        <f>IFERROR(VLOOKUP(B44,'Recetas y precios'!$A$5:$B$54,2,FALSE),"")</f>
        <v/>
      </c>
      <c r="D44" s="34" t="n"/>
      <c r="E44" s="34" t="n"/>
      <c r="F44" s="34" t="n"/>
      <c r="G44" s="13">
        <f>IFERROR(E44*F44,"")</f>
        <v/>
      </c>
      <c r="H44" s="13">
        <f>IFERROR(E44*VLOOKUP(B44,'Recetas y precios'!$A$5:$P$54,16,FALSE),"")</f>
        <v/>
      </c>
      <c r="I44" s="34" t="n"/>
      <c r="J44" s="13">
        <f>IFERROR(I44*VLOOKUP(B44,'Recetas y precios'!$A$5:$P$54,16,FALSE),"")</f>
        <v/>
      </c>
      <c r="K44" s="13">
        <f>IFERROR(G44-H44,"")</f>
        <v/>
      </c>
      <c r="L44" s="35">
        <f>IFERROR(K44/G44,"")</f>
        <v/>
      </c>
      <c r="M44" s="34" t="n"/>
    </row>
    <row r="45">
      <c r="A45" s="33" t="n"/>
      <c r="B45" s="34" t="n"/>
      <c r="C45" s="7">
        <f>IFERROR(VLOOKUP(B45,'Recetas y precios'!$A$5:$B$54,2,FALSE),"")</f>
        <v/>
      </c>
      <c r="D45" s="34" t="n"/>
      <c r="E45" s="34" t="n"/>
      <c r="F45" s="34" t="n"/>
      <c r="G45" s="13">
        <f>IFERROR(E45*F45,"")</f>
        <v/>
      </c>
      <c r="H45" s="13">
        <f>IFERROR(E45*VLOOKUP(B45,'Recetas y precios'!$A$5:$P$54,16,FALSE),"")</f>
        <v/>
      </c>
      <c r="I45" s="34" t="n"/>
      <c r="J45" s="13">
        <f>IFERROR(I45*VLOOKUP(B45,'Recetas y precios'!$A$5:$P$54,16,FALSE),"")</f>
        <v/>
      </c>
      <c r="K45" s="13">
        <f>IFERROR(G45-H45,"")</f>
        <v/>
      </c>
      <c r="L45" s="35">
        <f>IFERROR(K45/G45,"")</f>
        <v/>
      </c>
      <c r="M45" s="34" t="n"/>
    </row>
    <row r="46">
      <c r="A46" s="33" t="n"/>
      <c r="B46" s="34" t="n"/>
      <c r="C46" s="7">
        <f>IFERROR(VLOOKUP(B46,'Recetas y precios'!$A$5:$B$54,2,FALSE),"")</f>
        <v/>
      </c>
      <c r="D46" s="34" t="n"/>
      <c r="E46" s="34" t="n"/>
      <c r="F46" s="34" t="n"/>
      <c r="G46" s="13">
        <f>IFERROR(E46*F46,"")</f>
        <v/>
      </c>
      <c r="H46" s="13">
        <f>IFERROR(E46*VLOOKUP(B46,'Recetas y precios'!$A$5:$P$54,16,FALSE),"")</f>
        <v/>
      </c>
      <c r="I46" s="34" t="n"/>
      <c r="J46" s="13">
        <f>IFERROR(I46*VLOOKUP(B46,'Recetas y precios'!$A$5:$P$54,16,FALSE),"")</f>
        <v/>
      </c>
      <c r="K46" s="13">
        <f>IFERROR(G46-H46,"")</f>
        <v/>
      </c>
      <c r="L46" s="35">
        <f>IFERROR(K46/G46,"")</f>
        <v/>
      </c>
      <c r="M46" s="34" t="n"/>
    </row>
    <row r="47">
      <c r="A47" s="33" t="n"/>
      <c r="B47" s="34" t="n"/>
      <c r="C47" s="7">
        <f>IFERROR(VLOOKUP(B47,'Recetas y precios'!$A$5:$B$54,2,FALSE),"")</f>
        <v/>
      </c>
      <c r="D47" s="34" t="n"/>
      <c r="E47" s="34" t="n"/>
      <c r="F47" s="34" t="n"/>
      <c r="G47" s="13">
        <f>IFERROR(E47*F47,"")</f>
        <v/>
      </c>
      <c r="H47" s="13">
        <f>IFERROR(E47*VLOOKUP(B47,'Recetas y precios'!$A$5:$P$54,16,FALSE),"")</f>
        <v/>
      </c>
      <c r="I47" s="34" t="n"/>
      <c r="J47" s="13">
        <f>IFERROR(I47*VLOOKUP(B47,'Recetas y precios'!$A$5:$P$54,16,FALSE),"")</f>
        <v/>
      </c>
      <c r="K47" s="13">
        <f>IFERROR(G47-H47,"")</f>
        <v/>
      </c>
      <c r="L47" s="35">
        <f>IFERROR(K47/G47,"")</f>
        <v/>
      </c>
      <c r="M47" s="34" t="n"/>
    </row>
    <row r="48">
      <c r="A48" s="33" t="n"/>
      <c r="B48" s="34" t="n"/>
      <c r="C48" s="7">
        <f>IFERROR(VLOOKUP(B48,'Recetas y precios'!$A$5:$B$54,2,FALSE),"")</f>
        <v/>
      </c>
      <c r="D48" s="34" t="n"/>
      <c r="E48" s="34" t="n"/>
      <c r="F48" s="34" t="n"/>
      <c r="G48" s="13">
        <f>IFERROR(E48*F48,"")</f>
        <v/>
      </c>
      <c r="H48" s="13">
        <f>IFERROR(E48*VLOOKUP(B48,'Recetas y precios'!$A$5:$P$54,16,FALSE),"")</f>
        <v/>
      </c>
      <c r="I48" s="34" t="n"/>
      <c r="J48" s="13">
        <f>IFERROR(I48*VLOOKUP(B48,'Recetas y precios'!$A$5:$P$54,16,FALSE),"")</f>
        <v/>
      </c>
      <c r="K48" s="13">
        <f>IFERROR(G48-H48,"")</f>
        <v/>
      </c>
      <c r="L48" s="35">
        <f>IFERROR(K48/G48,"")</f>
        <v/>
      </c>
      <c r="M48" s="34" t="n"/>
    </row>
    <row r="49">
      <c r="A49" s="33" t="n"/>
      <c r="B49" s="34" t="n"/>
      <c r="C49" s="7">
        <f>IFERROR(VLOOKUP(B49,'Recetas y precios'!$A$5:$B$54,2,FALSE),"")</f>
        <v/>
      </c>
      <c r="D49" s="34" t="n"/>
      <c r="E49" s="34" t="n"/>
      <c r="F49" s="34" t="n"/>
      <c r="G49" s="13">
        <f>IFERROR(E49*F49,"")</f>
        <v/>
      </c>
      <c r="H49" s="13">
        <f>IFERROR(E49*VLOOKUP(B49,'Recetas y precios'!$A$5:$P$54,16,FALSE),"")</f>
        <v/>
      </c>
      <c r="I49" s="34" t="n"/>
      <c r="J49" s="13">
        <f>IFERROR(I49*VLOOKUP(B49,'Recetas y precios'!$A$5:$P$54,16,FALSE),"")</f>
        <v/>
      </c>
      <c r="K49" s="13">
        <f>IFERROR(G49-H49,"")</f>
        <v/>
      </c>
      <c r="L49" s="35">
        <f>IFERROR(K49/G49,"")</f>
        <v/>
      </c>
      <c r="M49" s="34" t="n"/>
    </row>
    <row r="50">
      <c r="A50" s="33" t="n"/>
      <c r="B50" s="34" t="n"/>
      <c r="C50" s="7">
        <f>IFERROR(VLOOKUP(B50,'Recetas y precios'!$A$5:$B$54,2,FALSE),"")</f>
        <v/>
      </c>
      <c r="D50" s="34" t="n"/>
      <c r="E50" s="34" t="n"/>
      <c r="F50" s="34" t="n"/>
      <c r="G50" s="13">
        <f>IFERROR(E50*F50,"")</f>
        <v/>
      </c>
      <c r="H50" s="13">
        <f>IFERROR(E50*VLOOKUP(B50,'Recetas y precios'!$A$5:$P$54,16,FALSE),"")</f>
        <v/>
      </c>
      <c r="I50" s="34" t="n"/>
      <c r="J50" s="13">
        <f>IFERROR(I50*VLOOKUP(B50,'Recetas y precios'!$A$5:$P$54,16,FALSE),"")</f>
        <v/>
      </c>
      <c r="K50" s="13">
        <f>IFERROR(G50-H50,"")</f>
        <v/>
      </c>
      <c r="L50" s="35">
        <f>IFERROR(K50/G50,"")</f>
        <v/>
      </c>
      <c r="M50" s="34" t="n"/>
    </row>
    <row r="51">
      <c r="A51" s="33" t="n"/>
      <c r="B51" s="34" t="n"/>
      <c r="C51" s="7">
        <f>IFERROR(VLOOKUP(B51,'Recetas y precios'!$A$5:$B$54,2,FALSE),"")</f>
        <v/>
      </c>
      <c r="D51" s="34" t="n"/>
      <c r="E51" s="34" t="n"/>
      <c r="F51" s="34" t="n"/>
      <c r="G51" s="13">
        <f>IFERROR(E51*F51,"")</f>
        <v/>
      </c>
      <c r="H51" s="13">
        <f>IFERROR(E51*VLOOKUP(B51,'Recetas y precios'!$A$5:$P$54,16,FALSE),"")</f>
        <v/>
      </c>
      <c r="I51" s="34" t="n"/>
      <c r="J51" s="13">
        <f>IFERROR(I51*VLOOKUP(B51,'Recetas y precios'!$A$5:$P$54,16,FALSE),"")</f>
        <v/>
      </c>
      <c r="K51" s="13">
        <f>IFERROR(G51-H51,"")</f>
        <v/>
      </c>
      <c r="L51" s="35">
        <f>IFERROR(K51/G51,"")</f>
        <v/>
      </c>
      <c r="M51" s="34" t="n"/>
    </row>
    <row r="52">
      <c r="A52" s="33" t="n"/>
      <c r="B52" s="34" t="n"/>
      <c r="C52" s="7">
        <f>IFERROR(VLOOKUP(B52,'Recetas y precios'!$A$5:$B$54,2,FALSE),"")</f>
        <v/>
      </c>
      <c r="D52" s="34" t="n"/>
      <c r="E52" s="34" t="n"/>
      <c r="F52" s="34" t="n"/>
      <c r="G52" s="13">
        <f>IFERROR(E52*F52,"")</f>
        <v/>
      </c>
      <c r="H52" s="13">
        <f>IFERROR(E52*VLOOKUP(B52,'Recetas y precios'!$A$5:$P$54,16,FALSE),"")</f>
        <v/>
      </c>
      <c r="I52" s="34" t="n"/>
      <c r="J52" s="13">
        <f>IFERROR(I52*VLOOKUP(B52,'Recetas y precios'!$A$5:$P$54,16,FALSE),"")</f>
        <v/>
      </c>
      <c r="K52" s="13">
        <f>IFERROR(G52-H52,"")</f>
        <v/>
      </c>
      <c r="L52" s="35">
        <f>IFERROR(K52/G52,"")</f>
        <v/>
      </c>
      <c r="M52" s="34" t="n"/>
    </row>
    <row r="53">
      <c r="A53" s="33" t="n"/>
      <c r="B53" s="34" t="n"/>
      <c r="C53" s="7">
        <f>IFERROR(VLOOKUP(B53,'Recetas y precios'!$A$5:$B$54,2,FALSE),"")</f>
        <v/>
      </c>
      <c r="D53" s="34" t="n"/>
      <c r="E53" s="34" t="n"/>
      <c r="F53" s="34" t="n"/>
      <c r="G53" s="13">
        <f>IFERROR(E53*F53,"")</f>
        <v/>
      </c>
      <c r="H53" s="13">
        <f>IFERROR(E53*VLOOKUP(B53,'Recetas y precios'!$A$5:$P$54,16,FALSE),"")</f>
        <v/>
      </c>
      <c r="I53" s="34" t="n"/>
      <c r="J53" s="13">
        <f>IFERROR(I53*VLOOKUP(B53,'Recetas y precios'!$A$5:$P$54,16,FALSE),"")</f>
        <v/>
      </c>
      <c r="K53" s="13">
        <f>IFERROR(G53-H53,"")</f>
        <v/>
      </c>
      <c r="L53" s="35">
        <f>IFERROR(K53/G53,"")</f>
        <v/>
      </c>
      <c r="M53" s="34" t="n"/>
    </row>
    <row r="54">
      <c r="A54" s="33" t="n"/>
      <c r="B54" s="34" t="n"/>
      <c r="C54" s="7">
        <f>IFERROR(VLOOKUP(B54,'Recetas y precios'!$A$5:$B$54,2,FALSE),"")</f>
        <v/>
      </c>
      <c r="D54" s="34" t="n"/>
      <c r="E54" s="34" t="n"/>
      <c r="F54" s="34" t="n"/>
      <c r="G54" s="13">
        <f>IFERROR(E54*F54,"")</f>
        <v/>
      </c>
      <c r="H54" s="13">
        <f>IFERROR(E54*VLOOKUP(B54,'Recetas y precios'!$A$5:$P$54,16,FALSE),"")</f>
        <v/>
      </c>
      <c r="I54" s="34" t="n"/>
      <c r="J54" s="13">
        <f>IFERROR(I54*VLOOKUP(B54,'Recetas y precios'!$A$5:$P$54,16,FALSE),"")</f>
        <v/>
      </c>
      <c r="K54" s="13">
        <f>IFERROR(G54-H54,"")</f>
        <v/>
      </c>
      <c r="L54" s="35">
        <f>IFERROR(K54/G54,"")</f>
        <v/>
      </c>
      <c r="M54" s="34" t="n"/>
    </row>
    <row r="55">
      <c r="A55" s="33" t="n"/>
      <c r="B55" s="34" t="n"/>
      <c r="C55" s="7">
        <f>IFERROR(VLOOKUP(B55,'Recetas y precios'!$A$5:$B$54,2,FALSE),"")</f>
        <v/>
      </c>
      <c r="D55" s="34" t="n"/>
      <c r="E55" s="34" t="n"/>
      <c r="F55" s="34" t="n"/>
      <c r="G55" s="13">
        <f>IFERROR(E55*F55,"")</f>
        <v/>
      </c>
      <c r="H55" s="13">
        <f>IFERROR(E55*VLOOKUP(B55,'Recetas y precios'!$A$5:$P$54,16,FALSE),"")</f>
        <v/>
      </c>
      <c r="I55" s="34" t="n"/>
      <c r="J55" s="13">
        <f>IFERROR(I55*VLOOKUP(B55,'Recetas y precios'!$A$5:$P$54,16,FALSE),"")</f>
        <v/>
      </c>
      <c r="K55" s="13">
        <f>IFERROR(G55-H55,"")</f>
        <v/>
      </c>
      <c r="L55" s="35">
        <f>IFERROR(K55/G55,"")</f>
        <v/>
      </c>
      <c r="M55" s="34" t="n"/>
    </row>
    <row r="56">
      <c r="A56" s="33" t="n"/>
      <c r="B56" s="34" t="n"/>
      <c r="C56" s="7">
        <f>IFERROR(VLOOKUP(B56,'Recetas y precios'!$A$5:$B$54,2,FALSE),"")</f>
        <v/>
      </c>
      <c r="D56" s="34" t="n"/>
      <c r="E56" s="34" t="n"/>
      <c r="F56" s="34" t="n"/>
      <c r="G56" s="13">
        <f>IFERROR(E56*F56,"")</f>
        <v/>
      </c>
      <c r="H56" s="13">
        <f>IFERROR(E56*VLOOKUP(B56,'Recetas y precios'!$A$5:$P$54,16,FALSE),"")</f>
        <v/>
      </c>
      <c r="I56" s="34" t="n"/>
      <c r="J56" s="13">
        <f>IFERROR(I56*VLOOKUP(B56,'Recetas y precios'!$A$5:$P$54,16,FALSE),"")</f>
        <v/>
      </c>
      <c r="K56" s="13">
        <f>IFERROR(G56-H56,"")</f>
        <v/>
      </c>
      <c r="L56" s="35">
        <f>IFERROR(K56/G56,"")</f>
        <v/>
      </c>
      <c r="M56" s="34" t="n"/>
    </row>
    <row r="57">
      <c r="A57" s="33" t="n"/>
      <c r="B57" s="34" t="n"/>
      <c r="C57" s="7">
        <f>IFERROR(VLOOKUP(B57,'Recetas y precios'!$A$5:$B$54,2,FALSE),"")</f>
        <v/>
      </c>
      <c r="D57" s="34" t="n"/>
      <c r="E57" s="34" t="n"/>
      <c r="F57" s="34" t="n"/>
      <c r="G57" s="13">
        <f>IFERROR(E57*F57,"")</f>
        <v/>
      </c>
      <c r="H57" s="13">
        <f>IFERROR(E57*VLOOKUP(B57,'Recetas y precios'!$A$5:$P$54,16,FALSE),"")</f>
        <v/>
      </c>
      <c r="I57" s="34" t="n"/>
      <c r="J57" s="13">
        <f>IFERROR(I57*VLOOKUP(B57,'Recetas y precios'!$A$5:$P$54,16,FALSE),"")</f>
        <v/>
      </c>
      <c r="K57" s="13">
        <f>IFERROR(G57-H57,"")</f>
        <v/>
      </c>
      <c r="L57" s="35">
        <f>IFERROR(K57/G57,"")</f>
        <v/>
      </c>
      <c r="M57" s="34" t="n"/>
    </row>
    <row r="58">
      <c r="A58" s="33" t="n"/>
      <c r="B58" s="34" t="n"/>
      <c r="C58" s="7">
        <f>IFERROR(VLOOKUP(B58,'Recetas y precios'!$A$5:$B$54,2,FALSE),"")</f>
        <v/>
      </c>
      <c r="D58" s="34" t="n"/>
      <c r="E58" s="34" t="n"/>
      <c r="F58" s="34" t="n"/>
      <c r="G58" s="13">
        <f>IFERROR(E58*F58,"")</f>
        <v/>
      </c>
      <c r="H58" s="13">
        <f>IFERROR(E58*VLOOKUP(B58,'Recetas y precios'!$A$5:$P$54,16,FALSE),"")</f>
        <v/>
      </c>
      <c r="I58" s="34" t="n"/>
      <c r="J58" s="13">
        <f>IFERROR(I58*VLOOKUP(B58,'Recetas y precios'!$A$5:$P$54,16,FALSE),"")</f>
        <v/>
      </c>
      <c r="K58" s="13">
        <f>IFERROR(G58-H58,"")</f>
        <v/>
      </c>
      <c r="L58" s="35">
        <f>IFERROR(K58/G58,"")</f>
        <v/>
      </c>
      <c r="M58" s="34" t="n"/>
    </row>
    <row r="59">
      <c r="A59" s="33" t="n"/>
      <c r="B59" s="34" t="n"/>
      <c r="C59" s="7">
        <f>IFERROR(VLOOKUP(B59,'Recetas y precios'!$A$5:$B$54,2,FALSE),"")</f>
        <v/>
      </c>
      <c r="D59" s="34" t="n"/>
      <c r="E59" s="34" t="n"/>
      <c r="F59" s="34" t="n"/>
      <c r="G59" s="13">
        <f>IFERROR(E59*F59,"")</f>
        <v/>
      </c>
      <c r="H59" s="13">
        <f>IFERROR(E59*VLOOKUP(B59,'Recetas y precios'!$A$5:$P$54,16,FALSE),"")</f>
        <v/>
      </c>
      <c r="I59" s="34" t="n"/>
      <c r="J59" s="13">
        <f>IFERROR(I59*VLOOKUP(B59,'Recetas y precios'!$A$5:$P$54,16,FALSE),"")</f>
        <v/>
      </c>
      <c r="K59" s="13">
        <f>IFERROR(G59-H59,"")</f>
        <v/>
      </c>
      <c r="L59" s="35">
        <f>IFERROR(K59/G59,"")</f>
        <v/>
      </c>
      <c r="M59" s="34" t="n"/>
    </row>
    <row r="60">
      <c r="A60" s="33" t="n"/>
      <c r="B60" s="34" t="n"/>
      <c r="C60" s="7">
        <f>IFERROR(VLOOKUP(B60,'Recetas y precios'!$A$5:$B$54,2,FALSE),"")</f>
        <v/>
      </c>
      <c r="D60" s="34" t="n"/>
      <c r="E60" s="34" t="n"/>
      <c r="F60" s="34" t="n"/>
      <c r="G60" s="13">
        <f>IFERROR(E60*F60,"")</f>
        <v/>
      </c>
      <c r="H60" s="13">
        <f>IFERROR(E60*VLOOKUP(B60,'Recetas y precios'!$A$5:$P$54,16,FALSE),"")</f>
        <v/>
      </c>
      <c r="I60" s="34" t="n"/>
      <c r="J60" s="13">
        <f>IFERROR(I60*VLOOKUP(B60,'Recetas y precios'!$A$5:$P$54,16,FALSE),"")</f>
        <v/>
      </c>
      <c r="K60" s="13">
        <f>IFERROR(G60-H60,"")</f>
        <v/>
      </c>
      <c r="L60" s="35">
        <f>IFERROR(K60/G60,"")</f>
        <v/>
      </c>
      <c r="M60" s="34" t="n"/>
    </row>
    <row r="61">
      <c r="A61" s="33" t="n"/>
      <c r="B61" s="34" t="n"/>
      <c r="C61" s="7">
        <f>IFERROR(VLOOKUP(B61,'Recetas y precios'!$A$5:$B$54,2,FALSE),"")</f>
        <v/>
      </c>
      <c r="D61" s="34" t="n"/>
      <c r="E61" s="34" t="n"/>
      <c r="F61" s="34" t="n"/>
      <c r="G61" s="13">
        <f>IFERROR(E61*F61,"")</f>
        <v/>
      </c>
      <c r="H61" s="13">
        <f>IFERROR(E61*VLOOKUP(B61,'Recetas y precios'!$A$5:$P$54,16,FALSE),"")</f>
        <v/>
      </c>
      <c r="I61" s="34" t="n"/>
      <c r="J61" s="13">
        <f>IFERROR(I61*VLOOKUP(B61,'Recetas y precios'!$A$5:$P$54,16,FALSE),"")</f>
        <v/>
      </c>
      <c r="K61" s="13">
        <f>IFERROR(G61-H61,"")</f>
        <v/>
      </c>
      <c r="L61" s="35">
        <f>IFERROR(K61/G61,"")</f>
        <v/>
      </c>
      <c r="M61" s="34" t="n"/>
    </row>
    <row r="62">
      <c r="A62" s="33" t="n"/>
      <c r="B62" s="34" t="n"/>
      <c r="C62" s="7">
        <f>IFERROR(VLOOKUP(B62,'Recetas y precios'!$A$5:$B$54,2,FALSE),"")</f>
        <v/>
      </c>
      <c r="D62" s="34" t="n"/>
      <c r="E62" s="34" t="n"/>
      <c r="F62" s="34" t="n"/>
      <c r="G62" s="13">
        <f>IFERROR(E62*F62,"")</f>
        <v/>
      </c>
      <c r="H62" s="13">
        <f>IFERROR(E62*VLOOKUP(B62,'Recetas y precios'!$A$5:$P$54,16,FALSE),"")</f>
        <v/>
      </c>
      <c r="I62" s="34" t="n"/>
      <c r="J62" s="13">
        <f>IFERROR(I62*VLOOKUP(B62,'Recetas y precios'!$A$5:$P$54,16,FALSE),"")</f>
        <v/>
      </c>
      <c r="K62" s="13">
        <f>IFERROR(G62-H62,"")</f>
        <v/>
      </c>
      <c r="L62" s="35">
        <f>IFERROR(K62/G62,"")</f>
        <v/>
      </c>
      <c r="M62" s="34" t="n"/>
    </row>
    <row r="63">
      <c r="A63" s="33" t="n"/>
      <c r="B63" s="34" t="n"/>
      <c r="C63" s="7">
        <f>IFERROR(VLOOKUP(B63,'Recetas y precios'!$A$5:$B$54,2,FALSE),"")</f>
        <v/>
      </c>
      <c r="D63" s="34" t="n"/>
      <c r="E63" s="34" t="n"/>
      <c r="F63" s="34" t="n"/>
      <c r="G63" s="13">
        <f>IFERROR(E63*F63,"")</f>
        <v/>
      </c>
      <c r="H63" s="13">
        <f>IFERROR(E63*VLOOKUP(B63,'Recetas y precios'!$A$5:$P$54,16,FALSE),"")</f>
        <v/>
      </c>
      <c r="I63" s="34" t="n"/>
      <c r="J63" s="13">
        <f>IFERROR(I63*VLOOKUP(B63,'Recetas y precios'!$A$5:$P$54,16,FALSE),"")</f>
        <v/>
      </c>
      <c r="K63" s="13">
        <f>IFERROR(G63-H63,"")</f>
        <v/>
      </c>
      <c r="L63" s="35">
        <f>IFERROR(K63/G63,"")</f>
        <v/>
      </c>
      <c r="M63" s="34" t="n"/>
    </row>
    <row r="64">
      <c r="A64" s="33" t="n"/>
      <c r="B64" s="34" t="n"/>
      <c r="C64" s="7">
        <f>IFERROR(VLOOKUP(B64,'Recetas y precios'!$A$5:$B$54,2,FALSE),"")</f>
        <v/>
      </c>
      <c r="D64" s="34" t="n"/>
      <c r="E64" s="34" t="n"/>
      <c r="F64" s="34" t="n"/>
      <c r="G64" s="13">
        <f>IFERROR(E64*F64,"")</f>
        <v/>
      </c>
      <c r="H64" s="13">
        <f>IFERROR(E64*VLOOKUP(B64,'Recetas y precios'!$A$5:$P$54,16,FALSE),"")</f>
        <v/>
      </c>
      <c r="I64" s="34" t="n"/>
      <c r="J64" s="13">
        <f>IFERROR(I64*VLOOKUP(B64,'Recetas y precios'!$A$5:$P$54,16,FALSE),"")</f>
        <v/>
      </c>
      <c r="K64" s="13">
        <f>IFERROR(G64-H64,"")</f>
        <v/>
      </c>
      <c r="L64" s="35">
        <f>IFERROR(K64/G64,"")</f>
        <v/>
      </c>
      <c r="M64" s="34" t="n"/>
    </row>
    <row r="65">
      <c r="A65" s="33" t="n"/>
      <c r="B65" s="34" t="n"/>
      <c r="C65" s="7">
        <f>IFERROR(VLOOKUP(B65,'Recetas y precios'!$A$5:$B$54,2,FALSE),"")</f>
        <v/>
      </c>
      <c r="D65" s="34" t="n"/>
      <c r="E65" s="34" t="n"/>
      <c r="F65" s="34" t="n"/>
      <c r="G65" s="13">
        <f>IFERROR(E65*F65,"")</f>
        <v/>
      </c>
      <c r="H65" s="13">
        <f>IFERROR(E65*VLOOKUP(B65,'Recetas y precios'!$A$5:$P$54,16,FALSE),"")</f>
        <v/>
      </c>
      <c r="I65" s="34" t="n"/>
      <c r="J65" s="13">
        <f>IFERROR(I65*VLOOKUP(B65,'Recetas y precios'!$A$5:$P$54,16,FALSE),"")</f>
        <v/>
      </c>
      <c r="K65" s="13">
        <f>IFERROR(G65-H65,"")</f>
        <v/>
      </c>
      <c r="L65" s="35">
        <f>IFERROR(K65/G65,"")</f>
        <v/>
      </c>
      <c r="M65" s="34" t="n"/>
    </row>
    <row r="66">
      <c r="A66" s="33" t="n"/>
      <c r="B66" s="34" t="n"/>
      <c r="C66" s="7">
        <f>IFERROR(VLOOKUP(B66,'Recetas y precios'!$A$5:$B$54,2,FALSE),"")</f>
        <v/>
      </c>
      <c r="D66" s="34" t="n"/>
      <c r="E66" s="34" t="n"/>
      <c r="F66" s="34" t="n"/>
      <c r="G66" s="13">
        <f>IFERROR(E66*F66,"")</f>
        <v/>
      </c>
      <c r="H66" s="13">
        <f>IFERROR(E66*VLOOKUP(B66,'Recetas y precios'!$A$5:$P$54,16,FALSE),"")</f>
        <v/>
      </c>
      <c r="I66" s="34" t="n"/>
      <c r="J66" s="13">
        <f>IFERROR(I66*VLOOKUP(B66,'Recetas y precios'!$A$5:$P$54,16,FALSE),"")</f>
        <v/>
      </c>
      <c r="K66" s="13">
        <f>IFERROR(G66-H66,"")</f>
        <v/>
      </c>
      <c r="L66" s="35">
        <f>IFERROR(K66/G66,"")</f>
        <v/>
      </c>
      <c r="M66" s="34" t="n"/>
    </row>
    <row r="67">
      <c r="A67" s="33" t="n"/>
      <c r="B67" s="34" t="n"/>
      <c r="C67" s="7">
        <f>IFERROR(VLOOKUP(B67,'Recetas y precios'!$A$5:$B$54,2,FALSE),"")</f>
        <v/>
      </c>
      <c r="D67" s="34" t="n"/>
      <c r="E67" s="34" t="n"/>
      <c r="F67" s="34" t="n"/>
      <c r="G67" s="13">
        <f>IFERROR(E67*F67,"")</f>
        <v/>
      </c>
      <c r="H67" s="13">
        <f>IFERROR(E67*VLOOKUP(B67,'Recetas y precios'!$A$5:$P$54,16,FALSE),"")</f>
        <v/>
      </c>
      <c r="I67" s="34" t="n"/>
      <c r="J67" s="13">
        <f>IFERROR(I67*VLOOKUP(B67,'Recetas y precios'!$A$5:$P$54,16,FALSE),"")</f>
        <v/>
      </c>
      <c r="K67" s="13">
        <f>IFERROR(G67-H67,"")</f>
        <v/>
      </c>
      <c r="L67" s="35">
        <f>IFERROR(K67/G67,"")</f>
        <v/>
      </c>
      <c r="M67" s="34" t="n"/>
    </row>
    <row r="68">
      <c r="A68" s="33" t="n"/>
      <c r="B68" s="34" t="n"/>
      <c r="C68" s="7">
        <f>IFERROR(VLOOKUP(B68,'Recetas y precios'!$A$5:$B$54,2,FALSE),"")</f>
        <v/>
      </c>
      <c r="D68" s="34" t="n"/>
      <c r="E68" s="34" t="n"/>
      <c r="F68" s="34" t="n"/>
      <c r="G68" s="13">
        <f>IFERROR(E68*F68,"")</f>
        <v/>
      </c>
      <c r="H68" s="13">
        <f>IFERROR(E68*VLOOKUP(B68,'Recetas y precios'!$A$5:$P$54,16,FALSE),"")</f>
        <v/>
      </c>
      <c r="I68" s="34" t="n"/>
      <c r="J68" s="13">
        <f>IFERROR(I68*VLOOKUP(B68,'Recetas y precios'!$A$5:$P$54,16,FALSE),"")</f>
        <v/>
      </c>
      <c r="K68" s="13">
        <f>IFERROR(G68-H68,"")</f>
        <v/>
      </c>
      <c r="L68" s="35">
        <f>IFERROR(K68/G68,"")</f>
        <v/>
      </c>
      <c r="M68" s="34" t="n"/>
    </row>
    <row r="69">
      <c r="A69" s="33" t="n"/>
      <c r="B69" s="34" t="n"/>
      <c r="C69" s="7">
        <f>IFERROR(VLOOKUP(B69,'Recetas y precios'!$A$5:$B$54,2,FALSE),"")</f>
        <v/>
      </c>
      <c r="D69" s="34" t="n"/>
      <c r="E69" s="34" t="n"/>
      <c r="F69" s="34" t="n"/>
      <c r="G69" s="13">
        <f>IFERROR(E69*F69,"")</f>
        <v/>
      </c>
      <c r="H69" s="13">
        <f>IFERROR(E69*VLOOKUP(B69,'Recetas y precios'!$A$5:$P$54,16,FALSE),"")</f>
        <v/>
      </c>
      <c r="I69" s="34" t="n"/>
      <c r="J69" s="13">
        <f>IFERROR(I69*VLOOKUP(B69,'Recetas y precios'!$A$5:$P$54,16,FALSE),"")</f>
        <v/>
      </c>
      <c r="K69" s="13">
        <f>IFERROR(G69-H69,"")</f>
        <v/>
      </c>
      <c r="L69" s="35">
        <f>IFERROR(K69/G69,"")</f>
        <v/>
      </c>
      <c r="M69" s="34" t="n"/>
    </row>
    <row r="70">
      <c r="A70" s="33" t="n"/>
      <c r="B70" s="34" t="n"/>
      <c r="C70" s="7">
        <f>IFERROR(VLOOKUP(B70,'Recetas y precios'!$A$5:$B$54,2,FALSE),"")</f>
        <v/>
      </c>
      <c r="D70" s="34" t="n"/>
      <c r="E70" s="34" t="n"/>
      <c r="F70" s="34" t="n"/>
      <c r="G70" s="13">
        <f>IFERROR(E70*F70,"")</f>
        <v/>
      </c>
      <c r="H70" s="13">
        <f>IFERROR(E70*VLOOKUP(B70,'Recetas y precios'!$A$5:$P$54,16,FALSE),"")</f>
        <v/>
      </c>
      <c r="I70" s="34" t="n"/>
      <c r="J70" s="13">
        <f>IFERROR(I70*VLOOKUP(B70,'Recetas y precios'!$A$5:$P$54,16,FALSE),"")</f>
        <v/>
      </c>
      <c r="K70" s="13">
        <f>IFERROR(G70-H70,"")</f>
        <v/>
      </c>
      <c r="L70" s="35">
        <f>IFERROR(K70/G70,"")</f>
        <v/>
      </c>
      <c r="M70" s="34" t="n"/>
    </row>
    <row r="71">
      <c r="A71" s="33" t="n"/>
      <c r="B71" s="34" t="n"/>
      <c r="C71" s="7">
        <f>IFERROR(VLOOKUP(B71,'Recetas y precios'!$A$5:$B$54,2,FALSE),"")</f>
        <v/>
      </c>
      <c r="D71" s="34" t="n"/>
      <c r="E71" s="34" t="n"/>
      <c r="F71" s="34" t="n"/>
      <c r="G71" s="13">
        <f>IFERROR(E71*F71,"")</f>
        <v/>
      </c>
      <c r="H71" s="13">
        <f>IFERROR(E71*VLOOKUP(B71,'Recetas y precios'!$A$5:$P$54,16,FALSE),"")</f>
        <v/>
      </c>
      <c r="I71" s="34" t="n"/>
      <c r="J71" s="13">
        <f>IFERROR(I71*VLOOKUP(B71,'Recetas y precios'!$A$5:$P$54,16,FALSE),"")</f>
        <v/>
      </c>
      <c r="K71" s="13">
        <f>IFERROR(G71-H71,"")</f>
        <v/>
      </c>
      <c r="L71" s="35">
        <f>IFERROR(K71/G71,"")</f>
        <v/>
      </c>
      <c r="M71" s="34" t="n"/>
    </row>
    <row r="72">
      <c r="A72" s="33" t="n"/>
      <c r="B72" s="34" t="n"/>
      <c r="C72" s="7">
        <f>IFERROR(VLOOKUP(B72,'Recetas y precios'!$A$5:$B$54,2,FALSE),"")</f>
        <v/>
      </c>
      <c r="D72" s="34" t="n"/>
      <c r="E72" s="34" t="n"/>
      <c r="F72" s="34" t="n"/>
      <c r="G72" s="13">
        <f>IFERROR(E72*F72,"")</f>
        <v/>
      </c>
      <c r="H72" s="13">
        <f>IFERROR(E72*VLOOKUP(B72,'Recetas y precios'!$A$5:$P$54,16,FALSE),"")</f>
        <v/>
      </c>
      <c r="I72" s="34" t="n"/>
      <c r="J72" s="13">
        <f>IFERROR(I72*VLOOKUP(B72,'Recetas y precios'!$A$5:$P$54,16,FALSE),"")</f>
        <v/>
      </c>
      <c r="K72" s="13">
        <f>IFERROR(G72-H72,"")</f>
        <v/>
      </c>
      <c r="L72" s="35">
        <f>IFERROR(K72/G72,"")</f>
        <v/>
      </c>
      <c r="M72" s="34" t="n"/>
    </row>
    <row r="73">
      <c r="A73" s="33" t="n"/>
      <c r="B73" s="34" t="n"/>
      <c r="C73" s="7">
        <f>IFERROR(VLOOKUP(B73,'Recetas y precios'!$A$5:$B$54,2,FALSE),"")</f>
        <v/>
      </c>
      <c r="D73" s="34" t="n"/>
      <c r="E73" s="34" t="n"/>
      <c r="F73" s="34" t="n"/>
      <c r="G73" s="13">
        <f>IFERROR(E73*F73,"")</f>
        <v/>
      </c>
      <c r="H73" s="13">
        <f>IFERROR(E73*VLOOKUP(B73,'Recetas y precios'!$A$5:$P$54,16,FALSE),"")</f>
        <v/>
      </c>
      <c r="I73" s="34" t="n"/>
      <c r="J73" s="13">
        <f>IFERROR(I73*VLOOKUP(B73,'Recetas y precios'!$A$5:$P$54,16,FALSE),"")</f>
        <v/>
      </c>
      <c r="K73" s="13">
        <f>IFERROR(G73-H73,"")</f>
        <v/>
      </c>
      <c r="L73" s="35">
        <f>IFERROR(K73/G73,"")</f>
        <v/>
      </c>
      <c r="M73" s="34" t="n"/>
    </row>
    <row r="74">
      <c r="A74" s="33" t="n"/>
      <c r="B74" s="34" t="n"/>
      <c r="C74" s="7">
        <f>IFERROR(VLOOKUP(B74,'Recetas y precios'!$A$5:$B$54,2,FALSE),"")</f>
        <v/>
      </c>
      <c r="D74" s="34" t="n"/>
      <c r="E74" s="34" t="n"/>
      <c r="F74" s="34" t="n"/>
      <c r="G74" s="13">
        <f>IFERROR(E74*F74,"")</f>
        <v/>
      </c>
      <c r="H74" s="13">
        <f>IFERROR(E74*VLOOKUP(B74,'Recetas y precios'!$A$5:$P$54,16,FALSE),"")</f>
        <v/>
      </c>
      <c r="I74" s="34" t="n"/>
      <c r="J74" s="13">
        <f>IFERROR(I74*VLOOKUP(B74,'Recetas y precios'!$A$5:$P$54,16,FALSE),"")</f>
        <v/>
      </c>
      <c r="K74" s="13">
        <f>IFERROR(G74-H74,"")</f>
        <v/>
      </c>
      <c r="L74" s="35">
        <f>IFERROR(K74/G74,"")</f>
        <v/>
      </c>
      <c r="M74" s="34" t="n"/>
    </row>
    <row r="75">
      <c r="A75" s="33" t="n"/>
      <c r="B75" s="34" t="n"/>
      <c r="C75" s="7">
        <f>IFERROR(VLOOKUP(B75,'Recetas y precios'!$A$5:$B$54,2,FALSE),"")</f>
        <v/>
      </c>
      <c r="D75" s="34" t="n"/>
      <c r="E75" s="34" t="n"/>
      <c r="F75" s="34" t="n"/>
      <c r="G75" s="13">
        <f>IFERROR(E75*F75,"")</f>
        <v/>
      </c>
      <c r="H75" s="13">
        <f>IFERROR(E75*VLOOKUP(B75,'Recetas y precios'!$A$5:$P$54,16,FALSE),"")</f>
        <v/>
      </c>
      <c r="I75" s="34" t="n"/>
      <c r="J75" s="13">
        <f>IFERROR(I75*VLOOKUP(B75,'Recetas y precios'!$A$5:$P$54,16,FALSE),"")</f>
        <v/>
      </c>
      <c r="K75" s="13">
        <f>IFERROR(G75-H75,"")</f>
        <v/>
      </c>
      <c r="L75" s="35">
        <f>IFERROR(K75/G75,"")</f>
        <v/>
      </c>
      <c r="M75" s="34" t="n"/>
    </row>
    <row r="76">
      <c r="A76" s="33" t="n"/>
      <c r="B76" s="34" t="n"/>
      <c r="C76" s="7">
        <f>IFERROR(VLOOKUP(B76,'Recetas y precios'!$A$5:$B$54,2,FALSE),"")</f>
        <v/>
      </c>
      <c r="D76" s="34" t="n"/>
      <c r="E76" s="34" t="n"/>
      <c r="F76" s="34" t="n"/>
      <c r="G76" s="13">
        <f>IFERROR(E76*F76,"")</f>
        <v/>
      </c>
      <c r="H76" s="13">
        <f>IFERROR(E76*VLOOKUP(B76,'Recetas y precios'!$A$5:$P$54,16,FALSE),"")</f>
        <v/>
      </c>
      <c r="I76" s="34" t="n"/>
      <c r="J76" s="13">
        <f>IFERROR(I76*VLOOKUP(B76,'Recetas y precios'!$A$5:$P$54,16,FALSE),"")</f>
        <v/>
      </c>
      <c r="K76" s="13">
        <f>IFERROR(G76-H76,"")</f>
        <v/>
      </c>
      <c r="L76" s="35">
        <f>IFERROR(K76/G76,"")</f>
        <v/>
      </c>
      <c r="M76" s="34" t="n"/>
    </row>
    <row r="77">
      <c r="A77" s="33" t="n"/>
      <c r="B77" s="34" t="n"/>
      <c r="C77" s="7">
        <f>IFERROR(VLOOKUP(B77,'Recetas y precios'!$A$5:$B$54,2,FALSE),"")</f>
        <v/>
      </c>
      <c r="D77" s="34" t="n"/>
      <c r="E77" s="34" t="n"/>
      <c r="F77" s="34" t="n"/>
      <c r="G77" s="13">
        <f>IFERROR(E77*F77,"")</f>
        <v/>
      </c>
      <c r="H77" s="13">
        <f>IFERROR(E77*VLOOKUP(B77,'Recetas y precios'!$A$5:$P$54,16,FALSE),"")</f>
        <v/>
      </c>
      <c r="I77" s="34" t="n"/>
      <c r="J77" s="13">
        <f>IFERROR(I77*VLOOKUP(B77,'Recetas y precios'!$A$5:$P$54,16,FALSE),"")</f>
        <v/>
      </c>
      <c r="K77" s="13">
        <f>IFERROR(G77-H77,"")</f>
        <v/>
      </c>
      <c r="L77" s="35">
        <f>IFERROR(K77/G77,"")</f>
        <v/>
      </c>
      <c r="M77" s="34" t="n"/>
    </row>
    <row r="78">
      <c r="A78" s="33" t="n"/>
      <c r="B78" s="34" t="n"/>
      <c r="C78" s="7">
        <f>IFERROR(VLOOKUP(B78,'Recetas y precios'!$A$5:$B$54,2,FALSE),"")</f>
        <v/>
      </c>
      <c r="D78" s="34" t="n"/>
      <c r="E78" s="34" t="n"/>
      <c r="F78" s="34" t="n"/>
      <c r="G78" s="13">
        <f>IFERROR(E78*F78,"")</f>
        <v/>
      </c>
      <c r="H78" s="13">
        <f>IFERROR(E78*VLOOKUP(B78,'Recetas y precios'!$A$5:$P$54,16,FALSE),"")</f>
        <v/>
      </c>
      <c r="I78" s="34" t="n"/>
      <c r="J78" s="13">
        <f>IFERROR(I78*VLOOKUP(B78,'Recetas y precios'!$A$5:$P$54,16,FALSE),"")</f>
        <v/>
      </c>
      <c r="K78" s="13">
        <f>IFERROR(G78-H78,"")</f>
        <v/>
      </c>
      <c r="L78" s="35">
        <f>IFERROR(K78/G78,"")</f>
        <v/>
      </c>
      <c r="M78" s="34" t="n"/>
    </row>
    <row r="79">
      <c r="A79" s="33" t="n"/>
      <c r="B79" s="34" t="n"/>
      <c r="C79" s="7">
        <f>IFERROR(VLOOKUP(B79,'Recetas y precios'!$A$5:$B$54,2,FALSE),"")</f>
        <v/>
      </c>
      <c r="D79" s="34" t="n"/>
      <c r="E79" s="34" t="n"/>
      <c r="F79" s="34" t="n"/>
      <c r="G79" s="13">
        <f>IFERROR(E79*F79,"")</f>
        <v/>
      </c>
      <c r="H79" s="13">
        <f>IFERROR(E79*VLOOKUP(B79,'Recetas y precios'!$A$5:$P$54,16,FALSE),"")</f>
        <v/>
      </c>
      <c r="I79" s="34" t="n"/>
      <c r="J79" s="13">
        <f>IFERROR(I79*VLOOKUP(B79,'Recetas y precios'!$A$5:$P$54,16,FALSE),"")</f>
        <v/>
      </c>
      <c r="K79" s="13">
        <f>IFERROR(G79-H79,"")</f>
        <v/>
      </c>
      <c r="L79" s="35">
        <f>IFERROR(K79/G79,"")</f>
        <v/>
      </c>
      <c r="M79" s="34" t="n"/>
    </row>
    <row r="80">
      <c r="A80" s="33" t="n"/>
      <c r="B80" s="34" t="n"/>
      <c r="C80" s="7">
        <f>IFERROR(VLOOKUP(B80,'Recetas y precios'!$A$5:$B$54,2,FALSE),"")</f>
        <v/>
      </c>
      <c r="D80" s="34" t="n"/>
      <c r="E80" s="34" t="n"/>
      <c r="F80" s="34" t="n"/>
      <c r="G80" s="13">
        <f>IFERROR(E80*F80,"")</f>
        <v/>
      </c>
      <c r="H80" s="13">
        <f>IFERROR(E80*VLOOKUP(B80,'Recetas y precios'!$A$5:$P$54,16,FALSE),"")</f>
        <v/>
      </c>
      <c r="I80" s="34" t="n"/>
      <c r="J80" s="13">
        <f>IFERROR(I80*VLOOKUP(B80,'Recetas y precios'!$A$5:$P$54,16,FALSE),"")</f>
        <v/>
      </c>
      <c r="K80" s="13">
        <f>IFERROR(G80-H80,"")</f>
        <v/>
      </c>
      <c r="L80" s="35">
        <f>IFERROR(K80/G80,"")</f>
        <v/>
      </c>
      <c r="M80" s="34" t="n"/>
    </row>
    <row r="81">
      <c r="A81" s="33" t="n"/>
      <c r="B81" s="34" t="n"/>
      <c r="C81" s="7">
        <f>IFERROR(VLOOKUP(B81,'Recetas y precios'!$A$5:$B$54,2,FALSE),"")</f>
        <v/>
      </c>
      <c r="D81" s="34" t="n"/>
      <c r="E81" s="34" t="n"/>
      <c r="F81" s="34" t="n"/>
      <c r="G81" s="13">
        <f>IFERROR(E81*F81,"")</f>
        <v/>
      </c>
      <c r="H81" s="13">
        <f>IFERROR(E81*VLOOKUP(B81,'Recetas y precios'!$A$5:$P$54,16,FALSE),"")</f>
        <v/>
      </c>
      <c r="I81" s="34" t="n"/>
      <c r="J81" s="13">
        <f>IFERROR(I81*VLOOKUP(B81,'Recetas y precios'!$A$5:$P$54,16,FALSE),"")</f>
        <v/>
      </c>
      <c r="K81" s="13">
        <f>IFERROR(G81-H81,"")</f>
        <v/>
      </c>
      <c r="L81" s="35">
        <f>IFERROR(K81/G81,"")</f>
        <v/>
      </c>
      <c r="M81" s="34" t="n"/>
    </row>
    <row r="82">
      <c r="A82" s="33" t="n"/>
      <c r="B82" s="34" t="n"/>
      <c r="C82" s="7">
        <f>IFERROR(VLOOKUP(B82,'Recetas y precios'!$A$5:$B$54,2,FALSE),"")</f>
        <v/>
      </c>
      <c r="D82" s="34" t="n"/>
      <c r="E82" s="34" t="n"/>
      <c r="F82" s="34" t="n"/>
      <c r="G82" s="13">
        <f>IFERROR(E82*F82,"")</f>
        <v/>
      </c>
      <c r="H82" s="13">
        <f>IFERROR(E82*VLOOKUP(B82,'Recetas y precios'!$A$5:$P$54,16,FALSE),"")</f>
        <v/>
      </c>
      <c r="I82" s="34" t="n"/>
      <c r="J82" s="13">
        <f>IFERROR(I82*VLOOKUP(B82,'Recetas y precios'!$A$5:$P$54,16,FALSE),"")</f>
        <v/>
      </c>
      <c r="K82" s="13">
        <f>IFERROR(G82-H82,"")</f>
        <v/>
      </c>
      <c r="L82" s="35">
        <f>IFERROR(K82/G82,"")</f>
        <v/>
      </c>
      <c r="M82" s="34" t="n"/>
    </row>
    <row r="83">
      <c r="A83" s="33" t="n"/>
      <c r="B83" s="34" t="n"/>
      <c r="C83" s="7">
        <f>IFERROR(VLOOKUP(B83,'Recetas y precios'!$A$5:$B$54,2,FALSE),"")</f>
        <v/>
      </c>
      <c r="D83" s="34" t="n"/>
      <c r="E83" s="34" t="n"/>
      <c r="F83" s="34" t="n"/>
      <c r="G83" s="13">
        <f>IFERROR(E83*F83,"")</f>
        <v/>
      </c>
      <c r="H83" s="13">
        <f>IFERROR(E83*VLOOKUP(B83,'Recetas y precios'!$A$5:$P$54,16,FALSE),"")</f>
        <v/>
      </c>
      <c r="I83" s="34" t="n"/>
      <c r="J83" s="13">
        <f>IFERROR(I83*VLOOKUP(B83,'Recetas y precios'!$A$5:$P$54,16,FALSE),"")</f>
        <v/>
      </c>
      <c r="K83" s="13">
        <f>IFERROR(G83-H83,"")</f>
        <v/>
      </c>
      <c r="L83" s="35">
        <f>IFERROR(K83/G83,"")</f>
        <v/>
      </c>
      <c r="M83" s="34" t="n"/>
    </row>
    <row r="84">
      <c r="A84" s="33" t="n"/>
      <c r="B84" s="34" t="n"/>
      <c r="C84" s="7">
        <f>IFERROR(VLOOKUP(B84,'Recetas y precios'!$A$5:$B$54,2,FALSE),"")</f>
        <v/>
      </c>
      <c r="D84" s="34" t="n"/>
      <c r="E84" s="34" t="n"/>
      <c r="F84" s="34" t="n"/>
      <c r="G84" s="13">
        <f>IFERROR(E84*F84,"")</f>
        <v/>
      </c>
      <c r="H84" s="13">
        <f>IFERROR(E84*VLOOKUP(B84,'Recetas y precios'!$A$5:$P$54,16,FALSE),"")</f>
        <v/>
      </c>
      <c r="I84" s="34" t="n"/>
      <c r="J84" s="13">
        <f>IFERROR(I84*VLOOKUP(B84,'Recetas y precios'!$A$5:$P$54,16,FALSE),"")</f>
        <v/>
      </c>
      <c r="K84" s="13">
        <f>IFERROR(G84-H84,"")</f>
        <v/>
      </c>
      <c r="L84" s="35">
        <f>IFERROR(K84/G84,"")</f>
        <v/>
      </c>
      <c r="M84" s="34" t="n"/>
    </row>
    <row r="85">
      <c r="A85" s="33" t="n"/>
      <c r="B85" s="34" t="n"/>
      <c r="C85" s="7">
        <f>IFERROR(VLOOKUP(B85,'Recetas y precios'!$A$5:$B$54,2,FALSE),"")</f>
        <v/>
      </c>
      <c r="D85" s="34" t="n"/>
      <c r="E85" s="34" t="n"/>
      <c r="F85" s="34" t="n"/>
      <c r="G85" s="13">
        <f>IFERROR(E85*F85,"")</f>
        <v/>
      </c>
      <c r="H85" s="13">
        <f>IFERROR(E85*VLOOKUP(B85,'Recetas y precios'!$A$5:$P$54,16,FALSE),"")</f>
        <v/>
      </c>
      <c r="I85" s="34" t="n"/>
      <c r="J85" s="13">
        <f>IFERROR(I85*VLOOKUP(B85,'Recetas y precios'!$A$5:$P$54,16,FALSE),"")</f>
        <v/>
      </c>
      <c r="K85" s="13">
        <f>IFERROR(G85-H85,"")</f>
        <v/>
      </c>
      <c r="L85" s="35">
        <f>IFERROR(K85/G85,"")</f>
        <v/>
      </c>
      <c r="M85" s="34" t="n"/>
    </row>
    <row r="86">
      <c r="A86" s="33" t="n"/>
      <c r="B86" s="34" t="n"/>
      <c r="C86" s="7">
        <f>IFERROR(VLOOKUP(B86,'Recetas y precios'!$A$5:$B$54,2,FALSE),"")</f>
        <v/>
      </c>
      <c r="D86" s="34" t="n"/>
      <c r="E86" s="34" t="n"/>
      <c r="F86" s="34" t="n"/>
      <c r="G86" s="13">
        <f>IFERROR(E86*F86,"")</f>
        <v/>
      </c>
      <c r="H86" s="13">
        <f>IFERROR(E86*VLOOKUP(B86,'Recetas y precios'!$A$5:$P$54,16,FALSE),"")</f>
        <v/>
      </c>
      <c r="I86" s="34" t="n"/>
      <c r="J86" s="13">
        <f>IFERROR(I86*VLOOKUP(B86,'Recetas y precios'!$A$5:$P$54,16,FALSE),"")</f>
        <v/>
      </c>
      <c r="K86" s="13">
        <f>IFERROR(G86-H86,"")</f>
        <v/>
      </c>
      <c r="L86" s="35">
        <f>IFERROR(K86/G86,"")</f>
        <v/>
      </c>
      <c r="M86" s="34" t="n"/>
    </row>
    <row r="87">
      <c r="A87" s="33" t="n"/>
      <c r="B87" s="34" t="n"/>
      <c r="C87" s="7">
        <f>IFERROR(VLOOKUP(B87,'Recetas y precios'!$A$5:$B$54,2,FALSE),"")</f>
        <v/>
      </c>
      <c r="D87" s="34" t="n"/>
      <c r="E87" s="34" t="n"/>
      <c r="F87" s="34" t="n"/>
      <c r="G87" s="13">
        <f>IFERROR(E87*F87,"")</f>
        <v/>
      </c>
      <c r="H87" s="13">
        <f>IFERROR(E87*VLOOKUP(B87,'Recetas y precios'!$A$5:$P$54,16,FALSE),"")</f>
        <v/>
      </c>
      <c r="I87" s="34" t="n"/>
      <c r="J87" s="13">
        <f>IFERROR(I87*VLOOKUP(B87,'Recetas y precios'!$A$5:$P$54,16,FALSE),"")</f>
        <v/>
      </c>
      <c r="K87" s="13">
        <f>IFERROR(G87-H87,"")</f>
        <v/>
      </c>
      <c r="L87" s="35">
        <f>IFERROR(K87/G87,"")</f>
        <v/>
      </c>
      <c r="M87" s="34" t="n"/>
    </row>
    <row r="88">
      <c r="A88" s="33" t="n"/>
      <c r="B88" s="34" t="n"/>
      <c r="C88" s="7">
        <f>IFERROR(VLOOKUP(B88,'Recetas y precios'!$A$5:$B$54,2,FALSE),"")</f>
        <v/>
      </c>
      <c r="D88" s="34" t="n"/>
      <c r="E88" s="34" t="n"/>
      <c r="F88" s="34" t="n"/>
      <c r="G88" s="13">
        <f>IFERROR(E88*F88,"")</f>
        <v/>
      </c>
      <c r="H88" s="13">
        <f>IFERROR(E88*VLOOKUP(B88,'Recetas y precios'!$A$5:$P$54,16,FALSE),"")</f>
        <v/>
      </c>
      <c r="I88" s="34" t="n"/>
      <c r="J88" s="13">
        <f>IFERROR(I88*VLOOKUP(B88,'Recetas y precios'!$A$5:$P$54,16,FALSE),"")</f>
        <v/>
      </c>
      <c r="K88" s="13">
        <f>IFERROR(G88-H88,"")</f>
        <v/>
      </c>
      <c r="L88" s="35">
        <f>IFERROR(K88/G88,"")</f>
        <v/>
      </c>
      <c r="M88" s="34" t="n"/>
    </row>
    <row r="89">
      <c r="A89" s="33" t="n"/>
      <c r="B89" s="34" t="n"/>
      <c r="C89" s="7">
        <f>IFERROR(VLOOKUP(B89,'Recetas y precios'!$A$5:$B$54,2,FALSE),"")</f>
        <v/>
      </c>
      <c r="D89" s="34" t="n"/>
      <c r="E89" s="34" t="n"/>
      <c r="F89" s="34" t="n"/>
      <c r="G89" s="13">
        <f>IFERROR(E89*F89,"")</f>
        <v/>
      </c>
      <c r="H89" s="13">
        <f>IFERROR(E89*VLOOKUP(B89,'Recetas y precios'!$A$5:$P$54,16,FALSE),"")</f>
        <v/>
      </c>
      <c r="I89" s="34" t="n"/>
      <c r="J89" s="13">
        <f>IFERROR(I89*VLOOKUP(B89,'Recetas y precios'!$A$5:$P$54,16,FALSE),"")</f>
        <v/>
      </c>
      <c r="K89" s="13">
        <f>IFERROR(G89-H89,"")</f>
        <v/>
      </c>
      <c r="L89" s="35">
        <f>IFERROR(K89/G89,"")</f>
        <v/>
      </c>
      <c r="M89" s="34" t="n"/>
    </row>
    <row r="90">
      <c r="A90" s="33" t="n"/>
      <c r="B90" s="34" t="n"/>
      <c r="C90" s="7">
        <f>IFERROR(VLOOKUP(B90,'Recetas y precios'!$A$5:$B$54,2,FALSE),"")</f>
        <v/>
      </c>
      <c r="D90" s="34" t="n"/>
      <c r="E90" s="34" t="n"/>
      <c r="F90" s="34" t="n"/>
      <c r="G90" s="13">
        <f>IFERROR(E90*F90,"")</f>
        <v/>
      </c>
      <c r="H90" s="13">
        <f>IFERROR(E90*VLOOKUP(B90,'Recetas y precios'!$A$5:$P$54,16,FALSE),"")</f>
        <v/>
      </c>
      <c r="I90" s="34" t="n"/>
      <c r="J90" s="13">
        <f>IFERROR(I90*VLOOKUP(B90,'Recetas y precios'!$A$5:$P$54,16,FALSE),"")</f>
        <v/>
      </c>
      <c r="K90" s="13">
        <f>IFERROR(G90-H90,"")</f>
        <v/>
      </c>
      <c r="L90" s="35">
        <f>IFERROR(K90/G90,"")</f>
        <v/>
      </c>
      <c r="M90" s="34" t="n"/>
    </row>
    <row r="91">
      <c r="A91" s="33" t="n"/>
      <c r="B91" s="34" t="n"/>
      <c r="C91" s="7">
        <f>IFERROR(VLOOKUP(B91,'Recetas y precios'!$A$5:$B$54,2,FALSE),"")</f>
        <v/>
      </c>
      <c r="D91" s="34" t="n"/>
      <c r="E91" s="34" t="n"/>
      <c r="F91" s="34" t="n"/>
      <c r="G91" s="13">
        <f>IFERROR(E91*F91,"")</f>
        <v/>
      </c>
      <c r="H91" s="13">
        <f>IFERROR(E91*VLOOKUP(B91,'Recetas y precios'!$A$5:$P$54,16,FALSE),"")</f>
        <v/>
      </c>
      <c r="I91" s="34" t="n"/>
      <c r="J91" s="13">
        <f>IFERROR(I91*VLOOKUP(B91,'Recetas y precios'!$A$5:$P$54,16,FALSE),"")</f>
        <v/>
      </c>
      <c r="K91" s="13">
        <f>IFERROR(G91-H91,"")</f>
        <v/>
      </c>
      <c r="L91" s="35">
        <f>IFERROR(K91/G91,"")</f>
        <v/>
      </c>
      <c r="M91" s="34" t="n"/>
    </row>
    <row r="92">
      <c r="A92" s="33" t="n"/>
      <c r="B92" s="34" t="n"/>
      <c r="C92" s="7">
        <f>IFERROR(VLOOKUP(B92,'Recetas y precios'!$A$5:$B$54,2,FALSE),"")</f>
        <v/>
      </c>
      <c r="D92" s="34" t="n"/>
      <c r="E92" s="34" t="n"/>
      <c r="F92" s="34" t="n"/>
      <c r="G92" s="13">
        <f>IFERROR(E92*F92,"")</f>
        <v/>
      </c>
      <c r="H92" s="13">
        <f>IFERROR(E92*VLOOKUP(B92,'Recetas y precios'!$A$5:$P$54,16,FALSE),"")</f>
        <v/>
      </c>
      <c r="I92" s="34" t="n"/>
      <c r="J92" s="13">
        <f>IFERROR(I92*VLOOKUP(B92,'Recetas y precios'!$A$5:$P$54,16,FALSE),"")</f>
        <v/>
      </c>
      <c r="K92" s="13">
        <f>IFERROR(G92-H92,"")</f>
        <v/>
      </c>
      <c r="L92" s="35">
        <f>IFERROR(K92/G92,"")</f>
        <v/>
      </c>
      <c r="M92" s="34" t="n"/>
    </row>
    <row r="93">
      <c r="A93" s="33" t="n"/>
      <c r="B93" s="34" t="n"/>
      <c r="C93" s="7">
        <f>IFERROR(VLOOKUP(B93,'Recetas y precios'!$A$5:$B$54,2,FALSE),"")</f>
        <v/>
      </c>
      <c r="D93" s="34" t="n"/>
      <c r="E93" s="34" t="n"/>
      <c r="F93" s="34" t="n"/>
      <c r="G93" s="13">
        <f>IFERROR(E93*F93,"")</f>
        <v/>
      </c>
      <c r="H93" s="13">
        <f>IFERROR(E93*VLOOKUP(B93,'Recetas y precios'!$A$5:$P$54,16,FALSE),"")</f>
        <v/>
      </c>
      <c r="I93" s="34" t="n"/>
      <c r="J93" s="13">
        <f>IFERROR(I93*VLOOKUP(B93,'Recetas y precios'!$A$5:$P$54,16,FALSE),"")</f>
        <v/>
      </c>
      <c r="K93" s="13">
        <f>IFERROR(G93-H93,"")</f>
        <v/>
      </c>
      <c r="L93" s="35">
        <f>IFERROR(K93/G93,"")</f>
        <v/>
      </c>
      <c r="M93" s="34" t="n"/>
    </row>
    <row r="94">
      <c r="A94" s="33" t="n"/>
      <c r="B94" s="34" t="n"/>
      <c r="C94" s="7">
        <f>IFERROR(VLOOKUP(B94,'Recetas y precios'!$A$5:$B$54,2,FALSE),"")</f>
        <v/>
      </c>
      <c r="D94" s="34" t="n"/>
      <c r="E94" s="34" t="n"/>
      <c r="F94" s="34" t="n"/>
      <c r="G94" s="13">
        <f>IFERROR(E94*F94,"")</f>
        <v/>
      </c>
      <c r="H94" s="13">
        <f>IFERROR(E94*VLOOKUP(B94,'Recetas y precios'!$A$5:$P$54,16,FALSE),"")</f>
        <v/>
      </c>
      <c r="I94" s="34" t="n"/>
      <c r="J94" s="13">
        <f>IFERROR(I94*VLOOKUP(B94,'Recetas y precios'!$A$5:$P$54,16,FALSE),"")</f>
        <v/>
      </c>
      <c r="K94" s="13">
        <f>IFERROR(G94-H94,"")</f>
        <v/>
      </c>
      <c r="L94" s="35">
        <f>IFERROR(K94/G94,"")</f>
        <v/>
      </c>
      <c r="M94" s="34" t="n"/>
    </row>
    <row r="95">
      <c r="A95" s="33" t="n"/>
      <c r="B95" s="34" t="n"/>
      <c r="C95" s="7">
        <f>IFERROR(VLOOKUP(B95,'Recetas y precios'!$A$5:$B$54,2,FALSE),"")</f>
        <v/>
      </c>
      <c r="D95" s="34" t="n"/>
      <c r="E95" s="34" t="n"/>
      <c r="F95" s="34" t="n"/>
      <c r="G95" s="13">
        <f>IFERROR(E95*F95,"")</f>
        <v/>
      </c>
      <c r="H95" s="13">
        <f>IFERROR(E95*VLOOKUP(B95,'Recetas y precios'!$A$5:$P$54,16,FALSE),"")</f>
        <v/>
      </c>
      <c r="I95" s="34" t="n"/>
      <c r="J95" s="13">
        <f>IFERROR(I95*VLOOKUP(B95,'Recetas y precios'!$A$5:$P$54,16,FALSE),"")</f>
        <v/>
      </c>
      <c r="K95" s="13">
        <f>IFERROR(G95-H95,"")</f>
        <v/>
      </c>
      <c r="L95" s="35">
        <f>IFERROR(K95/G95,"")</f>
        <v/>
      </c>
      <c r="M95" s="34" t="n"/>
    </row>
    <row r="96">
      <c r="A96" s="33" t="n"/>
      <c r="B96" s="34" t="n"/>
      <c r="C96" s="7">
        <f>IFERROR(VLOOKUP(B96,'Recetas y precios'!$A$5:$B$54,2,FALSE),"")</f>
        <v/>
      </c>
      <c r="D96" s="34" t="n"/>
      <c r="E96" s="34" t="n"/>
      <c r="F96" s="34" t="n"/>
      <c r="G96" s="13">
        <f>IFERROR(E96*F96,"")</f>
        <v/>
      </c>
      <c r="H96" s="13">
        <f>IFERROR(E96*VLOOKUP(B96,'Recetas y precios'!$A$5:$P$54,16,FALSE),"")</f>
        <v/>
      </c>
      <c r="I96" s="34" t="n"/>
      <c r="J96" s="13">
        <f>IFERROR(I96*VLOOKUP(B96,'Recetas y precios'!$A$5:$P$54,16,FALSE),"")</f>
        <v/>
      </c>
      <c r="K96" s="13">
        <f>IFERROR(G96-H96,"")</f>
        <v/>
      </c>
      <c r="L96" s="35">
        <f>IFERROR(K96/G96,"")</f>
        <v/>
      </c>
      <c r="M96" s="34" t="n"/>
    </row>
    <row r="97">
      <c r="A97" s="33" t="n"/>
      <c r="B97" s="34" t="n"/>
      <c r="C97" s="7">
        <f>IFERROR(VLOOKUP(B97,'Recetas y precios'!$A$5:$B$54,2,FALSE),"")</f>
        <v/>
      </c>
      <c r="D97" s="34" t="n"/>
      <c r="E97" s="34" t="n"/>
      <c r="F97" s="34" t="n"/>
      <c r="G97" s="13">
        <f>IFERROR(E97*F97,"")</f>
        <v/>
      </c>
      <c r="H97" s="13">
        <f>IFERROR(E97*VLOOKUP(B97,'Recetas y precios'!$A$5:$P$54,16,FALSE),"")</f>
        <v/>
      </c>
      <c r="I97" s="34" t="n"/>
      <c r="J97" s="13">
        <f>IFERROR(I97*VLOOKUP(B97,'Recetas y precios'!$A$5:$P$54,16,FALSE),"")</f>
        <v/>
      </c>
      <c r="K97" s="13">
        <f>IFERROR(G97-H97,"")</f>
        <v/>
      </c>
      <c r="L97" s="35">
        <f>IFERROR(K97/G97,"")</f>
        <v/>
      </c>
      <c r="M97" s="34" t="n"/>
    </row>
    <row r="98">
      <c r="A98" s="33" t="n"/>
      <c r="B98" s="34" t="n"/>
      <c r="C98" s="7">
        <f>IFERROR(VLOOKUP(B98,'Recetas y precios'!$A$5:$B$54,2,FALSE),"")</f>
        <v/>
      </c>
      <c r="D98" s="34" t="n"/>
      <c r="E98" s="34" t="n"/>
      <c r="F98" s="34" t="n"/>
      <c r="G98" s="13">
        <f>IFERROR(E98*F98,"")</f>
        <v/>
      </c>
      <c r="H98" s="13">
        <f>IFERROR(E98*VLOOKUP(B98,'Recetas y precios'!$A$5:$P$54,16,FALSE),"")</f>
        <v/>
      </c>
      <c r="I98" s="34" t="n"/>
      <c r="J98" s="13">
        <f>IFERROR(I98*VLOOKUP(B98,'Recetas y precios'!$A$5:$P$54,16,FALSE),"")</f>
        <v/>
      </c>
      <c r="K98" s="13">
        <f>IFERROR(G98-H98,"")</f>
        <v/>
      </c>
      <c r="L98" s="35">
        <f>IFERROR(K98/G98,"")</f>
        <v/>
      </c>
      <c r="M98" s="34" t="n"/>
    </row>
    <row r="99">
      <c r="A99" s="33" t="n"/>
      <c r="B99" s="34" t="n"/>
      <c r="C99" s="7">
        <f>IFERROR(VLOOKUP(B99,'Recetas y precios'!$A$5:$B$54,2,FALSE),"")</f>
        <v/>
      </c>
      <c r="D99" s="34" t="n"/>
      <c r="E99" s="34" t="n"/>
      <c r="F99" s="34" t="n"/>
      <c r="G99" s="13">
        <f>IFERROR(E99*F99,"")</f>
        <v/>
      </c>
      <c r="H99" s="13">
        <f>IFERROR(E99*VLOOKUP(B99,'Recetas y precios'!$A$5:$P$54,16,FALSE),"")</f>
        <v/>
      </c>
      <c r="I99" s="34" t="n"/>
      <c r="J99" s="13">
        <f>IFERROR(I99*VLOOKUP(B99,'Recetas y precios'!$A$5:$P$54,16,FALSE),"")</f>
        <v/>
      </c>
      <c r="K99" s="13">
        <f>IFERROR(G99-H99,"")</f>
        <v/>
      </c>
      <c r="L99" s="35">
        <f>IFERROR(K99/G99,"")</f>
        <v/>
      </c>
      <c r="M99" s="34" t="n"/>
    </row>
    <row r="100">
      <c r="A100" s="33" t="n"/>
      <c r="B100" s="34" t="n"/>
      <c r="C100" s="7">
        <f>IFERROR(VLOOKUP(B100,'Recetas y precios'!$A$5:$B$54,2,FALSE),"")</f>
        <v/>
      </c>
      <c r="D100" s="34" t="n"/>
      <c r="E100" s="34" t="n"/>
      <c r="F100" s="34" t="n"/>
      <c r="G100" s="13">
        <f>IFERROR(E100*F100,"")</f>
        <v/>
      </c>
      <c r="H100" s="13">
        <f>IFERROR(E100*VLOOKUP(B100,'Recetas y precios'!$A$5:$P$54,16,FALSE),"")</f>
        <v/>
      </c>
      <c r="I100" s="34" t="n"/>
      <c r="J100" s="13">
        <f>IFERROR(I100*VLOOKUP(B100,'Recetas y precios'!$A$5:$P$54,16,FALSE),"")</f>
        <v/>
      </c>
      <c r="K100" s="13">
        <f>IFERROR(G100-H100,"")</f>
        <v/>
      </c>
      <c r="L100" s="35">
        <f>IFERROR(K100/G100,"")</f>
        <v/>
      </c>
      <c r="M100" s="34" t="n"/>
    </row>
    <row r="101">
      <c r="A101" s="33" t="n"/>
      <c r="B101" s="34" t="n"/>
      <c r="C101" s="7">
        <f>IFERROR(VLOOKUP(B101,'Recetas y precios'!$A$5:$B$54,2,FALSE),"")</f>
        <v/>
      </c>
      <c r="D101" s="34" t="n"/>
      <c r="E101" s="34" t="n"/>
      <c r="F101" s="34" t="n"/>
      <c r="G101" s="13">
        <f>IFERROR(E101*F101,"")</f>
        <v/>
      </c>
      <c r="H101" s="13">
        <f>IFERROR(E101*VLOOKUP(B101,'Recetas y precios'!$A$5:$P$54,16,FALSE),"")</f>
        <v/>
      </c>
      <c r="I101" s="34" t="n"/>
      <c r="J101" s="13">
        <f>IFERROR(I101*VLOOKUP(B101,'Recetas y precios'!$A$5:$P$54,16,FALSE),"")</f>
        <v/>
      </c>
      <c r="K101" s="13">
        <f>IFERROR(G101-H101,"")</f>
        <v/>
      </c>
      <c r="L101" s="35">
        <f>IFERROR(K101/G101,"")</f>
        <v/>
      </c>
      <c r="M101" s="34" t="n"/>
    </row>
    <row r="102">
      <c r="A102" s="33" t="n"/>
      <c r="B102" s="34" t="n"/>
      <c r="C102" s="7">
        <f>IFERROR(VLOOKUP(B102,'Recetas y precios'!$A$5:$B$54,2,FALSE),"")</f>
        <v/>
      </c>
      <c r="D102" s="34" t="n"/>
      <c r="E102" s="34" t="n"/>
      <c r="F102" s="34" t="n"/>
      <c r="G102" s="13">
        <f>IFERROR(E102*F102,"")</f>
        <v/>
      </c>
      <c r="H102" s="13">
        <f>IFERROR(E102*VLOOKUP(B102,'Recetas y precios'!$A$5:$P$54,16,FALSE),"")</f>
        <v/>
      </c>
      <c r="I102" s="34" t="n"/>
      <c r="J102" s="13">
        <f>IFERROR(I102*VLOOKUP(B102,'Recetas y precios'!$A$5:$P$54,16,FALSE),"")</f>
        <v/>
      </c>
      <c r="K102" s="13">
        <f>IFERROR(G102-H102,"")</f>
        <v/>
      </c>
      <c r="L102" s="35">
        <f>IFERROR(K102/G102,"")</f>
        <v/>
      </c>
      <c r="M102" s="34" t="n"/>
    </row>
    <row r="103">
      <c r="A103" s="33" t="n"/>
      <c r="B103" s="34" t="n"/>
      <c r="C103" s="7">
        <f>IFERROR(VLOOKUP(B103,'Recetas y precios'!$A$5:$B$54,2,FALSE),"")</f>
        <v/>
      </c>
      <c r="D103" s="34" t="n"/>
      <c r="E103" s="34" t="n"/>
      <c r="F103" s="34" t="n"/>
      <c r="G103" s="13">
        <f>IFERROR(E103*F103,"")</f>
        <v/>
      </c>
      <c r="H103" s="13">
        <f>IFERROR(E103*VLOOKUP(B103,'Recetas y precios'!$A$5:$P$54,16,FALSE),"")</f>
        <v/>
      </c>
      <c r="I103" s="34" t="n"/>
      <c r="J103" s="13">
        <f>IFERROR(I103*VLOOKUP(B103,'Recetas y precios'!$A$5:$P$54,16,FALSE),"")</f>
        <v/>
      </c>
      <c r="K103" s="13">
        <f>IFERROR(G103-H103,"")</f>
        <v/>
      </c>
      <c r="L103" s="35">
        <f>IFERROR(K103/G103,"")</f>
        <v/>
      </c>
      <c r="M103" s="34" t="n"/>
    </row>
    <row r="104">
      <c r="A104" s="33" t="n"/>
      <c r="B104" s="34" t="n"/>
      <c r="C104" s="7">
        <f>IFERROR(VLOOKUP(B104,'Recetas y precios'!$A$5:$B$54,2,FALSE),"")</f>
        <v/>
      </c>
      <c r="D104" s="34" t="n"/>
      <c r="E104" s="34" t="n"/>
      <c r="F104" s="34" t="n"/>
      <c r="G104" s="13">
        <f>IFERROR(E104*F104,"")</f>
        <v/>
      </c>
      <c r="H104" s="13">
        <f>IFERROR(E104*VLOOKUP(B104,'Recetas y precios'!$A$5:$P$54,16,FALSE),"")</f>
        <v/>
      </c>
      <c r="I104" s="34" t="n"/>
      <c r="J104" s="13">
        <f>IFERROR(I104*VLOOKUP(B104,'Recetas y precios'!$A$5:$P$54,16,FALSE),"")</f>
        <v/>
      </c>
      <c r="K104" s="13">
        <f>IFERROR(G104-H104,"")</f>
        <v/>
      </c>
      <c r="L104" s="35">
        <f>IFERROR(K104/G104,"")</f>
        <v/>
      </c>
      <c r="M104" s="34" t="n"/>
    </row>
    <row r="105">
      <c r="A105" s="33" t="n"/>
      <c r="B105" s="34" t="n"/>
      <c r="C105" s="7">
        <f>IFERROR(VLOOKUP(B105,'Recetas y precios'!$A$5:$B$54,2,FALSE),"")</f>
        <v/>
      </c>
      <c r="D105" s="34" t="n"/>
      <c r="E105" s="34" t="n"/>
      <c r="F105" s="34" t="n"/>
      <c r="G105" s="13">
        <f>IFERROR(E105*F105,"")</f>
        <v/>
      </c>
      <c r="H105" s="13">
        <f>IFERROR(E105*VLOOKUP(B105,'Recetas y precios'!$A$5:$P$54,16,FALSE),"")</f>
        <v/>
      </c>
      <c r="I105" s="34" t="n"/>
      <c r="J105" s="13">
        <f>IFERROR(I105*VLOOKUP(B105,'Recetas y precios'!$A$5:$P$54,16,FALSE),"")</f>
        <v/>
      </c>
      <c r="K105" s="13">
        <f>IFERROR(G105-H105,"")</f>
        <v/>
      </c>
      <c r="L105" s="35">
        <f>IFERROR(K105/G105,"")</f>
        <v/>
      </c>
      <c r="M105" s="34" t="n"/>
    </row>
    <row r="106">
      <c r="A106" s="33" t="n"/>
      <c r="B106" s="34" t="n"/>
      <c r="C106" s="7">
        <f>IFERROR(VLOOKUP(B106,'Recetas y precios'!$A$5:$B$54,2,FALSE),"")</f>
        <v/>
      </c>
      <c r="D106" s="34" t="n"/>
      <c r="E106" s="34" t="n"/>
      <c r="F106" s="34" t="n"/>
      <c r="G106" s="13">
        <f>IFERROR(E106*F106,"")</f>
        <v/>
      </c>
      <c r="H106" s="13">
        <f>IFERROR(E106*VLOOKUP(B106,'Recetas y precios'!$A$5:$P$54,16,FALSE),"")</f>
        <v/>
      </c>
      <c r="I106" s="34" t="n"/>
      <c r="J106" s="13">
        <f>IFERROR(I106*VLOOKUP(B106,'Recetas y precios'!$A$5:$P$54,16,FALSE),"")</f>
        <v/>
      </c>
      <c r="K106" s="13">
        <f>IFERROR(G106-H106,"")</f>
        <v/>
      </c>
      <c r="L106" s="35">
        <f>IFERROR(K106/G106,"")</f>
        <v/>
      </c>
      <c r="M106" s="34" t="n"/>
    </row>
    <row r="107">
      <c r="A107" s="33" t="n"/>
      <c r="B107" s="34" t="n"/>
      <c r="C107" s="7">
        <f>IFERROR(VLOOKUP(B107,'Recetas y precios'!$A$5:$B$54,2,FALSE),"")</f>
        <v/>
      </c>
      <c r="D107" s="34" t="n"/>
      <c r="E107" s="34" t="n"/>
      <c r="F107" s="34" t="n"/>
      <c r="G107" s="13">
        <f>IFERROR(E107*F107,"")</f>
        <v/>
      </c>
      <c r="H107" s="13">
        <f>IFERROR(E107*VLOOKUP(B107,'Recetas y precios'!$A$5:$P$54,16,FALSE),"")</f>
        <v/>
      </c>
      <c r="I107" s="34" t="n"/>
      <c r="J107" s="13">
        <f>IFERROR(I107*VLOOKUP(B107,'Recetas y precios'!$A$5:$P$54,16,FALSE),"")</f>
        <v/>
      </c>
      <c r="K107" s="13">
        <f>IFERROR(G107-H107,"")</f>
        <v/>
      </c>
      <c r="L107" s="35">
        <f>IFERROR(K107/G107,"")</f>
        <v/>
      </c>
      <c r="M107" s="34" t="n"/>
    </row>
    <row r="108">
      <c r="A108" s="33" t="n"/>
      <c r="B108" s="34" t="n"/>
      <c r="C108" s="7">
        <f>IFERROR(VLOOKUP(B108,'Recetas y precios'!$A$5:$B$54,2,FALSE),"")</f>
        <v/>
      </c>
      <c r="D108" s="34" t="n"/>
      <c r="E108" s="34" t="n"/>
      <c r="F108" s="34" t="n"/>
      <c r="G108" s="13">
        <f>IFERROR(E108*F108,"")</f>
        <v/>
      </c>
      <c r="H108" s="13">
        <f>IFERROR(E108*VLOOKUP(B108,'Recetas y precios'!$A$5:$P$54,16,FALSE),"")</f>
        <v/>
      </c>
      <c r="I108" s="34" t="n"/>
      <c r="J108" s="13">
        <f>IFERROR(I108*VLOOKUP(B108,'Recetas y precios'!$A$5:$P$54,16,FALSE),"")</f>
        <v/>
      </c>
      <c r="K108" s="13">
        <f>IFERROR(G108-H108,"")</f>
        <v/>
      </c>
      <c r="L108" s="35">
        <f>IFERROR(K108/G108,"")</f>
        <v/>
      </c>
      <c r="M108" s="34" t="n"/>
    </row>
    <row r="109">
      <c r="A109" s="33" t="n"/>
      <c r="B109" s="34" t="n"/>
      <c r="C109" s="7">
        <f>IFERROR(VLOOKUP(B109,'Recetas y precios'!$A$5:$B$54,2,FALSE),"")</f>
        <v/>
      </c>
      <c r="D109" s="34" t="n"/>
      <c r="E109" s="34" t="n"/>
      <c r="F109" s="34" t="n"/>
      <c r="G109" s="13">
        <f>IFERROR(E109*F109,"")</f>
        <v/>
      </c>
      <c r="H109" s="13">
        <f>IFERROR(E109*VLOOKUP(B109,'Recetas y precios'!$A$5:$P$54,16,FALSE),"")</f>
        <v/>
      </c>
      <c r="I109" s="34" t="n"/>
      <c r="J109" s="13">
        <f>IFERROR(I109*VLOOKUP(B109,'Recetas y precios'!$A$5:$P$54,16,FALSE),"")</f>
        <v/>
      </c>
      <c r="K109" s="13">
        <f>IFERROR(G109-H109,"")</f>
        <v/>
      </c>
      <c r="L109" s="35">
        <f>IFERROR(K109/G109,"")</f>
        <v/>
      </c>
      <c r="M109" s="34" t="n"/>
    </row>
    <row r="110">
      <c r="A110" s="33" t="n"/>
      <c r="B110" s="34" t="n"/>
      <c r="C110" s="7">
        <f>IFERROR(VLOOKUP(B110,'Recetas y precios'!$A$5:$B$54,2,FALSE),"")</f>
        <v/>
      </c>
      <c r="D110" s="34" t="n"/>
      <c r="E110" s="34" t="n"/>
      <c r="F110" s="34" t="n"/>
      <c r="G110" s="13">
        <f>IFERROR(E110*F110,"")</f>
        <v/>
      </c>
      <c r="H110" s="13">
        <f>IFERROR(E110*VLOOKUP(B110,'Recetas y precios'!$A$5:$P$54,16,FALSE),"")</f>
        <v/>
      </c>
      <c r="I110" s="34" t="n"/>
      <c r="J110" s="13">
        <f>IFERROR(I110*VLOOKUP(B110,'Recetas y precios'!$A$5:$P$54,16,FALSE),"")</f>
        <v/>
      </c>
      <c r="K110" s="13">
        <f>IFERROR(G110-H110,"")</f>
        <v/>
      </c>
      <c r="L110" s="35">
        <f>IFERROR(K110/G110,"")</f>
        <v/>
      </c>
      <c r="M110" s="34" t="n"/>
    </row>
    <row r="111">
      <c r="A111" s="33" t="n"/>
      <c r="B111" s="34" t="n"/>
      <c r="C111" s="7">
        <f>IFERROR(VLOOKUP(B111,'Recetas y precios'!$A$5:$B$54,2,FALSE),"")</f>
        <v/>
      </c>
      <c r="D111" s="34" t="n"/>
      <c r="E111" s="34" t="n"/>
      <c r="F111" s="34" t="n"/>
      <c r="G111" s="13">
        <f>IFERROR(E111*F111,"")</f>
        <v/>
      </c>
      <c r="H111" s="13">
        <f>IFERROR(E111*VLOOKUP(B111,'Recetas y precios'!$A$5:$P$54,16,FALSE),"")</f>
        <v/>
      </c>
      <c r="I111" s="34" t="n"/>
      <c r="J111" s="13">
        <f>IFERROR(I111*VLOOKUP(B111,'Recetas y precios'!$A$5:$P$54,16,FALSE),"")</f>
        <v/>
      </c>
      <c r="K111" s="13">
        <f>IFERROR(G111-H111,"")</f>
        <v/>
      </c>
      <c r="L111" s="35">
        <f>IFERROR(K111/G111,"")</f>
        <v/>
      </c>
      <c r="M111" s="34" t="n"/>
    </row>
    <row r="112">
      <c r="A112" s="33" t="n"/>
      <c r="B112" s="34" t="n"/>
      <c r="C112" s="7">
        <f>IFERROR(VLOOKUP(B112,'Recetas y precios'!$A$5:$B$54,2,FALSE),"")</f>
        <v/>
      </c>
      <c r="D112" s="34" t="n"/>
      <c r="E112" s="34" t="n"/>
      <c r="F112" s="34" t="n"/>
      <c r="G112" s="13">
        <f>IFERROR(E112*F112,"")</f>
        <v/>
      </c>
      <c r="H112" s="13">
        <f>IFERROR(E112*VLOOKUP(B112,'Recetas y precios'!$A$5:$P$54,16,FALSE),"")</f>
        <v/>
      </c>
      <c r="I112" s="34" t="n"/>
      <c r="J112" s="13">
        <f>IFERROR(I112*VLOOKUP(B112,'Recetas y precios'!$A$5:$P$54,16,FALSE),"")</f>
        <v/>
      </c>
      <c r="K112" s="13">
        <f>IFERROR(G112-H112,"")</f>
        <v/>
      </c>
      <c r="L112" s="35">
        <f>IFERROR(K112/G112,"")</f>
        <v/>
      </c>
      <c r="M112" s="34" t="n"/>
    </row>
    <row r="113">
      <c r="A113" s="33" t="n"/>
      <c r="B113" s="34" t="n"/>
      <c r="C113" s="7">
        <f>IFERROR(VLOOKUP(B113,'Recetas y precios'!$A$5:$B$54,2,FALSE),"")</f>
        <v/>
      </c>
      <c r="D113" s="34" t="n"/>
      <c r="E113" s="34" t="n"/>
      <c r="F113" s="34" t="n"/>
      <c r="G113" s="13">
        <f>IFERROR(E113*F113,"")</f>
        <v/>
      </c>
      <c r="H113" s="13">
        <f>IFERROR(E113*VLOOKUP(B113,'Recetas y precios'!$A$5:$P$54,16,FALSE),"")</f>
        <v/>
      </c>
      <c r="I113" s="34" t="n"/>
      <c r="J113" s="13">
        <f>IFERROR(I113*VLOOKUP(B113,'Recetas y precios'!$A$5:$P$54,16,FALSE),"")</f>
        <v/>
      </c>
      <c r="K113" s="13">
        <f>IFERROR(G113-H113,"")</f>
        <v/>
      </c>
      <c r="L113" s="35">
        <f>IFERROR(K113/G113,"")</f>
        <v/>
      </c>
      <c r="M113" s="34" t="n"/>
    </row>
    <row r="114">
      <c r="A114" s="33" t="n"/>
      <c r="B114" s="34" t="n"/>
      <c r="C114" s="7">
        <f>IFERROR(VLOOKUP(B114,'Recetas y precios'!$A$5:$B$54,2,FALSE),"")</f>
        <v/>
      </c>
      <c r="D114" s="34" t="n"/>
      <c r="E114" s="34" t="n"/>
      <c r="F114" s="34" t="n"/>
      <c r="G114" s="13">
        <f>IFERROR(E114*F114,"")</f>
        <v/>
      </c>
      <c r="H114" s="13">
        <f>IFERROR(E114*VLOOKUP(B114,'Recetas y precios'!$A$5:$P$54,16,FALSE),"")</f>
        <v/>
      </c>
      <c r="I114" s="34" t="n"/>
      <c r="J114" s="13">
        <f>IFERROR(I114*VLOOKUP(B114,'Recetas y precios'!$A$5:$P$54,16,FALSE),"")</f>
        <v/>
      </c>
      <c r="K114" s="13">
        <f>IFERROR(G114-H114,"")</f>
        <v/>
      </c>
      <c r="L114" s="35">
        <f>IFERROR(K114/G114,"")</f>
        <v/>
      </c>
      <c r="M114" s="34" t="n"/>
    </row>
    <row r="115">
      <c r="A115" s="33" t="n"/>
      <c r="B115" s="34" t="n"/>
      <c r="C115" s="7">
        <f>IFERROR(VLOOKUP(B115,'Recetas y precios'!$A$5:$B$54,2,FALSE),"")</f>
        <v/>
      </c>
      <c r="D115" s="34" t="n"/>
      <c r="E115" s="34" t="n"/>
      <c r="F115" s="34" t="n"/>
      <c r="G115" s="13">
        <f>IFERROR(E115*F115,"")</f>
        <v/>
      </c>
      <c r="H115" s="13">
        <f>IFERROR(E115*VLOOKUP(B115,'Recetas y precios'!$A$5:$P$54,16,FALSE),"")</f>
        <v/>
      </c>
      <c r="I115" s="34" t="n"/>
      <c r="J115" s="13">
        <f>IFERROR(I115*VLOOKUP(B115,'Recetas y precios'!$A$5:$P$54,16,FALSE),"")</f>
        <v/>
      </c>
      <c r="K115" s="13">
        <f>IFERROR(G115-H115,"")</f>
        <v/>
      </c>
      <c r="L115" s="35">
        <f>IFERROR(K115/G115,"")</f>
        <v/>
      </c>
      <c r="M115" s="34" t="n"/>
    </row>
    <row r="116">
      <c r="A116" s="33" t="n"/>
      <c r="B116" s="34" t="n"/>
      <c r="C116" s="7">
        <f>IFERROR(VLOOKUP(B116,'Recetas y precios'!$A$5:$B$54,2,FALSE),"")</f>
        <v/>
      </c>
      <c r="D116" s="34" t="n"/>
      <c r="E116" s="34" t="n"/>
      <c r="F116" s="34" t="n"/>
      <c r="G116" s="13">
        <f>IFERROR(E116*F116,"")</f>
        <v/>
      </c>
      <c r="H116" s="13">
        <f>IFERROR(E116*VLOOKUP(B116,'Recetas y precios'!$A$5:$P$54,16,FALSE),"")</f>
        <v/>
      </c>
      <c r="I116" s="34" t="n"/>
      <c r="J116" s="13">
        <f>IFERROR(I116*VLOOKUP(B116,'Recetas y precios'!$A$5:$P$54,16,FALSE),"")</f>
        <v/>
      </c>
      <c r="K116" s="13">
        <f>IFERROR(G116-H116,"")</f>
        <v/>
      </c>
      <c r="L116" s="35">
        <f>IFERROR(K116/G116,"")</f>
        <v/>
      </c>
      <c r="M116" s="34" t="n"/>
    </row>
    <row r="117">
      <c r="A117" s="33" t="n"/>
      <c r="B117" s="34" t="n"/>
      <c r="C117" s="7">
        <f>IFERROR(VLOOKUP(B117,'Recetas y precios'!$A$5:$B$54,2,FALSE),"")</f>
        <v/>
      </c>
      <c r="D117" s="34" t="n"/>
      <c r="E117" s="34" t="n"/>
      <c r="F117" s="34" t="n"/>
      <c r="G117" s="13">
        <f>IFERROR(E117*F117,"")</f>
        <v/>
      </c>
      <c r="H117" s="13">
        <f>IFERROR(E117*VLOOKUP(B117,'Recetas y precios'!$A$5:$P$54,16,FALSE),"")</f>
        <v/>
      </c>
      <c r="I117" s="34" t="n"/>
      <c r="J117" s="13">
        <f>IFERROR(I117*VLOOKUP(B117,'Recetas y precios'!$A$5:$P$54,16,FALSE),"")</f>
        <v/>
      </c>
      <c r="K117" s="13">
        <f>IFERROR(G117-H117,"")</f>
        <v/>
      </c>
      <c r="L117" s="35">
        <f>IFERROR(K117/G117,"")</f>
        <v/>
      </c>
      <c r="M117" s="34" t="n"/>
    </row>
    <row r="118">
      <c r="A118" s="33" t="n"/>
      <c r="B118" s="34" t="n"/>
      <c r="C118" s="7">
        <f>IFERROR(VLOOKUP(B118,'Recetas y precios'!$A$5:$B$54,2,FALSE),"")</f>
        <v/>
      </c>
      <c r="D118" s="34" t="n"/>
      <c r="E118" s="34" t="n"/>
      <c r="F118" s="34" t="n"/>
      <c r="G118" s="13">
        <f>IFERROR(E118*F118,"")</f>
        <v/>
      </c>
      <c r="H118" s="13">
        <f>IFERROR(E118*VLOOKUP(B118,'Recetas y precios'!$A$5:$P$54,16,FALSE),"")</f>
        <v/>
      </c>
      <c r="I118" s="34" t="n"/>
      <c r="J118" s="13">
        <f>IFERROR(I118*VLOOKUP(B118,'Recetas y precios'!$A$5:$P$54,16,FALSE),"")</f>
        <v/>
      </c>
      <c r="K118" s="13">
        <f>IFERROR(G118-H118,"")</f>
        <v/>
      </c>
      <c r="L118" s="35">
        <f>IFERROR(K118/G118,"")</f>
        <v/>
      </c>
      <c r="M118" s="34" t="n"/>
    </row>
    <row r="119">
      <c r="A119" s="33" t="n"/>
      <c r="B119" s="34" t="n"/>
      <c r="C119" s="7">
        <f>IFERROR(VLOOKUP(B119,'Recetas y precios'!$A$5:$B$54,2,FALSE),"")</f>
        <v/>
      </c>
      <c r="D119" s="34" t="n"/>
      <c r="E119" s="34" t="n"/>
      <c r="F119" s="34" t="n"/>
      <c r="G119" s="13">
        <f>IFERROR(E119*F119,"")</f>
        <v/>
      </c>
      <c r="H119" s="13">
        <f>IFERROR(E119*VLOOKUP(B119,'Recetas y precios'!$A$5:$P$54,16,FALSE),"")</f>
        <v/>
      </c>
      <c r="I119" s="34" t="n"/>
      <c r="J119" s="13">
        <f>IFERROR(I119*VLOOKUP(B119,'Recetas y precios'!$A$5:$P$54,16,FALSE),"")</f>
        <v/>
      </c>
      <c r="K119" s="13">
        <f>IFERROR(G119-H119,"")</f>
        <v/>
      </c>
      <c r="L119" s="35">
        <f>IFERROR(K119/G119,"")</f>
        <v/>
      </c>
      <c r="M119" s="34" t="n"/>
    </row>
    <row r="120">
      <c r="A120" s="33" t="n"/>
      <c r="B120" s="34" t="n"/>
      <c r="C120" s="7">
        <f>IFERROR(VLOOKUP(B120,'Recetas y precios'!$A$5:$B$54,2,FALSE),"")</f>
        <v/>
      </c>
      <c r="D120" s="34" t="n"/>
      <c r="E120" s="34" t="n"/>
      <c r="F120" s="34" t="n"/>
      <c r="G120" s="13">
        <f>IFERROR(E120*F120,"")</f>
        <v/>
      </c>
      <c r="H120" s="13">
        <f>IFERROR(E120*VLOOKUP(B120,'Recetas y precios'!$A$5:$P$54,16,FALSE),"")</f>
        <v/>
      </c>
      <c r="I120" s="34" t="n"/>
      <c r="J120" s="13">
        <f>IFERROR(I120*VLOOKUP(B120,'Recetas y precios'!$A$5:$P$54,16,FALSE),"")</f>
        <v/>
      </c>
      <c r="K120" s="13">
        <f>IFERROR(G120-H120,"")</f>
        <v/>
      </c>
      <c r="L120" s="35">
        <f>IFERROR(K120/G120,"")</f>
        <v/>
      </c>
      <c r="M120" s="34" t="n"/>
    </row>
    <row r="121">
      <c r="A121" s="33" t="n"/>
      <c r="B121" s="34" t="n"/>
      <c r="C121" s="7">
        <f>IFERROR(VLOOKUP(B121,'Recetas y precios'!$A$5:$B$54,2,FALSE),"")</f>
        <v/>
      </c>
      <c r="D121" s="34" t="n"/>
      <c r="E121" s="34" t="n"/>
      <c r="F121" s="34" t="n"/>
      <c r="G121" s="13">
        <f>IFERROR(E121*F121,"")</f>
        <v/>
      </c>
      <c r="H121" s="13">
        <f>IFERROR(E121*VLOOKUP(B121,'Recetas y precios'!$A$5:$P$54,16,FALSE),"")</f>
        <v/>
      </c>
      <c r="I121" s="34" t="n"/>
      <c r="J121" s="13">
        <f>IFERROR(I121*VLOOKUP(B121,'Recetas y precios'!$A$5:$P$54,16,FALSE),"")</f>
        <v/>
      </c>
      <c r="K121" s="13">
        <f>IFERROR(G121-H121,"")</f>
        <v/>
      </c>
      <c r="L121" s="35">
        <f>IFERROR(K121/G121,"")</f>
        <v/>
      </c>
      <c r="M121" s="34" t="n"/>
    </row>
    <row r="122">
      <c r="A122" s="33" t="n"/>
      <c r="B122" s="34" t="n"/>
      <c r="C122" s="7">
        <f>IFERROR(VLOOKUP(B122,'Recetas y precios'!$A$5:$B$54,2,FALSE),"")</f>
        <v/>
      </c>
      <c r="D122" s="34" t="n"/>
      <c r="E122" s="34" t="n"/>
      <c r="F122" s="34" t="n"/>
      <c r="G122" s="13">
        <f>IFERROR(E122*F122,"")</f>
        <v/>
      </c>
      <c r="H122" s="13">
        <f>IFERROR(E122*VLOOKUP(B122,'Recetas y precios'!$A$5:$P$54,16,FALSE),"")</f>
        <v/>
      </c>
      <c r="I122" s="34" t="n"/>
      <c r="J122" s="13">
        <f>IFERROR(I122*VLOOKUP(B122,'Recetas y precios'!$A$5:$P$54,16,FALSE),"")</f>
        <v/>
      </c>
      <c r="K122" s="13">
        <f>IFERROR(G122-H122,"")</f>
        <v/>
      </c>
      <c r="L122" s="35">
        <f>IFERROR(K122/G122,"")</f>
        <v/>
      </c>
      <c r="M122" s="34" t="n"/>
    </row>
    <row r="123">
      <c r="A123" s="33" t="n"/>
      <c r="B123" s="34" t="n"/>
      <c r="C123" s="7">
        <f>IFERROR(VLOOKUP(B123,'Recetas y precios'!$A$5:$B$54,2,FALSE),"")</f>
        <v/>
      </c>
      <c r="D123" s="34" t="n"/>
      <c r="E123" s="34" t="n"/>
      <c r="F123" s="34" t="n"/>
      <c r="G123" s="13">
        <f>IFERROR(E123*F123,"")</f>
        <v/>
      </c>
      <c r="H123" s="13">
        <f>IFERROR(E123*VLOOKUP(B123,'Recetas y precios'!$A$5:$P$54,16,FALSE),"")</f>
        <v/>
      </c>
      <c r="I123" s="34" t="n"/>
      <c r="J123" s="13">
        <f>IFERROR(I123*VLOOKUP(B123,'Recetas y precios'!$A$5:$P$54,16,FALSE),"")</f>
        <v/>
      </c>
      <c r="K123" s="13">
        <f>IFERROR(G123-H123,"")</f>
        <v/>
      </c>
      <c r="L123" s="35">
        <f>IFERROR(K123/G123,"")</f>
        <v/>
      </c>
      <c r="M123" s="34" t="n"/>
    </row>
    <row r="124">
      <c r="A124" s="33" t="n"/>
      <c r="B124" s="34" t="n"/>
      <c r="C124" s="7">
        <f>IFERROR(VLOOKUP(B124,'Recetas y precios'!$A$5:$B$54,2,FALSE),"")</f>
        <v/>
      </c>
      <c r="D124" s="34" t="n"/>
      <c r="E124" s="34" t="n"/>
      <c r="F124" s="34" t="n"/>
      <c r="G124" s="13">
        <f>IFERROR(E124*F124,"")</f>
        <v/>
      </c>
      <c r="H124" s="13">
        <f>IFERROR(E124*VLOOKUP(B124,'Recetas y precios'!$A$5:$P$54,16,FALSE),"")</f>
        <v/>
      </c>
      <c r="I124" s="34" t="n"/>
      <c r="J124" s="13">
        <f>IFERROR(I124*VLOOKUP(B124,'Recetas y precios'!$A$5:$P$54,16,FALSE),"")</f>
        <v/>
      </c>
      <c r="K124" s="13">
        <f>IFERROR(G124-H124,"")</f>
        <v/>
      </c>
      <c r="L124" s="35">
        <f>IFERROR(K124/G124,"")</f>
        <v/>
      </c>
      <c r="M124" s="34" t="n"/>
    </row>
    <row r="125">
      <c r="A125" s="33" t="n"/>
      <c r="B125" s="34" t="n"/>
      <c r="C125" s="7">
        <f>IFERROR(VLOOKUP(B125,'Recetas y precios'!$A$5:$B$54,2,FALSE),"")</f>
        <v/>
      </c>
      <c r="D125" s="34" t="n"/>
      <c r="E125" s="34" t="n"/>
      <c r="F125" s="34" t="n"/>
      <c r="G125" s="13">
        <f>IFERROR(E125*F125,"")</f>
        <v/>
      </c>
      <c r="H125" s="13">
        <f>IFERROR(E125*VLOOKUP(B125,'Recetas y precios'!$A$5:$P$54,16,FALSE),"")</f>
        <v/>
      </c>
      <c r="I125" s="34" t="n"/>
      <c r="J125" s="13">
        <f>IFERROR(I125*VLOOKUP(B125,'Recetas y precios'!$A$5:$P$54,16,FALSE),"")</f>
        <v/>
      </c>
      <c r="K125" s="13">
        <f>IFERROR(G125-H125,"")</f>
        <v/>
      </c>
      <c r="L125" s="35">
        <f>IFERROR(K125/G125,"")</f>
        <v/>
      </c>
      <c r="M125" s="34" t="n"/>
    </row>
    <row r="126">
      <c r="A126" s="33" t="n"/>
      <c r="B126" s="34" t="n"/>
      <c r="C126" s="7">
        <f>IFERROR(VLOOKUP(B126,'Recetas y precios'!$A$5:$B$54,2,FALSE),"")</f>
        <v/>
      </c>
      <c r="D126" s="34" t="n"/>
      <c r="E126" s="34" t="n"/>
      <c r="F126" s="34" t="n"/>
      <c r="G126" s="13">
        <f>IFERROR(E126*F126,"")</f>
        <v/>
      </c>
      <c r="H126" s="13">
        <f>IFERROR(E126*VLOOKUP(B126,'Recetas y precios'!$A$5:$P$54,16,FALSE),"")</f>
        <v/>
      </c>
      <c r="I126" s="34" t="n"/>
      <c r="J126" s="13">
        <f>IFERROR(I126*VLOOKUP(B126,'Recetas y precios'!$A$5:$P$54,16,FALSE),"")</f>
        <v/>
      </c>
      <c r="K126" s="13">
        <f>IFERROR(G126-H126,"")</f>
        <v/>
      </c>
      <c r="L126" s="35">
        <f>IFERROR(K126/G126,"")</f>
        <v/>
      </c>
      <c r="M126" s="34" t="n"/>
    </row>
    <row r="127">
      <c r="A127" s="33" t="n"/>
      <c r="B127" s="34" t="n"/>
      <c r="C127" s="7">
        <f>IFERROR(VLOOKUP(B127,'Recetas y precios'!$A$5:$B$54,2,FALSE),"")</f>
        <v/>
      </c>
      <c r="D127" s="34" t="n"/>
      <c r="E127" s="34" t="n"/>
      <c r="F127" s="34" t="n"/>
      <c r="G127" s="13">
        <f>IFERROR(E127*F127,"")</f>
        <v/>
      </c>
      <c r="H127" s="13">
        <f>IFERROR(E127*VLOOKUP(B127,'Recetas y precios'!$A$5:$P$54,16,FALSE),"")</f>
        <v/>
      </c>
      <c r="I127" s="34" t="n"/>
      <c r="J127" s="13">
        <f>IFERROR(I127*VLOOKUP(B127,'Recetas y precios'!$A$5:$P$54,16,FALSE),"")</f>
        <v/>
      </c>
      <c r="K127" s="13">
        <f>IFERROR(G127-H127,"")</f>
        <v/>
      </c>
      <c r="L127" s="35">
        <f>IFERROR(K127/G127,"")</f>
        <v/>
      </c>
      <c r="M127" s="34" t="n"/>
    </row>
    <row r="128">
      <c r="A128" s="33" t="n"/>
      <c r="B128" s="34" t="n"/>
      <c r="C128" s="7">
        <f>IFERROR(VLOOKUP(B128,'Recetas y precios'!$A$5:$B$54,2,FALSE),"")</f>
        <v/>
      </c>
      <c r="D128" s="34" t="n"/>
      <c r="E128" s="34" t="n"/>
      <c r="F128" s="34" t="n"/>
      <c r="G128" s="13">
        <f>IFERROR(E128*F128,"")</f>
        <v/>
      </c>
      <c r="H128" s="13">
        <f>IFERROR(E128*VLOOKUP(B128,'Recetas y precios'!$A$5:$P$54,16,FALSE),"")</f>
        <v/>
      </c>
      <c r="I128" s="34" t="n"/>
      <c r="J128" s="13">
        <f>IFERROR(I128*VLOOKUP(B128,'Recetas y precios'!$A$5:$P$54,16,FALSE),"")</f>
        <v/>
      </c>
      <c r="K128" s="13">
        <f>IFERROR(G128-H128,"")</f>
        <v/>
      </c>
      <c r="L128" s="35">
        <f>IFERROR(K128/G128,"")</f>
        <v/>
      </c>
      <c r="M128" s="34" t="n"/>
    </row>
    <row r="129">
      <c r="A129" s="33" t="n"/>
      <c r="B129" s="34" t="n"/>
      <c r="C129" s="7">
        <f>IFERROR(VLOOKUP(B129,'Recetas y precios'!$A$5:$B$54,2,FALSE),"")</f>
        <v/>
      </c>
      <c r="D129" s="34" t="n"/>
      <c r="E129" s="34" t="n"/>
      <c r="F129" s="34" t="n"/>
      <c r="G129" s="13">
        <f>IFERROR(E129*F129,"")</f>
        <v/>
      </c>
      <c r="H129" s="13">
        <f>IFERROR(E129*VLOOKUP(B129,'Recetas y precios'!$A$5:$P$54,16,FALSE),"")</f>
        <v/>
      </c>
      <c r="I129" s="34" t="n"/>
      <c r="J129" s="13">
        <f>IFERROR(I129*VLOOKUP(B129,'Recetas y precios'!$A$5:$P$54,16,FALSE),"")</f>
        <v/>
      </c>
      <c r="K129" s="13">
        <f>IFERROR(G129-H129,"")</f>
        <v/>
      </c>
      <c r="L129" s="35">
        <f>IFERROR(K129/G129,"")</f>
        <v/>
      </c>
      <c r="M129" s="34" t="n"/>
    </row>
    <row r="130">
      <c r="A130" s="33" t="n"/>
      <c r="B130" s="34" t="n"/>
      <c r="C130" s="7">
        <f>IFERROR(VLOOKUP(B130,'Recetas y precios'!$A$5:$B$54,2,FALSE),"")</f>
        <v/>
      </c>
      <c r="D130" s="34" t="n"/>
      <c r="E130" s="34" t="n"/>
      <c r="F130" s="34" t="n"/>
      <c r="G130" s="13">
        <f>IFERROR(E130*F130,"")</f>
        <v/>
      </c>
      <c r="H130" s="13">
        <f>IFERROR(E130*VLOOKUP(B130,'Recetas y precios'!$A$5:$P$54,16,FALSE),"")</f>
        <v/>
      </c>
      <c r="I130" s="34" t="n"/>
      <c r="J130" s="13">
        <f>IFERROR(I130*VLOOKUP(B130,'Recetas y precios'!$A$5:$P$54,16,FALSE),"")</f>
        <v/>
      </c>
      <c r="K130" s="13">
        <f>IFERROR(G130-H130,"")</f>
        <v/>
      </c>
      <c r="L130" s="35">
        <f>IFERROR(K130/G130,"")</f>
        <v/>
      </c>
      <c r="M130" s="34" t="n"/>
    </row>
    <row r="131">
      <c r="A131" s="33" t="n"/>
      <c r="B131" s="34" t="n"/>
      <c r="C131" s="7">
        <f>IFERROR(VLOOKUP(B131,'Recetas y precios'!$A$5:$B$54,2,FALSE),"")</f>
        <v/>
      </c>
      <c r="D131" s="34" t="n"/>
      <c r="E131" s="34" t="n"/>
      <c r="F131" s="34" t="n"/>
      <c r="G131" s="13">
        <f>IFERROR(E131*F131,"")</f>
        <v/>
      </c>
      <c r="H131" s="13">
        <f>IFERROR(E131*VLOOKUP(B131,'Recetas y precios'!$A$5:$P$54,16,FALSE),"")</f>
        <v/>
      </c>
      <c r="I131" s="34" t="n"/>
      <c r="J131" s="13">
        <f>IFERROR(I131*VLOOKUP(B131,'Recetas y precios'!$A$5:$P$54,16,FALSE),"")</f>
        <v/>
      </c>
      <c r="K131" s="13">
        <f>IFERROR(G131-H131,"")</f>
        <v/>
      </c>
      <c r="L131" s="35">
        <f>IFERROR(K131/G131,"")</f>
        <v/>
      </c>
      <c r="M131" s="34" t="n"/>
    </row>
    <row r="132">
      <c r="A132" s="33" t="n"/>
      <c r="B132" s="34" t="n"/>
      <c r="C132" s="7">
        <f>IFERROR(VLOOKUP(B132,'Recetas y precios'!$A$5:$B$54,2,FALSE),"")</f>
        <v/>
      </c>
      <c r="D132" s="34" t="n"/>
      <c r="E132" s="34" t="n"/>
      <c r="F132" s="34" t="n"/>
      <c r="G132" s="13">
        <f>IFERROR(E132*F132,"")</f>
        <v/>
      </c>
      <c r="H132" s="13">
        <f>IFERROR(E132*VLOOKUP(B132,'Recetas y precios'!$A$5:$P$54,16,FALSE),"")</f>
        <v/>
      </c>
      <c r="I132" s="34" t="n"/>
      <c r="J132" s="13">
        <f>IFERROR(I132*VLOOKUP(B132,'Recetas y precios'!$A$5:$P$54,16,FALSE),"")</f>
        <v/>
      </c>
      <c r="K132" s="13">
        <f>IFERROR(G132-H132,"")</f>
        <v/>
      </c>
      <c r="L132" s="35">
        <f>IFERROR(K132/G132,"")</f>
        <v/>
      </c>
      <c r="M132" s="34" t="n"/>
    </row>
    <row r="133">
      <c r="A133" s="33" t="n"/>
      <c r="B133" s="34" t="n"/>
      <c r="C133" s="7">
        <f>IFERROR(VLOOKUP(B133,'Recetas y precios'!$A$5:$B$54,2,FALSE),"")</f>
        <v/>
      </c>
      <c r="D133" s="34" t="n"/>
      <c r="E133" s="34" t="n"/>
      <c r="F133" s="34" t="n"/>
      <c r="G133" s="13">
        <f>IFERROR(E133*F133,"")</f>
        <v/>
      </c>
      <c r="H133" s="13">
        <f>IFERROR(E133*VLOOKUP(B133,'Recetas y precios'!$A$5:$P$54,16,FALSE),"")</f>
        <v/>
      </c>
      <c r="I133" s="34" t="n"/>
      <c r="J133" s="13">
        <f>IFERROR(I133*VLOOKUP(B133,'Recetas y precios'!$A$5:$P$54,16,FALSE),"")</f>
        <v/>
      </c>
      <c r="K133" s="13">
        <f>IFERROR(G133-H133,"")</f>
        <v/>
      </c>
      <c r="L133" s="35">
        <f>IFERROR(K133/G133,"")</f>
        <v/>
      </c>
      <c r="M133" s="34" t="n"/>
    </row>
    <row r="134">
      <c r="A134" s="33" t="n"/>
      <c r="B134" s="34" t="n"/>
      <c r="C134" s="7">
        <f>IFERROR(VLOOKUP(B134,'Recetas y precios'!$A$5:$B$54,2,FALSE),"")</f>
        <v/>
      </c>
      <c r="D134" s="34" t="n"/>
      <c r="E134" s="34" t="n"/>
      <c r="F134" s="34" t="n"/>
      <c r="G134" s="13">
        <f>IFERROR(E134*F134,"")</f>
        <v/>
      </c>
      <c r="H134" s="13">
        <f>IFERROR(E134*VLOOKUP(B134,'Recetas y precios'!$A$5:$P$54,16,FALSE),"")</f>
        <v/>
      </c>
      <c r="I134" s="34" t="n"/>
      <c r="J134" s="13">
        <f>IFERROR(I134*VLOOKUP(B134,'Recetas y precios'!$A$5:$P$54,16,FALSE),"")</f>
        <v/>
      </c>
      <c r="K134" s="13">
        <f>IFERROR(G134-H134,"")</f>
        <v/>
      </c>
      <c r="L134" s="35">
        <f>IFERROR(K134/G134,"")</f>
        <v/>
      </c>
      <c r="M134" s="34" t="n"/>
    </row>
    <row r="135">
      <c r="A135" s="33" t="n"/>
      <c r="B135" s="34" t="n"/>
      <c r="C135" s="7">
        <f>IFERROR(VLOOKUP(B135,'Recetas y precios'!$A$5:$B$54,2,FALSE),"")</f>
        <v/>
      </c>
      <c r="D135" s="34" t="n"/>
      <c r="E135" s="34" t="n"/>
      <c r="F135" s="34" t="n"/>
      <c r="G135" s="13">
        <f>IFERROR(E135*F135,"")</f>
        <v/>
      </c>
      <c r="H135" s="13">
        <f>IFERROR(E135*VLOOKUP(B135,'Recetas y precios'!$A$5:$P$54,16,FALSE),"")</f>
        <v/>
      </c>
      <c r="I135" s="34" t="n"/>
      <c r="J135" s="13">
        <f>IFERROR(I135*VLOOKUP(B135,'Recetas y precios'!$A$5:$P$54,16,FALSE),"")</f>
        <v/>
      </c>
      <c r="K135" s="13">
        <f>IFERROR(G135-H135,"")</f>
        <v/>
      </c>
      <c r="L135" s="35">
        <f>IFERROR(K135/G135,"")</f>
        <v/>
      </c>
      <c r="M135" s="34" t="n"/>
    </row>
    <row r="136">
      <c r="A136" s="33" t="n"/>
      <c r="B136" s="34" t="n"/>
      <c r="C136" s="7">
        <f>IFERROR(VLOOKUP(B136,'Recetas y precios'!$A$5:$B$54,2,FALSE),"")</f>
        <v/>
      </c>
      <c r="D136" s="34" t="n"/>
      <c r="E136" s="34" t="n"/>
      <c r="F136" s="34" t="n"/>
      <c r="G136" s="13">
        <f>IFERROR(E136*F136,"")</f>
        <v/>
      </c>
      <c r="H136" s="13">
        <f>IFERROR(E136*VLOOKUP(B136,'Recetas y precios'!$A$5:$P$54,16,FALSE),"")</f>
        <v/>
      </c>
      <c r="I136" s="34" t="n"/>
      <c r="J136" s="13">
        <f>IFERROR(I136*VLOOKUP(B136,'Recetas y precios'!$A$5:$P$54,16,FALSE),"")</f>
        <v/>
      </c>
      <c r="K136" s="13">
        <f>IFERROR(G136-H136,"")</f>
        <v/>
      </c>
      <c r="L136" s="35">
        <f>IFERROR(K136/G136,"")</f>
        <v/>
      </c>
      <c r="M136" s="34" t="n"/>
    </row>
    <row r="137">
      <c r="A137" s="33" t="n"/>
      <c r="B137" s="34" t="n"/>
      <c r="C137" s="7">
        <f>IFERROR(VLOOKUP(B137,'Recetas y precios'!$A$5:$B$54,2,FALSE),"")</f>
        <v/>
      </c>
      <c r="D137" s="34" t="n"/>
      <c r="E137" s="34" t="n"/>
      <c r="F137" s="34" t="n"/>
      <c r="G137" s="13">
        <f>IFERROR(E137*F137,"")</f>
        <v/>
      </c>
      <c r="H137" s="13">
        <f>IFERROR(E137*VLOOKUP(B137,'Recetas y precios'!$A$5:$P$54,16,FALSE),"")</f>
        <v/>
      </c>
      <c r="I137" s="34" t="n"/>
      <c r="J137" s="13">
        <f>IFERROR(I137*VLOOKUP(B137,'Recetas y precios'!$A$5:$P$54,16,FALSE),"")</f>
        <v/>
      </c>
      <c r="K137" s="13">
        <f>IFERROR(G137-H137,"")</f>
        <v/>
      </c>
      <c r="L137" s="35">
        <f>IFERROR(K137/G137,"")</f>
        <v/>
      </c>
      <c r="M137" s="34" t="n"/>
    </row>
    <row r="138">
      <c r="A138" s="33" t="n"/>
      <c r="B138" s="34" t="n"/>
      <c r="C138" s="7">
        <f>IFERROR(VLOOKUP(B138,'Recetas y precios'!$A$5:$B$54,2,FALSE),"")</f>
        <v/>
      </c>
      <c r="D138" s="34" t="n"/>
      <c r="E138" s="34" t="n"/>
      <c r="F138" s="34" t="n"/>
      <c r="G138" s="13">
        <f>IFERROR(E138*F138,"")</f>
        <v/>
      </c>
      <c r="H138" s="13">
        <f>IFERROR(E138*VLOOKUP(B138,'Recetas y precios'!$A$5:$P$54,16,FALSE),"")</f>
        <v/>
      </c>
      <c r="I138" s="34" t="n"/>
      <c r="J138" s="13">
        <f>IFERROR(I138*VLOOKUP(B138,'Recetas y precios'!$A$5:$P$54,16,FALSE),"")</f>
        <v/>
      </c>
      <c r="K138" s="13">
        <f>IFERROR(G138-H138,"")</f>
        <v/>
      </c>
      <c r="L138" s="35">
        <f>IFERROR(K138/G138,"")</f>
        <v/>
      </c>
      <c r="M138" s="34" t="n"/>
    </row>
    <row r="139">
      <c r="A139" s="33" t="n"/>
      <c r="B139" s="34" t="n"/>
      <c r="C139" s="7">
        <f>IFERROR(VLOOKUP(B139,'Recetas y precios'!$A$5:$B$54,2,FALSE),"")</f>
        <v/>
      </c>
      <c r="D139" s="34" t="n"/>
      <c r="E139" s="34" t="n"/>
      <c r="F139" s="34" t="n"/>
      <c r="G139" s="13">
        <f>IFERROR(E139*F139,"")</f>
        <v/>
      </c>
      <c r="H139" s="13">
        <f>IFERROR(E139*VLOOKUP(B139,'Recetas y precios'!$A$5:$P$54,16,FALSE),"")</f>
        <v/>
      </c>
      <c r="I139" s="34" t="n"/>
      <c r="J139" s="13">
        <f>IFERROR(I139*VLOOKUP(B139,'Recetas y precios'!$A$5:$P$54,16,FALSE),"")</f>
        <v/>
      </c>
      <c r="K139" s="13">
        <f>IFERROR(G139-H139,"")</f>
        <v/>
      </c>
      <c r="L139" s="35">
        <f>IFERROR(K139/G139,"")</f>
        <v/>
      </c>
      <c r="M139" s="34" t="n"/>
    </row>
    <row r="140">
      <c r="A140" s="33" t="n"/>
      <c r="B140" s="34" t="n"/>
      <c r="C140" s="7">
        <f>IFERROR(VLOOKUP(B140,'Recetas y precios'!$A$5:$B$54,2,FALSE),"")</f>
        <v/>
      </c>
      <c r="D140" s="34" t="n"/>
      <c r="E140" s="34" t="n"/>
      <c r="F140" s="34" t="n"/>
      <c r="G140" s="13">
        <f>IFERROR(E140*F140,"")</f>
        <v/>
      </c>
      <c r="H140" s="13">
        <f>IFERROR(E140*VLOOKUP(B140,'Recetas y precios'!$A$5:$P$54,16,FALSE),"")</f>
        <v/>
      </c>
      <c r="I140" s="34" t="n"/>
      <c r="J140" s="13">
        <f>IFERROR(I140*VLOOKUP(B140,'Recetas y precios'!$A$5:$P$54,16,FALSE),"")</f>
        <v/>
      </c>
      <c r="K140" s="13">
        <f>IFERROR(G140-H140,"")</f>
        <v/>
      </c>
      <c r="L140" s="35">
        <f>IFERROR(K140/G140,"")</f>
        <v/>
      </c>
      <c r="M140" s="34" t="n"/>
    </row>
    <row r="141">
      <c r="A141" s="33" t="n"/>
      <c r="B141" s="34" t="n"/>
      <c r="C141" s="7">
        <f>IFERROR(VLOOKUP(B141,'Recetas y precios'!$A$5:$B$54,2,FALSE),"")</f>
        <v/>
      </c>
      <c r="D141" s="34" t="n"/>
      <c r="E141" s="34" t="n"/>
      <c r="F141" s="34" t="n"/>
      <c r="G141" s="13">
        <f>IFERROR(E141*F141,"")</f>
        <v/>
      </c>
      <c r="H141" s="13">
        <f>IFERROR(E141*VLOOKUP(B141,'Recetas y precios'!$A$5:$P$54,16,FALSE),"")</f>
        <v/>
      </c>
      <c r="I141" s="34" t="n"/>
      <c r="J141" s="13">
        <f>IFERROR(I141*VLOOKUP(B141,'Recetas y precios'!$A$5:$P$54,16,FALSE),"")</f>
        <v/>
      </c>
      <c r="K141" s="13">
        <f>IFERROR(G141-H141,"")</f>
        <v/>
      </c>
      <c r="L141" s="35">
        <f>IFERROR(K141/G141,"")</f>
        <v/>
      </c>
      <c r="M141" s="34" t="n"/>
    </row>
    <row r="142">
      <c r="A142" s="33" t="n"/>
      <c r="B142" s="34" t="n"/>
      <c r="C142" s="7">
        <f>IFERROR(VLOOKUP(B142,'Recetas y precios'!$A$5:$B$54,2,FALSE),"")</f>
        <v/>
      </c>
      <c r="D142" s="34" t="n"/>
      <c r="E142" s="34" t="n"/>
      <c r="F142" s="34" t="n"/>
      <c r="G142" s="13">
        <f>IFERROR(E142*F142,"")</f>
        <v/>
      </c>
      <c r="H142" s="13">
        <f>IFERROR(E142*VLOOKUP(B142,'Recetas y precios'!$A$5:$P$54,16,FALSE),"")</f>
        <v/>
      </c>
      <c r="I142" s="34" t="n"/>
      <c r="J142" s="13">
        <f>IFERROR(I142*VLOOKUP(B142,'Recetas y precios'!$A$5:$P$54,16,FALSE),"")</f>
        <v/>
      </c>
      <c r="K142" s="13">
        <f>IFERROR(G142-H142,"")</f>
        <v/>
      </c>
      <c r="L142" s="35">
        <f>IFERROR(K142/G142,"")</f>
        <v/>
      </c>
      <c r="M142" s="34" t="n"/>
    </row>
    <row r="143">
      <c r="A143" s="33" t="n"/>
      <c r="B143" s="34" t="n"/>
      <c r="C143" s="7">
        <f>IFERROR(VLOOKUP(B143,'Recetas y precios'!$A$5:$B$54,2,FALSE),"")</f>
        <v/>
      </c>
      <c r="D143" s="34" t="n"/>
      <c r="E143" s="34" t="n"/>
      <c r="F143" s="34" t="n"/>
      <c r="G143" s="13">
        <f>IFERROR(E143*F143,"")</f>
        <v/>
      </c>
      <c r="H143" s="13">
        <f>IFERROR(E143*VLOOKUP(B143,'Recetas y precios'!$A$5:$P$54,16,FALSE),"")</f>
        <v/>
      </c>
      <c r="I143" s="34" t="n"/>
      <c r="J143" s="13">
        <f>IFERROR(I143*VLOOKUP(B143,'Recetas y precios'!$A$5:$P$54,16,FALSE),"")</f>
        <v/>
      </c>
      <c r="K143" s="13">
        <f>IFERROR(G143-H143,"")</f>
        <v/>
      </c>
      <c r="L143" s="35">
        <f>IFERROR(K143/G143,"")</f>
        <v/>
      </c>
      <c r="M143" s="34" t="n"/>
    </row>
    <row r="144">
      <c r="A144" s="33" t="n"/>
      <c r="B144" s="34" t="n"/>
      <c r="C144" s="7">
        <f>IFERROR(VLOOKUP(B144,'Recetas y precios'!$A$5:$B$54,2,FALSE),"")</f>
        <v/>
      </c>
      <c r="D144" s="34" t="n"/>
      <c r="E144" s="34" t="n"/>
      <c r="F144" s="34" t="n"/>
      <c r="G144" s="13">
        <f>IFERROR(E144*F144,"")</f>
        <v/>
      </c>
      <c r="H144" s="13">
        <f>IFERROR(E144*VLOOKUP(B144,'Recetas y precios'!$A$5:$P$54,16,FALSE),"")</f>
        <v/>
      </c>
      <c r="I144" s="34" t="n"/>
      <c r="J144" s="13">
        <f>IFERROR(I144*VLOOKUP(B144,'Recetas y precios'!$A$5:$P$54,16,FALSE),"")</f>
        <v/>
      </c>
      <c r="K144" s="13">
        <f>IFERROR(G144-H144,"")</f>
        <v/>
      </c>
      <c r="L144" s="35">
        <f>IFERROR(K144/G144,"")</f>
        <v/>
      </c>
      <c r="M144" s="34" t="n"/>
    </row>
    <row r="145">
      <c r="A145" s="33" t="n"/>
      <c r="B145" s="34" t="n"/>
      <c r="C145" s="7">
        <f>IFERROR(VLOOKUP(B145,'Recetas y precios'!$A$5:$B$54,2,FALSE),"")</f>
        <v/>
      </c>
      <c r="D145" s="34" t="n"/>
      <c r="E145" s="34" t="n"/>
      <c r="F145" s="34" t="n"/>
      <c r="G145" s="13">
        <f>IFERROR(E145*F145,"")</f>
        <v/>
      </c>
      <c r="H145" s="13">
        <f>IFERROR(E145*VLOOKUP(B145,'Recetas y precios'!$A$5:$P$54,16,FALSE),"")</f>
        <v/>
      </c>
      <c r="I145" s="34" t="n"/>
      <c r="J145" s="13">
        <f>IFERROR(I145*VLOOKUP(B145,'Recetas y precios'!$A$5:$P$54,16,FALSE),"")</f>
        <v/>
      </c>
      <c r="K145" s="13">
        <f>IFERROR(G145-H145,"")</f>
        <v/>
      </c>
      <c r="L145" s="35">
        <f>IFERROR(K145/G145,"")</f>
        <v/>
      </c>
      <c r="M145" s="34" t="n"/>
    </row>
    <row r="146">
      <c r="A146" s="33" t="n"/>
      <c r="B146" s="34" t="n"/>
      <c r="C146" s="7">
        <f>IFERROR(VLOOKUP(B146,'Recetas y precios'!$A$5:$B$54,2,FALSE),"")</f>
        <v/>
      </c>
      <c r="D146" s="34" t="n"/>
      <c r="E146" s="34" t="n"/>
      <c r="F146" s="34" t="n"/>
      <c r="G146" s="13">
        <f>IFERROR(E146*F146,"")</f>
        <v/>
      </c>
      <c r="H146" s="13">
        <f>IFERROR(E146*VLOOKUP(B146,'Recetas y precios'!$A$5:$P$54,16,FALSE),"")</f>
        <v/>
      </c>
      <c r="I146" s="34" t="n"/>
      <c r="J146" s="13">
        <f>IFERROR(I146*VLOOKUP(B146,'Recetas y precios'!$A$5:$P$54,16,FALSE),"")</f>
        <v/>
      </c>
      <c r="K146" s="13">
        <f>IFERROR(G146-H146,"")</f>
        <v/>
      </c>
      <c r="L146" s="35">
        <f>IFERROR(K146/G146,"")</f>
        <v/>
      </c>
      <c r="M146" s="34" t="n"/>
    </row>
    <row r="147">
      <c r="A147" s="33" t="n"/>
      <c r="B147" s="34" t="n"/>
      <c r="C147" s="7">
        <f>IFERROR(VLOOKUP(B147,'Recetas y precios'!$A$5:$B$54,2,FALSE),"")</f>
        <v/>
      </c>
      <c r="D147" s="34" t="n"/>
      <c r="E147" s="34" t="n"/>
      <c r="F147" s="34" t="n"/>
      <c r="G147" s="13">
        <f>IFERROR(E147*F147,"")</f>
        <v/>
      </c>
      <c r="H147" s="13">
        <f>IFERROR(E147*VLOOKUP(B147,'Recetas y precios'!$A$5:$P$54,16,FALSE),"")</f>
        <v/>
      </c>
      <c r="I147" s="34" t="n"/>
      <c r="J147" s="13">
        <f>IFERROR(I147*VLOOKUP(B147,'Recetas y precios'!$A$5:$P$54,16,FALSE),"")</f>
        <v/>
      </c>
      <c r="K147" s="13">
        <f>IFERROR(G147-H147,"")</f>
        <v/>
      </c>
      <c r="L147" s="35">
        <f>IFERROR(K147/G147,"")</f>
        <v/>
      </c>
      <c r="M147" s="34" t="n"/>
    </row>
    <row r="148">
      <c r="A148" s="33" t="n"/>
      <c r="B148" s="34" t="n"/>
      <c r="C148" s="7">
        <f>IFERROR(VLOOKUP(B148,'Recetas y precios'!$A$5:$B$54,2,FALSE),"")</f>
        <v/>
      </c>
      <c r="D148" s="34" t="n"/>
      <c r="E148" s="34" t="n"/>
      <c r="F148" s="34" t="n"/>
      <c r="G148" s="13">
        <f>IFERROR(E148*F148,"")</f>
        <v/>
      </c>
      <c r="H148" s="13">
        <f>IFERROR(E148*VLOOKUP(B148,'Recetas y precios'!$A$5:$P$54,16,FALSE),"")</f>
        <v/>
      </c>
      <c r="I148" s="34" t="n"/>
      <c r="J148" s="13">
        <f>IFERROR(I148*VLOOKUP(B148,'Recetas y precios'!$A$5:$P$54,16,FALSE),"")</f>
        <v/>
      </c>
      <c r="K148" s="13">
        <f>IFERROR(G148-H148,"")</f>
        <v/>
      </c>
      <c r="L148" s="35">
        <f>IFERROR(K148/G148,"")</f>
        <v/>
      </c>
      <c r="M148" s="34" t="n"/>
    </row>
    <row r="149">
      <c r="A149" s="33" t="n"/>
      <c r="B149" s="34" t="n"/>
      <c r="C149" s="7">
        <f>IFERROR(VLOOKUP(B149,'Recetas y precios'!$A$5:$B$54,2,FALSE),"")</f>
        <v/>
      </c>
      <c r="D149" s="34" t="n"/>
      <c r="E149" s="34" t="n"/>
      <c r="F149" s="34" t="n"/>
      <c r="G149" s="13">
        <f>IFERROR(E149*F149,"")</f>
        <v/>
      </c>
      <c r="H149" s="13">
        <f>IFERROR(E149*VLOOKUP(B149,'Recetas y precios'!$A$5:$P$54,16,FALSE),"")</f>
        <v/>
      </c>
      <c r="I149" s="34" t="n"/>
      <c r="J149" s="13">
        <f>IFERROR(I149*VLOOKUP(B149,'Recetas y precios'!$A$5:$P$54,16,FALSE),"")</f>
        <v/>
      </c>
      <c r="K149" s="13">
        <f>IFERROR(G149-H149,"")</f>
        <v/>
      </c>
      <c r="L149" s="35">
        <f>IFERROR(K149/G149,"")</f>
        <v/>
      </c>
      <c r="M149" s="34" t="n"/>
    </row>
    <row r="150">
      <c r="A150" s="33" t="n"/>
      <c r="B150" s="34" t="n"/>
      <c r="C150" s="7">
        <f>IFERROR(VLOOKUP(B150,'Recetas y precios'!$A$5:$B$54,2,FALSE),"")</f>
        <v/>
      </c>
      <c r="D150" s="34" t="n"/>
      <c r="E150" s="34" t="n"/>
      <c r="F150" s="34" t="n"/>
      <c r="G150" s="13">
        <f>IFERROR(E150*F150,"")</f>
        <v/>
      </c>
      <c r="H150" s="13">
        <f>IFERROR(E150*VLOOKUP(B150,'Recetas y precios'!$A$5:$P$54,16,FALSE),"")</f>
        <v/>
      </c>
      <c r="I150" s="34" t="n"/>
      <c r="J150" s="13">
        <f>IFERROR(I150*VLOOKUP(B150,'Recetas y precios'!$A$5:$P$54,16,FALSE),"")</f>
        <v/>
      </c>
      <c r="K150" s="13">
        <f>IFERROR(G150-H150,"")</f>
        <v/>
      </c>
      <c r="L150" s="35">
        <f>IFERROR(K150/G150,"")</f>
        <v/>
      </c>
      <c r="M150" s="34" t="n"/>
    </row>
    <row r="151">
      <c r="A151" s="33" t="n"/>
      <c r="B151" s="34" t="n"/>
      <c r="C151" s="7">
        <f>IFERROR(VLOOKUP(B151,'Recetas y precios'!$A$5:$B$54,2,FALSE),"")</f>
        <v/>
      </c>
      <c r="D151" s="34" t="n"/>
      <c r="E151" s="34" t="n"/>
      <c r="F151" s="34" t="n"/>
      <c r="G151" s="13">
        <f>IFERROR(E151*F151,"")</f>
        <v/>
      </c>
      <c r="H151" s="13">
        <f>IFERROR(E151*VLOOKUP(B151,'Recetas y precios'!$A$5:$P$54,16,FALSE),"")</f>
        <v/>
      </c>
      <c r="I151" s="34" t="n"/>
      <c r="J151" s="13">
        <f>IFERROR(I151*VLOOKUP(B151,'Recetas y precios'!$A$5:$P$54,16,FALSE),"")</f>
        <v/>
      </c>
      <c r="K151" s="13">
        <f>IFERROR(G151-H151,"")</f>
        <v/>
      </c>
      <c r="L151" s="35">
        <f>IFERROR(K151/G151,"")</f>
        <v/>
      </c>
      <c r="M151" s="34" t="n"/>
    </row>
    <row r="152">
      <c r="A152" s="33" t="n"/>
      <c r="B152" s="34" t="n"/>
      <c r="C152" s="7">
        <f>IFERROR(VLOOKUP(B152,'Recetas y precios'!$A$5:$B$54,2,FALSE),"")</f>
        <v/>
      </c>
      <c r="D152" s="34" t="n"/>
      <c r="E152" s="34" t="n"/>
      <c r="F152" s="34" t="n"/>
      <c r="G152" s="13">
        <f>IFERROR(E152*F152,"")</f>
        <v/>
      </c>
      <c r="H152" s="13">
        <f>IFERROR(E152*VLOOKUP(B152,'Recetas y precios'!$A$5:$P$54,16,FALSE),"")</f>
        <v/>
      </c>
      <c r="I152" s="34" t="n"/>
      <c r="J152" s="13">
        <f>IFERROR(I152*VLOOKUP(B152,'Recetas y precios'!$A$5:$P$54,16,FALSE),"")</f>
        <v/>
      </c>
      <c r="K152" s="13">
        <f>IFERROR(G152-H152,"")</f>
        <v/>
      </c>
      <c r="L152" s="35">
        <f>IFERROR(K152/G152,"")</f>
        <v/>
      </c>
      <c r="M152" s="34" t="n"/>
    </row>
    <row r="153">
      <c r="A153" s="33" t="n"/>
      <c r="B153" s="34" t="n"/>
      <c r="C153" s="7">
        <f>IFERROR(VLOOKUP(B153,'Recetas y precios'!$A$5:$B$54,2,FALSE),"")</f>
        <v/>
      </c>
      <c r="D153" s="34" t="n"/>
      <c r="E153" s="34" t="n"/>
      <c r="F153" s="34" t="n"/>
      <c r="G153" s="13">
        <f>IFERROR(E153*F153,"")</f>
        <v/>
      </c>
      <c r="H153" s="13">
        <f>IFERROR(E153*VLOOKUP(B153,'Recetas y precios'!$A$5:$P$54,16,FALSE),"")</f>
        <v/>
      </c>
      <c r="I153" s="34" t="n"/>
      <c r="J153" s="13">
        <f>IFERROR(I153*VLOOKUP(B153,'Recetas y precios'!$A$5:$P$54,16,FALSE),"")</f>
        <v/>
      </c>
      <c r="K153" s="13">
        <f>IFERROR(G153-H153,"")</f>
        <v/>
      </c>
      <c r="L153" s="35">
        <f>IFERROR(K153/G153,"")</f>
        <v/>
      </c>
      <c r="M153" s="34" t="n"/>
    </row>
    <row r="154">
      <c r="A154" s="33" t="n"/>
      <c r="B154" s="34" t="n"/>
      <c r="C154" s="7">
        <f>IFERROR(VLOOKUP(B154,'Recetas y precios'!$A$5:$B$54,2,FALSE),"")</f>
        <v/>
      </c>
      <c r="D154" s="34" t="n"/>
      <c r="E154" s="34" t="n"/>
      <c r="F154" s="34" t="n"/>
      <c r="G154" s="13">
        <f>IFERROR(E154*F154,"")</f>
        <v/>
      </c>
      <c r="H154" s="13">
        <f>IFERROR(E154*VLOOKUP(B154,'Recetas y precios'!$A$5:$P$54,16,FALSE),"")</f>
        <v/>
      </c>
      <c r="I154" s="34" t="n"/>
      <c r="J154" s="13">
        <f>IFERROR(I154*VLOOKUP(B154,'Recetas y precios'!$A$5:$P$54,16,FALSE),"")</f>
        <v/>
      </c>
      <c r="K154" s="13">
        <f>IFERROR(G154-H154,"")</f>
        <v/>
      </c>
      <c r="L154" s="35">
        <f>IFERROR(K154/G154,"")</f>
        <v/>
      </c>
      <c r="M154" s="34" t="n"/>
    </row>
    <row r="155">
      <c r="A155" s="33" t="n"/>
      <c r="B155" s="34" t="n"/>
      <c r="C155" s="7">
        <f>IFERROR(VLOOKUP(B155,'Recetas y precios'!$A$5:$B$54,2,FALSE),"")</f>
        <v/>
      </c>
      <c r="D155" s="34" t="n"/>
      <c r="E155" s="34" t="n"/>
      <c r="F155" s="34" t="n"/>
      <c r="G155" s="13">
        <f>IFERROR(E155*F155,"")</f>
        <v/>
      </c>
      <c r="H155" s="13">
        <f>IFERROR(E155*VLOOKUP(B155,'Recetas y precios'!$A$5:$P$54,16,FALSE),"")</f>
        <v/>
      </c>
      <c r="I155" s="34" t="n"/>
      <c r="J155" s="13">
        <f>IFERROR(I155*VLOOKUP(B155,'Recetas y precios'!$A$5:$P$54,16,FALSE),"")</f>
        <v/>
      </c>
      <c r="K155" s="13">
        <f>IFERROR(G155-H155,"")</f>
        <v/>
      </c>
      <c r="L155" s="35">
        <f>IFERROR(K155/G155,"")</f>
        <v/>
      </c>
      <c r="M155" s="34" t="n"/>
    </row>
    <row r="156">
      <c r="A156" s="33" t="n"/>
      <c r="B156" s="34" t="n"/>
      <c r="C156" s="7">
        <f>IFERROR(VLOOKUP(B156,'Recetas y precios'!$A$5:$B$54,2,FALSE),"")</f>
        <v/>
      </c>
      <c r="D156" s="34" t="n"/>
      <c r="E156" s="34" t="n"/>
      <c r="F156" s="34" t="n"/>
      <c r="G156" s="13">
        <f>IFERROR(E156*F156,"")</f>
        <v/>
      </c>
      <c r="H156" s="13">
        <f>IFERROR(E156*VLOOKUP(B156,'Recetas y precios'!$A$5:$P$54,16,FALSE),"")</f>
        <v/>
      </c>
      <c r="I156" s="34" t="n"/>
      <c r="J156" s="13">
        <f>IFERROR(I156*VLOOKUP(B156,'Recetas y precios'!$A$5:$P$54,16,FALSE),"")</f>
        <v/>
      </c>
      <c r="K156" s="13">
        <f>IFERROR(G156-H156,"")</f>
        <v/>
      </c>
      <c r="L156" s="35">
        <f>IFERROR(K156/G156,"")</f>
        <v/>
      </c>
      <c r="M156" s="34" t="n"/>
    </row>
    <row r="157">
      <c r="A157" s="33" t="n"/>
      <c r="B157" s="34" t="n"/>
      <c r="C157" s="7">
        <f>IFERROR(VLOOKUP(B157,'Recetas y precios'!$A$5:$B$54,2,FALSE),"")</f>
        <v/>
      </c>
      <c r="D157" s="34" t="n"/>
      <c r="E157" s="34" t="n"/>
      <c r="F157" s="34" t="n"/>
      <c r="G157" s="13">
        <f>IFERROR(E157*F157,"")</f>
        <v/>
      </c>
      <c r="H157" s="13">
        <f>IFERROR(E157*VLOOKUP(B157,'Recetas y precios'!$A$5:$P$54,16,FALSE),"")</f>
        <v/>
      </c>
      <c r="I157" s="34" t="n"/>
      <c r="J157" s="13">
        <f>IFERROR(I157*VLOOKUP(B157,'Recetas y precios'!$A$5:$P$54,16,FALSE),"")</f>
        <v/>
      </c>
      <c r="K157" s="13">
        <f>IFERROR(G157-H157,"")</f>
        <v/>
      </c>
      <c r="L157" s="35">
        <f>IFERROR(K157/G157,"")</f>
        <v/>
      </c>
      <c r="M157" s="34" t="n"/>
    </row>
    <row r="158">
      <c r="A158" s="33" t="n"/>
      <c r="B158" s="34" t="n"/>
      <c r="C158" s="7">
        <f>IFERROR(VLOOKUP(B158,'Recetas y precios'!$A$5:$B$54,2,FALSE),"")</f>
        <v/>
      </c>
      <c r="D158" s="34" t="n"/>
      <c r="E158" s="34" t="n"/>
      <c r="F158" s="34" t="n"/>
      <c r="G158" s="13">
        <f>IFERROR(E158*F158,"")</f>
        <v/>
      </c>
      <c r="H158" s="13">
        <f>IFERROR(E158*VLOOKUP(B158,'Recetas y precios'!$A$5:$P$54,16,FALSE),"")</f>
        <v/>
      </c>
      <c r="I158" s="34" t="n"/>
      <c r="J158" s="13">
        <f>IFERROR(I158*VLOOKUP(B158,'Recetas y precios'!$A$5:$P$54,16,FALSE),"")</f>
        <v/>
      </c>
      <c r="K158" s="13">
        <f>IFERROR(G158-H158,"")</f>
        <v/>
      </c>
      <c r="L158" s="35">
        <f>IFERROR(K158/G158,"")</f>
        <v/>
      </c>
      <c r="M158" s="34" t="n"/>
    </row>
    <row r="159">
      <c r="A159" s="33" t="n"/>
      <c r="B159" s="34" t="n"/>
      <c r="C159" s="7">
        <f>IFERROR(VLOOKUP(B159,'Recetas y precios'!$A$5:$B$54,2,FALSE),"")</f>
        <v/>
      </c>
      <c r="D159" s="34" t="n"/>
      <c r="E159" s="34" t="n"/>
      <c r="F159" s="34" t="n"/>
      <c r="G159" s="13">
        <f>IFERROR(E159*F159,"")</f>
        <v/>
      </c>
      <c r="H159" s="13">
        <f>IFERROR(E159*VLOOKUP(B159,'Recetas y precios'!$A$5:$P$54,16,FALSE),"")</f>
        <v/>
      </c>
      <c r="I159" s="34" t="n"/>
      <c r="J159" s="13">
        <f>IFERROR(I159*VLOOKUP(B159,'Recetas y precios'!$A$5:$P$54,16,FALSE),"")</f>
        <v/>
      </c>
      <c r="K159" s="13">
        <f>IFERROR(G159-H159,"")</f>
        <v/>
      </c>
      <c r="L159" s="35">
        <f>IFERROR(K159/G159,"")</f>
        <v/>
      </c>
      <c r="M159" s="34" t="n"/>
    </row>
    <row r="160">
      <c r="A160" s="33" t="n"/>
      <c r="B160" s="34" t="n"/>
      <c r="C160" s="7">
        <f>IFERROR(VLOOKUP(B160,'Recetas y precios'!$A$5:$B$54,2,FALSE),"")</f>
        <v/>
      </c>
      <c r="D160" s="34" t="n"/>
      <c r="E160" s="34" t="n"/>
      <c r="F160" s="34" t="n"/>
      <c r="G160" s="13">
        <f>IFERROR(E160*F160,"")</f>
        <v/>
      </c>
      <c r="H160" s="13">
        <f>IFERROR(E160*VLOOKUP(B160,'Recetas y precios'!$A$5:$P$54,16,FALSE),"")</f>
        <v/>
      </c>
      <c r="I160" s="34" t="n"/>
      <c r="J160" s="13">
        <f>IFERROR(I160*VLOOKUP(B160,'Recetas y precios'!$A$5:$P$54,16,FALSE),"")</f>
        <v/>
      </c>
      <c r="K160" s="13">
        <f>IFERROR(G160-H160,"")</f>
        <v/>
      </c>
      <c r="L160" s="35">
        <f>IFERROR(K160/G160,"")</f>
        <v/>
      </c>
      <c r="M160" s="34" t="n"/>
    </row>
    <row r="161">
      <c r="A161" s="33" t="n"/>
      <c r="B161" s="34" t="n"/>
      <c r="C161" s="7">
        <f>IFERROR(VLOOKUP(B161,'Recetas y precios'!$A$5:$B$54,2,FALSE),"")</f>
        <v/>
      </c>
      <c r="D161" s="34" t="n"/>
      <c r="E161" s="34" t="n"/>
      <c r="F161" s="34" t="n"/>
      <c r="G161" s="13">
        <f>IFERROR(E161*F161,"")</f>
        <v/>
      </c>
      <c r="H161" s="13">
        <f>IFERROR(E161*VLOOKUP(B161,'Recetas y precios'!$A$5:$P$54,16,FALSE),"")</f>
        <v/>
      </c>
      <c r="I161" s="34" t="n"/>
      <c r="J161" s="13">
        <f>IFERROR(I161*VLOOKUP(B161,'Recetas y precios'!$A$5:$P$54,16,FALSE),"")</f>
        <v/>
      </c>
      <c r="K161" s="13">
        <f>IFERROR(G161-H161,"")</f>
        <v/>
      </c>
      <c r="L161" s="35">
        <f>IFERROR(K161/G161,"")</f>
        <v/>
      </c>
      <c r="M161" s="34" t="n"/>
    </row>
    <row r="162">
      <c r="A162" s="33" t="n"/>
      <c r="B162" s="34" t="n"/>
      <c r="C162" s="7">
        <f>IFERROR(VLOOKUP(B162,'Recetas y precios'!$A$5:$B$54,2,FALSE),"")</f>
        <v/>
      </c>
      <c r="D162" s="34" t="n"/>
      <c r="E162" s="34" t="n"/>
      <c r="F162" s="34" t="n"/>
      <c r="G162" s="13">
        <f>IFERROR(E162*F162,"")</f>
        <v/>
      </c>
      <c r="H162" s="13">
        <f>IFERROR(E162*VLOOKUP(B162,'Recetas y precios'!$A$5:$P$54,16,FALSE),"")</f>
        <v/>
      </c>
      <c r="I162" s="34" t="n"/>
      <c r="J162" s="13">
        <f>IFERROR(I162*VLOOKUP(B162,'Recetas y precios'!$A$5:$P$54,16,FALSE),"")</f>
        <v/>
      </c>
      <c r="K162" s="13">
        <f>IFERROR(G162-H162,"")</f>
        <v/>
      </c>
      <c r="L162" s="35">
        <f>IFERROR(K162/G162,"")</f>
        <v/>
      </c>
      <c r="M162" s="34" t="n"/>
    </row>
    <row r="163">
      <c r="A163" s="33" t="n"/>
      <c r="B163" s="34" t="n"/>
      <c r="C163" s="7">
        <f>IFERROR(VLOOKUP(B163,'Recetas y precios'!$A$5:$B$54,2,FALSE),"")</f>
        <v/>
      </c>
      <c r="D163" s="34" t="n"/>
      <c r="E163" s="34" t="n"/>
      <c r="F163" s="34" t="n"/>
      <c r="G163" s="13">
        <f>IFERROR(E163*F163,"")</f>
        <v/>
      </c>
      <c r="H163" s="13">
        <f>IFERROR(E163*VLOOKUP(B163,'Recetas y precios'!$A$5:$P$54,16,FALSE),"")</f>
        <v/>
      </c>
      <c r="I163" s="34" t="n"/>
      <c r="J163" s="13">
        <f>IFERROR(I163*VLOOKUP(B163,'Recetas y precios'!$A$5:$P$54,16,FALSE),"")</f>
        <v/>
      </c>
      <c r="K163" s="13">
        <f>IFERROR(G163-H163,"")</f>
        <v/>
      </c>
      <c r="L163" s="35">
        <f>IFERROR(K163/G163,"")</f>
        <v/>
      </c>
      <c r="M163" s="34" t="n"/>
    </row>
    <row r="164">
      <c r="A164" s="33" t="n"/>
      <c r="B164" s="34" t="n"/>
      <c r="C164" s="7">
        <f>IFERROR(VLOOKUP(B164,'Recetas y precios'!$A$5:$B$54,2,FALSE),"")</f>
        <v/>
      </c>
      <c r="D164" s="34" t="n"/>
      <c r="E164" s="34" t="n"/>
      <c r="F164" s="34" t="n"/>
      <c r="G164" s="13">
        <f>IFERROR(E164*F164,"")</f>
        <v/>
      </c>
      <c r="H164" s="13">
        <f>IFERROR(E164*VLOOKUP(B164,'Recetas y precios'!$A$5:$P$54,16,FALSE),"")</f>
        <v/>
      </c>
      <c r="I164" s="34" t="n"/>
      <c r="J164" s="13">
        <f>IFERROR(I164*VLOOKUP(B164,'Recetas y precios'!$A$5:$P$54,16,FALSE),"")</f>
        <v/>
      </c>
      <c r="K164" s="13">
        <f>IFERROR(G164-H164,"")</f>
        <v/>
      </c>
      <c r="L164" s="35">
        <f>IFERROR(K164/G164,"")</f>
        <v/>
      </c>
      <c r="M164" s="34" t="n"/>
    </row>
    <row r="165">
      <c r="A165" s="33" t="n"/>
      <c r="B165" s="34" t="n"/>
      <c r="C165" s="7">
        <f>IFERROR(VLOOKUP(B165,'Recetas y precios'!$A$5:$B$54,2,FALSE),"")</f>
        <v/>
      </c>
      <c r="D165" s="34" t="n"/>
      <c r="E165" s="34" t="n"/>
      <c r="F165" s="34" t="n"/>
      <c r="G165" s="13">
        <f>IFERROR(E165*F165,"")</f>
        <v/>
      </c>
      <c r="H165" s="13">
        <f>IFERROR(E165*VLOOKUP(B165,'Recetas y precios'!$A$5:$P$54,16,FALSE),"")</f>
        <v/>
      </c>
      <c r="I165" s="34" t="n"/>
      <c r="J165" s="13">
        <f>IFERROR(I165*VLOOKUP(B165,'Recetas y precios'!$A$5:$P$54,16,FALSE),"")</f>
        <v/>
      </c>
      <c r="K165" s="13">
        <f>IFERROR(G165-H165,"")</f>
        <v/>
      </c>
      <c r="L165" s="35">
        <f>IFERROR(K165/G165,"")</f>
        <v/>
      </c>
      <c r="M165" s="34" t="n"/>
    </row>
    <row r="166">
      <c r="A166" s="33" t="n"/>
      <c r="B166" s="34" t="n"/>
      <c r="C166" s="7">
        <f>IFERROR(VLOOKUP(B166,'Recetas y precios'!$A$5:$B$54,2,FALSE),"")</f>
        <v/>
      </c>
      <c r="D166" s="34" t="n"/>
      <c r="E166" s="34" t="n"/>
      <c r="F166" s="34" t="n"/>
      <c r="G166" s="13">
        <f>IFERROR(E166*F166,"")</f>
        <v/>
      </c>
      <c r="H166" s="13">
        <f>IFERROR(E166*VLOOKUP(B166,'Recetas y precios'!$A$5:$P$54,16,FALSE),"")</f>
        <v/>
      </c>
      <c r="I166" s="34" t="n"/>
      <c r="J166" s="13">
        <f>IFERROR(I166*VLOOKUP(B166,'Recetas y precios'!$A$5:$P$54,16,FALSE),"")</f>
        <v/>
      </c>
      <c r="K166" s="13">
        <f>IFERROR(G166-H166,"")</f>
        <v/>
      </c>
      <c r="L166" s="35">
        <f>IFERROR(K166/G166,"")</f>
        <v/>
      </c>
      <c r="M166" s="34" t="n"/>
    </row>
    <row r="167">
      <c r="A167" s="33" t="n"/>
      <c r="B167" s="34" t="n"/>
      <c r="C167" s="7">
        <f>IFERROR(VLOOKUP(B167,'Recetas y precios'!$A$5:$B$54,2,FALSE),"")</f>
        <v/>
      </c>
      <c r="D167" s="34" t="n"/>
      <c r="E167" s="34" t="n"/>
      <c r="F167" s="34" t="n"/>
      <c r="G167" s="13">
        <f>IFERROR(E167*F167,"")</f>
        <v/>
      </c>
      <c r="H167" s="13">
        <f>IFERROR(E167*VLOOKUP(B167,'Recetas y precios'!$A$5:$P$54,16,FALSE),"")</f>
        <v/>
      </c>
      <c r="I167" s="34" t="n"/>
      <c r="J167" s="13">
        <f>IFERROR(I167*VLOOKUP(B167,'Recetas y precios'!$A$5:$P$54,16,FALSE),"")</f>
        <v/>
      </c>
      <c r="K167" s="13">
        <f>IFERROR(G167-H167,"")</f>
        <v/>
      </c>
      <c r="L167" s="35">
        <f>IFERROR(K167/G167,"")</f>
        <v/>
      </c>
      <c r="M167" s="34" t="n"/>
    </row>
    <row r="168">
      <c r="A168" s="33" t="n"/>
      <c r="B168" s="34" t="n"/>
      <c r="C168" s="7">
        <f>IFERROR(VLOOKUP(B168,'Recetas y precios'!$A$5:$B$54,2,FALSE),"")</f>
        <v/>
      </c>
      <c r="D168" s="34" t="n"/>
      <c r="E168" s="34" t="n"/>
      <c r="F168" s="34" t="n"/>
      <c r="G168" s="13">
        <f>IFERROR(E168*F168,"")</f>
        <v/>
      </c>
      <c r="H168" s="13">
        <f>IFERROR(E168*VLOOKUP(B168,'Recetas y precios'!$A$5:$P$54,16,FALSE),"")</f>
        <v/>
      </c>
      <c r="I168" s="34" t="n"/>
      <c r="J168" s="13">
        <f>IFERROR(I168*VLOOKUP(B168,'Recetas y precios'!$A$5:$P$54,16,FALSE),"")</f>
        <v/>
      </c>
      <c r="K168" s="13">
        <f>IFERROR(G168-H168,"")</f>
        <v/>
      </c>
      <c r="L168" s="35">
        <f>IFERROR(K168/G168,"")</f>
        <v/>
      </c>
      <c r="M168" s="34" t="n"/>
    </row>
    <row r="169">
      <c r="A169" s="33" t="n"/>
      <c r="B169" s="34" t="n"/>
      <c r="C169" s="7">
        <f>IFERROR(VLOOKUP(B169,'Recetas y precios'!$A$5:$B$54,2,FALSE),"")</f>
        <v/>
      </c>
      <c r="D169" s="34" t="n"/>
      <c r="E169" s="34" t="n"/>
      <c r="F169" s="34" t="n"/>
      <c r="G169" s="13">
        <f>IFERROR(E169*F169,"")</f>
        <v/>
      </c>
      <c r="H169" s="13">
        <f>IFERROR(E169*VLOOKUP(B169,'Recetas y precios'!$A$5:$P$54,16,FALSE),"")</f>
        <v/>
      </c>
      <c r="I169" s="34" t="n"/>
      <c r="J169" s="13">
        <f>IFERROR(I169*VLOOKUP(B169,'Recetas y precios'!$A$5:$P$54,16,FALSE),"")</f>
        <v/>
      </c>
      <c r="K169" s="13">
        <f>IFERROR(G169-H169,"")</f>
        <v/>
      </c>
      <c r="L169" s="35">
        <f>IFERROR(K169/G169,"")</f>
        <v/>
      </c>
      <c r="M169" s="34" t="n"/>
    </row>
    <row r="170">
      <c r="A170" s="33" t="n"/>
      <c r="B170" s="34" t="n"/>
      <c r="C170" s="7">
        <f>IFERROR(VLOOKUP(B170,'Recetas y precios'!$A$5:$B$54,2,FALSE),"")</f>
        <v/>
      </c>
      <c r="D170" s="34" t="n"/>
      <c r="E170" s="34" t="n"/>
      <c r="F170" s="34" t="n"/>
      <c r="G170" s="13">
        <f>IFERROR(E170*F170,"")</f>
        <v/>
      </c>
      <c r="H170" s="13">
        <f>IFERROR(E170*VLOOKUP(B170,'Recetas y precios'!$A$5:$P$54,16,FALSE),"")</f>
        <v/>
      </c>
      <c r="I170" s="34" t="n"/>
      <c r="J170" s="13">
        <f>IFERROR(I170*VLOOKUP(B170,'Recetas y precios'!$A$5:$P$54,16,FALSE),"")</f>
        <v/>
      </c>
      <c r="K170" s="13">
        <f>IFERROR(G170-H170,"")</f>
        <v/>
      </c>
      <c r="L170" s="35">
        <f>IFERROR(K170/G170,"")</f>
        <v/>
      </c>
      <c r="M170" s="34" t="n"/>
    </row>
    <row r="171">
      <c r="A171" s="33" t="n"/>
      <c r="B171" s="34" t="n"/>
      <c r="C171" s="7">
        <f>IFERROR(VLOOKUP(B171,'Recetas y precios'!$A$5:$B$54,2,FALSE),"")</f>
        <v/>
      </c>
      <c r="D171" s="34" t="n"/>
      <c r="E171" s="34" t="n"/>
      <c r="F171" s="34" t="n"/>
      <c r="G171" s="13">
        <f>IFERROR(E171*F171,"")</f>
        <v/>
      </c>
      <c r="H171" s="13">
        <f>IFERROR(E171*VLOOKUP(B171,'Recetas y precios'!$A$5:$P$54,16,FALSE),"")</f>
        <v/>
      </c>
      <c r="I171" s="34" t="n"/>
      <c r="J171" s="13">
        <f>IFERROR(I171*VLOOKUP(B171,'Recetas y precios'!$A$5:$P$54,16,FALSE),"")</f>
        <v/>
      </c>
      <c r="K171" s="13">
        <f>IFERROR(G171-H171,"")</f>
        <v/>
      </c>
      <c r="L171" s="35">
        <f>IFERROR(K171/G171,"")</f>
        <v/>
      </c>
      <c r="M171" s="34" t="n"/>
    </row>
    <row r="172">
      <c r="A172" s="33" t="n"/>
      <c r="B172" s="34" t="n"/>
      <c r="C172" s="7">
        <f>IFERROR(VLOOKUP(B172,'Recetas y precios'!$A$5:$B$54,2,FALSE),"")</f>
        <v/>
      </c>
      <c r="D172" s="34" t="n"/>
      <c r="E172" s="34" t="n"/>
      <c r="F172" s="34" t="n"/>
      <c r="G172" s="13">
        <f>IFERROR(E172*F172,"")</f>
        <v/>
      </c>
      <c r="H172" s="13">
        <f>IFERROR(E172*VLOOKUP(B172,'Recetas y precios'!$A$5:$P$54,16,FALSE),"")</f>
        <v/>
      </c>
      <c r="I172" s="34" t="n"/>
      <c r="J172" s="13">
        <f>IFERROR(I172*VLOOKUP(B172,'Recetas y precios'!$A$5:$P$54,16,FALSE),"")</f>
        <v/>
      </c>
      <c r="K172" s="13">
        <f>IFERROR(G172-H172,"")</f>
        <v/>
      </c>
      <c r="L172" s="35">
        <f>IFERROR(K172/G172,"")</f>
        <v/>
      </c>
      <c r="M172" s="34" t="n"/>
    </row>
    <row r="173">
      <c r="A173" s="33" t="n"/>
      <c r="B173" s="34" t="n"/>
      <c r="C173" s="7">
        <f>IFERROR(VLOOKUP(B173,'Recetas y precios'!$A$5:$B$54,2,FALSE),"")</f>
        <v/>
      </c>
      <c r="D173" s="34" t="n"/>
      <c r="E173" s="34" t="n"/>
      <c r="F173" s="34" t="n"/>
      <c r="G173" s="13">
        <f>IFERROR(E173*F173,"")</f>
        <v/>
      </c>
      <c r="H173" s="13">
        <f>IFERROR(E173*VLOOKUP(B173,'Recetas y precios'!$A$5:$P$54,16,FALSE),"")</f>
        <v/>
      </c>
      <c r="I173" s="34" t="n"/>
      <c r="J173" s="13">
        <f>IFERROR(I173*VLOOKUP(B173,'Recetas y precios'!$A$5:$P$54,16,FALSE),"")</f>
        <v/>
      </c>
      <c r="K173" s="13">
        <f>IFERROR(G173-H173,"")</f>
        <v/>
      </c>
      <c r="L173" s="35">
        <f>IFERROR(K173/G173,"")</f>
        <v/>
      </c>
      <c r="M173" s="34" t="n"/>
    </row>
    <row r="174">
      <c r="A174" s="33" t="n"/>
      <c r="B174" s="34" t="n"/>
      <c r="C174" s="7">
        <f>IFERROR(VLOOKUP(B174,'Recetas y precios'!$A$5:$B$54,2,FALSE),"")</f>
        <v/>
      </c>
      <c r="D174" s="34" t="n"/>
      <c r="E174" s="34" t="n"/>
      <c r="F174" s="34" t="n"/>
      <c r="G174" s="13">
        <f>IFERROR(E174*F174,"")</f>
        <v/>
      </c>
      <c r="H174" s="13">
        <f>IFERROR(E174*VLOOKUP(B174,'Recetas y precios'!$A$5:$P$54,16,FALSE),"")</f>
        <v/>
      </c>
      <c r="I174" s="34" t="n"/>
      <c r="J174" s="13">
        <f>IFERROR(I174*VLOOKUP(B174,'Recetas y precios'!$A$5:$P$54,16,FALSE),"")</f>
        <v/>
      </c>
      <c r="K174" s="13">
        <f>IFERROR(G174-H174,"")</f>
        <v/>
      </c>
      <c r="L174" s="35">
        <f>IFERROR(K174/G174,"")</f>
        <v/>
      </c>
      <c r="M174" s="34" t="n"/>
    </row>
    <row r="175">
      <c r="A175" s="33" t="n"/>
      <c r="B175" s="34" t="n"/>
      <c r="C175" s="7">
        <f>IFERROR(VLOOKUP(B175,'Recetas y precios'!$A$5:$B$54,2,FALSE),"")</f>
        <v/>
      </c>
      <c r="D175" s="34" t="n"/>
      <c r="E175" s="34" t="n"/>
      <c r="F175" s="34" t="n"/>
      <c r="G175" s="13">
        <f>IFERROR(E175*F175,"")</f>
        <v/>
      </c>
      <c r="H175" s="13">
        <f>IFERROR(E175*VLOOKUP(B175,'Recetas y precios'!$A$5:$P$54,16,FALSE),"")</f>
        <v/>
      </c>
      <c r="I175" s="34" t="n"/>
      <c r="J175" s="13">
        <f>IFERROR(I175*VLOOKUP(B175,'Recetas y precios'!$A$5:$P$54,16,FALSE),"")</f>
        <v/>
      </c>
      <c r="K175" s="13">
        <f>IFERROR(G175-H175,"")</f>
        <v/>
      </c>
      <c r="L175" s="35">
        <f>IFERROR(K175/G175,"")</f>
        <v/>
      </c>
      <c r="M175" s="34" t="n"/>
    </row>
    <row r="176">
      <c r="A176" s="33" t="n"/>
      <c r="B176" s="34" t="n"/>
      <c r="C176" s="7">
        <f>IFERROR(VLOOKUP(B176,'Recetas y precios'!$A$5:$B$54,2,FALSE),"")</f>
        <v/>
      </c>
      <c r="D176" s="34" t="n"/>
      <c r="E176" s="34" t="n"/>
      <c r="F176" s="34" t="n"/>
      <c r="G176" s="13">
        <f>IFERROR(E176*F176,"")</f>
        <v/>
      </c>
      <c r="H176" s="13">
        <f>IFERROR(E176*VLOOKUP(B176,'Recetas y precios'!$A$5:$P$54,16,FALSE),"")</f>
        <v/>
      </c>
      <c r="I176" s="34" t="n"/>
      <c r="J176" s="13">
        <f>IFERROR(I176*VLOOKUP(B176,'Recetas y precios'!$A$5:$P$54,16,FALSE),"")</f>
        <v/>
      </c>
      <c r="K176" s="13">
        <f>IFERROR(G176-H176,"")</f>
        <v/>
      </c>
      <c r="L176" s="35">
        <f>IFERROR(K176/G176,"")</f>
        <v/>
      </c>
      <c r="M176" s="34" t="n"/>
    </row>
    <row r="177">
      <c r="A177" s="33" t="n"/>
      <c r="B177" s="34" t="n"/>
      <c r="C177" s="7">
        <f>IFERROR(VLOOKUP(B177,'Recetas y precios'!$A$5:$B$54,2,FALSE),"")</f>
        <v/>
      </c>
      <c r="D177" s="34" t="n"/>
      <c r="E177" s="34" t="n"/>
      <c r="F177" s="34" t="n"/>
      <c r="G177" s="13">
        <f>IFERROR(E177*F177,"")</f>
        <v/>
      </c>
      <c r="H177" s="13">
        <f>IFERROR(E177*VLOOKUP(B177,'Recetas y precios'!$A$5:$P$54,16,FALSE),"")</f>
        <v/>
      </c>
      <c r="I177" s="34" t="n"/>
      <c r="J177" s="13">
        <f>IFERROR(I177*VLOOKUP(B177,'Recetas y precios'!$A$5:$P$54,16,FALSE),"")</f>
        <v/>
      </c>
      <c r="K177" s="13">
        <f>IFERROR(G177-H177,"")</f>
        <v/>
      </c>
      <c r="L177" s="35">
        <f>IFERROR(K177/G177,"")</f>
        <v/>
      </c>
      <c r="M177" s="34" t="n"/>
    </row>
    <row r="178">
      <c r="A178" s="33" t="n"/>
      <c r="B178" s="34" t="n"/>
      <c r="C178" s="7">
        <f>IFERROR(VLOOKUP(B178,'Recetas y precios'!$A$5:$B$54,2,FALSE),"")</f>
        <v/>
      </c>
      <c r="D178" s="34" t="n"/>
      <c r="E178" s="34" t="n"/>
      <c r="F178" s="34" t="n"/>
      <c r="G178" s="13">
        <f>IFERROR(E178*F178,"")</f>
        <v/>
      </c>
      <c r="H178" s="13">
        <f>IFERROR(E178*VLOOKUP(B178,'Recetas y precios'!$A$5:$P$54,16,FALSE),"")</f>
        <v/>
      </c>
      <c r="I178" s="34" t="n"/>
      <c r="J178" s="13">
        <f>IFERROR(I178*VLOOKUP(B178,'Recetas y precios'!$A$5:$P$54,16,FALSE),"")</f>
        <v/>
      </c>
      <c r="K178" s="13">
        <f>IFERROR(G178-H178,"")</f>
        <v/>
      </c>
      <c r="L178" s="35">
        <f>IFERROR(K178/G178,"")</f>
        <v/>
      </c>
      <c r="M178" s="34" t="n"/>
    </row>
    <row r="179">
      <c r="A179" s="33" t="n"/>
      <c r="B179" s="34" t="n"/>
      <c r="C179" s="7">
        <f>IFERROR(VLOOKUP(B179,'Recetas y precios'!$A$5:$B$54,2,FALSE),"")</f>
        <v/>
      </c>
      <c r="D179" s="34" t="n"/>
      <c r="E179" s="34" t="n"/>
      <c r="F179" s="34" t="n"/>
      <c r="G179" s="13">
        <f>IFERROR(E179*F179,"")</f>
        <v/>
      </c>
      <c r="H179" s="13">
        <f>IFERROR(E179*VLOOKUP(B179,'Recetas y precios'!$A$5:$P$54,16,FALSE),"")</f>
        <v/>
      </c>
      <c r="I179" s="34" t="n"/>
      <c r="J179" s="13">
        <f>IFERROR(I179*VLOOKUP(B179,'Recetas y precios'!$A$5:$P$54,16,FALSE),"")</f>
        <v/>
      </c>
      <c r="K179" s="13">
        <f>IFERROR(G179-H179,"")</f>
        <v/>
      </c>
      <c r="L179" s="35">
        <f>IFERROR(K179/G179,"")</f>
        <v/>
      </c>
      <c r="M179" s="34" t="n"/>
    </row>
    <row r="180">
      <c r="A180" s="33" t="n"/>
      <c r="B180" s="34" t="n"/>
      <c r="C180" s="7">
        <f>IFERROR(VLOOKUP(B180,'Recetas y precios'!$A$5:$B$54,2,FALSE),"")</f>
        <v/>
      </c>
      <c r="D180" s="34" t="n"/>
      <c r="E180" s="34" t="n"/>
      <c r="F180" s="34" t="n"/>
      <c r="G180" s="13">
        <f>IFERROR(E180*F180,"")</f>
        <v/>
      </c>
      <c r="H180" s="13">
        <f>IFERROR(E180*VLOOKUP(B180,'Recetas y precios'!$A$5:$P$54,16,FALSE),"")</f>
        <v/>
      </c>
      <c r="I180" s="34" t="n"/>
      <c r="J180" s="13">
        <f>IFERROR(I180*VLOOKUP(B180,'Recetas y precios'!$A$5:$P$54,16,FALSE),"")</f>
        <v/>
      </c>
      <c r="K180" s="13">
        <f>IFERROR(G180-H180,"")</f>
        <v/>
      </c>
      <c r="L180" s="35">
        <f>IFERROR(K180/G180,"")</f>
        <v/>
      </c>
      <c r="M180" s="34" t="n"/>
    </row>
    <row r="181">
      <c r="A181" s="33" t="n"/>
      <c r="B181" s="34" t="n"/>
      <c r="C181" s="7">
        <f>IFERROR(VLOOKUP(B181,'Recetas y precios'!$A$5:$B$54,2,FALSE),"")</f>
        <v/>
      </c>
      <c r="D181" s="34" t="n"/>
      <c r="E181" s="34" t="n"/>
      <c r="F181" s="34" t="n"/>
      <c r="G181" s="13">
        <f>IFERROR(E181*F181,"")</f>
        <v/>
      </c>
      <c r="H181" s="13">
        <f>IFERROR(E181*VLOOKUP(B181,'Recetas y precios'!$A$5:$P$54,16,FALSE),"")</f>
        <v/>
      </c>
      <c r="I181" s="34" t="n"/>
      <c r="J181" s="13">
        <f>IFERROR(I181*VLOOKUP(B181,'Recetas y precios'!$A$5:$P$54,16,FALSE),"")</f>
        <v/>
      </c>
      <c r="K181" s="13">
        <f>IFERROR(G181-H181,"")</f>
        <v/>
      </c>
      <c r="L181" s="35">
        <f>IFERROR(K181/G181,"")</f>
        <v/>
      </c>
      <c r="M181" s="34" t="n"/>
    </row>
    <row r="182">
      <c r="A182" s="33" t="n"/>
      <c r="B182" s="34" t="n"/>
      <c r="C182" s="7">
        <f>IFERROR(VLOOKUP(B182,'Recetas y precios'!$A$5:$B$54,2,FALSE),"")</f>
        <v/>
      </c>
      <c r="D182" s="34" t="n"/>
      <c r="E182" s="34" t="n"/>
      <c r="F182" s="34" t="n"/>
      <c r="G182" s="13">
        <f>IFERROR(E182*F182,"")</f>
        <v/>
      </c>
      <c r="H182" s="13">
        <f>IFERROR(E182*VLOOKUP(B182,'Recetas y precios'!$A$5:$P$54,16,FALSE),"")</f>
        <v/>
      </c>
      <c r="I182" s="34" t="n"/>
      <c r="J182" s="13">
        <f>IFERROR(I182*VLOOKUP(B182,'Recetas y precios'!$A$5:$P$54,16,FALSE),"")</f>
        <v/>
      </c>
      <c r="K182" s="13">
        <f>IFERROR(G182-H182,"")</f>
        <v/>
      </c>
      <c r="L182" s="35">
        <f>IFERROR(K182/G182,"")</f>
        <v/>
      </c>
      <c r="M182" s="34" t="n"/>
    </row>
    <row r="183">
      <c r="A183" s="33" t="n"/>
      <c r="B183" s="34" t="n"/>
      <c r="C183" s="7">
        <f>IFERROR(VLOOKUP(B183,'Recetas y precios'!$A$5:$B$54,2,FALSE),"")</f>
        <v/>
      </c>
      <c r="D183" s="34" t="n"/>
      <c r="E183" s="34" t="n"/>
      <c r="F183" s="34" t="n"/>
      <c r="G183" s="13">
        <f>IFERROR(E183*F183,"")</f>
        <v/>
      </c>
      <c r="H183" s="13">
        <f>IFERROR(E183*VLOOKUP(B183,'Recetas y precios'!$A$5:$P$54,16,FALSE),"")</f>
        <v/>
      </c>
      <c r="I183" s="34" t="n"/>
      <c r="J183" s="13">
        <f>IFERROR(I183*VLOOKUP(B183,'Recetas y precios'!$A$5:$P$54,16,FALSE),"")</f>
        <v/>
      </c>
      <c r="K183" s="13">
        <f>IFERROR(G183-H183,"")</f>
        <v/>
      </c>
      <c r="L183" s="35">
        <f>IFERROR(K183/G183,"")</f>
        <v/>
      </c>
      <c r="M183" s="34" t="n"/>
    </row>
    <row r="184">
      <c r="A184" s="33" t="n"/>
      <c r="B184" s="34" t="n"/>
      <c r="C184" s="7">
        <f>IFERROR(VLOOKUP(B184,'Recetas y precios'!$A$5:$B$54,2,FALSE),"")</f>
        <v/>
      </c>
      <c r="D184" s="34" t="n"/>
      <c r="E184" s="34" t="n"/>
      <c r="F184" s="34" t="n"/>
      <c r="G184" s="13">
        <f>IFERROR(E184*F184,"")</f>
        <v/>
      </c>
      <c r="H184" s="13">
        <f>IFERROR(E184*VLOOKUP(B184,'Recetas y precios'!$A$5:$P$54,16,FALSE),"")</f>
        <v/>
      </c>
      <c r="I184" s="34" t="n"/>
      <c r="J184" s="13">
        <f>IFERROR(I184*VLOOKUP(B184,'Recetas y precios'!$A$5:$P$54,16,FALSE),"")</f>
        <v/>
      </c>
      <c r="K184" s="13">
        <f>IFERROR(G184-H184,"")</f>
        <v/>
      </c>
      <c r="L184" s="35">
        <f>IFERROR(K184/G184,"")</f>
        <v/>
      </c>
      <c r="M184" s="34" t="n"/>
    </row>
    <row r="185">
      <c r="A185" s="33" t="n"/>
      <c r="B185" s="34" t="n"/>
      <c r="C185" s="7">
        <f>IFERROR(VLOOKUP(B185,'Recetas y precios'!$A$5:$B$54,2,FALSE),"")</f>
        <v/>
      </c>
      <c r="D185" s="34" t="n"/>
      <c r="E185" s="34" t="n"/>
      <c r="F185" s="34" t="n"/>
      <c r="G185" s="13">
        <f>IFERROR(E185*F185,"")</f>
        <v/>
      </c>
      <c r="H185" s="13">
        <f>IFERROR(E185*VLOOKUP(B185,'Recetas y precios'!$A$5:$P$54,16,FALSE),"")</f>
        <v/>
      </c>
      <c r="I185" s="34" t="n"/>
      <c r="J185" s="13">
        <f>IFERROR(I185*VLOOKUP(B185,'Recetas y precios'!$A$5:$P$54,16,FALSE),"")</f>
        <v/>
      </c>
      <c r="K185" s="13">
        <f>IFERROR(G185-H185,"")</f>
        <v/>
      </c>
      <c r="L185" s="35">
        <f>IFERROR(K185/G185,"")</f>
        <v/>
      </c>
      <c r="M185" s="34" t="n"/>
    </row>
    <row r="186">
      <c r="A186" s="33" t="n"/>
      <c r="B186" s="34" t="n"/>
      <c r="C186" s="7">
        <f>IFERROR(VLOOKUP(B186,'Recetas y precios'!$A$5:$B$54,2,FALSE),"")</f>
        <v/>
      </c>
      <c r="D186" s="34" t="n"/>
      <c r="E186" s="34" t="n"/>
      <c r="F186" s="34" t="n"/>
      <c r="G186" s="13">
        <f>IFERROR(E186*F186,"")</f>
        <v/>
      </c>
      <c r="H186" s="13">
        <f>IFERROR(E186*VLOOKUP(B186,'Recetas y precios'!$A$5:$P$54,16,FALSE),"")</f>
        <v/>
      </c>
      <c r="I186" s="34" t="n"/>
      <c r="J186" s="13">
        <f>IFERROR(I186*VLOOKUP(B186,'Recetas y precios'!$A$5:$P$54,16,FALSE),"")</f>
        <v/>
      </c>
      <c r="K186" s="13">
        <f>IFERROR(G186-H186,"")</f>
        <v/>
      </c>
      <c r="L186" s="35">
        <f>IFERROR(K186/G186,"")</f>
        <v/>
      </c>
      <c r="M186" s="34" t="n"/>
    </row>
    <row r="187">
      <c r="A187" s="33" t="n"/>
      <c r="B187" s="34" t="n"/>
      <c r="C187" s="7">
        <f>IFERROR(VLOOKUP(B187,'Recetas y precios'!$A$5:$B$54,2,FALSE),"")</f>
        <v/>
      </c>
      <c r="D187" s="34" t="n"/>
      <c r="E187" s="34" t="n"/>
      <c r="F187" s="34" t="n"/>
      <c r="G187" s="13">
        <f>IFERROR(E187*F187,"")</f>
        <v/>
      </c>
      <c r="H187" s="13">
        <f>IFERROR(E187*VLOOKUP(B187,'Recetas y precios'!$A$5:$P$54,16,FALSE),"")</f>
        <v/>
      </c>
      <c r="I187" s="34" t="n"/>
      <c r="J187" s="13">
        <f>IFERROR(I187*VLOOKUP(B187,'Recetas y precios'!$A$5:$P$54,16,FALSE),"")</f>
        <v/>
      </c>
      <c r="K187" s="13">
        <f>IFERROR(G187-H187,"")</f>
        <v/>
      </c>
      <c r="L187" s="35">
        <f>IFERROR(K187/G187,"")</f>
        <v/>
      </c>
      <c r="M187" s="34" t="n"/>
    </row>
    <row r="188">
      <c r="A188" s="33" t="n"/>
      <c r="B188" s="34" t="n"/>
      <c r="C188" s="7">
        <f>IFERROR(VLOOKUP(B188,'Recetas y precios'!$A$5:$B$54,2,FALSE),"")</f>
        <v/>
      </c>
      <c r="D188" s="34" t="n"/>
      <c r="E188" s="34" t="n"/>
      <c r="F188" s="34" t="n"/>
      <c r="G188" s="13">
        <f>IFERROR(E188*F188,"")</f>
        <v/>
      </c>
      <c r="H188" s="13">
        <f>IFERROR(E188*VLOOKUP(B188,'Recetas y precios'!$A$5:$P$54,16,FALSE),"")</f>
        <v/>
      </c>
      <c r="I188" s="34" t="n"/>
      <c r="J188" s="13">
        <f>IFERROR(I188*VLOOKUP(B188,'Recetas y precios'!$A$5:$P$54,16,FALSE),"")</f>
        <v/>
      </c>
      <c r="K188" s="13">
        <f>IFERROR(G188-H188,"")</f>
        <v/>
      </c>
      <c r="L188" s="35">
        <f>IFERROR(K188/G188,"")</f>
        <v/>
      </c>
      <c r="M188" s="34" t="n"/>
    </row>
    <row r="189">
      <c r="A189" s="33" t="n"/>
      <c r="B189" s="34" t="n"/>
      <c r="C189" s="7">
        <f>IFERROR(VLOOKUP(B189,'Recetas y precios'!$A$5:$B$54,2,FALSE),"")</f>
        <v/>
      </c>
      <c r="D189" s="34" t="n"/>
      <c r="E189" s="34" t="n"/>
      <c r="F189" s="34" t="n"/>
      <c r="G189" s="13">
        <f>IFERROR(E189*F189,"")</f>
        <v/>
      </c>
      <c r="H189" s="13">
        <f>IFERROR(E189*VLOOKUP(B189,'Recetas y precios'!$A$5:$P$54,16,FALSE),"")</f>
        <v/>
      </c>
      <c r="I189" s="34" t="n"/>
      <c r="J189" s="13">
        <f>IFERROR(I189*VLOOKUP(B189,'Recetas y precios'!$A$5:$P$54,16,FALSE),"")</f>
        <v/>
      </c>
      <c r="K189" s="13">
        <f>IFERROR(G189-H189,"")</f>
        <v/>
      </c>
      <c r="L189" s="35">
        <f>IFERROR(K189/G189,"")</f>
        <v/>
      </c>
      <c r="M189" s="34" t="n"/>
    </row>
    <row r="190">
      <c r="A190" s="33" t="n"/>
      <c r="B190" s="34" t="n"/>
      <c r="C190" s="7">
        <f>IFERROR(VLOOKUP(B190,'Recetas y precios'!$A$5:$B$54,2,FALSE),"")</f>
        <v/>
      </c>
      <c r="D190" s="34" t="n"/>
      <c r="E190" s="34" t="n"/>
      <c r="F190" s="34" t="n"/>
      <c r="G190" s="13">
        <f>IFERROR(E190*F190,"")</f>
        <v/>
      </c>
      <c r="H190" s="13">
        <f>IFERROR(E190*VLOOKUP(B190,'Recetas y precios'!$A$5:$P$54,16,FALSE),"")</f>
        <v/>
      </c>
      <c r="I190" s="34" t="n"/>
      <c r="J190" s="13">
        <f>IFERROR(I190*VLOOKUP(B190,'Recetas y precios'!$A$5:$P$54,16,FALSE),"")</f>
        <v/>
      </c>
      <c r="K190" s="13">
        <f>IFERROR(G190-H190,"")</f>
        <v/>
      </c>
      <c r="L190" s="35">
        <f>IFERROR(K190/G190,"")</f>
        <v/>
      </c>
      <c r="M190" s="34" t="n"/>
    </row>
    <row r="191">
      <c r="A191" s="33" t="n"/>
      <c r="B191" s="34" t="n"/>
      <c r="C191" s="7">
        <f>IFERROR(VLOOKUP(B191,'Recetas y precios'!$A$5:$B$54,2,FALSE),"")</f>
        <v/>
      </c>
      <c r="D191" s="34" t="n"/>
      <c r="E191" s="34" t="n"/>
      <c r="F191" s="34" t="n"/>
      <c r="G191" s="13">
        <f>IFERROR(E191*F191,"")</f>
        <v/>
      </c>
      <c r="H191" s="13">
        <f>IFERROR(E191*VLOOKUP(B191,'Recetas y precios'!$A$5:$P$54,16,FALSE),"")</f>
        <v/>
      </c>
      <c r="I191" s="34" t="n"/>
      <c r="J191" s="13">
        <f>IFERROR(I191*VLOOKUP(B191,'Recetas y precios'!$A$5:$P$54,16,FALSE),"")</f>
        <v/>
      </c>
      <c r="K191" s="13">
        <f>IFERROR(G191-H191,"")</f>
        <v/>
      </c>
      <c r="L191" s="35">
        <f>IFERROR(K191/G191,"")</f>
        <v/>
      </c>
      <c r="M191" s="34" t="n"/>
    </row>
    <row r="192">
      <c r="A192" s="33" t="n"/>
      <c r="B192" s="34" t="n"/>
      <c r="C192" s="7">
        <f>IFERROR(VLOOKUP(B192,'Recetas y precios'!$A$5:$B$54,2,FALSE),"")</f>
        <v/>
      </c>
      <c r="D192" s="34" t="n"/>
      <c r="E192" s="34" t="n"/>
      <c r="F192" s="34" t="n"/>
      <c r="G192" s="13">
        <f>IFERROR(E192*F192,"")</f>
        <v/>
      </c>
      <c r="H192" s="13">
        <f>IFERROR(E192*VLOOKUP(B192,'Recetas y precios'!$A$5:$P$54,16,FALSE),"")</f>
        <v/>
      </c>
      <c r="I192" s="34" t="n"/>
      <c r="J192" s="13">
        <f>IFERROR(I192*VLOOKUP(B192,'Recetas y precios'!$A$5:$P$54,16,FALSE),"")</f>
        <v/>
      </c>
      <c r="K192" s="13">
        <f>IFERROR(G192-H192,"")</f>
        <v/>
      </c>
      <c r="L192" s="35">
        <f>IFERROR(K192/G192,"")</f>
        <v/>
      </c>
      <c r="M192" s="34" t="n"/>
    </row>
    <row r="193">
      <c r="A193" s="33" t="n"/>
      <c r="B193" s="34" t="n"/>
      <c r="C193" s="7">
        <f>IFERROR(VLOOKUP(B193,'Recetas y precios'!$A$5:$B$54,2,FALSE),"")</f>
        <v/>
      </c>
      <c r="D193" s="34" t="n"/>
      <c r="E193" s="34" t="n"/>
      <c r="F193" s="34" t="n"/>
      <c r="G193" s="13">
        <f>IFERROR(E193*F193,"")</f>
        <v/>
      </c>
      <c r="H193" s="13">
        <f>IFERROR(E193*VLOOKUP(B193,'Recetas y precios'!$A$5:$P$54,16,FALSE),"")</f>
        <v/>
      </c>
      <c r="I193" s="34" t="n"/>
      <c r="J193" s="13">
        <f>IFERROR(I193*VLOOKUP(B193,'Recetas y precios'!$A$5:$P$54,16,FALSE),"")</f>
        <v/>
      </c>
      <c r="K193" s="13">
        <f>IFERROR(G193-H193,"")</f>
        <v/>
      </c>
      <c r="L193" s="35">
        <f>IFERROR(K193/G193,"")</f>
        <v/>
      </c>
      <c r="M193" s="34" t="n"/>
    </row>
    <row r="194">
      <c r="A194" s="33" t="n"/>
      <c r="B194" s="34" t="n"/>
      <c r="C194" s="7">
        <f>IFERROR(VLOOKUP(B194,'Recetas y precios'!$A$5:$B$54,2,FALSE),"")</f>
        <v/>
      </c>
      <c r="D194" s="34" t="n"/>
      <c r="E194" s="34" t="n"/>
      <c r="F194" s="34" t="n"/>
      <c r="G194" s="13">
        <f>IFERROR(E194*F194,"")</f>
        <v/>
      </c>
      <c r="H194" s="13">
        <f>IFERROR(E194*VLOOKUP(B194,'Recetas y precios'!$A$5:$P$54,16,FALSE),"")</f>
        <v/>
      </c>
      <c r="I194" s="34" t="n"/>
      <c r="J194" s="13">
        <f>IFERROR(I194*VLOOKUP(B194,'Recetas y precios'!$A$5:$P$54,16,FALSE),"")</f>
        <v/>
      </c>
      <c r="K194" s="13">
        <f>IFERROR(G194-H194,"")</f>
        <v/>
      </c>
      <c r="L194" s="35">
        <f>IFERROR(K194/G194,"")</f>
        <v/>
      </c>
      <c r="M194" s="34" t="n"/>
    </row>
    <row r="195">
      <c r="A195" s="33" t="n"/>
      <c r="B195" s="34" t="n"/>
      <c r="C195" s="7">
        <f>IFERROR(VLOOKUP(B195,'Recetas y precios'!$A$5:$B$54,2,FALSE),"")</f>
        <v/>
      </c>
      <c r="D195" s="34" t="n"/>
      <c r="E195" s="34" t="n"/>
      <c r="F195" s="34" t="n"/>
      <c r="G195" s="13">
        <f>IFERROR(E195*F195,"")</f>
        <v/>
      </c>
      <c r="H195" s="13">
        <f>IFERROR(E195*VLOOKUP(B195,'Recetas y precios'!$A$5:$P$54,16,FALSE),"")</f>
        <v/>
      </c>
      <c r="I195" s="34" t="n"/>
      <c r="J195" s="13">
        <f>IFERROR(I195*VLOOKUP(B195,'Recetas y precios'!$A$5:$P$54,16,FALSE),"")</f>
        <v/>
      </c>
      <c r="K195" s="13">
        <f>IFERROR(G195-H195,"")</f>
        <v/>
      </c>
      <c r="L195" s="35">
        <f>IFERROR(K195/G195,"")</f>
        <v/>
      </c>
      <c r="M195" s="34" t="n"/>
    </row>
    <row r="196">
      <c r="A196" s="33" t="n"/>
      <c r="B196" s="34" t="n"/>
      <c r="C196" s="7">
        <f>IFERROR(VLOOKUP(B196,'Recetas y precios'!$A$5:$B$54,2,FALSE),"")</f>
        <v/>
      </c>
      <c r="D196" s="34" t="n"/>
      <c r="E196" s="34" t="n"/>
      <c r="F196" s="34" t="n"/>
      <c r="G196" s="13">
        <f>IFERROR(E196*F196,"")</f>
        <v/>
      </c>
      <c r="H196" s="13">
        <f>IFERROR(E196*VLOOKUP(B196,'Recetas y precios'!$A$5:$P$54,16,FALSE),"")</f>
        <v/>
      </c>
      <c r="I196" s="34" t="n"/>
      <c r="J196" s="13">
        <f>IFERROR(I196*VLOOKUP(B196,'Recetas y precios'!$A$5:$P$54,16,FALSE),"")</f>
        <v/>
      </c>
      <c r="K196" s="13">
        <f>IFERROR(G196-H196,"")</f>
        <v/>
      </c>
      <c r="L196" s="35">
        <f>IFERROR(K196/G196,"")</f>
        <v/>
      </c>
      <c r="M196" s="34" t="n"/>
    </row>
    <row r="197">
      <c r="A197" s="33" t="n"/>
      <c r="B197" s="34" t="n"/>
      <c r="C197" s="7">
        <f>IFERROR(VLOOKUP(B197,'Recetas y precios'!$A$5:$B$54,2,FALSE),"")</f>
        <v/>
      </c>
      <c r="D197" s="34" t="n"/>
      <c r="E197" s="34" t="n"/>
      <c r="F197" s="34" t="n"/>
      <c r="G197" s="13">
        <f>IFERROR(E197*F197,"")</f>
        <v/>
      </c>
      <c r="H197" s="13">
        <f>IFERROR(E197*VLOOKUP(B197,'Recetas y precios'!$A$5:$P$54,16,FALSE),"")</f>
        <v/>
      </c>
      <c r="I197" s="34" t="n"/>
      <c r="J197" s="13">
        <f>IFERROR(I197*VLOOKUP(B197,'Recetas y precios'!$A$5:$P$54,16,FALSE),"")</f>
        <v/>
      </c>
      <c r="K197" s="13">
        <f>IFERROR(G197-H197,"")</f>
        <v/>
      </c>
      <c r="L197" s="35">
        <f>IFERROR(K197/G197,"")</f>
        <v/>
      </c>
      <c r="M197" s="34" t="n"/>
    </row>
    <row r="198">
      <c r="A198" s="33" t="n"/>
      <c r="B198" s="34" t="n"/>
      <c r="C198" s="7">
        <f>IFERROR(VLOOKUP(B198,'Recetas y precios'!$A$5:$B$54,2,FALSE),"")</f>
        <v/>
      </c>
      <c r="D198" s="34" t="n"/>
      <c r="E198" s="34" t="n"/>
      <c r="F198" s="34" t="n"/>
      <c r="G198" s="13">
        <f>IFERROR(E198*F198,"")</f>
        <v/>
      </c>
      <c r="H198" s="13">
        <f>IFERROR(E198*VLOOKUP(B198,'Recetas y precios'!$A$5:$P$54,16,FALSE),"")</f>
        <v/>
      </c>
      <c r="I198" s="34" t="n"/>
      <c r="J198" s="13">
        <f>IFERROR(I198*VLOOKUP(B198,'Recetas y precios'!$A$5:$P$54,16,FALSE),"")</f>
        <v/>
      </c>
      <c r="K198" s="13">
        <f>IFERROR(G198-H198,"")</f>
        <v/>
      </c>
      <c r="L198" s="35">
        <f>IFERROR(K198/G198,"")</f>
        <v/>
      </c>
      <c r="M198" s="34" t="n"/>
    </row>
    <row r="199">
      <c r="A199" s="33" t="n"/>
      <c r="B199" s="34" t="n"/>
      <c r="C199" s="7">
        <f>IFERROR(VLOOKUP(B199,'Recetas y precios'!$A$5:$B$54,2,FALSE),"")</f>
        <v/>
      </c>
      <c r="D199" s="34" t="n"/>
      <c r="E199" s="34" t="n"/>
      <c r="F199" s="34" t="n"/>
      <c r="G199" s="13">
        <f>IFERROR(E199*F199,"")</f>
        <v/>
      </c>
      <c r="H199" s="13">
        <f>IFERROR(E199*VLOOKUP(B199,'Recetas y precios'!$A$5:$P$54,16,FALSE),"")</f>
        <v/>
      </c>
      <c r="I199" s="34" t="n"/>
      <c r="J199" s="13">
        <f>IFERROR(I199*VLOOKUP(B199,'Recetas y precios'!$A$5:$P$54,16,FALSE),"")</f>
        <v/>
      </c>
      <c r="K199" s="13">
        <f>IFERROR(G199-H199,"")</f>
        <v/>
      </c>
      <c r="L199" s="35">
        <f>IFERROR(K199/G199,"")</f>
        <v/>
      </c>
      <c r="M199" s="34" t="n"/>
    </row>
    <row r="200">
      <c r="A200" s="33" t="n"/>
      <c r="B200" s="34" t="n"/>
      <c r="C200" s="7">
        <f>IFERROR(VLOOKUP(B200,'Recetas y precios'!$A$5:$B$54,2,FALSE),"")</f>
        <v/>
      </c>
      <c r="D200" s="34" t="n"/>
      <c r="E200" s="34" t="n"/>
      <c r="F200" s="34" t="n"/>
      <c r="G200" s="13">
        <f>IFERROR(E200*F200,"")</f>
        <v/>
      </c>
      <c r="H200" s="13">
        <f>IFERROR(E200*VLOOKUP(B200,'Recetas y precios'!$A$5:$P$54,16,FALSE),"")</f>
        <v/>
      </c>
      <c r="I200" s="34" t="n"/>
      <c r="J200" s="13">
        <f>IFERROR(I200*VLOOKUP(B200,'Recetas y precios'!$A$5:$P$54,16,FALSE),"")</f>
        <v/>
      </c>
      <c r="K200" s="13">
        <f>IFERROR(G200-H200,"")</f>
        <v/>
      </c>
      <c r="L200" s="35">
        <f>IFERROR(K200/G200,"")</f>
        <v/>
      </c>
      <c r="M200" s="34" t="n"/>
    </row>
    <row r="201">
      <c r="A201" s="33" t="n"/>
      <c r="B201" s="34" t="n"/>
      <c r="C201" s="7">
        <f>IFERROR(VLOOKUP(B201,'Recetas y precios'!$A$5:$B$54,2,FALSE),"")</f>
        <v/>
      </c>
      <c r="D201" s="34" t="n"/>
      <c r="E201" s="34" t="n"/>
      <c r="F201" s="34" t="n"/>
      <c r="G201" s="13">
        <f>IFERROR(E201*F201,"")</f>
        <v/>
      </c>
      <c r="H201" s="13">
        <f>IFERROR(E201*VLOOKUP(B201,'Recetas y precios'!$A$5:$P$54,16,FALSE),"")</f>
        <v/>
      </c>
      <c r="I201" s="34" t="n"/>
      <c r="J201" s="13">
        <f>IFERROR(I201*VLOOKUP(B201,'Recetas y precios'!$A$5:$P$54,16,FALSE),"")</f>
        <v/>
      </c>
      <c r="K201" s="13">
        <f>IFERROR(G201-H201,"")</f>
        <v/>
      </c>
      <c r="L201" s="35">
        <f>IFERROR(K201/G201,"")</f>
        <v/>
      </c>
      <c r="M201" s="34" t="n"/>
    </row>
    <row r="202">
      <c r="A202" s="33" t="n"/>
      <c r="B202" s="34" t="n"/>
      <c r="C202" s="7">
        <f>IFERROR(VLOOKUP(B202,'Recetas y precios'!$A$5:$B$54,2,FALSE),"")</f>
        <v/>
      </c>
      <c r="D202" s="34" t="n"/>
      <c r="E202" s="34" t="n"/>
      <c r="F202" s="34" t="n"/>
      <c r="G202" s="13">
        <f>IFERROR(E202*F202,"")</f>
        <v/>
      </c>
      <c r="H202" s="13">
        <f>IFERROR(E202*VLOOKUP(B202,'Recetas y precios'!$A$5:$P$54,16,FALSE),"")</f>
        <v/>
      </c>
      <c r="I202" s="34" t="n"/>
      <c r="J202" s="13">
        <f>IFERROR(I202*VLOOKUP(B202,'Recetas y precios'!$A$5:$P$54,16,FALSE),"")</f>
        <v/>
      </c>
      <c r="K202" s="13">
        <f>IFERROR(G202-H202,"")</f>
        <v/>
      </c>
      <c r="L202" s="35">
        <f>IFERROR(K202/G202,"")</f>
        <v/>
      </c>
      <c r="M202" s="34" t="n"/>
    </row>
    <row r="203">
      <c r="A203" s="33" t="n"/>
      <c r="B203" s="34" t="n"/>
      <c r="C203" s="7">
        <f>IFERROR(VLOOKUP(B203,'Recetas y precios'!$A$5:$B$54,2,FALSE),"")</f>
        <v/>
      </c>
      <c r="D203" s="34" t="n"/>
      <c r="E203" s="34" t="n"/>
      <c r="F203" s="34" t="n"/>
      <c r="G203" s="13">
        <f>IFERROR(E203*F203,"")</f>
        <v/>
      </c>
      <c r="H203" s="13">
        <f>IFERROR(E203*VLOOKUP(B203,'Recetas y precios'!$A$5:$P$54,16,FALSE),"")</f>
        <v/>
      </c>
      <c r="I203" s="34" t="n"/>
      <c r="J203" s="13">
        <f>IFERROR(I203*VLOOKUP(B203,'Recetas y precios'!$A$5:$P$54,16,FALSE),"")</f>
        <v/>
      </c>
      <c r="K203" s="13">
        <f>IFERROR(G203-H203,"")</f>
        <v/>
      </c>
      <c r="L203" s="35">
        <f>IFERROR(K203/G203,"")</f>
        <v/>
      </c>
      <c r="M203" s="34" t="n"/>
    </row>
    <row r="204">
      <c r="A204" s="33" t="n"/>
      <c r="B204" s="34" t="n"/>
      <c r="C204" s="7">
        <f>IFERROR(VLOOKUP(B204,'Recetas y precios'!$A$5:$B$54,2,FALSE),"")</f>
        <v/>
      </c>
      <c r="D204" s="34" t="n"/>
      <c r="E204" s="34" t="n"/>
      <c r="F204" s="34" t="n"/>
      <c r="G204" s="13">
        <f>IFERROR(E204*F204,"")</f>
        <v/>
      </c>
      <c r="H204" s="13">
        <f>IFERROR(E204*VLOOKUP(B204,'Recetas y precios'!$A$5:$P$54,16,FALSE),"")</f>
        <v/>
      </c>
      <c r="I204" s="34" t="n"/>
      <c r="J204" s="13">
        <f>IFERROR(I204*VLOOKUP(B204,'Recetas y precios'!$A$5:$P$54,16,FALSE),"")</f>
        <v/>
      </c>
      <c r="K204" s="13">
        <f>IFERROR(G204-H204,"")</f>
        <v/>
      </c>
      <c r="L204" s="35">
        <f>IFERROR(K204/G204,"")</f>
        <v/>
      </c>
      <c r="M204" s="34" t="n"/>
    </row>
    <row r="205">
      <c r="A205" s="33" t="n"/>
      <c r="B205" s="34" t="n"/>
      <c r="C205" s="7">
        <f>IFERROR(VLOOKUP(B205,'Recetas y precios'!$A$5:$B$54,2,FALSE),"")</f>
        <v/>
      </c>
      <c r="D205" s="34" t="n"/>
      <c r="E205" s="34" t="n"/>
      <c r="F205" s="34" t="n"/>
      <c r="G205" s="13">
        <f>IFERROR(E205*F205,"")</f>
        <v/>
      </c>
      <c r="H205" s="13">
        <f>IFERROR(E205*VLOOKUP(B205,'Recetas y precios'!$A$5:$P$54,16,FALSE),"")</f>
        <v/>
      </c>
      <c r="I205" s="34" t="n"/>
      <c r="J205" s="13">
        <f>IFERROR(I205*VLOOKUP(B205,'Recetas y precios'!$A$5:$P$54,16,FALSE),"")</f>
        <v/>
      </c>
      <c r="K205" s="13">
        <f>IFERROR(G205-H205,"")</f>
        <v/>
      </c>
      <c r="L205" s="35">
        <f>IFERROR(K205/G205,"")</f>
        <v/>
      </c>
      <c r="M205" s="34" t="n"/>
    </row>
    <row r="206">
      <c r="A206" s="33" t="n"/>
      <c r="B206" s="34" t="n"/>
      <c r="C206" s="7">
        <f>IFERROR(VLOOKUP(B206,'Recetas y precios'!$A$5:$B$54,2,FALSE),"")</f>
        <v/>
      </c>
      <c r="D206" s="34" t="n"/>
      <c r="E206" s="34" t="n"/>
      <c r="F206" s="34" t="n"/>
      <c r="G206" s="13">
        <f>IFERROR(E206*F206,"")</f>
        <v/>
      </c>
      <c r="H206" s="13">
        <f>IFERROR(E206*VLOOKUP(B206,'Recetas y precios'!$A$5:$P$54,16,FALSE),"")</f>
        <v/>
      </c>
      <c r="I206" s="34" t="n"/>
      <c r="J206" s="13">
        <f>IFERROR(I206*VLOOKUP(B206,'Recetas y precios'!$A$5:$P$54,16,FALSE),"")</f>
        <v/>
      </c>
      <c r="K206" s="13">
        <f>IFERROR(G206-H206,"")</f>
        <v/>
      </c>
      <c r="L206" s="35">
        <f>IFERROR(K206/G206,"")</f>
        <v/>
      </c>
      <c r="M206" s="34" t="n"/>
    </row>
    <row r="207">
      <c r="A207" s="33" t="n"/>
      <c r="B207" s="34" t="n"/>
      <c r="C207" s="7">
        <f>IFERROR(VLOOKUP(B207,'Recetas y precios'!$A$5:$B$54,2,FALSE),"")</f>
        <v/>
      </c>
      <c r="D207" s="34" t="n"/>
      <c r="E207" s="34" t="n"/>
      <c r="F207" s="34" t="n"/>
      <c r="G207" s="13">
        <f>IFERROR(E207*F207,"")</f>
        <v/>
      </c>
      <c r="H207" s="13">
        <f>IFERROR(E207*VLOOKUP(B207,'Recetas y precios'!$A$5:$P$54,16,FALSE),"")</f>
        <v/>
      </c>
      <c r="I207" s="34" t="n"/>
      <c r="J207" s="13">
        <f>IFERROR(I207*VLOOKUP(B207,'Recetas y precios'!$A$5:$P$54,16,FALSE),"")</f>
        <v/>
      </c>
      <c r="K207" s="13">
        <f>IFERROR(G207-H207,"")</f>
        <v/>
      </c>
      <c r="L207" s="35">
        <f>IFERROR(K207/G207,"")</f>
        <v/>
      </c>
      <c r="M207" s="34" t="n"/>
    </row>
    <row r="208">
      <c r="A208" s="33" t="n"/>
      <c r="B208" s="34" t="n"/>
      <c r="C208" s="7">
        <f>IFERROR(VLOOKUP(B208,'Recetas y precios'!$A$5:$B$54,2,FALSE),"")</f>
        <v/>
      </c>
      <c r="D208" s="34" t="n"/>
      <c r="E208" s="34" t="n"/>
      <c r="F208" s="34" t="n"/>
      <c r="G208" s="13">
        <f>IFERROR(E208*F208,"")</f>
        <v/>
      </c>
      <c r="H208" s="13">
        <f>IFERROR(E208*VLOOKUP(B208,'Recetas y precios'!$A$5:$P$54,16,FALSE),"")</f>
        <v/>
      </c>
      <c r="I208" s="34" t="n"/>
      <c r="J208" s="13">
        <f>IFERROR(I208*VLOOKUP(B208,'Recetas y precios'!$A$5:$P$54,16,FALSE),"")</f>
        <v/>
      </c>
      <c r="K208" s="13">
        <f>IFERROR(G208-H208,"")</f>
        <v/>
      </c>
      <c r="L208" s="35">
        <f>IFERROR(K208/G208,"")</f>
        <v/>
      </c>
      <c r="M208" s="34" t="n"/>
    </row>
    <row r="209">
      <c r="A209" s="33" t="n"/>
      <c r="B209" s="34" t="n"/>
      <c r="C209" s="7">
        <f>IFERROR(VLOOKUP(B209,'Recetas y precios'!$A$5:$B$54,2,FALSE),"")</f>
        <v/>
      </c>
      <c r="D209" s="34" t="n"/>
      <c r="E209" s="34" t="n"/>
      <c r="F209" s="34" t="n"/>
      <c r="G209" s="13">
        <f>IFERROR(E209*F209,"")</f>
        <v/>
      </c>
      <c r="H209" s="13">
        <f>IFERROR(E209*VLOOKUP(B209,'Recetas y precios'!$A$5:$P$54,16,FALSE),"")</f>
        <v/>
      </c>
      <c r="I209" s="34" t="n"/>
      <c r="J209" s="13">
        <f>IFERROR(I209*VLOOKUP(B209,'Recetas y precios'!$A$5:$P$54,16,FALSE),"")</f>
        <v/>
      </c>
      <c r="K209" s="13">
        <f>IFERROR(G209-H209,"")</f>
        <v/>
      </c>
      <c r="L209" s="35">
        <f>IFERROR(K209/G209,"")</f>
        <v/>
      </c>
      <c r="M209" s="34" t="n"/>
    </row>
    <row r="210">
      <c r="A210" s="33" t="n"/>
      <c r="B210" s="34" t="n"/>
      <c r="C210" s="7">
        <f>IFERROR(VLOOKUP(B210,'Recetas y precios'!$A$5:$B$54,2,FALSE),"")</f>
        <v/>
      </c>
      <c r="D210" s="34" t="n"/>
      <c r="E210" s="34" t="n"/>
      <c r="F210" s="34" t="n"/>
      <c r="G210" s="13">
        <f>IFERROR(E210*F210,"")</f>
        <v/>
      </c>
      <c r="H210" s="13">
        <f>IFERROR(E210*VLOOKUP(B210,'Recetas y precios'!$A$5:$P$54,16,FALSE),"")</f>
        <v/>
      </c>
      <c r="I210" s="34" t="n"/>
      <c r="J210" s="13">
        <f>IFERROR(I210*VLOOKUP(B210,'Recetas y precios'!$A$5:$P$54,16,FALSE),"")</f>
        <v/>
      </c>
      <c r="K210" s="13">
        <f>IFERROR(G210-H210,"")</f>
        <v/>
      </c>
      <c r="L210" s="35">
        <f>IFERROR(K210/G210,"")</f>
        <v/>
      </c>
      <c r="M210" s="34" t="n"/>
    </row>
    <row r="211">
      <c r="A211" s="33" t="n"/>
      <c r="B211" s="34" t="n"/>
      <c r="C211" s="7">
        <f>IFERROR(VLOOKUP(B211,'Recetas y precios'!$A$5:$B$54,2,FALSE),"")</f>
        <v/>
      </c>
      <c r="D211" s="34" t="n"/>
      <c r="E211" s="34" t="n"/>
      <c r="F211" s="34" t="n"/>
      <c r="G211" s="13">
        <f>IFERROR(E211*F211,"")</f>
        <v/>
      </c>
      <c r="H211" s="13">
        <f>IFERROR(E211*VLOOKUP(B211,'Recetas y precios'!$A$5:$P$54,16,FALSE),"")</f>
        <v/>
      </c>
      <c r="I211" s="34" t="n"/>
      <c r="J211" s="13">
        <f>IFERROR(I211*VLOOKUP(B211,'Recetas y precios'!$A$5:$P$54,16,FALSE),"")</f>
        <v/>
      </c>
      <c r="K211" s="13">
        <f>IFERROR(G211-H211,"")</f>
        <v/>
      </c>
      <c r="L211" s="35">
        <f>IFERROR(K211/G211,"")</f>
        <v/>
      </c>
      <c r="M211" s="34" t="n"/>
    </row>
    <row r="212">
      <c r="A212" s="33" t="n"/>
      <c r="B212" s="34" t="n"/>
      <c r="C212" s="7">
        <f>IFERROR(VLOOKUP(B212,'Recetas y precios'!$A$5:$B$54,2,FALSE),"")</f>
        <v/>
      </c>
      <c r="D212" s="34" t="n"/>
      <c r="E212" s="34" t="n"/>
      <c r="F212" s="34" t="n"/>
      <c r="G212" s="13">
        <f>IFERROR(E212*F212,"")</f>
        <v/>
      </c>
      <c r="H212" s="13">
        <f>IFERROR(E212*VLOOKUP(B212,'Recetas y precios'!$A$5:$P$54,16,FALSE),"")</f>
        <v/>
      </c>
      <c r="I212" s="34" t="n"/>
      <c r="J212" s="13">
        <f>IFERROR(I212*VLOOKUP(B212,'Recetas y precios'!$A$5:$P$54,16,FALSE),"")</f>
        <v/>
      </c>
      <c r="K212" s="13">
        <f>IFERROR(G212-H212,"")</f>
        <v/>
      </c>
      <c r="L212" s="35">
        <f>IFERROR(K212/G212,"")</f>
        <v/>
      </c>
      <c r="M212" s="34" t="n"/>
    </row>
    <row r="213">
      <c r="A213" s="33" t="n"/>
      <c r="B213" s="34" t="n"/>
      <c r="C213" s="7">
        <f>IFERROR(VLOOKUP(B213,'Recetas y precios'!$A$5:$B$54,2,FALSE),"")</f>
        <v/>
      </c>
      <c r="D213" s="34" t="n"/>
      <c r="E213" s="34" t="n"/>
      <c r="F213" s="34" t="n"/>
      <c r="G213" s="13">
        <f>IFERROR(E213*F213,"")</f>
        <v/>
      </c>
      <c r="H213" s="13">
        <f>IFERROR(E213*VLOOKUP(B213,'Recetas y precios'!$A$5:$P$54,16,FALSE),"")</f>
        <v/>
      </c>
      <c r="I213" s="34" t="n"/>
      <c r="J213" s="13">
        <f>IFERROR(I213*VLOOKUP(B213,'Recetas y precios'!$A$5:$P$54,16,FALSE),"")</f>
        <v/>
      </c>
      <c r="K213" s="13">
        <f>IFERROR(G213-H213,"")</f>
        <v/>
      </c>
      <c r="L213" s="35">
        <f>IFERROR(K213/G213,"")</f>
        <v/>
      </c>
      <c r="M213" s="34" t="n"/>
    </row>
    <row r="214">
      <c r="A214" s="33" t="n"/>
      <c r="B214" s="34" t="n"/>
      <c r="C214" s="7">
        <f>IFERROR(VLOOKUP(B214,'Recetas y precios'!$A$5:$B$54,2,FALSE),"")</f>
        <v/>
      </c>
      <c r="D214" s="34" t="n"/>
      <c r="E214" s="34" t="n"/>
      <c r="F214" s="34" t="n"/>
      <c r="G214" s="13">
        <f>IFERROR(E214*F214,"")</f>
        <v/>
      </c>
      <c r="H214" s="13">
        <f>IFERROR(E214*VLOOKUP(B214,'Recetas y precios'!$A$5:$P$54,16,FALSE),"")</f>
        <v/>
      </c>
      <c r="I214" s="34" t="n"/>
      <c r="J214" s="13">
        <f>IFERROR(I214*VLOOKUP(B214,'Recetas y precios'!$A$5:$P$54,16,FALSE),"")</f>
        <v/>
      </c>
      <c r="K214" s="13">
        <f>IFERROR(G214-H214,"")</f>
        <v/>
      </c>
      <c r="L214" s="35">
        <f>IFERROR(K214/G214,"")</f>
        <v/>
      </c>
      <c r="M214" s="34" t="n"/>
    </row>
    <row r="215">
      <c r="A215" s="33" t="n"/>
      <c r="B215" s="34" t="n"/>
      <c r="C215" s="7">
        <f>IFERROR(VLOOKUP(B215,'Recetas y precios'!$A$5:$B$54,2,FALSE),"")</f>
        <v/>
      </c>
      <c r="D215" s="34" t="n"/>
      <c r="E215" s="34" t="n"/>
      <c r="F215" s="34" t="n"/>
      <c r="G215" s="13">
        <f>IFERROR(E215*F215,"")</f>
        <v/>
      </c>
      <c r="H215" s="13">
        <f>IFERROR(E215*VLOOKUP(B215,'Recetas y precios'!$A$5:$P$54,16,FALSE),"")</f>
        <v/>
      </c>
      <c r="I215" s="34" t="n"/>
      <c r="J215" s="13">
        <f>IFERROR(I215*VLOOKUP(B215,'Recetas y precios'!$A$5:$P$54,16,FALSE),"")</f>
        <v/>
      </c>
      <c r="K215" s="13">
        <f>IFERROR(G215-H215,"")</f>
        <v/>
      </c>
      <c r="L215" s="35">
        <f>IFERROR(K215/G215,"")</f>
        <v/>
      </c>
      <c r="M215" s="34" t="n"/>
    </row>
    <row r="216">
      <c r="A216" s="33" t="n"/>
      <c r="B216" s="34" t="n"/>
      <c r="C216" s="7">
        <f>IFERROR(VLOOKUP(B216,'Recetas y precios'!$A$5:$B$54,2,FALSE),"")</f>
        <v/>
      </c>
      <c r="D216" s="34" t="n"/>
      <c r="E216" s="34" t="n"/>
      <c r="F216" s="34" t="n"/>
      <c r="G216" s="13">
        <f>IFERROR(E216*F216,"")</f>
        <v/>
      </c>
      <c r="H216" s="13">
        <f>IFERROR(E216*VLOOKUP(B216,'Recetas y precios'!$A$5:$P$54,16,FALSE),"")</f>
        <v/>
      </c>
      <c r="I216" s="34" t="n"/>
      <c r="J216" s="13">
        <f>IFERROR(I216*VLOOKUP(B216,'Recetas y precios'!$A$5:$P$54,16,FALSE),"")</f>
        <v/>
      </c>
      <c r="K216" s="13">
        <f>IFERROR(G216-H216,"")</f>
        <v/>
      </c>
      <c r="L216" s="35">
        <f>IFERROR(K216/G216,"")</f>
        <v/>
      </c>
      <c r="M216" s="34" t="n"/>
    </row>
    <row r="217">
      <c r="A217" s="33" t="n"/>
      <c r="B217" s="34" t="n"/>
      <c r="C217" s="7">
        <f>IFERROR(VLOOKUP(B217,'Recetas y precios'!$A$5:$B$54,2,FALSE),"")</f>
        <v/>
      </c>
      <c r="D217" s="34" t="n"/>
      <c r="E217" s="34" t="n"/>
      <c r="F217" s="34" t="n"/>
      <c r="G217" s="13">
        <f>IFERROR(E217*F217,"")</f>
        <v/>
      </c>
      <c r="H217" s="13">
        <f>IFERROR(E217*VLOOKUP(B217,'Recetas y precios'!$A$5:$P$54,16,FALSE),"")</f>
        <v/>
      </c>
      <c r="I217" s="34" t="n"/>
      <c r="J217" s="13">
        <f>IFERROR(I217*VLOOKUP(B217,'Recetas y precios'!$A$5:$P$54,16,FALSE),"")</f>
        <v/>
      </c>
      <c r="K217" s="13">
        <f>IFERROR(G217-H217,"")</f>
        <v/>
      </c>
      <c r="L217" s="35">
        <f>IFERROR(K217/G217,"")</f>
        <v/>
      </c>
      <c r="M217" s="34" t="n"/>
    </row>
    <row r="218">
      <c r="A218" s="33" t="n"/>
      <c r="B218" s="34" t="n"/>
      <c r="C218" s="7">
        <f>IFERROR(VLOOKUP(B218,'Recetas y precios'!$A$5:$B$54,2,FALSE),"")</f>
        <v/>
      </c>
      <c r="D218" s="34" t="n"/>
      <c r="E218" s="34" t="n"/>
      <c r="F218" s="34" t="n"/>
      <c r="G218" s="13">
        <f>IFERROR(E218*F218,"")</f>
        <v/>
      </c>
      <c r="H218" s="13">
        <f>IFERROR(E218*VLOOKUP(B218,'Recetas y precios'!$A$5:$P$54,16,FALSE),"")</f>
        <v/>
      </c>
      <c r="I218" s="34" t="n"/>
      <c r="J218" s="13">
        <f>IFERROR(I218*VLOOKUP(B218,'Recetas y precios'!$A$5:$P$54,16,FALSE),"")</f>
        <v/>
      </c>
      <c r="K218" s="13">
        <f>IFERROR(G218-H218,"")</f>
        <v/>
      </c>
      <c r="L218" s="35">
        <f>IFERROR(K218/G218,"")</f>
        <v/>
      </c>
      <c r="M218" s="34" t="n"/>
    </row>
    <row r="219">
      <c r="A219" s="33" t="n"/>
      <c r="B219" s="34" t="n"/>
      <c r="C219" s="7">
        <f>IFERROR(VLOOKUP(B219,'Recetas y precios'!$A$5:$B$54,2,FALSE),"")</f>
        <v/>
      </c>
      <c r="D219" s="34" t="n"/>
      <c r="E219" s="34" t="n"/>
      <c r="F219" s="34" t="n"/>
      <c r="G219" s="13">
        <f>IFERROR(E219*F219,"")</f>
        <v/>
      </c>
      <c r="H219" s="13">
        <f>IFERROR(E219*VLOOKUP(B219,'Recetas y precios'!$A$5:$P$54,16,FALSE),"")</f>
        <v/>
      </c>
      <c r="I219" s="34" t="n"/>
      <c r="J219" s="13">
        <f>IFERROR(I219*VLOOKUP(B219,'Recetas y precios'!$A$5:$P$54,16,FALSE),"")</f>
        <v/>
      </c>
      <c r="K219" s="13">
        <f>IFERROR(G219-H219,"")</f>
        <v/>
      </c>
      <c r="L219" s="35">
        <f>IFERROR(K219/G219,"")</f>
        <v/>
      </c>
      <c r="M219" s="34" t="n"/>
    </row>
    <row r="220">
      <c r="A220" s="33" t="n"/>
      <c r="B220" s="34" t="n"/>
      <c r="C220" s="7">
        <f>IFERROR(VLOOKUP(B220,'Recetas y precios'!$A$5:$B$54,2,FALSE),"")</f>
        <v/>
      </c>
      <c r="D220" s="34" t="n"/>
      <c r="E220" s="34" t="n"/>
      <c r="F220" s="34" t="n"/>
      <c r="G220" s="13">
        <f>IFERROR(E220*F220,"")</f>
        <v/>
      </c>
      <c r="H220" s="13">
        <f>IFERROR(E220*VLOOKUP(B220,'Recetas y precios'!$A$5:$P$54,16,FALSE),"")</f>
        <v/>
      </c>
      <c r="I220" s="34" t="n"/>
      <c r="J220" s="13">
        <f>IFERROR(I220*VLOOKUP(B220,'Recetas y precios'!$A$5:$P$54,16,FALSE),"")</f>
        <v/>
      </c>
      <c r="K220" s="13">
        <f>IFERROR(G220-H220,"")</f>
        <v/>
      </c>
      <c r="L220" s="35">
        <f>IFERROR(K220/G220,"")</f>
        <v/>
      </c>
      <c r="M220" s="34" t="n"/>
    </row>
    <row r="221">
      <c r="A221" s="33" t="n"/>
      <c r="B221" s="34" t="n"/>
      <c r="C221" s="7">
        <f>IFERROR(VLOOKUP(B221,'Recetas y precios'!$A$5:$B$54,2,FALSE),"")</f>
        <v/>
      </c>
      <c r="D221" s="34" t="n"/>
      <c r="E221" s="34" t="n"/>
      <c r="F221" s="34" t="n"/>
      <c r="G221" s="13">
        <f>IFERROR(E221*F221,"")</f>
        <v/>
      </c>
      <c r="H221" s="13">
        <f>IFERROR(E221*VLOOKUP(B221,'Recetas y precios'!$A$5:$P$54,16,FALSE),"")</f>
        <v/>
      </c>
      <c r="I221" s="34" t="n"/>
      <c r="J221" s="13">
        <f>IFERROR(I221*VLOOKUP(B221,'Recetas y precios'!$A$5:$P$54,16,FALSE),"")</f>
        <v/>
      </c>
      <c r="K221" s="13">
        <f>IFERROR(G221-H221,"")</f>
        <v/>
      </c>
      <c r="L221" s="35">
        <f>IFERROR(K221/G221,"")</f>
        <v/>
      </c>
      <c r="M221" s="34" t="n"/>
    </row>
    <row r="222">
      <c r="A222" s="33" t="n"/>
      <c r="B222" s="34" t="n"/>
      <c r="C222" s="7">
        <f>IFERROR(VLOOKUP(B222,'Recetas y precios'!$A$5:$B$54,2,FALSE),"")</f>
        <v/>
      </c>
      <c r="D222" s="34" t="n"/>
      <c r="E222" s="34" t="n"/>
      <c r="F222" s="34" t="n"/>
      <c r="G222" s="13">
        <f>IFERROR(E222*F222,"")</f>
        <v/>
      </c>
      <c r="H222" s="13">
        <f>IFERROR(E222*VLOOKUP(B222,'Recetas y precios'!$A$5:$P$54,16,FALSE),"")</f>
        <v/>
      </c>
      <c r="I222" s="34" t="n"/>
      <c r="J222" s="13">
        <f>IFERROR(I222*VLOOKUP(B222,'Recetas y precios'!$A$5:$P$54,16,FALSE),"")</f>
        <v/>
      </c>
      <c r="K222" s="13">
        <f>IFERROR(G222-H222,"")</f>
        <v/>
      </c>
      <c r="L222" s="35">
        <f>IFERROR(K222/G222,"")</f>
        <v/>
      </c>
      <c r="M222" s="34" t="n"/>
    </row>
    <row r="223">
      <c r="A223" s="33" t="n"/>
      <c r="B223" s="34" t="n"/>
      <c r="C223" s="7">
        <f>IFERROR(VLOOKUP(B223,'Recetas y precios'!$A$5:$B$54,2,FALSE),"")</f>
        <v/>
      </c>
      <c r="D223" s="34" t="n"/>
      <c r="E223" s="34" t="n"/>
      <c r="F223" s="34" t="n"/>
      <c r="G223" s="13">
        <f>IFERROR(E223*F223,"")</f>
        <v/>
      </c>
      <c r="H223" s="13">
        <f>IFERROR(E223*VLOOKUP(B223,'Recetas y precios'!$A$5:$P$54,16,FALSE),"")</f>
        <v/>
      </c>
      <c r="I223" s="34" t="n"/>
      <c r="J223" s="13">
        <f>IFERROR(I223*VLOOKUP(B223,'Recetas y precios'!$A$5:$P$54,16,FALSE),"")</f>
        <v/>
      </c>
      <c r="K223" s="13">
        <f>IFERROR(G223-H223,"")</f>
        <v/>
      </c>
      <c r="L223" s="35">
        <f>IFERROR(K223/G223,"")</f>
        <v/>
      </c>
      <c r="M223" s="34" t="n"/>
    </row>
    <row r="224">
      <c r="A224" s="33" t="n"/>
      <c r="B224" s="34" t="n"/>
      <c r="C224" s="7">
        <f>IFERROR(VLOOKUP(B224,'Recetas y precios'!$A$5:$B$54,2,FALSE),"")</f>
        <v/>
      </c>
      <c r="D224" s="34" t="n"/>
      <c r="E224" s="34" t="n"/>
      <c r="F224" s="34" t="n"/>
      <c r="G224" s="13">
        <f>IFERROR(E224*F224,"")</f>
        <v/>
      </c>
      <c r="H224" s="13">
        <f>IFERROR(E224*VLOOKUP(B224,'Recetas y precios'!$A$5:$P$54,16,FALSE),"")</f>
        <v/>
      </c>
      <c r="I224" s="34" t="n"/>
      <c r="J224" s="13">
        <f>IFERROR(I224*VLOOKUP(B224,'Recetas y precios'!$A$5:$P$54,16,FALSE),"")</f>
        <v/>
      </c>
      <c r="K224" s="13">
        <f>IFERROR(G224-H224,"")</f>
        <v/>
      </c>
      <c r="L224" s="35">
        <f>IFERROR(K224/G224,"")</f>
        <v/>
      </c>
      <c r="M224" s="34" t="n"/>
    </row>
    <row r="225">
      <c r="A225" s="33" t="n"/>
      <c r="B225" s="34" t="n"/>
      <c r="C225" s="7">
        <f>IFERROR(VLOOKUP(B225,'Recetas y precios'!$A$5:$B$54,2,FALSE),"")</f>
        <v/>
      </c>
      <c r="D225" s="34" t="n"/>
      <c r="E225" s="34" t="n"/>
      <c r="F225" s="34" t="n"/>
      <c r="G225" s="13">
        <f>IFERROR(E225*F225,"")</f>
        <v/>
      </c>
      <c r="H225" s="13">
        <f>IFERROR(E225*VLOOKUP(B225,'Recetas y precios'!$A$5:$P$54,16,FALSE),"")</f>
        <v/>
      </c>
      <c r="I225" s="34" t="n"/>
      <c r="J225" s="13">
        <f>IFERROR(I225*VLOOKUP(B225,'Recetas y precios'!$A$5:$P$54,16,FALSE),"")</f>
        <v/>
      </c>
      <c r="K225" s="13">
        <f>IFERROR(G225-H225,"")</f>
        <v/>
      </c>
      <c r="L225" s="35">
        <f>IFERROR(K225/G225,"")</f>
        <v/>
      </c>
      <c r="M225" s="34" t="n"/>
    </row>
    <row r="226">
      <c r="A226" s="33" t="n"/>
      <c r="B226" s="34" t="n"/>
      <c r="C226" s="7">
        <f>IFERROR(VLOOKUP(B226,'Recetas y precios'!$A$5:$B$54,2,FALSE),"")</f>
        <v/>
      </c>
      <c r="D226" s="34" t="n"/>
      <c r="E226" s="34" t="n"/>
      <c r="F226" s="34" t="n"/>
      <c r="G226" s="13">
        <f>IFERROR(E226*F226,"")</f>
        <v/>
      </c>
      <c r="H226" s="13">
        <f>IFERROR(E226*VLOOKUP(B226,'Recetas y precios'!$A$5:$P$54,16,FALSE),"")</f>
        <v/>
      </c>
      <c r="I226" s="34" t="n"/>
      <c r="J226" s="13">
        <f>IFERROR(I226*VLOOKUP(B226,'Recetas y precios'!$A$5:$P$54,16,FALSE),"")</f>
        <v/>
      </c>
      <c r="K226" s="13">
        <f>IFERROR(G226-H226,"")</f>
        <v/>
      </c>
      <c r="L226" s="35">
        <f>IFERROR(K226/G226,"")</f>
        <v/>
      </c>
      <c r="M226" s="34" t="n"/>
    </row>
    <row r="227">
      <c r="A227" s="33" t="n"/>
      <c r="B227" s="34" t="n"/>
      <c r="C227" s="7">
        <f>IFERROR(VLOOKUP(B227,'Recetas y precios'!$A$5:$B$54,2,FALSE),"")</f>
        <v/>
      </c>
      <c r="D227" s="34" t="n"/>
      <c r="E227" s="34" t="n"/>
      <c r="F227" s="34" t="n"/>
      <c r="G227" s="13">
        <f>IFERROR(E227*F227,"")</f>
        <v/>
      </c>
      <c r="H227" s="13">
        <f>IFERROR(E227*VLOOKUP(B227,'Recetas y precios'!$A$5:$P$54,16,FALSE),"")</f>
        <v/>
      </c>
      <c r="I227" s="34" t="n"/>
      <c r="J227" s="13">
        <f>IFERROR(I227*VLOOKUP(B227,'Recetas y precios'!$A$5:$P$54,16,FALSE),"")</f>
        <v/>
      </c>
      <c r="K227" s="13">
        <f>IFERROR(G227-H227,"")</f>
        <v/>
      </c>
      <c r="L227" s="35">
        <f>IFERROR(K227/G227,"")</f>
        <v/>
      </c>
      <c r="M227" s="34" t="n"/>
    </row>
    <row r="228">
      <c r="A228" s="33" t="n"/>
      <c r="B228" s="34" t="n"/>
      <c r="C228" s="7">
        <f>IFERROR(VLOOKUP(B228,'Recetas y precios'!$A$5:$B$54,2,FALSE),"")</f>
        <v/>
      </c>
      <c r="D228" s="34" t="n"/>
      <c r="E228" s="34" t="n"/>
      <c r="F228" s="34" t="n"/>
      <c r="G228" s="13">
        <f>IFERROR(E228*F228,"")</f>
        <v/>
      </c>
      <c r="H228" s="13">
        <f>IFERROR(E228*VLOOKUP(B228,'Recetas y precios'!$A$5:$P$54,16,FALSE),"")</f>
        <v/>
      </c>
      <c r="I228" s="34" t="n"/>
      <c r="J228" s="13">
        <f>IFERROR(I228*VLOOKUP(B228,'Recetas y precios'!$A$5:$P$54,16,FALSE),"")</f>
        <v/>
      </c>
      <c r="K228" s="13">
        <f>IFERROR(G228-H228,"")</f>
        <v/>
      </c>
      <c r="L228" s="35">
        <f>IFERROR(K228/G228,"")</f>
        <v/>
      </c>
      <c r="M228" s="34" t="n"/>
    </row>
    <row r="229">
      <c r="A229" s="33" t="n"/>
      <c r="B229" s="34" t="n"/>
      <c r="C229" s="7">
        <f>IFERROR(VLOOKUP(B229,'Recetas y precios'!$A$5:$B$54,2,FALSE),"")</f>
        <v/>
      </c>
      <c r="D229" s="34" t="n"/>
      <c r="E229" s="34" t="n"/>
      <c r="F229" s="34" t="n"/>
      <c r="G229" s="13">
        <f>IFERROR(E229*F229,"")</f>
        <v/>
      </c>
      <c r="H229" s="13">
        <f>IFERROR(E229*VLOOKUP(B229,'Recetas y precios'!$A$5:$P$54,16,FALSE),"")</f>
        <v/>
      </c>
      <c r="I229" s="34" t="n"/>
      <c r="J229" s="13">
        <f>IFERROR(I229*VLOOKUP(B229,'Recetas y precios'!$A$5:$P$54,16,FALSE),"")</f>
        <v/>
      </c>
      <c r="K229" s="13">
        <f>IFERROR(G229-H229,"")</f>
        <v/>
      </c>
      <c r="L229" s="35">
        <f>IFERROR(K229/G229,"")</f>
        <v/>
      </c>
      <c r="M229" s="34" t="n"/>
    </row>
    <row r="230">
      <c r="A230" s="33" t="n"/>
      <c r="B230" s="34" t="n"/>
      <c r="C230" s="7">
        <f>IFERROR(VLOOKUP(B230,'Recetas y precios'!$A$5:$B$54,2,FALSE),"")</f>
        <v/>
      </c>
      <c r="D230" s="34" t="n"/>
      <c r="E230" s="34" t="n"/>
      <c r="F230" s="34" t="n"/>
      <c r="G230" s="13">
        <f>IFERROR(E230*F230,"")</f>
        <v/>
      </c>
      <c r="H230" s="13">
        <f>IFERROR(E230*VLOOKUP(B230,'Recetas y precios'!$A$5:$P$54,16,FALSE),"")</f>
        <v/>
      </c>
      <c r="I230" s="34" t="n"/>
      <c r="J230" s="13">
        <f>IFERROR(I230*VLOOKUP(B230,'Recetas y precios'!$A$5:$P$54,16,FALSE),"")</f>
        <v/>
      </c>
      <c r="K230" s="13">
        <f>IFERROR(G230-H230,"")</f>
        <v/>
      </c>
      <c r="L230" s="35">
        <f>IFERROR(K230/G230,"")</f>
        <v/>
      </c>
      <c r="M230" s="34" t="n"/>
    </row>
    <row r="231">
      <c r="A231" s="33" t="n"/>
      <c r="B231" s="34" t="n"/>
      <c r="C231" s="7">
        <f>IFERROR(VLOOKUP(B231,'Recetas y precios'!$A$5:$B$54,2,FALSE),"")</f>
        <v/>
      </c>
      <c r="D231" s="34" t="n"/>
      <c r="E231" s="34" t="n"/>
      <c r="F231" s="34" t="n"/>
      <c r="G231" s="13">
        <f>IFERROR(E231*F231,"")</f>
        <v/>
      </c>
      <c r="H231" s="13">
        <f>IFERROR(E231*VLOOKUP(B231,'Recetas y precios'!$A$5:$P$54,16,FALSE),"")</f>
        <v/>
      </c>
      <c r="I231" s="34" t="n"/>
      <c r="J231" s="13">
        <f>IFERROR(I231*VLOOKUP(B231,'Recetas y precios'!$A$5:$P$54,16,FALSE),"")</f>
        <v/>
      </c>
      <c r="K231" s="13">
        <f>IFERROR(G231-H231,"")</f>
        <v/>
      </c>
      <c r="L231" s="35">
        <f>IFERROR(K231/G231,"")</f>
        <v/>
      </c>
      <c r="M231" s="34" t="n"/>
    </row>
    <row r="232">
      <c r="A232" s="33" t="n"/>
      <c r="B232" s="34" t="n"/>
      <c r="C232" s="7">
        <f>IFERROR(VLOOKUP(B232,'Recetas y precios'!$A$5:$B$54,2,FALSE),"")</f>
        <v/>
      </c>
      <c r="D232" s="34" t="n"/>
      <c r="E232" s="34" t="n"/>
      <c r="F232" s="34" t="n"/>
      <c r="G232" s="13">
        <f>IFERROR(E232*F232,"")</f>
        <v/>
      </c>
      <c r="H232" s="13">
        <f>IFERROR(E232*VLOOKUP(B232,'Recetas y precios'!$A$5:$P$54,16,FALSE),"")</f>
        <v/>
      </c>
      <c r="I232" s="34" t="n"/>
      <c r="J232" s="13">
        <f>IFERROR(I232*VLOOKUP(B232,'Recetas y precios'!$A$5:$P$54,16,FALSE),"")</f>
        <v/>
      </c>
      <c r="K232" s="13">
        <f>IFERROR(G232-H232,"")</f>
        <v/>
      </c>
      <c r="L232" s="35">
        <f>IFERROR(K232/G232,"")</f>
        <v/>
      </c>
      <c r="M232" s="34" t="n"/>
    </row>
    <row r="233">
      <c r="A233" s="33" t="n"/>
      <c r="B233" s="34" t="n"/>
      <c r="C233" s="7">
        <f>IFERROR(VLOOKUP(B233,'Recetas y precios'!$A$5:$B$54,2,FALSE),"")</f>
        <v/>
      </c>
      <c r="D233" s="34" t="n"/>
      <c r="E233" s="34" t="n"/>
      <c r="F233" s="34" t="n"/>
      <c r="G233" s="13">
        <f>IFERROR(E233*F233,"")</f>
        <v/>
      </c>
      <c r="H233" s="13">
        <f>IFERROR(E233*VLOOKUP(B233,'Recetas y precios'!$A$5:$P$54,16,FALSE),"")</f>
        <v/>
      </c>
      <c r="I233" s="34" t="n"/>
      <c r="J233" s="13">
        <f>IFERROR(I233*VLOOKUP(B233,'Recetas y precios'!$A$5:$P$54,16,FALSE),"")</f>
        <v/>
      </c>
      <c r="K233" s="13">
        <f>IFERROR(G233-H233,"")</f>
        <v/>
      </c>
      <c r="L233" s="35">
        <f>IFERROR(K233/G233,"")</f>
        <v/>
      </c>
      <c r="M233" s="34" t="n"/>
    </row>
    <row r="234">
      <c r="A234" s="33" t="n"/>
      <c r="B234" s="34" t="n"/>
      <c r="C234" s="7">
        <f>IFERROR(VLOOKUP(B234,'Recetas y precios'!$A$5:$B$54,2,FALSE),"")</f>
        <v/>
      </c>
      <c r="D234" s="34" t="n"/>
      <c r="E234" s="34" t="n"/>
      <c r="F234" s="34" t="n"/>
      <c r="G234" s="13">
        <f>IFERROR(E234*F234,"")</f>
        <v/>
      </c>
      <c r="H234" s="13">
        <f>IFERROR(E234*VLOOKUP(B234,'Recetas y precios'!$A$5:$P$54,16,FALSE),"")</f>
        <v/>
      </c>
      <c r="I234" s="34" t="n"/>
      <c r="J234" s="13">
        <f>IFERROR(I234*VLOOKUP(B234,'Recetas y precios'!$A$5:$P$54,16,FALSE),"")</f>
        <v/>
      </c>
      <c r="K234" s="13">
        <f>IFERROR(G234-H234,"")</f>
        <v/>
      </c>
      <c r="L234" s="35">
        <f>IFERROR(K234/G234,"")</f>
        <v/>
      </c>
      <c r="M234" s="34" t="n"/>
    </row>
    <row r="235">
      <c r="A235" s="33" t="n"/>
      <c r="B235" s="34" t="n"/>
      <c r="C235" s="7">
        <f>IFERROR(VLOOKUP(B235,'Recetas y precios'!$A$5:$B$54,2,FALSE),"")</f>
        <v/>
      </c>
      <c r="D235" s="34" t="n"/>
      <c r="E235" s="34" t="n"/>
      <c r="F235" s="34" t="n"/>
      <c r="G235" s="13">
        <f>IFERROR(E235*F235,"")</f>
        <v/>
      </c>
      <c r="H235" s="13">
        <f>IFERROR(E235*VLOOKUP(B235,'Recetas y precios'!$A$5:$P$54,16,FALSE),"")</f>
        <v/>
      </c>
      <c r="I235" s="34" t="n"/>
      <c r="J235" s="13">
        <f>IFERROR(I235*VLOOKUP(B235,'Recetas y precios'!$A$5:$P$54,16,FALSE),"")</f>
        <v/>
      </c>
      <c r="K235" s="13">
        <f>IFERROR(G235-H235,"")</f>
        <v/>
      </c>
      <c r="L235" s="35">
        <f>IFERROR(K235/G235,"")</f>
        <v/>
      </c>
      <c r="M235" s="34" t="n"/>
    </row>
    <row r="236">
      <c r="A236" s="33" t="n"/>
      <c r="B236" s="34" t="n"/>
      <c r="C236" s="7">
        <f>IFERROR(VLOOKUP(B236,'Recetas y precios'!$A$5:$B$54,2,FALSE),"")</f>
        <v/>
      </c>
      <c r="D236" s="34" t="n"/>
      <c r="E236" s="34" t="n"/>
      <c r="F236" s="34" t="n"/>
      <c r="G236" s="13">
        <f>IFERROR(E236*F236,"")</f>
        <v/>
      </c>
      <c r="H236" s="13">
        <f>IFERROR(E236*VLOOKUP(B236,'Recetas y precios'!$A$5:$P$54,16,FALSE),"")</f>
        <v/>
      </c>
      <c r="I236" s="34" t="n"/>
      <c r="J236" s="13">
        <f>IFERROR(I236*VLOOKUP(B236,'Recetas y precios'!$A$5:$P$54,16,FALSE),"")</f>
        <v/>
      </c>
      <c r="K236" s="13">
        <f>IFERROR(G236-H236,"")</f>
        <v/>
      </c>
      <c r="L236" s="35">
        <f>IFERROR(K236/G236,"")</f>
        <v/>
      </c>
      <c r="M236" s="34" t="n"/>
    </row>
    <row r="237">
      <c r="A237" s="33" t="n"/>
      <c r="B237" s="34" t="n"/>
      <c r="C237" s="7">
        <f>IFERROR(VLOOKUP(B237,'Recetas y precios'!$A$5:$B$54,2,FALSE),"")</f>
        <v/>
      </c>
      <c r="D237" s="34" t="n"/>
      <c r="E237" s="34" t="n"/>
      <c r="F237" s="34" t="n"/>
      <c r="G237" s="13">
        <f>IFERROR(E237*F237,"")</f>
        <v/>
      </c>
      <c r="H237" s="13">
        <f>IFERROR(E237*VLOOKUP(B237,'Recetas y precios'!$A$5:$P$54,16,FALSE),"")</f>
        <v/>
      </c>
      <c r="I237" s="34" t="n"/>
      <c r="J237" s="13">
        <f>IFERROR(I237*VLOOKUP(B237,'Recetas y precios'!$A$5:$P$54,16,FALSE),"")</f>
        <v/>
      </c>
      <c r="K237" s="13">
        <f>IFERROR(G237-H237,"")</f>
        <v/>
      </c>
      <c r="L237" s="35">
        <f>IFERROR(K237/G237,"")</f>
        <v/>
      </c>
      <c r="M237" s="34" t="n"/>
    </row>
    <row r="238">
      <c r="A238" s="33" t="n"/>
      <c r="B238" s="34" t="n"/>
      <c r="C238" s="7">
        <f>IFERROR(VLOOKUP(B238,'Recetas y precios'!$A$5:$B$54,2,FALSE),"")</f>
        <v/>
      </c>
      <c r="D238" s="34" t="n"/>
      <c r="E238" s="34" t="n"/>
      <c r="F238" s="34" t="n"/>
      <c r="G238" s="13">
        <f>IFERROR(E238*F238,"")</f>
        <v/>
      </c>
      <c r="H238" s="13">
        <f>IFERROR(E238*VLOOKUP(B238,'Recetas y precios'!$A$5:$P$54,16,FALSE),"")</f>
        <v/>
      </c>
      <c r="I238" s="34" t="n"/>
      <c r="J238" s="13">
        <f>IFERROR(I238*VLOOKUP(B238,'Recetas y precios'!$A$5:$P$54,16,FALSE),"")</f>
        <v/>
      </c>
      <c r="K238" s="13">
        <f>IFERROR(G238-H238,"")</f>
        <v/>
      </c>
      <c r="L238" s="35">
        <f>IFERROR(K238/G238,"")</f>
        <v/>
      </c>
      <c r="M238" s="34" t="n"/>
    </row>
    <row r="239">
      <c r="A239" s="33" t="n"/>
      <c r="B239" s="34" t="n"/>
      <c r="C239" s="7">
        <f>IFERROR(VLOOKUP(B239,'Recetas y precios'!$A$5:$B$54,2,FALSE),"")</f>
        <v/>
      </c>
      <c r="D239" s="34" t="n"/>
      <c r="E239" s="34" t="n"/>
      <c r="F239" s="34" t="n"/>
      <c r="G239" s="13">
        <f>IFERROR(E239*F239,"")</f>
        <v/>
      </c>
      <c r="H239" s="13">
        <f>IFERROR(E239*VLOOKUP(B239,'Recetas y precios'!$A$5:$P$54,16,FALSE),"")</f>
        <v/>
      </c>
      <c r="I239" s="34" t="n"/>
      <c r="J239" s="13">
        <f>IFERROR(I239*VLOOKUP(B239,'Recetas y precios'!$A$5:$P$54,16,FALSE),"")</f>
        <v/>
      </c>
      <c r="K239" s="13">
        <f>IFERROR(G239-H239,"")</f>
        <v/>
      </c>
      <c r="L239" s="35">
        <f>IFERROR(K239/G239,"")</f>
        <v/>
      </c>
      <c r="M239" s="34" t="n"/>
    </row>
    <row r="240">
      <c r="A240" s="33" t="n"/>
      <c r="B240" s="34" t="n"/>
      <c r="C240" s="7">
        <f>IFERROR(VLOOKUP(B240,'Recetas y precios'!$A$5:$B$54,2,FALSE),"")</f>
        <v/>
      </c>
      <c r="D240" s="34" t="n"/>
      <c r="E240" s="34" t="n"/>
      <c r="F240" s="34" t="n"/>
      <c r="G240" s="13">
        <f>IFERROR(E240*F240,"")</f>
        <v/>
      </c>
      <c r="H240" s="13">
        <f>IFERROR(E240*VLOOKUP(B240,'Recetas y precios'!$A$5:$P$54,16,FALSE),"")</f>
        <v/>
      </c>
      <c r="I240" s="34" t="n"/>
      <c r="J240" s="13">
        <f>IFERROR(I240*VLOOKUP(B240,'Recetas y precios'!$A$5:$P$54,16,FALSE),"")</f>
        <v/>
      </c>
      <c r="K240" s="13">
        <f>IFERROR(G240-H240,"")</f>
        <v/>
      </c>
      <c r="L240" s="35">
        <f>IFERROR(K240/G240,"")</f>
        <v/>
      </c>
      <c r="M240" s="34" t="n"/>
    </row>
    <row r="241">
      <c r="A241" s="33" t="n"/>
      <c r="B241" s="34" t="n"/>
      <c r="C241" s="7">
        <f>IFERROR(VLOOKUP(B241,'Recetas y precios'!$A$5:$B$54,2,FALSE),"")</f>
        <v/>
      </c>
      <c r="D241" s="34" t="n"/>
      <c r="E241" s="34" t="n"/>
      <c r="F241" s="34" t="n"/>
      <c r="G241" s="13">
        <f>IFERROR(E241*F241,"")</f>
        <v/>
      </c>
      <c r="H241" s="13">
        <f>IFERROR(E241*VLOOKUP(B241,'Recetas y precios'!$A$5:$P$54,16,FALSE),"")</f>
        <v/>
      </c>
      <c r="I241" s="34" t="n"/>
      <c r="J241" s="13">
        <f>IFERROR(I241*VLOOKUP(B241,'Recetas y precios'!$A$5:$P$54,16,FALSE),"")</f>
        <v/>
      </c>
      <c r="K241" s="13">
        <f>IFERROR(G241-H241,"")</f>
        <v/>
      </c>
      <c r="L241" s="35">
        <f>IFERROR(K241/G241,"")</f>
        <v/>
      </c>
      <c r="M241" s="34" t="n"/>
    </row>
    <row r="242">
      <c r="A242" s="33" t="n"/>
      <c r="B242" s="34" t="n"/>
      <c r="C242" s="7">
        <f>IFERROR(VLOOKUP(B242,'Recetas y precios'!$A$5:$B$54,2,FALSE),"")</f>
        <v/>
      </c>
      <c r="D242" s="34" t="n"/>
      <c r="E242" s="34" t="n"/>
      <c r="F242" s="34" t="n"/>
      <c r="G242" s="13">
        <f>IFERROR(E242*F242,"")</f>
        <v/>
      </c>
      <c r="H242" s="13">
        <f>IFERROR(E242*VLOOKUP(B242,'Recetas y precios'!$A$5:$P$54,16,FALSE),"")</f>
        <v/>
      </c>
      <c r="I242" s="34" t="n"/>
      <c r="J242" s="13">
        <f>IFERROR(I242*VLOOKUP(B242,'Recetas y precios'!$A$5:$P$54,16,FALSE),"")</f>
        <v/>
      </c>
      <c r="K242" s="13">
        <f>IFERROR(G242-H242,"")</f>
        <v/>
      </c>
      <c r="L242" s="35">
        <f>IFERROR(K242/G242,"")</f>
        <v/>
      </c>
      <c r="M242" s="34" t="n"/>
    </row>
    <row r="243">
      <c r="A243" s="33" t="n"/>
      <c r="B243" s="34" t="n"/>
      <c r="C243" s="7">
        <f>IFERROR(VLOOKUP(B243,'Recetas y precios'!$A$5:$B$54,2,FALSE),"")</f>
        <v/>
      </c>
      <c r="D243" s="34" t="n"/>
      <c r="E243" s="34" t="n"/>
      <c r="F243" s="34" t="n"/>
      <c r="G243" s="13">
        <f>IFERROR(E243*F243,"")</f>
        <v/>
      </c>
      <c r="H243" s="13">
        <f>IFERROR(E243*VLOOKUP(B243,'Recetas y precios'!$A$5:$P$54,16,FALSE),"")</f>
        <v/>
      </c>
      <c r="I243" s="34" t="n"/>
      <c r="J243" s="13">
        <f>IFERROR(I243*VLOOKUP(B243,'Recetas y precios'!$A$5:$P$54,16,FALSE),"")</f>
        <v/>
      </c>
      <c r="K243" s="13">
        <f>IFERROR(G243-H243,"")</f>
        <v/>
      </c>
      <c r="L243" s="35">
        <f>IFERROR(K243/G243,"")</f>
        <v/>
      </c>
      <c r="M243" s="34" t="n"/>
    </row>
    <row r="244">
      <c r="A244" s="33" t="n"/>
      <c r="B244" s="34" t="n"/>
      <c r="C244" s="7">
        <f>IFERROR(VLOOKUP(B244,'Recetas y precios'!$A$5:$B$54,2,FALSE),"")</f>
        <v/>
      </c>
      <c r="D244" s="34" t="n"/>
      <c r="E244" s="34" t="n"/>
      <c r="F244" s="34" t="n"/>
      <c r="G244" s="13">
        <f>IFERROR(E244*F244,"")</f>
        <v/>
      </c>
      <c r="H244" s="13">
        <f>IFERROR(E244*VLOOKUP(B244,'Recetas y precios'!$A$5:$P$54,16,FALSE),"")</f>
        <v/>
      </c>
      <c r="I244" s="34" t="n"/>
      <c r="J244" s="13">
        <f>IFERROR(I244*VLOOKUP(B244,'Recetas y precios'!$A$5:$P$54,16,FALSE),"")</f>
        <v/>
      </c>
      <c r="K244" s="13">
        <f>IFERROR(G244-H244,"")</f>
        <v/>
      </c>
      <c r="L244" s="35">
        <f>IFERROR(K244/G244,"")</f>
        <v/>
      </c>
      <c r="M244" s="34" t="n"/>
    </row>
    <row r="245">
      <c r="A245" s="33" t="n"/>
      <c r="B245" s="34" t="n"/>
      <c r="C245" s="7">
        <f>IFERROR(VLOOKUP(B245,'Recetas y precios'!$A$5:$B$54,2,FALSE),"")</f>
        <v/>
      </c>
      <c r="D245" s="34" t="n"/>
      <c r="E245" s="34" t="n"/>
      <c r="F245" s="34" t="n"/>
      <c r="G245" s="13">
        <f>IFERROR(E245*F245,"")</f>
        <v/>
      </c>
      <c r="H245" s="13">
        <f>IFERROR(E245*VLOOKUP(B245,'Recetas y precios'!$A$5:$P$54,16,FALSE),"")</f>
        <v/>
      </c>
      <c r="I245" s="34" t="n"/>
      <c r="J245" s="13">
        <f>IFERROR(I245*VLOOKUP(B245,'Recetas y precios'!$A$5:$P$54,16,FALSE),"")</f>
        <v/>
      </c>
      <c r="K245" s="13">
        <f>IFERROR(G245-H245,"")</f>
        <v/>
      </c>
      <c r="L245" s="35">
        <f>IFERROR(K245/G245,"")</f>
        <v/>
      </c>
      <c r="M245" s="34" t="n"/>
    </row>
    <row r="246">
      <c r="A246" s="33" t="n"/>
      <c r="B246" s="34" t="n"/>
      <c r="C246" s="7">
        <f>IFERROR(VLOOKUP(B246,'Recetas y precios'!$A$5:$B$54,2,FALSE),"")</f>
        <v/>
      </c>
      <c r="D246" s="34" t="n"/>
      <c r="E246" s="34" t="n"/>
      <c r="F246" s="34" t="n"/>
      <c r="G246" s="13">
        <f>IFERROR(E246*F246,"")</f>
        <v/>
      </c>
      <c r="H246" s="13">
        <f>IFERROR(E246*VLOOKUP(B246,'Recetas y precios'!$A$5:$P$54,16,FALSE),"")</f>
        <v/>
      </c>
      <c r="I246" s="34" t="n"/>
      <c r="J246" s="13">
        <f>IFERROR(I246*VLOOKUP(B246,'Recetas y precios'!$A$5:$P$54,16,FALSE),"")</f>
        <v/>
      </c>
      <c r="K246" s="13">
        <f>IFERROR(G246-H246,"")</f>
        <v/>
      </c>
      <c r="L246" s="35">
        <f>IFERROR(K246/G246,"")</f>
        <v/>
      </c>
      <c r="M246" s="34" t="n"/>
    </row>
    <row r="247">
      <c r="A247" s="33" t="n"/>
      <c r="B247" s="34" t="n"/>
      <c r="C247" s="7">
        <f>IFERROR(VLOOKUP(B247,'Recetas y precios'!$A$5:$B$54,2,FALSE),"")</f>
        <v/>
      </c>
      <c r="D247" s="34" t="n"/>
      <c r="E247" s="34" t="n"/>
      <c r="F247" s="34" t="n"/>
      <c r="G247" s="13">
        <f>IFERROR(E247*F247,"")</f>
        <v/>
      </c>
      <c r="H247" s="13">
        <f>IFERROR(E247*VLOOKUP(B247,'Recetas y precios'!$A$5:$P$54,16,FALSE),"")</f>
        <v/>
      </c>
      <c r="I247" s="34" t="n"/>
      <c r="J247" s="13">
        <f>IFERROR(I247*VLOOKUP(B247,'Recetas y precios'!$A$5:$P$54,16,FALSE),"")</f>
        <v/>
      </c>
      <c r="K247" s="13">
        <f>IFERROR(G247-H247,"")</f>
        <v/>
      </c>
      <c r="L247" s="35">
        <f>IFERROR(K247/G247,"")</f>
        <v/>
      </c>
      <c r="M247" s="34" t="n"/>
    </row>
    <row r="248">
      <c r="A248" s="33" t="n"/>
      <c r="B248" s="34" t="n"/>
      <c r="C248" s="7">
        <f>IFERROR(VLOOKUP(B248,'Recetas y precios'!$A$5:$B$54,2,FALSE),"")</f>
        <v/>
      </c>
      <c r="D248" s="34" t="n"/>
      <c r="E248" s="34" t="n"/>
      <c r="F248" s="34" t="n"/>
      <c r="G248" s="13">
        <f>IFERROR(E248*F248,"")</f>
        <v/>
      </c>
      <c r="H248" s="13">
        <f>IFERROR(E248*VLOOKUP(B248,'Recetas y precios'!$A$5:$P$54,16,FALSE),"")</f>
        <v/>
      </c>
      <c r="I248" s="34" t="n"/>
      <c r="J248" s="13">
        <f>IFERROR(I248*VLOOKUP(B248,'Recetas y precios'!$A$5:$P$54,16,FALSE),"")</f>
        <v/>
      </c>
      <c r="K248" s="13">
        <f>IFERROR(G248-H248,"")</f>
        <v/>
      </c>
      <c r="L248" s="35">
        <f>IFERROR(K248/G248,"")</f>
        <v/>
      </c>
      <c r="M248" s="34" t="n"/>
    </row>
    <row r="249">
      <c r="A249" s="33" t="n"/>
      <c r="B249" s="34" t="n"/>
      <c r="C249" s="7">
        <f>IFERROR(VLOOKUP(B249,'Recetas y precios'!$A$5:$B$54,2,FALSE),"")</f>
        <v/>
      </c>
      <c r="D249" s="34" t="n"/>
      <c r="E249" s="34" t="n"/>
      <c r="F249" s="34" t="n"/>
      <c r="G249" s="13">
        <f>IFERROR(E249*F249,"")</f>
        <v/>
      </c>
      <c r="H249" s="13">
        <f>IFERROR(E249*VLOOKUP(B249,'Recetas y precios'!$A$5:$P$54,16,FALSE),"")</f>
        <v/>
      </c>
      <c r="I249" s="34" t="n"/>
      <c r="J249" s="13">
        <f>IFERROR(I249*VLOOKUP(B249,'Recetas y precios'!$A$5:$P$54,16,FALSE),"")</f>
        <v/>
      </c>
      <c r="K249" s="13">
        <f>IFERROR(G249-H249,"")</f>
        <v/>
      </c>
      <c r="L249" s="35">
        <f>IFERROR(K249/G249,"")</f>
        <v/>
      </c>
      <c r="M249" s="34" t="n"/>
    </row>
    <row r="250">
      <c r="A250" s="33" t="n"/>
      <c r="B250" s="34" t="n"/>
      <c r="C250" s="7">
        <f>IFERROR(VLOOKUP(B250,'Recetas y precios'!$A$5:$B$54,2,FALSE),"")</f>
        <v/>
      </c>
      <c r="D250" s="34" t="n"/>
      <c r="E250" s="34" t="n"/>
      <c r="F250" s="34" t="n"/>
      <c r="G250" s="13">
        <f>IFERROR(E250*F250,"")</f>
        <v/>
      </c>
      <c r="H250" s="13">
        <f>IFERROR(E250*VLOOKUP(B250,'Recetas y precios'!$A$5:$P$54,16,FALSE),"")</f>
        <v/>
      </c>
      <c r="I250" s="34" t="n"/>
      <c r="J250" s="13">
        <f>IFERROR(I250*VLOOKUP(B250,'Recetas y precios'!$A$5:$P$54,16,FALSE),"")</f>
        <v/>
      </c>
      <c r="K250" s="13">
        <f>IFERROR(G250-H250,"")</f>
        <v/>
      </c>
      <c r="L250" s="35">
        <f>IFERROR(K250/G250,"")</f>
        <v/>
      </c>
      <c r="M250" s="34" t="n"/>
    </row>
    <row r="251">
      <c r="A251" s="33" t="n"/>
      <c r="B251" s="34" t="n"/>
      <c r="C251" s="7">
        <f>IFERROR(VLOOKUP(B251,'Recetas y precios'!$A$5:$B$54,2,FALSE),"")</f>
        <v/>
      </c>
      <c r="D251" s="34" t="n"/>
      <c r="E251" s="34" t="n"/>
      <c r="F251" s="34" t="n"/>
      <c r="G251" s="13">
        <f>IFERROR(E251*F251,"")</f>
        <v/>
      </c>
      <c r="H251" s="13">
        <f>IFERROR(E251*VLOOKUP(B251,'Recetas y precios'!$A$5:$P$54,16,FALSE),"")</f>
        <v/>
      </c>
      <c r="I251" s="34" t="n"/>
      <c r="J251" s="13">
        <f>IFERROR(I251*VLOOKUP(B251,'Recetas y precios'!$A$5:$P$54,16,FALSE),"")</f>
        <v/>
      </c>
      <c r="K251" s="13">
        <f>IFERROR(G251-H251,"")</f>
        <v/>
      </c>
      <c r="L251" s="35">
        <f>IFERROR(K251/G251,"")</f>
        <v/>
      </c>
      <c r="M251" s="34" t="n"/>
    </row>
    <row r="252">
      <c r="A252" s="33" t="n"/>
      <c r="B252" s="34" t="n"/>
      <c r="C252" s="7">
        <f>IFERROR(VLOOKUP(B252,'Recetas y precios'!$A$5:$B$54,2,FALSE),"")</f>
        <v/>
      </c>
      <c r="D252" s="34" t="n"/>
      <c r="E252" s="34" t="n"/>
      <c r="F252" s="34" t="n"/>
      <c r="G252" s="13">
        <f>IFERROR(E252*F252,"")</f>
        <v/>
      </c>
      <c r="H252" s="13">
        <f>IFERROR(E252*VLOOKUP(B252,'Recetas y precios'!$A$5:$P$54,16,FALSE),"")</f>
        <v/>
      </c>
      <c r="I252" s="34" t="n"/>
      <c r="J252" s="13">
        <f>IFERROR(I252*VLOOKUP(B252,'Recetas y precios'!$A$5:$P$54,16,FALSE),"")</f>
        <v/>
      </c>
      <c r="K252" s="13">
        <f>IFERROR(G252-H252,"")</f>
        <v/>
      </c>
      <c r="L252" s="35">
        <f>IFERROR(K252/G252,"")</f>
        <v/>
      </c>
      <c r="M252" s="34" t="n"/>
    </row>
    <row r="253">
      <c r="A253" s="33" t="n"/>
      <c r="B253" s="34" t="n"/>
      <c r="C253" s="7">
        <f>IFERROR(VLOOKUP(B253,'Recetas y precios'!$A$5:$B$54,2,FALSE),"")</f>
        <v/>
      </c>
      <c r="D253" s="34" t="n"/>
      <c r="E253" s="34" t="n"/>
      <c r="F253" s="34" t="n"/>
      <c r="G253" s="13">
        <f>IFERROR(E253*F253,"")</f>
        <v/>
      </c>
      <c r="H253" s="13">
        <f>IFERROR(E253*VLOOKUP(B253,'Recetas y precios'!$A$5:$P$54,16,FALSE),"")</f>
        <v/>
      </c>
      <c r="I253" s="34" t="n"/>
      <c r="J253" s="13">
        <f>IFERROR(I253*VLOOKUP(B253,'Recetas y precios'!$A$5:$P$54,16,FALSE),"")</f>
        <v/>
      </c>
      <c r="K253" s="13">
        <f>IFERROR(G253-H253,"")</f>
        <v/>
      </c>
      <c r="L253" s="35">
        <f>IFERROR(K253/G253,"")</f>
        <v/>
      </c>
      <c r="M253" s="34" t="n"/>
    </row>
    <row r="254">
      <c r="A254" s="33" t="n"/>
      <c r="B254" s="34" t="n"/>
      <c r="C254" s="7">
        <f>IFERROR(VLOOKUP(B254,'Recetas y precios'!$A$5:$B$54,2,FALSE),"")</f>
        <v/>
      </c>
      <c r="D254" s="34" t="n"/>
      <c r="E254" s="34" t="n"/>
      <c r="F254" s="34" t="n"/>
      <c r="G254" s="13">
        <f>IFERROR(E254*F254,"")</f>
        <v/>
      </c>
      <c r="H254" s="13">
        <f>IFERROR(E254*VLOOKUP(B254,'Recetas y precios'!$A$5:$P$54,16,FALSE),"")</f>
        <v/>
      </c>
      <c r="I254" s="34" t="n"/>
      <c r="J254" s="13">
        <f>IFERROR(I254*VLOOKUP(B254,'Recetas y precios'!$A$5:$P$54,16,FALSE),"")</f>
        <v/>
      </c>
      <c r="K254" s="13">
        <f>IFERROR(G254-H254,"")</f>
        <v/>
      </c>
      <c r="L254" s="35">
        <f>IFERROR(K254/G254,"")</f>
        <v/>
      </c>
      <c r="M254" s="34" t="n"/>
    </row>
    <row r="255">
      <c r="A255" s="33" t="n"/>
      <c r="B255" s="34" t="n"/>
      <c r="C255" s="7">
        <f>IFERROR(VLOOKUP(B255,'Recetas y precios'!$A$5:$B$54,2,FALSE),"")</f>
        <v/>
      </c>
      <c r="D255" s="34" t="n"/>
      <c r="E255" s="34" t="n"/>
      <c r="F255" s="34" t="n"/>
      <c r="G255" s="13">
        <f>IFERROR(E255*F255,"")</f>
        <v/>
      </c>
      <c r="H255" s="13">
        <f>IFERROR(E255*VLOOKUP(B255,'Recetas y precios'!$A$5:$P$54,16,FALSE),"")</f>
        <v/>
      </c>
      <c r="I255" s="34" t="n"/>
      <c r="J255" s="13">
        <f>IFERROR(I255*VLOOKUP(B255,'Recetas y precios'!$A$5:$P$54,16,FALSE),"")</f>
        <v/>
      </c>
      <c r="K255" s="13">
        <f>IFERROR(G255-H255,"")</f>
        <v/>
      </c>
      <c r="L255" s="35">
        <f>IFERROR(K255/G255,"")</f>
        <v/>
      </c>
      <c r="M255" s="34" t="n"/>
    </row>
    <row r="256">
      <c r="A256" s="33" t="n"/>
      <c r="B256" s="34" t="n"/>
      <c r="C256" s="7">
        <f>IFERROR(VLOOKUP(B256,'Recetas y precios'!$A$5:$B$54,2,FALSE),"")</f>
        <v/>
      </c>
      <c r="D256" s="34" t="n"/>
      <c r="E256" s="34" t="n"/>
      <c r="F256" s="34" t="n"/>
      <c r="G256" s="13">
        <f>IFERROR(E256*F256,"")</f>
        <v/>
      </c>
      <c r="H256" s="13">
        <f>IFERROR(E256*VLOOKUP(B256,'Recetas y precios'!$A$5:$P$54,16,FALSE),"")</f>
        <v/>
      </c>
      <c r="I256" s="34" t="n"/>
      <c r="J256" s="13">
        <f>IFERROR(I256*VLOOKUP(B256,'Recetas y precios'!$A$5:$P$54,16,FALSE),"")</f>
        <v/>
      </c>
      <c r="K256" s="13">
        <f>IFERROR(G256-H256,"")</f>
        <v/>
      </c>
      <c r="L256" s="35">
        <f>IFERROR(K256/G256,"")</f>
        <v/>
      </c>
      <c r="M256" s="34" t="n"/>
    </row>
    <row r="257">
      <c r="A257" s="33" t="n"/>
      <c r="B257" s="34" t="n"/>
      <c r="C257" s="7">
        <f>IFERROR(VLOOKUP(B257,'Recetas y precios'!$A$5:$B$54,2,FALSE),"")</f>
        <v/>
      </c>
      <c r="D257" s="34" t="n"/>
      <c r="E257" s="34" t="n"/>
      <c r="F257" s="34" t="n"/>
      <c r="G257" s="13">
        <f>IFERROR(E257*F257,"")</f>
        <v/>
      </c>
      <c r="H257" s="13">
        <f>IFERROR(E257*VLOOKUP(B257,'Recetas y precios'!$A$5:$P$54,16,FALSE),"")</f>
        <v/>
      </c>
      <c r="I257" s="34" t="n"/>
      <c r="J257" s="13">
        <f>IFERROR(I257*VLOOKUP(B257,'Recetas y precios'!$A$5:$P$54,16,FALSE),"")</f>
        <v/>
      </c>
      <c r="K257" s="13">
        <f>IFERROR(G257-H257,"")</f>
        <v/>
      </c>
      <c r="L257" s="35">
        <f>IFERROR(K257/G257,"")</f>
        <v/>
      </c>
      <c r="M257" s="34" t="n"/>
    </row>
    <row r="258">
      <c r="A258" s="33" t="n"/>
      <c r="B258" s="34" t="n"/>
      <c r="C258" s="7">
        <f>IFERROR(VLOOKUP(B258,'Recetas y precios'!$A$5:$B$54,2,FALSE),"")</f>
        <v/>
      </c>
      <c r="D258" s="34" t="n"/>
      <c r="E258" s="34" t="n"/>
      <c r="F258" s="34" t="n"/>
      <c r="G258" s="13">
        <f>IFERROR(E258*F258,"")</f>
        <v/>
      </c>
      <c r="H258" s="13">
        <f>IFERROR(E258*VLOOKUP(B258,'Recetas y precios'!$A$5:$P$54,16,FALSE),"")</f>
        <v/>
      </c>
      <c r="I258" s="34" t="n"/>
      <c r="J258" s="13">
        <f>IFERROR(I258*VLOOKUP(B258,'Recetas y precios'!$A$5:$P$54,16,FALSE),"")</f>
        <v/>
      </c>
      <c r="K258" s="13">
        <f>IFERROR(G258-H258,"")</f>
        <v/>
      </c>
      <c r="L258" s="35">
        <f>IFERROR(K258/G258,"")</f>
        <v/>
      </c>
      <c r="M258" s="34" t="n"/>
    </row>
    <row r="259">
      <c r="A259" s="33" t="n"/>
      <c r="B259" s="34" t="n"/>
      <c r="C259" s="7">
        <f>IFERROR(VLOOKUP(B259,'Recetas y precios'!$A$5:$B$54,2,FALSE),"")</f>
        <v/>
      </c>
      <c r="D259" s="34" t="n"/>
      <c r="E259" s="34" t="n"/>
      <c r="F259" s="34" t="n"/>
      <c r="G259" s="13">
        <f>IFERROR(E259*F259,"")</f>
        <v/>
      </c>
      <c r="H259" s="13">
        <f>IFERROR(E259*VLOOKUP(B259,'Recetas y precios'!$A$5:$P$54,16,FALSE),"")</f>
        <v/>
      </c>
      <c r="I259" s="34" t="n"/>
      <c r="J259" s="13">
        <f>IFERROR(I259*VLOOKUP(B259,'Recetas y precios'!$A$5:$P$54,16,FALSE),"")</f>
        <v/>
      </c>
      <c r="K259" s="13">
        <f>IFERROR(G259-H259,"")</f>
        <v/>
      </c>
      <c r="L259" s="35">
        <f>IFERROR(K259/G259,"")</f>
        <v/>
      </c>
      <c r="M259" s="34" t="n"/>
    </row>
    <row r="260">
      <c r="A260" s="33" t="n"/>
      <c r="B260" s="34" t="n"/>
      <c r="C260" s="7">
        <f>IFERROR(VLOOKUP(B260,'Recetas y precios'!$A$5:$B$54,2,FALSE),"")</f>
        <v/>
      </c>
      <c r="D260" s="34" t="n"/>
      <c r="E260" s="34" t="n"/>
      <c r="F260" s="34" t="n"/>
      <c r="G260" s="13">
        <f>IFERROR(E260*F260,"")</f>
        <v/>
      </c>
      <c r="H260" s="13">
        <f>IFERROR(E260*VLOOKUP(B260,'Recetas y precios'!$A$5:$P$54,16,FALSE),"")</f>
        <v/>
      </c>
      <c r="I260" s="34" t="n"/>
      <c r="J260" s="13">
        <f>IFERROR(I260*VLOOKUP(B260,'Recetas y precios'!$A$5:$P$54,16,FALSE),"")</f>
        <v/>
      </c>
      <c r="K260" s="13">
        <f>IFERROR(G260-H260,"")</f>
        <v/>
      </c>
      <c r="L260" s="35">
        <f>IFERROR(K260/G260,"")</f>
        <v/>
      </c>
      <c r="M260" s="34" t="n"/>
    </row>
    <row r="261">
      <c r="A261" s="33" t="n"/>
      <c r="B261" s="34" t="n"/>
      <c r="C261" s="7">
        <f>IFERROR(VLOOKUP(B261,'Recetas y precios'!$A$5:$B$54,2,FALSE),"")</f>
        <v/>
      </c>
      <c r="D261" s="34" t="n"/>
      <c r="E261" s="34" t="n"/>
      <c r="F261" s="34" t="n"/>
      <c r="G261" s="13">
        <f>IFERROR(E261*F261,"")</f>
        <v/>
      </c>
      <c r="H261" s="13">
        <f>IFERROR(E261*VLOOKUP(B261,'Recetas y precios'!$A$5:$P$54,16,FALSE),"")</f>
        <v/>
      </c>
      <c r="I261" s="34" t="n"/>
      <c r="J261" s="13">
        <f>IFERROR(I261*VLOOKUP(B261,'Recetas y precios'!$A$5:$P$54,16,FALSE),"")</f>
        <v/>
      </c>
      <c r="K261" s="13">
        <f>IFERROR(G261-H261,"")</f>
        <v/>
      </c>
      <c r="L261" s="35">
        <f>IFERROR(K261/G261,"")</f>
        <v/>
      </c>
      <c r="M261" s="34" t="n"/>
    </row>
    <row r="262">
      <c r="A262" s="33" t="n"/>
      <c r="B262" s="34" t="n"/>
      <c r="C262" s="7">
        <f>IFERROR(VLOOKUP(B262,'Recetas y precios'!$A$5:$B$54,2,FALSE),"")</f>
        <v/>
      </c>
      <c r="D262" s="34" t="n"/>
      <c r="E262" s="34" t="n"/>
      <c r="F262" s="34" t="n"/>
      <c r="G262" s="13">
        <f>IFERROR(E262*F262,"")</f>
        <v/>
      </c>
      <c r="H262" s="13">
        <f>IFERROR(E262*VLOOKUP(B262,'Recetas y precios'!$A$5:$P$54,16,FALSE),"")</f>
        <v/>
      </c>
      <c r="I262" s="34" t="n"/>
      <c r="J262" s="13">
        <f>IFERROR(I262*VLOOKUP(B262,'Recetas y precios'!$A$5:$P$54,16,FALSE),"")</f>
        <v/>
      </c>
      <c r="K262" s="13">
        <f>IFERROR(G262-H262,"")</f>
        <v/>
      </c>
      <c r="L262" s="35">
        <f>IFERROR(K262/G262,"")</f>
        <v/>
      </c>
      <c r="M262" s="34" t="n"/>
    </row>
    <row r="263">
      <c r="A263" s="33" t="n"/>
      <c r="B263" s="34" t="n"/>
      <c r="C263" s="7">
        <f>IFERROR(VLOOKUP(B263,'Recetas y precios'!$A$5:$B$54,2,FALSE),"")</f>
        <v/>
      </c>
      <c r="D263" s="34" t="n"/>
      <c r="E263" s="34" t="n"/>
      <c r="F263" s="34" t="n"/>
      <c r="G263" s="13">
        <f>IFERROR(E263*F263,"")</f>
        <v/>
      </c>
      <c r="H263" s="13">
        <f>IFERROR(E263*VLOOKUP(B263,'Recetas y precios'!$A$5:$P$54,16,FALSE),"")</f>
        <v/>
      </c>
      <c r="I263" s="34" t="n"/>
      <c r="J263" s="13">
        <f>IFERROR(I263*VLOOKUP(B263,'Recetas y precios'!$A$5:$P$54,16,FALSE),"")</f>
        <v/>
      </c>
      <c r="K263" s="13">
        <f>IFERROR(G263-H263,"")</f>
        <v/>
      </c>
      <c r="L263" s="35">
        <f>IFERROR(K263/G263,"")</f>
        <v/>
      </c>
      <c r="M263" s="34" t="n"/>
    </row>
    <row r="264">
      <c r="A264" s="33" t="n"/>
      <c r="B264" s="34" t="n"/>
      <c r="C264" s="7">
        <f>IFERROR(VLOOKUP(B264,'Recetas y precios'!$A$5:$B$54,2,FALSE),"")</f>
        <v/>
      </c>
      <c r="D264" s="34" t="n"/>
      <c r="E264" s="34" t="n"/>
      <c r="F264" s="34" t="n"/>
      <c r="G264" s="13">
        <f>IFERROR(E264*F264,"")</f>
        <v/>
      </c>
      <c r="H264" s="13">
        <f>IFERROR(E264*VLOOKUP(B264,'Recetas y precios'!$A$5:$P$54,16,FALSE),"")</f>
        <v/>
      </c>
      <c r="I264" s="34" t="n"/>
      <c r="J264" s="13">
        <f>IFERROR(I264*VLOOKUP(B264,'Recetas y precios'!$A$5:$P$54,16,FALSE),"")</f>
        <v/>
      </c>
      <c r="K264" s="13">
        <f>IFERROR(G264-H264,"")</f>
        <v/>
      </c>
      <c r="L264" s="35">
        <f>IFERROR(K264/G264,"")</f>
        <v/>
      </c>
      <c r="M264" s="34" t="n"/>
    </row>
    <row r="265">
      <c r="A265" s="33" t="n"/>
      <c r="B265" s="34" t="n"/>
      <c r="C265" s="7">
        <f>IFERROR(VLOOKUP(B265,'Recetas y precios'!$A$5:$B$54,2,FALSE),"")</f>
        <v/>
      </c>
      <c r="D265" s="34" t="n"/>
      <c r="E265" s="34" t="n"/>
      <c r="F265" s="34" t="n"/>
      <c r="G265" s="13">
        <f>IFERROR(E265*F265,"")</f>
        <v/>
      </c>
      <c r="H265" s="13">
        <f>IFERROR(E265*VLOOKUP(B265,'Recetas y precios'!$A$5:$P$54,16,FALSE),"")</f>
        <v/>
      </c>
      <c r="I265" s="34" t="n"/>
      <c r="J265" s="13">
        <f>IFERROR(I265*VLOOKUP(B265,'Recetas y precios'!$A$5:$P$54,16,FALSE),"")</f>
        <v/>
      </c>
      <c r="K265" s="13">
        <f>IFERROR(G265-H265,"")</f>
        <v/>
      </c>
      <c r="L265" s="35">
        <f>IFERROR(K265/G265,"")</f>
        <v/>
      </c>
      <c r="M265" s="34" t="n"/>
    </row>
    <row r="266">
      <c r="A266" s="33" t="n"/>
      <c r="B266" s="34" t="n"/>
      <c r="C266" s="7">
        <f>IFERROR(VLOOKUP(B266,'Recetas y precios'!$A$5:$B$54,2,FALSE),"")</f>
        <v/>
      </c>
      <c r="D266" s="34" t="n"/>
      <c r="E266" s="34" t="n"/>
      <c r="F266" s="34" t="n"/>
      <c r="G266" s="13">
        <f>IFERROR(E266*F266,"")</f>
        <v/>
      </c>
      <c r="H266" s="13">
        <f>IFERROR(E266*VLOOKUP(B266,'Recetas y precios'!$A$5:$P$54,16,FALSE),"")</f>
        <v/>
      </c>
      <c r="I266" s="34" t="n"/>
      <c r="J266" s="13">
        <f>IFERROR(I266*VLOOKUP(B266,'Recetas y precios'!$A$5:$P$54,16,FALSE),"")</f>
        <v/>
      </c>
      <c r="K266" s="13">
        <f>IFERROR(G266-H266,"")</f>
        <v/>
      </c>
      <c r="L266" s="35">
        <f>IFERROR(K266/G266,"")</f>
        <v/>
      </c>
      <c r="M266" s="34" t="n"/>
    </row>
    <row r="267">
      <c r="A267" s="33" t="n"/>
      <c r="B267" s="34" t="n"/>
      <c r="C267" s="7">
        <f>IFERROR(VLOOKUP(B267,'Recetas y precios'!$A$5:$B$54,2,FALSE),"")</f>
        <v/>
      </c>
      <c r="D267" s="34" t="n"/>
      <c r="E267" s="34" t="n"/>
      <c r="F267" s="34" t="n"/>
      <c r="G267" s="13">
        <f>IFERROR(E267*F267,"")</f>
        <v/>
      </c>
      <c r="H267" s="13">
        <f>IFERROR(E267*VLOOKUP(B267,'Recetas y precios'!$A$5:$P$54,16,FALSE),"")</f>
        <v/>
      </c>
      <c r="I267" s="34" t="n"/>
      <c r="J267" s="13">
        <f>IFERROR(I267*VLOOKUP(B267,'Recetas y precios'!$A$5:$P$54,16,FALSE),"")</f>
        <v/>
      </c>
      <c r="K267" s="13">
        <f>IFERROR(G267-H267,"")</f>
        <v/>
      </c>
      <c r="L267" s="35">
        <f>IFERROR(K267/G267,"")</f>
        <v/>
      </c>
      <c r="M267" s="34" t="n"/>
    </row>
    <row r="268">
      <c r="A268" s="33" t="n"/>
      <c r="B268" s="34" t="n"/>
      <c r="C268" s="7">
        <f>IFERROR(VLOOKUP(B268,'Recetas y precios'!$A$5:$B$54,2,FALSE),"")</f>
        <v/>
      </c>
      <c r="D268" s="34" t="n"/>
      <c r="E268" s="34" t="n"/>
      <c r="F268" s="34" t="n"/>
      <c r="G268" s="13">
        <f>IFERROR(E268*F268,"")</f>
        <v/>
      </c>
      <c r="H268" s="13">
        <f>IFERROR(E268*VLOOKUP(B268,'Recetas y precios'!$A$5:$P$54,16,FALSE),"")</f>
        <v/>
      </c>
      <c r="I268" s="34" t="n"/>
      <c r="J268" s="13">
        <f>IFERROR(I268*VLOOKUP(B268,'Recetas y precios'!$A$5:$P$54,16,FALSE),"")</f>
        <v/>
      </c>
      <c r="K268" s="13">
        <f>IFERROR(G268-H268,"")</f>
        <v/>
      </c>
      <c r="L268" s="35">
        <f>IFERROR(K268/G268,"")</f>
        <v/>
      </c>
      <c r="M268" s="34" t="n"/>
    </row>
    <row r="269">
      <c r="A269" s="33" t="n"/>
      <c r="B269" s="34" t="n"/>
      <c r="C269" s="7">
        <f>IFERROR(VLOOKUP(B269,'Recetas y precios'!$A$5:$B$54,2,FALSE),"")</f>
        <v/>
      </c>
      <c r="D269" s="34" t="n"/>
      <c r="E269" s="34" t="n"/>
      <c r="F269" s="34" t="n"/>
      <c r="G269" s="13">
        <f>IFERROR(E269*F269,"")</f>
        <v/>
      </c>
      <c r="H269" s="13">
        <f>IFERROR(E269*VLOOKUP(B269,'Recetas y precios'!$A$5:$P$54,16,FALSE),"")</f>
        <v/>
      </c>
      <c r="I269" s="34" t="n"/>
      <c r="J269" s="13">
        <f>IFERROR(I269*VLOOKUP(B269,'Recetas y precios'!$A$5:$P$54,16,FALSE),"")</f>
        <v/>
      </c>
      <c r="K269" s="13">
        <f>IFERROR(G269-H269,"")</f>
        <v/>
      </c>
      <c r="L269" s="35">
        <f>IFERROR(K269/G269,"")</f>
        <v/>
      </c>
      <c r="M269" s="34" t="n"/>
    </row>
    <row r="270">
      <c r="A270" s="33" t="n"/>
      <c r="B270" s="34" t="n"/>
      <c r="C270" s="7">
        <f>IFERROR(VLOOKUP(B270,'Recetas y precios'!$A$5:$B$54,2,FALSE),"")</f>
        <v/>
      </c>
      <c r="D270" s="34" t="n"/>
      <c r="E270" s="34" t="n"/>
      <c r="F270" s="34" t="n"/>
      <c r="G270" s="13">
        <f>IFERROR(E270*F270,"")</f>
        <v/>
      </c>
      <c r="H270" s="13">
        <f>IFERROR(E270*VLOOKUP(B270,'Recetas y precios'!$A$5:$P$54,16,FALSE),"")</f>
        <v/>
      </c>
      <c r="I270" s="34" t="n"/>
      <c r="J270" s="13">
        <f>IFERROR(I270*VLOOKUP(B270,'Recetas y precios'!$A$5:$P$54,16,FALSE),"")</f>
        <v/>
      </c>
      <c r="K270" s="13">
        <f>IFERROR(G270-H270,"")</f>
        <v/>
      </c>
      <c r="L270" s="35">
        <f>IFERROR(K270/G270,"")</f>
        <v/>
      </c>
      <c r="M270" s="34" t="n"/>
    </row>
    <row r="271">
      <c r="A271" s="33" t="n"/>
      <c r="B271" s="34" t="n"/>
      <c r="C271" s="7">
        <f>IFERROR(VLOOKUP(B271,'Recetas y precios'!$A$5:$B$54,2,FALSE),"")</f>
        <v/>
      </c>
      <c r="D271" s="34" t="n"/>
      <c r="E271" s="34" t="n"/>
      <c r="F271" s="34" t="n"/>
      <c r="G271" s="13">
        <f>IFERROR(E271*F271,"")</f>
        <v/>
      </c>
      <c r="H271" s="13">
        <f>IFERROR(E271*VLOOKUP(B271,'Recetas y precios'!$A$5:$P$54,16,FALSE),"")</f>
        <v/>
      </c>
      <c r="I271" s="34" t="n"/>
      <c r="J271" s="13">
        <f>IFERROR(I271*VLOOKUP(B271,'Recetas y precios'!$A$5:$P$54,16,FALSE),"")</f>
        <v/>
      </c>
      <c r="K271" s="13">
        <f>IFERROR(G271-H271,"")</f>
        <v/>
      </c>
      <c r="L271" s="35">
        <f>IFERROR(K271/G271,"")</f>
        <v/>
      </c>
      <c r="M271" s="34" t="n"/>
    </row>
    <row r="272">
      <c r="A272" s="33" t="n"/>
      <c r="B272" s="34" t="n"/>
      <c r="C272" s="7">
        <f>IFERROR(VLOOKUP(B272,'Recetas y precios'!$A$5:$B$54,2,FALSE),"")</f>
        <v/>
      </c>
      <c r="D272" s="34" t="n"/>
      <c r="E272" s="34" t="n"/>
      <c r="F272" s="34" t="n"/>
      <c r="G272" s="13">
        <f>IFERROR(E272*F272,"")</f>
        <v/>
      </c>
      <c r="H272" s="13">
        <f>IFERROR(E272*VLOOKUP(B272,'Recetas y precios'!$A$5:$P$54,16,FALSE),"")</f>
        <v/>
      </c>
      <c r="I272" s="34" t="n"/>
      <c r="J272" s="13">
        <f>IFERROR(I272*VLOOKUP(B272,'Recetas y precios'!$A$5:$P$54,16,FALSE),"")</f>
        <v/>
      </c>
      <c r="K272" s="13">
        <f>IFERROR(G272-H272,"")</f>
        <v/>
      </c>
      <c r="L272" s="35">
        <f>IFERROR(K272/G272,"")</f>
        <v/>
      </c>
      <c r="M272" s="34" t="n"/>
    </row>
    <row r="273">
      <c r="A273" s="33" t="n"/>
      <c r="B273" s="34" t="n"/>
      <c r="C273" s="7">
        <f>IFERROR(VLOOKUP(B273,'Recetas y precios'!$A$5:$B$54,2,FALSE),"")</f>
        <v/>
      </c>
      <c r="D273" s="34" t="n"/>
      <c r="E273" s="34" t="n"/>
      <c r="F273" s="34" t="n"/>
      <c r="G273" s="13">
        <f>IFERROR(E273*F273,"")</f>
        <v/>
      </c>
      <c r="H273" s="13">
        <f>IFERROR(E273*VLOOKUP(B273,'Recetas y precios'!$A$5:$P$54,16,FALSE),"")</f>
        <v/>
      </c>
      <c r="I273" s="34" t="n"/>
      <c r="J273" s="13">
        <f>IFERROR(I273*VLOOKUP(B273,'Recetas y precios'!$A$5:$P$54,16,FALSE),"")</f>
        <v/>
      </c>
      <c r="K273" s="13">
        <f>IFERROR(G273-H273,"")</f>
        <v/>
      </c>
      <c r="L273" s="35">
        <f>IFERROR(K273/G273,"")</f>
        <v/>
      </c>
      <c r="M273" s="34" t="n"/>
    </row>
    <row r="274">
      <c r="A274" s="33" t="n"/>
      <c r="B274" s="34" t="n"/>
      <c r="C274" s="7">
        <f>IFERROR(VLOOKUP(B274,'Recetas y precios'!$A$5:$B$54,2,FALSE),"")</f>
        <v/>
      </c>
      <c r="D274" s="34" t="n"/>
      <c r="E274" s="34" t="n"/>
      <c r="F274" s="34" t="n"/>
      <c r="G274" s="13">
        <f>IFERROR(E274*F274,"")</f>
        <v/>
      </c>
      <c r="H274" s="13">
        <f>IFERROR(E274*VLOOKUP(B274,'Recetas y precios'!$A$5:$P$54,16,FALSE),"")</f>
        <v/>
      </c>
      <c r="I274" s="34" t="n"/>
      <c r="J274" s="13">
        <f>IFERROR(I274*VLOOKUP(B274,'Recetas y precios'!$A$5:$P$54,16,FALSE),"")</f>
        <v/>
      </c>
      <c r="K274" s="13">
        <f>IFERROR(G274-H274,"")</f>
        <v/>
      </c>
      <c r="L274" s="35">
        <f>IFERROR(K274/G274,"")</f>
        <v/>
      </c>
      <c r="M274" s="34" t="n"/>
    </row>
    <row r="275">
      <c r="A275" s="33" t="n"/>
      <c r="B275" s="34" t="n"/>
      <c r="C275" s="7">
        <f>IFERROR(VLOOKUP(B275,'Recetas y precios'!$A$5:$B$54,2,FALSE),"")</f>
        <v/>
      </c>
      <c r="D275" s="34" t="n"/>
      <c r="E275" s="34" t="n"/>
      <c r="F275" s="34" t="n"/>
      <c r="G275" s="13">
        <f>IFERROR(E275*F275,"")</f>
        <v/>
      </c>
      <c r="H275" s="13">
        <f>IFERROR(E275*VLOOKUP(B275,'Recetas y precios'!$A$5:$P$54,16,FALSE),"")</f>
        <v/>
      </c>
      <c r="I275" s="34" t="n"/>
      <c r="J275" s="13">
        <f>IFERROR(I275*VLOOKUP(B275,'Recetas y precios'!$A$5:$P$54,16,FALSE),"")</f>
        <v/>
      </c>
      <c r="K275" s="13">
        <f>IFERROR(G275-H275,"")</f>
        <v/>
      </c>
      <c r="L275" s="35">
        <f>IFERROR(K275/G275,"")</f>
        <v/>
      </c>
      <c r="M275" s="34" t="n"/>
    </row>
    <row r="276">
      <c r="A276" s="33" t="n"/>
      <c r="B276" s="34" t="n"/>
      <c r="C276" s="7">
        <f>IFERROR(VLOOKUP(B276,'Recetas y precios'!$A$5:$B$54,2,FALSE),"")</f>
        <v/>
      </c>
      <c r="D276" s="34" t="n"/>
      <c r="E276" s="34" t="n"/>
      <c r="F276" s="34" t="n"/>
      <c r="G276" s="13">
        <f>IFERROR(E276*F276,"")</f>
        <v/>
      </c>
      <c r="H276" s="13">
        <f>IFERROR(E276*VLOOKUP(B276,'Recetas y precios'!$A$5:$P$54,16,FALSE),"")</f>
        <v/>
      </c>
      <c r="I276" s="34" t="n"/>
      <c r="J276" s="13">
        <f>IFERROR(I276*VLOOKUP(B276,'Recetas y precios'!$A$5:$P$54,16,FALSE),"")</f>
        <v/>
      </c>
      <c r="K276" s="13">
        <f>IFERROR(G276-H276,"")</f>
        <v/>
      </c>
      <c r="L276" s="35">
        <f>IFERROR(K276/G276,"")</f>
        <v/>
      </c>
      <c r="M276" s="34" t="n"/>
    </row>
    <row r="277">
      <c r="A277" s="33" t="n"/>
      <c r="B277" s="34" t="n"/>
      <c r="C277" s="7">
        <f>IFERROR(VLOOKUP(B277,'Recetas y precios'!$A$5:$B$54,2,FALSE),"")</f>
        <v/>
      </c>
      <c r="D277" s="34" t="n"/>
      <c r="E277" s="34" t="n"/>
      <c r="F277" s="34" t="n"/>
      <c r="G277" s="13">
        <f>IFERROR(E277*F277,"")</f>
        <v/>
      </c>
      <c r="H277" s="13">
        <f>IFERROR(E277*VLOOKUP(B277,'Recetas y precios'!$A$5:$P$54,16,FALSE),"")</f>
        <v/>
      </c>
      <c r="I277" s="34" t="n"/>
      <c r="J277" s="13">
        <f>IFERROR(I277*VLOOKUP(B277,'Recetas y precios'!$A$5:$P$54,16,FALSE),"")</f>
        <v/>
      </c>
      <c r="K277" s="13">
        <f>IFERROR(G277-H277,"")</f>
        <v/>
      </c>
      <c r="L277" s="35">
        <f>IFERROR(K277/G277,"")</f>
        <v/>
      </c>
      <c r="M277" s="34" t="n"/>
    </row>
    <row r="278">
      <c r="A278" s="33" t="n"/>
      <c r="B278" s="34" t="n"/>
      <c r="C278" s="7">
        <f>IFERROR(VLOOKUP(B278,'Recetas y precios'!$A$5:$B$54,2,FALSE),"")</f>
        <v/>
      </c>
      <c r="D278" s="34" t="n"/>
      <c r="E278" s="34" t="n"/>
      <c r="F278" s="34" t="n"/>
      <c r="G278" s="13">
        <f>IFERROR(E278*F278,"")</f>
        <v/>
      </c>
      <c r="H278" s="13">
        <f>IFERROR(E278*VLOOKUP(B278,'Recetas y precios'!$A$5:$P$54,16,FALSE),"")</f>
        <v/>
      </c>
      <c r="I278" s="34" t="n"/>
      <c r="J278" s="13">
        <f>IFERROR(I278*VLOOKUP(B278,'Recetas y precios'!$A$5:$P$54,16,FALSE),"")</f>
        <v/>
      </c>
      <c r="K278" s="13">
        <f>IFERROR(G278-H278,"")</f>
        <v/>
      </c>
      <c r="L278" s="35">
        <f>IFERROR(K278/G278,"")</f>
        <v/>
      </c>
      <c r="M278" s="34" t="n"/>
    </row>
    <row r="279">
      <c r="A279" s="33" t="n"/>
      <c r="B279" s="34" t="n"/>
      <c r="C279" s="7">
        <f>IFERROR(VLOOKUP(B279,'Recetas y precios'!$A$5:$B$54,2,FALSE),"")</f>
        <v/>
      </c>
      <c r="D279" s="34" t="n"/>
      <c r="E279" s="34" t="n"/>
      <c r="F279" s="34" t="n"/>
      <c r="G279" s="13">
        <f>IFERROR(E279*F279,"")</f>
        <v/>
      </c>
      <c r="H279" s="13">
        <f>IFERROR(E279*VLOOKUP(B279,'Recetas y precios'!$A$5:$P$54,16,FALSE),"")</f>
        <v/>
      </c>
      <c r="I279" s="34" t="n"/>
      <c r="J279" s="13">
        <f>IFERROR(I279*VLOOKUP(B279,'Recetas y precios'!$A$5:$P$54,16,FALSE),"")</f>
        <v/>
      </c>
      <c r="K279" s="13">
        <f>IFERROR(G279-H279,"")</f>
        <v/>
      </c>
      <c r="L279" s="35">
        <f>IFERROR(K279/G279,"")</f>
        <v/>
      </c>
      <c r="M279" s="34" t="n"/>
    </row>
    <row r="280">
      <c r="A280" s="33" t="n"/>
      <c r="B280" s="34" t="n"/>
      <c r="C280" s="7">
        <f>IFERROR(VLOOKUP(B280,'Recetas y precios'!$A$5:$B$54,2,FALSE),"")</f>
        <v/>
      </c>
      <c r="D280" s="34" t="n"/>
      <c r="E280" s="34" t="n"/>
      <c r="F280" s="34" t="n"/>
      <c r="G280" s="13">
        <f>IFERROR(E280*F280,"")</f>
        <v/>
      </c>
      <c r="H280" s="13">
        <f>IFERROR(E280*VLOOKUP(B280,'Recetas y precios'!$A$5:$P$54,16,FALSE),"")</f>
        <v/>
      </c>
      <c r="I280" s="34" t="n"/>
      <c r="J280" s="13">
        <f>IFERROR(I280*VLOOKUP(B280,'Recetas y precios'!$A$5:$P$54,16,FALSE),"")</f>
        <v/>
      </c>
      <c r="K280" s="13">
        <f>IFERROR(G280-H280,"")</f>
        <v/>
      </c>
      <c r="L280" s="35">
        <f>IFERROR(K280/G280,"")</f>
        <v/>
      </c>
      <c r="M280" s="34" t="n"/>
    </row>
    <row r="281">
      <c r="A281" s="33" t="n"/>
      <c r="B281" s="34" t="n"/>
      <c r="C281" s="7">
        <f>IFERROR(VLOOKUP(B281,'Recetas y precios'!$A$5:$B$54,2,FALSE),"")</f>
        <v/>
      </c>
      <c r="D281" s="34" t="n"/>
      <c r="E281" s="34" t="n"/>
      <c r="F281" s="34" t="n"/>
      <c r="G281" s="13">
        <f>IFERROR(E281*F281,"")</f>
        <v/>
      </c>
      <c r="H281" s="13">
        <f>IFERROR(E281*VLOOKUP(B281,'Recetas y precios'!$A$5:$P$54,16,FALSE),"")</f>
        <v/>
      </c>
      <c r="I281" s="34" t="n"/>
      <c r="J281" s="13">
        <f>IFERROR(I281*VLOOKUP(B281,'Recetas y precios'!$A$5:$P$54,16,FALSE),"")</f>
        <v/>
      </c>
      <c r="K281" s="13">
        <f>IFERROR(G281-H281,"")</f>
        <v/>
      </c>
      <c r="L281" s="35">
        <f>IFERROR(K281/G281,"")</f>
        <v/>
      </c>
      <c r="M281" s="34" t="n"/>
    </row>
    <row r="282">
      <c r="A282" s="33" t="n"/>
      <c r="B282" s="34" t="n"/>
      <c r="C282" s="7">
        <f>IFERROR(VLOOKUP(B282,'Recetas y precios'!$A$5:$B$54,2,FALSE),"")</f>
        <v/>
      </c>
      <c r="D282" s="34" t="n"/>
      <c r="E282" s="34" t="n"/>
      <c r="F282" s="34" t="n"/>
      <c r="G282" s="13">
        <f>IFERROR(E282*F282,"")</f>
        <v/>
      </c>
      <c r="H282" s="13">
        <f>IFERROR(E282*VLOOKUP(B282,'Recetas y precios'!$A$5:$P$54,16,FALSE),"")</f>
        <v/>
      </c>
      <c r="I282" s="34" t="n"/>
      <c r="J282" s="13">
        <f>IFERROR(I282*VLOOKUP(B282,'Recetas y precios'!$A$5:$P$54,16,FALSE),"")</f>
        <v/>
      </c>
      <c r="K282" s="13">
        <f>IFERROR(G282-H282,"")</f>
        <v/>
      </c>
      <c r="L282" s="35">
        <f>IFERROR(K282/G282,"")</f>
        <v/>
      </c>
      <c r="M282" s="34" t="n"/>
    </row>
    <row r="283">
      <c r="A283" s="33" t="n"/>
      <c r="B283" s="34" t="n"/>
      <c r="C283" s="7">
        <f>IFERROR(VLOOKUP(B283,'Recetas y precios'!$A$5:$B$54,2,FALSE),"")</f>
        <v/>
      </c>
      <c r="D283" s="34" t="n"/>
      <c r="E283" s="34" t="n"/>
      <c r="F283" s="34" t="n"/>
      <c r="G283" s="13">
        <f>IFERROR(E283*F283,"")</f>
        <v/>
      </c>
      <c r="H283" s="13">
        <f>IFERROR(E283*VLOOKUP(B283,'Recetas y precios'!$A$5:$P$54,16,FALSE),"")</f>
        <v/>
      </c>
      <c r="I283" s="34" t="n"/>
      <c r="J283" s="13">
        <f>IFERROR(I283*VLOOKUP(B283,'Recetas y precios'!$A$5:$P$54,16,FALSE),"")</f>
        <v/>
      </c>
      <c r="K283" s="13">
        <f>IFERROR(G283-H283,"")</f>
        <v/>
      </c>
      <c r="L283" s="35">
        <f>IFERROR(K283/G283,"")</f>
        <v/>
      </c>
      <c r="M283" s="34" t="n"/>
    </row>
    <row r="284">
      <c r="A284" s="33" t="n"/>
      <c r="B284" s="34" t="n"/>
      <c r="C284" s="7">
        <f>IFERROR(VLOOKUP(B284,'Recetas y precios'!$A$5:$B$54,2,FALSE),"")</f>
        <v/>
      </c>
      <c r="D284" s="34" t="n"/>
      <c r="E284" s="34" t="n"/>
      <c r="F284" s="34" t="n"/>
      <c r="G284" s="13">
        <f>IFERROR(E284*F284,"")</f>
        <v/>
      </c>
      <c r="H284" s="13">
        <f>IFERROR(E284*VLOOKUP(B284,'Recetas y precios'!$A$5:$P$54,16,FALSE),"")</f>
        <v/>
      </c>
      <c r="I284" s="34" t="n"/>
      <c r="J284" s="13">
        <f>IFERROR(I284*VLOOKUP(B284,'Recetas y precios'!$A$5:$P$54,16,FALSE),"")</f>
        <v/>
      </c>
      <c r="K284" s="13">
        <f>IFERROR(G284-H284,"")</f>
        <v/>
      </c>
      <c r="L284" s="35">
        <f>IFERROR(K284/G284,"")</f>
        <v/>
      </c>
      <c r="M284" s="34" t="n"/>
    </row>
    <row r="285">
      <c r="A285" s="33" t="n"/>
      <c r="B285" s="34" t="n"/>
      <c r="C285" s="7">
        <f>IFERROR(VLOOKUP(B285,'Recetas y precios'!$A$5:$B$54,2,FALSE),"")</f>
        <v/>
      </c>
      <c r="D285" s="34" t="n"/>
      <c r="E285" s="34" t="n"/>
      <c r="F285" s="34" t="n"/>
      <c r="G285" s="13">
        <f>IFERROR(E285*F285,"")</f>
        <v/>
      </c>
      <c r="H285" s="13">
        <f>IFERROR(E285*VLOOKUP(B285,'Recetas y precios'!$A$5:$P$54,16,FALSE),"")</f>
        <v/>
      </c>
      <c r="I285" s="34" t="n"/>
      <c r="J285" s="13">
        <f>IFERROR(I285*VLOOKUP(B285,'Recetas y precios'!$A$5:$P$54,16,FALSE),"")</f>
        <v/>
      </c>
      <c r="K285" s="13">
        <f>IFERROR(G285-H285,"")</f>
        <v/>
      </c>
      <c r="L285" s="35">
        <f>IFERROR(K285/G285,"")</f>
        <v/>
      </c>
      <c r="M285" s="34" t="n"/>
    </row>
    <row r="286">
      <c r="A286" s="33" t="n"/>
      <c r="B286" s="34" t="n"/>
      <c r="C286" s="7">
        <f>IFERROR(VLOOKUP(B286,'Recetas y precios'!$A$5:$B$54,2,FALSE),"")</f>
        <v/>
      </c>
      <c r="D286" s="34" t="n"/>
      <c r="E286" s="34" t="n"/>
      <c r="F286" s="34" t="n"/>
      <c r="G286" s="13">
        <f>IFERROR(E286*F286,"")</f>
        <v/>
      </c>
      <c r="H286" s="13">
        <f>IFERROR(E286*VLOOKUP(B286,'Recetas y precios'!$A$5:$P$54,16,FALSE),"")</f>
        <v/>
      </c>
      <c r="I286" s="34" t="n"/>
      <c r="J286" s="13">
        <f>IFERROR(I286*VLOOKUP(B286,'Recetas y precios'!$A$5:$P$54,16,FALSE),"")</f>
        <v/>
      </c>
      <c r="K286" s="13">
        <f>IFERROR(G286-H286,"")</f>
        <v/>
      </c>
      <c r="L286" s="35">
        <f>IFERROR(K286/G286,"")</f>
        <v/>
      </c>
      <c r="M286" s="34" t="n"/>
    </row>
    <row r="287">
      <c r="A287" s="33" t="n"/>
      <c r="B287" s="34" t="n"/>
      <c r="C287" s="7">
        <f>IFERROR(VLOOKUP(B287,'Recetas y precios'!$A$5:$B$54,2,FALSE),"")</f>
        <v/>
      </c>
      <c r="D287" s="34" t="n"/>
      <c r="E287" s="34" t="n"/>
      <c r="F287" s="34" t="n"/>
      <c r="G287" s="13">
        <f>IFERROR(E287*F287,"")</f>
        <v/>
      </c>
      <c r="H287" s="13">
        <f>IFERROR(E287*VLOOKUP(B287,'Recetas y precios'!$A$5:$P$54,16,FALSE),"")</f>
        <v/>
      </c>
      <c r="I287" s="34" t="n"/>
      <c r="J287" s="13">
        <f>IFERROR(I287*VLOOKUP(B287,'Recetas y precios'!$A$5:$P$54,16,FALSE),"")</f>
        <v/>
      </c>
      <c r="K287" s="13">
        <f>IFERROR(G287-H287,"")</f>
        <v/>
      </c>
      <c r="L287" s="35">
        <f>IFERROR(K287/G287,"")</f>
        <v/>
      </c>
      <c r="M287" s="34" t="n"/>
    </row>
    <row r="288">
      <c r="A288" s="33" t="n"/>
      <c r="B288" s="34" t="n"/>
      <c r="C288" s="7">
        <f>IFERROR(VLOOKUP(B288,'Recetas y precios'!$A$5:$B$54,2,FALSE),"")</f>
        <v/>
      </c>
      <c r="D288" s="34" t="n"/>
      <c r="E288" s="34" t="n"/>
      <c r="F288" s="34" t="n"/>
      <c r="G288" s="13">
        <f>IFERROR(E288*F288,"")</f>
        <v/>
      </c>
      <c r="H288" s="13">
        <f>IFERROR(E288*VLOOKUP(B288,'Recetas y precios'!$A$5:$P$54,16,FALSE),"")</f>
        <v/>
      </c>
      <c r="I288" s="34" t="n"/>
      <c r="J288" s="13">
        <f>IFERROR(I288*VLOOKUP(B288,'Recetas y precios'!$A$5:$P$54,16,FALSE),"")</f>
        <v/>
      </c>
      <c r="K288" s="13">
        <f>IFERROR(G288-H288,"")</f>
        <v/>
      </c>
      <c r="L288" s="35">
        <f>IFERROR(K288/G288,"")</f>
        <v/>
      </c>
      <c r="M288" s="34" t="n"/>
    </row>
    <row r="289">
      <c r="A289" s="33" t="n"/>
      <c r="B289" s="34" t="n"/>
      <c r="C289" s="7">
        <f>IFERROR(VLOOKUP(B289,'Recetas y precios'!$A$5:$B$54,2,FALSE),"")</f>
        <v/>
      </c>
      <c r="D289" s="34" t="n"/>
      <c r="E289" s="34" t="n"/>
      <c r="F289" s="34" t="n"/>
      <c r="G289" s="13">
        <f>IFERROR(E289*F289,"")</f>
        <v/>
      </c>
      <c r="H289" s="13">
        <f>IFERROR(E289*VLOOKUP(B289,'Recetas y precios'!$A$5:$P$54,16,FALSE),"")</f>
        <v/>
      </c>
      <c r="I289" s="34" t="n"/>
      <c r="J289" s="13">
        <f>IFERROR(I289*VLOOKUP(B289,'Recetas y precios'!$A$5:$P$54,16,FALSE),"")</f>
        <v/>
      </c>
      <c r="K289" s="13">
        <f>IFERROR(G289-H289,"")</f>
        <v/>
      </c>
      <c r="L289" s="35">
        <f>IFERROR(K289/G289,"")</f>
        <v/>
      </c>
      <c r="M289" s="34" t="n"/>
    </row>
    <row r="290">
      <c r="A290" s="33" t="n"/>
      <c r="B290" s="34" t="n"/>
      <c r="C290" s="7">
        <f>IFERROR(VLOOKUP(B290,'Recetas y precios'!$A$5:$B$54,2,FALSE),"")</f>
        <v/>
      </c>
      <c r="D290" s="34" t="n"/>
      <c r="E290" s="34" t="n"/>
      <c r="F290" s="34" t="n"/>
      <c r="G290" s="13">
        <f>IFERROR(E290*F290,"")</f>
        <v/>
      </c>
      <c r="H290" s="13">
        <f>IFERROR(E290*VLOOKUP(B290,'Recetas y precios'!$A$5:$P$54,16,FALSE),"")</f>
        <v/>
      </c>
      <c r="I290" s="34" t="n"/>
      <c r="J290" s="13">
        <f>IFERROR(I290*VLOOKUP(B290,'Recetas y precios'!$A$5:$P$54,16,FALSE),"")</f>
        <v/>
      </c>
      <c r="K290" s="13">
        <f>IFERROR(G290-H290,"")</f>
        <v/>
      </c>
      <c r="L290" s="35">
        <f>IFERROR(K290/G290,"")</f>
        <v/>
      </c>
      <c r="M290" s="34" t="n"/>
    </row>
    <row r="291">
      <c r="A291" s="33" t="n"/>
      <c r="B291" s="34" t="n"/>
      <c r="C291" s="7">
        <f>IFERROR(VLOOKUP(B291,'Recetas y precios'!$A$5:$B$54,2,FALSE),"")</f>
        <v/>
      </c>
      <c r="D291" s="34" t="n"/>
      <c r="E291" s="34" t="n"/>
      <c r="F291" s="34" t="n"/>
      <c r="G291" s="13">
        <f>IFERROR(E291*F291,"")</f>
        <v/>
      </c>
      <c r="H291" s="13">
        <f>IFERROR(E291*VLOOKUP(B291,'Recetas y precios'!$A$5:$P$54,16,FALSE),"")</f>
        <v/>
      </c>
      <c r="I291" s="34" t="n"/>
      <c r="J291" s="13">
        <f>IFERROR(I291*VLOOKUP(B291,'Recetas y precios'!$A$5:$P$54,16,FALSE),"")</f>
        <v/>
      </c>
      <c r="K291" s="13">
        <f>IFERROR(G291-H291,"")</f>
        <v/>
      </c>
      <c r="L291" s="35">
        <f>IFERROR(K291/G291,"")</f>
        <v/>
      </c>
      <c r="M291" s="34" t="n"/>
    </row>
    <row r="292">
      <c r="A292" s="33" t="n"/>
      <c r="B292" s="34" t="n"/>
      <c r="C292" s="7">
        <f>IFERROR(VLOOKUP(B292,'Recetas y precios'!$A$5:$B$54,2,FALSE),"")</f>
        <v/>
      </c>
      <c r="D292" s="34" t="n"/>
      <c r="E292" s="34" t="n"/>
      <c r="F292" s="34" t="n"/>
      <c r="G292" s="13">
        <f>IFERROR(E292*F292,"")</f>
        <v/>
      </c>
      <c r="H292" s="13">
        <f>IFERROR(E292*VLOOKUP(B292,'Recetas y precios'!$A$5:$P$54,16,FALSE),"")</f>
        <v/>
      </c>
      <c r="I292" s="34" t="n"/>
      <c r="J292" s="13">
        <f>IFERROR(I292*VLOOKUP(B292,'Recetas y precios'!$A$5:$P$54,16,FALSE),"")</f>
        <v/>
      </c>
      <c r="K292" s="13">
        <f>IFERROR(G292-H292,"")</f>
        <v/>
      </c>
      <c r="L292" s="35">
        <f>IFERROR(K292/G292,"")</f>
        <v/>
      </c>
      <c r="M292" s="34" t="n"/>
    </row>
    <row r="293">
      <c r="A293" s="33" t="n"/>
      <c r="B293" s="34" t="n"/>
      <c r="C293" s="7">
        <f>IFERROR(VLOOKUP(B293,'Recetas y precios'!$A$5:$B$54,2,FALSE),"")</f>
        <v/>
      </c>
      <c r="D293" s="34" t="n"/>
      <c r="E293" s="34" t="n"/>
      <c r="F293" s="34" t="n"/>
      <c r="G293" s="13">
        <f>IFERROR(E293*F293,"")</f>
        <v/>
      </c>
      <c r="H293" s="13">
        <f>IFERROR(E293*VLOOKUP(B293,'Recetas y precios'!$A$5:$P$54,16,FALSE),"")</f>
        <v/>
      </c>
      <c r="I293" s="34" t="n"/>
      <c r="J293" s="13">
        <f>IFERROR(I293*VLOOKUP(B293,'Recetas y precios'!$A$5:$P$54,16,FALSE),"")</f>
        <v/>
      </c>
      <c r="K293" s="13">
        <f>IFERROR(G293-H293,"")</f>
        <v/>
      </c>
      <c r="L293" s="35">
        <f>IFERROR(K293/G293,"")</f>
        <v/>
      </c>
      <c r="M293" s="34" t="n"/>
    </row>
    <row r="294">
      <c r="A294" s="33" t="n"/>
      <c r="B294" s="34" t="n"/>
      <c r="C294" s="7">
        <f>IFERROR(VLOOKUP(B294,'Recetas y precios'!$A$5:$B$54,2,FALSE),"")</f>
        <v/>
      </c>
      <c r="D294" s="34" t="n"/>
      <c r="E294" s="34" t="n"/>
      <c r="F294" s="34" t="n"/>
      <c r="G294" s="13">
        <f>IFERROR(E294*F294,"")</f>
        <v/>
      </c>
      <c r="H294" s="13">
        <f>IFERROR(E294*VLOOKUP(B294,'Recetas y precios'!$A$5:$P$54,16,FALSE),"")</f>
        <v/>
      </c>
      <c r="I294" s="34" t="n"/>
      <c r="J294" s="13">
        <f>IFERROR(I294*VLOOKUP(B294,'Recetas y precios'!$A$5:$P$54,16,FALSE),"")</f>
        <v/>
      </c>
      <c r="K294" s="13">
        <f>IFERROR(G294-H294,"")</f>
        <v/>
      </c>
      <c r="L294" s="35">
        <f>IFERROR(K294/G294,"")</f>
        <v/>
      </c>
      <c r="M294" s="34" t="n"/>
    </row>
    <row r="295">
      <c r="A295" s="33" t="n"/>
      <c r="B295" s="34" t="n"/>
      <c r="C295" s="7">
        <f>IFERROR(VLOOKUP(B295,'Recetas y precios'!$A$5:$B$54,2,FALSE),"")</f>
        <v/>
      </c>
      <c r="D295" s="34" t="n"/>
      <c r="E295" s="34" t="n"/>
      <c r="F295" s="34" t="n"/>
      <c r="G295" s="13">
        <f>IFERROR(E295*F295,"")</f>
        <v/>
      </c>
      <c r="H295" s="13">
        <f>IFERROR(E295*VLOOKUP(B295,'Recetas y precios'!$A$5:$P$54,16,FALSE),"")</f>
        <v/>
      </c>
      <c r="I295" s="34" t="n"/>
      <c r="J295" s="13">
        <f>IFERROR(I295*VLOOKUP(B295,'Recetas y precios'!$A$5:$P$54,16,FALSE),"")</f>
        <v/>
      </c>
      <c r="K295" s="13">
        <f>IFERROR(G295-H295,"")</f>
        <v/>
      </c>
      <c r="L295" s="35">
        <f>IFERROR(K295/G295,"")</f>
        <v/>
      </c>
      <c r="M295" s="34" t="n"/>
    </row>
    <row r="296">
      <c r="A296" s="33" t="n"/>
      <c r="B296" s="34" t="n"/>
      <c r="C296" s="7">
        <f>IFERROR(VLOOKUP(B296,'Recetas y precios'!$A$5:$B$54,2,FALSE),"")</f>
        <v/>
      </c>
      <c r="D296" s="34" t="n"/>
      <c r="E296" s="34" t="n"/>
      <c r="F296" s="34" t="n"/>
      <c r="G296" s="13">
        <f>IFERROR(E296*F296,"")</f>
        <v/>
      </c>
      <c r="H296" s="13">
        <f>IFERROR(E296*VLOOKUP(B296,'Recetas y precios'!$A$5:$P$54,16,FALSE),"")</f>
        <v/>
      </c>
      <c r="I296" s="34" t="n"/>
      <c r="J296" s="13">
        <f>IFERROR(I296*VLOOKUP(B296,'Recetas y precios'!$A$5:$P$54,16,FALSE),"")</f>
        <v/>
      </c>
      <c r="K296" s="13">
        <f>IFERROR(G296-H296,"")</f>
        <v/>
      </c>
      <c r="L296" s="35">
        <f>IFERROR(K296/G296,"")</f>
        <v/>
      </c>
      <c r="M296" s="34" t="n"/>
    </row>
    <row r="297">
      <c r="A297" s="33" t="n"/>
      <c r="B297" s="34" t="n"/>
      <c r="C297" s="7">
        <f>IFERROR(VLOOKUP(B297,'Recetas y precios'!$A$5:$B$54,2,FALSE),"")</f>
        <v/>
      </c>
      <c r="D297" s="34" t="n"/>
      <c r="E297" s="34" t="n"/>
      <c r="F297" s="34" t="n"/>
      <c r="G297" s="13">
        <f>IFERROR(E297*F297,"")</f>
        <v/>
      </c>
      <c r="H297" s="13">
        <f>IFERROR(E297*VLOOKUP(B297,'Recetas y precios'!$A$5:$P$54,16,FALSE),"")</f>
        <v/>
      </c>
      <c r="I297" s="34" t="n"/>
      <c r="J297" s="13">
        <f>IFERROR(I297*VLOOKUP(B297,'Recetas y precios'!$A$5:$P$54,16,FALSE),"")</f>
        <v/>
      </c>
      <c r="K297" s="13">
        <f>IFERROR(G297-H297,"")</f>
        <v/>
      </c>
      <c r="L297" s="35">
        <f>IFERROR(K297/G297,"")</f>
        <v/>
      </c>
      <c r="M297" s="34" t="n"/>
    </row>
    <row r="298">
      <c r="A298" s="33" t="n"/>
      <c r="B298" s="34" t="n"/>
      <c r="C298" s="7">
        <f>IFERROR(VLOOKUP(B298,'Recetas y precios'!$A$5:$B$54,2,FALSE),"")</f>
        <v/>
      </c>
      <c r="D298" s="34" t="n"/>
      <c r="E298" s="34" t="n"/>
      <c r="F298" s="34" t="n"/>
      <c r="G298" s="13">
        <f>IFERROR(E298*F298,"")</f>
        <v/>
      </c>
      <c r="H298" s="13">
        <f>IFERROR(E298*VLOOKUP(B298,'Recetas y precios'!$A$5:$P$54,16,FALSE),"")</f>
        <v/>
      </c>
      <c r="I298" s="34" t="n"/>
      <c r="J298" s="13">
        <f>IFERROR(I298*VLOOKUP(B298,'Recetas y precios'!$A$5:$P$54,16,FALSE),"")</f>
        <v/>
      </c>
      <c r="K298" s="13">
        <f>IFERROR(G298-H298,"")</f>
        <v/>
      </c>
      <c r="L298" s="35">
        <f>IFERROR(K298/G298,"")</f>
        <v/>
      </c>
      <c r="M298" s="34" t="n"/>
    </row>
    <row r="299">
      <c r="A299" s="33" t="n"/>
      <c r="B299" s="34" t="n"/>
      <c r="C299" s="7">
        <f>IFERROR(VLOOKUP(B299,'Recetas y precios'!$A$5:$B$54,2,FALSE),"")</f>
        <v/>
      </c>
      <c r="D299" s="34" t="n"/>
      <c r="E299" s="34" t="n"/>
      <c r="F299" s="34" t="n"/>
      <c r="G299" s="13">
        <f>IFERROR(E299*F299,"")</f>
        <v/>
      </c>
      <c r="H299" s="13">
        <f>IFERROR(E299*VLOOKUP(B299,'Recetas y precios'!$A$5:$P$54,16,FALSE),"")</f>
        <v/>
      </c>
      <c r="I299" s="34" t="n"/>
      <c r="J299" s="13">
        <f>IFERROR(I299*VLOOKUP(B299,'Recetas y precios'!$A$5:$P$54,16,FALSE),"")</f>
        <v/>
      </c>
      <c r="K299" s="13">
        <f>IFERROR(G299-H299,"")</f>
        <v/>
      </c>
      <c r="L299" s="35">
        <f>IFERROR(K299/G299,"")</f>
        <v/>
      </c>
      <c r="M299" s="34" t="n"/>
    </row>
    <row r="300">
      <c r="A300" s="33" t="n"/>
      <c r="B300" s="34" t="n"/>
      <c r="C300" s="7">
        <f>IFERROR(VLOOKUP(B300,'Recetas y precios'!$A$5:$B$54,2,FALSE),"")</f>
        <v/>
      </c>
      <c r="D300" s="34" t="n"/>
      <c r="E300" s="34" t="n"/>
      <c r="F300" s="34" t="n"/>
      <c r="G300" s="13">
        <f>IFERROR(E300*F300,"")</f>
        <v/>
      </c>
      <c r="H300" s="13">
        <f>IFERROR(E300*VLOOKUP(B300,'Recetas y precios'!$A$5:$P$54,16,FALSE),"")</f>
        <v/>
      </c>
      <c r="I300" s="34" t="n"/>
      <c r="J300" s="13">
        <f>IFERROR(I300*VLOOKUP(B300,'Recetas y precios'!$A$5:$P$54,16,FALSE),"")</f>
        <v/>
      </c>
      <c r="K300" s="13">
        <f>IFERROR(G300-H300,"")</f>
        <v/>
      </c>
      <c r="L300" s="35">
        <f>IFERROR(K300/G300,"")</f>
        <v/>
      </c>
      <c r="M300" s="34" t="n"/>
    </row>
    <row r="301">
      <c r="A301" s="33" t="n"/>
      <c r="B301" s="34" t="n"/>
      <c r="C301" s="7">
        <f>IFERROR(VLOOKUP(B301,'Recetas y precios'!$A$5:$B$54,2,FALSE),"")</f>
        <v/>
      </c>
      <c r="D301" s="34" t="n"/>
      <c r="E301" s="34" t="n"/>
      <c r="F301" s="34" t="n"/>
      <c r="G301" s="13">
        <f>IFERROR(E301*F301,"")</f>
        <v/>
      </c>
      <c r="H301" s="13">
        <f>IFERROR(E301*VLOOKUP(B301,'Recetas y precios'!$A$5:$P$54,16,FALSE),"")</f>
        <v/>
      </c>
      <c r="I301" s="34" t="n"/>
      <c r="J301" s="13">
        <f>IFERROR(I301*VLOOKUP(B301,'Recetas y precios'!$A$5:$P$54,16,FALSE),"")</f>
        <v/>
      </c>
      <c r="K301" s="13">
        <f>IFERROR(G301-H301,"")</f>
        <v/>
      </c>
      <c r="L301" s="35">
        <f>IFERROR(K301/G301,"")</f>
        <v/>
      </c>
      <c r="M301" s="34" t="n"/>
    </row>
    <row r="302">
      <c r="A302" s="33" t="n"/>
      <c r="B302" s="34" t="n"/>
      <c r="C302" s="7">
        <f>IFERROR(VLOOKUP(B302,'Recetas y precios'!$A$5:$B$54,2,FALSE),"")</f>
        <v/>
      </c>
      <c r="D302" s="34" t="n"/>
      <c r="E302" s="34" t="n"/>
      <c r="F302" s="34" t="n"/>
      <c r="G302" s="13">
        <f>IFERROR(E302*F302,"")</f>
        <v/>
      </c>
      <c r="H302" s="13">
        <f>IFERROR(E302*VLOOKUP(B302,'Recetas y precios'!$A$5:$P$54,16,FALSE),"")</f>
        <v/>
      </c>
      <c r="I302" s="34" t="n"/>
      <c r="J302" s="13">
        <f>IFERROR(I302*VLOOKUP(B302,'Recetas y precios'!$A$5:$P$54,16,FALSE),"")</f>
        <v/>
      </c>
      <c r="K302" s="13">
        <f>IFERROR(G302-H302,"")</f>
        <v/>
      </c>
      <c r="L302" s="35">
        <f>IFERROR(K302/G302,"")</f>
        <v/>
      </c>
      <c r="M302" s="34" t="n"/>
    </row>
    <row r="303">
      <c r="A303" s="33" t="n"/>
      <c r="B303" s="34" t="n"/>
      <c r="C303" s="7">
        <f>IFERROR(VLOOKUP(B303,'Recetas y precios'!$A$5:$B$54,2,FALSE),"")</f>
        <v/>
      </c>
      <c r="D303" s="34" t="n"/>
      <c r="E303" s="34" t="n"/>
      <c r="F303" s="34" t="n"/>
      <c r="G303" s="13">
        <f>IFERROR(E303*F303,"")</f>
        <v/>
      </c>
      <c r="H303" s="13">
        <f>IFERROR(E303*VLOOKUP(B303,'Recetas y precios'!$A$5:$P$54,16,FALSE),"")</f>
        <v/>
      </c>
      <c r="I303" s="34" t="n"/>
      <c r="J303" s="13">
        <f>IFERROR(I303*VLOOKUP(B303,'Recetas y precios'!$A$5:$P$54,16,FALSE),"")</f>
        <v/>
      </c>
      <c r="K303" s="13">
        <f>IFERROR(G303-H303,"")</f>
        <v/>
      </c>
      <c r="L303" s="35">
        <f>IFERROR(K303/G303,"")</f>
        <v/>
      </c>
      <c r="M303" s="34" t="n"/>
    </row>
    <row r="304">
      <c r="A304" s="33" t="n"/>
      <c r="B304" s="34" t="n"/>
      <c r="C304" s="7">
        <f>IFERROR(VLOOKUP(B304,'Recetas y precios'!$A$5:$B$54,2,FALSE),"")</f>
        <v/>
      </c>
      <c r="D304" s="34" t="n"/>
      <c r="E304" s="34" t="n"/>
      <c r="F304" s="34" t="n"/>
      <c r="G304" s="13">
        <f>IFERROR(E304*F304,"")</f>
        <v/>
      </c>
      <c r="H304" s="13">
        <f>IFERROR(E304*VLOOKUP(B304,'Recetas y precios'!$A$5:$P$54,16,FALSE),"")</f>
        <v/>
      </c>
      <c r="I304" s="34" t="n"/>
      <c r="J304" s="13">
        <f>IFERROR(I304*VLOOKUP(B304,'Recetas y precios'!$A$5:$P$54,16,FALSE),"")</f>
        <v/>
      </c>
      <c r="K304" s="13">
        <f>IFERROR(G304-H304,"")</f>
        <v/>
      </c>
      <c r="L304" s="35">
        <f>IFERROR(K304/G304,"")</f>
        <v/>
      </c>
      <c r="M304" s="34" t="n"/>
    </row>
    <row r="305">
      <c r="A305" s="33" t="n"/>
      <c r="B305" s="34" t="n"/>
      <c r="C305" s="7">
        <f>IFERROR(VLOOKUP(B305,'Recetas y precios'!$A$5:$B$54,2,FALSE),"")</f>
        <v/>
      </c>
      <c r="D305" s="34" t="n"/>
      <c r="E305" s="34" t="n"/>
      <c r="F305" s="34" t="n"/>
      <c r="G305" s="13">
        <f>IFERROR(E305*F305,"")</f>
        <v/>
      </c>
      <c r="H305" s="13">
        <f>IFERROR(E305*VLOOKUP(B305,'Recetas y precios'!$A$5:$P$54,16,FALSE),"")</f>
        <v/>
      </c>
      <c r="I305" s="34" t="n"/>
      <c r="J305" s="13">
        <f>IFERROR(I305*VLOOKUP(B305,'Recetas y precios'!$A$5:$P$54,16,FALSE),"")</f>
        <v/>
      </c>
      <c r="K305" s="13">
        <f>IFERROR(G305-H305,"")</f>
        <v/>
      </c>
      <c r="L305" s="35">
        <f>IFERROR(K305/G305,"")</f>
        <v/>
      </c>
      <c r="M305" s="34" t="n"/>
    </row>
    <row r="306">
      <c r="A306" s="33" t="n"/>
      <c r="B306" s="34" t="n"/>
      <c r="C306" s="7">
        <f>IFERROR(VLOOKUP(B306,'Recetas y precios'!$A$5:$B$54,2,FALSE),"")</f>
        <v/>
      </c>
      <c r="D306" s="34" t="n"/>
      <c r="E306" s="34" t="n"/>
      <c r="F306" s="34" t="n"/>
      <c r="G306" s="13">
        <f>IFERROR(E306*F306,"")</f>
        <v/>
      </c>
      <c r="H306" s="13">
        <f>IFERROR(E306*VLOOKUP(B306,'Recetas y precios'!$A$5:$P$54,16,FALSE),"")</f>
        <v/>
      </c>
      <c r="I306" s="34" t="n"/>
      <c r="J306" s="13">
        <f>IFERROR(I306*VLOOKUP(B306,'Recetas y precios'!$A$5:$P$54,16,FALSE),"")</f>
        <v/>
      </c>
      <c r="K306" s="13">
        <f>IFERROR(G306-H306,"")</f>
        <v/>
      </c>
      <c r="L306" s="35">
        <f>IFERROR(K306/G306,"")</f>
        <v/>
      </c>
      <c r="M306" s="34" t="n"/>
    </row>
    <row r="307">
      <c r="A307" s="33" t="n"/>
      <c r="B307" s="34" t="n"/>
      <c r="C307" s="7">
        <f>IFERROR(VLOOKUP(B307,'Recetas y precios'!$A$5:$B$54,2,FALSE),"")</f>
        <v/>
      </c>
      <c r="D307" s="34" t="n"/>
      <c r="E307" s="34" t="n"/>
      <c r="F307" s="34" t="n"/>
      <c r="G307" s="13">
        <f>IFERROR(E307*F307,"")</f>
        <v/>
      </c>
      <c r="H307" s="13">
        <f>IFERROR(E307*VLOOKUP(B307,'Recetas y precios'!$A$5:$P$54,16,FALSE),"")</f>
        <v/>
      </c>
      <c r="I307" s="34" t="n"/>
      <c r="J307" s="13">
        <f>IFERROR(I307*VLOOKUP(B307,'Recetas y precios'!$A$5:$P$54,16,FALSE),"")</f>
        <v/>
      </c>
      <c r="K307" s="13">
        <f>IFERROR(G307-H307,"")</f>
        <v/>
      </c>
      <c r="L307" s="35">
        <f>IFERROR(K307/G307,"")</f>
        <v/>
      </c>
      <c r="M307" s="34" t="n"/>
    </row>
    <row r="308">
      <c r="A308" s="33" t="n"/>
      <c r="B308" s="34" t="n"/>
      <c r="C308" s="7">
        <f>IFERROR(VLOOKUP(B308,'Recetas y precios'!$A$5:$B$54,2,FALSE),"")</f>
        <v/>
      </c>
      <c r="D308" s="34" t="n"/>
      <c r="E308" s="34" t="n"/>
      <c r="F308" s="34" t="n"/>
      <c r="G308" s="13">
        <f>IFERROR(E308*F308,"")</f>
        <v/>
      </c>
      <c r="H308" s="13">
        <f>IFERROR(E308*VLOOKUP(B308,'Recetas y precios'!$A$5:$P$54,16,FALSE),"")</f>
        <v/>
      </c>
      <c r="I308" s="34" t="n"/>
      <c r="J308" s="13">
        <f>IFERROR(I308*VLOOKUP(B308,'Recetas y precios'!$A$5:$P$54,16,FALSE),"")</f>
        <v/>
      </c>
      <c r="K308" s="13">
        <f>IFERROR(G308-H308,"")</f>
        <v/>
      </c>
      <c r="L308" s="35">
        <f>IFERROR(K308/G308,"")</f>
        <v/>
      </c>
      <c r="M308" s="34" t="n"/>
    </row>
    <row r="309">
      <c r="A309" s="33" t="n"/>
      <c r="B309" s="34" t="n"/>
      <c r="C309" s="7">
        <f>IFERROR(VLOOKUP(B309,'Recetas y precios'!$A$5:$B$54,2,FALSE),"")</f>
        <v/>
      </c>
      <c r="D309" s="34" t="n"/>
      <c r="E309" s="34" t="n"/>
      <c r="F309" s="34" t="n"/>
      <c r="G309" s="13">
        <f>IFERROR(E309*F309,"")</f>
        <v/>
      </c>
      <c r="H309" s="13">
        <f>IFERROR(E309*VLOOKUP(B309,'Recetas y precios'!$A$5:$P$54,16,FALSE),"")</f>
        <v/>
      </c>
      <c r="I309" s="34" t="n"/>
      <c r="J309" s="13">
        <f>IFERROR(I309*VLOOKUP(B309,'Recetas y precios'!$A$5:$P$54,16,FALSE),"")</f>
        <v/>
      </c>
      <c r="K309" s="13">
        <f>IFERROR(G309-H309,"")</f>
        <v/>
      </c>
      <c r="L309" s="35">
        <f>IFERROR(K309/G309,"")</f>
        <v/>
      </c>
      <c r="M309" s="34" t="n"/>
    </row>
    <row r="310">
      <c r="A310" s="33" t="n"/>
      <c r="B310" s="34" t="n"/>
      <c r="C310" s="7">
        <f>IFERROR(VLOOKUP(B310,'Recetas y precios'!$A$5:$B$54,2,FALSE),"")</f>
        <v/>
      </c>
      <c r="D310" s="34" t="n"/>
      <c r="E310" s="34" t="n"/>
      <c r="F310" s="34" t="n"/>
      <c r="G310" s="13">
        <f>IFERROR(E310*F310,"")</f>
        <v/>
      </c>
      <c r="H310" s="13">
        <f>IFERROR(E310*VLOOKUP(B310,'Recetas y precios'!$A$5:$P$54,16,FALSE),"")</f>
        <v/>
      </c>
      <c r="I310" s="34" t="n"/>
      <c r="J310" s="13">
        <f>IFERROR(I310*VLOOKUP(B310,'Recetas y precios'!$A$5:$P$54,16,FALSE),"")</f>
        <v/>
      </c>
      <c r="K310" s="13">
        <f>IFERROR(G310-H310,"")</f>
        <v/>
      </c>
      <c r="L310" s="35">
        <f>IFERROR(K310/G310,"")</f>
        <v/>
      </c>
      <c r="M310" s="34" t="n"/>
    </row>
    <row r="311">
      <c r="A311" s="33" t="n"/>
      <c r="B311" s="34" t="n"/>
      <c r="C311" s="7">
        <f>IFERROR(VLOOKUP(B311,'Recetas y precios'!$A$5:$B$54,2,FALSE),"")</f>
        <v/>
      </c>
      <c r="D311" s="34" t="n"/>
      <c r="E311" s="34" t="n"/>
      <c r="F311" s="34" t="n"/>
      <c r="G311" s="13">
        <f>IFERROR(E311*F311,"")</f>
        <v/>
      </c>
      <c r="H311" s="13">
        <f>IFERROR(E311*VLOOKUP(B311,'Recetas y precios'!$A$5:$P$54,16,FALSE),"")</f>
        <v/>
      </c>
      <c r="I311" s="34" t="n"/>
      <c r="J311" s="13">
        <f>IFERROR(I311*VLOOKUP(B311,'Recetas y precios'!$A$5:$P$54,16,FALSE),"")</f>
        <v/>
      </c>
      <c r="K311" s="13">
        <f>IFERROR(G311-H311,"")</f>
        <v/>
      </c>
      <c r="L311" s="35">
        <f>IFERROR(K311/G311,"")</f>
        <v/>
      </c>
      <c r="M311" s="34" t="n"/>
    </row>
    <row r="312">
      <c r="A312" s="33" t="n"/>
      <c r="B312" s="34" t="n"/>
      <c r="C312" s="7">
        <f>IFERROR(VLOOKUP(B312,'Recetas y precios'!$A$5:$B$54,2,FALSE),"")</f>
        <v/>
      </c>
      <c r="D312" s="34" t="n"/>
      <c r="E312" s="34" t="n"/>
      <c r="F312" s="34" t="n"/>
      <c r="G312" s="13">
        <f>IFERROR(E312*F312,"")</f>
        <v/>
      </c>
      <c r="H312" s="13">
        <f>IFERROR(E312*VLOOKUP(B312,'Recetas y precios'!$A$5:$P$54,16,FALSE),"")</f>
        <v/>
      </c>
      <c r="I312" s="34" t="n"/>
      <c r="J312" s="13">
        <f>IFERROR(I312*VLOOKUP(B312,'Recetas y precios'!$A$5:$P$54,16,FALSE),"")</f>
        <v/>
      </c>
      <c r="K312" s="13">
        <f>IFERROR(G312-H312,"")</f>
        <v/>
      </c>
      <c r="L312" s="35">
        <f>IFERROR(K312/G312,"")</f>
        <v/>
      </c>
      <c r="M312" s="34" t="n"/>
    </row>
    <row r="313">
      <c r="A313" s="33" t="n"/>
      <c r="B313" s="34" t="n"/>
      <c r="C313" s="7">
        <f>IFERROR(VLOOKUP(B313,'Recetas y precios'!$A$5:$B$54,2,FALSE),"")</f>
        <v/>
      </c>
      <c r="D313" s="34" t="n"/>
      <c r="E313" s="34" t="n"/>
      <c r="F313" s="34" t="n"/>
      <c r="G313" s="13">
        <f>IFERROR(E313*F313,"")</f>
        <v/>
      </c>
      <c r="H313" s="13">
        <f>IFERROR(E313*VLOOKUP(B313,'Recetas y precios'!$A$5:$P$54,16,FALSE),"")</f>
        <v/>
      </c>
      <c r="I313" s="34" t="n"/>
      <c r="J313" s="13">
        <f>IFERROR(I313*VLOOKUP(B313,'Recetas y precios'!$A$5:$P$54,16,FALSE),"")</f>
        <v/>
      </c>
      <c r="K313" s="13">
        <f>IFERROR(G313-H313,"")</f>
        <v/>
      </c>
      <c r="L313" s="35">
        <f>IFERROR(K313/G313,"")</f>
        <v/>
      </c>
      <c r="M313" s="34" t="n"/>
    </row>
    <row r="314">
      <c r="A314" s="33" t="n"/>
      <c r="B314" s="34" t="n"/>
      <c r="C314" s="7">
        <f>IFERROR(VLOOKUP(B314,'Recetas y precios'!$A$5:$B$54,2,FALSE),"")</f>
        <v/>
      </c>
      <c r="D314" s="34" t="n"/>
      <c r="E314" s="34" t="n"/>
      <c r="F314" s="34" t="n"/>
      <c r="G314" s="13">
        <f>IFERROR(E314*F314,"")</f>
        <v/>
      </c>
      <c r="H314" s="13">
        <f>IFERROR(E314*VLOOKUP(B314,'Recetas y precios'!$A$5:$P$54,16,FALSE),"")</f>
        <v/>
      </c>
      <c r="I314" s="34" t="n"/>
      <c r="J314" s="13">
        <f>IFERROR(I314*VLOOKUP(B314,'Recetas y precios'!$A$5:$P$54,16,FALSE),"")</f>
        <v/>
      </c>
      <c r="K314" s="13">
        <f>IFERROR(G314-H314,"")</f>
        <v/>
      </c>
      <c r="L314" s="35">
        <f>IFERROR(K314/G314,"")</f>
        <v/>
      </c>
      <c r="M314" s="34" t="n"/>
    </row>
    <row r="315">
      <c r="A315" s="33" t="n"/>
      <c r="B315" s="34" t="n"/>
      <c r="C315" s="7">
        <f>IFERROR(VLOOKUP(B315,'Recetas y precios'!$A$5:$B$54,2,FALSE),"")</f>
        <v/>
      </c>
      <c r="D315" s="34" t="n"/>
      <c r="E315" s="34" t="n"/>
      <c r="F315" s="34" t="n"/>
      <c r="G315" s="13">
        <f>IFERROR(E315*F315,"")</f>
        <v/>
      </c>
      <c r="H315" s="13">
        <f>IFERROR(E315*VLOOKUP(B315,'Recetas y precios'!$A$5:$P$54,16,FALSE),"")</f>
        <v/>
      </c>
      <c r="I315" s="34" t="n"/>
      <c r="J315" s="13">
        <f>IFERROR(I315*VLOOKUP(B315,'Recetas y precios'!$A$5:$P$54,16,FALSE),"")</f>
        <v/>
      </c>
      <c r="K315" s="13">
        <f>IFERROR(G315-H315,"")</f>
        <v/>
      </c>
      <c r="L315" s="35">
        <f>IFERROR(K315/G315,"")</f>
        <v/>
      </c>
      <c r="M315" s="34" t="n"/>
    </row>
    <row r="316">
      <c r="A316" s="33" t="n"/>
      <c r="B316" s="34" t="n"/>
      <c r="C316" s="7">
        <f>IFERROR(VLOOKUP(B316,'Recetas y precios'!$A$5:$B$54,2,FALSE),"")</f>
        <v/>
      </c>
      <c r="D316" s="34" t="n"/>
      <c r="E316" s="34" t="n"/>
      <c r="F316" s="34" t="n"/>
      <c r="G316" s="13">
        <f>IFERROR(E316*F316,"")</f>
        <v/>
      </c>
      <c r="H316" s="13">
        <f>IFERROR(E316*VLOOKUP(B316,'Recetas y precios'!$A$5:$P$54,16,FALSE),"")</f>
        <v/>
      </c>
      <c r="I316" s="34" t="n"/>
      <c r="J316" s="13">
        <f>IFERROR(I316*VLOOKUP(B316,'Recetas y precios'!$A$5:$P$54,16,FALSE),"")</f>
        <v/>
      </c>
      <c r="K316" s="13">
        <f>IFERROR(G316-H316,"")</f>
        <v/>
      </c>
      <c r="L316" s="35">
        <f>IFERROR(K316/G316,"")</f>
        <v/>
      </c>
      <c r="M316" s="34" t="n"/>
    </row>
    <row r="317">
      <c r="A317" s="33" t="n"/>
      <c r="B317" s="34" t="n"/>
      <c r="C317" s="7">
        <f>IFERROR(VLOOKUP(B317,'Recetas y precios'!$A$5:$B$54,2,FALSE),"")</f>
        <v/>
      </c>
      <c r="D317" s="34" t="n"/>
      <c r="E317" s="34" t="n"/>
      <c r="F317" s="34" t="n"/>
      <c r="G317" s="13">
        <f>IFERROR(E317*F317,"")</f>
        <v/>
      </c>
      <c r="H317" s="13">
        <f>IFERROR(E317*VLOOKUP(B317,'Recetas y precios'!$A$5:$P$54,16,FALSE),"")</f>
        <v/>
      </c>
      <c r="I317" s="34" t="n"/>
      <c r="J317" s="13">
        <f>IFERROR(I317*VLOOKUP(B317,'Recetas y precios'!$A$5:$P$54,16,FALSE),"")</f>
        <v/>
      </c>
      <c r="K317" s="13">
        <f>IFERROR(G317-H317,"")</f>
        <v/>
      </c>
      <c r="L317" s="35">
        <f>IFERROR(K317/G317,"")</f>
        <v/>
      </c>
      <c r="M317" s="34" t="n"/>
    </row>
    <row r="318">
      <c r="A318" s="33" t="n"/>
      <c r="B318" s="34" t="n"/>
      <c r="C318" s="7">
        <f>IFERROR(VLOOKUP(B318,'Recetas y precios'!$A$5:$B$54,2,FALSE),"")</f>
        <v/>
      </c>
      <c r="D318" s="34" t="n"/>
      <c r="E318" s="34" t="n"/>
      <c r="F318" s="34" t="n"/>
      <c r="G318" s="13">
        <f>IFERROR(E318*F318,"")</f>
        <v/>
      </c>
      <c r="H318" s="13">
        <f>IFERROR(E318*VLOOKUP(B318,'Recetas y precios'!$A$5:$P$54,16,FALSE),"")</f>
        <v/>
      </c>
      <c r="I318" s="34" t="n"/>
      <c r="J318" s="13">
        <f>IFERROR(I318*VLOOKUP(B318,'Recetas y precios'!$A$5:$P$54,16,FALSE),"")</f>
        <v/>
      </c>
      <c r="K318" s="13">
        <f>IFERROR(G318-H318,"")</f>
        <v/>
      </c>
      <c r="L318" s="35">
        <f>IFERROR(K318/G318,"")</f>
        <v/>
      </c>
      <c r="M318" s="34" t="n"/>
    </row>
    <row r="319">
      <c r="A319" s="33" t="n"/>
      <c r="B319" s="34" t="n"/>
      <c r="C319" s="7">
        <f>IFERROR(VLOOKUP(B319,'Recetas y precios'!$A$5:$B$54,2,FALSE),"")</f>
        <v/>
      </c>
      <c r="D319" s="34" t="n"/>
      <c r="E319" s="34" t="n"/>
      <c r="F319" s="34" t="n"/>
      <c r="G319" s="13">
        <f>IFERROR(E319*F319,"")</f>
        <v/>
      </c>
      <c r="H319" s="13">
        <f>IFERROR(E319*VLOOKUP(B319,'Recetas y precios'!$A$5:$P$54,16,FALSE),"")</f>
        <v/>
      </c>
      <c r="I319" s="34" t="n"/>
      <c r="J319" s="13">
        <f>IFERROR(I319*VLOOKUP(B319,'Recetas y precios'!$A$5:$P$54,16,FALSE),"")</f>
        <v/>
      </c>
      <c r="K319" s="13">
        <f>IFERROR(G319-H319,"")</f>
        <v/>
      </c>
      <c r="L319" s="35">
        <f>IFERROR(K319/G319,"")</f>
        <v/>
      </c>
      <c r="M319" s="34" t="n"/>
    </row>
    <row r="320">
      <c r="A320" s="33" t="n"/>
      <c r="B320" s="34" t="n"/>
      <c r="C320" s="7">
        <f>IFERROR(VLOOKUP(B320,'Recetas y precios'!$A$5:$B$54,2,FALSE),"")</f>
        <v/>
      </c>
      <c r="D320" s="34" t="n"/>
      <c r="E320" s="34" t="n"/>
      <c r="F320" s="34" t="n"/>
      <c r="G320" s="13">
        <f>IFERROR(E320*F320,"")</f>
        <v/>
      </c>
      <c r="H320" s="13">
        <f>IFERROR(E320*VLOOKUP(B320,'Recetas y precios'!$A$5:$P$54,16,FALSE),"")</f>
        <v/>
      </c>
      <c r="I320" s="34" t="n"/>
      <c r="J320" s="13">
        <f>IFERROR(I320*VLOOKUP(B320,'Recetas y precios'!$A$5:$P$54,16,FALSE),"")</f>
        <v/>
      </c>
      <c r="K320" s="13">
        <f>IFERROR(G320-H320,"")</f>
        <v/>
      </c>
      <c r="L320" s="35">
        <f>IFERROR(K320/G320,"")</f>
        <v/>
      </c>
      <c r="M320" s="34" t="n"/>
    </row>
    <row r="321">
      <c r="A321" s="33" t="n"/>
      <c r="B321" s="34" t="n"/>
      <c r="C321" s="7">
        <f>IFERROR(VLOOKUP(B321,'Recetas y precios'!$A$5:$B$54,2,FALSE),"")</f>
        <v/>
      </c>
      <c r="D321" s="34" t="n"/>
      <c r="E321" s="34" t="n"/>
      <c r="F321" s="34" t="n"/>
      <c r="G321" s="13">
        <f>IFERROR(E321*F321,"")</f>
        <v/>
      </c>
      <c r="H321" s="13">
        <f>IFERROR(E321*VLOOKUP(B321,'Recetas y precios'!$A$5:$P$54,16,FALSE),"")</f>
        <v/>
      </c>
      <c r="I321" s="34" t="n"/>
      <c r="J321" s="13">
        <f>IFERROR(I321*VLOOKUP(B321,'Recetas y precios'!$A$5:$P$54,16,FALSE),"")</f>
        <v/>
      </c>
      <c r="K321" s="13">
        <f>IFERROR(G321-H321,"")</f>
        <v/>
      </c>
      <c r="L321" s="35">
        <f>IFERROR(K321/G321,"")</f>
        <v/>
      </c>
      <c r="M321" s="34" t="n"/>
    </row>
    <row r="322">
      <c r="A322" s="33" t="n"/>
      <c r="B322" s="34" t="n"/>
      <c r="C322" s="7">
        <f>IFERROR(VLOOKUP(B322,'Recetas y precios'!$A$5:$B$54,2,FALSE),"")</f>
        <v/>
      </c>
      <c r="D322" s="34" t="n"/>
      <c r="E322" s="34" t="n"/>
      <c r="F322" s="34" t="n"/>
      <c r="G322" s="13">
        <f>IFERROR(E322*F322,"")</f>
        <v/>
      </c>
      <c r="H322" s="13">
        <f>IFERROR(E322*VLOOKUP(B322,'Recetas y precios'!$A$5:$P$54,16,FALSE),"")</f>
        <v/>
      </c>
      <c r="I322" s="34" t="n"/>
      <c r="J322" s="13">
        <f>IFERROR(I322*VLOOKUP(B322,'Recetas y precios'!$A$5:$P$54,16,FALSE),"")</f>
        <v/>
      </c>
      <c r="K322" s="13">
        <f>IFERROR(G322-H322,"")</f>
        <v/>
      </c>
      <c r="L322" s="35">
        <f>IFERROR(K322/G322,"")</f>
        <v/>
      </c>
      <c r="M322" s="34" t="n"/>
    </row>
    <row r="323">
      <c r="A323" s="33" t="n"/>
      <c r="B323" s="34" t="n"/>
      <c r="C323" s="7">
        <f>IFERROR(VLOOKUP(B323,'Recetas y precios'!$A$5:$B$54,2,FALSE),"")</f>
        <v/>
      </c>
      <c r="D323" s="34" t="n"/>
      <c r="E323" s="34" t="n"/>
      <c r="F323" s="34" t="n"/>
      <c r="G323" s="13">
        <f>IFERROR(E323*F323,"")</f>
        <v/>
      </c>
      <c r="H323" s="13">
        <f>IFERROR(E323*VLOOKUP(B323,'Recetas y precios'!$A$5:$P$54,16,FALSE),"")</f>
        <v/>
      </c>
      <c r="I323" s="34" t="n"/>
      <c r="J323" s="13">
        <f>IFERROR(I323*VLOOKUP(B323,'Recetas y precios'!$A$5:$P$54,16,FALSE),"")</f>
        <v/>
      </c>
      <c r="K323" s="13">
        <f>IFERROR(G323-H323,"")</f>
        <v/>
      </c>
      <c r="L323" s="35">
        <f>IFERROR(K323/G323,"")</f>
        <v/>
      </c>
      <c r="M323" s="34" t="n"/>
    </row>
    <row r="324">
      <c r="A324" s="33" t="n"/>
      <c r="B324" s="34" t="n"/>
      <c r="C324" s="7">
        <f>IFERROR(VLOOKUP(B324,'Recetas y precios'!$A$5:$B$54,2,FALSE),"")</f>
        <v/>
      </c>
      <c r="D324" s="34" t="n"/>
      <c r="E324" s="34" t="n"/>
      <c r="F324" s="34" t="n"/>
      <c r="G324" s="13">
        <f>IFERROR(E324*F324,"")</f>
        <v/>
      </c>
      <c r="H324" s="13">
        <f>IFERROR(E324*VLOOKUP(B324,'Recetas y precios'!$A$5:$P$54,16,FALSE),"")</f>
        <v/>
      </c>
      <c r="I324" s="34" t="n"/>
      <c r="J324" s="13">
        <f>IFERROR(I324*VLOOKUP(B324,'Recetas y precios'!$A$5:$P$54,16,FALSE),"")</f>
        <v/>
      </c>
      <c r="K324" s="13">
        <f>IFERROR(G324-H324,"")</f>
        <v/>
      </c>
      <c r="L324" s="35">
        <f>IFERROR(K324/G324,"")</f>
        <v/>
      </c>
      <c r="M324" s="34" t="n"/>
    </row>
    <row r="325">
      <c r="A325" s="33" t="n"/>
      <c r="B325" s="34" t="n"/>
      <c r="C325" s="7">
        <f>IFERROR(VLOOKUP(B325,'Recetas y precios'!$A$5:$B$54,2,FALSE),"")</f>
        <v/>
      </c>
      <c r="D325" s="34" t="n"/>
      <c r="E325" s="34" t="n"/>
      <c r="F325" s="34" t="n"/>
      <c r="G325" s="13">
        <f>IFERROR(E325*F325,"")</f>
        <v/>
      </c>
      <c r="H325" s="13">
        <f>IFERROR(E325*VLOOKUP(B325,'Recetas y precios'!$A$5:$P$54,16,FALSE),"")</f>
        <v/>
      </c>
      <c r="I325" s="34" t="n"/>
      <c r="J325" s="13">
        <f>IFERROR(I325*VLOOKUP(B325,'Recetas y precios'!$A$5:$P$54,16,FALSE),"")</f>
        <v/>
      </c>
      <c r="K325" s="13">
        <f>IFERROR(G325-H325,"")</f>
        <v/>
      </c>
      <c r="L325" s="35">
        <f>IFERROR(K325/G325,"")</f>
        <v/>
      </c>
      <c r="M325" s="34" t="n"/>
    </row>
    <row r="326">
      <c r="A326" s="33" t="n"/>
      <c r="B326" s="34" t="n"/>
      <c r="C326" s="7">
        <f>IFERROR(VLOOKUP(B326,'Recetas y precios'!$A$5:$B$54,2,FALSE),"")</f>
        <v/>
      </c>
      <c r="D326" s="34" t="n"/>
      <c r="E326" s="34" t="n"/>
      <c r="F326" s="34" t="n"/>
      <c r="G326" s="13">
        <f>IFERROR(E326*F326,"")</f>
        <v/>
      </c>
      <c r="H326" s="13">
        <f>IFERROR(E326*VLOOKUP(B326,'Recetas y precios'!$A$5:$P$54,16,FALSE),"")</f>
        <v/>
      </c>
      <c r="I326" s="34" t="n"/>
      <c r="J326" s="13">
        <f>IFERROR(I326*VLOOKUP(B326,'Recetas y precios'!$A$5:$P$54,16,FALSE),"")</f>
        <v/>
      </c>
      <c r="K326" s="13">
        <f>IFERROR(G326-H326,"")</f>
        <v/>
      </c>
      <c r="L326" s="35">
        <f>IFERROR(K326/G326,"")</f>
        <v/>
      </c>
      <c r="M326" s="34" t="n"/>
    </row>
    <row r="327">
      <c r="A327" s="33" t="n"/>
      <c r="B327" s="34" t="n"/>
      <c r="C327" s="7">
        <f>IFERROR(VLOOKUP(B327,'Recetas y precios'!$A$5:$B$54,2,FALSE),"")</f>
        <v/>
      </c>
      <c r="D327" s="34" t="n"/>
      <c r="E327" s="34" t="n"/>
      <c r="F327" s="34" t="n"/>
      <c r="G327" s="13">
        <f>IFERROR(E327*F327,"")</f>
        <v/>
      </c>
      <c r="H327" s="13">
        <f>IFERROR(E327*VLOOKUP(B327,'Recetas y precios'!$A$5:$P$54,16,FALSE),"")</f>
        <v/>
      </c>
      <c r="I327" s="34" t="n"/>
      <c r="J327" s="13">
        <f>IFERROR(I327*VLOOKUP(B327,'Recetas y precios'!$A$5:$P$54,16,FALSE),"")</f>
        <v/>
      </c>
      <c r="K327" s="13">
        <f>IFERROR(G327-H327,"")</f>
        <v/>
      </c>
      <c r="L327" s="35">
        <f>IFERROR(K327/G327,"")</f>
        <v/>
      </c>
      <c r="M327" s="34" t="n"/>
    </row>
    <row r="328">
      <c r="A328" s="33" t="n"/>
      <c r="B328" s="34" t="n"/>
      <c r="C328" s="7">
        <f>IFERROR(VLOOKUP(B328,'Recetas y precios'!$A$5:$B$54,2,FALSE),"")</f>
        <v/>
      </c>
      <c r="D328" s="34" t="n"/>
      <c r="E328" s="34" t="n"/>
      <c r="F328" s="34" t="n"/>
      <c r="G328" s="13">
        <f>IFERROR(E328*F328,"")</f>
        <v/>
      </c>
      <c r="H328" s="13">
        <f>IFERROR(E328*VLOOKUP(B328,'Recetas y precios'!$A$5:$P$54,16,FALSE),"")</f>
        <v/>
      </c>
      <c r="I328" s="34" t="n"/>
      <c r="J328" s="13">
        <f>IFERROR(I328*VLOOKUP(B328,'Recetas y precios'!$A$5:$P$54,16,FALSE),"")</f>
        <v/>
      </c>
      <c r="K328" s="13">
        <f>IFERROR(G328-H328,"")</f>
        <v/>
      </c>
      <c r="L328" s="35">
        <f>IFERROR(K328/G328,"")</f>
        <v/>
      </c>
      <c r="M328" s="34" t="n"/>
    </row>
    <row r="329">
      <c r="A329" s="33" t="n"/>
      <c r="B329" s="34" t="n"/>
      <c r="C329" s="7">
        <f>IFERROR(VLOOKUP(B329,'Recetas y precios'!$A$5:$B$54,2,FALSE),"")</f>
        <v/>
      </c>
      <c r="D329" s="34" t="n"/>
      <c r="E329" s="34" t="n"/>
      <c r="F329" s="34" t="n"/>
      <c r="G329" s="13">
        <f>IFERROR(E329*F329,"")</f>
        <v/>
      </c>
      <c r="H329" s="13">
        <f>IFERROR(E329*VLOOKUP(B329,'Recetas y precios'!$A$5:$P$54,16,FALSE),"")</f>
        <v/>
      </c>
      <c r="I329" s="34" t="n"/>
      <c r="J329" s="13">
        <f>IFERROR(I329*VLOOKUP(B329,'Recetas y precios'!$A$5:$P$54,16,FALSE),"")</f>
        <v/>
      </c>
      <c r="K329" s="13">
        <f>IFERROR(G329-H329,"")</f>
        <v/>
      </c>
      <c r="L329" s="35">
        <f>IFERROR(K329/G329,"")</f>
        <v/>
      </c>
      <c r="M329" s="34" t="n"/>
    </row>
    <row r="330">
      <c r="A330" s="33" t="n"/>
      <c r="B330" s="34" t="n"/>
      <c r="C330" s="7">
        <f>IFERROR(VLOOKUP(B330,'Recetas y precios'!$A$5:$B$54,2,FALSE),"")</f>
        <v/>
      </c>
      <c r="D330" s="34" t="n"/>
      <c r="E330" s="34" t="n"/>
      <c r="F330" s="34" t="n"/>
      <c r="G330" s="13">
        <f>IFERROR(E330*F330,"")</f>
        <v/>
      </c>
      <c r="H330" s="13">
        <f>IFERROR(E330*VLOOKUP(B330,'Recetas y precios'!$A$5:$P$54,16,FALSE),"")</f>
        <v/>
      </c>
      <c r="I330" s="34" t="n"/>
      <c r="J330" s="13">
        <f>IFERROR(I330*VLOOKUP(B330,'Recetas y precios'!$A$5:$P$54,16,FALSE),"")</f>
        <v/>
      </c>
      <c r="K330" s="13">
        <f>IFERROR(G330-H330,"")</f>
        <v/>
      </c>
      <c r="L330" s="35">
        <f>IFERROR(K330/G330,"")</f>
        <v/>
      </c>
      <c r="M330" s="34" t="n"/>
    </row>
    <row r="331">
      <c r="A331" s="33" t="n"/>
      <c r="B331" s="34" t="n"/>
      <c r="C331" s="7">
        <f>IFERROR(VLOOKUP(B331,'Recetas y precios'!$A$5:$B$54,2,FALSE),"")</f>
        <v/>
      </c>
      <c r="D331" s="34" t="n"/>
      <c r="E331" s="34" t="n"/>
      <c r="F331" s="34" t="n"/>
      <c r="G331" s="13">
        <f>IFERROR(E331*F331,"")</f>
        <v/>
      </c>
      <c r="H331" s="13">
        <f>IFERROR(E331*VLOOKUP(B331,'Recetas y precios'!$A$5:$P$54,16,FALSE),"")</f>
        <v/>
      </c>
      <c r="I331" s="34" t="n"/>
      <c r="J331" s="13">
        <f>IFERROR(I331*VLOOKUP(B331,'Recetas y precios'!$A$5:$P$54,16,FALSE),"")</f>
        <v/>
      </c>
      <c r="K331" s="13">
        <f>IFERROR(G331-H331,"")</f>
        <v/>
      </c>
      <c r="L331" s="35">
        <f>IFERROR(K331/G331,"")</f>
        <v/>
      </c>
      <c r="M331" s="34" t="n"/>
    </row>
    <row r="332">
      <c r="A332" s="33" t="n"/>
      <c r="B332" s="34" t="n"/>
      <c r="C332" s="7">
        <f>IFERROR(VLOOKUP(B332,'Recetas y precios'!$A$5:$B$54,2,FALSE),"")</f>
        <v/>
      </c>
      <c r="D332" s="34" t="n"/>
      <c r="E332" s="34" t="n"/>
      <c r="F332" s="34" t="n"/>
      <c r="G332" s="13">
        <f>IFERROR(E332*F332,"")</f>
        <v/>
      </c>
      <c r="H332" s="13">
        <f>IFERROR(E332*VLOOKUP(B332,'Recetas y precios'!$A$5:$P$54,16,FALSE),"")</f>
        <v/>
      </c>
      <c r="I332" s="34" t="n"/>
      <c r="J332" s="13">
        <f>IFERROR(I332*VLOOKUP(B332,'Recetas y precios'!$A$5:$P$54,16,FALSE),"")</f>
        <v/>
      </c>
      <c r="K332" s="13">
        <f>IFERROR(G332-H332,"")</f>
        <v/>
      </c>
      <c r="L332" s="35">
        <f>IFERROR(K332/G332,"")</f>
        <v/>
      </c>
      <c r="M332" s="34" t="n"/>
    </row>
    <row r="333">
      <c r="A333" s="33" t="n"/>
      <c r="B333" s="34" t="n"/>
      <c r="C333" s="7">
        <f>IFERROR(VLOOKUP(B333,'Recetas y precios'!$A$5:$B$54,2,FALSE),"")</f>
        <v/>
      </c>
      <c r="D333" s="34" t="n"/>
      <c r="E333" s="34" t="n"/>
      <c r="F333" s="34" t="n"/>
      <c r="G333" s="13">
        <f>IFERROR(E333*F333,"")</f>
        <v/>
      </c>
      <c r="H333" s="13">
        <f>IFERROR(E333*VLOOKUP(B333,'Recetas y precios'!$A$5:$P$54,16,FALSE),"")</f>
        <v/>
      </c>
      <c r="I333" s="34" t="n"/>
      <c r="J333" s="13">
        <f>IFERROR(I333*VLOOKUP(B333,'Recetas y precios'!$A$5:$P$54,16,FALSE),"")</f>
        <v/>
      </c>
      <c r="K333" s="13">
        <f>IFERROR(G333-H333,"")</f>
        <v/>
      </c>
      <c r="L333" s="35">
        <f>IFERROR(K333/G333,"")</f>
        <v/>
      </c>
      <c r="M333" s="34" t="n"/>
    </row>
    <row r="334">
      <c r="A334" s="33" t="n"/>
      <c r="B334" s="34" t="n"/>
      <c r="C334" s="7">
        <f>IFERROR(VLOOKUP(B334,'Recetas y precios'!$A$5:$B$54,2,FALSE),"")</f>
        <v/>
      </c>
      <c r="D334" s="34" t="n"/>
      <c r="E334" s="34" t="n"/>
      <c r="F334" s="34" t="n"/>
      <c r="G334" s="13">
        <f>IFERROR(E334*F334,"")</f>
        <v/>
      </c>
      <c r="H334" s="13">
        <f>IFERROR(E334*VLOOKUP(B334,'Recetas y precios'!$A$5:$P$54,16,FALSE),"")</f>
        <v/>
      </c>
      <c r="I334" s="34" t="n"/>
      <c r="J334" s="13">
        <f>IFERROR(I334*VLOOKUP(B334,'Recetas y precios'!$A$5:$P$54,16,FALSE),"")</f>
        <v/>
      </c>
      <c r="K334" s="13">
        <f>IFERROR(G334-H334,"")</f>
        <v/>
      </c>
      <c r="L334" s="35">
        <f>IFERROR(K334/G334,"")</f>
        <v/>
      </c>
      <c r="M334" s="34" t="n"/>
    </row>
    <row r="335">
      <c r="A335" s="33" t="n"/>
      <c r="B335" s="34" t="n"/>
      <c r="C335" s="7">
        <f>IFERROR(VLOOKUP(B335,'Recetas y precios'!$A$5:$B$54,2,FALSE),"")</f>
        <v/>
      </c>
      <c r="D335" s="34" t="n"/>
      <c r="E335" s="34" t="n"/>
      <c r="F335" s="34" t="n"/>
      <c r="G335" s="13">
        <f>IFERROR(E335*F335,"")</f>
        <v/>
      </c>
      <c r="H335" s="13">
        <f>IFERROR(E335*VLOOKUP(B335,'Recetas y precios'!$A$5:$P$54,16,FALSE),"")</f>
        <v/>
      </c>
      <c r="I335" s="34" t="n"/>
      <c r="J335" s="13">
        <f>IFERROR(I335*VLOOKUP(B335,'Recetas y precios'!$A$5:$P$54,16,FALSE),"")</f>
        <v/>
      </c>
      <c r="K335" s="13">
        <f>IFERROR(G335-H335,"")</f>
        <v/>
      </c>
      <c r="L335" s="35">
        <f>IFERROR(K335/G335,"")</f>
        <v/>
      </c>
      <c r="M335" s="34" t="n"/>
    </row>
    <row r="336">
      <c r="A336" s="33" t="n"/>
      <c r="B336" s="34" t="n"/>
      <c r="C336" s="7">
        <f>IFERROR(VLOOKUP(B336,'Recetas y precios'!$A$5:$B$54,2,FALSE),"")</f>
        <v/>
      </c>
      <c r="D336" s="34" t="n"/>
      <c r="E336" s="34" t="n"/>
      <c r="F336" s="34" t="n"/>
      <c r="G336" s="13">
        <f>IFERROR(E336*F336,"")</f>
        <v/>
      </c>
      <c r="H336" s="13">
        <f>IFERROR(E336*VLOOKUP(B336,'Recetas y precios'!$A$5:$P$54,16,FALSE),"")</f>
        <v/>
      </c>
      <c r="I336" s="34" t="n"/>
      <c r="J336" s="13">
        <f>IFERROR(I336*VLOOKUP(B336,'Recetas y precios'!$A$5:$P$54,16,FALSE),"")</f>
        <v/>
      </c>
      <c r="K336" s="13">
        <f>IFERROR(G336-H336,"")</f>
        <v/>
      </c>
      <c r="L336" s="35">
        <f>IFERROR(K336/G336,"")</f>
        <v/>
      </c>
      <c r="M336" s="34" t="n"/>
    </row>
    <row r="337">
      <c r="A337" s="33" t="n"/>
      <c r="B337" s="34" t="n"/>
      <c r="C337" s="7">
        <f>IFERROR(VLOOKUP(B337,'Recetas y precios'!$A$5:$B$54,2,FALSE),"")</f>
        <v/>
      </c>
      <c r="D337" s="34" t="n"/>
      <c r="E337" s="34" t="n"/>
      <c r="F337" s="34" t="n"/>
      <c r="G337" s="13">
        <f>IFERROR(E337*F337,"")</f>
        <v/>
      </c>
      <c r="H337" s="13">
        <f>IFERROR(E337*VLOOKUP(B337,'Recetas y precios'!$A$5:$P$54,16,FALSE),"")</f>
        <v/>
      </c>
      <c r="I337" s="34" t="n"/>
      <c r="J337" s="13">
        <f>IFERROR(I337*VLOOKUP(B337,'Recetas y precios'!$A$5:$P$54,16,FALSE),"")</f>
        <v/>
      </c>
      <c r="K337" s="13">
        <f>IFERROR(G337-H337,"")</f>
        <v/>
      </c>
      <c r="L337" s="35">
        <f>IFERROR(K337/G337,"")</f>
        <v/>
      </c>
      <c r="M337" s="34" t="n"/>
    </row>
    <row r="338">
      <c r="A338" s="33" t="n"/>
      <c r="B338" s="34" t="n"/>
      <c r="C338" s="7">
        <f>IFERROR(VLOOKUP(B338,'Recetas y precios'!$A$5:$B$54,2,FALSE),"")</f>
        <v/>
      </c>
      <c r="D338" s="34" t="n"/>
      <c r="E338" s="34" t="n"/>
      <c r="F338" s="34" t="n"/>
      <c r="G338" s="13">
        <f>IFERROR(E338*F338,"")</f>
        <v/>
      </c>
      <c r="H338" s="13">
        <f>IFERROR(E338*VLOOKUP(B338,'Recetas y precios'!$A$5:$P$54,16,FALSE),"")</f>
        <v/>
      </c>
      <c r="I338" s="34" t="n"/>
      <c r="J338" s="13">
        <f>IFERROR(I338*VLOOKUP(B338,'Recetas y precios'!$A$5:$P$54,16,FALSE),"")</f>
        <v/>
      </c>
      <c r="K338" s="13">
        <f>IFERROR(G338-H338,"")</f>
        <v/>
      </c>
      <c r="L338" s="35">
        <f>IFERROR(K338/G338,"")</f>
        <v/>
      </c>
      <c r="M338" s="34" t="n"/>
    </row>
    <row r="339">
      <c r="A339" s="33" t="n"/>
      <c r="B339" s="34" t="n"/>
      <c r="C339" s="7">
        <f>IFERROR(VLOOKUP(B339,'Recetas y precios'!$A$5:$B$54,2,FALSE),"")</f>
        <v/>
      </c>
      <c r="D339" s="34" t="n"/>
      <c r="E339" s="34" t="n"/>
      <c r="F339" s="34" t="n"/>
      <c r="G339" s="13">
        <f>IFERROR(E339*F339,"")</f>
        <v/>
      </c>
      <c r="H339" s="13">
        <f>IFERROR(E339*VLOOKUP(B339,'Recetas y precios'!$A$5:$P$54,16,FALSE),"")</f>
        <v/>
      </c>
      <c r="I339" s="34" t="n"/>
      <c r="J339" s="13">
        <f>IFERROR(I339*VLOOKUP(B339,'Recetas y precios'!$A$5:$P$54,16,FALSE),"")</f>
        <v/>
      </c>
      <c r="K339" s="13">
        <f>IFERROR(G339-H339,"")</f>
        <v/>
      </c>
      <c r="L339" s="35">
        <f>IFERROR(K339/G339,"")</f>
        <v/>
      </c>
      <c r="M339" s="34" t="n"/>
    </row>
    <row r="340">
      <c r="A340" s="33" t="n"/>
      <c r="B340" s="34" t="n"/>
      <c r="C340" s="7">
        <f>IFERROR(VLOOKUP(B340,'Recetas y precios'!$A$5:$B$54,2,FALSE),"")</f>
        <v/>
      </c>
      <c r="D340" s="34" t="n"/>
      <c r="E340" s="34" t="n"/>
      <c r="F340" s="34" t="n"/>
      <c r="G340" s="13">
        <f>IFERROR(E340*F340,"")</f>
        <v/>
      </c>
      <c r="H340" s="13">
        <f>IFERROR(E340*VLOOKUP(B340,'Recetas y precios'!$A$5:$P$54,16,FALSE),"")</f>
        <v/>
      </c>
      <c r="I340" s="34" t="n"/>
      <c r="J340" s="13">
        <f>IFERROR(I340*VLOOKUP(B340,'Recetas y precios'!$A$5:$P$54,16,FALSE),"")</f>
        <v/>
      </c>
      <c r="K340" s="13">
        <f>IFERROR(G340-H340,"")</f>
        <v/>
      </c>
      <c r="L340" s="35">
        <f>IFERROR(K340/G340,"")</f>
        <v/>
      </c>
      <c r="M340" s="34" t="n"/>
    </row>
    <row r="341">
      <c r="A341" s="33" t="n"/>
      <c r="B341" s="34" t="n"/>
      <c r="C341" s="7">
        <f>IFERROR(VLOOKUP(B341,'Recetas y precios'!$A$5:$B$54,2,FALSE),"")</f>
        <v/>
      </c>
      <c r="D341" s="34" t="n"/>
      <c r="E341" s="34" t="n"/>
      <c r="F341" s="34" t="n"/>
      <c r="G341" s="13">
        <f>IFERROR(E341*F341,"")</f>
        <v/>
      </c>
      <c r="H341" s="13">
        <f>IFERROR(E341*VLOOKUP(B341,'Recetas y precios'!$A$5:$P$54,16,FALSE),"")</f>
        <v/>
      </c>
      <c r="I341" s="34" t="n"/>
      <c r="J341" s="13">
        <f>IFERROR(I341*VLOOKUP(B341,'Recetas y precios'!$A$5:$P$54,16,FALSE),"")</f>
        <v/>
      </c>
      <c r="K341" s="13">
        <f>IFERROR(G341-H341,"")</f>
        <v/>
      </c>
      <c r="L341" s="35">
        <f>IFERROR(K341/G341,"")</f>
        <v/>
      </c>
      <c r="M341" s="34" t="n"/>
    </row>
    <row r="342">
      <c r="A342" s="33" t="n"/>
      <c r="B342" s="34" t="n"/>
      <c r="C342" s="7">
        <f>IFERROR(VLOOKUP(B342,'Recetas y precios'!$A$5:$B$54,2,FALSE),"")</f>
        <v/>
      </c>
      <c r="D342" s="34" t="n"/>
      <c r="E342" s="34" t="n"/>
      <c r="F342" s="34" t="n"/>
      <c r="G342" s="13">
        <f>IFERROR(E342*F342,"")</f>
        <v/>
      </c>
      <c r="H342" s="13">
        <f>IFERROR(E342*VLOOKUP(B342,'Recetas y precios'!$A$5:$P$54,16,FALSE),"")</f>
        <v/>
      </c>
      <c r="I342" s="34" t="n"/>
      <c r="J342" s="13">
        <f>IFERROR(I342*VLOOKUP(B342,'Recetas y precios'!$A$5:$P$54,16,FALSE),"")</f>
        <v/>
      </c>
      <c r="K342" s="13">
        <f>IFERROR(G342-H342,"")</f>
        <v/>
      </c>
      <c r="L342" s="35">
        <f>IFERROR(K342/G342,"")</f>
        <v/>
      </c>
      <c r="M342" s="34" t="n"/>
    </row>
    <row r="343">
      <c r="A343" s="33" t="n"/>
      <c r="B343" s="34" t="n"/>
      <c r="C343" s="7">
        <f>IFERROR(VLOOKUP(B343,'Recetas y precios'!$A$5:$B$54,2,FALSE),"")</f>
        <v/>
      </c>
      <c r="D343" s="34" t="n"/>
      <c r="E343" s="34" t="n"/>
      <c r="F343" s="34" t="n"/>
      <c r="G343" s="13">
        <f>IFERROR(E343*F343,"")</f>
        <v/>
      </c>
      <c r="H343" s="13">
        <f>IFERROR(E343*VLOOKUP(B343,'Recetas y precios'!$A$5:$P$54,16,FALSE),"")</f>
        <v/>
      </c>
      <c r="I343" s="34" t="n"/>
      <c r="J343" s="13">
        <f>IFERROR(I343*VLOOKUP(B343,'Recetas y precios'!$A$5:$P$54,16,FALSE),"")</f>
        <v/>
      </c>
      <c r="K343" s="13">
        <f>IFERROR(G343-H343,"")</f>
        <v/>
      </c>
      <c r="L343" s="35">
        <f>IFERROR(K343/G343,"")</f>
        <v/>
      </c>
      <c r="M343" s="34" t="n"/>
    </row>
    <row r="344">
      <c r="A344" s="33" t="n"/>
      <c r="B344" s="34" t="n"/>
      <c r="C344" s="7">
        <f>IFERROR(VLOOKUP(B344,'Recetas y precios'!$A$5:$B$54,2,FALSE),"")</f>
        <v/>
      </c>
      <c r="D344" s="34" t="n"/>
      <c r="E344" s="34" t="n"/>
      <c r="F344" s="34" t="n"/>
      <c r="G344" s="13">
        <f>IFERROR(E344*F344,"")</f>
        <v/>
      </c>
      <c r="H344" s="13">
        <f>IFERROR(E344*VLOOKUP(B344,'Recetas y precios'!$A$5:$P$54,16,FALSE),"")</f>
        <v/>
      </c>
      <c r="I344" s="34" t="n"/>
      <c r="J344" s="13">
        <f>IFERROR(I344*VLOOKUP(B344,'Recetas y precios'!$A$5:$P$54,16,FALSE),"")</f>
        <v/>
      </c>
      <c r="K344" s="13">
        <f>IFERROR(G344-H344,"")</f>
        <v/>
      </c>
      <c r="L344" s="35">
        <f>IFERROR(K344/G344,"")</f>
        <v/>
      </c>
      <c r="M344" s="34" t="n"/>
    </row>
    <row r="345">
      <c r="A345" s="33" t="n"/>
      <c r="B345" s="34" t="n"/>
      <c r="C345" s="7">
        <f>IFERROR(VLOOKUP(B345,'Recetas y precios'!$A$5:$B$54,2,FALSE),"")</f>
        <v/>
      </c>
      <c r="D345" s="34" t="n"/>
      <c r="E345" s="34" t="n"/>
      <c r="F345" s="34" t="n"/>
      <c r="G345" s="13">
        <f>IFERROR(E345*F345,"")</f>
        <v/>
      </c>
      <c r="H345" s="13">
        <f>IFERROR(E345*VLOOKUP(B345,'Recetas y precios'!$A$5:$P$54,16,FALSE),"")</f>
        <v/>
      </c>
      <c r="I345" s="34" t="n"/>
      <c r="J345" s="13">
        <f>IFERROR(I345*VLOOKUP(B345,'Recetas y precios'!$A$5:$P$54,16,FALSE),"")</f>
        <v/>
      </c>
      <c r="K345" s="13">
        <f>IFERROR(G345-H345,"")</f>
        <v/>
      </c>
      <c r="L345" s="35">
        <f>IFERROR(K345/G345,"")</f>
        <v/>
      </c>
      <c r="M345" s="34" t="n"/>
    </row>
    <row r="346">
      <c r="A346" s="33" t="n"/>
      <c r="B346" s="34" t="n"/>
      <c r="C346" s="7">
        <f>IFERROR(VLOOKUP(B346,'Recetas y precios'!$A$5:$B$54,2,FALSE),"")</f>
        <v/>
      </c>
      <c r="D346" s="34" t="n"/>
      <c r="E346" s="34" t="n"/>
      <c r="F346" s="34" t="n"/>
      <c r="G346" s="13">
        <f>IFERROR(E346*F346,"")</f>
        <v/>
      </c>
      <c r="H346" s="13">
        <f>IFERROR(E346*VLOOKUP(B346,'Recetas y precios'!$A$5:$P$54,16,FALSE),"")</f>
        <v/>
      </c>
      <c r="I346" s="34" t="n"/>
      <c r="J346" s="13">
        <f>IFERROR(I346*VLOOKUP(B346,'Recetas y precios'!$A$5:$P$54,16,FALSE),"")</f>
        <v/>
      </c>
      <c r="K346" s="13">
        <f>IFERROR(G346-H346,"")</f>
        <v/>
      </c>
      <c r="L346" s="35">
        <f>IFERROR(K346/G346,"")</f>
        <v/>
      </c>
      <c r="M346" s="34" t="n"/>
    </row>
    <row r="347">
      <c r="A347" s="33" t="n"/>
      <c r="B347" s="34" t="n"/>
      <c r="C347" s="7">
        <f>IFERROR(VLOOKUP(B347,'Recetas y precios'!$A$5:$B$54,2,FALSE),"")</f>
        <v/>
      </c>
      <c r="D347" s="34" t="n"/>
      <c r="E347" s="34" t="n"/>
      <c r="F347" s="34" t="n"/>
      <c r="G347" s="13">
        <f>IFERROR(E347*F347,"")</f>
        <v/>
      </c>
      <c r="H347" s="13">
        <f>IFERROR(E347*VLOOKUP(B347,'Recetas y precios'!$A$5:$P$54,16,FALSE),"")</f>
        <v/>
      </c>
      <c r="I347" s="34" t="n"/>
      <c r="J347" s="13">
        <f>IFERROR(I347*VLOOKUP(B347,'Recetas y precios'!$A$5:$P$54,16,FALSE),"")</f>
        <v/>
      </c>
      <c r="K347" s="13">
        <f>IFERROR(G347-H347,"")</f>
        <v/>
      </c>
      <c r="L347" s="35">
        <f>IFERROR(K347/G347,"")</f>
        <v/>
      </c>
      <c r="M347" s="34" t="n"/>
    </row>
    <row r="348">
      <c r="A348" s="33" t="n"/>
      <c r="B348" s="34" t="n"/>
      <c r="C348" s="7">
        <f>IFERROR(VLOOKUP(B348,'Recetas y precios'!$A$5:$B$54,2,FALSE),"")</f>
        <v/>
      </c>
      <c r="D348" s="34" t="n"/>
      <c r="E348" s="34" t="n"/>
      <c r="F348" s="34" t="n"/>
      <c r="G348" s="13">
        <f>IFERROR(E348*F348,"")</f>
        <v/>
      </c>
      <c r="H348" s="13">
        <f>IFERROR(E348*VLOOKUP(B348,'Recetas y precios'!$A$5:$P$54,16,FALSE),"")</f>
        <v/>
      </c>
      <c r="I348" s="34" t="n"/>
      <c r="J348" s="13">
        <f>IFERROR(I348*VLOOKUP(B348,'Recetas y precios'!$A$5:$P$54,16,FALSE),"")</f>
        <v/>
      </c>
      <c r="K348" s="13">
        <f>IFERROR(G348-H348,"")</f>
        <v/>
      </c>
      <c r="L348" s="35">
        <f>IFERROR(K348/G348,"")</f>
        <v/>
      </c>
      <c r="M348" s="34" t="n"/>
    </row>
    <row r="349">
      <c r="A349" s="33" t="n"/>
      <c r="B349" s="34" t="n"/>
      <c r="C349" s="7">
        <f>IFERROR(VLOOKUP(B349,'Recetas y precios'!$A$5:$B$54,2,FALSE),"")</f>
        <v/>
      </c>
      <c r="D349" s="34" t="n"/>
      <c r="E349" s="34" t="n"/>
      <c r="F349" s="34" t="n"/>
      <c r="G349" s="13">
        <f>IFERROR(E349*F349,"")</f>
        <v/>
      </c>
      <c r="H349" s="13">
        <f>IFERROR(E349*VLOOKUP(B349,'Recetas y precios'!$A$5:$P$54,16,FALSE),"")</f>
        <v/>
      </c>
      <c r="I349" s="34" t="n"/>
      <c r="J349" s="13">
        <f>IFERROR(I349*VLOOKUP(B349,'Recetas y precios'!$A$5:$P$54,16,FALSE),"")</f>
        <v/>
      </c>
      <c r="K349" s="13">
        <f>IFERROR(G349-H349,"")</f>
        <v/>
      </c>
      <c r="L349" s="35">
        <f>IFERROR(K349/G349,"")</f>
        <v/>
      </c>
      <c r="M349" s="34" t="n"/>
    </row>
    <row r="350">
      <c r="A350" s="33" t="n"/>
      <c r="B350" s="34" t="n"/>
      <c r="C350" s="7">
        <f>IFERROR(VLOOKUP(B350,'Recetas y precios'!$A$5:$B$54,2,FALSE),"")</f>
        <v/>
      </c>
      <c r="D350" s="34" t="n"/>
      <c r="E350" s="34" t="n"/>
      <c r="F350" s="34" t="n"/>
      <c r="G350" s="13">
        <f>IFERROR(E350*F350,"")</f>
        <v/>
      </c>
      <c r="H350" s="13">
        <f>IFERROR(E350*VLOOKUP(B350,'Recetas y precios'!$A$5:$P$54,16,FALSE),"")</f>
        <v/>
      </c>
      <c r="I350" s="34" t="n"/>
      <c r="J350" s="13">
        <f>IFERROR(I350*VLOOKUP(B350,'Recetas y precios'!$A$5:$P$54,16,FALSE),"")</f>
        <v/>
      </c>
      <c r="K350" s="13">
        <f>IFERROR(G350-H350,"")</f>
        <v/>
      </c>
      <c r="L350" s="35">
        <f>IFERROR(K350/G350,"")</f>
        <v/>
      </c>
      <c r="M350" s="34" t="n"/>
    </row>
    <row r="351">
      <c r="A351" s="33" t="n"/>
      <c r="B351" s="34" t="n"/>
      <c r="C351" s="7">
        <f>IFERROR(VLOOKUP(B351,'Recetas y precios'!$A$5:$B$54,2,FALSE),"")</f>
        <v/>
      </c>
      <c r="D351" s="34" t="n"/>
      <c r="E351" s="34" t="n"/>
      <c r="F351" s="34" t="n"/>
      <c r="G351" s="13">
        <f>IFERROR(E351*F351,"")</f>
        <v/>
      </c>
      <c r="H351" s="13">
        <f>IFERROR(E351*VLOOKUP(B351,'Recetas y precios'!$A$5:$P$54,16,FALSE),"")</f>
        <v/>
      </c>
      <c r="I351" s="34" t="n"/>
      <c r="J351" s="13">
        <f>IFERROR(I351*VLOOKUP(B351,'Recetas y precios'!$A$5:$P$54,16,FALSE),"")</f>
        <v/>
      </c>
      <c r="K351" s="13">
        <f>IFERROR(G351-H351,"")</f>
        <v/>
      </c>
      <c r="L351" s="35">
        <f>IFERROR(K351/G351,"")</f>
        <v/>
      </c>
      <c r="M351" s="34" t="n"/>
    </row>
    <row r="352">
      <c r="A352" s="33" t="n"/>
      <c r="B352" s="34" t="n"/>
      <c r="C352" s="7">
        <f>IFERROR(VLOOKUP(B352,'Recetas y precios'!$A$5:$B$54,2,FALSE),"")</f>
        <v/>
      </c>
      <c r="D352" s="34" t="n"/>
      <c r="E352" s="34" t="n"/>
      <c r="F352" s="34" t="n"/>
      <c r="G352" s="13">
        <f>IFERROR(E352*F352,"")</f>
        <v/>
      </c>
      <c r="H352" s="13">
        <f>IFERROR(E352*VLOOKUP(B352,'Recetas y precios'!$A$5:$P$54,16,FALSE),"")</f>
        <v/>
      </c>
      <c r="I352" s="34" t="n"/>
      <c r="J352" s="13">
        <f>IFERROR(I352*VLOOKUP(B352,'Recetas y precios'!$A$5:$P$54,16,FALSE),"")</f>
        <v/>
      </c>
      <c r="K352" s="13">
        <f>IFERROR(G352-H352,"")</f>
        <v/>
      </c>
      <c r="L352" s="35">
        <f>IFERROR(K352/G352,"")</f>
        <v/>
      </c>
      <c r="M352" s="34" t="n"/>
    </row>
    <row r="353">
      <c r="A353" s="33" t="n"/>
      <c r="B353" s="34" t="n"/>
      <c r="C353" s="7">
        <f>IFERROR(VLOOKUP(B353,'Recetas y precios'!$A$5:$B$54,2,FALSE),"")</f>
        <v/>
      </c>
      <c r="D353" s="34" t="n"/>
      <c r="E353" s="34" t="n"/>
      <c r="F353" s="34" t="n"/>
      <c r="G353" s="13">
        <f>IFERROR(E353*F353,"")</f>
        <v/>
      </c>
      <c r="H353" s="13">
        <f>IFERROR(E353*VLOOKUP(B353,'Recetas y precios'!$A$5:$P$54,16,FALSE),"")</f>
        <v/>
      </c>
      <c r="I353" s="34" t="n"/>
      <c r="J353" s="13">
        <f>IFERROR(I353*VLOOKUP(B353,'Recetas y precios'!$A$5:$P$54,16,FALSE),"")</f>
        <v/>
      </c>
      <c r="K353" s="13">
        <f>IFERROR(G353-H353,"")</f>
        <v/>
      </c>
      <c r="L353" s="35">
        <f>IFERROR(K353/G353,"")</f>
        <v/>
      </c>
      <c r="M353" s="34" t="n"/>
    </row>
    <row r="354">
      <c r="A354" s="33" t="n"/>
      <c r="B354" s="34" t="n"/>
      <c r="C354" s="7">
        <f>IFERROR(VLOOKUP(B354,'Recetas y precios'!$A$5:$B$54,2,FALSE),"")</f>
        <v/>
      </c>
      <c r="D354" s="34" t="n"/>
      <c r="E354" s="34" t="n"/>
      <c r="F354" s="34" t="n"/>
      <c r="G354" s="13">
        <f>IFERROR(E354*F354,"")</f>
        <v/>
      </c>
      <c r="H354" s="13">
        <f>IFERROR(E354*VLOOKUP(B354,'Recetas y precios'!$A$5:$P$54,16,FALSE),"")</f>
        <v/>
      </c>
      <c r="I354" s="34" t="n"/>
      <c r="J354" s="13">
        <f>IFERROR(I354*VLOOKUP(B354,'Recetas y precios'!$A$5:$P$54,16,FALSE),"")</f>
        <v/>
      </c>
      <c r="K354" s="13">
        <f>IFERROR(G354-H354,"")</f>
        <v/>
      </c>
      <c r="L354" s="35">
        <f>IFERROR(K354/G354,"")</f>
        <v/>
      </c>
      <c r="M354" s="34" t="n"/>
    </row>
    <row r="355">
      <c r="A355" s="33" t="n"/>
      <c r="B355" s="34" t="n"/>
      <c r="C355" s="7">
        <f>IFERROR(VLOOKUP(B355,'Recetas y precios'!$A$5:$B$54,2,FALSE),"")</f>
        <v/>
      </c>
      <c r="D355" s="34" t="n"/>
      <c r="E355" s="34" t="n"/>
      <c r="F355" s="34" t="n"/>
      <c r="G355" s="13">
        <f>IFERROR(E355*F355,"")</f>
        <v/>
      </c>
      <c r="H355" s="13">
        <f>IFERROR(E355*VLOOKUP(B355,'Recetas y precios'!$A$5:$P$54,16,FALSE),"")</f>
        <v/>
      </c>
      <c r="I355" s="34" t="n"/>
      <c r="J355" s="13">
        <f>IFERROR(I355*VLOOKUP(B355,'Recetas y precios'!$A$5:$P$54,16,FALSE),"")</f>
        <v/>
      </c>
      <c r="K355" s="13">
        <f>IFERROR(G355-H355,"")</f>
        <v/>
      </c>
      <c r="L355" s="35">
        <f>IFERROR(K355/G355,"")</f>
        <v/>
      </c>
      <c r="M355" s="34" t="n"/>
    </row>
    <row r="356">
      <c r="A356" s="33" t="n"/>
      <c r="B356" s="34" t="n"/>
      <c r="C356" s="7">
        <f>IFERROR(VLOOKUP(B356,'Recetas y precios'!$A$5:$B$54,2,FALSE),"")</f>
        <v/>
      </c>
      <c r="D356" s="34" t="n"/>
      <c r="E356" s="34" t="n"/>
      <c r="F356" s="34" t="n"/>
      <c r="G356" s="13">
        <f>IFERROR(E356*F356,"")</f>
        <v/>
      </c>
      <c r="H356" s="13">
        <f>IFERROR(E356*VLOOKUP(B356,'Recetas y precios'!$A$5:$P$54,16,FALSE),"")</f>
        <v/>
      </c>
      <c r="I356" s="34" t="n"/>
      <c r="J356" s="13">
        <f>IFERROR(I356*VLOOKUP(B356,'Recetas y precios'!$A$5:$P$54,16,FALSE),"")</f>
        <v/>
      </c>
      <c r="K356" s="13">
        <f>IFERROR(G356-H356,"")</f>
        <v/>
      </c>
      <c r="L356" s="35">
        <f>IFERROR(K356/G356,"")</f>
        <v/>
      </c>
      <c r="M356" s="34" t="n"/>
    </row>
    <row r="357">
      <c r="A357" s="33" t="n"/>
      <c r="B357" s="34" t="n"/>
      <c r="C357" s="7">
        <f>IFERROR(VLOOKUP(B357,'Recetas y precios'!$A$5:$B$54,2,FALSE),"")</f>
        <v/>
      </c>
      <c r="D357" s="34" t="n"/>
      <c r="E357" s="34" t="n"/>
      <c r="F357" s="34" t="n"/>
      <c r="G357" s="13">
        <f>IFERROR(E357*F357,"")</f>
        <v/>
      </c>
      <c r="H357" s="13">
        <f>IFERROR(E357*VLOOKUP(B357,'Recetas y precios'!$A$5:$P$54,16,FALSE),"")</f>
        <v/>
      </c>
      <c r="I357" s="34" t="n"/>
      <c r="J357" s="13">
        <f>IFERROR(I357*VLOOKUP(B357,'Recetas y precios'!$A$5:$P$54,16,FALSE),"")</f>
        <v/>
      </c>
      <c r="K357" s="13">
        <f>IFERROR(G357-H357,"")</f>
        <v/>
      </c>
      <c r="L357" s="35">
        <f>IFERROR(K357/G357,"")</f>
        <v/>
      </c>
      <c r="M357" s="34" t="n"/>
    </row>
    <row r="358">
      <c r="A358" s="33" t="n"/>
      <c r="B358" s="34" t="n"/>
      <c r="C358" s="7">
        <f>IFERROR(VLOOKUP(B358,'Recetas y precios'!$A$5:$B$54,2,FALSE),"")</f>
        <v/>
      </c>
      <c r="D358" s="34" t="n"/>
      <c r="E358" s="34" t="n"/>
      <c r="F358" s="34" t="n"/>
      <c r="G358" s="13">
        <f>IFERROR(E358*F358,"")</f>
        <v/>
      </c>
      <c r="H358" s="13">
        <f>IFERROR(E358*VLOOKUP(B358,'Recetas y precios'!$A$5:$P$54,16,FALSE),"")</f>
        <v/>
      </c>
      <c r="I358" s="34" t="n"/>
      <c r="J358" s="13">
        <f>IFERROR(I358*VLOOKUP(B358,'Recetas y precios'!$A$5:$P$54,16,FALSE),"")</f>
        <v/>
      </c>
      <c r="K358" s="13">
        <f>IFERROR(G358-H358,"")</f>
        <v/>
      </c>
      <c r="L358" s="35">
        <f>IFERROR(K358/G358,"")</f>
        <v/>
      </c>
      <c r="M358" s="34" t="n"/>
    </row>
    <row r="359">
      <c r="A359" s="33" t="n"/>
      <c r="B359" s="34" t="n"/>
      <c r="C359" s="7">
        <f>IFERROR(VLOOKUP(B359,'Recetas y precios'!$A$5:$B$54,2,FALSE),"")</f>
        <v/>
      </c>
      <c r="D359" s="34" t="n"/>
      <c r="E359" s="34" t="n"/>
      <c r="F359" s="34" t="n"/>
      <c r="G359" s="13">
        <f>IFERROR(E359*F359,"")</f>
        <v/>
      </c>
      <c r="H359" s="13">
        <f>IFERROR(E359*VLOOKUP(B359,'Recetas y precios'!$A$5:$P$54,16,FALSE),"")</f>
        <v/>
      </c>
      <c r="I359" s="34" t="n"/>
      <c r="J359" s="13">
        <f>IFERROR(I359*VLOOKUP(B359,'Recetas y precios'!$A$5:$P$54,16,FALSE),"")</f>
        <v/>
      </c>
      <c r="K359" s="13">
        <f>IFERROR(G359-H359,"")</f>
        <v/>
      </c>
      <c r="L359" s="35">
        <f>IFERROR(K359/G359,"")</f>
        <v/>
      </c>
      <c r="M359" s="34" t="n"/>
    </row>
    <row r="360">
      <c r="A360" s="33" t="n"/>
      <c r="B360" s="34" t="n"/>
      <c r="C360" s="7">
        <f>IFERROR(VLOOKUP(B360,'Recetas y precios'!$A$5:$B$54,2,FALSE),"")</f>
        <v/>
      </c>
      <c r="D360" s="34" t="n"/>
      <c r="E360" s="34" t="n"/>
      <c r="F360" s="34" t="n"/>
      <c r="G360" s="13">
        <f>IFERROR(E360*F360,"")</f>
        <v/>
      </c>
      <c r="H360" s="13">
        <f>IFERROR(E360*VLOOKUP(B360,'Recetas y precios'!$A$5:$P$54,16,FALSE),"")</f>
        <v/>
      </c>
      <c r="I360" s="34" t="n"/>
      <c r="J360" s="13">
        <f>IFERROR(I360*VLOOKUP(B360,'Recetas y precios'!$A$5:$P$54,16,FALSE),"")</f>
        <v/>
      </c>
      <c r="K360" s="13">
        <f>IFERROR(G360-H360,"")</f>
        <v/>
      </c>
      <c r="L360" s="35">
        <f>IFERROR(K360/G360,"")</f>
        <v/>
      </c>
      <c r="M360" s="34" t="n"/>
    </row>
    <row r="361">
      <c r="A361" s="33" t="n"/>
      <c r="B361" s="34" t="n"/>
      <c r="C361" s="7">
        <f>IFERROR(VLOOKUP(B361,'Recetas y precios'!$A$5:$B$54,2,FALSE),"")</f>
        <v/>
      </c>
      <c r="D361" s="34" t="n"/>
      <c r="E361" s="34" t="n"/>
      <c r="F361" s="34" t="n"/>
      <c r="G361" s="13">
        <f>IFERROR(E361*F361,"")</f>
        <v/>
      </c>
      <c r="H361" s="13">
        <f>IFERROR(E361*VLOOKUP(B361,'Recetas y precios'!$A$5:$P$54,16,FALSE),"")</f>
        <v/>
      </c>
      <c r="I361" s="34" t="n"/>
      <c r="J361" s="13">
        <f>IFERROR(I361*VLOOKUP(B361,'Recetas y precios'!$A$5:$P$54,16,FALSE),"")</f>
        <v/>
      </c>
      <c r="K361" s="13">
        <f>IFERROR(G361-H361,"")</f>
        <v/>
      </c>
      <c r="L361" s="35">
        <f>IFERROR(K361/G361,"")</f>
        <v/>
      </c>
      <c r="M361" s="34" t="n"/>
    </row>
    <row r="362">
      <c r="A362" s="33" t="n"/>
      <c r="B362" s="34" t="n"/>
      <c r="C362" s="7">
        <f>IFERROR(VLOOKUP(B362,'Recetas y precios'!$A$5:$B$54,2,FALSE),"")</f>
        <v/>
      </c>
      <c r="D362" s="34" t="n"/>
      <c r="E362" s="34" t="n"/>
      <c r="F362" s="34" t="n"/>
      <c r="G362" s="13">
        <f>IFERROR(E362*F362,"")</f>
        <v/>
      </c>
      <c r="H362" s="13">
        <f>IFERROR(E362*VLOOKUP(B362,'Recetas y precios'!$A$5:$P$54,16,FALSE),"")</f>
        <v/>
      </c>
      <c r="I362" s="34" t="n"/>
      <c r="J362" s="13">
        <f>IFERROR(I362*VLOOKUP(B362,'Recetas y precios'!$A$5:$P$54,16,FALSE),"")</f>
        <v/>
      </c>
      <c r="K362" s="13">
        <f>IFERROR(G362-H362,"")</f>
        <v/>
      </c>
      <c r="L362" s="35">
        <f>IFERROR(K362/G362,"")</f>
        <v/>
      </c>
      <c r="M362" s="34" t="n"/>
    </row>
    <row r="363">
      <c r="A363" s="33" t="n"/>
      <c r="B363" s="34" t="n"/>
      <c r="C363" s="7">
        <f>IFERROR(VLOOKUP(B363,'Recetas y precios'!$A$5:$B$54,2,FALSE),"")</f>
        <v/>
      </c>
      <c r="D363" s="34" t="n"/>
      <c r="E363" s="34" t="n"/>
      <c r="F363" s="34" t="n"/>
      <c r="G363" s="13">
        <f>IFERROR(E363*F363,"")</f>
        <v/>
      </c>
      <c r="H363" s="13">
        <f>IFERROR(E363*VLOOKUP(B363,'Recetas y precios'!$A$5:$P$54,16,FALSE),"")</f>
        <v/>
      </c>
      <c r="I363" s="34" t="n"/>
      <c r="J363" s="13">
        <f>IFERROR(I363*VLOOKUP(B363,'Recetas y precios'!$A$5:$P$54,16,FALSE),"")</f>
        <v/>
      </c>
      <c r="K363" s="13">
        <f>IFERROR(G363-H363,"")</f>
        <v/>
      </c>
      <c r="L363" s="35">
        <f>IFERROR(K363/G363,"")</f>
        <v/>
      </c>
      <c r="M363" s="34" t="n"/>
    </row>
    <row r="364">
      <c r="A364" s="33" t="n"/>
      <c r="B364" s="34" t="n"/>
      <c r="C364" s="7">
        <f>IFERROR(VLOOKUP(B364,'Recetas y precios'!$A$5:$B$54,2,FALSE),"")</f>
        <v/>
      </c>
      <c r="D364" s="34" t="n"/>
      <c r="E364" s="34" t="n"/>
      <c r="F364" s="34" t="n"/>
      <c r="G364" s="13">
        <f>IFERROR(E364*F364,"")</f>
        <v/>
      </c>
      <c r="H364" s="13">
        <f>IFERROR(E364*VLOOKUP(B364,'Recetas y precios'!$A$5:$P$54,16,FALSE),"")</f>
        <v/>
      </c>
      <c r="I364" s="34" t="n"/>
      <c r="J364" s="13">
        <f>IFERROR(I364*VLOOKUP(B364,'Recetas y precios'!$A$5:$P$54,16,FALSE),"")</f>
        <v/>
      </c>
      <c r="K364" s="13">
        <f>IFERROR(G364-H364,"")</f>
        <v/>
      </c>
      <c r="L364" s="35">
        <f>IFERROR(K364/G364,"")</f>
        <v/>
      </c>
      <c r="M364" s="34" t="n"/>
    </row>
    <row r="365">
      <c r="A365" s="33" t="n"/>
      <c r="B365" s="34" t="n"/>
      <c r="C365" s="7">
        <f>IFERROR(VLOOKUP(B365,'Recetas y precios'!$A$5:$B$54,2,FALSE),"")</f>
        <v/>
      </c>
      <c r="D365" s="34" t="n"/>
      <c r="E365" s="34" t="n"/>
      <c r="F365" s="34" t="n"/>
      <c r="G365" s="13">
        <f>IFERROR(E365*F365,"")</f>
        <v/>
      </c>
      <c r="H365" s="13">
        <f>IFERROR(E365*VLOOKUP(B365,'Recetas y precios'!$A$5:$P$54,16,FALSE),"")</f>
        <v/>
      </c>
      <c r="I365" s="34" t="n"/>
      <c r="J365" s="13">
        <f>IFERROR(I365*VLOOKUP(B365,'Recetas y precios'!$A$5:$P$54,16,FALSE),"")</f>
        <v/>
      </c>
      <c r="K365" s="13">
        <f>IFERROR(G365-H365,"")</f>
        <v/>
      </c>
      <c r="L365" s="35">
        <f>IFERROR(K365/G365,"")</f>
        <v/>
      </c>
      <c r="M365" s="34" t="n"/>
    </row>
    <row r="366">
      <c r="A366" s="33" t="n"/>
      <c r="B366" s="34" t="n"/>
      <c r="C366" s="7">
        <f>IFERROR(VLOOKUP(B366,'Recetas y precios'!$A$5:$B$54,2,FALSE),"")</f>
        <v/>
      </c>
      <c r="D366" s="34" t="n"/>
      <c r="E366" s="34" t="n"/>
      <c r="F366" s="34" t="n"/>
      <c r="G366" s="13">
        <f>IFERROR(E366*F366,"")</f>
        <v/>
      </c>
      <c r="H366" s="13">
        <f>IFERROR(E366*VLOOKUP(B366,'Recetas y precios'!$A$5:$P$54,16,FALSE),"")</f>
        <v/>
      </c>
      <c r="I366" s="34" t="n"/>
      <c r="J366" s="13">
        <f>IFERROR(I366*VLOOKUP(B366,'Recetas y precios'!$A$5:$P$54,16,FALSE),"")</f>
        <v/>
      </c>
      <c r="K366" s="13">
        <f>IFERROR(G366-H366,"")</f>
        <v/>
      </c>
      <c r="L366" s="35">
        <f>IFERROR(K366/G366,"")</f>
        <v/>
      </c>
      <c r="M366" s="34" t="n"/>
    </row>
    <row r="367">
      <c r="A367" s="33" t="n"/>
      <c r="B367" s="34" t="n"/>
      <c r="C367" s="7">
        <f>IFERROR(VLOOKUP(B367,'Recetas y precios'!$A$5:$B$54,2,FALSE),"")</f>
        <v/>
      </c>
      <c r="D367" s="34" t="n"/>
      <c r="E367" s="34" t="n"/>
      <c r="F367" s="34" t="n"/>
      <c r="G367" s="13">
        <f>IFERROR(E367*F367,"")</f>
        <v/>
      </c>
      <c r="H367" s="13">
        <f>IFERROR(E367*VLOOKUP(B367,'Recetas y precios'!$A$5:$P$54,16,FALSE),"")</f>
        <v/>
      </c>
      <c r="I367" s="34" t="n"/>
      <c r="J367" s="13">
        <f>IFERROR(I367*VLOOKUP(B367,'Recetas y precios'!$A$5:$P$54,16,FALSE),"")</f>
        <v/>
      </c>
      <c r="K367" s="13">
        <f>IFERROR(G367-H367,"")</f>
        <v/>
      </c>
      <c r="L367" s="35">
        <f>IFERROR(K367/G367,"")</f>
        <v/>
      </c>
      <c r="M367" s="34" t="n"/>
    </row>
    <row r="368">
      <c r="A368" s="33" t="n"/>
      <c r="B368" s="34" t="n"/>
      <c r="C368" s="7">
        <f>IFERROR(VLOOKUP(B368,'Recetas y precios'!$A$5:$B$54,2,FALSE),"")</f>
        <v/>
      </c>
      <c r="D368" s="34" t="n"/>
      <c r="E368" s="34" t="n"/>
      <c r="F368" s="34" t="n"/>
      <c r="G368" s="13">
        <f>IFERROR(E368*F368,"")</f>
        <v/>
      </c>
      <c r="H368" s="13">
        <f>IFERROR(E368*VLOOKUP(B368,'Recetas y precios'!$A$5:$P$54,16,FALSE),"")</f>
        <v/>
      </c>
      <c r="I368" s="34" t="n"/>
      <c r="J368" s="13">
        <f>IFERROR(I368*VLOOKUP(B368,'Recetas y precios'!$A$5:$P$54,16,FALSE),"")</f>
        <v/>
      </c>
      <c r="K368" s="13">
        <f>IFERROR(G368-H368,"")</f>
        <v/>
      </c>
      <c r="L368" s="35">
        <f>IFERROR(K368/G368,"")</f>
        <v/>
      </c>
      <c r="M368" s="34" t="n"/>
    </row>
    <row r="369">
      <c r="A369" s="33" t="n"/>
      <c r="B369" s="34" t="n"/>
      <c r="C369" s="7">
        <f>IFERROR(VLOOKUP(B369,'Recetas y precios'!$A$5:$B$54,2,FALSE),"")</f>
        <v/>
      </c>
      <c r="D369" s="34" t="n"/>
      <c r="E369" s="34" t="n"/>
      <c r="F369" s="34" t="n"/>
      <c r="G369" s="13">
        <f>IFERROR(E369*F369,"")</f>
        <v/>
      </c>
      <c r="H369" s="13">
        <f>IFERROR(E369*VLOOKUP(B369,'Recetas y precios'!$A$5:$P$54,16,FALSE),"")</f>
        <v/>
      </c>
      <c r="I369" s="34" t="n"/>
      <c r="J369" s="13">
        <f>IFERROR(I369*VLOOKUP(B369,'Recetas y precios'!$A$5:$P$54,16,FALSE),"")</f>
        <v/>
      </c>
      <c r="K369" s="13">
        <f>IFERROR(G369-H369,"")</f>
        <v/>
      </c>
      <c r="L369" s="35">
        <f>IFERROR(K369/G369,"")</f>
        <v/>
      </c>
      <c r="M369" s="34" t="n"/>
    </row>
    <row r="370">
      <c r="A370" s="33" t="n"/>
      <c r="B370" s="34" t="n"/>
      <c r="C370" s="7">
        <f>IFERROR(VLOOKUP(B370,'Recetas y precios'!$A$5:$B$54,2,FALSE),"")</f>
        <v/>
      </c>
      <c r="D370" s="34" t="n"/>
      <c r="E370" s="34" t="n"/>
      <c r="F370" s="34" t="n"/>
      <c r="G370" s="13">
        <f>IFERROR(E370*F370,"")</f>
        <v/>
      </c>
      <c r="H370" s="13">
        <f>IFERROR(E370*VLOOKUP(B370,'Recetas y precios'!$A$5:$P$54,16,FALSE),"")</f>
        <v/>
      </c>
      <c r="I370" s="34" t="n"/>
      <c r="J370" s="13">
        <f>IFERROR(I370*VLOOKUP(B370,'Recetas y precios'!$A$5:$P$54,16,FALSE),"")</f>
        <v/>
      </c>
      <c r="K370" s="13">
        <f>IFERROR(G370-H370,"")</f>
        <v/>
      </c>
      <c r="L370" s="35">
        <f>IFERROR(K370/G370,"")</f>
        <v/>
      </c>
      <c r="M370" s="34" t="n"/>
    </row>
    <row r="371">
      <c r="A371" s="33" t="n"/>
      <c r="B371" s="34" t="n"/>
      <c r="C371" s="7">
        <f>IFERROR(VLOOKUP(B371,'Recetas y precios'!$A$5:$B$54,2,FALSE),"")</f>
        <v/>
      </c>
      <c r="D371" s="34" t="n"/>
      <c r="E371" s="34" t="n"/>
      <c r="F371" s="34" t="n"/>
      <c r="G371" s="13">
        <f>IFERROR(E371*F371,"")</f>
        <v/>
      </c>
      <c r="H371" s="13">
        <f>IFERROR(E371*VLOOKUP(B371,'Recetas y precios'!$A$5:$P$54,16,FALSE),"")</f>
        <v/>
      </c>
      <c r="I371" s="34" t="n"/>
      <c r="J371" s="13">
        <f>IFERROR(I371*VLOOKUP(B371,'Recetas y precios'!$A$5:$P$54,16,FALSE),"")</f>
        <v/>
      </c>
      <c r="K371" s="13">
        <f>IFERROR(G371-H371,"")</f>
        <v/>
      </c>
      <c r="L371" s="35">
        <f>IFERROR(K371/G371,"")</f>
        <v/>
      </c>
      <c r="M371" s="34" t="n"/>
    </row>
    <row r="372">
      <c r="A372" s="33" t="n"/>
      <c r="B372" s="34" t="n"/>
      <c r="C372" s="7">
        <f>IFERROR(VLOOKUP(B372,'Recetas y precios'!$A$5:$B$54,2,FALSE),"")</f>
        <v/>
      </c>
      <c r="D372" s="34" t="n"/>
      <c r="E372" s="34" t="n"/>
      <c r="F372" s="34" t="n"/>
      <c r="G372" s="13">
        <f>IFERROR(E372*F372,"")</f>
        <v/>
      </c>
      <c r="H372" s="13">
        <f>IFERROR(E372*VLOOKUP(B372,'Recetas y precios'!$A$5:$P$54,16,FALSE),"")</f>
        <v/>
      </c>
      <c r="I372" s="34" t="n"/>
      <c r="J372" s="13">
        <f>IFERROR(I372*VLOOKUP(B372,'Recetas y precios'!$A$5:$P$54,16,FALSE),"")</f>
        <v/>
      </c>
      <c r="K372" s="13">
        <f>IFERROR(G372-H372,"")</f>
        <v/>
      </c>
      <c r="L372" s="35">
        <f>IFERROR(K372/G372,"")</f>
        <v/>
      </c>
      <c r="M372" s="34" t="n"/>
    </row>
    <row r="373">
      <c r="A373" s="33" t="n"/>
      <c r="B373" s="34" t="n"/>
      <c r="C373" s="7">
        <f>IFERROR(VLOOKUP(B373,'Recetas y precios'!$A$5:$B$54,2,FALSE),"")</f>
        <v/>
      </c>
      <c r="D373" s="34" t="n"/>
      <c r="E373" s="34" t="n"/>
      <c r="F373" s="34" t="n"/>
      <c r="G373" s="13">
        <f>IFERROR(E373*F373,"")</f>
        <v/>
      </c>
      <c r="H373" s="13">
        <f>IFERROR(E373*VLOOKUP(B373,'Recetas y precios'!$A$5:$P$54,16,FALSE),"")</f>
        <v/>
      </c>
      <c r="I373" s="34" t="n"/>
      <c r="J373" s="13">
        <f>IFERROR(I373*VLOOKUP(B373,'Recetas y precios'!$A$5:$P$54,16,FALSE),"")</f>
        <v/>
      </c>
      <c r="K373" s="13">
        <f>IFERROR(G373-H373,"")</f>
        <v/>
      </c>
      <c r="L373" s="35">
        <f>IFERROR(K373/G373,"")</f>
        <v/>
      </c>
      <c r="M373" s="34" t="n"/>
    </row>
    <row r="374">
      <c r="A374" s="33" t="n"/>
      <c r="B374" s="34" t="n"/>
      <c r="C374" s="7">
        <f>IFERROR(VLOOKUP(B374,'Recetas y precios'!$A$5:$B$54,2,FALSE),"")</f>
        <v/>
      </c>
      <c r="D374" s="34" t="n"/>
      <c r="E374" s="34" t="n"/>
      <c r="F374" s="34" t="n"/>
      <c r="G374" s="13">
        <f>IFERROR(E374*F374,"")</f>
        <v/>
      </c>
      <c r="H374" s="13">
        <f>IFERROR(E374*VLOOKUP(B374,'Recetas y precios'!$A$5:$P$54,16,FALSE),"")</f>
        <v/>
      </c>
      <c r="I374" s="34" t="n"/>
      <c r="J374" s="13">
        <f>IFERROR(I374*VLOOKUP(B374,'Recetas y precios'!$A$5:$P$54,16,FALSE),"")</f>
        <v/>
      </c>
      <c r="K374" s="13">
        <f>IFERROR(G374-H374,"")</f>
        <v/>
      </c>
      <c r="L374" s="35">
        <f>IFERROR(K374/G374,"")</f>
        <v/>
      </c>
      <c r="M374" s="34" t="n"/>
    </row>
    <row r="375">
      <c r="A375" s="33" t="n"/>
      <c r="B375" s="34" t="n"/>
      <c r="C375" s="7">
        <f>IFERROR(VLOOKUP(B375,'Recetas y precios'!$A$5:$B$54,2,FALSE),"")</f>
        <v/>
      </c>
      <c r="D375" s="34" t="n"/>
      <c r="E375" s="34" t="n"/>
      <c r="F375" s="34" t="n"/>
      <c r="G375" s="13">
        <f>IFERROR(E375*F375,"")</f>
        <v/>
      </c>
      <c r="H375" s="13">
        <f>IFERROR(E375*VLOOKUP(B375,'Recetas y precios'!$A$5:$P$54,16,FALSE),"")</f>
        <v/>
      </c>
      <c r="I375" s="34" t="n"/>
      <c r="J375" s="13">
        <f>IFERROR(I375*VLOOKUP(B375,'Recetas y precios'!$A$5:$P$54,16,FALSE),"")</f>
        <v/>
      </c>
      <c r="K375" s="13">
        <f>IFERROR(G375-H375,"")</f>
        <v/>
      </c>
      <c r="L375" s="35">
        <f>IFERROR(K375/G375,"")</f>
        <v/>
      </c>
      <c r="M375" s="34" t="n"/>
    </row>
    <row r="376">
      <c r="A376" s="33" t="n"/>
      <c r="B376" s="34" t="n"/>
      <c r="C376" s="7">
        <f>IFERROR(VLOOKUP(B376,'Recetas y precios'!$A$5:$B$54,2,FALSE),"")</f>
        <v/>
      </c>
      <c r="D376" s="34" t="n"/>
      <c r="E376" s="34" t="n"/>
      <c r="F376" s="34" t="n"/>
      <c r="G376" s="13">
        <f>IFERROR(E376*F376,"")</f>
        <v/>
      </c>
      <c r="H376" s="13">
        <f>IFERROR(E376*VLOOKUP(B376,'Recetas y precios'!$A$5:$P$54,16,FALSE),"")</f>
        <v/>
      </c>
      <c r="I376" s="34" t="n"/>
      <c r="J376" s="13">
        <f>IFERROR(I376*VLOOKUP(B376,'Recetas y precios'!$A$5:$P$54,16,FALSE),"")</f>
        <v/>
      </c>
      <c r="K376" s="13">
        <f>IFERROR(G376-H376,"")</f>
        <v/>
      </c>
      <c r="L376" s="35">
        <f>IFERROR(K376/G376,"")</f>
        <v/>
      </c>
      <c r="M376" s="34" t="n"/>
    </row>
    <row r="377">
      <c r="A377" s="33" t="n"/>
      <c r="B377" s="34" t="n"/>
      <c r="C377" s="7">
        <f>IFERROR(VLOOKUP(B377,'Recetas y precios'!$A$5:$B$54,2,FALSE),"")</f>
        <v/>
      </c>
      <c r="D377" s="34" t="n"/>
      <c r="E377" s="34" t="n"/>
      <c r="F377" s="34" t="n"/>
      <c r="G377" s="13">
        <f>IFERROR(E377*F377,"")</f>
        <v/>
      </c>
      <c r="H377" s="13">
        <f>IFERROR(E377*VLOOKUP(B377,'Recetas y precios'!$A$5:$P$54,16,FALSE),"")</f>
        <v/>
      </c>
      <c r="I377" s="34" t="n"/>
      <c r="J377" s="13">
        <f>IFERROR(I377*VLOOKUP(B377,'Recetas y precios'!$A$5:$P$54,16,FALSE),"")</f>
        <v/>
      </c>
      <c r="K377" s="13">
        <f>IFERROR(G377-H377,"")</f>
        <v/>
      </c>
      <c r="L377" s="35">
        <f>IFERROR(K377/G377,"")</f>
        <v/>
      </c>
      <c r="M377" s="34" t="n"/>
    </row>
    <row r="378">
      <c r="A378" s="33" t="n"/>
      <c r="B378" s="34" t="n"/>
      <c r="C378" s="7">
        <f>IFERROR(VLOOKUP(B378,'Recetas y precios'!$A$5:$B$54,2,FALSE),"")</f>
        <v/>
      </c>
      <c r="D378" s="34" t="n"/>
      <c r="E378" s="34" t="n"/>
      <c r="F378" s="34" t="n"/>
      <c r="G378" s="13">
        <f>IFERROR(E378*F378,"")</f>
        <v/>
      </c>
      <c r="H378" s="13">
        <f>IFERROR(E378*VLOOKUP(B378,'Recetas y precios'!$A$5:$P$54,16,FALSE),"")</f>
        <v/>
      </c>
      <c r="I378" s="34" t="n"/>
      <c r="J378" s="13">
        <f>IFERROR(I378*VLOOKUP(B378,'Recetas y precios'!$A$5:$P$54,16,FALSE),"")</f>
        <v/>
      </c>
      <c r="K378" s="13">
        <f>IFERROR(G378-H378,"")</f>
        <v/>
      </c>
      <c r="L378" s="35">
        <f>IFERROR(K378/G378,"")</f>
        <v/>
      </c>
      <c r="M378" s="34" t="n"/>
    </row>
    <row r="379">
      <c r="A379" s="33" t="n"/>
      <c r="B379" s="34" t="n"/>
      <c r="C379" s="7">
        <f>IFERROR(VLOOKUP(B379,'Recetas y precios'!$A$5:$B$54,2,FALSE),"")</f>
        <v/>
      </c>
      <c r="D379" s="34" t="n"/>
      <c r="E379" s="34" t="n"/>
      <c r="F379" s="34" t="n"/>
      <c r="G379" s="13">
        <f>IFERROR(E379*F379,"")</f>
        <v/>
      </c>
      <c r="H379" s="13">
        <f>IFERROR(E379*VLOOKUP(B379,'Recetas y precios'!$A$5:$P$54,16,FALSE),"")</f>
        <v/>
      </c>
      <c r="I379" s="34" t="n"/>
      <c r="J379" s="13">
        <f>IFERROR(I379*VLOOKUP(B379,'Recetas y precios'!$A$5:$P$54,16,FALSE),"")</f>
        <v/>
      </c>
      <c r="K379" s="13">
        <f>IFERROR(G379-H379,"")</f>
        <v/>
      </c>
      <c r="L379" s="35">
        <f>IFERROR(K379/G379,"")</f>
        <v/>
      </c>
      <c r="M379" s="34" t="n"/>
    </row>
    <row r="380">
      <c r="A380" s="33" t="n"/>
      <c r="B380" s="34" t="n"/>
      <c r="C380" s="7">
        <f>IFERROR(VLOOKUP(B380,'Recetas y precios'!$A$5:$B$54,2,FALSE),"")</f>
        <v/>
      </c>
      <c r="D380" s="34" t="n"/>
      <c r="E380" s="34" t="n"/>
      <c r="F380" s="34" t="n"/>
      <c r="G380" s="13">
        <f>IFERROR(E380*F380,"")</f>
        <v/>
      </c>
      <c r="H380" s="13">
        <f>IFERROR(E380*VLOOKUP(B380,'Recetas y precios'!$A$5:$P$54,16,FALSE),"")</f>
        <v/>
      </c>
      <c r="I380" s="34" t="n"/>
      <c r="J380" s="13">
        <f>IFERROR(I380*VLOOKUP(B380,'Recetas y precios'!$A$5:$P$54,16,FALSE),"")</f>
        <v/>
      </c>
      <c r="K380" s="13">
        <f>IFERROR(G380-H380,"")</f>
        <v/>
      </c>
      <c r="L380" s="35">
        <f>IFERROR(K380/G380,"")</f>
        <v/>
      </c>
      <c r="M380" s="34" t="n"/>
    </row>
    <row r="381">
      <c r="A381" s="33" t="n"/>
      <c r="B381" s="34" t="n"/>
      <c r="C381" s="7">
        <f>IFERROR(VLOOKUP(B381,'Recetas y precios'!$A$5:$B$54,2,FALSE),"")</f>
        <v/>
      </c>
      <c r="D381" s="34" t="n"/>
      <c r="E381" s="34" t="n"/>
      <c r="F381" s="34" t="n"/>
      <c r="G381" s="13">
        <f>IFERROR(E381*F381,"")</f>
        <v/>
      </c>
      <c r="H381" s="13">
        <f>IFERROR(E381*VLOOKUP(B381,'Recetas y precios'!$A$5:$P$54,16,FALSE),"")</f>
        <v/>
      </c>
      <c r="I381" s="34" t="n"/>
      <c r="J381" s="13">
        <f>IFERROR(I381*VLOOKUP(B381,'Recetas y precios'!$A$5:$P$54,16,FALSE),"")</f>
        <v/>
      </c>
      <c r="K381" s="13">
        <f>IFERROR(G381-H381,"")</f>
        <v/>
      </c>
      <c r="L381" s="35">
        <f>IFERROR(K381/G381,"")</f>
        <v/>
      </c>
      <c r="M381" s="34" t="n"/>
    </row>
    <row r="382">
      <c r="A382" s="33" t="n"/>
      <c r="B382" s="34" t="n"/>
      <c r="C382" s="7">
        <f>IFERROR(VLOOKUP(B382,'Recetas y precios'!$A$5:$B$54,2,FALSE),"")</f>
        <v/>
      </c>
      <c r="D382" s="34" t="n"/>
      <c r="E382" s="34" t="n"/>
      <c r="F382" s="34" t="n"/>
      <c r="G382" s="13">
        <f>IFERROR(E382*F382,"")</f>
        <v/>
      </c>
      <c r="H382" s="13">
        <f>IFERROR(E382*VLOOKUP(B382,'Recetas y precios'!$A$5:$P$54,16,FALSE),"")</f>
        <v/>
      </c>
      <c r="I382" s="34" t="n"/>
      <c r="J382" s="13">
        <f>IFERROR(I382*VLOOKUP(B382,'Recetas y precios'!$A$5:$P$54,16,FALSE),"")</f>
        <v/>
      </c>
      <c r="K382" s="13">
        <f>IFERROR(G382-H382,"")</f>
        <v/>
      </c>
      <c r="L382" s="35">
        <f>IFERROR(K382/G382,"")</f>
        <v/>
      </c>
      <c r="M382" s="34" t="n"/>
    </row>
    <row r="383">
      <c r="A383" s="33" t="n"/>
      <c r="B383" s="34" t="n"/>
      <c r="C383" s="7">
        <f>IFERROR(VLOOKUP(B383,'Recetas y precios'!$A$5:$B$54,2,FALSE),"")</f>
        <v/>
      </c>
      <c r="D383" s="34" t="n"/>
      <c r="E383" s="34" t="n"/>
      <c r="F383" s="34" t="n"/>
      <c r="G383" s="13">
        <f>IFERROR(E383*F383,"")</f>
        <v/>
      </c>
      <c r="H383" s="13">
        <f>IFERROR(E383*VLOOKUP(B383,'Recetas y precios'!$A$5:$P$54,16,FALSE),"")</f>
        <v/>
      </c>
      <c r="I383" s="34" t="n"/>
      <c r="J383" s="13">
        <f>IFERROR(I383*VLOOKUP(B383,'Recetas y precios'!$A$5:$P$54,16,FALSE),"")</f>
        <v/>
      </c>
      <c r="K383" s="13">
        <f>IFERROR(G383-H383,"")</f>
        <v/>
      </c>
      <c r="L383" s="35">
        <f>IFERROR(K383/G383,"")</f>
        <v/>
      </c>
      <c r="M383" s="34" t="n"/>
    </row>
    <row r="384">
      <c r="A384" s="33" t="n"/>
      <c r="B384" s="34" t="n"/>
      <c r="C384" s="7">
        <f>IFERROR(VLOOKUP(B384,'Recetas y precios'!$A$5:$B$54,2,FALSE),"")</f>
        <v/>
      </c>
      <c r="D384" s="34" t="n"/>
      <c r="E384" s="34" t="n"/>
      <c r="F384" s="34" t="n"/>
      <c r="G384" s="13">
        <f>IFERROR(E384*F384,"")</f>
        <v/>
      </c>
      <c r="H384" s="13">
        <f>IFERROR(E384*VLOOKUP(B384,'Recetas y precios'!$A$5:$P$54,16,FALSE),"")</f>
        <v/>
      </c>
      <c r="I384" s="34" t="n"/>
      <c r="J384" s="13">
        <f>IFERROR(I384*VLOOKUP(B384,'Recetas y precios'!$A$5:$P$54,16,FALSE),"")</f>
        <v/>
      </c>
      <c r="K384" s="13">
        <f>IFERROR(G384-H384,"")</f>
        <v/>
      </c>
      <c r="L384" s="35">
        <f>IFERROR(K384/G384,"")</f>
        <v/>
      </c>
      <c r="M384" s="34" t="n"/>
    </row>
    <row r="385">
      <c r="A385" s="33" t="n"/>
      <c r="B385" s="34" t="n"/>
      <c r="C385" s="7">
        <f>IFERROR(VLOOKUP(B385,'Recetas y precios'!$A$5:$B$54,2,FALSE),"")</f>
        <v/>
      </c>
      <c r="D385" s="34" t="n"/>
      <c r="E385" s="34" t="n"/>
      <c r="F385" s="34" t="n"/>
      <c r="G385" s="13">
        <f>IFERROR(E385*F385,"")</f>
        <v/>
      </c>
      <c r="H385" s="13">
        <f>IFERROR(E385*VLOOKUP(B385,'Recetas y precios'!$A$5:$P$54,16,FALSE),"")</f>
        <v/>
      </c>
      <c r="I385" s="34" t="n"/>
      <c r="J385" s="13">
        <f>IFERROR(I385*VLOOKUP(B385,'Recetas y precios'!$A$5:$P$54,16,FALSE),"")</f>
        <v/>
      </c>
      <c r="K385" s="13">
        <f>IFERROR(G385-H385,"")</f>
        <v/>
      </c>
      <c r="L385" s="35">
        <f>IFERROR(K385/G385,"")</f>
        <v/>
      </c>
      <c r="M385" s="34" t="n"/>
    </row>
    <row r="386">
      <c r="A386" s="33" t="n"/>
      <c r="B386" s="34" t="n"/>
      <c r="C386" s="7">
        <f>IFERROR(VLOOKUP(B386,'Recetas y precios'!$A$5:$B$54,2,FALSE),"")</f>
        <v/>
      </c>
      <c r="D386" s="34" t="n"/>
      <c r="E386" s="34" t="n"/>
      <c r="F386" s="34" t="n"/>
      <c r="G386" s="13">
        <f>IFERROR(E386*F386,"")</f>
        <v/>
      </c>
      <c r="H386" s="13">
        <f>IFERROR(E386*VLOOKUP(B386,'Recetas y precios'!$A$5:$P$54,16,FALSE),"")</f>
        <v/>
      </c>
      <c r="I386" s="34" t="n"/>
      <c r="J386" s="13">
        <f>IFERROR(I386*VLOOKUP(B386,'Recetas y precios'!$A$5:$P$54,16,FALSE),"")</f>
        <v/>
      </c>
      <c r="K386" s="13">
        <f>IFERROR(G386-H386,"")</f>
        <v/>
      </c>
      <c r="L386" s="35">
        <f>IFERROR(K386/G386,"")</f>
        <v/>
      </c>
      <c r="M386" s="34" t="n"/>
    </row>
    <row r="387">
      <c r="A387" s="33" t="n"/>
      <c r="B387" s="34" t="n"/>
      <c r="C387" s="7">
        <f>IFERROR(VLOOKUP(B387,'Recetas y precios'!$A$5:$B$54,2,FALSE),"")</f>
        <v/>
      </c>
      <c r="D387" s="34" t="n"/>
      <c r="E387" s="34" t="n"/>
      <c r="F387" s="34" t="n"/>
      <c r="G387" s="13">
        <f>IFERROR(E387*F387,"")</f>
        <v/>
      </c>
      <c r="H387" s="13">
        <f>IFERROR(E387*VLOOKUP(B387,'Recetas y precios'!$A$5:$P$54,16,FALSE),"")</f>
        <v/>
      </c>
      <c r="I387" s="34" t="n"/>
      <c r="J387" s="13">
        <f>IFERROR(I387*VLOOKUP(B387,'Recetas y precios'!$A$5:$P$54,16,FALSE),"")</f>
        <v/>
      </c>
      <c r="K387" s="13">
        <f>IFERROR(G387-H387,"")</f>
        <v/>
      </c>
      <c r="L387" s="35">
        <f>IFERROR(K387/G387,"")</f>
        <v/>
      </c>
      <c r="M387" s="34" t="n"/>
    </row>
    <row r="388">
      <c r="A388" s="33" t="n"/>
      <c r="B388" s="34" t="n"/>
      <c r="C388" s="7">
        <f>IFERROR(VLOOKUP(B388,'Recetas y precios'!$A$5:$B$54,2,FALSE),"")</f>
        <v/>
      </c>
      <c r="D388" s="34" t="n"/>
      <c r="E388" s="34" t="n"/>
      <c r="F388" s="34" t="n"/>
      <c r="G388" s="13">
        <f>IFERROR(E388*F388,"")</f>
        <v/>
      </c>
      <c r="H388" s="13">
        <f>IFERROR(E388*VLOOKUP(B388,'Recetas y precios'!$A$5:$P$54,16,FALSE),"")</f>
        <v/>
      </c>
      <c r="I388" s="34" t="n"/>
      <c r="J388" s="13">
        <f>IFERROR(I388*VLOOKUP(B388,'Recetas y precios'!$A$5:$P$54,16,FALSE),"")</f>
        <v/>
      </c>
      <c r="K388" s="13">
        <f>IFERROR(G388-H388,"")</f>
        <v/>
      </c>
      <c r="L388" s="35">
        <f>IFERROR(K388/G388,"")</f>
        <v/>
      </c>
      <c r="M388" s="34" t="n"/>
    </row>
    <row r="389">
      <c r="A389" s="33" t="n"/>
      <c r="B389" s="34" t="n"/>
      <c r="C389" s="7">
        <f>IFERROR(VLOOKUP(B389,'Recetas y precios'!$A$5:$B$54,2,FALSE),"")</f>
        <v/>
      </c>
      <c r="D389" s="34" t="n"/>
      <c r="E389" s="34" t="n"/>
      <c r="F389" s="34" t="n"/>
      <c r="G389" s="13">
        <f>IFERROR(E389*F389,"")</f>
        <v/>
      </c>
      <c r="H389" s="13">
        <f>IFERROR(E389*VLOOKUP(B389,'Recetas y precios'!$A$5:$P$54,16,FALSE),"")</f>
        <v/>
      </c>
      <c r="I389" s="34" t="n"/>
      <c r="J389" s="13">
        <f>IFERROR(I389*VLOOKUP(B389,'Recetas y precios'!$A$5:$P$54,16,FALSE),"")</f>
        <v/>
      </c>
      <c r="K389" s="13">
        <f>IFERROR(G389-H389,"")</f>
        <v/>
      </c>
      <c r="L389" s="35">
        <f>IFERROR(K389/G389,"")</f>
        <v/>
      </c>
      <c r="M389" s="34" t="n"/>
    </row>
    <row r="390">
      <c r="A390" s="33" t="n"/>
      <c r="B390" s="34" t="n"/>
      <c r="C390" s="7">
        <f>IFERROR(VLOOKUP(B390,'Recetas y precios'!$A$5:$B$54,2,FALSE),"")</f>
        <v/>
      </c>
      <c r="D390" s="34" t="n"/>
      <c r="E390" s="34" t="n"/>
      <c r="F390" s="34" t="n"/>
      <c r="G390" s="13">
        <f>IFERROR(E390*F390,"")</f>
        <v/>
      </c>
      <c r="H390" s="13">
        <f>IFERROR(E390*VLOOKUP(B390,'Recetas y precios'!$A$5:$P$54,16,FALSE),"")</f>
        <v/>
      </c>
      <c r="I390" s="34" t="n"/>
      <c r="J390" s="13">
        <f>IFERROR(I390*VLOOKUP(B390,'Recetas y precios'!$A$5:$P$54,16,FALSE),"")</f>
        <v/>
      </c>
      <c r="K390" s="13">
        <f>IFERROR(G390-H390,"")</f>
        <v/>
      </c>
      <c r="L390" s="35">
        <f>IFERROR(K390/G390,"")</f>
        <v/>
      </c>
      <c r="M390" s="34" t="n"/>
    </row>
    <row r="391">
      <c r="A391" s="33" t="n"/>
      <c r="B391" s="34" t="n"/>
      <c r="C391" s="7">
        <f>IFERROR(VLOOKUP(B391,'Recetas y precios'!$A$5:$B$54,2,FALSE),"")</f>
        <v/>
      </c>
      <c r="D391" s="34" t="n"/>
      <c r="E391" s="34" t="n"/>
      <c r="F391" s="34" t="n"/>
      <c r="G391" s="13">
        <f>IFERROR(E391*F391,"")</f>
        <v/>
      </c>
      <c r="H391" s="13">
        <f>IFERROR(E391*VLOOKUP(B391,'Recetas y precios'!$A$5:$P$54,16,FALSE),"")</f>
        <v/>
      </c>
      <c r="I391" s="34" t="n"/>
      <c r="J391" s="13">
        <f>IFERROR(I391*VLOOKUP(B391,'Recetas y precios'!$A$5:$P$54,16,FALSE),"")</f>
        <v/>
      </c>
      <c r="K391" s="13">
        <f>IFERROR(G391-H391,"")</f>
        <v/>
      </c>
      <c r="L391" s="35">
        <f>IFERROR(K391/G391,"")</f>
        <v/>
      </c>
      <c r="M391" s="34" t="n"/>
    </row>
    <row r="392">
      <c r="A392" s="33" t="n"/>
      <c r="B392" s="34" t="n"/>
      <c r="C392" s="7">
        <f>IFERROR(VLOOKUP(B392,'Recetas y precios'!$A$5:$B$54,2,FALSE),"")</f>
        <v/>
      </c>
      <c r="D392" s="34" t="n"/>
      <c r="E392" s="34" t="n"/>
      <c r="F392" s="34" t="n"/>
      <c r="G392" s="13">
        <f>IFERROR(E392*F392,"")</f>
        <v/>
      </c>
      <c r="H392" s="13">
        <f>IFERROR(E392*VLOOKUP(B392,'Recetas y precios'!$A$5:$P$54,16,FALSE),"")</f>
        <v/>
      </c>
      <c r="I392" s="34" t="n"/>
      <c r="J392" s="13">
        <f>IFERROR(I392*VLOOKUP(B392,'Recetas y precios'!$A$5:$P$54,16,FALSE),"")</f>
        <v/>
      </c>
      <c r="K392" s="13">
        <f>IFERROR(G392-H392,"")</f>
        <v/>
      </c>
      <c r="L392" s="35">
        <f>IFERROR(K392/G392,"")</f>
        <v/>
      </c>
      <c r="M392" s="34" t="n"/>
    </row>
    <row r="393">
      <c r="A393" s="33" t="n"/>
      <c r="B393" s="34" t="n"/>
      <c r="C393" s="7">
        <f>IFERROR(VLOOKUP(B393,'Recetas y precios'!$A$5:$B$54,2,FALSE),"")</f>
        <v/>
      </c>
      <c r="D393" s="34" t="n"/>
      <c r="E393" s="34" t="n"/>
      <c r="F393" s="34" t="n"/>
      <c r="G393" s="13">
        <f>IFERROR(E393*F393,"")</f>
        <v/>
      </c>
      <c r="H393" s="13">
        <f>IFERROR(E393*VLOOKUP(B393,'Recetas y precios'!$A$5:$P$54,16,FALSE),"")</f>
        <v/>
      </c>
      <c r="I393" s="34" t="n"/>
      <c r="J393" s="13">
        <f>IFERROR(I393*VLOOKUP(B393,'Recetas y precios'!$A$5:$P$54,16,FALSE),"")</f>
        <v/>
      </c>
      <c r="K393" s="13">
        <f>IFERROR(G393-H393,"")</f>
        <v/>
      </c>
      <c r="L393" s="35">
        <f>IFERROR(K393/G393,"")</f>
        <v/>
      </c>
      <c r="M393" s="34" t="n"/>
    </row>
    <row r="394">
      <c r="A394" s="33" t="n"/>
      <c r="B394" s="34" t="n"/>
      <c r="C394" s="7">
        <f>IFERROR(VLOOKUP(B394,'Recetas y precios'!$A$5:$B$54,2,FALSE),"")</f>
        <v/>
      </c>
      <c r="D394" s="34" t="n"/>
      <c r="E394" s="34" t="n"/>
      <c r="F394" s="34" t="n"/>
      <c r="G394" s="13">
        <f>IFERROR(E394*F394,"")</f>
        <v/>
      </c>
      <c r="H394" s="13">
        <f>IFERROR(E394*VLOOKUP(B394,'Recetas y precios'!$A$5:$P$54,16,FALSE),"")</f>
        <v/>
      </c>
      <c r="I394" s="34" t="n"/>
      <c r="J394" s="13">
        <f>IFERROR(I394*VLOOKUP(B394,'Recetas y precios'!$A$5:$P$54,16,FALSE),"")</f>
        <v/>
      </c>
      <c r="K394" s="13">
        <f>IFERROR(G394-H394,"")</f>
        <v/>
      </c>
      <c r="L394" s="35">
        <f>IFERROR(K394/G394,"")</f>
        <v/>
      </c>
      <c r="M394" s="34" t="n"/>
    </row>
    <row r="395">
      <c r="A395" s="33" t="n"/>
      <c r="B395" s="34" t="n"/>
      <c r="C395" s="7">
        <f>IFERROR(VLOOKUP(B395,'Recetas y precios'!$A$5:$B$54,2,FALSE),"")</f>
        <v/>
      </c>
      <c r="D395" s="34" t="n"/>
      <c r="E395" s="34" t="n"/>
      <c r="F395" s="34" t="n"/>
      <c r="G395" s="13">
        <f>IFERROR(E395*F395,"")</f>
        <v/>
      </c>
      <c r="H395" s="13">
        <f>IFERROR(E395*VLOOKUP(B395,'Recetas y precios'!$A$5:$P$54,16,FALSE),"")</f>
        <v/>
      </c>
      <c r="I395" s="34" t="n"/>
      <c r="J395" s="13">
        <f>IFERROR(I395*VLOOKUP(B395,'Recetas y precios'!$A$5:$P$54,16,FALSE),"")</f>
        <v/>
      </c>
      <c r="K395" s="13">
        <f>IFERROR(G395-H395,"")</f>
        <v/>
      </c>
      <c r="L395" s="35">
        <f>IFERROR(K395/G395,"")</f>
        <v/>
      </c>
      <c r="M395" s="34" t="n"/>
    </row>
    <row r="396">
      <c r="A396" s="33" t="n"/>
      <c r="B396" s="34" t="n"/>
      <c r="C396" s="7">
        <f>IFERROR(VLOOKUP(B396,'Recetas y precios'!$A$5:$B$54,2,FALSE),"")</f>
        <v/>
      </c>
      <c r="D396" s="34" t="n"/>
      <c r="E396" s="34" t="n"/>
      <c r="F396" s="34" t="n"/>
      <c r="G396" s="13">
        <f>IFERROR(E396*F396,"")</f>
        <v/>
      </c>
      <c r="H396" s="13">
        <f>IFERROR(E396*VLOOKUP(B396,'Recetas y precios'!$A$5:$P$54,16,FALSE),"")</f>
        <v/>
      </c>
      <c r="I396" s="34" t="n"/>
      <c r="J396" s="13">
        <f>IFERROR(I396*VLOOKUP(B396,'Recetas y precios'!$A$5:$P$54,16,FALSE),"")</f>
        <v/>
      </c>
      <c r="K396" s="13">
        <f>IFERROR(G396-H396,"")</f>
        <v/>
      </c>
      <c r="L396" s="35">
        <f>IFERROR(K396/G396,"")</f>
        <v/>
      </c>
      <c r="M396" s="34" t="n"/>
    </row>
    <row r="397">
      <c r="A397" s="33" t="n"/>
      <c r="B397" s="34" t="n"/>
      <c r="C397" s="7">
        <f>IFERROR(VLOOKUP(B397,'Recetas y precios'!$A$5:$B$54,2,FALSE),"")</f>
        <v/>
      </c>
      <c r="D397" s="34" t="n"/>
      <c r="E397" s="34" t="n"/>
      <c r="F397" s="34" t="n"/>
      <c r="G397" s="13">
        <f>IFERROR(E397*F397,"")</f>
        <v/>
      </c>
      <c r="H397" s="13">
        <f>IFERROR(E397*VLOOKUP(B397,'Recetas y precios'!$A$5:$P$54,16,FALSE),"")</f>
        <v/>
      </c>
      <c r="I397" s="34" t="n"/>
      <c r="J397" s="13">
        <f>IFERROR(I397*VLOOKUP(B397,'Recetas y precios'!$A$5:$P$54,16,FALSE),"")</f>
        <v/>
      </c>
      <c r="K397" s="13">
        <f>IFERROR(G397-H397,"")</f>
        <v/>
      </c>
      <c r="L397" s="35">
        <f>IFERROR(K397/G397,"")</f>
        <v/>
      </c>
      <c r="M397" s="34" t="n"/>
    </row>
    <row r="398">
      <c r="A398" s="33" t="n"/>
      <c r="B398" s="34" t="n"/>
      <c r="C398" s="7">
        <f>IFERROR(VLOOKUP(B398,'Recetas y precios'!$A$5:$B$54,2,FALSE),"")</f>
        <v/>
      </c>
      <c r="D398" s="34" t="n"/>
      <c r="E398" s="34" t="n"/>
      <c r="F398" s="34" t="n"/>
      <c r="G398" s="13">
        <f>IFERROR(E398*F398,"")</f>
        <v/>
      </c>
      <c r="H398" s="13">
        <f>IFERROR(E398*VLOOKUP(B398,'Recetas y precios'!$A$5:$P$54,16,FALSE),"")</f>
        <v/>
      </c>
      <c r="I398" s="34" t="n"/>
      <c r="J398" s="13">
        <f>IFERROR(I398*VLOOKUP(B398,'Recetas y precios'!$A$5:$P$54,16,FALSE),"")</f>
        <v/>
      </c>
      <c r="K398" s="13">
        <f>IFERROR(G398-H398,"")</f>
        <v/>
      </c>
      <c r="L398" s="35">
        <f>IFERROR(K398/G398,"")</f>
        <v/>
      </c>
      <c r="M398" s="34" t="n"/>
    </row>
    <row r="399">
      <c r="A399" s="33" t="n"/>
      <c r="B399" s="34" t="n"/>
      <c r="C399" s="7">
        <f>IFERROR(VLOOKUP(B399,'Recetas y precios'!$A$5:$B$54,2,FALSE),"")</f>
        <v/>
      </c>
      <c r="D399" s="34" t="n"/>
      <c r="E399" s="34" t="n"/>
      <c r="F399" s="34" t="n"/>
      <c r="G399" s="13">
        <f>IFERROR(E399*F399,"")</f>
        <v/>
      </c>
      <c r="H399" s="13">
        <f>IFERROR(E399*VLOOKUP(B399,'Recetas y precios'!$A$5:$P$54,16,FALSE),"")</f>
        <v/>
      </c>
      <c r="I399" s="34" t="n"/>
      <c r="J399" s="13">
        <f>IFERROR(I399*VLOOKUP(B399,'Recetas y precios'!$A$5:$P$54,16,FALSE),"")</f>
        <v/>
      </c>
      <c r="K399" s="13">
        <f>IFERROR(G399-H399,"")</f>
        <v/>
      </c>
      <c r="L399" s="35">
        <f>IFERROR(K399/G399,"")</f>
        <v/>
      </c>
      <c r="M399" s="34" t="n"/>
    </row>
    <row r="400">
      <c r="A400" s="33" t="n"/>
      <c r="B400" s="34" t="n"/>
      <c r="C400" s="7">
        <f>IFERROR(VLOOKUP(B400,'Recetas y precios'!$A$5:$B$54,2,FALSE),"")</f>
        <v/>
      </c>
      <c r="D400" s="34" t="n"/>
      <c r="E400" s="34" t="n"/>
      <c r="F400" s="34" t="n"/>
      <c r="G400" s="13">
        <f>IFERROR(E400*F400,"")</f>
        <v/>
      </c>
      <c r="H400" s="13">
        <f>IFERROR(E400*VLOOKUP(B400,'Recetas y precios'!$A$5:$P$54,16,FALSE),"")</f>
        <v/>
      </c>
      <c r="I400" s="34" t="n"/>
      <c r="J400" s="13">
        <f>IFERROR(I400*VLOOKUP(B400,'Recetas y precios'!$A$5:$P$54,16,FALSE),"")</f>
        <v/>
      </c>
      <c r="K400" s="13">
        <f>IFERROR(G400-H400,"")</f>
        <v/>
      </c>
      <c r="L400" s="35">
        <f>IFERROR(K400/G400,"")</f>
        <v/>
      </c>
      <c r="M400" s="34" t="n"/>
    </row>
    <row r="401">
      <c r="A401" s="33" t="n"/>
      <c r="B401" s="34" t="n"/>
      <c r="C401" s="7">
        <f>IFERROR(VLOOKUP(B401,'Recetas y precios'!$A$5:$B$54,2,FALSE),"")</f>
        <v/>
      </c>
      <c r="D401" s="34" t="n"/>
      <c r="E401" s="34" t="n"/>
      <c r="F401" s="34" t="n"/>
      <c r="G401" s="13">
        <f>IFERROR(E401*F401,"")</f>
        <v/>
      </c>
      <c r="H401" s="13">
        <f>IFERROR(E401*VLOOKUP(B401,'Recetas y precios'!$A$5:$P$54,16,FALSE),"")</f>
        <v/>
      </c>
      <c r="I401" s="34" t="n"/>
      <c r="J401" s="13">
        <f>IFERROR(I401*VLOOKUP(B401,'Recetas y precios'!$A$5:$P$54,16,FALSE),"")</f>
        <v/>
      </c>
      <c r="K401" s="13">
        <f>IFERROR(G401-H401,"")</f>
        <v/>
      </c>
      <c r="L401" s="35">
        <f>IFERROR(K401/G401,"")</f>
        <v/>
      </c>
      <c r="M401" s="34" t="n"/>
    </row>
    <row r="402">
      <c r="A402" s="33" t="n"/>
      <c r="B402" s="34" t="n"/>
      <c r="C402" s="7">
        <f>IFERROR(VLOOKUP(B402,'Recetas y precios'!$A$5:$B$54,2,FALSE),"")</f>
        <v/>
      </c>
      <c r="D402" s="34" t="n"/>
      <c r="E402" s="34" t="n"/>
      <c r="F402" s="34" t="n"/>
      <c r="G402" s="13">
        <f>IFERROR(E402*F402,"")</f>
        <v/>
      </c>
      <c r="H402" s="13">
        <f>IFERROR(E402*VLOOKUP(B402,'Recetas y precios'!$A$5:$P$54,16,FALSE),"")</f>
        <v/>
      </c>
      <c r="I402" s="34" t="n"/>
      <c r="J402" s="13">
        <f>IFERROR(I402*VLOOKUP(B402,'Recetas y precios'!$A$5:$P$54,16,FALSE),"")</f>
        <v/>
      </c>
      <c r="K402" s="13">
        <f>IFERROR(G402-H402,"")</f>
        <v/>
      </c>
      <c r="L402" s="35">
        <f>IFERROR(K402/G402,"")</f>
        <v/>
      </c>
      <c r="M402" s="34" t="n"/>
    </row>
    <row r="403">
      <c r="A403" s="33" t="n"/>
      <c r="B403" s="34" t="n"/>
      <c r="C403" s="7">
        <f>IFERROR(VLOOKUP(B403,'Recetas y precios'!$A$5:$B$54,2,FALSE),"")</f>
        <v/>
      </c>
      <c r="D403" s="34" t="n"/>
      <c r="E403" s="34" t="n"/>
      <c r="F403" s="34" t="n"/>
      <c r="G403" s="13">
        <f>IFERROR(E403*F403,"")</f>
        <v/>
      </c>
      <c r="H403" s="13">
        <f>IFERROR(E403*VLOOKUP(B403,'Recetas y precios'!$A$5:$P$54,16,FALSE),"")</f>
        <v/>
      </c>
      <c r="I403" s="34" t="n"/>
      <c r="J403" s="13">
        <f>IFERROR(I403*VLOOKUP(B403,'Recetas y precios'!$A$5:$P$54,16,FALSE),"")</f>
        <v/>
      </c>
      <c r="K403" s="13">
        <f>IFERROR(G403-H403,"")</f>
        <v/>
      </c>
      <c r="L403" s="35">
        <f>IFERROR(K403/G403,"")</f>
        <v/>
      </c>
      <c r="M403" s="34" t="n"/>
    </row>
    <row r="404">
      <c r="A404" s="33" t="n"/>
      <c r="B404" s="34" t="n"/>
      <c r="C404" s="7">
        <f>IFERROR(VLOOKUP(B404,'Recetas y precios'!$A$5:$B$54,2,FALSE),"")</f>
        <v/>
      </c>
      <c r="D404" s="34" t="n"/>
      <c r="E404" s="34" t="n"/>
      <c r="F404" s="34" t="n"/>
      <c r="G404" s="13">
        <f>IFERROR(E404*F404,"")</f>
        <v/>
      </c>
      <c r="H404" s="13">
        <f>IFERROR(E404*VLOOKUP(B404,'Recetas y precios'!$A$5:$P$54,16,FALSE),"")</f>
        <v/>
      </c>
      <c r="I404" s="34" t="n"/>
      <c r="J404" s="13">
        <f>IFERROR(I404*VLOOKUP(B404,'Recetas y precios'!$A$5:$P$54,16,FALSE),"")</f>
        <v/>
      </c>
      <c r="K404" s="13">
        <f>IFERROR(G404-H404,"")</f>
        <v/>
      </c>
      <c r="L404" s="35">
        <f>IFERROR(K404/G404,"")</f>
        <v/>
      </c>
      <c r="M404" s="34" t="n"/>
    </row>
  </sheetData>
  <conditionalFormatting sqref="K5:K40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3" customWidth="1" min="4" max="4"/>
    <col width="46" customWidth="1" min="5" max="5"/>
    <col width="20" customWidth="1" min="6" max="6"/>
  </cols>
  <sheetData>
    <row r="1" ht="26" customHeight="1">
      <c r="A1" s="1" t="inlineStr">
        <is>
          <t>Tablero</t>
        </is>
      </c>
    </row>
    <row r="2">
      <c r="A2" s="2" t="inlineStr">
        <is>
          <t>Resumen de tu operación. Se alimenta solo de las bitácoras de Producción y Ventas.</t>
        </is>
      </c>
    </row>
    <row r="3" ht="6" customHeight="1"/>
    <row r="4">
      <c r="B4" s="3" t="inlineStr">
        <is>
          <t>RESULTADOS ACUMULADOS</t>
        </is>
      </c>
      <c r="E4" s="3" t="inlineStr">
        <is>
          <t>LAS DOS MERMAS</t>
        </is>
      </c>
    </row>
    <row r="5">
      <c r="B5" s="8" t="inlineStr">
        <is>
          <t>Piezas vendidas</t>
        </is>
      </c>
      <c r="C5" s="36">
        <f>SUM(Ventas!E5:E404)</f>
        <v/>
      </c>
      <c r="E5" s="8" t="inlineStr">
        <is>
          <t>Piezas buenas producidas</t>
        </is>
      </c>
      <c r="F5" s="36">
        <f>SUM(Producción!G5:G304)</f>
        <v/>
      </c>
    </row>
    <row r="6">
      <c r="B6" s="8" t="inlineStr">
        <is>
          <t>Ingreso total</t>
        </is>
      </c>
      <c r="C6" s="37">
        <f>SUM(Ventas!G5:G404)</f>
        <v/>
      </c>
      <c r="E6" s="8" t="inlineStr">
        <is>
          <t>Piezas falladas en producción</t>
        </is>
      </c>
      <c r="F6" s="36">
        <f>SUM(Producción!H5:H304)</f>
        <v/>
      </c>
    </row>
    <row r="7">
      <c r="B7" s="8" t="inlineStr">
        <is>
          <t>Costo de lo vendido</t>
        </is>
      </c>
      <c r="C7" s="37">
        <f>SUM(Ventas!H5:H404)</f>
        <v/>
      </c>
      <c r="E7" s="8" t="inlineStr">
        <is>
          <t>MERMA DE PRODUCCIÓN real</t>
        </is>
      </c>
      <c r="F7" s="38">
        <f>IFERROR(F6/(F5+F6),0)</f>
        <v/>
      </c>
    </row>
    <row r="8">
      <c r="B8" s="8" t="inlineStr">
        <is>
          <t>Utilidad bruta (antes de gastos fijos)</t>
        </is>
      </c>
      <c r="C8" s="37">
        <f>C6-C7</f>
        <v/>
      </c>
      <c r="E8" s="8" t="inlineStr">
        <is>
          <t>Merma que supones</t>
        </is>
      </c>
      <c r="F8" s="38">
        <f>'Mi negocio'!$F$8</f>
        <v/>
      </c>
    </row>
    <row r="9">
      <c r="B9" s="8" t="inlineStr">
        <is>
          <t>Margen bruto promedio</t>
        </is>
      </c>
      <c r="C9" s="38">
        <f>IFERROR(C8/C6,0)</f>
        <v/>
      </c>
      <c r="E9" s="8" t="inlineStr">
        <is>
          <t>Piezas no vendidas (inventario)</t>
        </is>
      </c>
      <c r="F9" s="36">
        <f>SUM(Ventas!I5:I404)</f>
        <v/>
      </c>
    </row>
    <row r="10">
      <c r="B10" s="8" t="inlineStr">
        <is>
          <t>Ticket promedio por pieza</t>
        </is>
      </c>
      <c r="C10" s="27">
        <f>IFERROR(C6/C5,0)</f>
        <v/>
      </c>
      <c r="E10" s="8" t="inlineStr">
        <is>
          <t>Dinero inmovilizado en no vendido</t>
        </is>
      </c>
      <c r="F10" s="37">
        <f>SUM(Ventas!J5:J404)</f>
        <v/>
      </c>
    </row>
    <row r="11">
      <c r="B11" s="8" t="inlineStr">
        <is>
          <t>Utilidad después de gastos fijos</t>
        </is>
      </c>
      <c r="C11" s="37">
        <f>C8-'Mi negocio'!$C$15</f>
        <v/>
      </c>
      <c r="E11" s="8" t="inlineStr">
        <is>
          <t>Dinero perdido en producción</t>
        </is>
      </c>
      <c r="F11" s="37">
        <f>SUM(Producción!J5:J304)</f>
        <v/>
      </c>
    </row>
    <row r="14">
      <c r="B14" s="3" t="inlineStr">
        <is>
          <t>PUNTO DE EQUILIBRIO DEL MES</t>
        </is>
      </c>
    </row>
    <row r="15">
      <c r="B15" s="8" t="inlineStr">
        <is>
          <t>Gastos fijos del mes</t>
        </is>
      </c>
      <c r="C15" s="37">
        <f>'Mi negocio'!$C$15</f>
        <v/>
      </c>
    </row>
    <row r="16">
      <c r="B16" s="8" t="inlineStr">
        <is>
          <t>Precio promedio de mostrador</t>
        </is>
      </c>
      <c r="C16" s="37">
        <f>'Recetas y precios'!$C$58</f>
        <v/>
      </c>
    </row>
    <row r="17">
      <c r="B17" s="8" t="inlineStr">
        <is>
          <t>Costo total promedio por pieza</t>
        </is>
      </c>
      <c r="C17" s="27">
        <f>'Recetas y precios'!$C$57</f>
        <v/>
      </c>
    </row>
    <row r="18">
      <c r="B18" s="8" t="inlineStr">
        <is>
          <t>Margen de contribución por pieza</t>
        </is>
      </c>
      <c r="C18" s="27">
        <f>C16-C17</f>
        <v/>
      </c>
    </row>
    <row r="19">
      <c r="B19" s="8" t="inlineStr">
        <is>
          <t>Piezas que debes vender al mes para no perder</t>
        </is>
      </c>
      <c r="C19" s="36">
        <f>IFERROR(ROUNDUP(C15/C18,0),0)</f>
        <v/>
      </c>
    </row>
    <row r="20">
      <c r="B20" s="8" t="inlineStr">
        <is>
          <t>Piezas al día (30 días)</t>
        </is>
      </c>
      <c r="C20" s="36">
        <f>ROUNDUP(C19/30,0)</f>
        <v/>
      </c>
    </row>
    <row r="21">
      <c r="B21" s="8" t="inlineStr">
        <is>
          <t>Piezas vendidas hasta hoy</t>
        </is>
      </c>
      <c r="C21" s="36">
        <f>C5</f>
        <v/>
      </c>
    </row>
    <row r="22">
      <c r="B22" s="8" t="inlineStr">
        <is>
          <t>Avance al punto de equilibrio</t>
        </is>
      </c>
      <c r="C22" s="38">
        <f>IFERROR(C21/C19,0)</f>
        <v/>
      </c>
    </row>
    <row r="24">
      <c r="B24" s="22" t="inlineStr">
        <is>
          <t>Endulcora · Estudio Gastronómico · Anexo 1 del eBook «Dulces Mexicanos Tradicionales»</t>
        </is>
      </c>
    </row>
    <row r="25">
      <c r="B25" s="22" t="inlineStr">
        <is>
          <t>Contenido: Chef Luis Alfonso Jiménez Cárdenas · Edición: Manuel Ramiro Justo Guzmán · WhatsApp 5665271901</t>
        </is>
      </c>
    </row>
    <row r="26">
      <c r="B26" s="39" t="inlineStr">
        <is>
          <t>En colaboración con LEVENT · Consultoría en modelo de negocio, costos y punto de equilibrio</t>
        </is>
      </c>
    </row>
  </sheetData>
  <conditionalFormatting sqref="C22">
    <cfRule type="dataBar" priority="1">
      <dataBar>
        <cfvo type="num" val="0"/>
        <cfvo type="num" val="1"/>
        <color rgb="00F8B81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2026-08-30T18:17:46Z</dcterms:created>
  <dcterms:modified xmlns:dcterms="http://purl.org/dc/terms/" xmlns:xsi="http://www.w3.org/2001/XMLSchema-instance" xsi:type="dcterms:W3CDTF">2026-08-30T18:17:47Z</dcterms:modified>
</cp:coreProperties>
</file>