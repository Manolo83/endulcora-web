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Insumos" sheetId="2" state="visible" r:id="rId4"/>
    <sheet name="Bases madre" sheetId="3" state="visible" r:id="rId5"/>
    <sheet name="Ingredientes" sheetId="4" state="visible" r:id="rId6"/>
    <sheet name="Mi negocio" sheetId="5" state="visible" r:id="rId7"/>
    <sheet name="Recetas y precios" sheetId="6" state="visible" r:id="rId8"/>
    <sheet name="Producción" sheetId="7" state="visible" r:id="rId9"/>
    <sheet name="Ventas" sheetId="8" state="visible" r:id="rId10"/>
    <sheet name="Tablero" sheetId="9" state="visible" r:id="rId11"/>
  </sheets>
  <definedNames>
    <definedName function="false" hidden="true" localSheetId="3" name="_xlnm._FilterDatabase" vbProcedure="false">Ingredientes!$A$5:$I$778</definedName>
    <definedName function="false" hidden="true" localSheetId="1" name="_xlnm._FilterDatabase" vbProcedure="false">Insumos!$A$5:$I$140</definedName>
    <definedName function="false" hidden="true" localSheetId="5" name="_xlnm._FilterDatabase" vbProcedure="false">'Recetas y precios'!$A$5:$U$56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<sst xmlns="http://schemas.openxmlformats.org/spreadsheetml/2006/main" count="4942" uniqueCount="1195">
  <si>
    <t xml:space="preserve">ANEXO 1 · CALCULADORA DE COSTOS, MERMA Y PRECIOS</t>
  </si>
  <si>
    <t xml:space="preserve">Panqués y Pound Cakes Gourmet de Autor · 51 recetas · Oficios Dulces vol. 5</t>
  </si>
  <si>
    <t xml:space="preserve">Endulcora · Estudio Gastronómico · en colaboración con Levent</t>
  </si>
  <si>
    <t xml:space="preserve">QUÉ ES ESTO</t>
  </si>
  <si>
    <t xml:space="preserve">Un modelo de costeo vivo para las 51 recetas del libro. Todas las hojas están enlazadas con fórmulas reales: si cambias un precio de compra, las 51 recetas, sus cuatro canales de venta y el punto de equilibrio se recalculan solos.</t>
  </si>
  <si>
    <t xml:space="preserve">CÓMO SE USA</t>
  </si>
  <si>
    <t xml:space="preserve">1</t>
  </si>
  <si>
    <t xml:space="preserve">Ve a la hoja «Mi negocio» y pon tus datos reales: renta, sueldo, producción mensual, empaque, energía y merma. Son ocho celdas.</t>
  </si>
  <si>
    <t xml:space="preserve">2</t>
  </si>
  <si>
    <t xml:space="preserve">Ve a la hoja «Insumos» y sustituye los precios de referencia por los que tú pagas. Solo la columna «Precio de compra» (celdas en amarillo).</t>
  </si>
  <si>
    <t xml:space="preserve">3</t>
  </si>
  <si>
    <t xml:space="preserve">Abre «Recetas y precios». Ahí están las 51 piezas costeadas con tus números y sus precios sugeridos en los cuatro canales.</t>
  </si>
  <si>
    <t xml:space="preserve">4</t>
  </si>
  <si>
    <t xml:space="preserve">Usa «Producción» para planear el mes y «Ventas» para registrar lo que vendes. El «Tablero» resume todo.</t>
  </si>
  <si>
    <t xml:space="preserve">LA REGLA DE ORO</t>
  </si>
  <si>
    <t xml:space="preserve">SOLO SE EDITAN LAS CELDAS AMARILLAS. Todo lo demás son fórmulas: si escribes encima, rompes el modelo.</t>
  </si>
  <si>
    <t xml:space="preserve">EL MODELO DE COSTEO</t>
  </si>
  <si>
    <t xml:space="preserve">Costo por unidad     = Precio de compra ÷ Cantidad comprada</t>
  </si>
  <si>
    <t xml:space="preserve">Costo insumos lote   = Σ (cantidad × costo por unidad)</t>
  </si>
  <si>
    <t xml:space="preserve">Costo base           = Insumos + Empaque + Energía + Mano de obra + Overhead</t>
  </si>
  <si>
    <t xml:space="preserve">Costo total unitario = Costo base ÷ (1 − % merma)      ← se DIVIDE, no se suma</t>
  </si>
  <si>
    <t xml:space="preserve">PVP                  = Costo total ÷ (1 − margen)</t>
  </si>
  <si>
    <t xml:space="preserve">Costo por rebanada   = Costo total ÷ rebanadas del molde</t>
  </si>
  <si>
    <t xml:space="preserve">Punto de equilibrio  = Gastos fijos ÷ (PVP − costo variable unitario)</t>
  </si>
  <si>
    <t xml:space="preserve">LAS NUEVE HOJAS</t>
  </si>
  <si>
    <t xml:space="preserve">LÉEME</t>
  </si>
  <si>
    <t xml:space="preserve">Esta página.</t>
  </si>
  <si>
    <t xml:space="preserve">Insumos</t>
  </si>
  <si>
    <t xml:space="preserve">135 insumos con presentación, precio de compra (editable) y costo por gramo o mililitro.</t>
  </si>
  <si>
    <t xml:space="preserve">Bases madre</t>
  </si>
  <si>
    <t xml:space="preserve">Los 6 métodos de emulsión y las 6 preparaciones transversales, con cuántas recetas usa cada uno y su costo promedio.</t>
  </si>
  <si>
    <t xml:space="preserve">Ingredientes</t>
  </si>
  <si>
    <t xml:space="preserve">Las 773 líneas del recetario normalizadas contra el catálogo, con el texto original del chef al lado para poder auditarlas.</t>
  </si>
  <si>
    <t xml:space="preserve">Mi negocio</t>
  </si>
  <si>
    <t xml:space="preserve">Tus parámetros. Es la hoja que hay que llenar primero.</t>
  </si>
  <si>
    <t xml:space="preserve">Recetas y precios</t>
  </si>
  <si>
    <t xml:space="preserve">La hoja principal: las 51 piezas con su costo y sus 4 precios.</t>
  </si>
  <si>
    <t xml:space="preserve">Producción</t>
  </si>
  <si>
    <t xml:space="preserve">Plan mensual: cuántas piezas de cada receta y qué cuesta producirlas.</t>
  </si>
  <si>
    <t xml:space="preserve">Ventas</t>
  </si>
  <si>
    <t xml:space="preserve">Registro de ventas con cálculo automático de utilidad.</t>
  </si>
  <si>
    <t xml:space="preserve">Tablero</t>
  </si>
  <si>
    <t xml:space="preserve">Resumen, punto de equilibrio y ranking de rentabilidad.</t>
  </si>
  <si>
    <t xml:space="preserve">ADVERTENCIAS</t>
  </si>
  <si>
    <t xml:space="preserve">Los precios precargados son REFERENCIAS de mercado CDMX 2026, no cotizaciones. Sustitúyelos.</t>
  </si>
  <si>
    <t xml:space="preserve">Endulcora no garantiza ingresos ni resultados de negocio. Este archivo es una herramienta de cálculo, no una promesa.</t>
  </si>
  <si>
    <t xml:space="preserve">Las líneas marcadas en la hoja «Ingredientes» con una nota en la columna «Equivalencia asumida» llevan un supuesto editorial (piezas a gramos, ralladuras, subpreparaciones ya costeadas). Están declaradas una por una para que puedas revisarlas y cambiarlas.</t>
  </si>
  <si>
    <t xml:space="preserve">INSUMOS</t>
  </si>
  <si>
    <t xml:space="preserve">Sustituye la columna «Precio de compra» (amarillo) por tus precios reales.</t>
  </si>
  <si>
    <t xml:space="preserve">Clave</t>
  </si>
  <si>
    <t xml:space="preserve">Insumo</t>
  </si>
  <si>
    <t xml:space="preserve">Categoría</t>
  </si>
  <si>
    <t xml:space="preserve">Cantidad comprada</t>
  </si>
  <si>
    <t xml:space="preserve">Unidad</t>
  </si>
  <si>
    <t xml:space="preserve">Precio de compra</t>
  </si>
  <si>
    <t xml:space="preserve">Costo por unidad</t>
  </si>
  <si>
    <t xml:space="preserve">Recetas que lo usan</t>
  </si>
  <si>
    <t xml:space="preserve">Consumo total (g/ml)</t>
  </si>
  <si>
    <t xml:space="preserve">I-001</t>
  </si>
  <si>
    <t xml:space="preserve">Mantequilla sin sal 82% grasa</t>
  </si>
  <si>
    <t xml:space="preserve">Lácteos y grasas</t>
  </si>
  <si>
    <t xml:space="preserve">g</t>
  </si>
  <si>
    <t xml:space="preserve">I-002</t>
  </si>
  <si>
    <t xml:space="preserve">Mantequilla de rancho sin sal</t>
  </si>
  <si>
    <t xml:space="preserve">I-003</t>
  </si>
  <si>
    <t xml:space="preserve">Mantequilla con sal</t>
  </si>
  <si>
    <t xml:space="preserve">I-004</t>
  </si>
  <si>
    <t xml:space="preserve">Huevo entero (sin cascarón)</t>
  </si>
  <si>
    <t xml:space="preserve">I-005</t>
  </si>
  <si>
    <t xml:space="preserve">Yema de huevo</t>
  </si>
  <si>
    <t xml:space="preserve">I-006</t>
  </si>
  <si>
    <t xml:space="preserve">Clara de huevo</t>
  </si>
  <si>
    <t xml:space="preserve">I-007</t>
  </si>
  <si>
    <t xml:space="preserve">Leche entera</t>
  </si>
  <si>
    <t xml:space="preserve">ml</t>
  </si>
  <si>
    <t xml:space="preserve">I-008</t>
  </si>
  <si>
    <t xml:space="preserve">Crema para batir 35%</t>
  </si>
  <si>
    <t xml:space="preserve">I-009</t>
  </si>
  <si>
    <t xml:space="preserve">Crema ácida / crema de rancho</t>
  </si>
  <si>
    <t xml:space="preserve">I-010</t>
  </si>
  <si>
    <t xml:space="preserve">Nata fresca de rancho</t>
  </si>
  <si>
    <t xml:space="preserve">I-011</t>
  </si>
  <si>
    <t xml:space="preserve">Yogur griego natural sin azúcar</t>
  </si>
  <si>
    <t xml:space="preserve">I-012</t>
  </si>
  <si>
    <t xml:space="preserve">Queso crema entero (bloque)</t>
  </si>
  <si>
    <t xml:space="preserve">I-013</t>
  </si>
  <si>
    <t xml:space="preserve">Queso mascarpone</t>
  </si>
  <si>
    <t xml:space="preserve">I-014</t>
  </si>
  <si>
    <t xml:space="preserve">Queso parmesano Reggiano</t>
  </si>
  <si>
    <t xml:space="preserve">I-015</t>
  </si>
  <si>
    <t xml:space="preserve">Queso fresco de rancho</t>
  </si>
  <si>
    <t xml:space="preserve">I-016</t>
  </si>
  <si>
    <t xml:space="preserve">Leche condensada</t>
  </si>
  <si>
    <t xml:space="preserve">I-017</t>
  </si>
  <si>
    <t xml:space="preserve">Leche evaporada</t>
  </si>
  <si>
    <t xml:space="preserve">I-018</t>
  </si>
  <si>
    <t xml:space="preserve">Leche de coco en lata</t>
  </si>
  <si>
    <t xml:space="preserve">I-019</t>
  </si>
  <si>
    <t xml:space="preserve">Suero de leche (buttermilk)</t>
  </si>
  <si>
    <t xml:space="preserve">I-020</t>
  </si>
  <si>
    <t xml:space="preserve">Aceite de oliva extra virgen</t>
  </si>
  <si>
    <t xml:space="preserve">I-021</t>
  </si>
  <si>
    <t xml:space="preserve">Aceite vegetal neutro (girasol/maíz)</t>
  </si>
  <si>
    <t xml:space="preserve">I-022</t>
  </si>
  <si>
    <t xml:space="preserve">Aceite de pepita de uva</t>
  </si>
  <si>
    <t xml:space="preserve">I-023</t>
  </si>
  <si>
    <t xml:space="preserve">Aceite virgen de coco</t>
  </si>
  <si>
    <t xml:space="preserve">I-030</t>
  </si>
  <si>
    <t xml:space="preserve">Harina de trigo repostera</t>
  </si>
  <si>
    <t xml:space="preserve">Harinas y leudantes</t>
  </si>
  <si>
    <t xml:space="preserve">I-031</t>
  </si>
  <si>
    <t xml:space="preserve">Harina de maíz fina / nixtamalizada</t>
  </si>
  <si>
    <t xml:space="preserve">I-032</t>
  </si>
  <si>
    <t xml:space="preserve">Fécula de maíz</t>
  </si>
  <si>
    <t xml:space="preserve">I-033</t>
  </si>
  <si>
    <t xml:space="preserve">Polvo para hornear doble acción</t>
  </si>
  <si>
    <t xml:space="preserve">I-034</t>
  </si>
  <si>
    <t xml:space="preserve">Bicarbonato de sodio</t>
  </si>
  <si>
    <t xml:space="preserve">I-035</t>
  </si>
  <si>
    <t xml:space="preserve">Sal fina de mesa</t>
  </si>
  <si>
    <t xml:space="preserve">I-036</t>
  </si>
  <si>
    <t xml:space="preserve">Sal marina fina</t>
  </si>
  <si>
    <t xml:space="preserve">I-037</t>
  </si>
  <si>
    <t xml:space="preserve">Flor de sal</t>
  </si>
  <si>
    <t xml:space="preserve">I-038</t>
  </si>
  <si>
    <t xml:space="preserve">Sal de gusano de maguey</t>
  </si>
  <si>
    <t xml:space="preserve">I-040</t>
  </si>
  <si>
    <t xml:space="preserve">Azúcar refinada blanca</t>
  </si>
  <si>
    <t xml:space="preserve">Azúcares y mieles</t>
  </si>
  <si>
    <t xml:space="preserve">I-041</t>
  </si>
  <si>
    <t xml:space="preserve">Azúcar blanca extrafina</t>
  </si>
  <si>
    <t xml:space="preserve">I-042</t>
  </si>
  <si>
    <t xml:space="preserve">Azúcar glas</t>
  </si>
  <si>
    <t xml:space="preserve">I-043</t>
  </si>
  <si>
    <t xml:space="preserve">Azúcar mascabado claro</t>
  </si>
  <si>
    <t xml:space="preserve">I-044</t>
  </si>
  <si>
    <t xml:space="preserve">Azúcar mascabado oscuro</t>
  </si>
  <si>
    <t xml:space="preserve">I-045</t>
  </si>
  <si>
    <t xml:space="preserve">Piloncillo</t>
  </si>
  <si>
    <t xml:space="preserve">I-046</t>
  </si>
  <si>
    <t xml:space="preserve">Miel de abeja de azahar</t>
  </si>
  <si>
    <t xml:space="preserve">I-047</t>
  </si>
  <si>
    <t xml:space="preserve">Miel de bosque / encino</t>
  </si>
  <si>
    <t xml:space="preserve">I-048</t>
  </si>
  <si>
    <t xml:space="preserve">Jarabe puro de maple</t>
  </si>
  <si>
    <t xml:space="preserve">I-049</t>
  </si>
  <si>
    <t xml:space="preserve">Glucosa líquida / miel de maíz</t>
  </si>
  <si>
    <t xml:space="preserve">I-050</t>
  </si>
  <si>
    <t xml:space="preserve">Dulce de leche repostero</t>
  </si>
  <si>
    <t xml:space="preserve">I-051</t>
  </si>
  <si>
    <t xml:space="preserve">Caramelo salado preparado</t>
  </si>
  <si>
    <t xml:space="preserve">I-052</t>
  </si>
  <si>
    <t xml:space="preserve">Agua purificada</t>
  </si>
  <si>
    <t xml:space="preserve">I-060</t>
  </si>
  <si>
    <t xml:space="preserve">Cobertura amarga 70% cacao</t>
  </si>
  <si>
    <t xml:space="preserve">Chocolatería y cacao</t>
  </si>
  <si>
    <t xml:space="preserve">I-061</t>
  </si>
  <si>
    <t xml:space="preserve">Cobertura semiamarga 55-60%</t>
  </si>
  <si>
    <t xml:space="preserve">I-062</t>
  </si>
  <si>
    <t xml:space="preserve">Cobertura con leche 38-40%</t>
  </si>
  <si>
    <t xml:space="preserve">I-063</t>
  </si>
  <si>
    <t xml:space="preserve">Cobertura blanca 32%</t>
  </si>
  <si>
    <t xml:space="preserve">I-064</t>
  </si>
  <si>
    <t xml:space="preserve">Chispas de chocolate semiamargo</t>
  </si>
  <si>
    <t xml:space="preserve">I-065</t>
  </si>
  <si>
    <t xml:space="preserve">Cacao en polvo alcalinizado</t>
  </si>
  <si>
    <t xml:space="preserve">I-066</t>
  </si>
  <si>
    <t xml:space="preserve">Nibs de cacao tostados</t>
  </si>
  <si>
    <t xml:space="preserve">I-067</t>
  </si>
  <si>
    <t xml:space="preserve">Chocolate de metate oaxaqueño</t>
  </si>
  <si>
    <t xml:space="preserve">I-068</t>
  </si>
  <si>
    <t xml:space="preserve">Pasta de gianduja</t>
  </si>
  <si>
    <t xml:space="preserve">I-070</t>
  </si>
  <si>
    <t xml:space="preserve">Harina de almendra</t>
  </si>
  <si>
    <t xml:space="preserve">Frutos secos y pastas</t>
  </si>
  <si>
    <t xml:space="preserve">I-071</t>
  </si>
  <si>
    <t xml:space="preserve">Almendra entera pelada</t>
  </si>
  <si>
    <t xml:space="preserve">I-072</t>
  </si>
  <si>
    <t xml:space="preserve">Avellana tostada</t>
  </si>
  <si>
    <t xml:space="preserve">I-073</t>
  </si>
  <si>
    <t xml:space="preserve">Harina de avellana tostada</t>
  </si>
  <si>
    <t xml:space="preserve">I-074</t>
  </si>
  <si>
    <t xml:space="preserve">Pasta pura de avellana 100%</t>
  </si>
  <si>
    <t xml:space="preserve">I-075</t>
  </si>
  <si>
    <t xml:space="preserve">Nuez pecán en mitades</t>
  </si>
  <si>
    <t xml:space="preserve">I-076</t>
  </si>
  <si>
    <t xml:space="preserve">Nuez de Castilla</t>
  </si>
  <si>
    <t xml:space="preserve">I-077</t>
  </si>
  <si>
    <t xml:space="preserve">Nuez de macadamia</t>
  </si>
  <si>
    <t xml:space="preserve">I-078</t>
  </si>
  <si>
    <t xml:space="preserve">Pistache pelado tostado</t>
  </si>
  <si>
    <t xml:space="preserve">I-079</t>
  </si>
  <si>
    <t xml:space="preserve">Harina de pistache extrafina</t>
  </si>
  <si>
    <t xml:space="preserve">I-080</t>
  </si>
  <si>
    <t xml:space="preserve">Pasta pura de pistache 100%</t>
  </si>
  <si>
    <t xml:space="preserve">I-081</t>
  </si>
  <si>
    <t xml:space="preserve">Cacahuate tostado sin piel</t>
  </si>
  <si>
    <t xml:space="preserve">I-082</t>
  </si>
  <si>
    <t xml:space="preserve">Crema pura de cacahuate</t>
  </si>
  <si>
    <t xml:space="preserve">I-083</t>
  </si>
  <si>
    <t xml:space="preserve">Mazapán de cacahuate</t>
  </si>
  <si>
    <t xml:space="preserve">I-084</t>
  </si>
  <si>
    <t xml:space="preserve">Praliné de almendra 50/50</t>
  </si>
  <si>
    <t xml:space="preserve">I-085</t>
  </si>
  <si>
    <t xml:space="preserve">Tahini 100% ajonjolí</t>
  </si>
  <si>
    <t xml:space="preserve">I-086</t>
  </si>
  <si>
    <t xml:space="preserve">Ajonjolí blanco</t>
  </si>
  <si>
    <t xml:space="preserve">I-087</t>
  </si>
  <si>
    <t xml:space="preserve">Ajonjolí negro</t>
  </si>
  <si>
    <t xml:space="preserve">I-088</t>
  </si>
  <si>
    <t xml:space="preserve">Semilla de girasol pelada</t>
  </si>
  <si>
    <t xml:space="preserve">I-089</t>
  </si>
  <si>
    <t xml:space="preserve">Pepita de calabaza</t>
  </si>
  <si>
    <t xml:space="preserve">I-090</t>
  </si>
  <si>
    <t xml:space="preserve">Semilla de amapola</t>
  </si>
  <si>
    <t xml:space="preserve">I-091</t>
  </si>
  <si>
    <t xml:space="preserve">Coco rallado seco</t>
  </si>
  <si>
    <t xml:space="preserve">I-092</t>
  </si>
  <si>
    <t xml:space="preserve">Marrons glacés / crema de castaña</t>
  </si>
  <si>
    <t xml:space="preserve">I-100</t>
  </si>
  <si>
    <t xml:space="preserve">Naranja Valencia</t>
  </si>
  <si>
    <t xml:space="preserve">Fruta y confitados</t>
  </si>
  <si>
    <t xml:space="preserve">I-101</t>
  </si>
  <si>
    <t xml:space="preserve">Limón amarillo / real / Meyer</t>
  </si>
  <si>
    <t xml:space="preserve">I-102</t>
  </si>
  <si>
    <t xml:space="preserve">Limón verde / lima</t>
  </si>
  <si>
    <t xml:space="preserve">I-103</t>
  </si>
  <si>
    <t xml:space="preserve">Mandarina</t>
  </si>
  <si>
    <t xml:space="preserve">I-104</t>
  </si>
  <si>
    <t xml:space="preserve">Toronja rosa</t>
  </si>
  <si>
    <t xml:space="preserve">I-105</t>
  </si>
  <si>
    <t xml:space="preserve">Jugo de yuzu embotellado</t>
  </si>
  <si>
    <t xml:space="preserve">I-106</t>
  </si>
  <si>
    <t xml:space="preserve">Pulpa de maracuyá</t>
  </si>
  <si>
    <t xml:space="preserve">I-107</t>
  </si>
  <si>
    <t xml:space="preserve">Pulpa de guayaba rosa</t>
  </si>
  <si>
    <t xml:space="preserve">I-108</t>
  </si>
  <si>
    <t xml:space="preserve">Ate de guayaba artesanal</t>
  </si>
  <si>
    <t xml:space="preserve">I-109</t>
  </si>
  <si>
    <t xml:space="preserve">Plátano tabasco</t>
  </si>
  <si>
    <t xml:space="preserve">I-110</t>
  </si>
  <si>
    <t xml:space="preserve">Manzana Reineta / Granny Smith</t>
  </si>
  <si>
    <t xml:space="preserve">I-111</t>
  </si>
  <si>
    <t xml:space="preserve">Pera Bosc o Anjou</t>
  </si>
  <si>
    <t xml:space="preserve">I-112</t>
  </si>
  <si>
    <t xml:space="preserve">Mango Manila</t>
  </si>
  <si>
    <t xml:space="preserve">I-113</t>
  </si>
  <si>
    <t xml:space="preserve">Calabaza de Castilla</t>
  </si>
  <si>
    <t xml:space="preserve">I-114</t>
  </si>
  <si>
    <t xml:space="preserve">Zanahoria</t>
  </si>
  <si>
    <t xml:space="preserve">I-115</t>
  </si>
  <si>
    <t xml:space="preserve">Piña confitada en cubos</t>
  </si>
  <si>
    <t xml:space="preserve">I-116</t>
  </si>
  <si>
    <t xml:space="preserve">Naranja confitada en cubos</t>
  </si>
  <si>
    <t xml:space="preserve">I-117</t>
  </si>
  <si>
    <t xml:space="preserve">Jengibre confitado</t>
  </si>
  <si>
    <t xml:space="preserve">I-118</t>
  </si>
  <si>
    <t xml:space="preserve">Higo fresco</t>
  </si>
  <si>
    <t xml:space="preserve">I-119</t>
  </si>
  <si>
    <t xml:space="preserve">Dátil Medjool sin hueso</t>
  </si>
  <si>
    <t xml:space="preserve">I-120</t>
  </si>
  <si>
    <t xml:space="preserve">Ciruela pasa sin hueso</t>
  </si>
  <si>
    <t xml:space="preserve">I-121</t>
  </si>
  <si>
    <t xml:space="preserve">Frambuesa fresca</t>
  </si>
  <si>
    <t xml:space="preserve">I-122</t>
  </si>
  <si>
    <t xml:space="preserve">Frambuesa liofilizada</t>
  </si>
  <si>
    <t xml:space="preserve">I-123</t>
  </si>
  <si>
    <t xml:space="preserve">Mora silvestre / frutos del bosque</t>
  </si>
  <si>
    <t xml:space="preserve">I-124</t>
  </si>
  <si>
    <t xml:space="preserve">Cereza amarena en almíbar</t>
  </si>
  <si>
    <t xml:space="preserve">I-125</t>
  </si>
  <si>
    <t xml:space="preserve">Elote dulce en grano</t>
  </si>
  <si>
    <t xml:space="preserve">I-130</t>
  </si>
  <si>
    <t xml:space="preserve">Vainilla en pasta / extracto puro</t>
  </si>
  <si>
    <t xml:space="preserve">Especias y aromáticos</t>
  </si>
  <si>
    <t xml:space="preserve">I-131</t>
  </si>
  <si>
    <t xml:space="preserve">Vaina de vainilla</t>
  </si>
  <si>
    <t xml:space="preserve">I-132</t>
  </si>
  <si>
    <t xml:space="preserve">Canela de Ceilán molida</t>
  </si>
  <si>
    <t xml:space="preserve">I-133</t>
  </si>
  <si>
    <t xml:space="preserve">Canela en raja</t>
  </si>
  <si>
    <t xml:space="preserve">I-134</t>
  </si>
  <si>
    <t xml:space="preserve">Cardamomo verde</t>
  </si>
  <si>
    <t xml:space="preserve">I-135</t>
  </si>
  <si>
    <t xml:space="preserve">Jengibre en polvo</t>
  </si>
  <si>
    <t xml:space="preserve">I-136</t>
  </si>
  <si>
    <t xml:space="preserve">Nuez moscada entera</t>
  </si>
  <si>
    <t xml:space="preserve">I-137</t>
  </si>
  <si>
    <t xml:space="preserve">Clavo de olor</t>
  </si>
  <si>
    <t xml:space="preserve">I-138</t>
  </si>
  <si>
    <t xml:space="preserve">Anís estrella</t>
  </si>
  <si>
    <t xml:space="preserve">I-139</t>
  </si>
  <si>
    <t xml:space="preserve">Pimienta gorda molida</t>
  </si>
  <si>
    <t xml:space="preserve">I-140</t>
  </si>
  <si>
    <t xml:space="preserve">Té matcha ceremonial</t>
  </si>
  <si>
    <t xml:space="preserve">I-141</t>
  </si>
  <si>
    <t xml:space="preserve">Té negro / Earl Grey en hoja</t>
  </si>
  <si>
    <t xml:space="preserve">I-142</t>
  </si>
  <si>
    <t xml:space="preserve">Mezcla de té chai</t>
  </si>
  <si>
    <t xml:space="preserve">I-143</t>
  </si>
  <si>
    <t xml:space="preserve">Café espresso molido arábica</t>
  </si>
  <si>
    <t xml:space="preserve">I-144</t>
  </si>
  <si>
    <t xml:space="preserve">Café soluble liofilizado</t>
  </si>
  <si>
    <t xml:space="preserve">I-145</t>
  </si>
  <si>
    <t xml:space="preserve">Hierbas frescas (romero, tomillo, albahaca)</t>
  </si>
  <si>
    <t xml:space="preserve">I-146</t>
  </si>
  <si>
    <t xml:space="preserve">Lavanda comestible seca</t>
  </si>
  <si>
    <t xml:space="preserve">I-147</t>
  </si>
  <si>
    <t xml:space="preserve">Hoja de lima Kaffir</t>
  </si>
  <si>
    <t xml:space="preserve">I-148</t>
  </si>
  <si>
    <t xml:space="preserve">Extracto de menta piperita</t>
  </si>
  <si>
    <t xml:space="preserve">I-149</t>
  </si>
  <si>
    <t xml:space="preserve">Extracto de almendra amarga</t>
  </si>
  <si>
    <t xml:space="preserve">I-150</t>
  </si>
  <si>
    <t xml:space="preserve">Agua de azahar</t>
  </si>
  <si>
    <t xml:space="preserve">I-151</t>
  </si>
  <si>
    <t xml:space="preserve">Colorante rojo en gel</t>
  </si>
  <si>
    <t xml:space="preserve">I-152</t>
  </si>
  <si>
    <t xml:space="preserve">Vinagre de manzana</t>
  </si>
  <si>
    <t xml:space="preserve">I-153</t>
  </si>
  <si>
    <t xml:space="preserve">Pasta de mole negro oaxaqueño</t>
  </si>
  <si>
    <t xml:space="preserve">I-160</t>
  </si>
  <si>
    <t xml:space="preserve">Ron oscuro añejo</t>
  </si>
  <si>
    <t xml:space="preserve">Licores</t>
  </si>
  <si>
    <t xml:space="preserve">I-161</t>
  </si>
  <si>
    <t xml:space="preserve">Brandy o coñac</t>
  </si>
  <si>
    <t xml:space="preserve">I-162</t>
  </si>
  <si>
    <t xml:space="preserve">Licor Kirsch</t>
  </si>
  <si>
    <t xml:space="preserve">I-163</t>
  </si>
  <si>
    <t xml:space="preserve">Licor 43</t>
  </si>
  <si>
    <t xml:space="preserve">I-164</t>
  </si>
  <si>
    <t xml:space="preserve">Mezcal espadín artesanal</t>
  </si>
  <si>
    <t xml:space="preserve">I-165</t>
  </si>
  <si>
    <t xml:space="preserve">Campari</t>
  </si>
  <si>
    <t xml:space="preserve">I-166</t>
  </si>
  <si>
    <t xml:space="preserve">Licor de café</t>
  </si>
  <si>
    <t xml:space="preserve">I-167</t>
  </si>
  <si>
    <t xml:space="preserve">Licor amaretto</t>
  </si>
  <si>
    <t xml:space="preserve">Precios de referencia CDMX 2026. Ilustrativos, no cotizaciones.</t>
  </si>
  <si>
    <t xml:space="preserve">BASES MADRE</t>
  </si>
  <si>
    <t xml:space="preserve">Los seis métodos de emulsión y las seis preparaciones transversales.</t>
  </si>
  <si>
    <t xml:space="preserve">Método base</t>
  </si>
  <si>
    <t xml:space="preserve">Qué es</t>
  </si>
  <si>
    <t xml:space="preserve">Recetas</t>
  </si>
  <si>
    <t xml:space="preserve">Costo promedio de insumos</t>
  </si>
  <si>
    <t xml:space="preserve">Costo mínimo</t>
  </si>
  <si>
    <t xml:space="preserve">Costo máximo</t>
  </si>
  <si>
    <t xml:space="preserve">M-1</t>
  </si>
  <si>
    <t xml:space="preserve">Cremado clásico (mantequilla pomada + azúcar)</t>
  </si>
  <si>
    <t xml:space="preserve">La mantequilla en pomada a 18 °C se bate con el azúcar hasta blanquear e incorporar aire; el huevo entra en emulsión y la harina se integra al mínimo.</t>
  </si>
  <si>
    <t xml:space="preserve">M-2</t>
  </si>
  <si>
    <t xml:space="preserve">Cremado inverso / arenado (mantequilla fría sobre harina)</t>
  </si>
  <si>
    <t xml:space="preserve">La mantequilla fría se corta sobre la harina antes de que entre el líquido: recubre el gluten y da una miga corta, apretada y de corte limpio.</t>
  </si>
  <si>
    <t xml:space="preserve">M-3</t>
  </si>
  <si>
    <t xml:space="preserve">Emulsión en caliente / beurre noisette</t>
  </si>
  <si>
    <t xml:space="preserve">La mantequilla se funde y se tuesta hasta avellanar; se emulsiona en caliente con azúcares y huevo. Rinde 75 % del peso de la mantequilla cruda.</t>
  </si>
  <si>
    <t xml:space="preserve">M-4</t>
  </si>
  <si>
    <t xml:space="preserve">Base de aceite y lácteo ácido (tipo chiffon)</t>
  </si>
  <si>
    <t xml:space="preserve">El aceite no cristaliza en frío: la miga queda húmeda por más días. El lácteo ácido estabiliza la proteína del huevo frente a los cítricos.</t>
  </si>
  <si>
    <t xml:space="preserve">M-5</t>
  </si>
  <si>
    <t xml:space="preserve">Base financiera y de pasta de fruto seco</t>
  </si>
  <si>
    <t xml:space="preserve">Clara de huevo sin montar, harina de fruto seco y mantequilla avellanada o pasta pura: estructura densa, húmeda y de larga vida útil.</t>
  </si>
  <si>
    <t xml:space="preserve">M-6</t>
  </si>
  <si>
    <t xml:space="preserve">Masa enriquecida con yemas y aromáticos</t>
  </si>
  <si>
    <t xml:space="preserve">Yemas adicionales y pastas aromáticas maceradas: color, aroma y suavidad de masa fermentada sin fermentación.</t>
  </si>
  <si>
    <t xml:space="preserve">PREPARACIONES TRANSVERSALES</t>
  </si>
  <si>
    <t xml:space="preserve">Preparación</t>
  </si>
  <si>
    <t xml:space="preserve">P-1</t>
  </si>
  <si>
    <t xml:space="preserve">Jarabe de imbibage (calado)</t>
  </si>
  <si>
    <t xml:space="preserve">Agua o jugo + azúcar a partes desiguales, hervido 2 min y aplicado en caliente sobre la pieza tibia. Aporta de 60 a 110 g de humedad viva y es lo que separa un panqué de vitrina de uno seco.</t>
  </si>
  <si>
    <t xml:space="preserve">P-2</t>
  </si>
  <si>
    <t xml:space="preserve">Glaseado traslúcido y glaseado opaco</t>
  </si>
  <si>
    <t xml:space="preserve">Azúcar glas + líquido ácido o lácteo. Traslúcido con 15-18 % de líquido; opaco con 20-25 % y aplicado sobre la pieza fría. Seca en 20-25 min y forma costra.</t>
  </si>
  <si>
    <t xml:space="preserve">P-3</t>
  </si>
  <si>
    <t xml:space="preserve">Ganache y cobertura</t>
  </si>
  <si>
    <t xml:space="preserve">Chocolate + crema caliente en emulsión (1:0.7 para cobertura, 1:1.4 para ganache montada). Se usa como baño, veteado o decoración.</t>
  </si>
  <si>
    <t xml:space="preserve">P-4</t>
  </si>
  <si>
    <t xml:space="preserve">Streusel y costra superior</t>
  </si>
  <si>
    <t xml:space="preserve">Mantequilla fría, azúcar, harina y fruto seco en proporción 1:1:1.5. Se hornea sobre la masa cruda y da contraste de mordida.</t>
  </si>
  <si>
    <t xml:space="preserve">P-5</t>
  </si>
  <si>
    <t xml:space="preserve">Núcleo e inserción</t>
  </si>
  <si>
    <t xml:space="preserve">Toffee, cremino, cheesecake o gianduja en manga, colocado en el centro de la masa antes del horno o inyectado en frío. Sube el ticket sin subir mucho el costo.</t>
  </si>
  <si>
    <t xml:space="preserve">P-6</t>
  </si>
  <si>
    <t xml:space="preserve">Fruta y fruto seco tratado</t>
  </si>
  <si>
    <t xml:space="preserve">Salteado, caramelizado, macerado, garapiñado, confitado o reducido a puré. Siempre escurrido y frío antes de entrar a la masa, y rebozado en harina si va en suspensión.</t>
  </si>
  <si>
    <t xml:space="preserve">INGREDIENTES</t>
  </si>
  <si>
    <t xml:space="preserve">Cada línea del recetario normalizada contra el catálogo de insumos. La columna «Texto original del chef» permite auditar la equivalencia.</t>
  </si>
  <si>
    <t xml:space="preserve">#</t>
  </si>
  <si>
    <t xml:space="preserve">Receta</t>
  </si>
  <si>
    <t xml:space="preserve">Componente</t>
  </si>
  <si>
    <t xml:space="preserve">Texto original del chef</t>
  </si>
  <si>
    <t xml:space="preserve">Clave insumo</t>
  </si>
  <si>
    <t xml:space="preserve">Cantidad</t>
  </si>
  <si>
    <t xml:space="preserve">Costo de la línea</t>
  </si>
  <si>
    <t xml:space="preserve">Equivalencia asumida</t>
  </si>
  <si>
    <t xml:space="preserve">Panqué Cuatro Cuartos Perfecto a la Vainilla de Papantla y Mantequilla de Rancho</t>
  </si>
  <si>
    <t xml:space="preserve">la Masa</t>
  </si>
  <si>
    <t xml:space="preserve">220 g Mantequilla de rancho sin sal (mínimo 82% materia grasa), a 18°C (pomada)</t>
  </si>
  <si>
    <t xml:space="preserve">220 g Azúcar refinada blanca</t>
  </si>
  <si>
    <t xml:space="preserve">220 g Huevos enteros pasteurizados (aprox. 4 piezas grandes), a temperatura ambiente</t>
  </si>
  <si>
    <t xml:space="preserve">220 g Harina de trigo repostera (baja en proteína, 8-9%)</t>
  </si>
  <si>
    <t xml:space="preserve">4 g Polvo para hornear de doble acción</t>
  </si>
  <si>
    <t xml:space="preserve">2 g Flor de sal fina</t>
  </si>
  <si>
    <t xml:space="preserve">12 g Pasta concentrada de vainilla natural de Papantla (o las semillas de 1 vaina madura)</t>
  </si>
  <si>
    <t xml:space="preserve">20 ml Leche entera a temperatura ambiente</t>
  </si>
  <si>
    <t xml:space="preserve">el Jarabe de Imbibage</t>
  </si>
  <si>
    <t xml:space="preserve">50 ml Agua purificada</t>
  </si>
  <si>
    <t xml:space="preserve">40 g Azúcar blanca</t>
  </si>
  <si>
    <t xml:space="preserve">5 ml Extracto puro de vainilla de Papantla</t>
  </si>
  <si>
    <t xml:space="preserve">el Glaseado Traslúcido</t>
  </si>
  <si>
    <t xml:space="preserve">70 g Azúcar glas micropulverizada</t>
  </si>
  <si>
    <t xml:space="preserve">12 ml Leche entera tibia</t>
  </si>
  <si>
    <t xml:space="preserve">3 g Mantequilla fundida</t>
  </si>
  <si>
    <t xml:space="preserve">Panqué de Mantequilla Avellanada (Beurre Noisette) y Flor de Sal</t>
  </si>
  <si>
    <t xml:space="preserve">la Mantequilla Avellanada</t>
  </si>
  <si>
    <t xml:space="preserve">280 g Mantequilla sin sal (al evaporar agua y tostar sólidos lácteos rendirá 210 g netos de beurre noisette)</t>
  </si>
  <si>
    <t xml:space="preserve">210 g Mantequilla avellanada (beurre noisette) colada pero con sus posos tostados, templada a 28°C</t>
  </si>
  <si>
    <t xml:space="preserve">cubierta por «Para la Mantequilla Avellanada» (280 g → 210 g netos)</t>
  </si>
  <si>
    <t xml:space="preserve">190 g Azúcar mascabado fino</t>
  </si>
  <si>
    <t xml:space="preserve">40 g Miel de abeja de azahar</t>
  </si>
  <si>
    <t xml:space="preserve">200 g Huevos enteros (4 piezas)</t>
  </si>
  <si>
    <t xml:space="preserve">200 g Harina de trigo repostera</t>
  </si>
  <si>
    <t xml:space="preserve">40 g Harina de almendra extrafina</t>
  </si>
  <si>
    <t xml:space="preserve">5 g Polvo para hornear</t>
  </si>
  <si>
    <t xml:space="preserve">3 g Flor de sal molida</t>
  </si>
  <si>
    <t xml:space="preserve">40 ml Crema para batir (35% materia grasa) a temperatura ambiente</t>
  </si>
  <si>
    <t xml:space="preserve">el Acabado Salino</t>
  </si>
  <si>
    <t xml:space="preserve">40 g Mantequilla avellanada fundida líquida</t>
  </si>
  <si>
    <t xml:space="preserve">beurre noisette: 280 g → 210 g netos (rend. 75 %)</t>
  </si>
  <si>
    <t xml:space="preserve">20 g Jarabe simple (50% agua / 50% azúcar)</t>
  </si>
  <si>
    <t xml:space="preserve">2 g Flor de sal en escamas</t>
  </si>
  <si>
    <t xml:space="preserve">Panqué Marble / Jaspeado Suizo de Chocolate Oscuro y Vainilla Bourbon</t>
  </si>
  <si>
    <t xml:space="preserve">la Masa Base</t>
  </si>
  <si>
    <t xml:space="preserve">240 g Mantequilla sin sal a 18°C</t>
  </si>
  <si>
    <t xml:space="preserve">220 g Azúcar blanca extrafina</t>
  </si>
  <si>
    <t xml:space="preserve">200 g Huevos enteros</t>
  </si>
  <si>
    <t xml:space="preserve">240 g Harina de trigo repostera</t>
  </si>
  <si>
    <t xml:space="preserve">3 g Sal fina</t>
  </si>
  <si>
    <t xml:space="preserve">60 ml Crema ácida espesa (o crème fraîche)</t>
  </si>
  <si>
    <t xml:space="preserve">la Fase Vainilla</t>
  </si>
  <si>
    <t xml:space="preserve">10 ml Extracto concentrado de vainilla Bourbon</t>
  </si>
  <si>
    <t xml:space="preserve">15 ml Leche entera</t>
  </si>
  <si>
    <t xml:space="preserve">la Fase Chocolate Suizo</t>
  </si>
  <si>
    <t xml:space="preserve">60 g Chocolate amargo 70% cacao, fundido a 45°C</t>
  </si>
  <si>
    <t xml:space="preserve">25 g Cacao alcalinizado en polvo (estilo holandés)</t>
  </si>
  <si>
    <t xml:space="preserve">40 ml Leche entera tibia (para hidratar sólidos secos)</t>
  </si>
  <si>
    <t xml:space="preserve">15 g Azúcar extra</t>
  </si>
  <si>
    <t xml:space="preserve">Panqué Bretón de Caramelo Salado con Ganache Montada</t>
  </si>
  <si>
    <t xml:space="preserve">el Toffee / Caramelo Salado de Inserción</t>
  </si>
  <si>
    <t xml:space="preserve">100 g Azúcar refinada</t>
  </si>
  <si>
    <t xml:space="preserve">80 ml Crema para batir caliente (35% M.G.)</t>
  </si>
  <si>
    <t xml:space="preserve">40 g Mantequilla salada de buena calidad en cubos fríos</t>
  </si>
  <si>
    <t xml:space="preserve">3 g Sal de grano molida</t>
  </si>
  <si>
    <t xml:space="preserve">la Masa Bretón</t>
  </si>
  <si>
    <t xml:space="preserve">180 g Mantequilla sin sal pomada</t>
  </si>
  <si>
    <t xml:space="preserve">130 g Azúcar mascabado claro</t>
  </si>
  <si>
    <t xml:space="preserve">60 g Caramelo salado preparado (frío)</t>
  </si>
  <si>
    <t xml:space="preserve">cubierto por «Para el Toffee / Caramelo Salado»</t>
  </si>
  <si>
    <t xml:space="preserve">180 g Huevos enteros (3 grandes)</t>
  </si>
  <si>
    <t xml:space="preserve">210 g Harina de trigo</t>
  </si>
  <si>
    <t xml:space="preserve">5 g Polvo de hornear</t>
  </si>
  <si>
    <t xml:space="preserve">2 g Sal fina</t>
  </si>
  <si>
    <t xml:space="preserve">30 ml Leche entera</t>
  </si>
  <si>
    <t xml:space="preserve">la Ganache Montada de Caramelo (decoración)</t>
  </si>
  <si>
    <t xml:space="preserve">100 g Chocolate blanco 32% manteca de cacao</t>
  </si>
  <si>
    <t xml:space="preserve">40 g Caramelo salado preparado</t>
  </si>
  <si>
    <t xml:space="preserve">140 ml Crema para batir (muy fría)</t>
  </si>
  <si>
    <t xml:space="preserve">Panqué Financiero de Pera Caramelizada y Harina de Almendra</t>
  </si>
  <si>
    <t xml:space="preserve">las Peras Caramelizadas</t>
  </si>
  <si>
    <t xml:space="preserve">2 Peras Bosc o Anjou firmes (peladas y descorazonadas)</t>
  </si>
  <si>
    <t xml:space="preserve">2 peras × 180 g</t>
  </si>
  <si>
    <t xml:space="preserve">25 g Mantequilla sin sal</t>
  </si>
  <si>
    <t xml:space="preserve">30 g Azúcar mascabado</t>
  </si>
  <si>
    <t xml:space="preserve">1 Pizca de canela molida</t>
  </si>
  <si>
    <t xml:space="preserve">pizca ≈ 0.5 g</t>
  </si>
  <si>
    <t xml:space="preserve">la Masa Financiera</t>
  </si>
  <si>
    <t xml:space="preserve">160 g Claras de huevo frescas (aprox. 5 claras), sin batir a punto de nieve</t>
  </si>
  <si>
    <t xml:space="preserve">150 g Mantequilla avellanada (beurre noisette caliente filtrado a 50°C)</t>
  </si>
  <si>
    <t xml:space="preserve">beurre noisette: rendimiento 75 % (declarado en receta 2)</t>
  </si>
  <si>
    <t xml:space="preserve">150 g Azúcar glas tamizada</t>
  </si>
  <si>
    <t xml:space="preserve">90 g Harina de almendra pelada extrafina</t>
  </si>
  <si>
    <t xml:space="preserve">70 g Harina de trigo repostera</t>
  </si>
  <si>
    <t xml:space="preserve">4 g Polvo para hornear</t>
  </si>
  <si>
    <t xml:space="preserve">2 g Sal marina fina</t>
  </si>
  <si>
    <t xml:space="preserve">5 ml Extracto de almendra amarga o licor de pera (opcional)</t>
  </si>
  <si>
    <t xml:space="preserve">Panqué de Queso Crema y Nuez Pecán Tostada al Jarabe de Maple</t>
  </si>
  <si>
    <t xml:space="preserve">las Nueces Pecán al Maple</t>
  </si>
  <si>
    <t xml:space="preserve">140 g Nueces pecán en mitades y trozos gruesos</t>
  </si>
  <si>
    <t xml:space="preserve">40 ml Jarabe puro de maple (Grado A oscuro)</t>
  </si>
  <si>
    <t xml:space="preserve">10 g Mantequilla sin sal</t>
  </si>
  <si>
    <t xml:space="preserve">2 g Flor de sal</t>
  </si>
  <si>
    <t xml:space="preserve">180 g Mantequilla sin sal a 18°C</t>
  </si>
  <si>
    <t xml:space="preserve">140 g Queso crema entero tipo bloque (25°C, maleable)</t>
  </si>
  <si>
    <t xml:space="preserve">180 g Azúcar mascabado claro</t>
  </si>
  <si>
    <t xml:space="preserve">30 ml Jarabe puro de maple</t>
  </si>
  <si>
    <t xml:space="preserve">220 g Harina de trigo repostera</t>
  </si>
  <si>
    <t xml:space="preserve">8 ml Extracto concentrado de vainilla</t>
  </si>
  <si>
    <t xml:space="preserve">el Glaseado de Maple</t>
  </si>
  <si>
    <t xml:space="preserve">70 g Azúcar glas tamizada</t>
  </si>
  <si>
    <t xml:space="preserve">20 ml Jarabe puro de maple</t>
  </si>
  <si>
    <t xml:space="preserve">10 g Mantequilla fundida tibia</t>
  </si>
  <si>
    <t xml:space="preserve">Panqué de Nata Artesanal de Rancho y Cardamomo Verde Molido</t>
  </si>
  <si>
    <t xml:space="preserve">200 g Nata fresca de rancho (materia grasa láctea 40-45%, densa y sin acidificar)</t>
  </si>
  <si>
    <t xml:space="preserve">80 g Mantequilla sin sal pomada</t>
  </si>
  <si>
    <t xml:space="preserve">200 g Azúcar refinada</t>
  </si>
  <si>
    <t xml:space="preserve">200 g Huevos enteros a temperatura ambiente</t>
  </si>
  <si>
    <t xml:space="preserve">6 g Polvo para hornear</t>
  </si>
  <si>
    <t xml:space="preserve">4 g Semillas de cardamomo verde recién trituradas y tamizadas</t>
  </si>
  <si>
    <t xml:space="preserve">30 ml Leche entera tibia</t>
  </si>
  <si>
    <t xml:space="preserve">el Jarabe de Cardamomo (Imbibage)</t>
  </si>
  <si>
    <t xml:space="preserve">40 ml Agua purificada</t>
  </si>
  <si>
    <t xml:space="preserve">30 g Azúcar blanca</t>
  </si>
  <si>
    <t xml:space="preserve">2 Cápsulas de cardamomo verde abiertas</t>
  </si>
  <si>
    <t xml:space="preserve">2 cápsulas ≈ 1 g</t>
  </si>
  <si>
    <t xml:space="preserve">Panqué Red Velvet de Autor con Núcleo Horneado de Cheesecake</t>
  </si>
  <si>
    <t xml:space="preserve">el Núcleo de Cheesecake</t>
  </si>
  <si>
    <t xml:space="preserve">200 g Queso crema entero a 20°C</t>
  </si>
  <si>
    <t xml:space="preserve">50 g Azúcar refinada</t>
  </si>
  <si>
    <t xml:space="preserve">1 Huevo mediano (50 g)</t>
  </si>
  <si>
    <t xml:space="preserve">declarado en la receta</t>
  </si>
  <si>
    <t xml:space="preserve">15 g Harina de trigo (para dar soporte estructural en el horneado)</t>
  </si>
  <si>
    <t xml:space="preserve">5 ml Extracto de vainilla</t>
  </si>
  <si>
    <t xml:space="preserve">la Masa Red Velvet</t>
  </si>
  <si>
    <t xml:space="preserve">140 g Mantequilla sin sal pomada</t>
  </si>
  <si>
    <t xml:space="preserve">180 g Azúcar blanca</t>
  </si>
  <si>
    <t xml:space="preserve">150 g Huevos enteros (3 piezas)</t>
  </si>
  <si>
    <t xml:space="preserve">18 g Cacao puro en polvo alcalinizado (sin azúcar)</t>
  </si>
  <si>
    <t xml:space="preserve">3 g Bicarbonato de sodio</t>
  </si>
  <si>
    <t xml:space="preserve">6 ml Vinagre de manzana o blanco</t>
  </si>
  <si>
    <t xml:space="preserve">120 ml Suero de leche casero (buttermilk: 115 ml leche entera + 5 ml jugo de limón reposado 10 min)</t>
  </si>
  <si>
    <t xml:space="preserve">5 ml Colorante hidrosoluble rojo intenso en gel</t>
  </si>
  <si>
    <t xml:space="preserve">Panqué Imperial de Vainilla Tahití con Glaseado Traslúcido de Mantequilla</t>
  </si>
  <si>
    <t xml:space="preserve">220 g Mantequilla de alta concentración grasa (84% M.G.) pomada</t>
  </si>
  <si>
    <t xml:space="preserve">200 g Azúcar blanca extrafina</t>
  </si>
  <si>
    <t xml:space="preserve">2 Vainas de vainilla de Tahití (abiertas y raspadas)</t>
  </si>
  <si>
    <t xml:space="preserve">2 vainas × 3 g</t>
  </si>
  <si>
    <t xml:space="preserve">220 g Huevos enteros</t>
  </si>
  <si>
    <t xml:space="preserve">40 ml Crema para batir (35% M.G.) a temperatura ambiente</t>
  </si>
  <si>
    <t xml:space="preserve">el Jarabe de Vainilla</t>
  </si>
  <si>
    <t xml:space="preserve">50 ml Agua</t>
  </si>
  <si>
    <t xml:space="preserve">40 g Azúcar</t>
  </si>
  <si>
    <t xml:space="preserve">Vainas vacías de vainilla de Tahití (para infusionar)</t>
  </si>
  <si>
    <t xml:space="preserve">—</t>
  </si>
  <si>
    <t xml:space="preserve">reutiliza las vainas ya costeadas</t>
  </si>
  <si>
    <t xml:space="preserve">80 g Azúcar glas</t>
  </si>
  <si>
    <t xml:space="preserve">15 g Mantequilla fundida avellanada muy clara</t>
  </si>
  <si>
    <t xml:space="preserve">15 ml Leche entera tibia</t>
  </si>
  <si>
    <t xml:space="preserve">Panqué Glaseado de Limón Amarillo Eureka y Semillas de Amapola</t>
  </si>
  <si>
    <t xml:space="preserve">Ralladura fina de 3 limones amarillos Eureka (solo corteza amarilla)</t>
  </si>
  <si>
    <t xml:space="preserve">3 × 110 g × 25 % cáscara</t>
  </si>
  <si>
    <t xml:space="preserve">25 g Harina de almendra pelada</t>
  </si>
  <si>
    <t xml:space="preserve">15 g Semillas de amapola (poppy seeds)</t>
  </si>
  <si>
    <t xml:space="preserve">50 ml Crema ácida (o yogur griego natural sin azúcar)</t>
  </si>
  <si>
    <t xml:space="preserve">20 ml Jugo de limón amarillo recién exprimido y colado</t>
  </si>
  <si>
    <t xml:space="preserve">el Jarabe Ácido (Imbibage)</t>
  </si>
  <si>
    <t xml:space="preserve">50 ml Jugo de limón amarillo colado</t>
  </si>
  <si>
    <t xml:space="preserve">el Glaseado Blanco de Limón</t>
  </si>
  <si>
    <t xml:space="preserve">100 g Azúcar glas micropulverizada</t>
  </si>
  <si>
    <t xml:space="preserve">18 ml Jugo de limón amarillo colado</t>
  </si>
  <si>
    <t xml:space="preserve">Panqué de Naranja Valencia, Romero Fresco y Aceite de Oliva Extra Virgen</t>
  </si>
  <si>
    <t xml:space="preserve">150 ml Aceite de oliva extra virgen (AOVE de perfil suave, variedad Arbequina)</t>
  </si>
  <si>
    <t xml:space="preserve">50 g Mantequilla sin sal derretida tibia</t>
  </si>
  <si>
    <t xml:space="preserve">210 g Azúcar refinada</t>
  </si>
  <si>
    <t xml:space="preserve">Ralladura fina de 2 naranjas Valencia (sin parte blanca)</t>
  </si>
  <si>
    <t xml:space="preserve">2 × 200 g × 25 % cáscara</t>
  </si>
  <si>
    <t xml:space="preserve">4 g Hojas de romero fresco picadas muy finamente</t>
  </si>
  <si>
    <t xml:space="preserve">230 g Harina de trigo repostera</t>
  </si>
  <si>
    <t xml:space="preserve">30 g Harina de almendra pelada</t>
  </si>
  <si>
    <t xml:space="preserve">50 ml Jugo de naranja recién exprimido y colado</t>
  </si>
  <si>
    <t xml:space="preserve">40 ml Yogur griego natural sin azúcar</t>
  </si>
  <si>
    <t xml:space="preserve">60 ml Jugo fresco de naranja</t>
  </si>
  <si>
    <t xml:space="preserve">1 Rama entera de romero fresco</t>
  </si>
  <si>
    <t xml:space="preserve">1 rama ≈ 3 g</t>
  </si>
  <si>
    <t xml:space="preserve">el Glaseado</t>
  </si>
  <si>
    <t xml:space="preserve">70 g Azúcar glas</t>
  </si>
  <si>
    <t xml:space="preserve">15 ml Jugo de naranja colado</t>
  </si>
  <si>
    <t xml:space="preserve">Panqué de Toronja Rosa y Campari con Embebiendo Cítrico Amargo</t>
  </si>
  <si>
    <t xml:space="preserve">Ralladura fina de 2 toronjas rosas grandes</t>
  </si>
  <si>
    <t xml:space="preserve">2 × 350 g × 25 % cáscara</t>
  </si>
  <si>
    <t xml:space="preserve">40 ml Crema para batir (35% M.G.)</t>
  </si>
  <si>
    <t xml:space="preserve">25 ml Jugo fresco de toronja rosa colado</t>
  </si>
  <si>
    <t xml:space="preserve">el Jarabe de Campari y Toronja (Imbibage)</t>
  </si>
  <si>
    <t xml:space="preserve">50 ml Jugo fresco de toronja rosa</t>
  </si>
  <si>
    <t xml:space="preserve">35 g Azúcar blanca</t>
  </si>
  <si>
    <t xml:space="preserve">25 ml Licor Campari (aporta notas herbáceas y amargas)</t>
  </si>
  <si>
    <t xml:space="preserve">el Glaseado Rosado</t>
  </si>
  <si>
    <t xml:space="preserve">90 g Azúcar glas tamizada</t>
  </si>
  <si>
    <t xml:space="preserve">15 ml Jugo de toronja rosa</t>
  </si>
  <si>
    <t xml:space="preserve">3 ml Campari (para dar un tono rosado natural)</t>
  </si>
  <si>
    <t xml:space="preserve">Panqué de Mandarina Criolla y Tomillo con Costra de Azúcar Mascabado</t>
  </si>
  <si>
    <t xml:space="preserve">190 g Mantequilla sin sal pomada</t>
  </si>
  <si>
    <t xml:space="preserve">160 g Azúcar blanca</t>
  </si>
  <si>
    <t xml:space="preserve">40 g Azúcar mascabado claro</t>
  </si>
  <si>
    <t xml:space="preserve">Ralladura fina de 4 mandarinas criollas (cáscara perfumada y delgada)</t>
  </si>
  <si>
    <t xml:space="preserve">4 × 90 g × 25 % cáscara</t>
  </si>
  <si>
    <t xml:space="preserve">3 g Hojitas frescas de tomillo limón (o tomillo común)</t>
  </si>
  <si>
    <t xml:space="preserve">25 g Harina de maíz fina (para aportar color dorado y mordida rústica)</t>
  </si>
  <si>
    <t xml:space="preserve">40 ml Jugo concentrado de mandarina colado</t>
  </si>
  <si>
    <t xml:space="preserve">la Costra Mascabado-Tomillo</t>
  </si>
  <si>
    <t xml:space="preserve">35 g Azúcar mascabado oscuro de grano grueso</t>
  </si>
  <si>
    <t xml:space="preserve">1 g Hojitas frescas de tomillo</t>
  </si>
  <si>
    <t xml:space="preserve">el Jarabe de Mandarina</t>
  </si>
  <si>
    <t xml:space="preserve">50 ml Jugo de mandarina</t>
  </si>
  <si>
    <t xml:space="preserve">25 g Azúcar refinada</t>
  </si>
  <si>
    <t xml:space="preserve">Panqué de Lima Kaffir y Coco Tostado con Ganache de Chocolate Blanco</t>
  </si>
  <si>
    <t xml:space="preserve">160 g Mantequilla sin sal pomada</t>
  </si>
  <si>
    <t xml:space="preserve">40 ml Aceite virgen de coco fundido a 28°C</t>
  </si>
  <si>
    <t xml:space="preserve">190 g Azúcar refinada</t>
  </si>
  <si>
    <t xml:space="preserve">Ralladura fina de 2 limas Kaffir (o limas verdes persas muy aromáticas)</t>
  </si>
  <si>
    <t xml:space="preserve">2 × 60 g × 25 % cáscara</t>
  </si>
  <si>
    <t xml:space="preserve">4 Hojas de lima Kaffir desvenadas y picadas en polvo ultra fino</t>
  </si>
  <si>
    <t xml:space="preserve">4 hojas ≈ 2 g</t>
  </si>
  <si>
    <t xml:space="preserve">210 g Harina de trigo repostera</t>
  </si>
  <si>
    <t xml:space="preserve">40 g Coco rallado seco tostado y molido en polvo fino</t>
  </si>
  <si>
    <t xml:space="preserve">50 ml Leche de coco en lata (alta concentración grasa, sin azúcar)</t>
  </si>
  <si>
    <t xml:space="preserve">la Ganache de Lima y Chocolate Blanco</t>
  </si>
  <si>
    <t xml:space="preserve">45 ml Crema para batir caliente</t>
  </si>
  <si>
    <t xml:space="preserve">10 ml Jugo de lima Kaffir colado</t>
  </si>
  <si>
    <t xml:space="preserve">Ralladura fina de 1 lima para terminar</t>
  </si>
  <si>
    <t xml:space="preserve">1 × 60 g × 25 % cáscara</t>
  </si>
  <si>
    <t xml:space="preserve">la Cobertura Crocante</t>
  </si>
  <si>
    <t xml:space="preserve">20 g Hojuelas de coco horneadas doradas</t>
  </si>
  <si>
    <t xml:space="preserve">Panqué de Earl Grey y Bergamota con Glaseado de Lavanda</t>
  </si>
  <si>
    <t xml:space="preserve">la Mantequilla Infusionada con Earl Grey</t>
  </si>
  <si>
    <t xml:space="preserve">240 g Mantequilla sin sal (fundida con 12 g de hojas de té Earl Grey de alta gama; al colar rendirá 190 g netos de grasa infusionada fría a textura pomada)</t>
  </si>
  <si>
    <t xml:space="preserve">190 g Mantequilla infusionada con Earl Grey (a 18°C)</t>
  </si>
  <si>
    <t xml:space="preserve">cubierta por «Para la Mantequilla Infusionada con Earl Grey»</t>
  </si>
  <si>
    <t xml:space="preserve">Ralladura fina de 1 bergamota (o 2 gotas de aceite esencial puro de bergamota grado alimenticio)</t>
  </si>
  <si>
    <t xml:space="preserve">1 × 120 g × 25 % cáscara</t>
  </si>
  <si>
    <t xml:space="preserve">20 g Fécula de maíz (aporta ligereza a la miga)</t>
  </si>
  <si>
    <t xml:space="preserve">40 ml Leche entera infusionada con 1 bolsita de Earl Grey</t>
  </si>
  <si>
    <t xml:space="preserve">el Jarabe Concentrado (Imbibage)</t>
  </si>
  <si>
    <t xml:space="preserve">60 ml Infusión concentrada de té Earl Grey</t>
  </si>
  <si>
    <t xml:space="preserve">3 g de hoja por 60 ml de infusión</t>
  </si>
  <si>
    <t xml:space="preserve">40 g Azúcar refinada</t>
  </si>
  <si>
    <t xml:space="preserve">el Glaseado de Lavanda</t>
  </si>
  <si>
    <t xml:space="preserve">80 g Azúcar glas tamizada</t>
  </si>
  <si>
    <t xml:space="preserve">15 ml Infusión ligera de flores secas de lavanda comestible (hervida y colada)</t>
  </si>
  <si>
    <t xml:space="preserve">2 g de flor por 15 ml de infusión</t>
  </si>
  <si>
    <t xml:space="preserve">Panqué de Limón Real y Albahaca Genovesa con Glaseado Ácido</t>
  </si>
  <si>
    <t xml:space="preserve">el Aceite/Puré de Albahaca Dulce</t>
  </si>
  <si>
    <t xml:space="preserve">25 g Hojas frescas de albahaca Genovesa (blanqueadas 5 segundos en agua hirviendo y enfriadas en hielo)</t>
  </si>
  <si>
    <t xml:space="preserve">40 ml Aceite de maíz o girasol neutro</t>
  </si>
  <si>
    <t xml:space="preserve">160 g Mantequilla sin sal pomada (18°C)</t>
  </si>
  <si>
    <t xml:space="preserve">Ralladura fina de 2 limones reales (amarillos grandes de corteza gruesa)</t>
  </si>
  <si>
    <t xml:space="preserve">2 × 110 g × 25 % cáscara</t>
  </si>
  <si>
    <t xml:space="preserve">200 g Huevos enteros (4 piezas grandes)</t>
  </si>
  <si>
    <t xml:space="preserve">20 g Harina de almendra extrafina</t>
  </si>
  <si>
    <t xml:space="preserve">30 ml Jugo fresco de limón real colado</t>
  </si>
  <si>
    <t xml:space="preserve">50 ml Jugo de limón real</t>
  </si>
  <si>
    <t xml:space="preserve">35 g Azúcar refinada</t>
  </si>
  <si>
    <t xml:space="preserve">4 Hojas de albahaca fresca en infusión rápida</t>
  </si>
  <si>
    <t xml:space="preserve">el Glaseado Ácido</t>
  </si>
  <si>
    <t xml:space="preserve">90 g Azúcar glas micropulverizada</t>
  </si>
  <si>
    <t xml:space="preserve">18 ml Jugo concentrado de limón real</t>
  </si>
  <si>
    <t xml:space="preserve">Panqué de Yuzu y Té Matcha Ceremonial con Streusel Crujiente</t>
  </si>
  <si>
    <t xml:space="preserve">el Streusel de Matcha</t>
  </si>
  <si>
    <t xml:space="preserve">35 g Mantequilla sin sal fría en cubos</t>
  </si>
  <si>
    <t xml:space="preserve">35 g Harina de trigo repostera</t>
  </si>
  <si>
    <t xml:space="preserve">20 g Harina de almendra</t>
  </si>
  <si>
    <t xml:space="preserve">3 g Té matcha ceremonial en polvo</t>
  </si>
  <si>
    <t xml:space="preserve">190 g Azúcar blanca extrafina</t>
  </si>
  <si>
    <t xml:space="preserve">10 g Té matcha ceremonial de grado culinario alto (tamizado)</t>
  </si>
  <si>
    <t xml:space="preserve">40 ml Jugo puro de yuzu embotellado (o concentrado cítrico japonés)</t>
  </si>
  <si>
    <t xml:space="preserve">30 ml Crema para batir (35% M.G.)</t>
  </si>
  <si>
    <t xml:space="preserve">el Jarabe de Yuzu</t>
  </si>
  <si>
    <t xml:space="preserve">40 ml Jugo de yuzu</t>
  </si>
  <si>
    <t xml:space="preserve">30 g Azúcar refinada</t>
  </si>
  <si>
    <t xml:space="preserve">20 ml Agua purificada</t>
  </si>
  <si>
    <t xml:space="preserve">Panqué de Moras Silvestres y Limón Meyer con Costra de Azúcar Glas</t>
  </si>
  <si>
    <t xml:space="preserve">la Suspensión de Fruta</t>
  </si>
  <si>
    <t xml:space="preserve">150 g Moras silvestres frescas (pequeñas y firmes, lavadas y secas)</t>
  </si>
  <si>
    <t xml:space="preserve">12 g Fécula de maíz (maicena, para sellar humedad exterior)</t>
  </si>
  <si>
    <t xml:space="preserve">Ralladura fina de 3 limones Meyer (cítrico dulce y aromático)</t>
  </si>
  <si>
    <t xml:space="preserve">20 g Harina de almendra pelada</t>
  </si>
  <si>
    <t xml:space="preserve">40 ml Crema ácida espesa</t>
  </si>
  <si>
    <t xml:space="preserve">20 ml Jugo fresco de limón Meyer colado</t>
  </si>
  <si>
    <t xml:space="preserve">la Costra Superior</t>
  </si>
  <si>
    <t xml:space="preserve">30 g Azúcar glas tamizada (para espolvorear antes del horno)</t>
  </si>
  <si>
    <t xml:space="preserve">Panqué Fudge de Chocolate Amargo 70% con Glaseado Rocher de Avellana</t>
  </si>
  <si>
    <t xml:space="preserve">la Masa Fudge</t>
  </si>
  <si>
    <t xml:space="preserve">140 g Mantequilla sin sal</t>
  </si>
  <si>
    <t xml:space="preserve">120 g Chocolate amargo 70% cacao (en callets o picado)</t>
  </si>
  <si>
    <t xml:space="preserve">40 g Cacao alcalinizado en polvo</t>
  </si>
  <si>
    <t xml:space="preserve">60 ml Café espresso caliente (o agua hirviendo)</t>
  </si>
  <si>
    <t xml:space="preserve">espresso: 0.4 g de café molido por ml</t>
  </si>
  <si>
    <t xml:space="preserve">180 g Huevos enteros (3 piezas grandes)</t>
  </si>
  <si>
    <t xml:space="preserve">140 g Harina de trigo repostera</t>
  </si>
  <si>
    <t xml:space="preserve">60 ml Crema para batir (35% M.G.) a temperatura ambiente</t>
  </si>
  <si>
    <t xml:space="preserve">el Glaseado Rocher</t>
  </si>
  <si>
    <t xml:space="preserve">140 g Chocolate amargo 60% (o mezcla 50/50 chocolate amargo y con leche)</t>
  </si>
  <si>
    <t xml:space="preserve">25 ml Aceite de pepita de uva (o aceite de girasol neutro)</t>
  </si>
  <si>
    <t xml:space="preserve">60 g Avellanas del Piamonte tostadas y troceadas en granillo mediano</t>
  </si>
  <si>
    <t xml:space="preserve">Panqué Doble Chocolate y Frambuesa Liofilizada con Ganache Brillante</t>
  </si>
  <si>
    <t xml:space="preserve">180 g Harina de trigo repostera</t>
  </si>
  <si>
    <t xml:space="preserve">35 g Cacao amargo alcalinizado</t>
  </si>
  <si>
    <t xml:space="preserve">50 ml Leche entera tibia</t>
  </si>
  <si>
    <t xml:space="preserve">80 g Chispas de chocolate semiamargo 55%</t>
  </si>
  <si>
    <t xml:space="preserve">25 g Frambuesas liofilizadas troceadas toscamente</t>
  </si>
  <si>
    <t xml:space="preserve">la Ganache Brillante</t>
  </si>
  <si>
    <t xml:space="preserve">90 g Chocolate semiamargo 60% picado</t>
  </si>
  <si>
    <t xml:space="preserve">70 ml Crema para batir caliente (35% M.G.)</t>
  </si>
  <si>
    <t xml:space="preserve">15 g Miel de maíz o glucosa líquida (para brillo elástico)</t>
  </si>
  <si>
    <t xml:space="preserve">15 g Mantequilla sin sal fría en cubos</t>
  </si>
  <si>
    <t xml:space="preserve">Panqué de Chocolate Blanco, Nuez de Macadamia y Maracuyá</t>
  </si>
  <si>
    <t xml:space="preserve">160 g Mantequilla sin sal a 18°C</t>
  </si>
  <si>
    <t xml:space="preserve">110 g Chocolate blanco 32% manteca de cacao (fundido a 38°C)</t>
  </si>
  <si>
    <t xml:space="preserve">170 g Azúcar refinada</t>
  </si>
  <si>
    <t xml:space="preserve">40 ml Pulpa pura de maracuyá (colada, sin semillas)</t>
  </si>
  <si>
    <t xml:space="preserve">100 g Nueces de macadamia enteras (tostadas a 150°C por 10 min y troceadas a la mitad)</t>
  </si>
  <si>
    <t xml:space="preserve">el Glaseado de Maracuyá</t>
  </si>
  <si>
    <t xml:space="preserve">80 g Azúcar glas micropulverizada</t>
  </si>
  <si>
    <t xml:space="preserve">18 ml Pulpa concentrada de maracuyá colada</t>
  </si>
  <si>
    <t xml:space="preserve">5 g Semillas de maracuyá secas (para decorar)</t>
  </si>
  <si>
    <t xml:space="preserve">Panqué Selva Negra con Cerezas Amarenas y Licor Kirsch</t>
  </si>
  <si>
    <t xml:space="preserve">las Cerezas Maceradas</t>
  </si>
  <si>
    <t xml:space="preserve">120 g Cerezas amarenas en almíbar (escurridas y picadas a la mitad)</t>
  </si>
  <si>
    <t xml:space="preserve">25 ml Licor Kirsch (destilado de cerezas)</t>
  </si>
  <si>
    <t xml:space="preserve">10 g Harina de trigo (para rebozar y suspender)</t>
  </si>
  <si>
    <t xml:space="preserve">190 g Azúcar mascabado claro</t>
  </si>
  <si>
    <t xml:space="preserve">190 g Harina de trigo repostera</t>
  </si>
  <si>
    <t xml:space="preserve">40 g Cacao amargo alcalinizado en polvo</t>
  </si>
  <si>
    <t xml:space="preserve">50 ml Crema agria o yogur natural</t>
  </si>
  <si>
    <t xml:space="preserve">8 ml Extracto de vainilla Bourbon</t>
  </si>
  <si>
    <t xml:space="preserve">el Jarabe de Kirsch (Imbibage)</t>
  </si>
  <si>
    <t xml:space="preserve">50 ml Almíbar escurrido de las amarenas</t>
  </si>
  <si>
    <t xml:space="preserve">almíbar del mismo frasco ya costeado</t>
  </si>
  <si>
    <t xml:space="preserve">25 ml Agua purificada</t>
  </si>
  <si>
    <t xml:space="preserve">20 ml Licor Kirsch</t>
  </si>
  <si>
    <t xml:space="preserve">la Cubierta</t>
  </si>
  <si>
    <t xml:space="preserve">50 g Chocolate amargo 70%</t>
  </si>
  <si>
    <t xml:space="preserve">35 ml Crema para batir caliente</t>
  </si>
  <si>
    <t xml:space="preserve">40 g Virutas o rizos de chocolate amargo 70%</t>
  </si>
  <si>
    <t xml:space="preserve">Panqué de Gianduja Casera y Avellanas del Piamonte Tostadas</t>
  </si>
  <si>
    <t xml:space="preserve">la Pasta de Gianduja Casera</t>
  </si>
  <si>
    <t xml:space="preserve">100 g Pasta pura de avellana tostada 100% (sin azúcar)</t>
  </si>
  <si>
    <t xml:space="preserve">100 g Chocolate con leche 40% cacao (fundido a 40°C)</t>
  </si>
  <si>
    <t xml:space="preserve">(Procesar ambos juntos hasta obtener una crema untuosa y lisa)</t>
  </si>
  <si>
    <t xml:space="preserve">nota de procedimiento, sin costo</t>
  </si>
  <si>
    <t xml:space="preserve">150 g Mantequilla sin sal pomada</t>
  </si>
  <si>
    <t xml:space="preserve">80 g Pasta de gianduja preparada (tibia)</t>
  </si>
  <si>
    <t xml:space="preserve">cubierta por «Para la Pasta de Gianduja Casera»</t>
  </si>
  <si>
    <t xml:space="preserve">170 g Azúcar mascabado claro</t>
  </si>
  <si>
    <t xml:space="preserve">30 g Harina de avellana tostada extrafina</t>
  </si>
  <si>
    <t xml:space="preserve">20 g Cacao en polvo alcalinizado</t>
  </si>
  <si>
    <t xml:space="preserve">40 ml Leche entera a temperatura ambiente</t>
  </si>
  <si>
    <t xml:space="preserve">50 g Avellanas del Piamonte tostadas y picadas en granillo</t>
  </si>
  <si>
    <t xml:space="preserve">el Núcleo y Acabado</t>
  </si>
  <si>
    <t xml:space="preserve">120 g Pasta de gianduja pura fría (en manga pastelera)</t>
  </si>
  <si>
    <t xml:space="preserve">30 g Avellanas enteras tostadas partidas a la mitad</t>
  </si>
  <si>
    <t xml:space="preserve">Panqué de Chocolate Oscuro, Nibs de Cacao y Flor de Sal Maldon</t>
  </si>
  <si>
    <t xml:space="preserve">los Nibs Garapiñados</t>
  </si>
  <si>
    <t xml:space="preserve">60 g Nibs de cacao tostados</t>
  </si>
  <si>
    <t xml:space="preserve">10 ml Agua</t>
  </si>
  <si>
    <t xml:space="preserve">170 g Mantequilla sin sal pomada</t>
  </si>
  <si>
    <t xml:space="preserve">180 g Azúcar blanca extrafina</t>
  </si>
  <si>
    <t xml:space="preserve">70 g Chocolate amargo 72% cacao (fundido a 45°C)</t>
  </si>
  <si>
    <t xml:space="preserve">30 g Cacao amargo alcalinizado</t>
  </si>
  <si>
    <t xml:space="preserve">50 ml Café filtrado fuerte tibio</t>
  </si>
  <si>
    <t xml:space="preserve">café de filtro: 0.12 g de café molido por ml</t>
  </si>
  <si>
    <t xml:space="preserve">el Glaseado Crujiente</t>
  </si>
  <si>
    <t xml:space="preserve">10 g Cacao en polvo alcalinizado</t>
  </si>
  <si>
    <t xml:space="preserve">18 ml Agua tibia o café espresso</t>
  </si>
  <si>
    <t xml:space="preserve">Panqué de Café Espresso Arábica y Dulce de Leche Repostero</t>
  </si>
  <si>
    <t xml:space="preserve">el Extracto de Café</t>
  </si>
  <si>
    <t xml:space="preserve">40 ml Café espresso doble recién extraído (caliente)</t>
  </si>
  <si>
    <t xml:space="preserve">8 g Café soluble liofilizado 100% Arábica</t>
  </si>
  <si>
    <t xml:space="preserve">(Disolver el café soluble en el espresso caliente y dejar entibiar)</t>
  </si>
  <si>
    <t xml:space="preserve">180 g Mantequilla sin sal pomada (18°C)</t>
  </si>
  <si>
    <t xml:space="preserve">el Veteado Interior</t>
  </si>
  <si>
    <t xml:space="preserve">140 g Dulce de leche repostero firme (de alta densidad, en manga pastelera)</t>
  </si>
  <si>
    <t xml:space="preserve">40 ml Café espresso caliente</t>
  </si>
  <si>
    <t xml:space="preserve">25 g Azúcar blanca</t>
  </si>
  <si>
    <t xml:space="preserve">15 ml Licor de café (Kahlúa o Tía María)</t>
  </si>
  <si>
    <t xml:space="preserve">Panqué de Cacao Alcalinizado, Menta Piperita y Chispas Semiamargas</t>
  </si>
  <si>
    <t xml:space="preserve">170 g Mantequilla sin sal pomada (18°C)</t>
  </si>
  <si>
    <t xml:space="preserve">40 g Cacao puro en polvo alcalinizado (proceso holandés)</t>
  </si>
  <si>
    <t xml:space="preserve">45 ml Leche entera tibia</t>
  </si>
  <si>
    <t xml:space="preserve">4 ml Extracto puro y natural de menta piperita (grado alimenticio)</t>
  </si>
  <si>
    <t xml:space="preserve">90 g Chispas de chocolate semiamargo 55% cacao</t>
  </si>
  <si>
    <t xml:space="preserve">el Glaseado de Menta y Chocolate</t>
  </si>
  <si>
    <t xml:space="preserve">10 g Cacao alcalinizado en polvo</t>
  </si>
  <si>
    <t xml:space="preserve">15 ml Agua tibia</t>
  </si>
  <si>
    <t xml:space="preserve">1 ml Extracto natural de menta piperita</t>
  </si>
  <si>
    <t xml:space="preserve">Panqué Mole y Cacao Oaxaqueño con Ajonjolí y Especias Cálidas</t>
  </si>
  <si>
    <t xml:space="preserve">la Pasta de Mole y Chocolate</t>
  </si>
  <si>
    <t xml:space="preserve">50 g Pasta de mole negro oaxaqueño artesanal (sin carne ni caldo)</t>
  </si>
  <si>
    <t xml:space="preserve">60 g Chocolate de metate oaxaqueño artesanal (o chocolate amargo 70% con canela)</t>
  </si>
  <si>
    <t xml:space="preserve">40 ml Café espresso caliente (para disolver)</t>
  </si>
  <si>
    <t xml:space="preserve">25 g Cacao puro en polvo</t>
  </si>
  <si>
    <t xml:space="preserve">2 g Canela Ceilán en polvo</t>
  </si>
  <si>
    <t xml:space="preserve">1 g Clavo de olor en polvo</t>
  </si>
  <si>
    <t xml:space="preserve">35 g Piloncillo rallado</t>
  </si>
  <si>
    <t xml:space="preserve">1 Raja pequeña de canela</t>
  </si>
  <si>
    <t xml:space="preserve">1 raja pequeña ≈ 2 g</t>
  </si>
  <si>
    <t xml:space="preserve">la Cobertura</t>
  </si>
  <si>
    <t xml:space="preserve">60 g Chocolate amargo 70%</t>
  </si>
  <si>
    <t xml:space="preserve">10 ml Aceite vegetal neutro</t>
  </si>
  <si>
    <t xml:space="preserve">10 g Semillas de ajonjolí blanco tostadas al comal</t>
  </si>
  <si>
    <t xml:space="preserve">Panqué de Pistache Siciliano Puro con Costra Crocante de Frambuesa</t>
  </si>
  <si>
    <t xml:space="preserve">80 g Pasta pura de pistache 100% (sin azúcar ni colorantes añadidos)</t>
  </si>
  <si>
    <t xml:space="preserve">180 g Azúcar refinada</t>
  </si>
  <si>
    <t xml:space="preserve">50 g Harina de pistache pelado extrafina</t>
  </si>
  <si>
    <t xml:space="preserve">Ralladura fina de 1/2 limón amarillo (resalta el sabor del fruto seco)</t>
  </si>
  <si>
    <t xml:space="preserve">0.5 × 110 g × 25 % cáscara</t>
  </si>
  <si>
    <t xml:space="preserve">15 g Pasta pura de pistache</t>
  </si>
  <si>
    <t xml:space="preserve">la Cubierta Crocante</t>
  </si>
  <si>
    <t xml:space="preserve">50 g Pistaches pelados tostados y picados toscamente</t>
  </si>
  <si>
    <t xml:space="preserve">30 g Frambuesas liofilizadas en trozos crujientes</t>
  </si>
  <si>
    <t xml:space="preserve">Panqué de Mazapán Artesanal de Cacahuate con Cobertura de Chocolate con Leche</t>
  </si>
  <si>
    <t xml:space="preserve">70 g Crema pura de cacahuate tostado (100% natural, sin azúcar añadida)</t>
  </si>
  <si>
    <t xml:space="preserve">120 g Mazapán tradicional de cacahuate en polvo (desmoronado fino)</t>
  </si>
  <si>
    <t xml:space="preserve">60 g Cacahuates tostados sin piel picados</t>
  </si>
  <si>
    <t xml:space="preserve">la Cobertura Rocher de Cacahuate</t>
  </si>
  <si>
    <t xml:space="preserve">100 g Chocolate con leche 38% cacao fundido</t>
  </si>
  <si>
    <t xml:space="preserve">15 ml Aceite vegetal neutro</t>
  </si>
  <si>
    <t xml:space="preserve">25 g Cacahuates tostados picados fino</t>
  </si>
  <si>
    <t xml:space="preserve">Panqué de Castañas Glaseadas (Marrons Glacés) y Vainilla</t>
  </si>
  <si>
    <t xml:space="preserve">100 g Crema o puré de castañas azucarado (crème de marrons)</t>
  </si>
  <si>
    <t xml:space="preserve">1 Vaina de vainilla madura (semillas raspadas)</t>
  </si>
  <si>
    <t xml:space="preserve">1 vaina ≈ 3 g</t>
  </si>
  <si>
    <t xml:space="preserve">25 g Harina de almendra</t>
  </si>
  <si>
    <t xml:space="preserve">15 ml Ron oscuro añejo</t>
  </si>
  <si>
    <t xml:space="preserve">120 g Marrons glacés (castañas glaseadas) cortadas en trozos medianos y pasadas por 10 g de harina</t>
  </si>
  <si>
    <t xml:space="preserve">el Glaseado de Ron</t>
  </si>
  <si>
    <t xml:space="preserve">10 ml Ron oscuro añejo</t>
  </si>
  <si>
    <t xml:space="preserve">10 ml Agua tibia</t>
  </si>
  <si>
    <t xml:space="preserve">Panqué de Semillas de Girasol, Pepitas de Calabaza y Miel de Azahar</t>
  </si>
  <si>
    <t xml:space="preserve">las Semillas Tostadas</t>
  </si>
  <si>
    <t xml:space="preserve">55 g Pepitas de calabaza crudas</t>
  </si>
  <si>
    <t xml:space="preserve">55 g Semillas de girasol peladas</t>
  </si>
  <si>
    <t xml:space="preserve">(Tostadas a 150°C en horno durante 8 min con 2 g de sal fina)</t>
  </si>
  <si>
    <t xml:space="preserve">120 g Azúcar mascabado claro</t>
  </si>
  <si>
    <t xml:space="preserve">80 g Miel pura de flor de azahar</t>
  </si>
  <si>
    <t xml:space="preserve">el Jarabe de Miel de Azahar (Imbibage)</t>
  </si>
  <si>
    <t xml:space="preserve">45 g Miel de azahar</t>
  </si>
  <si>
    <t xml:space="preserve">35 ml Agua purificada</t>
  </si>
  <si>
    <t xml:space="preserve">5 ml Agua de azahar (extracto floral)</t>
  </si>
  <si>
    <t xml:space="preserve">Panqué Praliné de Almendras Tostadas con Núcleo Cremino</t>
  </si>
  <si>
    <t xml:space="preserve">el Núcleo Cremino</t>
  </si>
  <si>
    <t xml:space="preserve">80 g Praliné de almendra tradicional 50/50 (almendras caramelizadas molidas a pasta)</t>
  </si>
  <si>
    <t xml:space="preserve">50 g Chocolate con leche 38% cacao fundido a 40°C</t>
  </si>
  <si>
    <t xml:space="preserve">(Mezclar ambos y colocar en manga pastelera en frío hasta textura moldeable)</t>
  </si>
  <si>
    <t xml:space="preserve">70 g Praliné de almendra</t>
  </si>
  <si>
    <t xml:space="preserve">150 g Azúcar refinada</t>
  </si>
  <si>
    <t xml:space="preserve">40 g Harina de almendra tostada</t>
  </si>
  <si>
    <t xml:space="preserve">5 ml Extracto puro de vainilla</t>
  </si>
  <si>
    <t xml:space="preserve">80 g Almendras fileteadas tostadas</t>
  </si>
  <si>
    <t xml:space="preserve">20 g Jarabe simple (50/50 agua y azúcar)</t>
  </si>
  <si>
    <t xml:space="preserve">Panqué de Nuez de Castilla, Higo Fresco y Miel de Bosque</t>
  </si>
  <si>
    <t xml:space="preserve">los Higos Salteados en Miel</t>
  </si>
  <si>
    <t xml:space="preserve">200 g Higos frescos limpios (cortados en cuartos)</t>
  </si>
  <si>
    <t xml:space="preserve">40 g Miel de bosque o miel oscura de encino</t>
  </si>
  <si>
    <t xml:space="preserve">15 g Mantequilla sin sal</t>
  </si>
  <si>
    <t xml:space="preserve">(Saltear los cuartos de higo en mantequilla y miel por 3 min a fuego vivo; enfriar y escurrir)</t>
  </si>
  <si>
    <t xml:space="preserve">160 g Azúcar mascabado claro</t>
  </si>
  <si>
    <t xml:space="preserve">40 g Miel de bosque</t>
  </si>
  <si>
    <t xml:space="preserve">40 g Nueces de Castilla tostadas y molidas en polvo fino</t>
  </si>
  <si>
    <t xml:space="preserve">40 g Nueces de Castilla tostadas y picadas en trozos medianos</t>
  </si>
  <si>
    <t xml:space="preserve">Panqué de Tahini Tostado (Ajonjolí) con Glaseado de Miel y Sésamo Negro</t>
  </si>
  <si>
    <t xml:space="preserve">80 g Tahini artesanal 100% ajonjolí tostado (bien emulsionado, sin aceite separado)</t>
  </si>
  <si>
    <t xml:space="preserve">20 g Fécula de maíz</t>
  </si>
  <si>
    <t xml:space="preserve">40 ml Leche entera tibia</t>
  </si>
  <si>
    <t xml:space="preserve">el Glaseado de Miel</t>
  </si>
  <si>
    <t xml:space="preserve">15 g Miel de abeja</t>
  </si>
  <si>
    <t xml:space="preserve">15 g Semillas de ajonjolí negro tostadas</t>
  </si>
  <si>
    <t xml:space="preserve">15 g Semillas de ajonjolí blanco tostadas</t>
  </si>
  <si>
    <t xml:space="preserve">Panqué de Dátil Medjool, Nuez Pecán y Toffee Líquido (Sticky Toffee Cake)</t>
  </si>
  <si>
    <t xml:space="preserve">el Puré de Dátiles Medjool</t>
  </si>
  <si>
    <t xml:space="preserve">180 g Dátiles Medjool deshuesados y picados</t>
  </si>
  <si>
    <t xml:space="preserve">150 ml Agua hirviendo</t>
  </si>
  <si>
    <t xml:space="preserve">4 g Bicarbonato de sodio (para ablandar pieles y caramelizar)</t>
  </si>
  <si>
    <t xml:space="preserve">(Remojar los dátiles en el agua hirviendo con bicarbonato por 15 min; procesar a puré rústico)</t>
  </si>
  <si>
    <t xml:space="preserve">120 g Mantequilla sin sal pomada</t>
  </si>
  <si>
    <t xml:space="preserve">140 g Azúcar mascabado oscuro</t>
  </si>
  <si>
    <t xml:space="preserve">80 g Nueces pecán tostadas y picadas toscamente</t>
  </si>
  <si>
    <t xml:space="preserve">la Salsa Toffee Líquida</t>
  </si>
  <si>
    <t xml:space="preserve">80 g Azúcar mascabado oscuro</t>
  </si>
  <si>
    <t xml:space="preserve">50 g Mantequilla sin sal</t>
  </si>
  <si>
    <t xml:space="preserve">80 ml Crema para batir (35% M.G.)</t>
  </si>
  <si>
    <t xml:space="preserve">Panqué de Plátano Asado, Dulce de Leche y Nueces Glaseadas</t>
  </si>
  <si>
    <t xml:space="preserve">los Plátanos Asados</t>
  </si>
  <si>
    <t xml:space="preserve">3 Plátanos tabasco muy maduros con piel negra (aprox. 250 g de pulpa neta)</t>
  </si>
  <si>
    <t xml:space="preserve">3 piezas con cáscara ≈ 390 g (250 g pulpa)</t>
  </si>
  <si>
    <t xml:space="preserve">20 g Azúcar mascabado</t>
  </si>
  <si>
    <t xml:space="preserve">(Asar los plátanos pelados con mantequilla y azúcar en sartén a fuego medio hasta dorar y evaporar agua; machacar en puré denso)</t>
  </si>
  <si>
    <t xml:space="preserve">140 g Mantequilla sin sal pomada (18°C)</t>
  </si>
  <si>
    <t xml:space="preserve">150 g Azúcar mascabado claro</t>
  </si>
  <si>
    <t xml:space="preserve">150 g Huevos enteros (3 piezas grandes)</t>
  </si>
  <si>
    <t xml:space="preserve">2 g Canela Ceilán molida</t>
  </si>
  <si>
    <t xml:space="preserve">40 ml Crema ácida (sour cream)</t>
  </si>
  <si>
    <t xml:space="preserve">250 g Puré de plátano asado tibio</t>
  </si>
  <si>
    <t xml:space="preserve">cubierto por «Para los Plátanos Asados»</t>
  </si>
  <si>
    <t xml:space="preserve">el Veteado y Cubierta</t>
  </si>
  <si>
    <t xml:space="preserve">120 g Dulce de leche repostero firme (en manga pastelera)</t>
  </si>
  <si>
    <t xml:space="preserve">80 g Nueces pecán tostadas</t>
  </si>
  <si>
    <t xml:space="preserve">25 g Jarabe de piloncillo o miel de maíz</t>
  </si>
  <si>
    <t xml:space="preserve">Panqué de Manzana Reineta, Mantequilla Tostada y Canela de Ceilán</t>
  </si>
  <si>
    <t xml:space="preserve">las Manzanas Salteadas</t>
  </si>
  <si>
    <t xml:space="preserve">2 Manzanas Reinetas o Granny Smith (peladas y descorazonadas)</t>
  </si>
  <si>
    <t xml:space="preserve">2 manzanas × 180 g</t>
  </si>
  <si>
    <t xml:space="preserve">35 g Azúcar mascabado</t>
  </si>
  <si>
    <t xml:space="preserve">3 g Canela Ceilán molida</t>
  </si>
  <si>
    <t xml:space="preserve">(Cortar 1 manzana y media en cubos pequeños y media manzana en láminas finas para el domo; saltear en sartén a fuego vivo 5 min hasta evaporar jugos y dorar)</t>
  </si>
  <si>
    <t xml:space="preserve">170 g Mantequilla avellanada (beurre noisette) tibia a 28°C</t>
  </si>
  <si>
    <t xml:space="preserve">1 Pizca de nuez moscada rallada</t>
  </si>
  <si>
    <t xml:space="preserve">el Terminado</t>
  </si>
  <si>
    <t xml:space="preserve">20 g Mantequilla fundida con 1 g de canela (para barnizar)</t>
  </si>
  <si>
    <t xml:space="preserve">15 g Azúcar mascabado de grano grueso</t>
  </si>
  <si>
    <t xml:space="preserve">Panqué Húmedo de Zanahoria Especiada con Piña Confitada y Mascarpone</t>
  </si>
  <si>
    <t xml:space="preserve">130 ml Aceite de girasol o maíz neutro</t>
  </si>
  <si>
    <t xml:space="preserve">200 g Zanahoria finamente rallada (bien prensada en un paño para escurrir exceso de jugo)</t>
  </si>
  <si>
    <t xml:space="preserve">70 g Piña natural confitada en cubitos muy pequeños (escurrida y seca)</t>
  </si>
  <si>
    <t xml:space="preserve">50 g Nueces pecán picadas</t>
  </si>
  <si>
    <t xml:space="preserve">4 g Canela Ceilán molida</t>
  </si>
  <si>
    <t xml:space="preserve">2 g Jengibre en polvo</t>
  </si>
  <si>
    <t xml:space="preserve">1 g Nuez moscada recién molida</t>
  </si>
  <si>
    <t xml:space="preserve">el Frosting de Mascarpone</t>
  </si>
  <si>
    <t xml:space="preserve">120 g Queso mascarpone frío (firme)</t>
  </si>
  <si>
    <t xml:space="preserve">60 g Mantequilla sin sal a 18°C</t>
  </si>
  <si>
    <t xml:space="preserve">60 g Azúcar glas tamizada</t>
  </si>
  <si>
    <t xml:space="preserve">5 ml Extracto concentrado de vainilla</t>
  </si>
  <si>
    <t xml:space="preserve">Panqué de Calabaza de Castilla en Tacha con Especias de Otoño</t>
  </si>
  <si>
    <t xml:space="preserve">el Puré Concentrado de Calabaza en Tacha</t>
  </si>
  <si>
    <t xml:space="preserve">250 g Pulpa de calabaza de Castilla cocida al horno (sin piel)</t>
  </si>
  <si>
    <t xml:space="preserve">40 g Piloncillo granulado</t>
  </si>
  <si>
    <t xml:space="preserve">1 Raja de canela y 1 anís estrella</t>
  </si>
  <si>
    <t xml:space="preserve">1 raja ≈ 3 g (anís, costo marginal)</t>
  </si>
  <si>
    <t xml:space="preserve">(Reducir la pulpa machacada con el piloncillo y especias en sartén a fuego medio por 10 min hasta formar una pasta espesa tipo compota densa; enfriar y retirar especias)</t>
  </si>
  <si>
    <t xml:space="preserve">160 g Azúcar mascabado oscuro</t>
  </si>
  <si>
    <t xml:space="preserve">3 g Canela molida</t>
  </si>
  <si>
    <t xml:space="preserve">1 g Clavo de olor molido</t>
  </si>
  <si>
    <t xml:space="preserve">1 g Pimienta gorda molida</t>
  </si>
  <si>
    <t xml:space="preserve">200 g Puré concentrado de calabaza frío</t>
  </si>
  <si>
    <t xml:space="preserve">cubierto por «Para el Puré Concentrado de Calabaza en Tacha»</t>
  </si>
  <si>
    <t xml:space="preserve">las Pepitas Garapiñadas y Calado</t>
  </si>
  <si>
    <t xml:space="preserve">60 g Pepitas de calabaza tostadas</t>
  </si>
  <si>
    <t xml:space="preserve">20 g Piloncillo rallado con 10 ml de agua</t>
  </si>
  <si>
    <t xml:space="preserve">50 ml Jarabe ligero de piloncillo e infusión de canela</t>
  </si>
  <si>
    <t xml:space="preserve">Panqué de Mango Manila Caramelizado y Jengibre Confitado</t>
  </si>
  <si>
    <t xml:space="preserve">el Mango Manila Caramelizado</t>
  </si>
  <si>
    <t xml:space="preserve">2 Mangos Manila firmes pelados y cortados en cubos de 1 cm (aprox. 250 g de pulpa)</t>
  </si>
  <si>
    <t xml:space="preserve">2 piezas con hueso ≈ 420 g (250 g pulpa)</t>
  </si>
  <si>
    <t xml:space="preserve">20 g Mantequilla sin sal</t>
  </si>
  <si>
    <t xml:space="preserve">10 ml Jugo de limón verde</t>
  </si>
  <si>
    <t xml:space="preserve">(Saltear a fuego muy vivo durante 4 min hasta caramelizar bordes sin deshacer la fruta; enfriar y escurrir)</t>
  </si>
  <si>
    <t xml:space="preserve">Ralladura fina de 1 limón verde</t>
  </si>
  <si>
    <t xml:space="preserve">40 g Jengibre confitado picado en brunoise fina (2 mm)</t>
  </si>
  <si>
    <t xml:space="preserve">30 ml Crema ácida</t>
  </si>
  <si>
    <t xml:space="preserve">60 g Azúcar glas con 12 ml de jugo de mango concentrado colado</t>
  </si>
  <si>
    <t xml:space="preserve">Panqué de Maracuyá y Frambuesas con Almíbar de Fruta de la Pasión</t>
  </si>
  <si>
    <t xml:space="preserve">45 ml Pulpa pura de maracuyá (colada, sin semillas)</t>
  </si>
  <si>
    <t xml:space="preserve">30 ml Crema ácida (sour cream)</t>
  </si>
  <si>
    <t xml:space="preserve">130 g Frambuesas frescas (enteras, lavadas, secas y rebozadas en 10 g de harina)</t>
  </si>
  <si>
    <t xml:space="preserve">el Almíbar de Imbibage</t>
  </si>
  <si>
    <t xml:space="preserve">50 ml Pulpa de maracuyá colada</t>
  </si>
  <si>
    <t xml:space="preserve">15 ml Pulpa de maracuyá colada</t>
  </si>
  <si>
    <t xml:space="preserve">Panqué de Ciruela Pasa al Brandy y Canela con Baño de Azúcar Moreno</t>
  </si>
  <si>
    <t xml:space="preserve">las Ciruelas Maceradas</t>
  </si>
  <si>
    <t xml:space="preserve">160 g Ciruelas pasas sin hueso picadas en cubos medianos</t>
  </si>
  <si>
    <t xml:space="preserve">40 ml Brandy o coñac</t>
  </si>
  <si>
    <t xml:space="preserve">30 ml Té negro caliente (Macerar las ciruelas en el té y brandy durante 30 min; escurrir reservando el líquido)</t>
  </si>
  <si>
    <t xml:space="preserve">2 g de hoja por 30 ml de infusión</t>
  </si>
  <si>
    <t xml:space="preserve">170 g Azúcar mascabado oscuro</t>
  </si>
  <si>
    <t xml:space="preserve">30 ml Líquido colado de la maceración (brandy y té)</t>
  </si>
  <si>
    <t xml:space="preserve">líquido de la maceración ya costeada</t>
  </si>
  <si>
    <t xml:space="preserve">10 g Harina extra (para rebozar las ciruelas)</t>
  </si>
  <si>
    <t xml:space="preserve">el Baño de Azúcar Moreno</t>
  </si>
  <si>
    <t xml:space="preserve">40 g Mantequilla sin sal derretida</t>
  </si>
  <si>
    <t xml:space="preserve">35 g Azúcar mascabado oscuro de grano fino</t>
  </si>
  <si>
    <t xml:space="preserve">1 g Canela molida</t>
  </si>
  <si>
    <t xml:space="preserve">Panqué de Guayaba Rosa con Relleno de Ate Artesanal y Queso de Rancho</t>
  </si>
  <si>
    <t xml:space="preserve">el Puré Concentrado de Guayaba</t>
  </si>
  <si>
    <t xml:space="preserve">200 g Pulpa de guayaba rosa limpia (sin semillas)</t>
  </si>
  <si>
    <t xml:space="preserve">25 g Azúcar refinada (Reducir a fuego medio en sartén durante 6 min hasta evaporar agua libre y espesar; enfriar)</t>
  </si>
  <si>
    <t xml:space="preserve">40 ml Crema de rancho o crema ácida</t>
  </si>
  <si>
    <t xml:space="preserve">120 g Puré concentrado de guayaba frío</t>
  </si>
  <si>
    <t xml:space="preserve">cubierto por «Para el Puré Concentrado de Guayaba»</t>
  </si>
  <si>
    <t xml:space="preserve">el Núcleo y Queso</t>
  </si>
  <si>
    <t xml:space="preserve">120 g Ate de guayaba artesanal cortado en láminas delgadas de 5 mm</t>
  </si>
  <si>
    <t xml:space="preserve">100 g Queso de rancho firme (o queso canasto fresco poco salado) cortado en cubos de 8 mm</t>
  </si>
  <si>
    <t xml:space="preserve">Panqué de Churro y Dulce de Leche con Costra de Azúcar y Canela</t>
  </si>
  <si>
    <t xml:space="preserve">50 ml Leche entera infusionada con 1 raja de canela</t>
  </si>
  <si>
    <t xml:space="preserve">8 ml Extracto de vainilla</t>
  </si>
  <si>
    <t xml:space="preserve">el Relleno</t>
  </si>
  <si>
    <t xml:space="preserve">130 g Dulce de leche repostero firme (en manga pastelera)</t>
  </si>
  <si>
    <t xml:space="preserve">la Costra de Churro</t>
  </si>
  <si>
    <t xml:space="preserve">45 g Mantequilla sin sal fundida tibia</t>
  </si>
  <si>
    <t xml:space="preserve">50 g Azúcar refinada mezclada con 4 g de canela molida</t>
  </si>
  <si>
    <t xml:space="preserve">Panqué de Maíz Dulce y Nata con Queso Parmesano Reggiano</t>
  </si>
  <si>
    <t xml:space="preserve">200 g Granos de elote dulce crudos (desgranados tiernos)</t>
  </si>
  <si>
    <t xml:space="preserve">150 g Nata fresca de rancho (o crema para batir 35% M.G.)</t>
  </si>
  <si>
    <t xml:space="preserve">40 g Harina de maíz nixtamalizado fina (Maseca o harina criolla tamizada)</t>
  </si>
  <si>
    <t xml:space="preserve">3 g Sal marina fina</t>
  </si>
  <si>
    <t xml:space="preserve">50 g Queso Parmesano Reggiano curado (rallado ultra fino con microplane)</t>
  </si>
  <si>
    <t xml:space="preserve">la Cubierta Gratinada</t>
  </si>
  <si>
    <t xml:space="preserve">30 g Queso Parmesano Reggiano rallado fino</t>
  </si>
  <si>
    <t xml:space="preserve">Panqué de Té Chai Especiado con Glaseado de Chocolate Blanco y Anís</t>
  </si>
  <si>
    <t xml:space="preserve">la Infusión Concentrada Chai</t>
  </si>
  <si>
    <t xml:space="preserve">80 ml Leche entera caliente</t>
  </si>
  <si>
    <t xml:space="preserve">10 g Té negro en hojas (Assam o Ceilán)</t>
  </si>
  <si>
    <t xml:space="preserve">4 Cápsulas de cardamomo trituradas</t>
  </si>
  <si>
    <t xml:space="preserve">4 cápsulas ≈ 2 g</t>
  </si>
  <si>
    <t xml:space="preserve">1 Raja de canela Ceilán</t>
  </si>
  <si>
    <t xml:space="preserve">1 raja ≈ 3 g</t>
  </si>
  <si>
    <t xml:space="preserve">2 Clavos de olor y 1 flor de anís estrella</t>
  </si>
  <si>
    <t xml:space="preserve">2 clavos + 1 anís ≈ 1 g</t>
  </si>
  <si>
    <t xml:space="preserve">2 g Jengibre fresco rallado y 1 grano de pimienta negra</t>
  </si>
  <si>
    <t xml:space="preserve">2 g Canela molida</t>
  </si>
  <si>
    <t xml:space="preserve">1 g Jengibre en polvo</t>
  </si>
  <si>
    <t xml:space="preserve">45 ml Infusión concentrada de chai colada y fría</t>
  </si>
  <si>
    <t xml:space="preserve">cubierta por «Para la Infusión Concentrada Chai»</t>
  </si>
  <si>
    <t xml:space="preserve">el Glaseado de Chocolate Blanco y Anís</t>
  </si>
  <si>
    <t xml:space="preserve">90 g Chocolate blanco 32% manteca de cacao</t>
  </si>
  <si>
    <t xml:space="preserve">35 ml Crema para batir caliente (infusionada previamente con 1 anís estrella)</t>
  </si>
  <si>
    <t xml:space="preserve">Panqué de Mezcal Espadín, Naranja Asada y Sal de Gusano Dulce</t>
  </si>
  <si>
    <t xml:space="preserve">Ralladura fina de 2 naranjas criollas asadas al comal (solo cáscara dorada)</t>
  </si>
  <si>
    <t xml:space="preserve">35 ml Mezcal espadín artesanal (45° a 48° de alcohol)</t>
  </si>
  <si>
    <t xml:space="preserve">35 ml Jugo concentrado de naranja asada colado</t>
  </si>
  <si>
    <t xml:space="preserve">el Jarabe de Imbibage al Mezcal</t>
  </si>
  <si>
    <t xml:space="preserve">50 ml Jugo de naranja colado</t>
  </si>
  <si>
    <t xml:space="preserve">25 ml Mezcal espadín artesanal</t>
  </si>
  <si>
    <t xml:space="preserve">la Costra Dulce de Sal de Gusano</t>
  </si>
  <si>
    <t xml:space="preserve">3 g Sal de gusano de maguey artesanal</t>
  </si>
  <si>
    <t xml:space="preserve">Ralladura de media naranja fresca</t>
  </si>
  <si>
    <t xml:space="preserve">0.5 × 200 g × 25 % cáscara</t>
  </si>
  <si>
    <t xml:space="preserve">Panqué Selva Lacandona de Cardamomo, Café y Chocolate Chiapaneco</t>
  </si>
  <si>
    <t xml:space="preserve">80 g Chocolate amargo 70% chiapaneco picado y fundido a 45°C</t>
  </si>
  <si>
    <t xml:space="preserve">40 ml Café espresso chiapaneco frío</t>
  </si>
  <si>
    <t xml:space="preserve">el Jarabe de Café</t>
  </si>
  <si>
    <t xml:space="preserve">50 ml Café espresso fuerte caliente</t>
  </si>
  <si>
    <t xml:space="preserve">30 g Piloncillo o azúcar mascabado</t>
  </si>
  <si>
    <t xml:space="preserve">10 g Cacao en polvo</t>
  </si>
  <si>
    <t xml:space="preserve">15 ml Café frío</t>
  </si>
  <si>
    <t xml:space="preserve">15 g Nibs de cacao tostados</t>
  </si>
  <si>
    <t xml:space="preserve">Panqué Tres Leches Horneado con Compota de Frutos del Bosque</t>
  </si>
  <si>
    <t xml:space="preserve">la Masa Estructural</t>
  </si>
  <si>
    <t xml:space="preserve">80 g Leche condensada tradicional</t>
  </si>
  <si>
    <t xml:space="preserve">200 g Huevos enteros (separados en claras y yemas)</t>
  </si>
  <si>
    <t xml:space="preserve">40 ml Leche evaporada</t>
  </si>
  <si>
    <t xml:space="preserve">el Jarabe Concentrado de Tres Leches</t>
  </si>
  <si>
    <t xml:space="preserve">60 ml Leche condensada</t>
  </si>
  <si>
    <t xml:space="preserve">50 ml Leche evaporada</t>
  </si>
  <si>
    <t xml:space="preserve">40 ml Crema para batir líquida (35% M.G.)</t>
  </si>
  <si>
    <t xml:space="preserve">10 ml Ron añejo o extracto de vainilla</t>
  </si>
  <si>
    <t xml:space="preserve">la Compota Superior</t>
  </si>
  <si>
    <t xml:space="preserve">120 g Mezcla de frutos del bosque (moras, frambuesas y fresas picadas)</t>
  </si>
  <si>
    <t xml:space="preserve">30 g Azúcar</t>
  </si>
  <si>
    <t xml:space="preserve">5 ml Jugo de limón (Hervir 4 min hasta espesar ligeramente; enfriar)</t>
  </si>
  <si>
    <t xml:space="preserve">Panqué de Carajillo (Licor 43 y Café Espresso) con Cobertura Cremosa</t>
  </si>
  <si>
    <t xml:space="preserve">40 ml Café espresso doble caliente (con 5 g de café liofilizado disuelto)</t>
  </si>
  <si>
    <t xml:space="preserve">25 ml Licor 43 tradicional</t>
  </si>
  <si>
    <t xml:space="preserve">el Jarabe de Carajillo</t>
  </si>
  <si>
    <t xml:space="preserve">35 ml Licor 43</t>
  </si>
  <si>
    <t xml:space="preserve">20 g Azúcar refinada</t>
  </si>
  <si>
    <t xml:space="preserve">el Frosting de Carajillo</t>
  </si>
  <si>
    <t xml:space="preserve">80 g Queso crema entero frío</t>
  </si>
  <si>
    <t xml:space="preserve">30 g Mantequilla sin sal pomada</t>
  </si>
  <si>
    <t xml:space="preserve">40 g Azúcar glas tamizada</t>
  </si>
  <si>
    <t xml:space="preserve">15 ml Licor 43 frío</t>
  </si>
  <si>
    <t xml:space="preserve">Panqué Panettone de Masa Enriquecida con Naranja Confitada y Chocolate</t>
  </si>
  <si>
    <t xml:space="preserve">la Pasta Aromática Panettone</t>
  </si>
  <si>
    <t xml:space="preserve">20 g Miel de abeja pura</t>
  </si>
  <si>
    <t xml:space="preserve">Ralladura fina de 2 naranjas y 1 limón amarillo</t>
  </si>
  <si>
    <t xml:space="preserve">2 × 200 g × 25 % cáscara (limón marginal)</t>
  </si>
  <si>
    <t xml:space="preserve">1 Vaina de vainilla (semillas raspadas)</t>
  </si>
  <si>
    <t xml:space="preserve">15 ml Ron oscuro o licor Amaretto (Mezclar todo en un tazón y reposar mínimo 30 min)</t>
  </si>
  <si>
    <t xml:space="preserve">la Masa Enriquecida</t>
  </si>
  <si>
    <t xml:space="preserve">190 g Mantequilla sin sal de alta calidad pomada (18°C)</t>
  </si>
  <si>
    <t xml:space="preserve">160 g Azúcar refinada</t>
  </si>
  <si>
    <t xml:space="preserve">120 g Huevos enteros (aprox. 2 piezas) + 60 g Yemas de huevo frescas (aprox. 3 yemas)</t>
  </si>
  <si>
    <t xml:space="preserve">la línea suma 120 g de huevo + 60 g de yema; la yema se costea aparte</t>
  </si>
  <si>
    <t xml:space="preserve">100 g Cubos de naranja confitada artesanal (pasados por 10 g de harina)</t>
  </si>
  <si>
    <t xml:space="preserve">90 g Gotas de chocolate amargo 60%</t>
  </si>
  <si>
    <t xml:space="preserve">la Costra Macaronade Superior</t>
  </si>
  <si>
    <t xml:space="preserve">40 g Harina de almendra</t>
  </si>
  <si>
    <t xml:space="preserve">40 g Azúcar glas</t>
  </si>
  <si>
    <t xml:space="preserve">20 g Clara de huevo fresca</t>
  </si>
  <si>
    <t xml:space="preserve">20 g Almendras enteras peladas crudas (para colocar sobre la costra)</t>
  </si>
  <si>
    <t xml:space="preserve">Azúcar perla o azúcar de grano grueso</t>
  </si>
  <si>
    <t xml:space="preserve">cantidad no declarada; 25 g estimados</t>
  </si>
  <si>
    <t xml:space="preserve">60 g Yemas de huevo frescas (aprox. 3 yemas) — desglose de la línea anterior</t>
  </si>
  <si>
    <t xml:space="preserve">desglose de la línea combinada huevo + yema</t>
  </si>
  <si>
    <t xml:space="preserve">773 líneas · 75 con equivalencia asumida y declarada.</t>
  </si>
  <si>
    <t xml:space="preserve">MI NEGOCIO</t>
  </si>
  <si>
    <t xml:space="preserve">Empieza aquí. Solo las celdas amarillas. Todo el archivo depende de estas.</t>
  </si>
  <si>
    <t xml:space="preserve">Parámetro</t>
  </si>
  <si>
    <t xml:space="preserve">Valor</t>
  </si>
  <si>
    <t xml:space="preserve">Gastos fijos mensuales</t>
  </si>
  <si>
    <t xml:space="preserve">Renta, luz, agua, internet, suscripciones, contador</t>
  </si>
  <si>
    <t xml:space="preserve">Producción mensual estimada (moldes)</t>
  </si>
  <si>
    <t xml:space="preserve">Cuántas piezas planeas producir al mes</t>
  </si>
  <si>
    <t xml:space="preserve">Sueldo mensual del pastelero</t>
  </si>
  <si>
    <t xml:space="preserve">Tu sueldo o el de quien produce</t>
  </si>
  <si>
    <t xml:space="preserve">Horas trabajadas al mes</t>
  </si>
  <si>
    <t xml:space="preserve">200 h ≈ jornada completa</t>
  </si>
  <si>
    <t xml:space="preserve">Minutos extra de acabado por molde</t>
  </si>
  <si>
    <t xml:space="preserve">Calado, glaseado, limpieza y empaque</t>
  </si>
  <si>
    <t xml:space="preserve">Empaque · panqué entero</t>
  </si>
  <si>
    <t xml:space="preserve">Caja rígida y etiqueta</t>
  </si>
  <si>
    <t xml:space="preserve">Empaque · rebanada</t>
  </si>
  <si>
    <t xml:space="preserve">Bolsa de celofán y etiqueta</t>
  </si>
  <si>
    <t xml:space="preserve">Energía por hornada</t>
  </si>
  <si>
    <t xml:space="preserve">Gas y electricidad de una hornada</t>
  </si>
  <si>
    <t xml:space="preserve">Moldes por hornada</t>
  </si>
  <si>
    <t xml:space="preserve">Cuántos moldes caben en tu horno a la vez</t>
  </si>
  <si>
    <t xml:space="preserve">Merma comercial</t>
  </si>
  <si>
    <t xml:space="preserve">Producto no vendido, caído o devuelto. 10 % si empiezas, 4 % con demanda medida</t>
  </si>
  <si>
    <t xml:space="preserve">CALCULADO AUTOMÁTICAMENTE</t>
  </si>
  <si>
    <t xml:space="preserve">Overhead por molde</t>
  </si>
  <si>
    <t xml:space="preserve">Gastos fijos ÷ producción mensual</t>
  </si>
  <si>
    <t xml:space="preserve">Costo de mano de obra por hora</t>
  </si>
  <si>
    <t xml:space="preserve">Sueldo ÷ horas</t>
  </si>
  <si>
    <t xml:space="preserve">Energía por molde</t>
  </si>
  <si>
    <t xml:space="preserve">Energía por hornada ÷ moldes por hornada</t>
  </si>
  <si>
    <t xml:space="preserve">MÁRGENES POR CANAL</t>
  </si>
  <si>
    <t xml:space="preserve">Canal</t>
  </si>
  <si>
    <t xml:space="preserve">Margen</t>
  </si>
  <si>
    <t xml:space="preserve">Unidad de venta</t>
  </si>
  <si>
    <t xml:space="preserve">Rebanada en mostrador</t>
  </si>
  <si>
    <t xml:space="preserve">Rebanada individual</t>
  </si>
  <si>
    <t xml:space="preserve">Panqué entero</t>
  </si>
  <si>
    <t xml:space="preserve">Molde completo</t>
  </si>
  <si>
    <t xml:space="preserve">Caja de regalo / temporada</t>
  </si>
  <si>
    <t xml:space="preserve">Cafetería y mayoreo</t>
  </si>
  <si>
    <t xml:space="preserve">Un ejemplo: si pagas $290 por el kilo de mantequilla en vez de $245, cámbialo en «Insumos» y las 51 recetas se recalculan al instante.</t>
  </si>
  <si>
    <t xml:space="preserve">RECETAS Y PRECIOS</t>
  </si>
  <si>
    <t xml:space="preserve">La hoja principal. Todo se recalcula desde «Insumos» y «Mi negocio». Aquí no se edita nada.</t>
  </si>
  <si>
    <t xml:space="preserve">Método</t>
  </si>
  <si>
    <t xml:space="preserve">Cap.</t>
  </si>
  <si>
    <t xml:space="preserve">Costo insumos</t>
  </si>
  <si>
    <t xml:space="preserve">Empaque</t>
  </si>
  <si>
    <t xml:space="preserve">Energía</t>
  </si>
  <si>
    <t xml:space="preserve">Min. prep</t>
  </si>
  <si>
    <t xml:space="preserve">Mano de obra</t>
  </si>
  <si>
    <t xml:space="preserve">Overhead</t>
  </si>
  <si>
    <t xml:space="preserve">Costo base</t>
  </si>
  <si>
    <t xml:space="preserve">Merma</t>
  </si>
  <si>
    <t xml:space="preserve">COSTO TOTAL</t>
  </si>
  <si>
    <t xml:space="preserve">Rebanadas</t>
  </si>
  <si>
    <t xml:space="preserve">Costo/rebanada</t>
  </si>
  <si>
    <t xml:space="preserve">Rebanada mostrador</t>
  </si>
  <si>
    <t xml:space="preserve">Caja de regalo</t>
  </si>
  <si>
    <t xml:space="preserve">Cafetería/mayoreo</t>
  </si>
  <si>
    <t xml:space="preserve">Utilidad entero</t>
  </si>
  <si>
    <t xml:space="preserve">Margen real</t>
  </si>
  <si>
    <t xml:space="preserve">PROMEDIO</t>
  </si>
  <si>
    <t xml:space="preserve">Precios redondeados: al peso en rebanada, a $5 en pieza entera. Cifras ilustrativas, no cotizaciones.</t>
  </si>
  <si>
    <t xml:space="preserve">PRODUCCIÓN</t>
  </si>
  <si>
    <t xml:space="preserve">Plan del mes. Escribe cuántos moldes de cada receta vas a hacer (columna amarilla) y el resto se calcula.</t>
  </si>
  <si>
    <t xml:space="preserve">Moldes a producir</t>
  </si>
  <si>
    <t xml:space="preserve">Hornadas necesarias</t>
  </si>
  <si>
    <t xml:space="preserve">Costo total</t>
  </si>
  <si>
    <t xml:space="preserve">Minutos de trabajo</t>
  </si>
  <si>
    <t xml:space="preserve">Horas</t>
  </si>
  <si>
    <t xml:space="preserve">Ingreso si se vende entero</t>
  </si>
  <si>
    <t xml:space="preserve">Ingreso si se vende en rebanada</t>
  </si>
  <si>
    <t xml:space="preserve">Utilidad estimada</t>
  </si>
  <si>
    <t xml:space="preserve">TOTAL DEL MES</t>
  </si>
  <si>
    <t xml:space="preserve">La columna «Hornadas necesarias» usa los moldes por hornada de «Mi negocio».</t>
  </si>
  <si>
    <t xml:space="preserve">VENTAS</t>
  </si>
  <si>
    <t xml:space="preserve">Registra cada venta. Elige la receta por número y el canal de la lista; el precio y la utilidad salen solos.</t>
  </si>
  <si>
    <t xml:space="preserve">TOTALES</t>
  </si>
  <si>
    <t xml:space="preserve">Fecha</t>
  </si>
  <si>
    <t xml:space="preserve"># receta</t>
  </si>
  <si>
    <t xml:space="preserve">Unidades</t>
  </si>
  <si>
    <t xml:space="preserve">Precio unitario</t>
  </si>
  <si>
    <t xml:space="preserve">Ingreso</t>
  </si>
  <si>
    <t xml:space="preserve">Costo unitario</t>
  </si>
  <si>
    <t xml:space="preserve">Utilidad</t>
  </si>
  <si>
    <t xml:space="preserve">Nota</t>
  </si>
  <si>
    <t xml:space="preserve">TABLERO</t>
  </si>
  <si>
    <t xml:space="preserve">Resumen del modelo con tus números.</t>
  </si>
  <si>
    <t xml:space="preserve">LAS 51 RECETAS ORDENADAS POR COSTO DE INSUMOS</t>
  </si>
  <si>
    <t xml:space="preserve">Recetas costeadas</t>
  </si>
  <si>
    <t xml:space="preserve">Insumos en catálogo</t>
  </si>
  <si>
    <t xml:space="preserve">Entero</t>
  </si>
  <si>
    <t xml:space="preserve">Líneas de receta normalizadas</t>
  </si>
  <si>
    <t xml:space="preserve">Costo de insumos promedio por molde</t>
  </si>
  <si>
    <t xml:space="preserve">Costo total promedio por molde</t>
  </si>
  <si>
    <t xml:space="preserve">Costo total promedio por rebanada</t>
  </si>
  <si>
    <t xml:space="preserve">Precio promedio · panqué entero</t>
  </si>
  <si>
    <t xml:space="preserve">Precio promedio · rebanada</t>
  </si>
  <si>
    <t xml:space="preserve">Utilidad promedio por pieza entera</t>
  </si>
  <si>
    <t xml:space="preserve">Costo variable promedio por molde</t>
  </si>
  <si>
    <t xml:space="preserve">Contribución marginal por molde</t>
  </si>
  <si>
    <t xml:space="preserve">PUNTO DE EQUILIBRIO (moldes al mes)</t>
  </si>
  <si>
    <t xml:space="preserve">Punto de equilibrio (moldes al día, 26 días)</t>
  </si>
  <si>
    <t xml:space="preserve">Producción planeada en «Producción»</t>
  </si>
  <si>
    <t xml:space="preserve">Costo total de esa producción</t>
  </si>
  <si>
    <t xml:space="preserve">Ingreso estimado (pieza entera)</t>
  </si>
  <si>
    <t xml:space="preserve">Horas de trabajo del plan</t>
  </si>
  <si>
    <t xml:space="preserve">Ventas registradas · ingreso</t>
  </si>
  <si>
    <t xml:space="preserve">Ventas registradas · utilidad</t>
  </si>
  <si>
    <t xml:space="preserve">Cifras ilustrativas. Endulcora no garantiza ingresos ni resultados.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</si>
</sst>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"/>
    <numFmt numFmtId="166" formatCode="\$#,##0.0000"/>
    <numFmt numFmtId="167" formatCode="0"/>
    <numFmt numFmtId="168" formatCode="0.0%"/>
    <numFmt numFmtId="169" formatCode="\$#,##0"/>
    <numFmt numFmtId="170" formatCode="0.0"/>
    <numFmt numFmtId="171" formatCode="dd/mm/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4E1454"/>
      <name val="Arial"/>
      <family val="0"/>
      <charset val="1"/>
    </font>
    <font>
      <i val="true"/>
      <sz val="8"/>
      <color rgb="FF6B5470"/>
      <name val="Arial"/>
      <family val="0"/>
      <charset val="1"/>
    </font>
    <font>
      <b val="true"/>
      <sz val="8"/>
      <color rgb="FFD85A3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7A2E7E"/>
      <name val="Arial"/>
      <family val="0"/>
      <charset val="1"/>
    </font>
    <font>
      <sz val="9"/>
      <name val="Consolas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4E1454"/>
      <name val="Arial"/>
      <family val="0"/>
      <charset val="1"/>
    </font>
    <font>
      <b val="true"/>
      <sz val="9"/>
      <color rgb="FFD85A3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E1454"/>
        <bgColor rgb="FF333333"/>
      </patternFill>
    </fill>
    <fill>
      <patternFill patternType="solid">
        <fgColor rgb="FFFFF4CC"/>
        <bgColor rgb="FFFBF4E9"/>
      </patternFill>
    </fill>
    <fill>
      <patternFill patternType="solid">
        <fgColor rgb="FFFDF1EC"/>
        <bgColor rgb="FFFBF4E9"/>
      </patternFill>
    </fill>
    <fill>
      <patternFill patternType="solid">
        <fgColor rgb="FFF0E6F2"/>
        <bgColor rgb="FFFDF1EC"/>
      </patternFill>
    </fill>
    <fill>
      <patternFill patternType="solid">
        <fgColor rgb="FFFBF4E9"/>
        <bgColor rgb="FFFDF1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ADE"/>
      </left>
      <right style="thin">
        <color rgb="FFD9CADE"/>
      </right>
      <top style="thin">
        <color rgb="FFD9CADE"/>
      </top>
      <bottom style="thin">
        <color rgb="FFD9CA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8">
    <dxf>
      <fill>
        <patternFill patternType="solid">
          <fgColor rgb="FF4E145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EEF1DD"/>
          <bgColor rgb="FF000000"/>
        </patternFill>
      </fill>
    </dxf>
    <dxf>
      <fill>
        <patternFill patternType="solid">
          <fgColor rgb="FFEEF2DE"/>
          <bgColor rgb="FF000000"/>
        </patternFill>
      </fill>
    </dxf>
    <dxf>
      <fill>
        <patternFill patternType="solid">
          <fgColor rgb="FFEEF2DF"/>
          <bgColor rgb="FF000000"/>
        </patternFill>
      </fill>
    </dxf>
    <dxf>
      <fill>
        <patternFill patternType="solid">
          <fgColor rgb="FFEEF2E0"/>
          <bgColor rgb="FF000000"/>
        </patternFill>
      </fill>
    </dxf>
    <dxf>
      <fill>
        <patternFill patternType="solid">
          <fgColor rgb="FFEEF2E1"/>
          <bgColor rgb="FF000000"/>
        </patternFill>
      </fill>
    </dxf>
    <dxf>
      <fill>
        <patternFill patternType="solid">
          <fgColor rgb="FFEEF3E2"/>
          <bgColor rgb="FF000000"/>
        </patternFill>
      </fill>
    </dxf>
    <dxf>
      <fill>
        <patternFill patternType="solid">
          <fgColor rgb="FFEEF3E3"/>
          <bgColor rgb="FF000000"/>
        </patternFill>
      </fill>
    </dxf>
    <dxf>
      <fill>
        <patternFill patternType="solid">
          <fgColor rgb="FFEEF3E4"/>
          <bgColor rgb="FF000000"/>
        </patternFill>
      </fill>
    </dxf>
    <dxf>
      <fill>
        <patternFill patternType="solid">
          <fgColor rgb="FFEEF4E5"/>
          <bgColor rgb="FF000000"/>
        </patternFill>
      </fill>
    </dxf>
    <dxf>
      <fill>
        <patternFill patternType="solid">
          <fgColor rgb="FFEEF4E6"/>
          <bgColor rgb="FF000000"/>
        </patternFill>
      </fill>
    </dxf>
    <dxf>
      <fill>
        <patternFill patternType="solid">
          <fgColor rgb="FFEEF4E8"/>
          <bgColor rgb="FF000000"/>
        </patternFill>
      </fill>
    </dxf>
    <dxf>
      <fill>
        <patternFill patternType="solid">
          <fgColor rgb="FFEEF5E8"/>
          <bgColor rgb="FF000000"/>
        </patternFill>
      </fill>
    </dxf>
    <dxf>
      <fill>
        <patternFill patternType="solid">
          <fgColor rgb="FFEEF5E9"/>
          <bgColor rgb="FF000000"/>
        </patternFill>
      </fill>
    </dxf>
    <dxf>
      <fill>
        <patternFill patternType="solid">
          <fgColor rgb="FFEEF5EA"/>
          <bgColor rgb="FF000000"/>
        </patternFill>
      </fill>
    </dxf>
    <dxf>
      <fill>
        <patternFill patternType="solid">
          <fgColor rgb="FFEEF5EB"/>
          <bgColor rgb="FF000000"/>
        </patternFill>
      </fill>
    </dxf>
    <dxf>
      <fill>
        <patternFill patternType="solid">
          <fgColor rgb="FFEEF6EC"/>
          <bgColor rgb="FF000000"/>
        </patternFill>
      </fill>
    </dxf>
    <dxf>
      <fill>
        <patternFill patternType="solid">
          <fgColor rgb="FFEEF6ED"/>
          <bgColor rgb="FF000000"/>
        </patternFill>
      </fill>
    </dxf>
    <dxf>
      <fill>
        <patternFill patternType="solid">
          <fgColor rgb="FFEEF6EE"/>
          <bgColor rgb="FF000000"/>
        </patternFill>
      </fill>
    </dxf>
    <dxf>
      <fill>
        <patternFill patternType="solid">
          <fgColor rgb="FFEEF6EF"/>
          <bgColor rgb="FF000000"/>
        </patternFill>
      </fill>
    </dxf>
    <dxf>
      <fill>
        <patternFill patternType="solid">
          <fgColor rgb="FFEEF7EF"/>
          <bgColor rgb="FF000000"/>
        </patternFill>
      </fill>
    </dxf>
    <dxf>
      <fill>
        <patternFill patternType="solid">
          <fgColor rgb="FFEEF7F0"/>
          <bgColor rgb="FF000000"/>
        </patternFill>
      </fill>
    </dxf>
    <dxf>
      <fill>
        <patternFill patternType="solid">
          <fgColor rgb="FFEEF7F1"/>
          <bgColor rgb="FF000000"/>
        </patternFill>
      </fill>
    </dxf>
    <dxf>
      <fill>
        <patternFill patternType="solid">
          <fgColor rgb="FFEEF7F2"/>
          <bgColor rgb="FF000000"/>
        </patternFill>
      </fill>
    </dxf>
    <dxf>
      <fill>
        <patternFill patternType="solid">
          <fgColor rgb="FFEFECCA"/>
          <bgColor rgb="FF000000"/>
        </patternFill>
      </fill>
    </dxf>
    <dxf>
      <fill>
        <patternFill patternType="solid">
          <fgColor rgb="FFEFECCC"/>
          <bgColor rgb="FF000000"/>
        </patternFill>
      </fill>
    </dxf>
    <dxf>
      <fill>
        <patternFill patternType="solid">
          <fgColor rgb="FFEFEDCD"/>
          <bgColor rgb="FF000000"/>
        </patternFill>
      </fill>
    </dxf>
    <dxf>
      <fill>
        <patternFill patternType="solid">
          <fgColor rgb="FFEFEDCF"/>
          <bgColor rgb="FF000000"/>
        </patternFill>
      </fill>
    </dxf>
    <dxf>
      <fill>
        <patternFill patternType="solid">
          <fgColor rgb="FFEFEED1"/>
          <bgColor rgb="FF000000"/>
        </patternFill>
      </fill>
    </dxf>
    <dxf>
      <fill>
        <patternFill patternType="solid">
          <fgColor rgb="FFEFEED3"/>
          <bgColor rgb="FF000000"/>
        </patternFill>
      </fill>
    </dxf>
    <dxf>
      <fill>
        <patternFill patternType="solid">
          <fgColor rgb="FFEFEFD6"/>
          <bgColor rgb="FF000000"/>
        </patternFill>
      </fill>
    </dxf>
    <dxf>
      <fill>
        <patternFill patternType="solid">
          <fgColor rgb="FFEFF0D8"/>
          <bgColor rgb="FF000000"/>
        </patternFill>
      </fill>
    </dxf>
    <dxf>
      <fill>
        <patternFill patternType="solid">
          <fgColor rgb="FFEFF1DB"/>
          <bgColor rgb="FF000000"/>
        </patternFill>
      </fill>
    </dxf>
    <dxf>
      <fill>
        <patternFill patternType="solid">
          <fgColor rgb="FFF0E6B6"/>
          <bgColor rgb="FF000000"/>
        </patternFill>
      </fill>
    </dxf>
    <dxf>
      <fill>
        <patternFill patternType="solid">
          <fgColor rgb="FFF0E8BB"/>
          <bgColor rgb="FF000000"/>
        </patternFill>
      </fill>
    </dxf>
    <dxf>
      <fill>
        <patternFill patternType="solid">
          <fgColor rgb="FFF0E9BF"/>
          <bgColor rgb="FF000000"/>
        </patternFill>
      </fill>
    </dxf>
    <dxf>
      <fill>
        <patternFill patternType="solid">
          <fgColor rgb="FFF0EBC7"/>
          <bgColor rgb="FF000000"/>
        </patternFill>
      </fill>
    </dxf>
    <dxf>
      <fill>
        <patternFill patternType="solid">
          <fgColor rgb="FFF1E4B0"/>
          <bgColor rgb="FF000000"/>
        </patternFill>
      </fill>
    </dxf>
    <dxf>
      <fill>
        <patternFill patternType="solid">
          <fgColor rgb="FFF3D884"/>
          <bgColor rgb="FF000000"/>
        </patternFill>
      </fill>
    </dxf>
    <dxf>
      <fill>
        <patternFill patternType="solid">
          <fgColor rgb="FFF8B818"/>
          <bgColor rgb="FF000000"/>
        </patternFill>
      </fill>
    </dxf>
    <dxf>
      <fill>
        <patternFill patternType="solid">
          <fgColor rgb="FFFDF1EC"/>
          <bgColor rgb="FF000000"/>
        </patternFill>
      </fill>
    </dxf>
    <dxf>
      <fill>
        <patternFill patternType="solid">
          <fgColor rgb="FF6B5470"/>
          <bgColor rgb="FF000000"/>
        </patternFill>
      </fill>
    </dxf>
    <dxf>
      <fill>
        <patternFill patternType="solid">
          <fgColor rgb="FFEEF6F1"/>
          <bgColor rgb="FF000000"/>
        </patternFill>
      </fill>
    </dxf>
    <dxf>
      <fill>
        <patternFill patternType="solid">
          <fgColor rgb="FFEFF5EF"/>
          <bgColor rgb="FF000000"/>
        </patternFill>
      </fill>
    </dxf>
    <dxf>
      <fill>
        <patternFill patternType="solid">
          <fgColor rgb="FFEFF5F0"/>
          <bgColor rgb="FF000000"/>
        </patternFill>
      </fill>
    </dxf>
    <dxf>
      <fill>
        <patternFill patternType="solid">
          <fgColor rgb="FFEFF6F0"/>
          <bgColor rgb="FF000000"/>
        </patternFill>
      </fill>
    </dxf>
    <dxf>
      <fill>
        <patternFill patternType="solid">
          <fgColor rgb="FFF0F3ED"/>
          <bgColor rgb="FF000000"/>
        </patternFill>
      </fill>
    </dxf>
    <dxf>
      <fill>
        <patternFill patternType="solid">
          <fgColor rgb="FFF0F4ED"/>
          <bgColor rgb="FF000000"/>
        </patternFill>
      </fill>
    </dxf>
    <dxf>
      <fill>
        <patternFill patternType="solid">
          <fgColor rgb="FFF0F4EE"/>
          <bgColor rgb="FF000000"/>
        </patternFill>
      </fill>
    </dxf>
    <dxf>
      <fill>
        <patternFill patternType="solid">
          <fgColor rgb="FFF0F4EF"/>
          <bgColor rgb="FF000000"/>
        </patternFill>
      </fill>
    </dxf>
    <dxf>
      <fill>
        <patternFill patternType="solid">
          <fgColor rgb="FFF1F2EB"/>
          <bgColor rgb="FF000000"/>
        </patternFill>
      </fill>
    </dxf>
    <dxf>
      <fill>
        <patternFill patternType="solid">
          <fgColor rgb="FFF1F2EC"/>
          <bgColor rgb="FF000000"/>
        </patternFill>
      </fill>
    </dxf>
    <dxf>
      <fill>
        <patternFill patternType="solid">
          <fgColor rgb="FFF1F3ED"/>
          <bgColor rgb="FF000000"/>
        </patternFill>
      </fill>
    </dxf>
    <dxf>
      <fill>
        <patternFill patternType="solid">
          <fgColor rgb="FFF2F1EA"/>
          <bgColor rgb="FF000000"/>
        </patternFill>
      </fill>
    </dxf>
    <dxf>
      <fill>
        <patternFill patternType="solid">
          <fgColor rgb="FFF3EFE8"/>
          <bgColor rgb="FF000000"/>
        </patternFill>
      </fill>
    </dxf>
    <dxf>
      <fill>
        <patternFill patternType="solid">
          <fgColor rgb="FFF3F0E8"/>
          <bgColor rgb="FF000000"/>
        </patternFill>
      </fill>
    </dxf>
    <dxf>
      <fill>
        <patternFill patternType="solid">
          <fgColor rgb="FFF3F0E9"/>
          <bgColor rgb="FF000000"/>
        </patternFill>
      </fill>
    </dxf>
    <dxf>
      <fill>
        <patternFill patternType="solid">
          <fgColor rgb="FFF4EFE7"/>
          <bgColor rgb="FF000000"/>
        </patternFill>
      </fill>
    </dxf>
    <dxf>
      <fill>
        <patternFill patternType="solid">
          <fgColor rgb="FFF5EDE4"/>
          <bgColor rgb="FF000000"/>
        </patternFill>
      </fill>
    </dxf>
    <dxf>
      <fill>
        <patternFill patternType="solid">
          <fgColor rgb="FFF5EDE5"/>
          <bgColor rgb="FF000000"/>
        </patternFill>
      </fill>
    </dxf>
    <dxf>
      <fill>
        <patternFill patternType="solid">
          <fgColor rgb="FFF6ECE3"/>
          <bgColor rgb="FF000000"/>
        </patternFill>
      </fill>
    </dxf>
    <dxf>
      <fill>
        <patternFill patternType="solid">
          <fgColor rgb="FFF7EBE2"/>
          <bgColor rgb="FF000000"/>
        </patternFill>
      </fill>
    </dxf>
    <dxf>
      <fill>
        <patternFill patternType="solid">
          <fgColor rgb="FFFAE6DB"/>
          <bgColor rgb="FF000000"/>
        </patternFill>
      </fill>
    </dxf>
    <dxf>
      <fill>
        <patternFill patternType="solid">
          <fgColor rgb="FFFDE2D7"/>
          <bgColor rgb="FF000000"/>
        </patternFill>
      </fill>
    </dxf>
    <dxf>
      <fill>
        <patternFill>
          <bgColor rgb="FFFDE2D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A2E7E"/>
      <rgbColor rgb="FFFFF4CC"/>
      <rgbColor rgb="FFF0E6F2"/>
      <rgbColor rgb="FF4E1454"/>
      <rgbColor rgb="FFFF8080"/>
      <rgbColor rgb="FF0066CC"/>
      <rgbColor rgb="FFD9CA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F1EC"/>
      <rgbColor rgb="FFCCFFCC"/>
      <rgbColor rgb="FFFBF4E9"/>
      <rgbColor rgb="FF99CCFF"/>
      <rgbColor rgb="FFFF99CC"/>
      <rgbColor rgb="FFCC99FF"/>
      <rgbColor rgb="FFFDE2D7"/>
      <rgbColor rgb="FF3366FF"/>
      <rgbColor rgb="FF33CCCC"/>
      <rgbColor rgb="FF99CC00"/>
      <rgbColor rgb="FFFFCC00"/>
      <rgbColor rgb="FFFF9900"/>
      <rgbColor rgb="FFD85A30"/>
      <rgbColor rgb="FF6B547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3.5" hidden="false" customHeight="true" outlineLevel="0" collapsed="false">
      <c r="A5" s="4"/>
      <c r="B5" s="5"/>
    </row>
    <row r="6" customFormat="false" ht="15" hidden="false" customHeight="false" outlineLevel="0" collapsed="false">
      <c r="A6" s="6" t="s">
        <v>3</v>
      </c>
    </row>
    <row r="7" customFormat="false" ht="30" hidden="false" customHeight="true" outlineLevel="0" collapsed="false">
      <c r="A7" s="4"/>
      <c r="B7" s="5" t="s">
        <v>4</v>
      </c>
    </row>
    <row r="8" customFormat="false" ht="13.5" hidden="false" customHeight="true" outlineLevel="0" collapsed="false">
      <c r="A8" s="4"/>
      <c r="B8" s="5"/>
    </row>
    <row r="9" customFormat="false" ht="15" hidden="false" customHeight="false" outlineLevel="0" collapsed="false">
      <c r="A9" s="6" t="s">
        <v>5</v>
      </c>
    </row>
    <row r="10" customFormat="false" ht="30" hidden="false" customHeight="true" outlineLevel="0" collapsed="false">
      <c r="A10" s="4" t="s">
        <v>6</v>
      </c>
      <c r="B10" s="5" t="s">
        <v>7</v>
      </c>
    </row>
    <row r="11" customFormat="false" ht="30" hidden="false" customHeight="true" outlineLevel="0" collapsed="false">
      <c r="A11" s="4" t="s">
        <v>8</v>
      </c>
      <c r="B11" s="5" t="s">
        <v>9</v>
      </c>
    </row>
    <row r="12" customFormat="false" ht="30" hidden="false" customHeight="true" outlineLevel="0" collapsed="false">
      <c r="A12" s="4" t="s">
        <v>10</v>
      </c>
      <c r="B12" s="5" t="s">
        <v>11</v>
      </c>
    </row>
    <row r="13" customFormat="false" ht="30" hidden="false" customHeight="true" outlineLevel="0" collapsed="false">
      <c r="A13" s="4" t="s">
        <v>12</v>
      </c>
      <c r="B13" s="5" t="s">
        <v>13</v>
      </c>
    </row>
    <row r="14" customFormat="false" ht="13.5" hidden="false" customHeight="true" outlineLevel="0" collapsed="false">
      <c r="A14" s="4"/>
      <c r="B14" s="5"/>
    </row>
    <row r="15" customFormat="false" ht="15" hidden="false" customHeight="false" outlineLevel="0" collapsed="false">
      <c r="A15" s="6" t="s">
        <v>14</v>
      </c>
    </row>
    <row r="16" customFormat="false" ht="30" hidden="false" customHeight="true" outlineLevel="0" collapsed="false">
      <c r="A16" s="4"/>
      <c r="B16" s="5" t="s">
        <v>15</v>
      </c>
    </row>
    <row r="17" customFormat="false" ht="13.5" hidden="false" customHeight="true" outlineLevel="0" collapsed="false">
      <c r="A17" s="4"/>
      <c r="B17" s="5"/>
    </row>
    <row r="18" customFormat="false" ht="15" hidden="false" customHeight="false" outlineLevel="0" collapsed="false">
      <c r="A18" s="6" t="s">
        <v>16</v>
      </c>
    </row>
    <row r="19" customFormat="false" ht="13.5" hidden="false" customHeight="true" outlineLevel="0" collapsed="false">
      <c r="A19" s="4"/>
      <c r="B19" s="7" t="s">
        <v>17</v>
      </c>
    </row>
    <row r="20" customFormat="false" ht="13.5" hidden="false" customHeight="true" outlineLevel="0" collapsed="false">
      <c r="A20" s="4"/>
      <c r="B20" s="7" t="s">
        <v>18</v>
      </c>
    </row>
    <row r="21" customFormat="false" ht="13.5" hidden="false" customHeight="true" outlineLevel="0" collapsed="false">
      <c r="A21" s="4"/>
      <c r="B21" s="7" t="s">
        <v>19</v>
      </c>
    </row>
    <row r="22" customFormat="false" ht="13.5" hidden="false" customHeight="true" outlineLevel="0" collapsed="false">
      <c r="A22" s="4"/>
      <c r="B22" s="7" t="s">
        <v>20</v>
      </c>
    </row>
    <row r="23" customFormat="false" ht="13.5" hidden="false" customHeight="true" outlineLevel="0" collapsed="false">
      <c r="A23" s="4"/>
      <c r="B23" s="7" t="s">
        <v>21</v>
      </c>
    </row>
    <row r="24" customFormat="false" ht="13.5" hidden="false" customHeight="true" outlineLevel="0" collapsed="false">
      <c r="A24" s="4"/>
      <c r="B24" s="7" t="s">
        <v>22</v>
      </c>
    </row>
    <row r="25" customFormat="false" ht="13.5" hidden="false" customHeight="true" outlineLevel="0" collapsed="false">
      <c r="A25" s="4"/>
      <c r="B25" s="7" t="s">
        <v>23</v>
      </c>
    </row>
    <row r="26" customFormat="false" ht="13.5" hidden="false" customHeight="true" outlineLevel="0" collapsed="false">
      <c r="A26" s="4"/>
      <c r="B26" s="5"/>
    </row>
    <row r="27" customFormat="false" ht="15" hidden="false" customHeight="false" outlineLevel="0" collapsed="false">
      <c r="A27" s="6" t="s">
        <v>24</v>
      </c>
    </row>
    <row r="28" customFormat="false" ht="13.5" hidden="false" customHeight="true" outlineLevel="0" collapsed="false">
      <c r="A28" s="4" t="s">
        <v>25</v>
      </c>
      <c r="B28" s="5" t="s">
        <v>26</v>
      </c>
    </row>
    <row r="29" customFormat="false" ht="13.5" hidden="false" customHeight="true" outlineLevel="0" collapsed="false">
      <c r="A29" s="4" t="s">
        <v>27</v>
      </c>
      <c r="B29" s="5" t="s">
        <v>28</v>
      </c>
    </row>
    <row r="30" customFormat="false" ht="30" hidden="false" customHeight="true" outlineLevel="0" collapsed="false">
      <c r="A30" s="4" t="s">
        <v>29</v>
      </c>
      <c r="B30" s="5" t="s">
        <v>30</v>
      </c>
    </row>
    <row r="31" customFormat="false" ht="30" hidden="false" customHeight="true" outlineLevel="0" collapsed="false">
      <c r="A31" s="4" t="s">
        <v>31</v>
      </c>
      <c r="B31" s="5" t="s">
        <v>32</v>
      </c>
    </row>
    <row r="32" customFormat="false" ht="13.5" hidden="false" customHeight="true" outlineLevel="0" collapsed="false">
      <c r="A32" s="4" t="s">
        <v>33</v>
      </c>
      <c r="B32" s="5" t="s">
        <v>34</v>
      </c>
    </row>
    <row r="33" customFormat="false" ht="13.5" hidden="false" customHeight="true" outlineLevel="0" collapsed="false">
      <c r="A33" s="4" t="s">
        <v>35</v>
      </c>
      <c r="B33" s="5" t="s">
        <v>36</v>
      </c>
    </row>
    <row r="34" customFormat="false" ht="13.5" hidden="false" customHeight="true" outlineLevel="0" collapsed="false">
      <c r="A34" s="4" t="s">
        <v>37</v>
      </c>
      <c r="B34" s="5" t="s">
        <v>38</v>
      </c>
    </row>
    <row r="35" customFormat="false" ht="13.5" hidden="false" customHeight="true" outlineLevel="0" collapsed="false">
      <c r="A35" s="4" t="s">
        <v>39</v>
      </c>
      <c r="B35" s="5" t="s">
        <v>40</v>
      </c>
    </row>
    <row r="36" customFormat="false" ht="13.5" hidden="false" customHeight="true" outlineLevel="0" collapsed="false">
      <c r="A36" s="4" t="s">
        <v>41</v>
      </c>
      <c r="B36" s="5" t="s">
        <v>42</v>
      </c>
    </row>
    <row r="37" customFormat="false" ht="13.5" hidden="false" customHeight="true" outlineLevel="0" collapsed="false">
      <c r="A37" s="4"/>
      <c r="B37" s="5"/>
    </row>
    <row r="38" customFormat="false" ht="15" hidden="false" customHeight="false" outlineLevel="0" collapsed="false">
      <c r="A38" s="6" t="s">
        <v>43</v>
      </c>
    </row>
    <row r="39" customFormat="false" ht="30" hidden="false" customHeight="true" outlineLevel="0" collapsed="false">
      <c r="A39" s="4"/>
      <c r="B39" s="5" t="s">
        <v>44</v>
      </c>
    </row>
    <row r="40" customFormat="false" ht="30" hidden="false" customHeight="true" outlineLevel="0" collapsed="false">
      <c r="A40" s="4"/>
      <c r="B40" s="5" t="s">
        <v>45</v>
      </c>
    </row>
    <row r="41" customFormat="false" ht="30" hidden="false" customHeight="true" outlineLevel="0" collapsed="false">
      <c r="A41" s="4"/>
      <c r="B41" s="5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2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7" min="6" style="0" width="14"/>
    <col collapsed="false" customWidth="true" hidden="false" outlineLevel="0" max="8" min="8" style="0" width="11"/>
    <col collapsed="false" customWidth="true" hidden="false" outlineLevel="0" max="9" min="9" style="0" width="14"/>
  </cols>
  <sheetData>
    <row r="1" customFormat="false" ht="19.7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48</v>
      </c>
    </row>
    <row r="3" customFormat="false" ht="15" hidden="false" customHeight="false" outlineLevel="0" collapsed="false">
      <c r="A3" s="3" t="s">
        <v>2</v>
      </c>
    </row>
    <row r="5" customFormat="false" ht="25.5" hidden="false" customHeight="true" outlineLevel="0" collapsed="false">
      <c r="A5" s="8" t="s">
        <v>49</v>
      </c>
      <c r="B5" s="8" t="s">
        <v>50</v>
      </c>
      <c r="C5" s="8" t="s">
        <v>51</v>
      </c>
      <c r="D5" s="8" t="s">
        <v>52</v>
      </c>
      <c r="E5" s="8" t="s">
        <v>53</v>
      </c>
      <c r="F5" s="8" t="s">
        <v>54</v>
      </c>
      <c r="G5" s="8" t="s">
        <v>55</v>
      </c>
      <c r="H5" s="8" t="s">
        <v>56</v>
      </c>
      <c r="I5" s="8" t="s">
        <v>57</v>
      </c>
    </row>
    <row r="6" customFormat="false" ht="15" hidden="false" customHeight="false" outlineLevel="0" collapsed="false">
      <c r="A6" s="9" t="s">
        <v>58</v>
      </c>
      <c r="B6" s="9" t="s">
        <v>59</v>
      </c>
      <c r="C6" s="9" t="s">
        <v>60</v>
      </c>
      <c r="D6" s="9" t="n">
        <v>1000</v>
      </c>
      <c r="E6" s="9" t="s">
        <v>61</v>
      </c>
      <c r="F6" s="10" t="n">
        <v>245</v>
      </c>
      <c r="G6" s="11" t="n">
        <f aca="false">IFERROR(F6/D6,0)</f>
        <v>0.245</v>
      </c>
      <c r="H6" s="9" t="n">
        <f aca="false">COUNTIF(Ingredientes!$E:$E,A6)</f>
        <v>71</v>
      </c>
      <c r="I6" s="9" t="n">
        <f aca="false">SUMIF(Ingredientes!$E:$E,A6,Ingredientes!$F:$F)</f>
        <v>8763</v>
      </c>
    </row>
    <row r="7" customFormat="false" ht="15" hidden="false" customHeight="false" outlineLevel="0" collapsed="false">
      <c r="A7" s="9" t="s">
        <v>62</v>
      </c>
      <c r="B7" s="9" t="s">
        <v>63</v>
      </c>
      <c r="C7" s="9" t="s">
        <v>60</v>
      </c>
      <c r="D7" s="9" t="n">
        <v>1000</v>
      </c>
      <c r="E7" s="9" t="s">
        <v>61</v>
      </c>
      <c r="F7" s="10" t="n">
        <v>290</v>
      </c>
      <c r="G7" s="11" t="n">
        <f aca="false">IFERROR(F7/D7,0)</f>
        <v>0.29</v>
      </c>
      <c r="H7" s="9" t="n">
        <f aca="false">COUNTIF(Ingredientes!$E:$E,A7)</f>
        <v>1</v>
      </c>
      <c r="I7" s="9" t="n">
        <f aca="false">SUMIF(Ingredientes!$E:$E,A7,Ingredientes!$F:$F)</f>
        <v>220</v>
      </c>
    </row>
    <row r="8" customFormat="false" ht="15" hidden="false" customHeight="false" outlineLevel="0" collapsed="false">
      <c r="A8" s="9" t="s">
        <v>64</v>
      </c>
      <c r="B8" s="9" t="s">
        <v>65</v>
      </c>
      <c r="C8" s="9" t="s">
        <v>60</v>
      </c>
      <c r="D8" s="9" t="n">
        <v>1000</v>
      </c>
      <c r="E8" s="9" t="s">
        <v>61</v>
      </c>
      <c r="F8" s="10" t="n">
        <v>240</v>
      </c>
      <c r="G8" s="11" t="n">
        <f aca="false">IFERROR(F8/D8,0)</f>
        <v>0.24</v>
      </c>
      <c r="H8" s="9" t="n">
        <f aca="false">COUNTIF(Ingredientes!$E:$E,A8)</f>
        <v>1</v>
      </c>
      <c r="I8" s="9" t="n">
        <f aca="false">SUMIF(Ingredientes!$E:$E,A8,Ingredientes!$F:$F)</f>
        <v>40</v>
      </c>
    </row>
    <row r="9" customFormat="false" ht="15" hidden="false" customHeight="false" outlineLevel="0" collapsed="false">
      <c r="A9" s="9" t="s">
        <v>66</v>
      </c>
      <c r="B9" s="9" t="s">
        <v>67</v>
      </c>
      <c r="C9" s="9" t="s">
        <v>60</v>
      </c>
      <c r="D9" s="9" t="n">
        <v>1000</v>
      </c>
      <c r="E9" s="9" t="s">
        <v>61</v>
      </c>
      <c r="F9" s="10" t="n">
        <v>62</v>
      </c>
      <c r="G9" s="11" t="n">
        <f aca="false">IFERROR(F9/D9,0)</f>
        <v>0.062</v>
      </c>
      <c r="H9" s="9" t="n">
        <f aca="false">COUNTIF(Ingredientes!$E:$E,A9)</f>
        <v>51</v>
      </c>
      <c r="I9" s="9" t="n">
        <f aca="false">SUMIF(Ingredientes!$E:$E,A9,Ingredientes!$F:$F)</f>
        <v>9800</v>
      </c>
    </row>
    <row r="10" customFormat="false" ht="15" hidden="false" customHeight="false" outlineLevel="0" collapsed="false">
      <c r="A10" s="9" t="s">
        <v>68</v>
      </c>
      <c r="B10" s="9" t="s">
        <v>69</v>
      </c>
      <c r="C10" s="9" t="s">
        <v>60</v>
      </c>
      <c r="D10" s="9" t="n">
        <v>1000</v>
      </c>
      <c r="E10" s="9" t="s">
        <v>61</v>
      </c>
      <c r="F10" s="10" t="n">
        <v>118</v>
      </c>
      <c r="G10" s="11" t="n">
        <f aca="false">IFERROR(F10/D10,0)</f>
        <v>0.118</v>
      </c>
      <c r="H10" s="9" t="n">
        <f aca="false">COUNTIF(Ingredientes!$E:$E,A10)</f>
        <v>1</v>
      </c>
      <c r="I10" s="9" t="n">
        <f aca="false">SUMIF(Ingredientes!$E:$E,A10,Ingredientes!$F:$F)</f>
        <v>60</v>
      </c>
    </row>
    <row r="11" customFormat="false" ht="15" hidden="false" customHeight="false" outlineLevel="0" collapsed="false">
      <c r="A11" s="9" t="s">
        <v>70</v>
      </c>
      <c r="B11" s="9" t="s">
        <v>71</v>
      </c>
      <c r="C11" s="9" t="s">
        <v>60</v>
      </c>
      <c r="D11" s="9" t="n">
        <v>1000</v>
      </c>
      <c r="E11" s="9" t="s">
        <v>61</v>
      </c>
      <c r="F11" s="10" t="n">
        <v>48</v>
      </c>
      <c r="G11" s="11" t="n">
        <f aca="false">IFERROR(F11/D11,0)</f>
        <v>0.048</v>
      </c>
      <c r="H11" s="9" t="n">
        <f aca="false">COUNTIF(Ingredientes!$E:$E,A11)</f>
        <v>2</v>
      </c>
      <c r="I11" s="9" t="n">
        <f aca="false">SUMIF(Ingredientes!$E:$E,A11,Ingredientes!$F:$F)</f>
        <v>180</v>
      </c>
    </row>
    <row r="12" customFormat="false" ht="15" hidden="false" customHeight="false" outlineLevel="0" collapsed="false">
      <c r="A12" s="9" t="s">
        <v>72</v>
      </c>
      <c r="B12" s="9" t="s">
        <v>73</v>
      </c>
      <c r="C12" s="9" t="s">
        <v>60</v>
      </c>
      <c r="D12" s="9" t="n">
        <v>1000</v>
      </c>
      <c r="E12" s="9" t="s">
        <v>74</v>
      </c>
      <c r="F12" s="10" t="n">
        <v>27</v>
      </c>
      <c r="G12" s="11" t="n">
        <f aca="false">IFERROR(F12/D12,0)</f>
        <v>0.027</v>
      </c>
      <c r="H12" s="9" t="n">
        <f aca="false">COUNTIF(Ingredientes!$E:$E,A12)</f>
        <v>19</v>
      </c>
      <c r="I12" s="9" t="n">
        <f aca="false">SUMIF(Ingredientes!$E:$E,A12,Ingredientes!$F:$F)</f>
        <v>682</v>
      </c>
    </row>
    <row r="13" customFormat="false" ht="15" hidden="false" customHeight="false" outlineLevel="0" collapsed="false">
      <c r="A13" s="9" t="s">
        <v>75</v>
      </c>
      <c r="B13" s="9" t="s">
        <v>76</v>
      </c>
      <c r="C13" s="9" t="s">
        <v>60</v>
      </c>
      <c r="D13" s="9" t="n">
        <v>1000</v>
      </c>
      <c r="E13" s="9" t="s">
        <v>74</v>
      </c>
      <c r="F13" s="10" t="n">
        <v>118</v>
      </c>
      <c r="G13" s="11" t="n">
        <f aca="false">IFERROR(F13/D13,0)</f>
        <v>0.118</v>
      </c>
      <c r="H13" s="9" t="n">
        <f aca="false">COUNTIF(Ingredientes!$E:$E,A13)</f>
        <v>19</v>
      </c>
      <c r="I13" s="9" t="n">
        <f aca="false">SUMIF(Ingredientes!$E:$E,A13,Ingredientes!$F:$F)</f>
        <v>945</v>
      </c>
    </row>
    <row r="14" customFormat="false" ht="15" hidden="false" customHeight="false" outlineLevel="0" collapsed="false">
      <c r="A14" s="9" t="s">
        <v>77</v>
      </c>
      <c r="B14" s="9" t="s">
        <v>78</v>
      </c>
      <c r="C14" s="9" t="s">
        <v>60</v>
      </c>
      <c r="D14" s="9" t="n">
        <v>900</v>
      </c>
      <c r="E14" s="9" t="s">
        <v>61</v>
      </c>
      <c r="F14" s="10" t="n">
        <v>92</v>
      </c>
      <c r="G14" s="11" t="n">
        <f aca="false">IFERROR(F14/D14,0)</f>
        <v>0.102222222222222</v>
      </c>
      <c r="H14" s="9" t="n">
        <f aca="false">COUNTIF(Ingredientes!$E:$E,A14)</f>
        <v>9</v>
      </c>
      <c r="I14" s="9" t="n">
        <f aca="false">SUMIF(Ingredientes!$E:$E,A14,Ingredientes!$F:$F)</f>
        <v>380</v>
      </c>
    </row>
    <row r="15" customFormat="false" ht="15" hidden="false" customHeight="false" outlineLevel="0" collapsed="false">
      <c r="A15" s="9" t="s">
        <v>79</v>
      </c>
      <c r="B15" s="9" t="s">
        <v>80</v>
      </c>
      <c r="C15" s="9" t="s">
        <v>60</v>
      </c>
      <c r="D15" s="9" t="n">
        <v>500</v>
      </c>
      <c r="E15" s="9" t="s">
        <v>61</v>
      </c>
      <c r="F15" s="10" t="n">
        <v>95</v>
      </c>
      <c r="G15" s="11" t="n">
        <f aca="false">IFERROR(F15/D15,0)</f>
        <v>0.19</v>
      </c>
      <c r="H15" s="9" t="n">
        <f aca="false">COUNTIF(Ingredientes!$E:$E,A15)</f>
        <v>2</v>
      </c>
      <c r="I15" s="9" t="n">
        <f aca="false">SUMIF(Ingredientes!$E:$E,A15,Ingredientes!$F:$F)</f>
        <v>350</v>
      </c>
    </row>
    <row r="16" customFormat="false" ht="15" hidden="false" customHeight="false" outlineLevel="0" collapsed="false">
      <c r="A16" s="9" t="s">
        <v>81</v>
      </c>
      <c r="B16" s="9" t="s">
        <v>82</v>
      </c>
      <c r="C16" s="9" t="s">
        <v>60</v>
      </c>
      <c r="D16" s="9" t="n">
        <v>900</v>
      </c>
      <c r="E16" s="9" t="s">
        <v>61</v>
      </c>
      <c r="F16" s="10" t="n">
        <v>98</v>
      </c>
      <c r="G16" s="11" t="n">
        <f aca="false">IFERROR(F16/D16,0)</f>
        <v>0.108888888888889</v>
      </c>
      <c r="H16" s="9" t="n">
        <f aca="false">COUNTIF(Ingredientes!$E:$E,A16)</f>
        <v>1</v>
      </c>
      <c r="I16" s="9" t="n">
        <f aca="false">SUMIF(Ingredientes!$E:$E,A16,Ingredientes!$F:$F)</f>
        <v>40</v>
      </c>
    </row>
    <row r="17" customFormat="false" ht="15" hidden="false" customHeight="false" outlineLevel="0" collapsed="false">
      <c r="A17" s="9" t="s">
        <v>83</v>
      </c>
      <c r="B17" s="9" t="s">
        <v>84</v>
      </c>
      <c r="C17" s="9" t="s">
        <v>60</v>
      </c>
      <c r="D17" s="9" t="n">
        <v>1000</v>
      </c>
      <c r="E17" s="9" t="s">
        <v>61</v>
      </c>
      <c r="F17" s="10" t="n">
        <v>168</v>
      </c>
      <c r="G17" s="11" t="n">
        <f aca="false">IFERROR(F17/D17,0)</f>
        <v>0.168</v>
      </c>
      <c r="H17" s="9" t="n">
        <f aca="false">COUNTIF(Ingredientes!$E:$E,A17)</f>
        <v>3</v>
      </c>
      <c r="I17" s="9" t="n">
        <f aca="false">SUMIF(Ingredientes!$E:$E,A17,Ingredientes!$F:$F)</f>
        <v>420</v>
      </c>
    </row>
    <row r="18" customFormat="false" ht="15" hidden="false" customHeight="false" outlineLevel="0" collapsed="false">
      <c r="A18" s="9" t="s">
        <v>85</v>
      </c>
      <c r="B18" s="9" t="s">
        <v>86</v>
      </c>
      <c r="C18" s="9" t="s">
        <v>60</v>
      </c>
      <c r="D18" s="9" t="n">
        <v>500</v>
      </c>
      <c r="E18" s="9" t="s">
        <v>61</v>
      </c>
      <c r="F18" s="10" t="n">
        <v>165</v>
      </c>
      <c r="G18" s="11" t="n">
        <f aca="false">IFERROR(F18/D18,0)</f>
        <v>0.33</v>
      </c>
      <c r="H18" s="9" t="n">
        <f aca="false">COUNTIF(Ingredientes!$E:$E,A18)</f>
        <v>1</v>
      </c>
      <c r="I18" s="9" t="n">
        <f aca="false">SUMIF(Ingredientes!$E:$E,A18,Ingredientes!$F:$F)</f>
        <v>120</v>
      </c>
    </row>
    <row r="19" customFormat="false" ht="15" hidden="false" customHeight="false" outlineLevel="0" collapsed="false">
      <c r="A19" s="9" t="s">
        <v>87</v>
      </c>
      <c r="B19" s="9" t="s">
        <v>88</v>
      </c>
      <c r="C19" s="9" t="s">
        <v>60</v>
      </c>
      <c r="D19" s="9" t="n">
        <v>250</v>
      </c>
      <c r="E19" s="9" t="s">
        <v>61</v>
      </c>
      <c r="F19" s="10" t="n">
        <v>235</v>
      </c>
      <c r="G19" s="11" t="n">
        <f aca="false">IFERROR(F19/D19,0)</f>
        <v>0.94</v>
      </c>
      <c r="H19" s="9" t="n">
        <f aca="false">COUNTIF(Ingredientes!$E:$E,A19)</f>
        <v>2</v>
      </c>
      <c r="I19" s="9" t="n">
        <f aca="false">SUMIF(Ingredientes!$E:$E,A19,Ingredientes!$F:$F)</f>
        <v>80</v>
      </c>
    </row>
    <row r="20" customFormat="false" ht="15" hidden="false" customHeight="false" outlineLevel="0" collapsed="false">
      <c r="A20" s="9" t="s">
        <v>89</v>
      </c>
      <c r="B20" s="9" t="s">
        <v>90</v>
      </c>
      <c r="C20" s="9" t="s">
        <v>60</v>
      </c>
      <c r="D20" s="9" t="n">
        <v>500</v>
      </c>
      <c r="E20" s="9" t="s">
        <v>61</v>
      </c>
      <c r="F20" s="10" t="n">
        <v>88</v>
      </c>
      <c r="G20" s="11" t="n">
        <f aca="false">IFERROR(F20/D20,0)</f>
        <v>0.176</v>
      </c>
      <c r="H20" s="9" t="n">
        <f aca="false">COUNTIF(Ingredientes!$E:$E,A20)</f>
        <v>1</v>
      </c>
      <c r="I20" s="9" t="n">
        <f aca="false">SUMIF(Ingredientes!$E:$E,A20,Ingredientes!$F:$F)</f>
        <v>100</v>
      </c>
    </row>
    <row r="21" customFormat="false" ht="15" hidden="false" customHeight="false" outlineLevel="0" collapsed="false">
      <c r="A21" s="9" t="s">
        <v>91</v>
      </c>
      <c r="B21" s="9" t="s">
        <v>92</v>
      </c>
      <c r="C21" s="9" t="s">
        <v>60</v>
      </c>
      <c r="D21" s="9" t="n">
        <v>387</v>
      </c>
      <c r="E21" s="9" t="s">
        <v>61</v>
      </c>
      <c r="F21" s="10" t="n">
        <v>34</v>
      </c>
      <c r="G21" s="11" t="n">
        <f aca="false">IFERROR(F21/D21,0)</f>
        <v>0.0878552971576227</v>
      </c>
      <c r="H21" s="9" t="n">
        <f aca="false">COUNTIF(Ingredientes!$E:$E,A21)</f>
        <v>2</v>
      </c>
      <c r="I21" s="9" t="n">
        <f aca="false">SUMIF(Ingredientes!$E:$E,A21,Ingredientes!$F:$F)</f>
        <v>140</v>
      </c>
    </row>
    <row r="22" customFormat="false" ht="15" hidden="false" customHeight="false" outlineLevel="0" collapsed="false">
      <c r="A22" s="9" t="s">
        <v>93</v>
      </c>
      <c r="B22" s="9" t="s">
        <v>94</v>
      </c>
      <c r="C22" s="9" t="s">
        <v>60</v>
      </c>
      <c r="D22" s="9" t="n">
        <v>360</v>
      </c>
      <c r="E22" s="9" t="s">
        <v>74</v>
      </c>
      <c r="F22" s="10" t="n">
        <v>24</v>
      </c>
      <c r="G22" s="11" t="n">
        <f aca="false">IFERROR(F22/D22,0)</f>
        <v>0.0666666666666667</v>
      </c>
      <c r="H22" s="9" t="n">
        <f aca="false">COUNTIF(Ingredientes!$E:$E,A22)</f>
        <v>2</v>
      </c>
      <c r="I22" s="9" t="n">
        <f aca="false">SUMIF(Ingredientes!$E:$E,A22,Ingredientes!$F:$F)</f>
        <v>90</v>
      </c>
    </row>
    <row r="23" customFormat="false" ht="15" hidden="false" customHeight="false" outlineLevel="0" collapsed="false">
      <c r="A23" s="9" t="s">
        <v>95</v>
      </c>
      <c r="B23" s="9" t="s">
        <v>96</v>
      </c>
      <c r="C23" s="9" t="s">
        <v>60</v>
      </c>
      <c r="D23" s="9" t="n">
        <v>400</v>
      </c>
      <c r="E23" s="9" t="s">
        <v>74</v>
      </c>
      <c r="F23" s="10" t="n">
        <v>42</v>
      </c>
      <c r="G23" s="11" t="n">
        <f aca="false">IFERROR(F23/D23,0)</f>
        <v>0.105</v>
      </c>
      <c r="H23" s="9" t="n">
        <f aca="false">COUNTIF(Ingredientes!$E:$E,A23)</f>
        <v>1</v>
      </c>
      <c r="I23" s="9" t="n">
        <f aca="false">SUMIF(Ingredientes!$E:$E,A23,Ingredientes!$F:$F)</f>
        <v>50</v>
      </c>
    </row>
    <row r="24" customFormat="false" ht="15" hidden="false" customHeight="false" outlineLevel="0" collapsed="false">
      <c r="A24" s="9" t="s">
        <v>97</v>
      </c>
      <c r="B24" s="9" t="s">
        <v>98</v>
      </c>
      <c r="C24" s="9" t="s">
        <v>60</v>
      </c>
      <c r="D24" s="9" t="n">
        <v>1000</v>
      </c>
      <c r="E24" s="9" t="s">
        <v>74</v>
      </c>
      <c r="F24" s="10" t="n">
        <v>45</v>
      </c>
      <c r="G24" s="11" t="n">
        <f aca="false">IFERROR(F24/D24,0)</f>
        <v>0.045</v>
      </c>
      <c r="H24" s="9" t="n">
        <f aca="false">COUNTIF(Ingredientes!$E:$E,A24)</f>
        <v>1</v>
      </c>
      <c r="I24" s="9" t="n">
        <f aca="false">SUMIF(Ingredientes!$E:$E,A24,Ingredientes!$F:$F)</f>
        <v>120</v>
      </c>
    </row>
    <row r="25" customFormat="false" ht="15" hidden="false" customHeight="false" outlineLevel="0" collapsed="false">
      <c r="A25" s="9" t="s">
        <v>99</v>
      </c>
      <c r="B25" s="9" t="s">
        <v>100</v>
      </c>
      <c r="C25" s="9" t="s">
        <v>60</v>
      </c>
      <c r="D25" s="9" t="n">
        <v>1000</v>
      </c>
      <c r="E25" s="9" t="s">
        <v>74</v>
      </c>
      <c r="F25" s="10" t="n">
        <v>285</v>
      </c>
      <c r="G25" s="11" t="n">
        <f aca="false">IFERROR(F25/D25,0)</f>
        <v>0.285</v>
      </c>
      <c r="H25" s="9" t="n">
        <f aca="false">COUNTIF(Ingredientes!$E:$E,A25)</f>
        <v>1</v>
      </c>
      <c r="I25" s="9" t="n">
        <f aca="false">SUMIF(Ingredientes!$E:$E,A25,Ingredientes!$F:$F)</f>
        <v>150</v>
      </c>
    </row>
    <row r="26" customFormat="false" ht="15" hidden="false" customHeight="false" outlineLevel="0" collapsed="false">
      <c r="A26" s="9" t="s">
        <v>101</v>
      </c>
      <c r="B26" s="9" t="s">
        <v>102</v>
      </c>
      <c r="C26" s="9" t="s">
        <v>60</v>
      </c>
      <c r="D26" s="9" t="n">
        <v>1000</v>
      </c>
      <c r="E26" s="9" t="s">
        <v>74</v>
      </c>
      <c r="F26" s="10" t="n">
        <v>42</v>
      </c>
      <c r="G26" s="11" t="n">
        <f aca="false">IFERROR(F26/D26,0)</f>
        <v>0.042</v>
      </c>
      <c r="H26" s="9" t="n">
        <f aca="false">COUNTIF(Ingredientes!$E:$E,A26)</f>
        <v>4</v>
      </c>
      <c r="I26" s="9" t="n">
        <f aca="false">SUMIF(Ingredientes!$E:$E,A26,Ingredientes!$F:$F)</f>
        <v>195</v>
      </c>
    </row>
    <row r="27" customFormat="false" ht="15" hidden="false" customHeight="false" outlineLevel="0" collapsed="false">
      <c r="A27" s="9" t="s">
        <v>103</v>
      </c>
      <c r="B27" s="9" t="s">
        <v>104</v>
      </c>
      <c r="C27" s="9" t="s">
        <v>60</v>
      </c>
      <c r="D27" s="9" t="n">
        <v>500</v>
      </c>
      <c r="E27" s="9" t="s">
        <v>74</v>
      </c>
      <c r="F27" s="10" t="n">
        <v>145</v>
      </c>
      <c r="G27" s="11" t="n">
        <f aca="false">IFERROR(F27/D27,0)</f>
        <v>0.29</v>
      </c>
      <c r="H27" s="9" t="n">
        <f aca="false">COUNTIF(Ingredientes!$E:$E,A27)</f>
        <v>1</v>
      </c>
      <c r="I27" s="9" t="n">
        <f aca="false">SUMIF(Ingredientes!$E:$E,A27,Ingredientes!$F:$F)</f>
        <v>25</v>
      </c>
    </row>
    <row r="28" customFormat="false" ht="15" hidden="false" customHeight="false" outlineLevel="0" collapsed="false">
      <c r="A28" s="9" t="s">
        <v>105</v>
      </c>
      <c r="B28" s="9" t="s">
        <v>106</v>
      </c>
      <c r="C28" s="9" t="s">
        <v>60</v>
      </c>
      <c r="D28" s="9" t="n">
        <v>460</v>
      </c>
      <c r="E28" s="9" t="s">
        <v>74</v>
      </c>
      <c r="F28" s="10" t="n">
        <v>135</v>
      </c>
      <c r="G28" s="11" t="n">
        <f aca="false">IFERROR(F28/D28,0)</f>
        <v>0.293478260869565</v>
      </c>
      <c r="H28" s="9" t="n">
        <f aca="false">COUNTIF(Ingredientes!$E:$E,A28)</f>
        <v>1</v>
      </c>
      <c r="I28" s="9" t="n">
        <f aca="false">SUMIF(Ingredientes!$E:$E,A28,Ingredientes!$F:$F)</f>
        <v>40</v>
      </c>
    </row>
    <row r="29" customFormat="false" ht="15" hidden="false" customHeight="false" outlineLevel="0" collapsed="false">
      <c r="A29" s="9" t="s">
        <v>107</v>
      </c>
      <c r="B29" s="9" t="s">
        <v>108</v>
      </c>
      <c r="C29" s="9" t="s">
        <v>109</v>
      </c>
      <c r="D29" s="9" t="n">
        <v>1000</v>
      </c>
      <c r="E29" s="9" t="s">
        <v>61</v>
      </c>
      <c r="F29" s="10" t="n">
        <v>26</v>
      </c>
      <c r="G29" s="11" t="n">
        <f aca="false">IFERROR(F29/D29,0)</f>
        <v>0.026</v>
      </c>
      <c r="H29" s="9" t="n">
        <f aca="false">COUNTIF(Ingredientes!$E:$E,A29)</f>
        <v>55</v>
      </c>
      <c r="I29" s="9" t="n">
        <f aca="false">SUMIF(Ingredientes!$E:$E,A29,Ingredientes!$F:$F)</f>
        <v>10810</v>
      </c>
    </row>
    <row r="30" customFormat="false" ht="15" hidden="false" customHeight="false" outlineLevel="0" collapsed="false">
      <c r="A30" s="9" t="s">
        <v>110</v>
      </c>
      <c r="B30" s="9" t="s">
        <v>111</v>
      </c>
      <c r="C30" s="9" t="s">
        <v>109</v>
      </c>
      <c r="D30" s="9" t="n">
        <v>1000</v>
      </c>
      <c r="E30" s="9" t="s">
        <v>61</v>
      </c>
      <c r="F30" s="10" t="n">
        <v>24</v>
      </c>
      <c r="G30" s="11" t="n">
        <f aca="false">IFERROR(F30/D30,0)</f>
        <v>0.024</v>
      </c>
      <c r="H30" s="9" t="n">
        <f aca="false">COUNTIF(Ingredientes!$E:$E,A30)</f>
        <v>2</v>
      </c>
      <c r="I30" s="9" t="n">
        <f aca="false">SUMIF(Ingredientes!$E:$E,A30,Ingredientes!$F:$F)</f>
        <v>65</v>
      </c>
    </row>
    <row r="31" customFormat="false" ht="15" hidden="false" customHeight="false" outlineLevel="0" collapsed="false">
      <c r="A31" s="9" t="s">
        <v>112</v>
      </c>
      <c r="B31" s="9" t="s">
        <v>113</v>
      </c>
      <c r="C31" s="9" t="s">
        <v>109</v>
      </c>
      <c r="D31" s="9" t="n">
        <v>500</v>
      </c>
      <c r="E31" s="9" t="s">
        <v>61</v>
      </c>
      <c r="F31" s="10" t="n">
        <v>32</v>
      </c>
      <c r="G31" s="11" t="n">
        <f aca="false">IFERROR(F31/D31,0)</f>
        <v>0.064</v>
      </c>
      <c r="H31" s="9" t="n">
        <f aca="false">COUNTIF(Ingredientes!$E:$E,A31)</f>
        <v>6</v>
      </c>
      <c r="I31" s="9" t="n">
        <f aca="false">SUMIF(Ingredientes!$E:$E,A31,Ingredientes!$F:$F)</f>
        <v>112</v>
      </c>
    </row>
    <row r="32" customFormat="false" ht="15" hidden="false" customHeight="false" outlineLevel="0" collapsed="false">
      <c r="A32" s="9" t="s">
        <v>114</v>
      </c>
      <c r="B32" s="9" t="s">
        <v>115</v>
      </c>
      <c r="C32" s="9" t="s">
        <v>109</v>
      </c>
      <c r="D32" s="9" t="n">
        <v>500</v>
      </c>
      <c r="E32" s="9" t="s">
        <v>61</v>
      </c>
      <c r="F32" s="10" t="n">
        <v>68</v>
      </c>
      <c r="G32" s="11" t="n">
        <f aca="false">IFERROR(F32/D32,0)</f>
        <v>0.136</v>
      </c>
      <c r="H32" s="9" t="n">
        <f aca="false">COUNTIF(Ingredientes!$E:$E,A32)</f>
        <v>51</v>
      </c>
      <c r="I32" s="9" t="n">
        <f aca="false">SUMIF(Ingredientes!$E:$E,A32,Ingredientes!$F:$F)</f>
        <v>255</v>
      </c>
    </row>
    <row r="33" customFormat="false" ht="15" hidden="false" customHeight="false" outlineLevel="0" collapsed="false">
      <c r="A33" s="9" t="s">
        <v>116</v>
      </c>
      <c r="B33" s="9" t="s">
        <v>117</v>
      </c>
      <c r="C33" s="9" t="s">
        <v>109</v>
      </c>
      <c r="D33" s="9" t="n">
        <v>500</v>
      </c>
      <c r="E33" s="9" t="s">
        <v>61</v>
      </c>
      <c r="F33" s="10" t="n">
        <v>38</v>
      </c>
      <c r="G33" s="11" t="n">
        <f aca="false">IFERROR(F33/D33,0)</f>
        <v>0.076</v>
      </c>
      <c r="H33" s="9" t="n">
        <f aca="false">COUNTIF(Ingredientes!$E:$E,A33)</f>
        <v>4</v>
      </c>
      <c r="I33" s="9" t="n">
        <f aca="false">SUMIF(Ingredientes!$E:$E,A33,Ingredientes!$F:$F)</f>
        <v>13</v>
      </c>
    </row>
    <row r="34" customFormat="false" ht="15" hidden="false" customHeight="false" outlineLevel="0" collapsed="false">
      <c r="A34" s="9" t="s">
        <v>118</v>
      </c>
      <c r="B34" s="9" t="s">
        <v>119</v>
      </c>
      <c r="C34" s="9" t="s">
        <v>109</v>
      </c>
      <c r="D34" s="9" t="n">
        <v>1000</v>
      </c>
      <c r="E34" s="9" t="s">
        <v>61</v>
      </c>
      <c r="F34" s="10" t="n">
        <v>16</v>
      </c>
      <c r="G34" s="11" t="n">
        <f aca="false">IFERROR(F34/D34,0)</f>
        <v>0.016</v>
      </c>
      <c r="H34" s="9" t="n">
        <f aca="false">COUNTIF(Ingredientes!$E:$E,A34)</f>
        <v>36</v>
      </c>
      <c r="I34" s="9" t="n">
        <f aca="false">SUMIF(Ingredientes!$E:$E,A34,Ingredientes!$F:$F)</f>
        <v>75</v>
      </c>
    </row>
    <row r="35" customFormat="false" ht="15" hidden="false" customHeight="false" outlineLevel="0" collapsed="false">
      <c r="A35" s="9" t="s">
        <v>120</v>
      </c>
      <c r="B35" s="9" t="s">
        <v>121</v>
      </c>
      <c r="C35" s="9" t="s">
        <v>109</v>
      </c>
      <c r="D35" s="9" t="n">
        <v>500</v>
      </c>
      <c r="E35" s="9" t="s">
        <v>61</v>
      </c>
      <c r="F35" s="10" t="n">
        <v>42</v>
      </c>
      <c r="G35" s="11" t="n">
        <f aca="false">IFERROR(F35/D35,0)</f>
        <v>0.084</v>
      </c>
      <c r="H35" s="9" t="n">
        <f aca="false">COUNTIF(Ingredientes!$E:$E,A35)</f>
        <v>11</v>
      </c>
      <c r="I35" s="9" t="n">
        <f aca="false">SUMIF(Ingredientes!$E:$E,A35,Ingredientes!$F:$F)</f>
        <v>23</v>
      </c>
    </row>
    <row r="36" customFormat="false" ht="15" hidden="false" customHeight="false" outlineLevel="0" collapsed="false">
      <c r="A36" s="9" t="s">
        <v>122</v>
      </c>
      <c r="B36" s="9" t="s">
        <v>123</v>
      </c>
      <c r="C36" s="9" t="s">
        <v>109</v>
      </c>
      <c r="D36" s="9" t="n">
        <v>250</v>
      </c>
      <c r="E36" s="9" t="s">
        <v>61</v>
      </c>
      <c r="F36" s="10" t="n">
        <v>195</v>
      </c>
      <c r="G36" s="11" t="n">
        <f aca="false">IFERROR(F36/D36,0)</f>
        <v>0.78</v>
      </c>
      <c r="H36" s="9" t="n">
        <f aca="false">COUNTIF(Ingredientes!$E:$E,A36)</f>
        <v>8</v>
      </c>
      <c r="I36" s="9" t="n">
        <f aca="false">SUMIF(Ingredientes!$E:$E,A36,Ingredientes!$F:$F)</f>
        <v>17</v>
      </c>
    </row>
    <row r="37" customFormat="false" ht="15" hidden="false" customHeight="false" outlineLevel="0" collapsed="false">
      <c r="A37" s="9" t="s">
        <v>124</v>
      </c>
      <c r="B37" s="9" t="s">
        <v>125</v>
      </c>
      <c r="C37" s="9" t="s">
        <v>109</v>
      </c>
      <c r="D37" s="9" t="n">
        <v>100</v>
      </c>
      <c r="E37" s="9" t="s">
        <v>61</v>
      </c>
      <c r="F37" s="10" t="n">
        <v>145</v>
      </c>
      <c r="G37" s="11" t="n">
        <f aca="false">IFERROR(F37/D37,0)</f>
        <v>1.45</v>
      </c>
      <c r="H37" s="9" t="n">
        <f aca="false">COUNTIF(Ingredientes!$E:$E,A37)</f>
        <v>1</v>
      </c>
      <c r="I37" s="9" t="n">
        <f aca="false">SUMIF(Ingredientes!$E:$E,A37,Ingredientes!$F:$F)</f>
        <v>3</v>
      </c>
    </row>
    <row r="38" customFormat="false" ht="15" hidden="false" customHeight="false" outlineLevel="0" collapsed="false">
      <c r="A38" s="9" t="s">
        <v>126</v>
      </c>
      <c r="B38" s="9" t="s">
        <v>127</v>
      </c>
      <c r="C38" s="9" t="s">
        <v>128</v>
      </c>
      <c r="D38" s="9" t="n">
        <v>1000</v>
      </c>
      <c r="E38" s="9" t="s">
        <v>61</v>
      </c>
      <c r="F38" s="10" t="n">
        <v>28</v>
      </c>
      <c r="G38" s="11" t="n">
        <f aca="false">IFERROR(F38/D38,0)</f>
        <v>0.028</v>
      </c>
      <c r="H38" s="9" t="n">
        <f aca="false">COUNTIF(Ingredientes!$E:$E,A38)</f>
        <v>49</v>
      </c>
      <c r="I38" s="9" t="n">
        <f aca="false">SUMIF(Ingredientes!$E:$E,A38,Ingredientes!$F:$F)</f>
        <v>4825</v>
      </c>
    </row>
    <row r="39" customFormat="false" ht="15" hidden="false" customHeight="false" outlineLevel="0" collapsed="false">
      <c r="A39" s="9" t="s">
        <v>129</v>
      </c>
      <c r="B39" s="9" t="s">
        <v>130</v>
      </c>
      <c r="C39" s="9" t="s">
        <v>128</v>
      </c>
      <c r="D39" s="9" t="n">
        <v>1000</v>
      </c>
      <c r="E39" s="9" t="s">
        <v>61</v>
      </c>
      <c r="F39" s="10" t="n">
        <v>34</v>
      </c>
      <c r="G39" s="11" t="n">
        <f aca="false">IFERROR(F39/D39,0)</f>
        <v>0.034</v>
      </c>
      <c r="H39" s="9" t="n">
        <f aca="false">COUNTIF(Ingredientes!$E:$E,A39)</f>
        <v>6</v>
      </c>
      <c r="I39" s="9" t="n">
        <f aca="false">SUMIF(Ingredientes!$E:$E,A39,Ingredientes!$F:$F)</f>
        <v>1180</v>
      </c>
    </row>
    <row r="40" customFormat="false" ht="15" hidden="false" customHeight="false" outlineLevel="0" collapsed="false">
      <c r="A40" s="9" t="s">
        <v>131</v>
      </c>
      <c r="B40" s="9" t="s">
        <v>132</v>
      </c>
      <c r="C40" s="9" t="s">
        <v>128</v>
      </c>
      <c r="D40" s="9" t="n">
        <v>1000</v>
      </c>
      <c r="E40" s="9" t="s">
        <v>61</v>
      </c>
      <c r="F40" s="10" t="n">
        <v>42</v>
      </c>
      <c r="G40" s="11" t="n">
        <f aca="false">IFERROR(F40/D40,0)</f>
        <v>0.042</v>
      </c>
      <c r="H40" s="9" t="n">
        <f aca="false">COUNTIF(Ingredientes!$E:$E,A40)</f>
        <v>22</v>
      </c>
      <c r="I40" s="9" t="n">
        <f aca="false">SUMIF(Ingredientes!$E:$E,A40,Ingredientes!$F:$F)</f>
        <v>1620</v>
      </c>
    </row>
    <row r="41" customFormat="false" ht="15" hidden="false" customHeight="false" outlineLevel="0" collapsed="false">
      <c r="A41" s="9" t="s">
        <v>133</v>
      </c>
      <c r="B41" s="9" t="s">
        <v>134</v>
      </c>
      <c r="C41" s="9" t="s">
        <v>128</v>
      </c>
      <c r="D41" s="9" t="n">
        <v>1000</v>
      </c>
      <c r="E41" s="9" t="s">
        <v>61</v>
      </c>
      <c r="F41" s="10" t="n">
        <v>52</v>
      </c>
      <c r="G41" s="11" t="n">
        <f aca="false">IFERROR(F41/D41,0)</f>
        <v>0.052</v>
      </c>
      <c r="H41" s="9" t="n">
        <f aca="false">COUNTIF(Ingredientes!$E:$E,A41)</f>
        <v>25</v>
      </c>
      <c r="I41" s="9" t="n">
        <f aca="false">SUMIF(Ingredientes!$E:$E,A41,Ingredientes!$F:$F)</f>
        <v>3410</v>
      </c>
    </row>
    <row r="42" customFormat="false" ht="15" hidden="false" customHeight="false" outlineLevel="0" collapsed="false">
      <c r="A42" s="9" t="s">
        <v>135</v>
      </c>
      <c r="B42" s="9" t="s">
        <v>136</v>
      </c>
      <c r="C42" s="9" t="s">
        <v>128</v>
      </c>
      <c r="D42" s="9" t="n">
        <v>1000</v>
      </c>
      <c r="E42" s="9" t="s">
        <v>61</v>
      </c>
      <c r="F42" s="10" t="n">
        <v>58</v>
      </c>
      <c r="G42" s="11" t="n">
        <f aca="false">IFERROR(F42/D42,0)</f>
        <v>0.058</v>
      </c>
      <c r="H42" s="9" t="n">
        <f aca="false">COUNTIF(Ingredientes!$E:$E,A42)</f>
        <v>6</v>
      </c>
      <c r="I42" s="9" t="n">
        <f aca="false">SUMIF(Ingredientes!$E:$E,A42,Ingredientes!$F:$F)</f>
        <v>620</v>
      </c>
    </row>
    <row r="43" customFormat="false" ht="15" hidden="false" customHeight="false" outlineLevel="0" collapsed="false">
      <c r="A43" s="9" t="s">
        <v>137</v>
      </c>
      <c r="B43" s="9" t="s">
        <v>138</v>
      </c>
      <c r="C43" s="9" t="s">
        <v>128</v>
      </c>
      <c r="D43" s="9" t="n">
        <v>1000</v>
      </c>
      <c r="E43" s="9" t="s">
        <v>61</v>
      </c>
      <c r="F43" s="10" t="n">
        <v>46</v>
      </c>
      <c r="G43" s="11" t="n">
        <f aca="false">IFERROR(F43/D43,0)</f>
        <v>0.046</v>
      </c>
      <c r="H43" s="9" t="n">
        <f aca="false">COUNTIF(Ingredientes!$E:$E,A43)</f>
        <v>5</v>
      </c>
      <c r="I43" s="9" t="n">
        <f aca="false">SUMIF(Ingredientes!$E:$E,A43,Ingredientes!$F:$F)</f>
        <v>170</v>
      </c>
    </row>
    <row r="44" customFormat="false" ht="15" hidden="false" customHeight="false" outlineLevel="0" collapsed="false">
      <c r="A44" s="9" t="s">
        <v>139</v>
      </c>
      <c r="B44" s="9" t="s">
        <v>140</v>
      </c>
      <c r="C44" s="9" t="s">
        <v>128</v>
      </c>
      <c r="D44" s="9" t="n">
        <v>1000</v>
      </c>
      <c r="E44" s="9" t="s">
        <v>61</v>
      </c>
      <c r="F44" s="10" t="n">
        <v>195</v>
      </c>
      <c r="G44" s="11" t="n">
        <f aca="false">IFERROR(F44/D44,0)</f>
        <v>0.195</v>
      </c>
      <c r="H44" s="9" t="n">
        <f aca="false">COUNTIF(Ingredientes!$E:$E,A44)</f>
        <v>5</v>
      </c>
      <c r="I44" s="9" t="n">
        <f aca="false">SUMIF(Ingredientes!$E:$E,A44,Ingredientes!$F:$F)</f>
        <v>200</v>
      </c>
    </row>
    <row r="45" customFormat="false" ht="15" hidden="false" customHeight="false" outlineLevel="0" collapsed="false">
      <c r="A45" s="9" t="s">
        <v>141</v>
      </c>
      <c r="B45" s="9" t="s">
        <v>142</v>
      </c>
      <c r="C45" s="9" t="s">
        <v>128</v>
      </c>
      <c r="D45" s="9" t="n">
        <v>500</v>
      </c>
      <c r="E45" s="9" t="s">
        <v>61</v>
      </c>
      <c r="F45" s="10" t="n">
        <v>175</v>
      </c>
      <c r="G45" s="11" t="n">
        <f aca="false">IFERROR(F45/D45,0)</f>
        <v>0.35</v>
      </c>
      <c r="H45" s="9" t="n">
        <f aca="false">COUNTIF(Ingredientes!$E:$E,A45)</f>
        <v>2</v>
      </c>
      <c r="I45" s="9" t="n">
        <f aca="false">SUMIF(Ingredientes!$E:$E,A45,Ingredientes!$F:$F)</f>
        <v>80</v>
      </c>
    </row>
    <row r="46" customFormat="false" ht="15" hidden="false" customHeight="false" outlineLevel="0" collapsed="false">
      <c r="A46" s="9" t="s">
        <v>143</v>
      </c>
      <c r="B46" s="9" t="s">
        <v>144</v>
      </c>
      <c r="C46" s="9" t="s">
        <v>128</v>
      </c>
      <c r="D46" s="9" t="n">
        <v>250</v>
      </c>
      <c r="E46" s="9" t="s">
        <v>74</v>
      </c>
      <c r="F46" s="10" t="n">
        <v>210</v>
      </c>
      <c r="G46" s="11" t="n">
        <f aca="false">IFERROR(F46/D46,0)</f>
        <v>0.84</v>
      </c>
      <c r="H46" s="9" t="n">
        <f aca="false">COUNTIF(Ingredientes!$E:$E,A46)</f>
        <v>3</v>
      </c>
      <c r="I46" s="9" t="n">
        <f aca="false">SUMIF(Ingredientes!$E:$E,A46,Ingredientes!$F:$F)</f>
        <v>90</v>
      </c>
    </row>
    <row r="47" customFormat="false" ht="15" hidden="false" customHeight="false" outlineLevel="0" collapsed="false">
      <c r="A47" s="9" t="s">
        <v>145</v>
      </c>
      <c r="B47" s="9" t="s">
        <v>146</v>
      </c>
      <c r="C47" s="9" t="s">
        <v>128</v>
      </c>
      <c r="D47" s="9" t="n">
        <v>1000</v>
      </c>
      <c r="E47" s="9" t="s">
        <v>61</v>
      </c>
      <c r="F47" s="10" t="n">
        <v>78</v>
      </c>
      <c r="G47" s="11" t="n">
        <f aca="false">IFERROR(F47/D47,0)</f>
        <v>0.078</v>
      </c>
      <c r="H47" s="9" t="n">
        <f aca="false">COUNTIF(Ingredientes!$E:$E,A47)</f>
        <v>1</v>
      </c>
      <c r="I47" s="9" t="n">
        <f aca="false">SUMIF(Ingredientes!$E:$E,A47,Ingredientes!$F:$F)</f>
        <v>15</v>
      </c>
    </row>
    <row r="48" customFormat="false" ht="15" hidden="false" customHeight="false" outlineLevel="0" collapsed="false">
      <c r="A48" s="9" t="s">
        <v>147</v>
      </c>
      <c r="B48" s="9" t="s">
        <v>148</v>
      </c>
      <c r="C48" s="9" t="s">
        <v>128</v>
      </c>
      <c r="D48" s="9" t="n">
        <v>1000</v>
      </c>
      <c r="E48" s="9" t="s">
        <v>61</v>
      </c>
      <c r="F48" s="10" t="n">
        <v>148</v>
      </c>
      <c r="G48" s="11" t="n">
        <f aca="false">IFERROR(F48/D48,0)</f>
        <v>0.148</v>
      </c>
      <c r="H48" s="9" t="n">
        <f aca="false">COUNTIF(Ingredientes!$E:$E,A48)</f>
        <v>3</v>
      </c>
      <c r="I48" s="9" t="n">
        <f aca="false">SUMIF(Ingredientes!$E:$E,A48,Ingredientes!$F:$F)</f>
        <v>390</v>
      </c>
    </row>
    <row r="49" customFormat="false" ht="15" hidden="false" customHeight="false" outlineLevel="0" collapsed="false">
      <c r="A49" s="9" t="s">
        <v>149</v>
      </c>
      <c r="B49" s="9" t="s">
        <v>150</v>
      </c>
      <c r="C49" s="9" t="s">
        <v>128</v>
      </c>
      <c r="D49" s="9" t="n">
        <v>500</v>
      </c>
      <c r="E49" s="9" t="s">
        <v>61</v>
      </c>
      <c r="F49" s="10" t="n">
        <v>165</v>
      </c>
      <c r="G49" s="11" t="n">
        <f aca="false">IFERROR(F49/D49,0)</f>
        <v>0.33</v>
      </c>
      <c r="H49" s="9" t="n">
        <f aca="false">COUNTIF(Ingredientes!$E:$E,A49)</f>
        <v>2</v>
      </c>
      <c r="I49" s="9" t="n">
        <f aca="false">SUMIF(Ingredientes!$E:$E,A49,Ingredientes!$F:$F)</f>
        <v>0</v>
      </c>
    </row>
    <row r="50" customFormat="false" ht="15" hidden="false" customHeight="false" outlineLevel="0" collapsed="false">
      <c r="A50" s="9" t="s">
        <v>151</v>
      </c>
      <c r="B50" s="9" t="s">
        <v>152</v>
      </c>
      <c r="C50" s="9" t="s">
        <v>128</v>
      </c>
      <c r="D50" s="9" t="n">
        <v>20000</v>
      </c>
      <c r="E50" s="9" t="s">
        <v>74</v>
      </c>
      <c r="F50" s="10" t="n">
        <v>45</v>
      </c>
      <c r="G50" s="11" t="n">
        <f aca="false">IFERROR(F50/D50,0)</f>
        <v>0.00225</v>
      </c>
      <c r="H50" s="9" t="n">
        <f aca="false">COUNTIF(Ingredientes!$E:$E,A50)</f>
        <v>14</v>
      </c>
      <c r="I50" s="9" t="n">
        <f aca="false">SUMIF(Ingredientes!$E:$E,A50,Ingredientes!$F:$F)</f>
        <v>508</v>
      </c>
    </row>
    <row r="51" customFormat="false" ht="15" hidden="false" customHeight="false" outlineLevel="0" collapsed="false">
      <c r="A51" s="9" t="s">
        <v>153</v>
      </c>
      <c r="B51" s="9" t="s">
        <v>154</v>
      </c>
      <c r="C51" s="9" t="s">
        <v>155</v>
      </c>
      <c r="D51" s="9" t="n">
        <v>1000</v>
      </c>
      <c r="E51" s="9" t="s">
        <v>61</v>
      </c>
      <c r="F51" s="10" t="n">
        <v>385</v>
      </c>
      <c r="G51" s="11" t="n">
        <f aca="false">IFERROR(F51/D51,0)</f>
        <v>0.385</v>
      </c>
      <c r="H51" s="9" t="n">
        <f aca="false">COUNTIF(Ingredientes!$E:$E,A51)</f>
        <v>7</v>
      </c>
      <c r="I51" s="9" t="n">
        <f aca="false">SUMIF(Ingredientes!$E:$E,A51,Ingredientes!$F:$F)</f>
        <v>480</v>
      </c>
    </row>
    <row r="52" customFormat="false" ht="15" hidden="false" customHeight="false" outlineLevel="0" collapsed="false">
      <c r="A52" s="9" t="s">
        <v>156</v>
      </c>
      <c r="B52" s="9" t="s">
        <v>157</v>
      </c>
      <c r="C52" s="9" t="s">
        <v>155</v>
      </c>
      <c r="D52" s="9" t="n">
        <v>1000</v>
      </c>
      <c r="E52" s="9" t="s">
        <v>61</v>
      </c>
      <c r="F52" s="10" t="n">
        <v>340</v>
      </c>
      <c r="G52" s="11" t="n">
        <f aca="false">IFERROR(F52/D52,0)</f>
        <v>0.34</v>
      </c>
      <c r="H52" s="9" t="n">
        <f aca="false">COUNTIF(Ingredientes!$E:$E,A52)</f>
        <v>2</v>
      </c>
      <c r="I52" s="9" t="n">
        <f aca="false">SUMIF(Ingredientes!$E:$E,A52,Ingredientes!$F:$F)</f>
        <v>230</v>
      </c>
    </row>
    <row r="53" customFormat="false" ht="15" hidden="false" customHeight="false" outlineLevel="0" collapsed="false">
      <c r="A53" s="9" t="s">
        <v>158</v>
      </c>
      <c r="B53" s="9" t="s">
        <v>159</v>
      </c>
      <c r="C53" s="9" t="s">
        <v>155</v>
      </c>
      <c r="D53" s="9" t="n">
        <v>1000</v>
      </c>
      <c r="E53" s="9" t="s">
        <v>61</v>
      </c>
      <c r="F53" s="10" t="n">
        <v>355</v>
      </c>
      <c r="G53" s="11" t="n">
        <f aca="false">IFERROR(F53/D53,0)</f>
        <v>0.355</v>
      </c>
      <c r="H53" s="9" t="n">
        <f aca="false">COUNTIF(Ingredientes!$E:$E,A53)</f>
        <v>3</v>
      </c>
      <c r="I53" s="9" t="n">
        <f aca="false">SUMIF(Ingredientes!$E:$E,A53,Ingredientes!$F:$F)</f>
        <v>250</v>
      </c>
    </row>
    <row r="54" customFormat="false" ht="15" hidden="false" customHeight="false" outlineLevel="0" collapsed="false">
      <c r="A54" s="9" t="s">
        <v>160</v>
      </c>
      <c r="B54" s="9" t="s">
        <v>161</v>
      </c>
      <c r="C54" s="9" t="s">
        <v>155</v>
      </c>
      <c r="D54" s="9" t="n">
        <v>1000</v>
      </c>
      <c r="E54" s="9" t="s">
        <v>61</v>
      </c>
      <c r="F54" s="10" t="n">
        <v>365</v>
      </c>
      <c r="G54" s="11" t="n">
        <f aca="false">IFERROR(F54/D54,0)</f>
        <v>0.365</v>
      </c>
      <c r="H54" s="9" t="n">
        <f aca="false">COUNTIF(Ingredientes!$E:$E,A54)</f>
        <v>4</v>
      </c>
      <c r="I54" s="9" t="n">
        <f aca="false">SUMIF(Ingredientes!$E:$E,A54,Ingredientes!$F:$F)</f>
        <v>400</v>
      </c>
    </row>
    <row r="55" customFormat="false" ht="15" hidden="false" customHeight="false" outlineLevel="0" collapsed="false">
      <c r="A55" s="9" t="s">
        <v>162</v>
      </c>
      <c r="B55" s="9" t="s">
        <v>163</v>
      </c>
      <c r="C55" s="9" t="s">
        <v>155</v>
      </c>
      <c r="D55" s="9" t="n">
        <v>1000</v>
      </c>
      <c r="E55" s="9" t="s">
        <v>61</v>
      </c>
      <c r="F55" s="10" t="n">
        <v>195</v>
      </c>
      <c r="G55" s="11" t="n">
        <f aca="false">IFERROR(F55/D55,0)</f>
        <v>0.195</v>
      </c>
      <c r="H55" s="9" t="n">
        <f aca="false">COUNTIF(Ingredientes!$E:$E,A55)</f>
        <v>3</v>
      </c>
      <c r="I55" s="9" t="n">
        <f aca="false">SUMIF(Ingredientes!$E:$E,A55,Ingredientes!$F:$F)</f>
        <v>260</v>
      </c>
    </row>
    <row r="56" customFormat="false" ht="15" hidden="false" customHeight="false" outlineLevel="0" collapsed="false">
      <c r="A56" s="9" t="s">
        <v>164</v>
      </c>
      <c r="B56" s="9" t="s">
        <v>165</v>
      </c>
      <c r="C56" s="9" t="s">
        <v>155</v>
      </c>
      <c r="D56" s="9" t="n">
        <v>1000</v>
      </c>
      <c r="E56" s="9" t="s">
        <v>61</v>
      </c>
      <c r="F56" s="10" t="n">
        <v>285</v>
      </c>
      <c r="G56" s="11" t="n">
        <f aca="false">IFERROR(F56/D56,0)</f>
        <v>0.285</v>
      </c>
      <c r="H56" s="9" t="n">
        <f aca="false">COUNTIF(Ingredientes!$E:$E,A56)</f>
        <v>13</v>
      </c>
      <c r="I56" s="9" t="n">
        <f aca="false">SUMIF(Ingredientes!$E:$E,A56,Ingredientes!$F:$F)</f>
        <v>328</v>
      </c>
    </row>
    <row r="57" customFormat="false" ht="15" hidden="false" customHeight="false" outlineLevel="0" collapsed="false">
      <c r="A57" s="9" t="s">
        <v>166</v>
      </c>
      <c r="B57" s="9" t="s">
        <v>167</v>
      </c>
      <c r="C57" s="9" t="s">
        <v>155</v>
      </c>
      <c r="D57" s="9" t="n">
        <v>250</v>
      </c>
      <c r="E57" s="9" t="s">
        <v>61</v>
      </c>
      <c r="F57" s="10" t="n">
        <v>165</v>
      </c>
      <c r="G57" s="11" t="n">
        <f aca="false">IFERROR(F57/D57,0)</f>
        <v>0.66</v>
      </c>
      <c r="H57" s="9" t="n">
        <f aca="false">COUNTIF(Ingredientes!$E:$E,A57)</f>
        <v>2</v>
      </c>
      <c r="I57" s="9" t="n">
        <f aca="false">SUMIF(Ingredientes!$E:$E,A57,Ingredientes!$F:$F)</f>
        <v>75</v>
      </c>
    </row>
    <row r="58" customFormat="false" ht="15" hidden="false" customHeight="false" outlineLevel="0" collapsed="false">
      <c r="A58" s="9" t="s">
        <v>168</v>
      </c>
      <c r="B58" s="9" t="s">
        <v>169</v>
      </c>
      <c r="C58" s="9" t="s">
        <v>155</v>
      </c>
      <c r="D58" s="9" t="n">
        <v>500</v>
      </c>
      <c r="E58" s="9" t="s">
        <v>61</v>
      </c>
      <c r="F58" s="10" t="n">
        <v>145</v>
      </c>
      <c r="G58" s="11" t="n">
        <f aca="false">IFERROR(F58/D58,0)</f>
        <v>0.29</v>
      </c>
      <c r="H58" s="9" t="n">
        <f aca="false">COUNTIF(Ingredientes!$E:$E,A58)</f>
        <v>1</v>
      </c>
      <c r="I58" s="9" t="n">
        <f aca="false">SUMIF(Ingredientes!$E:$E,A58,Ingredientes!$F:$F)</f>
        <v>60</v>
      </c>
    </row>
    <row r="59" customFormat="false" ht="15" hidden="false" customHeight="false" outlineLevel="0" collapsed="false">
      <c r="A59" s="9" t="s">
        <v>170</v>
      </c>
      <c r="B59" s="9" t="s">
        <v>171</v>
      </c>
      <c r="C59" s="9" t="s">
        <v>155</v>
      </c>
      <c r="D59" s="9" t="n">
        <v>500</v>
      </c>
      <c r="E59" s="9" t="s">
        <v>61</v>
      </c>
      <c r="F59" s="10" t="n">
        <v>320</v>
      </c>
      <c r="G59" s="11" t="n">
        <f aca="false">IFERROR(F59/D59,0)</f>
        <v>0.64</v>
      </c>
      <c r="H59" s="9" t="n">
        <f aca="false">COUNTIF(Ingredientes!$E:$E,A59)</f>
        <v>2</v>
      </c>
      <c r="I59" s="9" t="n">
        <f aca="false">SUMIF(Ingredientes!$E:$E,A59,Ingredientes!$F:$F)</f>
        <v>0</v>
      </c>
    </row>
    <row r="60" customFormat="false" ht="15" hidden="false" customHeight="false" outlineLevel="0" collapsed="false">
      <c r="A60" s="9" t="s">
        <v>172</v>
      </c>
      <c r="B60" s="9" t="s">
        <v>173</v>
      </c>
      <c r="C60" s="9" t="s">
        <v>174</v>
      </c>
      <c r="D60" s="9" t="n">
        <v>1000</v>
      </c>
      <c r="E60" s="9" t="s">
        <v>61</v>
      </c>
      <c r="F60" s="10" t="n">
        <v>425</v>
      </c>
      <c r="G60" s="11" t="n">
        <f aca="false">IFERROR(F60/D60,0)</f>
        <v>0.425</v>
      </c>
      <c r="H60" s="9" t="n">
        <f aca="false">COUNTIF(Ingredientes!$E:$E,A60)</f>
        <v>18</v>
      </c>
      <c r="I60" s="9" t="n">
        <f aca="false">SUMIF(Ingredientes!$E:$E,A60,Ingredientes!$F:$F)</f>
        <v>535</v>
      </c>
    </row>
    <row r="61" customFormat="false" ht="15" hidden="false" customHeight="false" outlineLevel="0" collapsed="false">
      <c r="A61" s="9" t="s">
        <v>175</v>
      </c>
      <c r="B61" s="9" t="s">
        <v>176</v>
      </c>
      <c r="C61" s="9" t="s">
        <v>174</v>
      </c>
      <c r="D61" s="9" t="n">
        <v>1000</v>
      </c>
      <c r="E61" s="9" t="s">
        <v>61</v>
      </c>
      <c r="F61" s="10" t="n">
        <v>385</v>
      </c>
      <c r="G61" s="11" t="n">
        <f aca="false">IFERROR(F61/D61,0)</f>
        <v>0.385</v>
      </c>
      <c r="H61" s="9" t="n">
        <f aca="false">COUNTIF(Ingredientes!$E:$E,A61)</f>
        <v>2</v>
      </c>
      <c r="I61" s="9" t="n">
        <f aca="false">SUMIF(Ingredientes!$E:$E,A61,Ingredientes!$F:$F)</f>
        <v>100</v>
      </c>
    </row>
    <row r="62" customFormat="false" ht="15" hidden="false" customHeight="false" outlineLevel="0" collapsed="false">
      <c r="A62" s="9" t="s">
        <v>177</v>
      </c>
      <c r="B62" s="9" t="s">
        <v>178</v>
      </c>
      <c r="C62" s="9" t="s">
        <v>174</v>
      </c>
      <c r="D62" s="9" t="n">
        <v>500</v>
      </c>
      <c r="E62" s="9" t="s">
        <v>61</v>
      </c>
      <c r="F62" s="10" t="n">
        <v>340</v>
      </c>
      <c r="G62" s="11" t="n">
        <f aca="false">IFERROR(F62/D62,0)</f>
        <v>0.68</v>
      </c>
      <c r="H62" s="9" t="n">
        <f aca="false">COUNTIF(Ingredientes!$E:$E,A62)</f>
        <v>3</v>
      </c>
      <c r="I62" s="9" t="n">
        <f aca="false">SUMIF(Ingredientes!$E:$E,A62,Ingredientes!$F:$F)</f>
        <v>140</v>
      </c>
    </row>
    <row r="63" customFormat="false" ht="15" hidden="false" customHeight="false" outlineLevel="0" collapsed="false">
      <c r="A63" s="9" t="s">
        <v>179</v>
      </c>
      <c r="B63" s="9" t="s">
        <v>180</v>
      </c>
      <c r="C63" s="9" t="s">
        <v>174</v>
      </c>
      <c r="D63" s="9" t="n">
        <v>500</v>
      </c>
      <c r="E63" s="9" t="s">
        <v>61</v>
      </c>
      <c r="F63" s="10" t="n">
        <v>395</v>
      </c>
      <c r="G63" s="11" t="n">
        <f aca="false">IFERROR(F63/D63,0)</f>
        <v>0.79</v>
      </c>
      <c r="H63" s="9" t="n">
        <f aca="false">COUNTIF(Ingredientes!$E:$E,A63)</f>
        <v>1</v>
      </c>
      <c r="I63" s="9" t="n">
        <f aca="false">SUMIF(Ingredientes!$E:$E,A63,Ingredientes!$F:$F)</f>
        <v>30</v>
      </c>
    </row>
    <row r="64" customFormat="false" ht="15" hidden="false" customHeight="false" outlineLevel="0" collapsed="false">
      <c r="A64" s="9" t="s">
        <v>181</v>
      </c>
      <c r="B64" s="9" t="s">
        <v>182</v>
      </c>
      <c r="C64" s="9" t="s">
        <v>174</v>
      </c>
      <c r="D64" s="9" t="n">
        <v>500</v>
      </c>
      <c r="E64" s="9" t="s">
        <v>61</v>
      </c>
      <c r="F64" s="10" t="n">
        <v>520</v>
      </c>
      <c r="G64" s="11" t="n">
        <f aca="false">IFERROR(F64/D64,0)</f>
        <v>1.04</v>
      </c>
      <c r="H64" s="9" t="n">
        <f aca="false">COUNTIF(Ingredientes!$E:$E,A64)</f>
        <v>1</v>
      </c>
      <c r="I64" s="9" t="n">
        <f aca="false">SUMIF(Ingredientes!$E:$E,A64,Ingredientes!$F:$F)</f>
        <v>100</v>
      </c>
    </row>
    <row r="65" customFormat="false" ht="15" hidden="false" customHeight="false" outlineLevel="0" collapsed="false">
      <c r="A65" s="9" t="s">
        <v>183</v>
      </c>
      <c r="B65" s="9" t="s">
        <v>184</v>
      </c>
      <c r="C65" s="9" t="s">
        <v>174</v>
      </c>
      <c r="D65" s="9" t="n">
        <v>1000</v>
      </c>
      <c r="E65" s="9" t="s">
        <v>61</v>
      </c>
      <c r="F65" s="10" t="n">
        <v>480</v>
      </c>
      <c r="G65" s="11" t="n">
        <f aca="false">IFERROR(F65/D65,0)</f>
        <v>0.48</v>
      </c>
      <c r="H65" s="9" t="n">
        <f aca="false">COUNTIF(Ingredientes!$E:$E,A65)</f>
        <v>4</v>
      </c>
      <c r="I65" s="9" t="n">
        <f aca="false">SUMIF(Ingredientes!$E:$E,A65,Ingredientes!$F:$F)</f>
        <v>350</v>
      </c>
    </row>
    <row r="66" customFormat="false" ht="15" hidden="false" customHeight="false" outlineLevel="0" collapsed="false">
      <c r="A66" s="9" t="s">
        <v>185</v>
      </c>
      <c r="B66" s="9" t="s">
        <v>186</v>
      </c>
      <c r="C66" s="9" t="s">
        <v>174</v>
      </c>
      <c r="D66" s="9" t="n">
        <v>1000</v>
      </c>
      <c r="E66" s="9" t="s">
        <v>61</v>
      </c>
      <c r="F66" s="10" t="n">
        <v>420</v>
      </c>
      <c r="G66" s="11" t="n">
        <f aca="false">IFERROR(F66/D66,0)</f>
        <v>0.42</v>
      </c>
      <c r="H66" s="9" t="n">
        <f aca="false">COUNTIF(Ingredientes!$E:$E,A66)</f>
        <v>2</v>
      </c>
      <c r="I66" s="9" t="n">
        <f aca="false">SUMIF(Ingredientes!$E:$E,A66,Ingredientes!$F:$F)</f>
        <v>80</v>
      </c>
    </row>
    <row r="67" customFormat="false" ht="15" hidden="false" customHeight="false" outlineLevel="0" collapsed="false">
      <c r="A67" s="9" t="s">
        <v>187</v>
      </c>
      <c r="B67" s="9" t="s">
        <v>188</v>
      </c>
      <c r="C67" s="9" t="s">
        <v>174</v>
      </c>
      <c r="D67" s="9" t="n">
        <v>500</v>
      </c>
      <c r="E67" s="9" t="s">
        <v>61</v>
      </c>
      <c r="F67" s="10" t="n">
        <v>460</v>
      </c>
      <c r="G67" s="11" t="n">
        <f aca="false">IFERROR(F67/D67,0)</f>
        <v>0.92</v>
      </c>
      <c r="H67" s="9" t="n">
        <f aca="false">COUNTIF(Ingredientes!$E:$E,A67)</f>
        <v>1</v>
      </c>
      <c r="I67" s="9" t="n">
        <f aca="false">SUMIF(Ingredientes!$E:$E,A67,Ingredientes!$F:$F)</f>
        <v>100</v>
      </c>
    </row>
    <row r="68" customFormat="false" ht="15" hidden="false" customHeight="false" outlineLevel="0" collapsed="false">
      <c r="A68" s="9" t="s">
        <v>189</v>
      </c>
      <c r="B68" s="9" t="s">
        <v>190</v>
      </c>
      <c r="C68" s="9" t="s">
        <v>174</v>
      </c>
      <c r="D68" s="9" t="n">
        <v>500</v>
      </c>
      <c r="E68" s="9" t="s">
        <v>61</v>
      </c>
      <c r="F68" s="10" t="n">
        <v>585</v>
      </c>
      <c r="G68" s="11" t="n">
        <f aca="false">IFERROR(F68/D68,0)</f>
        <v>1.17</v>
      </c>
      <c r="H68" s="9" t="n">
        <f aca="false">COUNTIF(Ingredientes!$E:$E,A68)</f>
        <v>1</v>
      </c>
      <c r="I68" s="9" t="n">
        <f aca="false">SUMIF(Ingredientes!$E:$E,A68,Ingredientes!$F:$F)</f>
        <v>50</v>
      </c>
    </row>
    <row r="69" customFormat="false" ht="15" hidden="false" customHeight="false" outlineLevel="0" collapsed="false">
      <c r="A69" s="9" t="s">
        <v>191</v>
      </c>
      <c r="B69" s="9" t="s">
        <v>192</v>
      </c>
      <c r="C69" s="9" t="s">
        <v>174</v>
      </c>
      <c r="D69" s="9" t="n">
        <v>500</v>
      </c>
      <c r="E69" s="9" t="s">
        <v>61</v>
      </c>
      <c r="F69" s="10" t="n">
        <v>690</v>
      </c>
      <c r="G69" s="11" t="n">
        <f aca="false">IFERROR(F69/D69,0)</f>
        <v>1.38</v>
      </c>
      <c r="H69" s="9" t="n">
        <f aca="false">COUNTIF(Ingredientes!$E:$E,A69)</f>
        <v>1</v>
      </c>
      <c r="I69" s="9" t="n">
        <f aca="false">SUMIF(Ingredientes!$E:$E,A69,Ingredientes!$F:$F)</f>
        <v>50</v>
      </c>
    </row>
    <row r="70" customFormat="false" ht="15" hidden="false" customHeight="false" outlineLevel="0" collapsed="false">
      <c r="A70" s="9" t="s">
        <v>193</v>
      </c>
      <c r="B70" s="9" t="s">
        <v>194</v>
      </c>
      <c r="C70" s="9" t="s">
        <v>174</v>
      </c>
      <c r="D70" s="9" t="n">
        <v>500</v>
      </c>
      <c r="E70" s="9" t="s">
        <v>61</v>
      </c>
      <c r="F70" s="10" t="n">
        <v>890</v>
      </c>
      <c r="G70" s="11" t="n">
        <f aca="false">IFERROR(F70/D70,0)</f>
        <v>1.78</v>
      </c>
      <c r="H70" s="9" t="n">
        <f aca="false">COUNTIF(Ingredientes!$E:$E,A70)</f>
        <v>2</v>
      </c>
      <c r="I70" s="9" t="n">
        <f aca="false">SUMIF(Ingredientes!$E:$E,A70,Ingredientes!$F:$F)</f>
        <v>95</v>
      </c>
    </row>
    <row r="71" customFormat="false" ht="15" hidden="false" customHeight="false" outlineLevel="0" collapsed="false">
      <c r="A71" s="9" t="s">
        <v>195</v>
      </c>
      <c r="B71" s="9" t="s">
        <v>196</v>
      </c>
      <c r="C71" s="9" t="s">
        <v>174</v>
      </c>
      <c r="D71" s="9" t="n">
        <v>1000</v>
      </c>
      <c r="E71" s="9" t="s">
        <v>61</v>
      </c>
      <c r="F71" s="10" t="n">
        <v>105</v>
      </c>
      <c r="G71" s="11" t="n">
        <f aca="false">IFERROR(F71/D71,0)</f>
        <v>0.105</v>
      </c>
      <c r="H71" s="9" t="n">
        <f aca="false">COUNTIF(Ingredientes!$E:$E,A71)</f>
        <v>2</v>
      </c>
      <c r="I71" s="9" t="n">
        <f aca="false">SUMIF(Ingredientes!$E:$E,A71,Ingredientes!$F:$F)</f>
        <v>85</v>
      </c>
    </row>
    <row r="72" customFormat="false" ht="15" hidden="false" customHeight="false" outlineLevel="0" collapsed="false">
      <c r="A72" s="9" t="s">
        <v>197</v>
      </c>
      <c r="B72" s="9" t="s">
        <v>198</v>
      </c>
      <c r="C72" s="9" t="s">
        <v>174</v>
      </c>
      <c r="D72" s="9" t="n">
        <v>1000</v>
      </c>
      <c r="E72" s="9" t="s">
        <v>61</v>
      </c>
      <c r="F72" s="10" t="n">
        <v>138</v>
      </c>
      <c r="G72" s="11" t="n">
        <f aca="false">IFERROR(F72/D72,0)</f>
        <v>0.138</v>
      </c>
      <c r="H72" s="9" t="n">
        <f aca="false">COUNTIF(Ingredientes!$E:$E,A72)</f>
        <v>1</v>
      </c>
      <c r="I72" s="9" t="n">
        <f aca="false">SUMIF(Ingredientes!$E:$E,A72,Ingredientes!$F:$F)</f>
        <v>70</v>
      </c>
    </row>
    <row r="73" customFormat="false" ht="15" hidden="false" customHeight="false" outlineLevel="0" collapsed="false">
      <c r="A73" s="9" t="s">
        <v>199</v>
      </c>
      <c r="B73" s="9" t="s">
        <v>200</v>
      </c>
      <c r="C73" s="9" t="s">
        <v>174</v>
      </c>
      <c r="D73" s="9" t="n">
        <v>500</v>
      </c>
      <c r="E73" s="9" t="s">
        <v>61</v>
      </c>
      <c r="F73" s="10" t="n">
        <v>118</v>
      </c>
      <c r="G73" s="11" t="n">
        <f aca="false">IFERROR(F73/D73,0)</f>
        <v>0.236</v>
      </c>
      <c r="H73" s="9" t="n">
        <f aca="false">COUNTIF(Ingredientes!$E:$E,A73)</f>
        <v>1</v>
      </c>
      <c r="I73" s="9" t="n">
        <f aca="false">SUMIF(Ingredientes!$E:$E,A73,Ingredientes!$F:$F)</f>
        <v>120</v>
      </c>
    </row>
    <row r="74" customFormat="false" ht="15" hidden="false" customHeight="false" outlineLevel="0" collapsed="false">
      <c r="A74" s="9" t="s">
        <v>201</v>
      </c>
      <c r="B74" s="9" t="s">
        <v>202</v>
      </c>
      <c r="C74" s="9" t="s">
        <v>174</v>
      </c>
      <c r="D74" s="9" t="n">
        <v>500</v>
      </c>
      <c r="E74" s="9" t="s">
        <v>61</v>
      </c>
      <c r="F74" s="10" t="n">
        <v>395</v>
      </c>
      <c r="G74" s="11" t="n">
        <f aca="false">IFERROR(F74/D74,0)</f>
        <v>0.79</v>
      </c>
      <c r="H74" s="9" t="n">
        <f aca="false">COUNTIF(Ingredientes!$E:$E,A74)</f>
        <v>2</v>
      </c>
      <c r="I74" s="9" t="n">
        <f aca="false">SUMIF(Ingredientes!$E:$E,A74,Ingredientes!$F:$F)</f>
        <v>150</v>
      </c>
    </row>
    <row r="75" customFormat="false" ht="15" hidden="false" customHeight="false" outlineLevel="0" collapsed="false">
      <c r="A75" s="9" t="s">
        <v>203</v>
      </c>
      <c r="B75" s="9" t="s">
        <v>204</v>
      </c>
      <c r="C75" s="9" t="s">
        <v>174</v>
      </c>
      <c r="D75" s="9" t="n">
        <v>500</v>
      </c>
      <c r="E75" s="9" t="s">
        <v>61</v>
      </c>
      <c r="F75" s="10" t="n">
        <v>185</v>
      </c>
      <c r="G75" s="11" t="n">
        <f aca="false">IFERROR(F75/D75,0)</f>
        <v>0.37</v>
      </c>
      <c r="H75" s="9" t="n">
        <f aca="false">COUNTIF(Ingredientes!$E:$E,A75)</f>
        <v>1</v>
      </c>
      <c r="I75" s="9" t="n">
        <f aca="false">SUMIF(Ingredientes!$E:$E,A75,Ingredientes!$F:$F)</f>
        <v>80</v>
      </c>
    </row>
    <row r="76" customFormat="false" ht="15" hidden="false" customHeight="false" outlineLevel="0" collapsed="false">
      <c r="A76" s="9" t="s">
        <v>205</v>
      </c>
      <c r="B76" s="9" t="s">
        <v>206</v>
      </c>
      <c r="C76" s="9" t="s">
        <v>174</v>
      </c>
      <c r="D76" s="9" t="n">
        <v>500</v>
      </c>
      <c r="E76" s="9" t="s">
        <v>61</v>
      </c>
      <c r="F76" s="10" t="n">
        <v>68</v>
      </c>
      <c r="G76" s="11" t="n">
        <f aca="false">IFERROR(F76/D76,0)</f>
        <v>0.136</v>
      </c>
      <c r="H76" s="9" t="n">
        <f aca="false">COUNTIF(Ingredientes!$E:$E,A76)</f>
        <v>2</v>
      </c>
      <c r="I76" s="9" t="n">
        <f aca="false">SUMIF(Ingredientes!$E:$E,A76,Ingredientes!$F:$F)</f>
        <v>25</v>
      </c>
    </row>
    <row r="77" customFormat="false" ht="15" hidden="false" customHeight="false" outlineLevel="0" collapsed="false">
      <c r="A77" s="9" t="s">
        <v>207</v>
      </c>
      <c r="B77" s="9" t="s">
        <v>208</v>
      </c>
      <c r="C77" s="9" t="s">
        <v>174</v>
      </c>
      <c r="D77" s="9" t="n">
        <v>250</v>
      </c>
      <c r="E77" s="9" t="s">
        <v>61</v>
      </c>
      <c r="F77" s="10" t="n">
        <v>95</v>
      </c>
      <c r="G77" s="11" t="n">
        <f aca="false">IFERROR(F77/D77,0)</f>
        <v>0.38</v>
      </c>
      <c r="H77" s="9" t="n">
        <f aca="false">COUNTIF(Ingredientes!$E:$E,A77)</f>
        <v>1</v>
      </c>
      <c r="I77" s="9" t="n">
        <f aca="false">SUMIF(Ingredientes!$E:$E,A77,Ingredientes!$F:$F)</f>
        <v>15</v>
      </c>
    </row>
    <row r="78" customFormat="false" ht="15" hidden="false" customHeight="false" outlineLevel="0" collapsed="false">
      <c r="A78" s="9" t="s">
        <v>209</v>
      </c>
      <c r="B78" s="9" t="s">
        <v>210</v>
      </c>
      <c r="C78" s="9" t="s">
        <v>174</v>
      </c>
      <c r="D78" s="9" t="n">
        <v>500</v>
      </c>
      <c r="E78" s="9" t="s">
        <v>61</v>
      </c>
      <c r="F78" s="10" t="n">
        <v>62</v>
      </c>
      <c r="G78" s="11" t="n">
        <f aca="false">IFERROR(F78/D78,0)</f>
        <v>0.124</v>
      </c>
      <c r="H78" s="9" t="n">
        <f aca="false">COUNTIF(Ingredientes!$E:$E,A78)</f>
        <v>1</v>
      </c>
      <c r="I78" s="9" t="n">
        <f aca="false">SUMIF(Ingredientes!$E:$E,A78,Ingredientes!$F:$F)</f>
        <v>55</v>
      </c>
    </row>
    <row r="79" customFormat="false" ht="15" hidden="false" customHeight="false" outlineLevel="0" collapsed="false">
      <c r="A79" s="9" t="s">
        <v>211</v>
      </c>
      <c r="B79" s="9" t="s">
        <v>212</v>
      </c>
      <c r="C79" s="9" t="s">
        <v>174</v>
      </c>
      <c r="D79" s="9" t="n">
        <v>500</v>
      </c>
      <c r="E79" s="9" t="s">
        <v>61</v>
      </c>
      <c r="F79" s="10" t="n">
        <v>118</v>
      </c>
      <c r="G79" s="11" t="n">
        <f aca="false">IFERROR(F79/D79,0)</f>
        <v>0.236</v>
      </c>
      <c r="H79" s="9" t="n">
        <f aca="false">COUNTIF(Ingredientes!$E:$E,A79)</f>
        <v>2</v>
      </c>
      <c r="I79" s="9" t="n">
        <f aca="false">SUMIF(Ingredientes!$E:$E,A79,Ingredientes!$F:$F)</f>
        <v>115</v>
      </c>
    </row>
    <row r="80" customFormat="false" ht="15" hidden="false" customHeight="false" outlineLevel="0" collapsed="false">
      <c r="A80" s="9" t="s">
        <v>213</v>
      </c>
      <c r="B80" s="9" t="s">
        <v>214</v>
      </c>
      <c r="C80" s="9" t="s">
        <v>174</v>
      </c>
      <c r="D80" s="9" t="n">
        <v>250</v>
      </c>
      <c r="E80" s="9" t="s">
        <v>61</v>
      </c>
      <c r="F80" s="10" t="n">
        <v>145</v>
      </c>
      <c r="G80" s="11" t="n">
        <f aca="false">IFERROR(F80/D80,0)</f>
        <v>0.58</v>
      </c>
      <c r="H80" s="9" t="n">
        <f aca="false">COUNTIF(Ingredientes!$E:$E,A80)</f>
        <v>1</v>
      </c>
      <c r="I80" s="9" t="n">
        <f aca="false">SUMIF(Ingredientes!$E:$E,A80,Ingredientes!$F:$F)</f>
        <v>15</v>
      </c>
    </row>
    <row r="81" customFormat="false" ht="15" hidden="false" customHeight="false" outlineLevel="0" collapsed="false">
      <c r="A81" s="9" t="s">
        <v>215</v>
      </c>
      <c r="B81" s="9" t="s">
        <v>216</v>
      </c>
      <c r="C81" s="9" t="s">
        <v>174</v>
      </c>
      <c r="D81" s="9" t="n">
        <v>500</v>
      </c>
      <c r="E81" s="9" t="s">
        <v>61</v>
      </c>
      <c r="F81" s="10" t="n">
        <v>78</v>
      </c>
      <c r="G81" s="11" t="n">
        <f aca="false">IFERROR(F81/D81,0)</f>
        <v>0.156</v>
      </c>
      <c r="H81" s="9" t="n">
        <f aca="false">COUNTIF(Ingredientes!$E:$E,A81)</f>
        <v>2</v>
      </c>
      <c r="I81" s="9" t="n">
        <f aca="false">SUMIF(Ingredientes!$E:$E,A81,Ingredientes!$F:$F)</f>
        <v>60</v>
      </c>
    </row>
    <row r="82" customFormat="false" ht="15" hidden="false" customHeight="false" outlineLevel="0" collapsed="false">
      <c r="A82" s="9" t="s">
        <v>217</v>
      </c>
      <c r="B82" s="9" t="s">
        <v>218</v>
      </c>
      <c r="C82" s="9" t="s">
        <v>174</v>
      </c>
      <c r="D82" s="9" t="n">
        <v>500</v>
      </c>
      <c r="E82" s="9" t="s">
        <v>61</v>
      </c>
      <c r="F82" s="10" t="n">
        <v>620</v>
      </c>
      <c r="G82" s="11" t="n">
        <f aca="false">IFERROR(F82/D82,0)</f>
        <v>1.24</v>
      </c>
      <c r="H82" s="9" t="n">
        <f aca="false">COUNTIF(Ingredientes!$E:$E,A82)</f>
        <v>2</v>
      </c>
      <c r="I82" s="9" t="n">
        <f aca="false">SUMIF(Ingredientes!$E:$E,A82,Ingredientes!$F:$F)</f>
        <v>220</v>
      </c>
    </row>
    <row r="83" customFormat="false" ht="15" hidden="false" customHeight="false" outlineLevel="0" collapsed="false">
      <c r="A83" s="9" t="s">
        <v>219</v>
      </c>
      <c r="B83" s="9" t="s">
        <v>220</v>
      </c>
      <c r="C83" s="9" t="s">
        <v>221</v>
      </c>
      <c r="D83" s="9" t="n">
        <v>1000</v>
      </c>
      <c r="E83" s="9" t="s">
        <v>61</v>
      </c>
      <c r="F83" s="10" t="n">
        <v>26</v>
      </c>
      <c r="G83" s="11" t="n">
        <f aca="false">IFERROR(F83/D83,0)</f>
        <v>0.026</v>
      </c>
      <c r="H83" s="9" t="n">
        <f aca="false">COUNTIF(Ingredientes!$E:$E,A83)</f>
        <v>9</v>
      </c>
      <c r="I83" s="9" t="n">
        <f aca="false">SUMIF(Ingredientes!$E:$E,A83,Ingredientes!$F:$F)</f>
        <v>535</v>
      </c>
    </row>
    <row r="84" customFormat="false" ht="15" hidden="false" customHeight="false" outlineLevel="0" collapsed="false">
      <c r="A84" s="9" t="s">
        <v>222</v>
      </c>
      <c r="B84" s="9" t="s">
        <v>223</v>
      </c>
      <c r="C84" s="9" t="s">
        <v>221</v>
      </c>
      <c r="D84" s="9" t="n">
        <v>1000</v>
      </c>
      <c r="E84" s="9" t="s">
        <v>61</v>
      </c>
      <c r="F84" s="10" t="n">
        <v>58</v>
      </c>
      <c r="G84" s="11" t="n">
        <f aca="false">IFERROR(F84/D84,0)</f>
        <v>0.058</v>
      </c>
      <c r="H84" s="9" t="n">
        <f aca="false">COUNTIF(Ingredientes!$E:$E,A84)</f>
        <v>13</v>
      </c>
      <c r="I84" s="9" t="n">
        <f aca="false">SUMIF(Ingredientes!$E:$E,A84,Ingredientes!$F:$F)</f>
        <v>475</v>
      </c>
    </row>
    <row r="85" customFormat="false" ht="15" hidden="false" customHeight="false" outlineLevel="0" collapsed="false">
      <c r="A85" s="9" t="s">
        <v>224</v>
      </c>
      <c r="B85" s="9" t="s">
        <v>225</v>
      </c>
      <c r="C85" s="9" t="s">
        <v>221</v>
      </c>
      <c r="D85" s="9" t="n">
        <v>1000</v>
      </c>
      <c r="E85" s="9" t="s">
        <v>61</v>
      </c>
      <c r="F85" s="10" t="n">
        <v>32</v>
      </c>
      <c r="G85" s="11" t="n">
        <f aca="false">IFERROR(F85/D85,0)</f>
        <v>0.032</v>
      </c>
      <c r="H85" s="9" t="n">
        <f aca="false">COUNTIF(Ingredientes!$E:$E,A85)</f>
        <v>5</v>
      </c>
      <c r="I85" s="9" t="n">
        <f aca="false">SUMIF(Ingredientes!$E:$E,A85,Ingredientes!$F:$F)</f>
        <v>80</v>
      </c>
    </row>
    <row r="86" customFormat="false" ht="15" hidden="false" customHeight="false" outlineLevel="0" collapsed="false">
      <c r="A86" s="9" t="s">
        <v>226</v>
      </c>
      <c r="B86" s="9" t="s">
        <v>227</v>
      </c>
      <c r="C86" s="9" t="s">
        <v>221</v>
      </c>
      <c r="D86" s="9" t="n">
        <v>1000</v>
      </c>
      <c r="E86" s="9" t="s">
        <v>61</v>
      </c>
      <c r="F86" s="10" t="n">
        <v>34</v>
      </c>
      <c r="G86" s="11" t="n">
        <f aca="false">IFERROR(F86/D86,0)</f>
        <v>0.034</v>
      </c>
      <c r="H86" s="9" t="n">
        <f aca="false">COUNTIF(Ingredientes!$E:$E,A86)</f>
        <v>3</v>
      </c>
      <c r="I86" s="9" t="n">
        <f aca="false">SUMIF(Ingredientes!$E:$E,A86,Ingredientes!$F:$F)</f>
        <v>180</v>
      </c>
    </row>
    <row r="87" customFormat="false" ht="15" hidden="false" customHeight="false" outlineLevel="0" collapsed="false">
      <c r="A87" s="9" t="s">
        <v>228</v>
      </c>
      <c r="B87" s="9" t="s">
        <v>229</v>
      </c>
      <c r="C87" s="9" t="s">
        <v>221</v>
      </c>
      <c r="D87" s="9" t="n">
        <v>1000</v>
      </c>
      <c r="E87" s="9" t="s">
        <v>61</v>
      </c>
      <c r="F87" s="10" t="n">
        <v>38</v>
      </c>
      <c r="G87" s="11" t="n">
        <f aca="false">IFERROR(F87/D87,0)</f>
        <v>0.038</v>
      </c>
      <c r="H87" s="9" t="n">
        <f aca="false">COUNTIF(Ingredientes!$E:$E,A87)</f>
        <v>4</v>
      </c>
      <c r="I87" s="9" t="n">
        <f aca="false">SUMIF(Ingredientes!$E:$E,A87,Ingredientes!$F:$F)</f>
        <v>265</v>
      </c>
    </row>
    <row r="88" customFormat="false" ht="15" hidden="false" customHeight="false" outlineLevel="0" collapsed="false">
      <c r="A88" s="9" t="s">
        <v>230</v>
      </c>
      <c r="B88" s="9" t="s">
        <v>231</v>
      </c>
      <c r="C88" s="9" t="s">
        <v>221</v>
      </c>
      <c r="D88" s="9" t="n">
        <v>250</v>
      </c>
      <c r="E88" s="9" t="s">
        <v>74</v>
      </c>
      <c r="F88" s="10" t="n">
        <v>385</v>
      </c>
      <c r="G88" s="11" t="n">
        <f aca="false">IFERROR(F88/D88,0)</f>
        <v>1.54</v>
      </c>
      <c r="H88" s="9" t="n">
        <f aca="false">COUNTIF(Ingredientes!$E:$E,A88)</f>
        <v>2</v>
      </c>
      <c r="I88" s="9" t="n">
        <f aca="false">SUMIF(Ingredientes!$E:$E,A88,Ingredientes!$F:$F)</f>
        <v>80</v>
      </c>
    </row>
    <row r="89" customFormat="false" ht="15" hidden="false" customHeight="false" outlineLevel="0" collapsed="false">
      <c r="A89" s="9" t="s">
        <v>232</v>
      </c>
      <c r="B89" s="9" t="s">
        <v>233</v>
      </c>
      <c r="C89" s="9" t="s">
        <v>221</v>
      </c>
      <c r="D89" s="9" t="n">
        <v>1000</v>
      </c>
      <c r="E89" s="9" t="s">
        <v>61</v>
      </c>
      <c r="F89" s="10" t="n">
        <v>210</v>
      </c>
      <c r="G89" s="11" t="n">
        <f aca="false">IFERROR(F89/D89,0)</f>
        <v>0.21</v>
      </c>
      <c r="H89" s="9" t="n">
        <f aca="false">COUNTIF(Ingredientes!$E:$E,A89)</f>
        <v>6</v>
      </c>
      <c r="I89" s="9" t="n">
        <f aca="false">SUMIF(Ingredientes!$E:$E,A89,Ingredientes!$F:$F)</f>
        <v>173</v>
      </c>
    </row>
    <row r="90" customFormat="false" ht="15" hidden="false" customHeight="false" outlineLevel="0" collapsed="false">
      <c r="A90" s="9" t="s">
        <v>234</v>
      </c>
      <c r="B90" s="9" t="s">
        <v>235</v>
      </c>
      <c r="C90" s="9" t="s">
        <v>221</v>
      </c>
      <c r="D90" s="9" t="n">
        <v>1000</v>
      </c>
      <c r="E90" s="9" t="s">
        <v>61</v>
      </c>
      <c r="F90" s="10" t="n">
        <v>68</v>
      </c>
      <c r="G90" s="11" t="n">
        <f aca="false">IFERROR(F90/D90,0)</f>
        <v>0.068</v>
      </c>
      <c r="H90" s="9" t="n">
        <f aca="false">COUNTIF(Ingredientes!$E:$E,A90)</f>
        <v>2</v>
      </c>
      <c r="I90" s="9" t="n">
        <f aca="false">SUMIF(Ingredientes!$E:$E,A90,Ingredientes!$F:$F)</f>
        <v>200</v>
      </c>
    </row>
    <row r="91" customFormat="false" ht="15" hidden="false" customHeight="false" outlineLevel="0" collapsed="false">
      <c r="A91" s="9" t="s">
        <v>236</v>
      </c>
      <c r="B91" s="9" t="s">
        <v>237</v>
      </c>
      <c r="C91" s="9" t="s">
        <v>221</v>
      </c>
      <c r="D91" s="9" t="n">
        <v>500</v>
      </c>
      <c r="E91" s="9" t="s">
        <v>61</v>
      </c>
      <c r="F91" s="10" t="n">
        <v>95</v>
      </c>
      <c r="G91" s="11" t="n">
        <f aca="false">IFERROR(F91/D91,0)</f>
        <v>0.19</v>
      </c>
      <c r="H91" s="9" t="n">
        <f aca="false">COUNTIF(Ingredientes!$E:$E,A91)</f>
        <v>1</v>
      </c>
      <c r="I91" s="9" t="n">
        <f aca="false">SUMIF(Ingredientes!$E:$E,A91,Ingredientes!$F:$F)</f>
        <v>120</v>
      </c>
    </row>
    <row r="92" customFormat="false" ht="15" hidden="false" customHeight="false" outlineLevel="0" collapsed="false">
      <c r="A92" s="9" t="s">
        <v>238</v>
      </c>
      <c r="B92" s="9" t="s">
        <v>239</v>
      </c>
      <c r="C92" s="9" t="s">
        <v>221</v>
      </c>
      <c r="D92" s="9" t="n">
        <v>1000</v>
      </c>
      <c r="E92" s="9" t="s">
        <v>61</v>
      </c>
      <c r="F92" s="10" t="n">
        <v>24</v>
      </c>
      <c r="G92" s="11" t="n">
        <f aca="false">IFERROR(F92/D92,0)</f>
        <v>0.024</v>
      </c>
      <c r="H92" s="9" t="n">
        <f aca="false">COUNTIF(Ingredientes!$E:$E,A92)</f>
        <v>2</v>
      </c>
      <c r="I92" s="9" t="n">
        <f aca="false">SUMIF(Ingredientes!$E:$E,A92,Ingredientes!$F:$F)</f>
        <v>390</v>
      </c>
    </row>
    <row r="93" customFormat="false" ht="15" hidden="false" customHeight="false" outlineLevel="0" collapsed="false">
      <c r="A93" s="9" t="s">
        <v>240</v>
      </c>
      <c r="B93" s="9" t="s">
        <v>241</v>
      </c>
      <c r="C93" s="9" t="s">
        <v>221</v>
      </c>
      <c r="D93" s="9" t="n">
        <v>1000</v>
      </c>
      <c r="E93" s="9" t="s">
        <v>61</v>
      </c>
      <c r="F93" s="10" t="n">
        <v>48</v>
      </c>
      <c r="G93" s="11" t="n">
        <f aca="false">IFERROR(F93/D93,0)</f>
        <v>0.048</v>
      </c>
      <c r="H93" s="9" t="n">
        <f aca="false">COUNTIF(Ingredientes!$E:$E,A93)</f>
        <v>1</v>
      </c>
      <c r="I93" s="9" t="n">
        <f aca="false">SUMIF(Ingredientes!$E:$E,A93,Ingredientes!$F:$F)</f>
        <v>360</v>
      </c>
    </row>
    <row r="94" customFormat="false" ht="15" hidden="false" customHeight="false" outlineLevel="0" collapsed="false">
      <c r="A94" s="9" t="s">
        <v>242</v>
      </c>
      <c r="B94" s="9" t="s">
        <v>243</v>
      </c>
      <c r="C94" s="9" t="s">
        <v>221</v>
      </c>
      <c r="D94" s="9" t="n">
        <v>1000</v>
      </c>
      <c r="E94" s="9" t="s">
        <v>61</v>
      </c>
      <c r="F94" s="10" t="n">
        <v>62</v>
      </c>
      <c r="G94" s="11" t="n">
        <f aca="false">IFERROR(F94/D94,0)</f>
        <v>0.062</v>
      </c>
      <c r="H94" s="9" t="n">
        <f aca="false">COUNTIF(Ingredientes!$E:$E,A94)</f>
        <v>1</v>
      </c>
      <c r="I94" s="9" t="n">
        <f aca="false">SUMIF(Ingredientes!$E:$E,A94,Ingredientes!$F:$F)</f>
        <v>360</v>
      </c>
    </row>
    <row r="95" customFormat="false" ht="15" hidden="false" customHeight="false" outlineLevel="0" collapsed="false">
      <c r="A95" s="9" t="s">
        <v>244</v>
      </c>
      <c r="B95" s="9" t="s">
        <v>245</v>
      </c>
      <c r="C95" s="9" t="s">
        <v>221</v>
      </c>
      <c r="D95" s="9" t="n">
        <v>1000</v>
      </c>
      <c r="E95" s="9" t="s">
        <v>61</v>
      </c>
      <c r="F95" s="10" t="n">
        <v>45</v>
      </c>
      <c r="G95" s="11" t="n">
        <f aca="false">IFERROR(F95/D95,0)</f>
        <v>0.045</v>
      </c>
      <c r="H95" s="9" t="n">
        <f aca="false">COUNTIF(Ingredientes!$E:$E,A95)</f>
        <v>1</v>
      </c>
      <c r="I95" s="9" t="n">
        <f aca="false">SUMIF(Ingredientes!$E:$E,A95,Ingredientes!$F:$F)</f>
        <v>420</v>
      </c>
    </row>
    <row r="96" customFormat="false" ht="15" hidden="false" customHeight="false" outlineLevel="0" collapsed="false">
      <c r="A96" s="9" t="s">
        <v>246</v>
      </c>
      <c r="B96" s="9" t="s">
        <v>247</v>
      </c>
      <c r="C96" s="9" t="s">
        <v>221</v>
      </c>
      <c r="D96" s="9" t="n">
        <v>1000</v>
      </c>
      <c r="E96" s="9" t="s">
        <v>61</v>
      </c>
      <c r="F96" s="10" t="n">
        <v>22</v>
      </c>
      <c r="G96" s="11" t="n">
        <f aca="false">IFERROR(F96/D96,0)</f>
        <v>0.022</v>
      </c>
      <c r="H96" s="9" t="n">
        <f aca="false">COUNTIF(Ingredientes!$E:$E,A96)</f>
        <v>2</v>
      </c>
      <c r="I96" s="9" t="n">
        <f aca="false">SUMIF(Ingredientes!$E:$E,A96,Ingredientes!$F:$F)</f>
        <v>250</v>
      </c>
    </row>
    <row r="97" customFormat="false" ht="15" hidden="false" customHeight="false" outlineLevel="0" collapsed="false">
      <c r="A97" s="9" t="s">
        <v>248</v>
      </c>
      <c r="B97" s="9" t="s">
        <v>249</v>
      </c>
      <c r="C97" s="9" t="s">
        <v>221</v>
      </c>
      <c r="D97" s="9" t="n">
        <v>1000</v>
      </c>
      <c r="E97" s="9" t="s">
        <v>61</v>
      </c>
      <c r="F97" s="10" t="n">
        <v>20</v>
      </c>
      <c r="G97" s="11" t="n">
        <f aca="false">IFERROR(F97/D97,0)</f>
        <v>0.02</v>
      </c>
      <c r="H97" s="9" t="n">
        <f aca="false">COUNTIF(Ingredientes!$E:$E,A97)</f>
        <v>1</v>
      </c>
      <c r="I97" s="9" t="n">
        <f aca="false">SUMIF(Ingredientes!$E:$E,A97,Ingredientes!$F:$F)</f>
        <v>200</v>
      </c>
    </row>
    <row r="98" customFormat="false" ht="15" hidden="false" customHeight="false" outlineLevel="0" collapsed="false">
      <c r="A98" s="9" t="s">
        <v>250</v>
      </c>
      <c r="B98" s="9" t="s">
        <v>251</v>
      </c>
      <c r="C98" s="9" t="s">
        <v>221</v>
      </c>
      <c r="D98" s="9" t="n">
        <v>500</v>
      </c>
      <c r="E98" s="9" t="s">
        <v>61</v>
      </c>
      <c r="F98" s="10" t="n">
        <v>88</v>
      </c>
      <c r="G98" s="11" t="n">
        <f aca="false">IFERROR(F98/D98,0)</f>
        <v>0.176</v>
      </c>
      <c r="H98" s="9" t="n">
        <f aca="false">COUNTIF(Ingredientes!$E:$E,A98)</f>
        <v>1</v>
      </c>
      <c r="I98" s="9" t="n">
        <f aca="false">SUMIF(Ingredientes!$E:$E,A98,Ingredientes!$F:$F)</f>
        <v>70</v>
      </c>
    </row>
    <row r="99" customFormat="false" ht="15" hidden="false" customHeight="false" outlineLevel="0" collapsed="false">
      <c r="A99" s="9" t="s">
        <v>252</v>
      </c>
      <c r="B99" s="9" t="s">
        <v>253</v>
      </c>
      <c r="C99" s="9" t="s">
        <v>221</v>
      </c>
      <c r="D99" s="9" t="n">
        <v>500</v>
      </c>
      <c r="E99" s="9" t="s">
        <v>61</v>
      </c>
      <c r="F99" s="10" t="n">
        <v>145</v>
      </c>
      <c r="G99" s="11" t="n">
        <f aca="false">IFERROR(F99/D99,0)</f>
        <v>0.29</v>
      </c>
      <c r="H99" s="9" t="n">
        <f aca="false">COUNTIF(Ingredientes!$E:$E,A99)</f>
        <v>1</v>
      </c>
      <c r="I99" s="9" t="n">
        <f aca="false">SUMIF(Ingredientes!$E:$E,A99,Ingredientes!$F:$F)</f>
        <v>100</v>
      </c>
    </row>
    <row r="100" customFormat="false" ht="15" hidden="false" customHeight="false" outlineLevel="0" collapsed="false">
      <c r="A100" s="9" t="s">
        <v>254</v>
      </c>
      <c r="B100" s="9" t="s">
        <v>255</v>
      </c>
      <c r="C100" s="9" t="s">
        <v>221</v>
      </c>
      <c r="D100" s="9" t="n">
        <v>250</v>
      </c>
      <c r="E100" s="9" t="s">
        <v>61</v>
      </c>
      <c r="F100" s="10" t="n">
        <v>98</v>
      </c>
      <c r="G100" s="11" t="n">
        <f aca="false">IFERROR(F100/D100,0)</f>
        <v>0.392</v>
      </c>
      <c r="H100" s="9" t="n">
        <f aca="false">COUNTIF(Ingredientes!$E:$E,A100)</f>
        <v>1</v>
      </c>
      <c r="I100" s="9" t="n">
        <f aca="false">SUMIF(Ingredientes!$E:$E,A100,Ingredientes!$F:$F)</f>
        <v>40</v>
      </c>
    </row>
    <row r="101" customFormat="false" ht="15" hidden="false" customHeight="false" outlineLevel="0" collapsed="false">
      <c r="A101" s="9" t="s">
        <v>256</v>
      </c>
      <c r="B101" s="9" t="s">
        <v>257</v>
      </c>
      <c r="C101" s="9" t="s">
        <v>221</v>
      </c>
      <c r="D101" s="9" t="n">
        <v>500</v>
      </c>
      <c r="E101" s="9" t="s">
        <v>61</v>
      </c>
      <c r="F101" s="10" t="n">
        <v>145</v>
      </c>
      <c r="G101" s="11" t="n">
        <f aca="false">IFERROR(F101/D101,0)</f>
        <v>0.29</v>
      </c>
      <c r="H101" s="9" t="n">
        <f aca="false">COUNTIF(Ingredientes!$E:$E,A101)</f>
        <v>1</v>
      </c>
      <c r="I101" s="9" t="n">
        <f aca="false">SUMIF(Ingredientes!$E:$E,A101,Ingredientes!$F:$F)</f>
        <v>200</v>
      </c>
    </row>
    <row r="102" customFormat="false" ht="15" hidden="false" customHeight="false" outlineLevel="0" collapsed="false">
      <c r="A102" s="9" t="s">
        <v>258</v>
      </c>
      <c r="B102" s="9" t="s">
        <v>259</v>
      </c>
      <c r="C102" s="9" t="s">
        <v>221</v>
      </c>
      <c r="D102" s="9" t="n">
        <v>500</v>
      </c>
      <c r="E102" s="9" t="s">
        <v>61</v>
      </c>
      <c r="F102" s="10" t="n">
        <v>195</v>
      </c>
      <c r="G102" s="11" t="n">
        <f aca="false">IFERROR(F102/D102,0)</f>
        <v>0.39</v>
      </c>
      <c r="H102" s="9" t="n">
        <f aca="false">COUNTIF(Ingredientes!$E:$E,A102)</f>
        <v>1</v>
      </c>
      <c r="I102" s="9" t="n">
        <f aca="false">SUMIF(Ingredientes!$E:$E,A102,Ingredientes!$F:$F)</f>
        <v>180</v>
      </c>
    </row>
    <row r="103" customFormat="false" ht="15" hidden="false" customHeight="false" outlineLevel="0" collapsed="false">
      <c r="A103" s="9" t="s">
        <v>260</v>
      </c>
      <c r="B103" s="9" t="s">
        <v>261</v>
      </c>
      <c r="C103" s="9" t="s">
        <v>221</v>
      </c>
      <c r="D103" s="9" t="n">
        <v>500</v>
      </c>
      <c r="E103" s="9" t="s">
        <v>61</v>
      </c>
      <c r="F103" s="10" t="n">
        <v>88</v>
      </c>
      <c r="G103" s="11" t="n">
        <f aca="false">IFERROR(F103/D103,0)</f>
        <v>0.176</v>
      </c>
      <c r="H103" s="9" t="n">
        <f aca="false">COUNTIF(Ingredientes!$E:$E,A103)</f>
        <v>1</v>
      </c>
      <c r="I103" s="9" t="n">
        <f aca="false">SUMIF(Ingredientes!$E:$E,A103,Ingredientes!$F:$F)</f>
        <v>160</v>
      </c>
    </row>
    <row r="104" customFormat="false" ht="15" hidden="false" customHeight="false" outlineLevel="0" collapsed="false">
      <c r="A104" s="9" t="s">
        <v>262</v>
      </c>
      <c r="B104" s="9" t="s">
        <v>263</v>
      </c>
      <c r="C104" s="9" t="s">
        <v>221</v>
      </c>
      <c r="D104" s="9" t="n">
        <v>170</v>
      </c>
      <c r="E104" s="9" t="s">
        <v>61</v>
      </c>
      <c r="F104" s="10" t="n">
        <v>58</v>
      </c>
      <c r="G104" s="11" t="n">
        <f aca="false">IFERROR(F104/D104,0)</f>
        <v>0.341176470588235</v>
      </c>
      <c r="H104" s="9" t="n">
        <f aca="false">COUNTIF(Ingredientes!$E:$E,A104)</f>
        <v>1</v>
      </c>
      <c r="I104" s="9" t="n">
        <f aca="false">SUMIF(Ingredientes!$E:$E,A104,Ingredientes!$F:$F)</f>
        <v>130</v>
      </c>
    </row>
    <row r="105" customFormat="false" ht="15" hidden="false" customHeight="false" outlineLevel="0" collapsed="false">
      <c r="A105" s="9" t="s">
        <v>264</v>
      </c>
      <c r="B105" s="9" t="s">
        <v>265</v>
      </c>
      <c r="C105" s="9" t="s">
        <v>221</v>
      </c>
      <c r="D105" s="9" t="n">
        <v>100</v>
      </c>
      <c r="E105" s="9" t="s">
        <v>61</v>
      </c>
      <c r="F105" s="10" t="n">
        <v>265</v>
      </c>
      <c r="G105" s="11" t="n">
        <f aca="false">IFERROR(F105/D105,0)</f>
        <v>2.65</v>
      </c>
      <c r="H105" s="9" t="n">
        <f aca="false">COUNTIF(Ingredientes!$E:$E,A105)</f>
        <v>2</v>
      </c>
      <c r="I105" s="9" t="n">
        <f aca="false">SUMIF(Ingredientes!$E:$E,A105,Ingredientes!$F:$F)</f>
        <v>55</v>
      </c>
    </row>
    <row r="106" customFormat="false" ht="15" hidden="false" customHeight="false" outlineLevel="0" collapsed="false">
      <c r="A106" s="9" t="s">
        <v>266</v>
      </c>
      <c r="B106" s="9" t="s">
        <v>267</v>
      </c>
      <c r="C106" s="9" t="s">
        <v>221</v>
      </c>
      <c r="D106" s="9" t="n">
        <v>500</v>
      </c>
      <c r="E106" s="9" t="s">
        <v>61</v>
      </c>
      <c r="F106" s="10" t="n">
        <v>145</v>
      </c>
      <c r="G106" s="11" t="n">
        <f aca="false">IFERROR(F106/D106,0)</f>
        <v>0.29</v>
      </c>
      <c r="H106" s="9" t="n">
        <f aca="false">COUNTIF(Ingredientes!$E:$E,A106)</f>
        <v>2</v>
      </c>
      <c r="I106" s="9" t="n">
        <f aca="false">SUMIF(Ingredientes!$E:$E,A106,Ingredientes!$F:$F)</f>
        <v>270</v>
      </c>
    </row>
    <row r="107" customFormat="false" ht="15" hidden="false" customHeight="false" outlineLevel="0" collapsed="false">
      <c r="A107" s="9" t="s">
        <v>268</v>
      </c>
      <c r="B107" s="9" t="s">
        <v>269</v>
      </c>
      <c r="C107" s="9" t="s">
        <v>221</v>
      </c>
      <c r="D107" s="9" t="n">
        <v>400</v>
      </c>
      <c r="E107" s="9" t="s">
        <v>61</v>
      </c>
      <c r="F107" s="10" t="n">
        <v>265</v>
      </c>
      <c r="G107" s="11" t="n">
        <f aca="false">IFERROR(F107/D107,0)</f>
        <v>0.6625</v>
      </c>
      <c r="H107" s="9" t="n">
        <f aca="false">COUNTIF(Ingredientes!$E:$E,A107)</f>
        <v>2</v>
      </c>
      <c r="I107" s="9" t="n">
        <f aca="false">SUMIF(Ingredientes!$E:$E,A107,Ingredientes!$F:$F)</f>
        <v>120</v>
      </c>
    </row>
    <row r="108" customFormat="false" ht="15" hidden="false" customHeight="false" outlineLevel="0" collapsed="false">
      <c r="A108" s="9" t="s">
        <v>270</v>
      </c>
      <c r="B108" s="9" t="s">
        <v>271</v>
      </c>
      <c r="C108" s="9" t="s">
        <v>221</v>
      </c>
      <c r="D108" s="9" t="n">
        <v>1000</v>
      </c>
      <c r="E108" s="9" t="s">
        <v>61</v>
      </c>
      <c r="F108" s="10" t="n">
        <v>32</v>
      </c>
      <c r="G108" s="11" t="n">
        <f aca="false">IFERROR(F108/D108,0)</f>
        <v>0.032</v>
      </c>
      <c r="H108" s="9" t="n">
        <f aca="false">COUNTIF(Ingredientes!$E:$E,A108)</f>
        <v>1</v>
      </c>
      <c r="I108" s="9" t="n">
        <f aca="false">SUMIF(Ingredientes!$E:$E,A108,Ingredientes!$F:$F)</f>
        <v>200</v>
      </c>
    </row>
    <row r="109" customFormat="false" ht="15" hidden="false" customHeight="false" outlineLevel="0" collapsed="false">
      <c r="A109" s="9" t="s">
        <v>272</v>
      </c>
      <c r="B109" s="9" t="s">
        <v>273</v>
      </c>
      <c r="C109" s="9" t="s">
        <v>274</v>
      </c>
      <c r="D109" s="9" t="n">
        <v>250</v>
      </c>
      <c r="E109" s="9" t="s">
        <v>74</v>
      </c>
      <c r="F109" s="10" t="n">
        <v>420</v>
      </c>
      <c r="G109" s="11" t="n">
        <f aca="false">IFERROR(F109/D109,0)</f>
        <v>1.68</v>
      </c>
      <c r="H109" s="9" t="n">
        <f aca="false">COUNTIF(Ingredientes!$E:$E,A109)</f>
        <v>10</v>
      </c>
      <c r="I109" s="9" t="n">
        <f aca="false">SUMIF(Ingredientes!$E:$E,A109,Ingredientes!$F:$F)</f>
        <v>71</v>
      </c>
    </row>
    <row r="110" customFormat="false" ht="15" hidden="false" customHeight="false" outlineLevel="0" collapsed="false">
      <c r="A110" s="9" t="s">
        <v>275</v>
      </c>
      <c r="B110" s="9" t="s">
        <v>276</v>
      </c>
      <c r="C110" s="9" t="s">
        <v>274</v>
      </c>
      <c r="D110" s="9" t="n">
        <v>100</v>
      </c>
      <c r="E110" s="9" t="s">
        <v>61</v>
      </c>
      <c r="F110" s="10" t="n">
        <v>950</v>
      </c>
      <c r="G110" s="11" t="n">
        <f aca="false">IFERROR(F110/D110,0)</f>
        <v>9.5</v>
      </c>
      <c r="H110" s="9" t="n">
        <f aca="false">COUNTIF(Ingredientes!$E:$E,A110)</f>
        <v>3</v>
      </c>
      <c r="I110" s="9" t="n">
        <f aca="false">SUMIF(Ingredientes!$E:$E,A110,Ingredientes!$F:$F)</f>
        <v>12</v>
      </c>
    </row>
    <row r="111" customFormat="false" ht="15" hidden="false" customHeight="false" outlineLevel="0" collapsed="false">
      <c r="A111" s="9" t="s">
        <v>277</v>
      </c>
      <c r="B111" s="9" t="s">
        <v>278</v>
      </c>
      <c r="C111" s="9" t="s">
        <v>274</v>
      </c>
      <c r="D111" s="9" t="n">
        <v>250</v>
      </c>
      <c r="E111" s="9" t="s">
        <v>61</v>
      </c>
      <c r="F111" s="10" t="n">
        <v>185</v>
      </c>
      <c r="G111" s="11" t="n">
        <f aca="false">IFERROR(F111/D111,0)</f>
        <v>0.74</v>
      </c>
      <c r="H111" s="9" t="n">
        <f aca="false">COUNTIF(Ingredientes!$E:$E,A111)</f>
        <v>11</v>
      </c>
      <c r="I111" s="9" t="n">
        <f aca="false">SUMIF(Ingredientes!$E:$E,A111,Ingredientes!$F:$F)</f>
        <v>27.5</v>
      </c>
    </row>
    <row r="112" customFormat="false" ht="15" hidden="false" customHeight="false" outlineLevel="0" collapsed="false">
      <c r="A112" s="9" t="s">
        <v>279</v>
      </c>
      <c r="B112" s="9" t="s">
        <v>280</v>
      </c>
      <c r="C112" s="9" t="s">
        <v>274</v>
      </c>
      <c r="D112" s="9" t="n">
        <v>250</v>
      </c>
      <c r="E112" s="9" t="s">
        <v>61</v>
      </c>
      <c r="F112" s="10" t="n">
        <v>110</v>
      </c>
      <c r="G112" s="11" t="n">
        <f aca="false">IFERROR(F112/D112,0)</f>
        <v>0.44</v>
      </c>
      <c r="H112" s="9" t="n">
        <f aca="false">COUNTIF(Ingredientes!$E:$E,A112)</f>
        <v>3</v>
      </c>
      <c r="I112" s="9" t="n">
        <f aca="false">SUMIF(Ingredientes!$E:$E,A112,Ingredientes!$F:$F)</f>
        <v>8</v>
      </c>
    </row>
    <row r="113" customFormat="false" ht="15" hidden="false" customHeight="false" outlineLevel="0" collapsed="false">
      <c r="A113" s="9" t="s">
        <v>281</v>
      </c>
      <c r="B113" s="9" t="s">
        <v>282</v>
      </c>
      <c r="C113" s="9" t="s">
        <v>274</v>
      </c>
      <c r="D113" s="9" t="n">
        <v>100</v>
      </c>
      <c r="E113" s="9" t="s">
        <v>61</v>
      </c>
      <c r="F113" s="10" t="n">
        <v>165</v>
      </c>
      <c r="G113" s="11" t="n">
        <f aca="false">IFERROR(F113/D113,0)</f>
        <v>1.65</v>
      </c>
      <c r="H113" s="9" t="n">
        <f aca="false">COUNTIF(Ingredientes!$E:$E,A113)</f>
        <v>4</v>
      </c>
      <c r="I113" s="9" t="n">
        <f aca="false">SUMIF(Ingredientes!$E:$E,A113,Ingredientes!$F:$F)</f>
        <v>11</v>
      </c>
    </row>
    <row r="114" customFormat="false" ht="15" hidden="false" customHeight="false" outlineLevel="0" collapsed="false">
      <c r="A114" s="9" t="s">
        <v>283</v>
      </c>
      <c r="B114" s="9" t="s">
        <v>284</v>
      </c>
      <c r="C114" s="9" t="s">
        <v>274</v>
      </c>
      <c r="D114" s="9" t="n">
        <v>250</v>
      </c>
      <c r="E114" s="9" t="s">
        <v>61</v>
      </c>
      <c r="F114" s="10" t="n">
        <v>88</v>
      </c>
      <c r="G114" s="11" t="n">
        <f aca="false">IFERROR(F114/D114,0)</f>
        <v>0.352</v>
      </c>
      <c r="H114" s="9" t="n">
        <f aca="false">COUNTIF(Ingredientes!$E:$E,A114)</f>
        <v>4</v>
      </c>
      <c r="I114" s="9" t="n">
        <f aca="false">SUMIF(Ingredientes!$E:$E,A114,Ingredientes!$F:$F)</f>
        <v>7</v>
      </c>
    </row>
    <row r="115" customFormat="false" ht="15" hidden="false" customHeight="false" outlineLevel="0" collapsed="false">
      <c r="A115" s="9" t="s">
        <v>285</v>
      </c>
      <c r="B115" s="9" t="s">
        <v>286</v>
      </c>
      <c r="C115" s="9" t="s">
        <v>274</v>
      </c>
      <c r="D115" s="9" t="n">
        <v>100</v>
      </c>
      <c r="E115" s="9" t="s">
        <v>61</v>
      </c>
      <c r="F115" s="10" t="n">
        <v>95</v>
      </c>
      <c r="G115" s="11" t="n">
        <f aca="false">IFERROR(F115/D115,0)</f>
        <v>0.95</v>
      </c>
      <c r="H115" s="9" t="n">
        <f aca="false">COUNTIF(Ingredientes!$E:$E,A115)</f>
        <v>3</v>
      </c>
      <c r="I115" s="9" t="n">
        <f aca="false">SUMIF(Ingredientes!$E:$E,A115,Ingredientes!$F:$F)</f>
        <v>2.5</v>
      </c>
    </row>
    <row r="116" customFormat="false" ht="15" hidden="false" customHeight="false" outlineLevel="0" collapsed="false">
      <c r="A116" s="9" t="s">
        <v>287</v>
      </c>
      <c r="B116" s="9" t="s">
        <v>288</v>
      </c>
      <c r="C116" s="9" t="s">
        <v>274</v>
      </c>
      <c r="D116" s="9" t="n">
        <v>100</v>
      </c>
      <c r="E116" s="9" t="s">
        <v>61</v>
      </c>
      <c r="F116" s="10" t="n">
        <v>78</v>
      </c>
      <c r="G116" s="11" t="n">
        <f aca="false">IFERROR(F116/D116,0)</f>
        <v>0.78</v>
      </c>
      <c r="H116" s="9" t="n">
        <f aca="false">COUNTIF(Ingredientes!$E:$E,A116)</f>
        <v>3</v>
      </c>
      <c r="I116" s="9" t="n">
        <f aca="false">SUMIF(Ingredientes!$E:$E,A116,Ingredientes!$F:$F)</f>
        <v>3</v>
      </c>
    </row>
    <row r="117" customFormat="false" ht="15" hidden="false" customHeight="false" outlineLevel="0" collapsed="false">
      <c r="A117" s="9" t="s">
        <v>289</v>
      </c>
      <c r="B117" s="9" t="s">
        <v>290</v>
      </c>
      <c r="C117" s="9" t="s">
        <v>274</v>
      </c>
      <c r="D117" s="9" t="n">
        <v>100</v>
      </c>
      <c r="E117" s="9" t="s">
        <v>61</v>
      </c>
      <c r="F117" s="10" t="n">
        <v>85</v>
      </c>
      <c r="G117" s="11" t="n">
        <f aca="false">IFERROR(F117/D117,0)</f>
        <v>0.85</v>
      </c>
      <c r="H117" s="9" t="n">
        <f aca="false">COUNTIF(Ingredientes!$E:$E,A117)</f>
        <v>0</v>
      </c>
      <c r="I117" s="9" t="n">
        <f aca="false">SUMIF(Ingredientes!$E:$E,A117,Ingredientes!$F:$F)</f>
        <v>0</v>
      </c>
    </row>
    <row r="118" customFormat="false" ht="15" hidden="false" customHeight="false" outlineLevel="0" collapsed="false">
      <c r="A118" s="9" t="s">
        <v>291</v>
      </c>
      <c r="B118" s="9" t="s">
        <v>292</v>
      </c>
      <c r="C118" s="9" t="s">
        <v>274</v>
      </c>
      <c r="D118" s="9" t="n">
        <v>100</v>
      </c>
      <c r="E118" s="9" t="s">
        <v>61</v>
      </c>
      <c r="F118" s="10" t="n">
        <v>68</v>
      </c>
      <c r="G118" s="11" t="n">
        <f aca="false">IFERROR(F118/D118,0)</f>
        <v>0.68</v>
      </c>
      <c r="H118" s="9" t="n">
        <f aca="false">COUNTIF(Ingredientes!$E:$E,A118)</f>
        <v>1</v>
      </c>
      <c r="I118" s="9" t="n">
        <f aca="false">SUMIF(Ingredientes!$E:$E,A118,Ingredientes!$F:$F)</f>
        <v>1</v>
      </c>
    </row>
    <row r="119" customFormat="false" ht="15" hidden="false" customHeight="false" outlineLevel="0" collapsed="false">
      <c r="A119" s="9" t="s">
        <v>293</v>
      </c>
      <c r="B119" s="9" t="s">
        <v>294</v>
      </c>
      <c r="C119" s="9" t="s">
        <v>274</v>
      </c>
      <c r="D119" s="9" t="n">
        <v>100</v>
      </c>
      <c r="E119" s="9" t="s">
        <v>61</v>
      </c>
      <c r="F119" s="10" t="n">
        <v>480</v>
      </c>
      <c r="G119" s="11" t="n">
        <f aca="false">IFERROR(F119/D119,0)</f>
        <v>4.8</v>
      </c>
      <c r="H119" s="9" t="n">
        <f aca="false">COUNTIF(Ingredientes!$E:$E,A119)</f>
        <v>2</v>
      </c>
      <c r="I119" s="9" t="n">
        <f aca="false">SUMIF(Ingredientes!$E:$E,A119,Ingredientes!$F:$F)</f>
        <v>13</v>
      </c>
    </row>
    <row r="120" customFormat="false" ht="15" hidden="false" customHeight="false" outlineLevel="0" collapsed="false">
      <c r="A120" s="9" t="s">
        <v>295</v>
      </c>
      <c r="B120" s="9" t="s">
        <v>296</v>
      </c>
      <c r="C120" s="9" t="s">
        <v>274</v>
      </c>
      <c r="D120" s="9" t="n">
        <v>100</v>
      </c>
      <c r="E120" s="9" t="s">
        <v>61</v>
      </c>
      <c r="F120" s="10" t="n">
        <v>165</v>
      </c>
      <c r="G120" s="11" t="n">
        <f aca="false">IFERROR(F120/D120,0)</f>
        <v>1.65</v>
      </c>
      <c r="H120" s="9" t="n">
        <f aca="false">COUNTIF(Ingredientes!$E:$E,A120)</f>
        <v>3</v>
      </c>
      <c r="I120" s="9" t="n">
        <f aca="false">SUMIF(Ingredientes!$E:$E,A120,Ingredientes!$F:$F)</f>
        <v>15</v>
      </c>
    </row>
    <row r="121" customFormat="false" ht="15" hidden="false" customHeight="false" outlineLevel="0" collapsed="false">
      <c r="A121" s="9" t="s">
        <v>297</v>
      </c>
      <c r="B121" s="9" t="s">
        <v>298</v>
      </c>
      <c r="C121" s="9" t="s">
        <v>274</v>
      </c>
      <c r="D121" s="9" t="n">
        <v>100</v>
      </c>
      <c r="E121" s="9" t="s">
        <v>61</v>
      </c>
      <c r="F121" s="10" t="n">
        <v>145</v>
      </c>
      <c r="G121" s="11" t="n">
        <f aca="false">IFERROR(F121/D121,0)</f>
        <v>1.45</v>
      </c>
      <c r="H121" s="9" t="n">
        <f aca="false">COUNTIF(Ingredientes!$E:$E,A121)</f>
        <v>1</v>
      </c>
      <c r="I121" s="9" t="n">
        <f aca="false">SUMIF(Ingredientes!$E:$E,A121,Ingredientes!$F:$F)</f>
        <v>0</v>
      </c>
    </row>
    <row r="122" customFormat="false" ht="15" hidden="false" customHeight="false" outlineLevel="0" collapsed="false">
      <c r="A122" s="9" t="s">
        <v>299</v>
      </c>
      <c r="B122" s="9" t="s">
        <v>300</v>
      </c>
      <c r="C122" s="9" t="s">
        <v>274</v>
      </c>
      <c r="D122" s="9" t="n">
        <v>1000</v>
      </c>
      <c r="E122" s="9" t="s">
        <v>61</v>
      </c>
      <c r="F122" s="10" t="n">
        <v>385</v>
      </c>
      <c r="G122" s="11" t="n">
        <f aca="false">IFERROR(F122/D122,0)</f>
        <v>0.385</v>
      </c>
      <c r="H122" s="9" t="n">
        <f aca="false">COUNTIF(Ingredientes!$E:$E,A122)</f>
        <v>10</v>
      </c>
      <c r="I122" s="9" t="n">
        <f aca="false">SUMIF(Ingredientes!$E:$E,A122,Ingredientes!$F:$F)</f>
        <v>152</v>
      </c>
    </row>
    <row r="123" customFormat="false" ht="15" hidden="false" customHeight="false" outlineLevel="0" collapsed="false">
      <c r="A123" s="9" t="s">
        <v>301</v>
      </c>
      <c r="B123" s="9" t="s">
        <v>302</v>
      </c>
      <c r="C123" s="9" t="s">
        <v>274</v>
      </c>
      <c r="D123" s="9" t="n">
        <v>100</v>
      </c>
      <c r="E123" s="9" t="s">
        <v>61</v>
      </c>
      <c r="F123" s="10" t="n">
        <v>155</v>
      </c>
      <c r="G123" s="11" t="n">
        <f aca="false">IFERROR(F123/D123,0)</f>
        <v>1.55</v>
      </c>
      <c r="H123" s="9" t="n">
        <f aca="false">COUNTIF(Ingredientes!$E:$E,A123)</f>
        <v>1</v>
      </c>
      <c r="I123" s="9" t="n">
        <f aca="false">SUMIF(Ingredientes!$E:$E,A123,Ingredientes!$F:$F)</f>
        <v>8</v>
      </c>
    </row>
    <row r="124" customFormat="false" ht="15" hidden="false" customHeight="false" outlineLevel="0" collapsed="false">
      <c r="A124" s="9" t="s">
        <v>303</v>
      </c>
      <c r="B124" s="9" t="s">
        <v>304</v>
      </c>
      <c r="C124" s="9" t="s">
        <v>274</v>
      </c>
      <c r="D124" s="9" t="n">
        <v>100</v>
      </c>
      <c r="E124" s="9" t="s">
        <v>61</v>
      </c>
      <c r="F124" s="10" t="n">
        <v>38</v>
      </c>
      <c r="G124" s="11" t="n">
        <f aca="false">IFERROR(F124/D124,0)</f>
        <v>0.38</v>
      </c>
      <c r="H124" s="9" t="n">
        <f aca="false">COUNTIF(Ingredientes!$E:$E,A124)</f>
        <v>6</v>
      </c>
      <c r="I124" s="9" t="n">
        <f aca="false">SUMIF(Ingredientes!$E:$E,A124,Ingredientes!$F:$F)</f>
        <v>38</v>
      </c>
    </row>
    <row r="125" customFormat="false" ht="15" hidden="false" customHeight="false" outlineLevel="0" collapsed="false">
      <c r="A125" s="9" t="s">
        <v>305</v>
      </c>
      <c r="B125" s="9" t="s">
        <v>306</v>
      </c>
      <c r="C125" s="9" t="s">
        <v>274</v>
      </c>
      <c r="D125" s="9" t="n">
        <v>50</v>
      </c>
      <c r="E125" s="9" t="s">
        <v>61</v>
      </c>
      <c r="F125" s="10" t="n">
        <v>145</v>
      </c>
      <c r="G125" s="11" t="n">
        <f aca="false">IFERROR(F125/D125,0)</f>
        <v>2.9</v>
      </c>
      <c r="H125" s="9" t="n">
        <f aca="false">COUNTIF(Ingredientes!$E:$E,A125)</f>
        <v>1</v>
      </c>
      <c r="I125" s="9" t="n">
        <f aca="false">SUMIF(Ingredientes!$E:$E,A125,Ingredientes!$F:$F)</f>
        <v>2</v>
      </c>
    </row>
    <row r="126" customFormat="false" ht="15" hidden="false" customHeight="false" outlineLevel="0" collapsed="false">
      <c r="A126" s="9" t="s">
        <v>307</v>
      </c>
      <c r="B126" s="9" t="s">
        <v>308</v>
      </c>
      <c r="C126" s="9" t="s">
        <v>274</v>
      </c>
      <c r="D126" s="9" t="n">
        <v>50</v>
      </c>
      <c r="E126" s="9" t="s">
        <v>61</v>
      </c>
      <c r="F126" s="10" t="n">
        <v>120</v>
      </c>
      <c r="G126" s="11" t="n">
        <f aca="false">IFERROR(F126/D126,0)</f>
        <v>2.4</v>
      </c>
      <c r="H126" s="9" t="n">
        <f aca="false">COUNTIF(Ingredientes!$E:$E,A126)</f>
        <v>1</v>
      </c>
      <c r="I126" s="9" t="n">
        <f aca="false">SUMIF(Ingredientes!$E:$E,A126,Ingredientes!$F:$F)</f>
        <v>2</v>
      </c>
    </row>
    <row r="127" customFormat="false" ht="15" hidden="false" customHeight="false" outlineLevel="0" collapsed="false">
      <c r="A127" s="9" t="s">
        <v>309</v>
      </c>
      <c r="B127" s="9" t="s">
        <v>310</v>
      </c>
      <c r="C127" s="9" t="s">
        <v>274</v>
      </c>
      <c r="D127" s="9" t="n">
        <v>60</v>
      </c>
      <c r="E127" s="9" t="s">
        <v>74</v>
      </c>
      <c r="F127" s="10" t="n">
        <v>135</v>
      </c>
      <c r="G127" s="11" t="n">
        <f aca="false">IFERROR(F127/D127,0)</f>
        <v>2.25</v>
      </c>
      <c r="H127" s="9" t="n">
        <f aca="false">COUNTIF(Ingredientes!$E:$E,A127)</f>
        <v>2</v>
      </c>
      <c r="I127" s="9" t="n">
        <f aca="false">SUMIF(Ingredientes!$E:$E,A127,Ingredientes!$F:$F)</f>
        <v>5</v>
      </c>
    </row>
    <row r="128" customFormat="false" ht="15" hidden="false" customHeight="false" outlineLevel="0" collapsed="false">
      <c r="A128" s="9" t="s">
        <v>311</v>
      </c>
      <c r="B128" s="9" t="s">
        <v>312</v>
      </c>
      <c r="C128" s="9" t="s">
        <v>274</v>
      </c>
      <c r="D128" s="9" t="n">
        <v>60</v>
      </c>
      <c r="E128" s="9" t="s">
        <v>74</v>
      </c>
      <c r="F128" s="10" t="n">
        <v>115</v>
      </c>
      <c r="G128" s="11" t="n">
        <f aca="false">IFERROR(F128/D128,0)</f>
        <v>1.91666666666667</v>
      </c>
      <c r="H128" s="9" t="n">
        <f aca="false">COUNTIF(Ingredientes!$E:$E,A128)</f>
        <v>1</v>
      </c>
      <c r="I128" s="9" t="n">
        <f aca="false">SUMIF(Ingredientes!$E:$E,A128,Ingredientes!$F:$F)</f>
        <v>5</v>
      </c>
    </row>
    <row r="129" customFormat="false" ht="15" hidden="false" customHeight="false" outlineLevel="0" collapsed="false">
      <c r="A129" s="9" t="s">
        <v>313</v>
      </c>
      <c r="B129" s="9" t="s">
        <v>314</v>
      </c>
      <c r="C129" s="9" t="s">
        <v>274</v>
      </c>
      <c r="D129" s="9" t="n">
        <v>250</v>
      </c>
      <c r="E129" s="9" t="s">
        <v>74</v>
      </c>
      <c r="F129" s="10" t="n">
        <v>145</v>
      </c>
      <c r="G129" s="11" t="n">
        <f aca="false">IFERROR(F129/D129,0)</f>
        <v>0.58</v>
      </c>
      <c r="H129" s="9" t="n">
        <f aca="false">COUNTIF(Ingredientes!$E:$E,A129)</f>
        <v>1</v>
      </c>
      <c r="I129" s="9" t="n">
        <f aca="false">SUMIF(Ingredientes!$E:$E,A129,Ingredientes!$F:$F)</f>
        <v>5</v>
      </c>
    </row>
    <row r="130" customFormat="false" ht="15" hidden="false" customHeight="false" outlineLevel="0" collapsed="false">
      <c r="A130" s="9" t="s">
        <v>315</v>
      </c>
      <c r="B130" s="9" t="s">
        <v>316</v>
      </c>
      <c r="C130" s="9" t="s">
        <v>274</v>
      </c>
      <c r="D130" s="9" t="n">
        <v>100</v>
      </c>
      <c r="E130" s="9" t="s">
        <v>61</v>
      </c>
      <c r="F130" s="10" t="n">
        <v>125</v>
      </c>
      <c r="G130" s="11" t="n">
        <f aca="false">IFERROR(F130/D130,0)</f>
        <v>1.25</v>
      </c>
      <c r="H130" s="9" t="n">
        <f aca="false">COUNTIF(Ingredientes!$E:$E,A130)</f>
        <v>1</v>
      </c>
      <c r="I130" s="9" t="n">
        <f aca="false">SUMIF(Ingredientes!$E:$E,A130,Ingredientes!$F:$F)</f>
        <v>5</v>
      </c>
    </row>
    <row r="131" customFormat="false" ht="15" hidden="false" customHeight="false" outlineLevel="0" collapsed="false">
      <c r="A131" s="9" t="s">
        <v>317</v>
      </c>
      <c r="B131" s="9" t="s">
        <v>318</v>
      </c>
      <c r="C131" s="9" t="s">
        <v>274</v>
      </c>
      <c r="D131" s="9" t="n">
        <v>500</v>
      </c>
      <c r="E131" s="9" t="s">
        <v>74</v>
      </c>
      <c r="F131" s="10" t="n">
        <v>38</v>
      </c>
      <c r="G131" s="11" t="n">
        <f aca="false">IFERROR(F131/D131,0)</f>
        <v>0.076</v>
      </c>
      <c r="H131" s="9" t="n">
        <f aca="false">COUNTIF(Ingredientes!$E:$E,A131)</f>
        <v>1</v>
      </c>
      <c r="I131" s="9" t="n">
        <f aca="false">SUMIF(Ingredientes!$E:$E,A131,Ingredientes!$F:$F)</f>
        <v>6</v>
      </c>
    </row>
    <row r="132" customFormat="false" ht="15" hidden="false" customHeight="false" outlineLevel="0" collapsed="false">
      <c r="A132" s="9" t="s">
        <v>319</v>
      </c>
      <c r="B132" s="9" t="s">
        <v>320</v>
      </c>
      <c r="C132" s="9" t="s">
        <v>274</v>
      </c>
      <c r="D132" s="9" t="n">
        <v>500</v>
      </c>
      <c r="E132" s="9" t="s">
        <v>61</v>
      </c>
      <c r="F132" s="10" t="n">
        <v>165</v>
      </c>
      <c r="G132" s="11" t="n">
        <f aca="false">IFERROR(F132/D132,0)</f>
        <v>0.33</v>
      </c>
      <c r="H132" s="9" t="n">
        <f aca="false">COUNTIF(Ingredientes!$E:$E,A132)</f>
        <v>1</v>
      </c>
      <c r="I132" s="9" t="n">
        <f aca="false">SUMIF(Ingredientes!$E:$E,A132,Ingredientes!$F:$F)</f>
        <v>50</v>
      </c>
    </row>
    <row r="133" customFormat="false" ht="15" hidden="false" customHeight="false" outlineLevel="0" collapsed="false">
      <c r="A133" s="9" t="s">
        <v>321</v>
      </c>
      <c r="B133" s="9" t="s">
        <v>322</v>
      </c>
      <c r="C133" s="9" t="s">
        <v>323</v>
      </c>
      <c r="D133" s="9" t="n">
        <v>750</v>
      </c>
      <c r="E133" s="9" t="s">
        <v>74</v>
      </c>
      <c r="F133" s="10" t="n">
        <v>295</v>
      </c>
      <c r="G133" s="11" t="n">
        <f aca="false">IFERROR(F133/D133,0)</f>
        <v>0.393333333333333</v>
      </c>
      <c r="H133" s="9" t="n">
        <f aca="false">COUNTIF(Ingredientes!$E:$E,A133)</f>
        <v>3</v>
      </c>
      <c r="I133" s="9" t="n">
        <f aca="false">SUMIF(Ingredientes!$E:$E,A133,Ingredientes!$F:$F)</f>
        <v>35</v>
      </c>
    </row>
    <row r="134" customFormat="false" ht="15" hidden="false" customHeight="false" outlineLevel="0" collapsed="false">
      <c r="A134" s="9" t="s">
        <v>324</v>
      </c>
      <c r="B134" s="9" t="s">
        <v>325</v>
      </c>
      <c r="C134" s="9" t="s">
        <v>323</v>
      </c>
      <c r="D134" s="9" t="n">
        <v>700</v>
      </c>
      <c r="E134" s="9" t="s">
        <v>74</v>
      </c>
      <c r="F134" s="10" t="n">
        <v>385</v>
      </c>
      <c r="G134" s="11" t="n">
        <f aca="false">IFERROR(F134/D134,0)</f>
        <v>0.55</v>
      </c>
      <c r="H134" s="9" t="n">
        <f aca="false">COUNTIF(Ingredientes!$E:$E,A134)</f>
        <v>2</v>
      </c>
      <c r="I134" s="9" t="n">
        <f aca="false">SUMIF(Ingredientes!$E:$E,A134,Ingredientes!$F:$F)</f>
        <v>40</v>
      </c>
    </row>
    <row r="135" customFormat="false" ht="15" hidden="false" customHeight="false" outlineLevel="0" collapsed="false">
      <c r="A135" s="9" t="s">
        <v>326</v>
      </c>
      <c r="B135" s="9" t="s">
        <v>327</v>
      </c>
      <c r="C135" s="9" t="s">
        <v>323</v>
      </c>
      <c r="D135" s="9" t="n">
        <v>700</v>
      </c>
      <c r="E135" s="9" t="s">
        <v>74</v>
      </c>
      <c r="F135" s="10" t="n">
        <v>620</v>
      </c>
      <c r="G135" s="11" t="n">
        <f aca="false">IFERROR(F135/D135,0)</f>
        <v>0.885714285714286</v>
      </c>
      <c r="H135" s="9" t="n">
        <f aca="false">COUNTIF(Ingredientes!$E:$E,A135)</f>
        <v>2</v>
      </c>
      <c r="I135" s="9" t="n">
        <f aca="false">SUMIF(Ingredientes!$E:$E,A135,Ingredientes!$F:$F)</f>
        <v>45</v>
      </c>
    </row>
    <row r="136" customFormat="false" ht="15" hidden="false" customHeight="false" outlineLevel="0" collapsed="false">
      <c r="A136" s="9" t="s">
        <v>328</v>
      </c>
      <c r="B136" s="9" t="s">
        <v>329</v>
      </c>
      <c r="C136" s="9" t="s">
        <v>323</v>
      </c>
      <c r="D136" s="9" t="n">
        <v>700</v>
      </c>
      <c r="E136" s="9" t="s">
        <v>74</v>
      </c>
      <c r="F136" s="10" t="n">
        <v>480</v>
      </c>
      <c r="G136" s="11" t="n">
        <f aca="false">IFERROR(F136/D136,0)</f>
        <v>0.685714285714286</v>
      </c>
      <c r="H136" s="9" t="n">
        <f aca="false">COUNTIF(Ingredientes!$E:$E,A136)</f>
        <v>3</v>
      </c>
      <c r="I136" s="9" t="n">
        <f aca="false">SUMIF(Ingredientes!$E:$E,A136,Ingredientes!$F:$F)</f>
        <v>75</v>
      </c>
    </row>
    <row r="137" customFormat="false" ht="15" hidden="false" customHeight="false" outlineLevel="0" collapsed="false">
      <c r="A137" s="9" t="s">
        <v>330</v>
      </c>
      <c r="B137" s="9" t="s">
        <v>331</v>
      </c>
      <c r="C137" s="9" t="s">
        <v>323</v>
      </c>
      <c r="D137" s="9" t="n">
        <v>750</v>
      </c>
      <c r="E137" s="9" t="s">
        <v>74</v>
      </c>
      <c r="F137" s="10" t="n">
        <v>520</v>
      </c>
      <c r="G137" s="11" t="n">
        <f aca="false">IFERROR(F137/D137,0)</f>
        <v>0.693333333333333</v>
      </c>
      <c r="H137" s="9" t="n">
        <f aca="false">COUNTIF(Ingredientes!$E:$E,A137)</f>
        <v>2</v>
      </c>
      <c r="I137" s="9" t="n">
        <f aca="false">SUMIF(Ingredientes!$E:$E,A137,Ingredientes!$F:$F)</f>
        <v>60</v>
      </c>
    </row>
    <row r="138" customFormat="false" ht="15" hidden="false" customHeight="false" outlineLevel="0" collapsed="false">
      <c r="A138" s="9" t="s">
        <v>332</v>
      </c>
      <c r="B138" s="9" t="s">
        <v>333</v>
      </c>
      <c r="C138" s="9" t="s">
        <v>323</v>
      </c>
      <c r="D138" s="9" t="n">
        <v>750</v>
      </c>
      <c r="E138" s="9" t="s">
        <v>74</v>
      </c>
      <c r="F138" s="10" t="n">
        <v>430</v>
      </c>
      <c r="G138" s="11" t="n">
        <f aca="false">IFERROR(F138/D138,0)</f>
        <v>0.573333333333333</v>
      </c>
      <c r="H138" s="9" t="n">
        <f aca="false">COUNTIF(Ingredientes!$E:$E,A138)</f>
        <v>2</v>
      </c>
      <c r="I138" s="9" t="n">
        <f aca="false">SUMIF(Ingredientes!$E:$E,A138,Ingredientes!$F:$F)</f>
        <v>28</v>
      </c>
    </row>
    <row r="139" customFormat="false" ht="15" hidden="false" customHeight="false" outlineLevel="0" collapsed="false">
      <c r="A139" s="9" t="s">
        <v>334</v>
      </c>
      <c r="B139" s="9" t="s">
        <v>335</v>
      </c>
      <c r="C139" s="9" t="s">
        <v>323</v>
      </c>
      <c r="D139" s="9" t="n">
        <v>750</v>
      </c>
      <c r="E139" s="9" t="s">
        <v>74</v>
      </c>
      <c r="F139" s="10" t="n">
        <v>340</v>
      </c>
      <c r="G139" s="11" t="n">
        <f aca="false">IFERROR(F139/D139,0)</f>
        <v>0.453333333333333</v>
      </c>
      <c r="H139" s="9" t="n">
        <f aca="false">COUNTIF(Ingredientes!$E:$E,A139)</f>
        <v>1</v>
      </c>
      <c r="I139" s="9" t="n">
        <f aca="false">SUMIF(Ingredientes!$E:$E,A139,Ingredientes!$F:$F)</f>
        <v>15</v>
      </c>
    </row>
    <row r="140" customFormat="false" ht="15" hidden="false" customHeight="false" outlineLevel="0" collapsed="false">
      <c r="A140" s="9" t="s">
        <v>336</v>
      </c>
      <c r="B140" s="9" t="s">
        <v>337</v>
      </c>
      <c r="C140" s="9" t="s">
        <v>323</v>
      </c>
      <c r="D140" s="9" t="n">
        <v>700</v>
      </c>
      <c r="E140" s="9" t="s">
        <v>74</v>
      </c>
      <c r="F140" s="10" t="n">
        <v>395</v>
      </c>
      <c r="G140" s="11" t="n">
        <f aca="false">IFERROR(F140/D140,0)</f>
        <v>0.564285714285714</v>
      </c>
      <c r="H140" s="9" t="n">
        <f aca="false">COUNTIF(Ingredientes!$E:$E,A140)</f>
        <v>1</v>
      </c>
      <c r="I140" s="9" t="n">
        <f aca="false">SUMIF(Ingredientes!$E:$E,A140,Ingredientes!$F:$F)</f>
        <v>15</v>
      </c>
    </row>
    <row r="142" customFormat="false" ht="15" hidden="false" customHeight="false" outlineLevel="0" collapsed="false">
      <c r="A142" s="2" t="s">
        <v>338</v>
      </c>
    </row>
  </sheetData>
  <autoFilter ref="A5:I140"/>
  <conditionalFormatting sqref="G6:G140">
    <cfRule type="colorScale" priority="2">
      <colorScale>
        <cfvo type="min" val="0"/>
        <cfvo type="max" val="0"/>
        <color rgb="FFEEF7F2"/>
        <color rgb="FFF8B818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0"/>
    <col collapsed="false" customWidth="true" hidden="false" outlineLevel="0" max="3" min="3" style="0" width="78"/>
    <col collapsed="false" customWidth="true" hidden="false" outlineLevel="0" max="4" min="4" style="0" width="9"/>
    <col collapsed="false" customWidth="true" hidden="false" outlineLevel="0" max="5" min="5" style="0" width="16"/>
    <col collapsed="false" customWidth="true" hidden="false" outlineLevel="0" max="7" min="6" style="0" width="13"/>
  </cols>
  <sheetData>
    <row r="1" customFormat="false" ht="19.7" hidden="false" customHeight="false" outlineLevel="0" collapsed="false">
      <c r="A1" s="1" t="s">
        <v>339</v>
      </c>
    </row>
    <row r="2" customFormat="false" ht="15" hidden="false" customHeight="false" outlineLevel="0" collapsed="false">
      <c r="A2" s="2" t="s">
        <v>340</v>
      </c>
    </row>
    <row r="3" customFormat="false" ht="15" hidden="false" customHeight="false" outlineLevel="0" collapsed="false">
      <c r="A3" s="3" t="s">
        <v>2</v>
      </c>
    </row>
    <row r="5" customFormat="false" ht="25.5" hidden="false" customHeight="true" outlineLevel="0" collapsed="false">
      <c r="A5" s="8" t="s">
        <v>49</v>
      </c>
      <c r="B5" s="8" t="s">
        <v>341</v>
      </c>
      <c r="C5" s="8" t="s">
        <v>342</v>
      </c>
      <c r="D5" s="8" t="s">
        <v>343</v>
      </c>
      <c r="E5" s="8" t="s">
        <v>344</v>
      </c>
      <c r="F5" s="8" t="s">
        <v>345</v>
      </c>
      <c r="G5" s="8" t="s">
        <v>346</v>
      </c>
    </row>
    <row r="6" customFormat="false" ht="33.75" hidden="false" customHeight="true" outlineLevel="0" collapsed="false">
      <c r="A6" s="12" t="s">
        <v>347</v>
      </c>
      <c r="B6" s="9" t="s">
        <v>348</v>
      </c>
      <c r="C6" s="13" t="s">
        <v>349</v>
      </c>
      <c r="D6" s="12" t="n">
        <f aca="false">COUNTIF('Recetas y precios'!$C:$C,A6)</f>
        <v>37</v>
      </c>
      <c r="E6" s="14" t="n">
        <f aca="false">IFERROR(AVERAGEIF('Recetas y precios'!$C:$C,A6,'Recetas y precios'!$E:$E),0)</f>
        <v>149.821157650124</v>
      </c>
      <c r="F6" s="14" t="n">
        <f aca="false">IFERROR(minifs('Recetas y precios'!$E$6:$E$56,'Recetas y precios'!$C$6:$C$56,A6),0)</f>
        <v>0</v>
      </c>
      <c r="G6" s="14" t="n">
        <f aca="false">IFERROR(maxifs('Recetas y precios'!$E$6:$E$56,'Recetas y precios'!$C$6:$C$56,A6),0)</f>
        <v>0</v>
      </c>
    </row>
    <row r="7" customFormat="false" ht="33.75" hidden="false" customHeight="true" outlineLevel="0" collapsed="false">
      <c r="A7" s="12" t="s">
        <v>350</v>
      </c>
      <c r="B7" s="9" t="s">
        <v>351</v>
      </c>
      <c r="C7" s="13" t="s">
        <v>352</v>
      </c>
      <c r="D7" s="12" t="n">
        <f aca="false">COUNTIF('Recetas y precios'!$C:$C,A7)</f>
        <v>1</v>
      </c>
      <c r="E7" s="14" t="n">
        <f aca="false">IFERROR(AVERAGEIF('Recetas y precios'!$C:$C,A7,'Recetas y precios'!$E:$E),0)</f>
        <v>278.122</v>
      </c>
      <c r="F7" s="14" t="n">
        <f aca="false">IFERROR(minifs('Recetas y precios'!$E$6:$E$56,'Recetas y precios'!$C$6:$C$56,A7),0)</f>
        <v>0</v>
      </c>
      <c r="G7" s="14" t="n">
        <f aca="false">IFERROR(maxifs('Recetas y precios'!$E$6:$E$56,'Recetas y precios'!$C$6:$C$56,A7),0)</f>
        <v>0</v>
      </c>
    </row>
    <row r="8" customFormat="false" ht="33.75" hidden="false" customHeight="true" outlineLevel="0" collapsed="false">
      <c r="A8" s="12" t="s">
        <v>353</v>
      </c>
      <c r="B8" s="9" t="s">
        <v>354</v>
      </c>
      <c r="C8" s="13" t="s">
        <v>355</v>
      </c>
      <c r="D8" s="12" t="n">
        <f aca="false">COUNTIF('Recetas y precios'!$C:$C,A8)</f>
        <v>3</v>
      </c>
      <c r="E8" s="14" t="n">
        <f aca="false">IFERROR(AVERAGEIF('Recetas y precios'!$C:$C,A8,'Recetas y precios'!$E:$E),0)</f>
        <v>142.583166666667</v>
      </c>
      <c r="F8" s="14" t="n">
        <f aca="false">IFERROR(minifs('Recetas y precios'!$E$6:$E$56,'Recetas y precios'!$C$6:$C$56,A8),0)</f>
        <v>0</v>
      </c>
      <c r="G8" s="14" t="n">
        <f aca="false">IFERROR(maxifs('Recetas y precios'!$E$6:$E$56,'Recetas y precios'!$C$6:$C$56,A8),0)</f>
        <v>0</v>
      </c>
    </row>
    <row r="9" customFormat="false" ht="33.75" hidden="false" customHeight="true" outlineLevel="0" collapsed="false">
      <c r="A9" s="12" t="s">
        <v>356</v>
      </c>
      <c r="B9" s="9" t="s">
        <v>357</v>
      </c>
      <c r="C9" s="13" t="s">
        <v>358</v>
      </c>
      <c r="D9" s="12" t="n">
        <f aca="false">COUNTIF('Recetas y precios'!$C:$C,A9)</f>
        <v>3</v>
      </c>
      <c r="E9" s="14" t="n">
        <f aca="false">IFERROR(AVERAGEIF('Recetas y precios'!$C:$C,A9,'Recetas y precios'!$E:$E),0)</f>
        <v>164.807185185185</v>
      </c>
      <c r="F9" s="14" t="n">
        <f aca="false">IFERROR(minifs('Recetas y precios'!$E$6:$E$56,'Recetas y precios'!$C$6:$C$56,A9),0)</f>
        <v>0</v>
      </c>
      <c r="G9" s="14" t="n">
        <f aca="false">IFERROR(maxifs('Recetas y precios'!$E$6:$E$56,'Recetas y precios'!$C$6:$C$56,A9),0)</f>
        <v>0</v>
      </c>
    </row>
    <row r="10" customFormat="false" ht="33.75" hidden="false" customHeight="true" outlineLevel="0" collapsed="false">
      <c r="A10" s="12" t="s">
        <v>359</v>
      </c>
      <c r="B10" s="9" t="s">
        <v>360</v>
      </c>
      <c r="C10" s="13" t="s">
        <v>361</v>
      </c>
      <c r="D10" s="12" t="n">
        <f aca="false">COUNTIF('Recetas y precios'!$C:$C,A10)</f>
        <v>6</v>
      </c>
      <c r="E10" s="14" t="n">
        <f aca="false">IFERROR(AVERAGEIF('Recetas y precios'!$C:$C,A10,'Recetas y precios'!$E:$E),0)</f>
        <v>231.820513888889</v>
      </c>
      <c r="F10" s="14" t="n">
        <f aca="false">IFERROR(minifs('Recetas y precios'!$E$6:$E$56,'Recetas y precios'!$C$6:$C$56,A10),0)</f>
        <v>0</v>
      </c>
      <c r="G10" s="14" t="n">
        <f aca="false">IFERROR(maxifs('Recetas y precios'!$E$6:$E$56,'Recetas y precios'!$C$6:$C$56,A10),0)</f>
        <v>0</v>
      </c>
    </row>
    <row r="11" customFormat="false" ht="33.75" hidden="false" customHeight="true" outlineLevel="0" collapsed="false">
      <c r="A11" s="12" t="s">
        <v>362</v>
      </c>
      <c r="B11" s="9" t="s">
        <v>363</v>
      </c>
      <c r="C11" s="13" t="s">
        <v>364</v>
      </c>
      <c r="D11" s="12" t="n">
        <f aca="false">COUNTIF('Recetas y precios'!$C:$C,A11)</f>
        <v>1</v>
      </c>
      <c r="E11" s="14" t="n">
        <f aca="false">IFERROR(AVERAGEIF('Recetas y precios'!$C:$C,A11,'Recetas y precios'!$E:$E),0)</f>
        <v>194.781174603175</v>
      </c>
      <c r="F11" s="14" t="n">
        <f aca="false">IFERROR(minifs('Recetas y precios'!$E$6:$E$56,'Recetas y precios'!$C$6:$C$56,A11),0)</f>
        <v>0</v>
      </c>
      <c r="G11" s="14" t="n">
        <f aca="false">IFERROR(maxifs('Recetas y precios'!$E$6:$E$56,'Recetas y precios'!$C$6:$C$56,A11),0)</f>
        <v>0</v>
      </c>
    </row>
    <row r="14" customFormat="false" ht="15" hidden="false" customHeight="false" outlineLevel="0" collapsed="false">
      <c r="A14" s="6" t="s">
        <v>365</v>
      </c>
    </row>
    <row r="15" customFormat="false" ht="25.5" hidden="false" customHeight="true" outlineLevel="0" collapsed="false">
      <c r="A15" s="8" t="s">
        <v>49</v>
      </c>
      <c r="B15" s="8" t="s">
        <v>366</v>
      </c>
      <c r="C15" s="8" t="s">
        <v>342</v>
      </c>
      <c r="D15" s="8"/>
      <c r="E15" s="8"/>
      <c r="F15" s="8"/>
      <c r="G15" s="8"/>
    </row>
    <row r="16" customFormat="false" ht="33.75" hidden="false" customHeight="true" outlineLevel="0" collapsed="false">
      <c r="A16" s="12" t="s">
        <v>367</v>
      </c>
      <c r="B16" s="9" t="s">
        <v>368</v>
      </c>
      <c r="C16" s="13" t="s">
        <v>369</v>
      </c>
    </row>
    <row r="17" customFormat="false" ht="33.75" hidden="false" customHeight="true" outlineLevel="0" collapsed="false">
      <c r="A17" s="12" t="s">
        <v>370</v>
      </c>
      <c r="B17" s="9" t="s">
        <v>371</v>
      </c>
      <c r="C17" s="13" t="s">
        <v>372</v>
      </c>
    </row>
    <row r="18" customFormat="false" ht="33.75" hidden="false" customHeight="true" outlineLevel="0" collapsed="false">
      <c r="A18" s="12" t="s">
        <v>373</v>
      </c>
      <c r="B18" s="9" t="s">
        <v>374</v>
      </c>
      <c r="C18" s="13" t="s">
        <v>375</v>
      </c>
    </row>
    <row r="19" customFormat="false" ht="33.75" hidden="false" customHeight="true" outlineLevel="0" collapsed="false">
      <c r="A19" s="12" t="s">
        <v>376</v>
      </c>
      <c r="B19" s="9" t="s">
        <v>377</v>
      </c>
      <c r="C19" s="13" t="s">
        <v>378</v>
      </c>
    </row>
    <row r="20" customFormat="false" ht="33.75" hidden="false" customHeight="true" outlineLevel="0" collapsed="false">
      <c r="A20" s="12" t="s">
        <v>379</v>
      </c>
      <c r="B20" s="9" t="s">
        <v>380</v>
      </c>
      <c r="C20" s="13" t="s">
        <v>381</v>
      </c>
    </row>
    <row r="21" customFormat="false" ht="33.75" hidden="false" customHeight="true" outlineLevel="0" collapsed="false">
      <c r="A21" s="12" t="s">
        <v>382</v>
      </c>
      <c r="B21" s="9" t="s">
        <v>383</v>
      </c>
      <c r="C21" s="13" t="s">
        <v>384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52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7"/>
    <col collapsed="false" customWidth="true" hidden="false" outlineLevel="0" max="8" min="8" style="0" width="13"/>
    <col collapsed="false" customWidth="true" hidden="false" outlineLevel="0" max="9" min="9" style="0" width="42"/>
  </cols>
  <sheetData>
    <row r="1" customFormat="false" ht="19.7" hidden="false" customHeight="false" outlineLevel="0" collapsed="false">
      <c r="A1" s="1" t="s">
        <v>385</v>
      </c>
    </row>
    <row r="2" customFormat="false" ht="15" hidden="false" customHeight="false" outlineLevel="0" collapsed="false">
      <c r="A2" s="2" t="s">
        <v>386</v>
      </c>
    </row>
    <row r="3" customFormat="false" ht="15" hidden="false" customHeight="false" outlineLevel="0" collapsed="false">
      <c r="A3" s="3" t="s">
        <v>2</v>
      </c>
    </row>
    <row r="5" customFormat="false" ht="25.5" hidden="false" customHeight="true" outlineLevel="0" collapsed="false">
      <c r="A5" s="8" t="s">
        <v>387</v>
      </c>
      <c r="B5" s="8" t="s">
        <v>388</v>
      </c>
      <c r="C5" s="8" t="s">
        <v>389</v>
      </c>
      <c r="D5" s="8" t="s">
        <v>390</v>
      </c>
      <c r="E5" s="8" t="s">
        <v>391</v>
      </c>
      <c r="F5" s="8" t="s">
        <v>392</v>
      </c>
      <c r="G5" s="8" t="s">
        <v>53</v>
      </c>
      <c r="H5" s="8" t="s">
        <v>393</v>
      </c>
      <c r="I5" s="8" t="s">
        <v>394</v>
      </c>
    </row>
    <row r="6" customFormat="false" ht="15" hidden="false" customHeight="false" outlineLevel="0" collapsed="false">
      <c r="A6" s="9" t="n">
        <v>1</v>
      </c>
      <c r="B6" s="9" t="s">
        <v>395</v>
      </c>
      <c r="C6" s="9" t="s">
        <v>396</v>
      </c>
      <c r="D6" s="9" t="s">
        <v>397</v>
      </c>
      <c r="E6" s="9" t="s">
        <v>62</v>
      </c>
      <c r="F6" s="9" t="n">
        <v>220</v>
      </c>
      <c r="G6" s="9" t="s">
        <v>61</v>
      </c>
      <c r="H6" s="14" t="n">
        <f aca="false">IFERROR(F6*VLOOKUP(E6,Insumos!$A:$G,7,FALSE()),0)</f>
        <v>63.8</v>
      </c>
      <c r="I6" s="15"/>
    </row>
    <row r="7" customFormat="false" ht="15" hidden="false" customHeight="false" outlineLevel="0" collapsed="false">
      <c r="A7" s="9" t="n">
        <v>1</v>
      </c>
      <c r="B7" s="9" t="s">
        <v>395</v>
      </c>
      <c r="C7" s="9" t="s">
        <v>396</v>
      </c>
      <c r="D7" s="9" t="s">
        <v>398</v>
      </c>
      <c r="E7" s="9" t="s">
        <v>126</v>
      </c>
      <c r="F7" s="9" t="n">
        <v>220</v>
      </c>
      <c r="G7" s="9" t="s">
        <v>61</v>
      </c>
      <c r="H7" s="14" t="n">
        <f aca="false">IFERROR(F7*VLOOKUP(E7,Insumos!$A:$G,7,FALSE()),0)</f>
        <v>6.16</v>
      </c>
      <c r="I7" s="15"/>
    </row>
    <row r="8" customFormat="false" ht="15" hidden="false" customHeight="false" outlineLevel="0" collapsed="false">
      <c r="A8" s="9" t="n">
        <v>1</v>
      </c>
      <c r="B8" s="9" t="s">
        <v>395</v>
      </c>
      <c r="C8" s="9" t="s">
        <v>396</v>
      </c>
      <c r="D8" s="9" t="s">
        <v>399</v>
      </c>
      <c r="E8" s="9" t="s">
        <v>66</v>
      </c>
      <c r="F8" s="9" t="n">
        <v>220</v>
      </c>
      <c r="G8" s="9" t="s">
        <v>61</v>
      </c>
      <c r="H8" s="14" t="n">
        <f aca="false">IFERROR(F8*VLOOKUP(E8,Insumos!$A:$G,7,FALSE()),0)</f>
        <v>13.64</v>
      </c>
      <c r="I8" s="15"/>
    </row>
    <row r="9" customFormat="false" ht="15" hidden="false" customHeight="false" outlineLevel="0" collapsed="false">
      <c r="A9" s="9" t="n">
        <v>1</v>
      </c>
      <c r="B9" s="9" t="s">
        <v>395</v>
      </c>
      <c r="C9" s="9" t="s">
        <v>396</v>
      </c>
      <c r="D9" s="9" t="s">
        <v>400</v>
      </c>
      <c r="E9" s="9" t="s">
        <v>107</v>
      </c>
      <c r="F9" s="9" t="n">
        <v>220</v>
      </c>
      <c r="G9" s="9" t="s">
        <v>61</v>
      </c>
      <c r="H9" s="14" t="n">
        <f aca="false">IFERROR(F9*VLOOKUP(E9,Insumos!$A:$G,7,FALSE()),0)</f>
        <v>5.72</v>
      </c>
      <c r="I9" s="15"/>
    </row>
    <row r="10" customFormat="false" ht="15" hidden="false" customHeight="false" outlineLevel="0" collapsed="false">
      <c r="A10" s="9" t="n">
        <v>1</v>
      </c>
      <c r="B10" s="9" t="s">
        <v>395</v>
      </c>
      <c r="C10" s="9" t="s">
        <v>396</v>
      </c>
      <c r="D10" s="9" t="s">
        <v>401</v>
      </c>
      <c r="E10" s="9" t="s">
        <v>114</v>
      </c>
      <c r="F10" s="9" t="n">
        <v>4</v>
      </c>
      <c r="G10" s="9" t="s">
        <v>61</v>
      </c>
      <c r="H10" s="14" t="n">
        <f aca="false">IFERROR(F10*VLOOKUP(E10,Insumos!$A:$G,7,FALSE()),0)</f>
        <v>0.544</v>
      </c>
      <c r="I10" s="15"/>
    </row>
    <row r="11" customFormat="false" ht="15" hidden="false" customHeight="false" outlineLevel="0" collapsed="false">
      <c r="A11" s="9" t="n">
        <v>1</v>
      </c>
      <c r="B11" s="9" t="s">
        <v>395</v>
      </c>
      <c r="C11" s="9" t="s">
        <v>396</v>
      </c>
      <c r="D11" s="9" t="s">
        <v>402</v>
      </c>
      <c r="E11" s="9" t="s">
        <v>122</v>
      </c>
      <c r="F11" s="9" t="n">
        <v>2</v>
      </c>
      <c r="G11" s="9" t="s">
        <v>61</v>
      </c>
      <c r="H11" s="14" t="n">
        <f aca="false">IFERROR(F11*VLOOKUP(E11,Insumos!$A:$G,7,FALSE()),0)</f>
        <v>1.56</v>
      </c>
      <c r="I11" s="15"/>
    </row>
    <row r="12" customFormat="false" ht="15" hidden="false" customHeight="false" outlineLevel="0" collapsed="false">
      <c r="A12" s="9" t="n">
        <v>1</v>
      </c>
      <c r="B12" s="9" t="s">
        <v>395</v>
      </c>
      <c r="C12" s="9" t="s">
        <v>396</v>
      </c>
      <c r="D12" s="9" t="s">
        <v>403</v>
      </c>
      <c r="E12" s="9" t="s">
        <v>272</v>
      </c>
      <c r="F12" s="9" t="n">
        <v>12</v>
      </c>
      <c r="G12" s="9" t="s">
        <v>61</v>
      </c>
      <c r="H12" s="14" t="n">
        <f aca="false">IFERROR(F12*VLOOKUP(E12,Insumos!$A:$G,7,FALSE()),0)</f>
        <v>20.16</v>
      </c>
      <c r="I12" s="15"/>
    </row>
    <row r="13" customFormat="false" ht="15" hidden="false" customHeight="false" outlineLevel="0" collapsed="false">
      <c r="A13" s="9" t="n">
        <v>1</v>
      </c>
      <c r="B13" s="9" t="s">
        <v>395</v>
      </c>
      <c r="C13" s="9" t="s">
        <v>396</v>
      </c>
      <c r="D13" s="9" t="s">
        <v>404</v>
      </c>
      <c r="E13" s="9" t="s">
        <v>72</v>
      </c>
      <c r="F13" s="9" t="n">
        <v>20</v>
      </c>
      <c r="G13" s="9" t="s">
        <v>74</v>
      </c>
      <c r="H13" s="14" t="n">
        <f aca="false">IFERROR(F13*VLOOKUP(E13,Insumos!$A:$G,7,FALSE()),0)</f>
        <v>0.54</v>
      </c>
      <c r="I13" s="15"/>
    </row>
    <row r="14" customFormat="false" ht="15" hidden="false" customHeight="false" outlineLevel="0" collapsed="false">
      <c r="A14" s="9" t="n">
        <v>1</v>
      </c>
      <c r="B14" s="9" t="s">
        <v>395</v>
      </c>
      <c r="C14" s="9" t="s">
        <v>405</v>
      </c>
      <c r="D14" s="9" t="s">
        <v>406</v>
      </c>
      <c r="E14" s="9" t="s">
        <v>151</v>
      </c>
      <c r="F14" s="9" t="n">
        <v>50</v>
      </c>
      <c r="G14" s="9" t="s">
        <v>74</v>
      </c>
      <c r="H14" s="14" t="n">
        <f aca="false">IFERROR(F14*VLOOKUP(E14,Insumos!$A:$G,7,FALSE()),0)</f>
        <v>0.1125</v>
      </c>
      <c r="I14" s="15"/>
    </row>
    <row r="15" customFormat="false" ht="15" hidden="false" customHeight="false" outlineLevel="0" collapsed="false">
      <c r="A15" s="9" t="n">
        <v>1</v>
      </c>
      <c r="B15" s="9" t="s">
        <v>395</v>
      </c>
      <c r="C15" s="9" t="s">
        <v>405</v>
      </c>
      <c r="D15" s="9" t="s">
        <v>407</v>
      </c>
      <c r="E15" s="9" t="s">
        <v>126</v>
      </c>
      <c r="F15" s="9" t="n">
        <v>40</v>
      </c>
      <c r="G15" s="9" t="s">
        <v>61</v>
      </c>
      <c r="H15" s="14" t="n">
        <f aca="false">IFERROR(F15*VLOOKUP(E15,Insumos!$A:$G,7,FALSE()),0)</f>
        <v>1.12</v>
      </c>
      <c r="I15" s="15"/>
    </row>
    <row r="16" customFormat="false" ht="15" hidden="false" customHeight="false" outlineLevel="0" collapsed="false">
      <c r="A16" s="9" t="n">
        <v>1</v>
      </c>
      <c r="B16" s="9" t="s">
        <v>395</v>
      </c>
      <c r="C16" s="9" t="s">
        <v>405</v>
      </c>
      <c r="D16" s="9" t="s">
        <v>408</v>
      </c>
      <c r="E16" s="9" t="s">
        <v>272</v>
      </c>
      <c r="F16" s="9" t="n">
        <v>5</v>
      </c>
      <c r="G16" s="9" t="s">
        <v>74</v>
      </c>
      <c r="H16" s="14" t="n">
        <f aca="false">IFERROR(F16*VLOOKUP(E16,Insumos!$A:$G,7,FALSE()),0)</f>
        <v>8.4</v>
      </c>
      <c r="I16" s="15"/>
    </row>
    <row r="17" customFormat="false" ht="15" hidden="false" customHeight="false" outlineLevel="0" collapsed="false">
      <c r="A17" s="9" t="n">
        <v>1</v>
      </c>
      <c r="B17" s="9" t="s">
        <v>395</v>
      </c>
      <c r="C17" s="9" t="s">
        <v>409</v>
      </c>
      <c r="D17" s="9" t="s">
        <v>410</v>
      </c>
      <c r="E17" s="9" t="s">
        <v>131</v>
      </c>
      <c r="F17" s="9" t="n">
        <v>70</v>
      </c>
      <c r="G17" s="9" t="s">
        <v>61</v>
      </c>
      <c r="H17" s="14" t="n">
        <f aca="false">IFERROR(F17*VLOOKUP(E17,Insumos!$A:$G,7,FALSE()),0)</f>
        <v>2.94</v>
      </c>
      <c r="I17" s="15"/>
    </row>
    <row r="18" customFormat="false" ht="15" hidden="false" customHeight="false" outlineLevel="0" collapsed="false">
      <c r="A18" s="9" t="n">
        <v>1</v>
      </c>
      <c r="B18" s="9" t="s">
        <v>395</v>
      </c>
      <c r="C18" s="9" t="s">
        <v>409</v>
      </c>
      <c r="D18" s="9" t="s">
        <v>411</v>
      </c>
      <c r="E18" s="9" t="s">
        <v>72</v>
      </c>
      <c r="F18" s="9" t="n">
        <v>12</v>
      </c>
      <c r="G18" s="9" t="s">
        <v>74</v>
      </c>
      <c r="H18" s="14" t="n">
        <f aca="false">IFERROR(F18*VLOOKUP(E18,Insumos!$A:$G,7,FALSE()),0)</f>
        <v>0.324</v>
      </c>
      <c r="I18" s="15"/>
    </row>
    <row r="19" customFormat="false" ht="15" hidden="false" customHeight="false" outlineLevel="0" collapsed="false">
      <c r="A19" s="9" t="n">
        <v>1</v>
      </c>
      <c r="B19" s="9" t="s">
        <v>395</v>
      </c>
      <c r="C19" s="9" t="s">
        <v>409</v>
      </c>
      <c r="D19" s="9" t="s">
        <v>412</v>
      </c>
      <c r="E19" s="9" t="s">
        <v>58</v>
      </c>
      <c r="F19" s="9" t="n">
        <v>3</v>
      </c>
      <c r="G19" s="9" t="s">
        <v>61</v>
      </c>
      <c r="H19" s="14" t="n">
        <f aca="false">IFERROR(F19*VLOOKUP(E19,Insumos!$A:$G,7,FALSE()),0)</f>
        <v>0.735</v>
      </c>
      <c r="I19" s="15"/>
    </row>
    <row r="20" customFormat="false" ht="15" hidden="false" customHeight="false" outlineLevel="0" collapsed="false">
      <c r="A20" s="9" t="n">
        <v>2</v>
      </c>
      <c r="B20" s="9" t="s">
        <v>413</v>
      </c>
      <c r="C20" s="9" t="s">
        <v>414</v>
      </c>
      <c r="D20" s="9" t="s">
        <v>415</v>
      </c>
      <c r="E20" s="9" t="s">
        <v>58</v>
      </c>
      <c r="F20" s="9" t="n">
        <v>280</v>
      </c>
      <c r="G20" s="9" t="s">
        <v>61</v>
      </c>
      <c r="H20" s="14" t="n">
        <f aca="false">IFERROR(F20*VLOOKUP(E20,Insumos!$A:$G,7,FALSE()),0)</f>
        <v>68.6</v>
      </c>
      <c r="I20" s="15"/>
    </row>
    <row r="21" customFormat="false" ht="15" hidden="false" customHeight="false" outlineLevel="0" collapsed="false">
      <c r="A21" s="9" t="n">
        <v>2</v>
      </c>
      <c r="B21" s="9" t="s">
        <v>413</v>
      </c>
      <c r="C21" s="9" t="s">
        <v>396</v>
      </c>
      <c r="D21" s="9" t="s">
        <v>416</v>
      </c>
      <c r="E21" s="9" t="s">
        <v>58</v>
      </c>
      <c r="F21" s="9" t="n">
        <v>0</v>
      </c>
      <c r="G21" s="9" t="s">
        <v>61</v>
      </c>
      <c r="H21" s="14" t="n">
        <f aca="false">IFERROR(F21*VLOOKUP(E21,Insumos!$A:$G,7,FALSE()),0)</f>
        <v>0</v>
      </c>
      <c r="I21" s="16" t="s">
        <v>417</v>
      </c>
    </row>
    <row r="22" customFormat="false" ht="15" hidden="false" customHeight="false" outlineLevel="0" collapsed="false">
      <c r="A22" s="9" t="n">
        <v>2</v>
      </c>
      <c r="B22" s="9" t="s">
        <v>413</v>
      </c>
      <c r="C22" s="9" t="s">
        <v>396</v>
      </c>
      <c r="D22" s="9" t="s">
        <v>418</v>
      </c>
      <c r="E22" s="9" t="s">
        <v>133</v>
      </c>
      <c r="F22" s="9" t="n">
        <v>190</v>
      </c>
      <c r="G22" s="9" t="s">
        <v>61</v>
      </c>
      <c r="H22" s="14" t="n">
        <f aca="false">IFERROR(F22*VLOOKUP(E22,Insumos!$A:$G,7,FALSE()),0)</f>
        <v>9.88</v>
      </c>
      <c r="I22" s="15"/>
    </row>
    <row r="23" customFormat="false" ht="15" hidden="false" customHeight="false" outlineLevel="0" collapsed="false">
      <c r="A23" s="9" t="n">
        <v>2</v>
      </c>
      <c r="B23" s="9" t="s">
        <v>413</v>
      </c>
      <c r="C23" s="9" t="s">
        <v>396</v>
      </c>
      <c r="D23" s="9" t="s">
        <v>419</v>
      </c>
      <c r="E23" s="9" t="s">
        <v>139</v>
      </c>
      <c r="F23" s="9" t="n">
        <v>40</v>
      </c>
      <c r="G23" s="9" t="s">
        <v>61</v>
      </c>
      <c r="H23" s="14" t="n">
        <f aca="false">IFERROR(F23*VLOOKUP(E23,Insumos!$A:$G,7,FALSE()),0)</f>
        <v>7.8</v>
      </c>
      <c r="I23" s="15"/>
    </row>
    <row r="24" customFormat="false" ht="15" hidden="false" customHeight="false" outlineLevel="0" collapsed="false">
      <c r="A24" s="9" t="n">
        <v>2</v>
      </c>
      <c r="B24" s="9" t="s">
        <v>413</v>
      </c>
      <c r="C24" s="9" t="s">
        <v>396</v>
      </c>
      <c r="D24" s="9" t="s">
        <v>420</v>
      </c>
      <c r="E24" s="9" t="s">
        <v>66</v>
      </c>
      <c r="F24" s="9" t="n">
        <v>200</v>
      </c>
      <c r="G24" s="9" t="s">
        <v>61</v>
      </c>
      <c r="H24" s="14" t="n">
        <f aca="false">IFERROR(F24*VLOOKUP(E24,Insumos!$A:$G,7,FALSE()),0)</f>
        <v>12.4</v>
      </c>
      <c r="I24" s="15"/>
    </row>
    <row r="25" customFormat="false" ht="15" hidden="false" customHeight="false" outlineLevel="0" collapsed="false">
      <c r="A25" s="9" t="n">
        <v>2</v>
      </c>
      <c r="B25" s="9" t="s">
        <v>413</v>
      </c>
      <c r="C25" s="9" t="s">
        <v>396</v>
      </c>
      <c r="D25" s="9" t="s">
        <v>421</v>
      </c>
      <c r="E25" s="9" t="s">
        <v>107</v>
      </c>
      <c r="F25" s="9" t="n">
        <v>200</v>
      </c>
      <c r="G25" s="9" t="s">
        <v>61</v>
      </c>
      <c r="H25" s="14" t="n">
        <f aca="false">IFERROR(F25*VLOOKUP(E25,Insumos!$A:$G,7,FALSE()),0)</f>
        <v>5.2</v>
      </c>
      <c r="I25" s="15"/>
    </row>
    <row r="26" customFormat="false" ht="15" hidden="false" customHeight="false" outlineLevel="0" collapsed="false">
      <c r="A26" s="9" t="n">
        <v>2</v>
      </c>
      <c r="B26" s="9" t="s">
        <v>413</v>
      </c>
      <c r="C26" s="9" t="s">
        <v>396</v>
      </c>
      <c r="D26" s="9" t="s">
        <v>422</v>
      </c>
      <c r="E26" s="9" t="s">
        <v>172</v>
      </c>
      <c r="F26" s="9" t="n">
        <v>40</v>
      </c>
      <c r="G26" s="9" t="s">
        <v>61</v>
      </c>
      <c r="H26" s="14" t="n">
        <f aca="false">IFERROR(F26*VLOOKUP(E26,Insumos!$A:$G,7,FALSE()),0)</f>
        <v>17</v>
      </c>
      <c r="I26" s="15"/>
    </row>
    <row r="27" customFormat="false" ht="15" hidden="false" customHeight="false" outlineLevel="0" collapsed="false">
      <c r="A27" s="9" t="n">
        <v>2</v>
      </c>
      <c r="B27" s="9" t="s">
        <v>413</v>
      </c>
      <c r="C27" s="9" t="s">
        <v>396</v>
      </c>
      <c r="D27" s="9" t="s">
        <v>423</v>
      </c>
      <c r="E27" s="9" t="s">
        <v>114</v>
      </c>
      <c r="F27" s="9" t="n">
        <v>5</v>
      </c>
      <c r="G27" s="9" t="s">
        <v>61</v>
      </c>
      <c r="H27" s="14" t="n">
        <f aca="false">IFERROR(F27*VLOOKUP(E27,Insumos!$A:$G,7,FALSE()),0)</f>
        <v>0.68</v>
      </c>
      <c r="I27" s="15"/>
    </row>
    <row r="28" customFormat="false" ht="15" hidden="false" customHeight="false" outlineLevel="0" collapsed="false">
      <c r="A28" s="9" t="n">
        <v>2</v>
      </c>
      <c r="B28" s="9" t="s">
        <v>413</v>
      </c>
      <c r="C28" s="9" t="s">
        <v>396</v>
      </c>
      <c r="D28" s="9" t="s">
        <v>424</v>
      </c>
      <c r="E28" s="9" t="s">
        <v>122</v>
      </c>
      <c r="F28" s="9" t="n">
        <v>3</v>
      </c>
      <c r="G28" s="9" t="s">
        <v>61</v>
      </c>
      <c r="H28" s="14" t="n">
        <f aca="false">IFERROR(F28*VLOOKUP(E28,Insumos!$A:$G,7,FALSE()),0)</f>
        <v>2.34</v>
      </c>
      <c r="I28" s="15"/>
    </row>
    <row r="29" customFormat="false" ht="15" hidden="false" customHeight="false" outlineLevel="0" collapsed="false">
      <c r="A29" s="9" t="n">
        <v>2</v>
      </c>
      <c r="B29" s="9" t="s">
        <v>413</v>
      </c>
      <c r="C29" s="9" t="s">
        <v>396</v>
      </c>
      <c r="D29" s="9" t="s">
        <v>425</v>
      </c>
      <c r="E29" s="9" t="s">
        <v>75</v>
      </c>
      <c r="F29" s="9" t="n">
        <v>40</v>
      </c>
      <c r="G29" s="9" t="s">
        <v>74</v>
      </c>
      <c r="H29" s="14" t="n">
        <f aca="false">IFERROR(F29*VLOOKUP(E29,Insumos!$A:$G,7,FALSE()),0)</f>
        <v>4.72</v>
      </c>
      <c r="I29" s="15"/>
    </row>
    <row r="30" customFormat="false" ht="15" hidden="false" customHeight="false" outlineLevel="0" collapsed="false">
      <c r="A30" s="9" t="n">
        <v>2</v>
      </c>
      <c r="B30" s="9" t="s">
        <v>413</v>
      </c>
      <c r="C30" s="9" t="s">
        <v>426</v>
      </c>
      <c r="D30" s="9" t="s">
        <v>427</v>
      </c>
      <c r="E30" s="9" t="s">
        <v>58</v>
      </c>
      <c r="F30" s="9" t="n">
        <v>53</v>
      </c>
      <c r="G30" s="9" t="s">
        <v>61</v>
      </c>
      <c r="H30" s="14" t="n">
        <f aca="false">IFERROR(F30*VLOOKUP(E30,Insumos!$A:$G,7,FALSE()),0)</f>
        <v>12.985</v>
      </c>
      <c r="I30" s="16" t="s">
        <v>428</v>
      </c>
    </row>
    <row r="31" customFormat="false" ht="15" hidden="false" customHeight="false" outlineLevel="0" collapsed="false">
      <c r="A31" s="9" t="n">
        <v>2</v>
      </c>
      <c r="B31" s="9" t="s">
        <v>413</v>
      </c>
      <c r="C31" s="9" t="s">
        <v>426</v>
      </c>
      <c r="D31" s="9" t="s">
        <v>429</v>
      </c>
      <c r="E31" s="9" t="s">
        <v>126</v>
      </c>
      <c r="F31" s="9" t="n">
        <v>20</v>
      </c>
      <c r="G31" s="9" t="s">
        <v>61</v>
      </c>
      <c r="H31" s="14" t="n">
        <f aca="false">IFERROR(F31*VLOOKUP(E31,Insumos!$A:$G,7,FALSE()),0)</f>
        <v>0.56</v>
      </c>
      <c r="I31" s="15"/>
    </row>
    <row r="32" customFormat="false" ht="15" hidden="false" customHeight="false" outlineLevel="0" collapsed="false">
      <c r="A32" s="9" t="n">
        <v>2</v>
      </c>
      <c r="B32" s="9" t="s">
        <v>413</v>
      </c>
      <c r="C32" s="9" t="s">
        <v>426</v>
      </c>
      <c r="D32" s="9" t="s">
        <v>430</v>
      </c>
      <c r="E32" s="9" t="s">
        <v>122</v>
      </c>
      <c r="F32" s="9" t="n">
        <v>2</v>
      </c>
      <c r="G32" s="9" t="s">
        <v>61</v>
      </c>
      <c r="H32" s="14" t="n">
        <f aca="false">IFERROR(F32*VLOOKUP(E32,Insumos!$A:$G,7,FALSE()),0)</f>
        <v>1.56</v>
      </c>
      <c r="I32" s="15"/>
    </row>
    <row r="33" customFormat="false" ht="15" hidden="false" customHeight="false" outlineLevel="0" collapsed="false">
      <c r="A33" s="9" t="n">
        <v>3</v>
      </c>
      <c r="B33" s="9" t="s">
        <v>431</v>
      </c>
      <c r="C33" s="9" t="s">
        <v>432</v>
      </c>
      <c r="D33" s="9" t="s">
        <v>433</v>
      </c>
      <c r="E33" s="9" t="s">
        <v>58</v>
      </c>
      <c r="F33" s="9" t="n">
        <v>240</v>
      </c>
      <c r="G33" s="9" t="s">
        <v>61</v>
      </c>
      <c r="H33" s="14" t="n">
        <f aca="false">IFERROR(F33*VLOOKUP(E33,Insumos!$A:$G,7,FALSE()),0)</f>
        <v>58.8</v>
      </c>
      <c r="I33" s="15"/>
    </row>
    <row r="34" customFormat="false" ht="15" hidden="false" customHeight="false" outlineLevel="0" collapsed="false">
      <c r="A34" s="9" t="n">
        <v>3</v>
      </c>
      <c r="B34" s="9" t="s">
        <v>431</v>
      </c>
      <c r="C34" s="9" t="s">
        <v>432</v>
      </c>
      <c r="D34" s="9" t="s">
        <v>434</v>
      </c>
      <c r="E34" s="9" t="s">
        <v>129</v>
      </c>
      <c r="F34" s="9" t="n">
        <v>220</v>
      </c>
      <c r="G34" s="9" t="s">
        <v>61</v>
      </c>
      <c r="H34" s="14" t="n">
        <f aca="false">IFERROR(F34*VLOOKUP(E34,Insumos!$A:$G,7,FALSE()),0)</f>
        <v>7.48</v>
      </c>
      <c r="I34" s="15"/>
    </row>
    <row r="35" customFormat="false" ht="15" hidden="false" customHeight="false" outlineLevel="0" collapsed="false">
      <c r="A35" s="9" t="n">
        <v>3</v>
      </c>
      <c r="B35" s="9" t="s">
        <v>431</v>
      </c>
      <c r="C35" s="9" t="s">
        <v>432</v>
      </c>
      <c r="D35" s="9" t="s">
        <v>435</v>
      </c>
      <c r="E35" s="9" t="s">
        <v>66</v>
      </c>
      <c r="F35" s="9" t="n">
        <v>200</v>
      </c>
      <c r="G35" s="9" t="s">
        <v>61</v>
      </c>
      <c r="H35" s="14" t="n">
        <f aca="false">IFERROR(F35*VLOOKUP(E35,Insumos!$A:$G,7,FALSE()),0)</f>
        <v>12.4</v>
      </c>
      <c r="I35" s="15"/>
    </row>
    <row r="36" customFormat="false" ht="15" hidden="false" customHeight="false" outlineLevel="0" collapsed="false">
      <c r="A36" s="9" t="n">
        <v>3</v>
      </c>
      <c r="B36" s="9" t="s">
        <v>431</v>
      </c>
      <c r="C36" s="9" t="s">
        <v>432</v>
      </c>
      <c r="D36" s="9" t="s">
        <v>436</v>
      </c>
      <c r="E36" s="9" t="s">
        <v>107</v>
      </c>
      <c r="F36" s="9" t="n">
        <v>240</v>
      </c>
      <c r="G36" s="9" t="s">
        <v>61</v>
      </c>
      <c r="H36" s="14" t="n">
        <f aca="false">IFERROR(F36*VLOOKUP(E36,Insumos!$A:$G,7,FALSE()),0)</f>
        <v>6.24</v>
      </c>
      <c r="I36" s="15"/>
    </row>
    <row r="37" customFormat="false" ht="15" hidden="false" customHeight="false" outlineLevel="0" collapsed="false">
      <c r="A37" s="9" t="n">
        <v>3</v>
      </c>
      <c r="B37" s="9" t="s">
        <v>431</v>
      </c>
      <c r="C37" s="9" t="s">
        <v>432</v>
      </c>
      <c r="D37" s="9" t="s">
        <v>423</v>
      </c>
      <c r="E37" s="9" t="s">
        <v>114</v>
      </c>
      <c r="F37" s="9" t="n">
        <v>5</v>
      </c>
      <c r="G37" s="9" t="s">
        <v>61</v>
      </c>
      <c r="H37" s="14" t="n">
        <f aca="false">IFERROR(F37*VLOOKUP(E37,Insumos!$A:$G,7,FALSE()),0)</f>
        <v>0.68</v>
      </c>
      <c r="I37" s="15"/>
    </row>
    <row r="38" customFormat="false" ht="15" hidden="false" customHeight="false" outlineLevel="0" collapsed="false">
      <c r="A38" s="9" t="n">
        <v>3</v>
      </c>
      <c r="B38" s="9" t="s">
        <v>431</v>
      </c>
      <c r="C38" s="9" t="s">
        <v>432</v>
      </c>
      <c r="D38" s="9" t="s">
        <v>437</v>
      </c>
      <c r="E38" s="9" t="s">
        <v>118</v>
      </c>
      <c r="F38" s="9" t="n">
        <v>3</v>
      </c>
      <c r="G38" s="9" t="s">
        <v>61</v>
      </c>
      <c r="H38" s="14" t="n">
        <f aca="false">IFERROR(F38*VLOOKUP(E38,Insumos!$A:$G,7,FALSE()),0)</f>
        <v>0.048</v>
      </c>
      <c r="I38" s="15"/>
    </row>
    <row r="39" customFormat="false" ht="15" hidden="false" customHeight="false" outlineLevel="0" collapsed="false">
      <c r="A39" s="9" t="n">
        <v>3</v>
      </c>
      <c r="B39" s="9" t="s">
        <v>431</v>
      </c>
      <c r="C39" s="9" t="s">
        <v>432</v>
      </c>
      <c r="D39" s="9" t="s">
        <v>438</v>
      </c>
      <c r="E39" s="9" t="s">
        <v>77</v>
      </c>
      <c r="F39" s="9" t="n">
        <v>60</v>
      </c>
      <c r="G39" s="9" t="s">
        <v>74</v>
      </c>
      <c r="H39" s="14" t="n">
        <f aca="false">IFERROR(F39*VLOOKUP(E39,Insumos!$A:$G,7,FALSE()),0)</f>
        <v>6.13333333333333</v>
      </c>
      <c r="I39" s="15"/>
    </row>
    <row r="40" customFormat="false" ht="15" hidden="false" customHeight="false" outlineLevel="0" collapsed="false">
      <c r="A40" s="9" t="n">
        <v>3</v>
      </c>
      <c r="B40" s="9" t="s">
        <v>431</v>
      </c>
      <c r="C40" s="9" t="s">
        <v>439</v>
      </c>
      <c r="D40" s="9" t="s">
        <v>440</v>
      </c>
      <c r="E40" s="9" t="s">
        <v>272</v>
      </c>
      <c r="F40" s="9" t="n">
        <v>10</v>
      </c>
      <c r="G40" s="9" t="s">
        <v>74</v>
      </c>
      <c r="H40" s="14" t="n">
        <f aca="false">IFERROR(F40*VLOOKUP(E40,Insumos!$A:$G,7,FALSE()),0)</f>
        <v>16.8</v>
      </c>
      <c r="I40" s="15"/>
    </row>
    <row r="41" customFormat="false" ht="15" hidden="false" customHeight="false" outlineLevel="0" collapsed="false">
      <c r="A41" s="9" t="n">
        <v>3</v>
      </c>
      <c r="B41" s="9" t="s">
        <v>431</v>
      </c>
      <c r="C41" s="9" t="s">
        <v>439</v>
      </c>
      <c r="D41" s="9" t="s">
        <v>441</v>
      </c>
      <c r="E41" s="9" t="s">
        <v>72</v>
      </c>
      <c r="F41" s="9" t="n">
        <v>15</v>
      </c>
      <c r="G41" s="9" t="s">
        <v>74</v>
      </c>
      <c r="H41" s="14" t="n">
        <f aca="false">IFERROR(F41*VLOOKUP(E41,Insumos!$A:$G,7,FALSE()),0)</f>
        <v>0.405</v>
      </c>
      <c r="I41" s="15"/>
    </row>
    <row r="42" customFormat="false" ht="15" hidden="false" customHeight="false" outlineLevel="0" collapsed="false">
      <c r="A42" s="9" t="n">
        <v>3</v>
      </c>
      <c r="B42" s="9" t="s">
        <v>431</v>
      </c>
      <c r="C42" s="9" t="s">
        <v>442</v>
      </c>
      <c r="D42" s="9" t="s">
        <v>443</v>
      </c>
      <c r="E42" s="9" t="s">
        <v>153</v>
      </c>
      <c r="F42" s="9" t="n">
        <v>60</v>
      </c>
      <c r="G42" s="9" t="s">
        <v>61</v>
      </c>
      <c r="H42" s="14" t="n">
        <f aca="false">IFERROR(F42*VLOOKUP(E42,Insumos!$A:$G,7,FALSE()),0)</f>
        <v>23.1</v>
      </c>
      <c r="I42" s="15"/>
    </row>
    <row r="43" customFormat="false" ht="15" hidden="false" customHeight="false" outlineLevel="0" collapsed="false">
      <c r="A43" s="9" t="n">
        <v>3</v>
      </c>
      <c r="B43" s="9" t="s">
        <v>431</v>
      </c>
      <c r="C43" s="9" t="s">
        <v>442</v>
      </c>
      <c r="D43" s="9" t="s">
        <v>444</v>
      </c>
      <c r="E43" s="9" t="s">
        <v>164</v>
      </c>
      <c r="F43" s="9" t="n">
        <v>25</v>
      </c>
      <c r="G43" s="9" t="s">
        <v>61</v>
      </c>
      <c r="H43" s="14" t="n">
        <f aca="false">IFERROR(F43*VLOOKUP(E43,Insumos!$A:$G,7,FALSE()),0)</f>
        <v>7.125</v>
      </c>
      <c r="I43" s="15"/>
    </row>
    <row r="44" customFormat="false" ht="15" hidden="false" customHeight="false" outlineLevel="0" collapsed="false">
      <c r="A44" s="9" t="n">
        <v>3</v>
      </c>
      <c r="B44" s="9" t="s">
        <v>431</v>
      </c>
      <c r="C44" s="9" t="s">
        <v>442</v>
      </c>
      <c r="D44" s="9" t="s">
        <v>445</v>
      </c>
      <c r="E44" s="9" t="s">
        <v>72</v>
      </c>
      <c r="F44" s="9" t="n">
        <v>40</v>
      </c>
      <c r="G44" s="9" t="s">
        <v>74</v>
      </c>
      <c r="H44" s="14" t="n">
        <f aca="false">IFERROR(F44*VLOOKUP(E44,Insumos!$A:$G,7,FALSE()),0)</f>
        <v>1.08</v>
      </c>
      <c r="I44" s="15"/>
    </row>
    <row r="45" customFormat="false" ht="15" hidden="false" customHeight="false" outlineLevel="0" collapsed="false">
      <c r="A45" s="9" t="n">
        <v>3</v>
      </c>
      <c r="B45" s="9" t="s">
        <v>431</v>
      </c>
      <c r="C45" s="9" t="s">
        <v>442</v>
      </c>
      <c r="D45" s="9" t="s">
        <v>446</v>
      </c>
      <c r="E45" s="9" t="s">
        <v>126</v>
      </c>
      <c r="F45" s="9" t="n">
        <v>15</v>
      </c>
      <c r="G45" s="9" t="s">
        <v>61</v>
      </c>
      <c r="H45" s="14" t="n">
        <f aca="false">IFERROR(F45*VLOOKUP(E45,Insumos!$A:$G,7,FALSE()),0)</f>
        <v>0.42</v>
      </c>
      <c r="I45" s="15"/>
    </row>
    <row r="46" customFormat="false" ht="15" hidden="false" customHeight="false" outlineLevel="0" collapsed="false">
      <c r="A46" s="9" t="n">
        <v>4</v>
      </c>
      <c r="B46" s="9" t="s">
        <v>447</v>
      </c>
      <c r="C46" s="9" t="s">
        <v>448</v>
      </c>
      <c r="D46" s="9" t="s">
        <v>449</v>
      </c>
      <c r="E46" s="9" t="s">
        <v>126</v>
      </c>
      <c r="F46" s="9" t="n">
        <v>100</v>
      </c>
      <c r="G46" s="9" t="s">
        <v>61</v>
      </c>
      <c r="H46" s="14" t="n">
        <f aca="false">IFERROR(F46*VLOOKUP(E46,Insumos!$A:$G,7,FALSE()),0)</f>
        <v>2.8</v>
      </c>
      <c r="I46" s="15"/>
    </row>
    <row r="47" customFormat="false" ht="15" hidden="false" customHeight="false" outlineLevel="0" collapsed="false">
      <c r="A47" s="9" t="n">
        <v>4</v>
      </c>
      <c r="B47" s="9" t="s">
        <v>447</v>
      </c>
      <c r="C47" s="9" t="s">
        <v>448</v>
      </c>
      <c r="D47" s="9" t="s">
        <v>450</v>
      </c>
      <c r="E47" s="9" t="s">
        <v>75</v>
      </c>
      <c r="F47" s="9" t="n">
        <v>80</v>
      </c>
      <c r="G47" s="9" t="s">
        <v>74</v>
      </c>
      <c r="H47" s="14" t="n">
        <f aca="false">IFERROR(F47*VLOOKUP(E47,Insumos!$A:$G,7,FALSE()),0)</f>
        <v>9.44</v>
      </c>
      <c r="I47" s="15"/>
    </row>
    <row r="48" customFormat="false" ht="15" hidden="false" customHeight="false" outlineLevel="0" collapsed="false">
      <c r="A48" s="9" t="n">
        <v>4</v>
      </c>
      <c r="B48" s="9" t="s">
        <v>447</v>
      </c>
      <c r="C48" s="9" t="s">
        <v>448</v>
      </c>
      <c r="D48" s="9" t="s">
        <v>451</v>
      </c>
      <c r="E48" s="9" t="s">
        <v>64</v>
      </c>
      <c r="F48" s="9" t="n">
        <v>40</v>
      </c>
      <c r="G48" s="9" t="s">
        <v>61</v>
      </c>
      <c r="H48" s="14" t="n">
        <f aca="false">IFERROR(F48*VLOOKUP(E48,Insumos!$A:$G,7,FALSE()),0)</f>
        <v>9.6</v>
      </c>
      <c r="I48" s="15"/>
    </row>
    <row r="49" customFormat="false" ht="15" hidden="false" customHeight="false" outlineLevel="0" collapsed="false">
      <c r="A49" s="9" t="n">
        <v>4</v>
      </c>
      <c r="B49" s="9" t="s">
        <v>447</v>
      </c>
      <c r="C49" s="9" t="s">
        <v>448</v>
      </c>
      <c r="D49" s="9" t="s">
        <v>452</v>
      </c>
      <c r="E49" s="9" t="s">
        <v>118</v>
      </c>
      <c r="F49" s="9" t="n">
        <v>3</v>
      </c>
      <c r="G49" s="9" t="s">
        <v>61</v>
      </c>
      <c r="H49" s="14" t="n">
        <f aca="false">IFERROR(F49*VLOOKUP(E49,Insumos!$A:$G,7,FALSE()),0)</f>
        <v>0.048</v>
      </c>
      <c r="I49" s="15"/>
    </row>
    <row r="50" customFormat="false" ht="15" hidden="false" customHeight="false" outlineLevel="0" collapsed="false">
      <c r="A50" s="9" t="n">
        <v>4</v>
      </c>
      <c r="B50" s="9" t="s">
        <v>447</v>
      </c>
      <c r="C50" s="9" t="s">
        <v>453</v>
      </c>
      <c r="D50" s="9" t="s">
        <v>454</v>
      </c>
      <c r="E50" s="9" t="s">
        <v>58</v>
      </c>
      <c r="F50" s="9" t="n">
        <v>180</v>
      </c>
      <c r="G50" s="9" t="s">
        <v>61</v>
      </c>
      <c r="H50" s="14" t="n">
        <f aca="false">IFERROR(F50*VLOOKUP(E50,Insumos!$A:$G,7,FALSE()),0)</f>
        <v>44.1</v>
      </c>
      <c r="I50" s="15"/>
    </row>
    <row r="51" customFormat="false" ht="15" hidden="false" customHeight="false" outlineLevel="0" collapsed="false">
      <c r="A51" s="9" t="n">
        <v>4</v>
      </c>
      <c r="B51" s="9" t="s">
        <v>447</v>
      </c>
      <c r="C51" s="9" t="s">
        <v>453</v>
      </c>
      <c r="D51" s="9" t="s">
        <v>455</v>
      </c>
      <c r="E51" s="9" t="s">
        <v>133</v>
      </c>
      <c r="F51" s="9" t="n">
        <v>130</v>
      </c>
      <c r="G51" s="9" t="s">
        <v>61</v>
      </c>
      <c r="H51" s="14" t="n">
        <f aca="false">IFERROR(F51*VLOOKUP(E51,Insumos!$A:$G,7,FALSE()),0)</f>
        <v>6.76</v>
      </c>
      <c r="I51" s="15"/>
    </row>
    <row r="52" customFormat="false" ht="15" hidden="false" customHeight="false" outlineLevel="0" collapsed="false">
      <c r="A52" s="9" t="n">
        <v>4</v>
      </c>
      <c r="B52" s="9" t="s">
        <v>447</v>
      </c>
      <c r="C52" s="9" t="s">
        <v>453</v>
      </c>
      <c r="D52" s="9" t="s">
        <v>456</v>
      </c>
      <c r="E52" s="9" t="s">
        <v>149</v>
      </c>
      <c r="F52" s="9" t="n">
        <v>0</v>
      </c>
      <c r="G52" s="9" t="s">
        <v>61</v>
      </c>
      <c r="H52" s="14" t="n">
        <f aca="false">IFERROR(F52*VLOOKUP(E52,Insumos!$A:$G,7,FALSE()),0)</f>
        <v>0</v>
      </c>
      <c r="I52" s="16" t="s">
        <v>457</v>
      </c>
    </row>
    <row r="53" customFormat="false" ht="15" hidden="false" customHeight="false" outlineLevel="0" collapsed="false">
      <c r="A53" s="9" t="n">
        <v>4</v>
      </c>
      <c r="B53" s="9" t="s">
        <v>447</v>
      </c>
      <c r="C53" s="9" t="s">
        <v>453</v>
      </c>
      <c r="D53" s="9" t="s">
        <v>458</v>
      </c>
      <c r="E53" s="9" t="s">
        <v>66</v>
      </c>
      <c r="F53" s="9" t="n">
        <v>180</v>
      </c>
      <c r="G53" s="9" t="s">
        <v>61</v>
      </c>
      <c r="H53" s="14" t="n">
        <f aca="false">IFERROR(F53*VLOOKUP(E53,Insumos!$A:$G,7,FALSE()),0)</f>
        <v>11.16</v>
      </c>
      <c r="I53" s="15"/>
    </row>
    <row r="54" customFormat="false" ht="15" hidden="false" customHeight="false" outlineLevel="0" collapsed="false">
      <c r="A54" s="9" t="n">
        <v>4</v>
      </c>
      <c r="B54" s="9" t="s">
        <v>447</v>
      </c>
      <c r="C54" s="9" t="s">
        <v>453</v>
      </c>
      <c r="D54" s="9" t="s">
        <v>459</v>
      </c>
      <c r="E54" s="9" t="s">
        <v>107</v>
      </c>
      <c r="F54" s="9" t="n">
        <v>210</v>
      </c>
      <c r="G54" s="9" t="s">
        <v>61</v>
      </c>
      <c r="H54" s="14" t="n">
        <f aca="false">IFERROR(F54*VLOOKUP(E54,Insumos!$A:$G,7,FALSE()),0)</f>
        <v>5.46</v>
      </c>
      <c r="I54" s="15"/>
    </row>
    <row r="55" customFormat="false" ht="15" hidden="false" customHeight="false" outlineLevel="0" collapsed="false">
      <c r="A55" s="9" t="n">
        <v>4</v>
      </c>
      <c r="B55" s="9" t="s">
        <v>447</v>
      </c>
      <c r="C55" s="9" t="s">
        <v>453</v>
      </c>
      <c r="D55" s="9" t="s">
        <v>460</v>
      </c>
      <c r="E55" s="9" t="s">
        <v>114</v>
      </c>
      <c r="F55" s="9" t="n">
        <v>5</v>
      </c>
      <c r="G55" s="9" t="s">
        <v>61</v>
      </c>
      <c r="H55" s="14" t="n">
        <f aca="false">IFERROR(F55*VLOOKUP(E55,Insumos!$A:$G,7,FALSE()),0)</f>
        <v>0.68</v>
      </c>
      <c r="I55" s="15"/>
    </row>
    <row r="56" customFormat="false" ht="15" hidden="false" customHeight="false" outlineLevel="0" collapsed="false">
      <c r="A56" s="9" t="n">
        <v>4</v>
      </c>
      <c r="B56" s="9" t="s">
        <v>447</v>
      </c>
      <c r="C56" s="9" t="s">
        <v>453</v>
      </c>
      <c r="D56" s="9" t="s">
        <v>461</v>
      </c>
      <c r="E56" s="9" t="s">
        <v>118</v>
      </c>
      <c r="F56" s="9" t="n">
        <v>2</v>
      </c>
      <c r="G56" s="9" t="s">
        <v>61</v>
      </c>
      <c r="H56" s="14" t="n">
        <f aca="false">IFERROR(F56*VLOOKUP(E56,Insumos!$A:$G,7,FALSE()),0)</f>
        <v>0.032</v>
      </c>
      <c r="I56" s="15"/>
    </row>
    <row r="57" customFormat="false" ht="15" hidden="false" customHeight="false" outlineLevel="0" collapsed="false">
      <c r="A57" s="9" t="n">
        <v>4</v>
      </c>
      <c r="B57" s="9" t="s">
        <v>447</v>
      </c>
      <c r="C57" s="9" t="s">
        <v>453</v>
      </c>
      <c r="D57" s="9" t="s">
        <v>462</v>
      </c>
      <c r="E57" s="9" t="s">
        <v>72</v>
      </c>
      <c r="F57" s="9" t="n">
        <v>30</v>
      </c>
      <c r="G57" s="9" t="s">
        <v>74</v>
      </c>
      <c r="H57" s="14" t="n">
        <f aca="false">IFERROR(F57*VLOOKUP(E57,Insumos!$A:$G,7,FALSE()),0)</f>
        <v>0.81</v>
      </c>
      <c r="I57" s="15"/>
    </row>
    <row r="58" customFormat="false" ht="15" hidden="false" customHeight="false" outlineLevel="0" collapsed="false">
      <c r="A58" s="9" t="n">
        <v>4</v>
      </c>
      <c r="B58" s="9" t="s">
        <v>447</v>
      </c>
      <c r="C58" s="9" t="s">
        <v>463</v>
      </c>
      <c r="D58" s="9" t="s">
        <v>464</v>
      </c>
      <c r="E58" s="9" t="s">
        <v>160</v>
      </c>
      <c r="F58" s="9" t="n">
        <v>100</v>
      </c>
      <c r="G58" s="9" t="s">
        <v>61</v>
      </c>
      <c r="H58" s="14" t="n">
        <f aca="false">IFERROR(F58*VLOOKUP(E58,Insumos!$A:$G,7,FALSE()),0)</f>
        <v>36.5</v>
      </c>
      <c r="I58" s="15"/>
    </row>
    <row r="59" customFormat="false" ht="15" hidden="false" customHeight="false" outlineLevel="0" collapsed="false">
      <c r="A59" s="9" t="n">
        <v>4</v>
      </c>
      <c r="B59" s="9" t="s">
        <v>447</v>
      </c>
      <c r="C59" s="9" t="s">
        <v>463</v>
      </c>
      <c r="D59" s="9" t="s">
        <v>465</v>
      </c>
      <c r="E59" s="9" t="s">
        <v>149</v>
      </c>
      <c r="F59" s="9" t="n">
        <v>0</v>
      </c>
      <c r="G59" s="9" t="s">
        <v>61</v>
      </c>
      <c r="H59" s="14" t="n">
        <f aca="false">IFERROR(F59*VLOOKUP(E59,Insumos!$A:$G,7,FALSE()),0)</f>
        <v>0</v>
      </c>
      <c r="I59" s="16" t="s">
        <v>457</v>
      </c>
    </row>
    <row r="60" customFormat="false" ht="15" hidden="false" customHeight="false" outlineLevel="0" collapsed="false">
      <c r="A60" s="9" t="n">
        <v>4</v>
      </c>
      <c r="B60" s="9" t="s">
        <v>447</v>
      </c>
      <c r="C60" s="9" t="s">
        <v>463</v>
      </c>
      <c r="D60" s="9" t="s">
        <v>466</v>
      </c>
      <c r="E60" s="9" t="s">
        <v>75</v>
      </c>
      <c r="F60" s="9" t="n">
        <v>140</v>
      </c>
      <c r="G60" s="9" t="s">
        <v>74</v>
      </c>
      <c r="H60" s="14" t="n">
        <f aca="false">IFERROR(F60*VLOOKUP(E60,Insumos!$A:$G,7,FALSE()),0)</f>
        <v>16.52</v>
      </c>
      <c r="I60" s="15"/>
    </row>
    <row r="61" customFormat="false" ht="15" hidden="false" customHeight="false" outlineLevel="0" collapsed="false">
      <c r="A61" s="9" t="n">
        <v>5</v>
      </c>
      <c r="B61" s="9" t="s">
        <v>467</v>
      </c>
      <c r="C61" s="9" t="s">
        <v>468</v>
      </c>
      <c r="D61" s="9" t="s">
        <v>469</v>
      </c>
      <c r="E61" s="9" t="s">
        <v>242</v>
      </c>
      <c r="F61" s="9" t="n">
        <v>360</v>
      </c>
      <c r="G61" s="9" t="s">
        <v>61</v>
      </c>
      <c r="H61" s="14" t="n">
        <f aca="false">IFERROR(F61*VLOOKUP(E61,Insumos!$A:$G,7,FALSE()),0)</f>
        <v>22.32</v>
      </c>
      <c r="I61" s="16" t="s">
        <v>470</v>
      </c>
    </row>
    <row r="62" customFormat="false" ht="15" hidden="false" customHeight="false" outlineLevel="0" collapsed="false">
      <c r="A62" s="9" t="n">
        <v>5</v>
      </c>
      <c r="B62" s="9" t="s">
        <v>467</v>
      </c>
      <c r="C62" s="9" t="s">
        <v>468</v>
      </c>
      <c r="D62" s="9" t="s">
        <v>471</v>
      </c>
      <c r="E62" s="9" t="s">
        <v>58</v>
      </c>
      <c r="F62" s="9" t="n">
        <v>25</v>
      </c>
      <c r="G62" s="9" t="s">
        <v>61</v>
      </c>
      <c r="H62" s="14" t="n">
        <f aca="false">IFERROR(F62*VLOOKUP(E62,Insumos!$A:$G,7,FALSE()),0)</f>
        <v>6.125</v>
      </c>
      <c r="I62" s="15"/>
    </row>
    <row r="63" customFormat="false" ht="15" hidden="false" customHeight="false" outlineLevel="0" collapsed="false">
      <c r="A63" s="9" t="n">
        <v>5</v>
      </c>
      <c r="B63" s="9" t="s">
        <v>467</v>
      </c>
      <c r="C63" s="9" t="s">
        <v>468</v>
      </c>
      <c r="D63" s="9" t="s">
        <v>472</v>
      </c>
      <c r="E63" s="9" t="s">
        <v>133</v>
      </c>
      <c r="F63" s="9" t="n">
        <v>30</v>
      </c>
      <c r="G63" s="9" t="s">
        <v>61</v>
      </c>
      <c r="H63" s="14" t="n">
        <f aca="false">IFERROR(F63*VLOOKUP(E63,Insumos!$A:$G,7,FALSE()),0)</f>
        <v>1.56</v>
      </c>
      <c r="I63" s="15"/>
    </row>
    <row r="64" customFormat="false" ht="15" hidden="false" customHeight="false" outlineLevel="0" collapsed="false">
      <c r="A64" s="9" t="n">
        <v>5</v>
      </c>
      <c r="B64" s="9" t="s">
        <v>467</v>
      </c>
      <c r="C64" s="9" t="s">
        <v>468</v>
      </c>
      <c r="D64" s="9" t="s">
        <v>473</v>
      </c>
      <c r="E64" s="9" t="s">
        <v>277</v>
      </c>
      <c r="F64" s="9" t="n">
        <v>0.5</v>
      </c>
      <c r="G64" s="9" t="s">
        <v>61</v>
      </c>
      <c r="H64" s="14" t="n">
        <f aca="false">IFERROR(F64*VLOOKUP(E64,Insumos!$A:$G,7,FALSE()),0)</f>
        <v>0.37</v>
      </c>
      <c r="I64" s="16" t="s">
        <v>474</v>
      </c>
    </row>
    <row r="65" customFormat="false" ht="15" hidden="false" customHeight="false" outlineLevel="0" collapsed="false">
      <c r="A65" s="9" t="n">
        <v>5</v>
      </c>
      <c r="B65" s="9" t="s">
        <v>467</v>
      </c>
      <c r="C65" s="9" t="s">
        <v>475</v>
      </c>
      <c r="D65" s="9" t="s">
        <v>476</v>
      </c>
      <c r="E65" s="9" t="s">
        <v>70</v>
      </c>
      <c r="F65" s="9" t="n">
        <v>160</v>
      </c>
      <c r="G65" s="9" t="s">
        <v>61</v>
      </c>
      <c r="H65" s="14" t="n">
        <f aca="false">IFERROR(F65*VLOOKUP(E65,Insumos!$A:$G,7,FALSE()),0)</f>
        <v>7.68</v>
      </c>
      <c r="I65" s="15"/>
    </row>
    <row r="66" customFormat="false" ht="15" hidden="false" customHeight="false" outlineLevel="0" collapsed="false">
      <c r="A66" s="9" t="n">
        <v>5</v>
      </c>
      <c r="B66" s="9" t="s">
        <v>467</v>
      </c>
      <c r="C66" s="9" t="s">
        <v>475</v>
      </c>
      <c r="D66" s="9" t="s">
        <v>477</v>
      </c>
      <c r="E66" s="9" t="s">
        <v>58</v>
      </c>
      <c r="F66" s="9" t="n">
        <v>200</v>
      </c>
      <c r="G66" s="9" t="s">
        <v>61</v>
      </c>
      <c r="H66" s="14" t="n">
        <f aca="false">IFERROR(F66*VLOOKUP(E66,Insumos!$A:$G,7,FALSE()),0)</f>
        <v>49</v>
      </c>
      <c r="I66" s="16" t="s">
        <v>478</v>
      </c>
    </row>
    <row r="67" customFormat="false" ht="15" hidden="false" customHeight="false" outlineLevel="0" collapsed="false">
      <c r="A67" s="9" t="n">
        <v>5</v>
      </c>
      <c r="B67" s="9" t="s">
        <v>467</v>
      </c>
      <c r="C67" s="9" t="s">
        <v>475</v>
      </c>
      <c r="D67" s="9" t="s">
        <v>479</v>
      </c>
      <c r="E67" s="9" t="s">
        <v>131</v>
      </c>
      <c r="F67" s="9" t="n">
        <v>150</v>
      </c>
      <c r="G67" s="9" t="s">
        <v>61</v>
      </c>
      <c r="H67" s="14" t="n">
        <f aca="false">IFERROR(F67*VLOOKUP(E67,Insumos!$A:$G,7,FALSE()),0)</f>
        <v>6.3</v>
      </c>
      <c r="I67" s="15"/>
    </row>
    <row r="68" customFormat="false" ht="15" hidden="false" customHeight="false" outlineLevel="0" collapsed="false">
      <c r="A68" s="9" t="n">
        <v>5</v>
      </c>
      <c r="B68" s="9" t="s">
        <v>467</v>
      </c>
      <c r="C68" s="9" t="s">
        <v>475</v>
      </c>
      <c r="D68" s="9" t="s">
        <v>480</v>
      </c>
      <c r="E68" s="9" t="s">
        <v>172</v>
      </c>
      <c r="F68" s="9" t="n">
        <v>90</v>
      </c>
      <c r="G68" s="9" t="s">
        <v>61</v>
      </c>
      <c r="H68" s="14" t="n">
        <f aca="false">IFERROR(F68*VLOOKUP(E68,Insumos!$A:$G,7,FALSE()),0)</f>
        <v>38.25</v>
      </c>
      <c r="I68" s="15"/>
    </row>
    <row r="69" customFormat="false" ht="15" hidden="false" customHeight="false" outlineLevel="0" collapsed="false">
      <c r="A69" s="9" t="n">
        <v>5</v>
      </c>
      <c r="B69" s="9" t="s">
        <v>467</v>
      </c>
      <c r="C69" s="9" t="s">
        <v>475</v>
      </c>
      <c r="D69" s="9" t="s">
        <v>481</v>
      </c>
      <c r="E69" s="9" t="s">
        <v>107</v>
      </c>
      <c r="F69" s="9" t="n">
        <v>70</v>
      </c>
      <c r="G69" s="9" t="s">
        <v>61</v>
      </c>
      <c r="H69" s="14" t="n">
        <f aca="false">IFERROR(F69*VLOOKUP(E69,Insumos!$A:$G,7,FALSE()),0)</f>
        <v>1.82</v>
      </c>
      <c r="I69" s="15"/>
    </row>
    <row r="70" customFormat="false" ht="15" hidden="false" customHeight="false" outlineLevel="0" collapsed="false">
      <c r="A70" s="9" t="n">
        <v>5</v>
      </c>
      <c r="B70" s="9" t="s">
        <v>467</v>
      </c>
      <c r="C70" s="9" t="s">
        <v>475</v>
      </c>
      <c r="D70" s="9" t="s">
        <v>482</v>
      </c>
      <c r="E70" s="9" t="s">
        <v>114</v>
      </c>
      <c r="F70" s="9" t="n">
        <v>4</v>
      </c>
      <c r="G70" s="9" t="s">
        <v>61</v>
      </c>
      <c r="H70" s="14" t="n">
        <f aca="false">IFERROR(F70*VLOOKUP(E70,Insumos!$A:$G,7,FALSE()),0)</f>
        <v>0.544</v>
      </c>
      <c r="I70" s="15"/>
    </row>
    <row r="71" customFormat="false" ht="15" hidden="false" customHeight="false" outlineLevel="0" collapsed="false">
      <c r="A71" s="9" t="n">
        <v>5</v>
      </c>
      <c r="B71" s="9" t="s">
        <v>467</v>
      </c>
      <c r="C71" s="9" t="s">
        <v>475</v>
      </c>
      <c r="D71" s="9" t="s">
        <v>483</v>
      </c>
      <c r="E71" s="9" t="s">
        <v>120</v>
      </c>
      <c r="F71" s="9" t="n">
        <v>2</v>
      </c>
      <c r="G71" s="9" t="s">
        <v>61</v>
      </c>
      <c r="H71" s="14" t="n">
        <f aca="false">IFERROR(F71*VLOOKUP(E71,Insumos!$A:$G,7,FALSE()),0)</f>
        <v>0.168</v>
      </c>
      <c r="I71" s="15"/>
    </row>
    <row r="72" customFormat="false" ht="15" hidden="false" customHeight="false" outlineLevel="0" collapsed="false">
      <c r="A72" s="9" t="n">
        <v>5</v>
      </c>
      <c r="B72" s="9" t="s">
        <v>467</v>
      </c>
      <c r="C72" s="9" t="s">
        <v>475</v>
      </c>
      <c r="D72" s="9" t="s">
        <v>484</v>
      </c>
      <c r="E72" s="9" t="s">
        <v>311</v>
      </c>
      <c r="F72" s="9" t="n">
        <v>5</v>
      </c>
      <c r="G72" s="9" t="s">
        <v>74</v>
      </c>
      <c r="H72" s="14" t="n">
        <f aca="false">IFERROR(F72*VLOOKUP(E72,Insumos!$A:$G,7,FALSE()),0)</f>
        <v>9.58333333333333</v>
      </c>
      <c r="I72" s="15"/>
    </row>
    <row r="73" customFormat="false" ht="15" hidden="false" customHeight="false" outlineLevel="0" collapsed="false">
      <c r="A73" s="9" t="n">
        <v>6</v>
      </c>
      <c r="B73" s="9" t="s">
        <v>485</v>
      </c>
      <c r="C73" s="9" t="s">
        <v>486</v>
      </c>
      <c r="D73" s="9" t="s">
        <v>487</v>
      </c>
      <c r="E73" s="9" t="s">
        <v>183</v>
      </c>
      <c r="F73" s="9" t="n">
        <v>140</v>
      </c>
      <c r="G73" s="9" t="s">
        <v>61</v>
      </c>
      <c r="H73" s="14" t="n">
        <f aca="false">IFERROR(F73*VLOOKUP(E73,Insumos!$A:$G,7,FALSE()),0)</f>
        <v>67.2</v>
      </c>
      <c r="I73" s="15"/>
    </row>
    <row r="74" customFormat="false" ht="15" hidden="false" customHeight="false" outlineLevel="0" collapsed="false">
      <c r="A74" s="9" t="n">
        <v>6</v>
      </c>
      <c r="B74" s="9" t="s">
        <v>485</v>
      </c>
      <c r="C74" s="9" t="s">
        <v>486</v>
      </c>
      <c r="D74" s="9" t="s">
        <v>488</v>
      </c>
      <c r="E74" s="9" t="s">
        <v>143</v>
      </c>
      <c r="F74" s="9" t="n">
        <v>40</v>
      </c>
      <c r="G74" s="9" t="s">
        <v>74</v>
      </c>
      <c r="H74" s="14" t="n">
        <f aca="false">IFERROR(F74*VLOOKUP(E74,Insumos!$A:$G,7,FALSE()),0)</f>
        <v>33.6</v>
      </c>
      <c r="I74" s="15"/>
    </row>
    <row r="75" customFormat="false" ht="15" hidden="false" customHeight="false" outlineLevel="0" collapsed="false">
      <c r="A75" s="9" t="n">
        <v>6</v>
      </c>
      <c r="B75" s="9" t="s">
        <v>485</v>
      </c>
      <c r="C75" s="9" t="s">
        <v>486</v>
      </c>
      <c r="D75" s="9" t="s">
        <v>489</v>
      </c>
      <c r="E75" s="9" t="s">
        <v>58</v>
      </c>
      <c r="F75" s="9" t="n">
        <v>10</v>
      </c>
      <c r="G75" s="9" t="s">
        <v>61</v>
      </c>
      <c r="H75" s="14" t="n">
        <f aca="false">IFERROR(F75*VLOOKUP(E75,Insumos!$A:$G,7,FALSE()),0)</f>
        <v>2.45</v>
      </c>
      <c r="I75" s="15"/>
    </row>
    <row r="76" customFormat="false" ht="15" hidden="false" customHeight="false" outlineLevel="0" collapsed="false">
      <c r="A76" s="9" t="n">
        <v>6</v>
      </c>
      <c r="B76" s="9" t="s">
        <v>485</v>
      </c>
      <c r="C76" s="9" t="s">
        <v>486</v>
      </c>
      <c r="D76" s="9" t="s">
        <v>490</v>
      </c>
      <c r="E76" s="9" t="s">
        <v>122</v>
      </c>
      <c r="F76" s="9" t="n">
        <v>2</v>
      </c>
      <c r="G76" s="9" t="s">
        <v>61</v>
      </c>
      <c r="H76" s="14" t="n">
        <f aca="false">IFERROR(F76*VLOOKUP(E76,Insumos!$A:$G,7,FALSE()),0)</f>
        <v>1.56</v>
      </c>
      <c r="I76" s="15"/>
    </row>
    <row r="77" customFormat="false" ht="15" hidden="false" customHeight="false" outlineLevel="0" collapsed="false">
      <c r="A77" s="9" t="n">
        <v>6</v>
      </c>
      <c r="B77" s="9" t="s">
        <v>485</v>
      </c>
      <c r="C77" s="9" t="s">
        <v>396</v>
      </c>
      <c r="D77" s="9" t="s">
        <v>491</v>
      </c>
      <c r="E77" s="9" t="s">
        <v>58</v>
      </c>
      <c r="F77" s="9" t="n">
        <v>180</v>
      </c>
      <c r="G77" s="9" t="s">
        <v>61</v>
      </c>
      <c r="H77" s="14" t="n">
        <f aca="false">IFERROR(F77*VLOOKUP(E77,Insumos!$A:$G,7,FALSE()),0)</f>
        <v>44.1</v>
      </c>
      <c r="I77" s="15"/>
    </row>
    <row r="78" customFormat="false" ht="15" hidden="false" customHeight="false" outlineLevel="0" collapsed="false">
      <c r="A78" s="9" t="n">
        <v>6</v>
      </c>
      <c r="B78" s="9" t="s">
        <v>485</v>
      </c>
      <c r="C78" s="9" t="s">
        <v>396</v>
      </c>
      <c r="D78" s="9" t="s">
        <v>492</v>
      </c>
      <c r="E78" s="9" t="s">
        <v>83</v>
      </c>
      <c r="F78" s="9" t="n">
        <v>140</v>
      </c>
      <c r="G78" s="9" t="s">
        <v>61</v>
      </c>
      <c r="H78" s="14" t="n">
        <f aca="false">IFERROR(F78*VLOOKUP(E78,Insumos!$A:$G,7,FALSE()),0)</f>
        <v>23.52</v>
      </c>
      <c r="I78" s="15"/>
    </row>
    <row r="79" customFormat="false" ht="15" hidden="false" customHeight="false" outlineLevel="0" collapsed="false">
      <c r="A79" s="9" t="n">
        <v>6</v>
      </c>
      <c r="B79" s="9" t="s">
        <v>485</v>
      </c>
      <c r="C79" s="9" t="s">
        <v>396</v>
      </c>
      <c r="D79" s="9" t="s">
        <v>493</v>
      </c>
      <c r="E79" s="9" t="s">
        <v>133</v>
      </c>
      <c r="F79" s="9" t="n">
        <v>180</v>
      </c>
      <c r="G79" s="9" t="s">
        <v>61</v>
      </c>
      <c r="H79" s="14" t="n">
        <f aca="false">IFERROR(F79*VLOOKUP(E79,Insumos!$A:$G,7,FALSE()),0)</f>
        <v>9.36</v>
      </c>
      <c r="I79" s="15"/>
    </row>
    <row r="80" customFormat="false" ht="15" hidden="false" customHeight="false" outlineLevel="0" collapsed="false">
      <c r="A80" s="9" t="n">
        <v>6</v>
      </c>
      <c r="B80" s="9" t="s">
        <v>485</v>
      </c>
      <c r="C80" s="9" t="s">
        <v>396</v>
      </c>
      <c r="D80" s="9" t="s">
        <v>494</v>
      </c>
      <c r="E80" s="9" t="s">
        <v>143</v>
      </c>
      <c r="F80" s="9" t="n">
        <v>30</v>
      </c>
      <c r="G80" s="9" t="s">
        <v>74</v>
      </c>
      <c r="H80" s="14" t="n">
        <f aca="false">IFERROR(F80*VLOOKUP(E80,Insumos!$A:$G,7,FALSE()),0)</f>
        <v>25.2</v>
      </c>
      <c r="I80" s="15"/>
    </row>
    <row r="81" customFormat="false" ht="15" hidden="false" customHeight="false" outlineLevel="0" collapsed="false">
      <c r="A81" s="9" t="n">
        <v>6</v>
      </c>
      <c r="B81" s="9" t="s">
        <v>485</v>
      </c>
      <c r="C81" s="9" t="s">
        <v>396</v>
      </c>
      <c r="D81" s="9" t="s">
        <v>420</v>
      </c>
      <c r="E81" s="9" t="s">
        <v>66</v>
      </c>
      <c r="F81" s="9" t="n">
        <v>200</v>
      </c>
      <c r="G81" s="9" t="s">
        <v>61</v>
      </c>
      <c r="H81" s="14" t="n">
        <f aca="false">IFERROR(F81*VLOOKUP(E81,Insumos!$A:$G,7,FALSE()),0)</f>
        <v>12.4</v>
      </c>
      <c r="I81" s="15"/>
    </row>
    <row r="82" customFormat="false" ht="15" hidden="false" customHeight="false" outlineLevel="0" collapsed="false">
      <c r="A82" s="9" t="n">
        <v>6</v>
      </c>
      <c r="B82" s="9" t="s">
        <v>485</v>
      </c>
      <c r="C82" s="9" t="s">
        <v>396</v>
      </c>
      <c r="D82" s="9" t="s">
        <v>495</v>
      </c>
      <c r="E82" s="9" t="s">
        <v>107</v>
      </c>
      <c r="F82" s="9" t="n">
        <v>220</v>
      </c>
      <c r="G82" s="9" t="s">
        <v>61</v>
      </c>
      <c r="H82" s="14" t="n">
        <f aca="false">IFERROR(F82*VLOOKUP(E82,Insumos!$A:$G,7,FALSE()),0)</f>
        <v>5.72</v>
      </c>
      <c r="I82" s="15"/>
    </row>
    <row r="83" customFormat="false" ht="15" hidden="false" customHeight="false" outlineLevel="0" collapsed="false">
      <c r="A83" s="9" t="n">
        <v>6</v>
      </c>
      <c r="B83" s="9" t="s">
        <v>485</v>
      </c>
      <c r="C83" s="9" t="s">
        <v>396</v>
      </c>
      <c r="D83" s="9" t="s">
        <v>423</v>
      </c>
      <c r="E83" s="9" t="s">
        <v>114</v>
      </c>
      <c r="F83" s="9" t="n">
        <v>5</v>
      </c>
      <c r="G83" s="9" t="s">
        <v>61</v>
      </c>
      <c r="H83" s="14" t="n">
        <f aca="false">IFERROR(F83*VLOOKUP(E83,Insumos!$A:$G,7,FALSE()),0)</f>
        <v>0.68</v>
      </c>
      <c r="I83" s="15"/>
    </row>
    <row r="84" customFormat="false" ht="15" hidden="false" customHeight="false" outlineLevel="0" collapsed="false">
      <c r="A84" s="9" t="n">
        <v>6</v>
      </c>
      <c r="B84" s="9" t="s">
        <v>485</v>
      </c>
      <c r="C84" s="9" t="s">
        <v>396</v>
      </c>
      <c r="D84" s="9" t="s">
        <v>461</v>
      </c>
      <c r="E84" s="9" t="s">
        <v>118</v>
      </c>
      <c r="F84" s="9" t="n">
        <v>2</v>
      </c>
      <c r="G84" s="9" t="s">
        <v>61</v>
      </c>
      <c r="H84" s="14" t="n">
        <f aca="false">IFERROR(F84*VLOOKUP(E84,Insumos!$A:$G,7,FALSE()),0)</f>
        <v>0.032</v>
      </c>
      <c r="I84" s="15"/>
    </row>
    <row r="85" customFormat="false" ht="15" hidden="false" customHeight="false" outlineLevel="0" collapsed="false">
      <c r="A85" s="9" t="n">
        <v>6</v>
      </c>
      <c r="B85" s="9" t="s">
        <v>485</v>
      </c>
      <c r="C85" s="9" t="s">
        <v>396</v>
      </c>
      <c r="D85" s="9" t="s">
        <v>496</v>
      </c>
      <c r="E85" s="9" t="s">
        <v>272</v>
      </c>
      <c r="F85" s="9" t="n">
        <v>8</v>
      </c>
      <c r="G85" s="9" t="s">
        <v>74</v>
      </c>
      <c r="H85" s="14" t="n">
        <f aca="false">IFERROR(F85*VLOOKUP(E85,Insumos!$A:$G,7,FALSE()),0)</f>
        <v>13.44</v>
      </c>
      <c r="I85" s="15"/>
    </row>
    <row r="86" customFormat="false" ht="15" hidden="false" customHeight="false" outlineLevel="0" collapsed="false">
      <c r="A86" s="9" t="n">
        <v>6</v>
      </c>
      <c r="B86" s="9" t="s">
        <v>485</v>
      </c>
      <c r="C86" s="9" t="s">
        <v>497</v>
      </c>
      <c r="D86" s="9" t="s">
        <v>498</v>
      </c>
      <c r="E86" s="9" t="s">
        <v>131</v>
      </c>
      <c r="F86" s="9" t="n">
        <v>70</v>
      </c>
      <c r="G86" s="9" t="s">
        <v>61</v>
      </c>
      <c r="H86" s="14" t="n">
        <f aca="false">IFERROR(F86*VLOOKUP(E86,Insumos!$A:$G,7,FALSE()),0)</f>
        <v>2.94</v>
      </c>
      <c r="I86" s="15"/>
    </row>
    <row r="87" customFormat="false" ht="15" hidden="false" customHeight="false" outlineLevel="0" collapsed="false">
      <c r="A87" s="9" t="n">
        <v>6</v>
      </c>
      <c r="B87" s="9" t="s">
        <v>485</v>
      </c>
      <c r="C87" s="9" t="s">
        <v>497</v>
      </c>
      <c r="D87" s="9" t="s">
        <v>499</v>
      </c>
      <c r="E87" s="9" t="s">
        <v>143</v>
      </c>
      <c r="F87" s="9" t="n">
        <v>20</v>
      </c>
      <c r="G87" s="9" t="s">
        <v>74</v>
      </c>
      <c r="H87" s="14" t="n">
        <f aca="false">IFERROR(F87*VLOOKUP(E87,Insumos!$A:$G,7,FALSE()),0)</f>
        <v>16.8</v>
      </c>
      <c r="I87" s="15"/>
    </row>
    <row r="88" customFormat="false" ht="15" hidden="false" customHeight="false" outlineLevel="0" collapsed="false">
      <c r="A88" s="9" t="n">
        <v>6</v>
      </c>
      <c r="B88" s="9" t="s">
        <v>485</v>
      </c>
      <c r="C88" s="9" t="s">
        <v>497</v>
      </c>
      <c r="D88" s="9" t="s">
        <v>500</v>
      </c>
      <c r="E88" s="9" t="s">
        <v>58</v>
      </c>
      <c r="F88" s="9" t="n">
        <v>10</v>
      </c>
      <c r="G88" s="9" t="s">
        <v>61</v>
      </c>
      <c r="H88" s="14" t="n">
        <f aca="false">IFERROR(F88*VLOOKUP(E88,Insumos!$A:$G,7,FALSE()),0)</f>
        <v>2.45</v>
      </c>
      <c r="I88" s="15"/>
    </row>
    <row r="89" customFormat="false" ht="15" hidden="false" customHeight="false" outlineLevel="0" collapsed="false">
      <c r="A89" s="9" t="n">
        <v>7</v>
      </c>
      <c r="B89" s="9" t="s">
        <v>501</v>
      </c>
      <c r="C89" s="9" t="s">
        <v>396</v>
      </c>
      <c r="D89" s="9" t="s">
        <v>502</v>
      </c>
      <c r="E89" s="9" t="s">
        <v>79</v>
      </c>
      <c r="F89" s="9" t="n">
        <v>200</v>
      </c>
      <c r="G89" s="9" t="s">
        <v>61</v>
      </c>
      <c r="H89" s="14" t="n">
        <f aca="false">IFERROR(F89*VLOOKUP(E89,Insumos!$A:$G,7,FALSE()),0)</f>
        <v>38</v>
      </c>
      <c r="I89" s="15"/>
    </row>
    <row r="90" customFormat="false" ht="15" hidden="false" customHeight="false" outlineLevel="0" collapsed="false">
      <c r="A90" s="9" t="n">
        <v>7</v>
      </c>
      <c r="B90" s="9" t="s">
        <v>501</v>
      </c>
      <c r="C90" s="9" t="s">
        <v>396</v>
      </c>
      <c r="D90" s="9" t="s">
        <v>503</v>
      </c>
      <c r="E90" s="9" t="s">
        <v>58</v>
      </c>
      <c r="F90" s="9" t="n">
        <v>80</v>
      </c>
      <c r="G90" s="9" t="s">
        <v>61</v>
      </c>
      <c r="H90" s="14" t="n">
        <f aca="false">IFERROR(F90*VLOOKUP(E90,Insumos!$A:$G,7,FALSE()),0)</f>
        <v>19.6</v>
      </c>
      <c r="I90" s="15"/>
    </row>
    <row r="91" customFormat="false" ht="15" hidden="false" customHeight="false" outlineLevel="0" collapsed="false">
      <c r="A91" s="9" t="n">
        <v>7</v>
      </c>
      <c r="B91" s="9" t="s">
        <v>501</v>
      </c>
      <c r="C91" s="9" t="s">
        <v>396</v>
      </c>
      <c r="D91" s="9" t="s">
        <v>504</v>
      </c>
      <c r="E91" s="9" t="s">
        <v>126</v>
      </c>
      <c r="F91" s="9" t="n">
        <v>200</v>
      </c>
      <c r="G91" s="9" t="s">
        <v>61</v>
      </c>
      <c r="H91" s="14" t="n">
        <f aca="false">IFERROR(F91*VLOOKUP(E91,Insumos!$A:$G,7,FALSE()),0)</f>
        <v>5.6</v>
      </c>
      <c r="I91" s="15"/>
    </row>
    <row r="92" customFormat="false" ht="15" hidden="false" customHeight="false" outlineLevel="0" collapsed="false">
      <c r="A92" s="9" t="n">
        <v>7</v>
      </c>
      <c r="B92" s="9" t="s">
        <v>501</v>
      </c>
      <c r="C92" s="9" t="s">
        <v>396</v>
      </c>
      <c r="D92" s="9" t="s">
        <v>505</v>
      </c>
      <c r="E92" s="9" t="s">
        <v>66</v>
      </c>
      <c r="F92" s="9" t="n">
        <v>200</v>
      </c>
      <c r="G92" s="9" t="s">
        <v>61</v>
      </c>
      <c r="H92" s="14" t="n">
        <f aca="false">IFERROR(F92*VLOOKUP(E92,Insumos!$A:$G,7,FALSE()),0)</f>
        <v>12.4</v>
      </c>
      <c r="I92" s="15"/>
    </row>
    <row r="93" customFormat="false" ht="15" hidden="false" customHeight="false" outlineLevel="0" collapsed="false">
      <c r="A93" s="9" t="n">
        <v>7</v>
      </c>
      <c r="B93" s="9" t="s">
        <v>501</v>
      </c>
      <c r="C93" s="9" t="s">
        <v>396</v>
      </c>
      <c r="D93" s="9" t="s">
        <v>436</v>
      </c>
      <c r="E93" s="9" t="s">
        <v>107</v>
      </c>
      <c r="F93" s="9" t="n">
        <v>240</v>
      </c>
      <c r="G93" s="9" t="s">
        <v>61</v>
      </c>
      <c r="H93" s="14" t="n">
        <f aca="false">IFERROR(F93*VLOOKUP(E93,Insumos!$A:$G,7,FALSE()),0)</f>
        <v>6.24</v>
      </c>
      <c r="I93" s="15"/>
    </row>
    <row r="94" customFormat="false" ht="15" hidden="false" customHeight="false" outlineLevel="0" collapsed="false">
      <c r="A94" s="9" t="n">
        <v>7</v>
      </c>
      <c r="B94" s="9" t="s">
        <v>501</v>
      </c>
      <c r="C94" s="9" t="s">
        <v>396</v>
      </c>
      <c r="D94" s="9" t="s">
        <v>506</v>
      </c>
      <c r="E94" s="9" t="s">
        <v>114</v>
      </c>
      <c r="F94" s="9" t="n">
        <v>6</v>
      </c>
      <c r="G94" s="9" t="s">
        <v>61</v>
      </c>
      <c r="H94" s="14" t="n">
        <f aca="false">IFERROR(F94*VLOOKUP(E94,Insumos!$A:$G,7,FALSE()),0)</f>
        <v>0.816</v>
      </c>
      <c r="I94" s="15"/>
    </row>
    <row r="95" customFormat="false" ht="15" hidden="false" customHeight="false" outlineLevel="0" collapsed="false">
      <c r="A95" s="9" t="n">
        <v>7</v>
      </c>
      <c r="B95" s="9" t="s">
        <v>501</v>
      </c>
      <c r="C95" s="9" t="s">
        <v>396</v>
      </c>
      <c r="D95" s="9" t="s">
        <v>507</v>
      </c>
      <c r="E95" s="9" t="s">
        <v>281</v>
      </c>
      <c r="F95" s="9" t="n">
        <v>4</v>
      </c>
      <c r="G95" s="9" t="s">
        <v>61</v>
      </c>
      <c r="H95" s="14" t="n">
        <f aca="false">IFERROR(F95*VLOOKUP(E95,Insumos!$A:$G,7,FALSE()),0)</f>
        <v>6.6</v>
      </c>
      <c r="I95" s="15"/>
    </row>
    <row r="96" customFormat="false" ht="15" hidden="false" customHeight="false" outlineLevel="0" collapsed="false">
      <c r="A96" s="9" t="n">
        <v>7</v>
      </c>
      <c r="B96" s="9" t="s">
        <v>501</v>
      </c>
      <c r="C96" s="9" t="s">
        <v>396</v>
      </c>
      <c r="D96" s="9" t="s">
        <v>461</v>
      </c>
      <c r="E96" s="9" t="s">
        <v>118</v>
      </c>
      <c r="F96" s="9" t="n">
        <v>2</v>
      </c>
      <c r="G96" s="9" t="s">
        <v>61</v>
      </c>
      <c r="H96" s="14" t="n">
        <f aca="false">IFERROR(F96*VLOOKUP(E96,Insumos!$A:$G,7,FALSE()),0)</f>
        <v>0.032</v>
      </c>
      <c r="I96" s="15"/>
    </row>
    <row r="97" customFormat="false" ht="15" hidden="false" customHeight="false" outlineLevel="0" collapsed="false">
      <c r="A97" s="9" t="n">
        <v>7</v>
      </c>
      <c r="B97" s="9" t="s">
        <v>501</v>
      </c>
      <c r="C97" s="9" t="s">
        <v>396</v>
      </c>
      <c r="D97" s="9" t="s">
        <v>508</v>
      </c>
      <c r="E97" s="9" t="s">
        <v>72</v>
      </c>
      <c r="F97" s="9" t="n">
        <v>30</v>
      </c>
      <c r="G97" s="9" t="s">
        <v>74</v>
      </c>
      <c r="H97" s="14" t="n">
        <f aca="false">IFERROR(F97*VLOOKUP(E97,Insumos!$A:$G,7,FALSE()),0)</f>
        <v>0.81</v>
      </c>
      <c r="I97" s="15"/>
    </row>
    <row r="98" customFormat="false" ht="15" hidden="false" customHeight="false" outlineLevel="0" collapsed="false">
      <c r="A98" s="9" t="n">
        <v>7</v>
      </c>
      <c r="B98" s="9" t="s">
        <v>501</v>
      </c>
      <c r="C98" s="9" t="s">
        <v>509</v>
      </c>
      <c r="D98" s="9" t="s">
        <v>510</v>
      </c>
      <c r="E98" s="9" t="s">
        <v>151</v>
      </c>
      <c r="F98" s="9" t="n">
        <v>40</v>
      </c>
      <c r="G98" s="9" t="s">
        <v>74</v>
      </c>
      <c r="H98" s="14" t="n">
        <f aca="false">IFERROR(F98*VLOOKUP(E98,Insumos!$A:$G,7,FALSE()),0)</f>
        <v>0.09</v>
      </c>
      <c r="I98" s="15"/>
    </row>
    <row r="99" customFormat="false" ht="15" hidden="false" customHeight="false" outlineLevel="0" collapsed="false">
      <c r="A99" s="9" t="n">
        <v>7</v>
      </c>
      <c r="B99" s="9" t="s">
        <v>501</v>
      </c>
      <c r="C99" s="9" t="s">
        <v>509</v>
      </c>
      <c r="D99" s="9" t="s">
        <v>511</v>
      </c>
      <c r="E99" s="9" t="s">
        <v>126</v>
      </c>
      <c r="F99" s="9" t="n">
        <v>30</v>
      </c>
      <c r="G99" s="9" t="s">
        <v>61</v>
      </c>
      <c r="H99" s="14" t="n">
        <f aca="false">IFERROR(F99*VLOOKUP(E99,Insumos!$A:$G,7,FALSE()),0)</f>
        <v>0.84</v>
      </c>
      <c r="I99" s="15"/>
    </row>
    <row r="100" customFormat="false" ht="15" hidden="false" customHeight="false" outlineLevel="0" collapsed="false">
      <c r="A100" s="9" t="n">
        <v>7</v>
      </c>
      <c r="B100" s="9" t="s">
        <v>501</v>
      </c>
      <c r="C100" s="9" t="s">
        <v>509</v>
      </c>
      <c r="D100" s="9" t="s">
        <v>512</v>
      </c>
      <c r="E100" s="9" t="s">
        <v>281</v>
      </c>
      <c r="F100" s="9" t="n">
        <v>1</v>
      </c>
      <c r="G100" s="9" t="s">
        <v>61</v>
      </c>
      <c r="H100" s="14" t="n">
        <f aca="false">IFERROR(F100*VLOOKUP(E100,Insumos!$A:$G,7,FALSE()),0)</f>
        <v>1.65</v>
      </c>
      <c r="I100" s="16" t="s">
        <v>513</v>
      </c>
    </row>
    <row r="101" customFormat="false" ht="15" hidden="false" customHeight="false" outlineLevel="0" collapsed="false">
      <c r="A101" s="9" t="n">
        <v>8</v>
      </c>
      <c r="B101" s="9" t="s">
        <v>514</v>
      </c>
      <c r="C101" s="9" t="s">
        <v>515</v>
      </c>
      <c r="D101" s="9" t="s">
        <v>516</v>
      </c>
      <c r="E101" s="9" t="s">
        <v>83</v>
      </c>
      <c r="F101" s="9" t="n">
        <v>200</v>
      </c>
      <c r="G101" s="9" t="s">
        <v>61</v>
      </c>
      <c r="H101" s="14" t="n">
        <f aca="false">IFERROR(F101*VLOOKUP(E101,Insumos!$A:$G,7,FALSE()),0)</f>
        <v>33.6</v>
      </c>
      <c r="I101" s="15"/>
    </row>
    <row r="102" customFormat="false" ht="15" hidden="false" customHeight="false" outlineLevel="0" collapsed="false">
      <c r="A102" s="9" t="n">
        <v>8</v>
      </c>
      <c r="B102" s="9" t="s">
        <v>514</v>
      </c>
      <c r="C102" s="9" t="s">
        <v>515</v>
      </c>
      <c r="D102" s="9" t="s">
        <v>517</v>
      </c>
      <c r="E102" s="9" t="s">
        <v>126</v>
      </c>
      <c r="F102" s="9" t="n">
        <v>50</v>
      </c>
      <c r="G102" s="9" t="s">
        <v>61</v>
      </c>
      <c r="H102" s="14" t="n">
        <f aca="false">IFERROR(F102*VLOOKUP(E102,Insumos!$A:$G,7,FALSE()),0)</f>
        <v>1.4</v>
      </c>
      <c r="I102" s="15"/>
    </row>
    <row r="103" customFormat="false" ht="15" hidden="false" customHeight="false" outlineLevel="0" collapsed="false">
      <c r="A103" s="9" t="n">
        <v>8</v>
      </c>
      <c r="B103" s="9" t="s">
        <v>514</v>
      </c>
      <c r="C103" s="9" t="s">
        <v>515</v>
      </c>
      <c r="D103" s="9" t="s">
        <v>518</v>
      </c>
      <c r="E103" s="9" t="s">
        <v>66</v>
      </c>
      <c r="F103" s="9" t="n">
        <v>50</v>
      </c>
      <c r="G103" s="9" t="s">
        <v>61</v>
      </c>
      <c r="H103" s="14" t="n">
        <f aca="false">IFERROR(F103*VLOOKUP(E103,Insumos!$A:$G,7,FALSE()),0)</f>
        <v>3.1</v>
      </c>
      <c r="I103" s="16" t="s">
        <v>519</v>
      </c>
    </row>
    <row r="104" customFormat="false" ht="15" hidden="false" customHeight="false" outlineLevel="0" collapsed="false">
      <c r="A104" s="9" t="n">
        <v>8</v>
      </c>
      <c r="B104" s="9" t="s">
        <v>514</v>
      </c>
      <c r="C104" s="9" t="s">
        <v>515</v>
      </c>
      <c r="D104" s="9" t="s">
        <v>520</v>
      </c>
      <c r="E104" s="9" t="s">
        <v>107</v>
      </c>
      <c r="F104" s="9" t="n">
        <v>15</v>
      </c>
      <c r="G104" s="9" t="s">
        <v>61</v>
      </c>
      <c r="H104" s="14" t="n">
        <f aca="false">IFERROR(F104*VLOOKUP(E104,Insumos!$A:$G,7,FALSE()),0)</f>
        <v>0.39</v>
      </c>
      <c r="I104" s="15"/>
    </row>
    <row r="105" customFormat="false" ht="15" hidden="false" customHeight="false" outlineLevel="0" collapsed="false">
      <c r="A105" s="9" t="n">
        <v>8</v>
      </c>
      <c r="B105" s="9" t="s">
        <v>514</v>
      </c>
      <c r="C105" s="9" t="s">
        <v>515</v>
      </c>
      <c r="D105" s="9" t="s">
        <v>521</v>
      </c>
      <c r="E105" s="9" t="s">
        <v>272</v>
      </c>
      <c r="F105" s="9" t="n">
        <v>5</v>
      </c>
      <c r="G105" s="9" t="s">
        <v>74</v>
      </c>
      <c r="H105" s="14" t="n">
        <f aca="false">IFERROR(F105*VLOOKUP(E105,Insumos!$A:$G,7,FALSE()),0)</f>
        <v>8.4</v>
      </c>
      <c r="I105" s="15"/>
    </row>
    <row r="106" customFormat="false" ht="15" hidden="false" customHeight="false" outlineLevel="0" collapsed="false">
      <c r="A106" s="9" t="n">
        <v>8</v>
      </c>
      <c r="B106" s="9" t="s">
        <v>514</v>
      </c>
      <c r="C106" s="9" t="s">
        <v>522</v>
      </c>
      <c r="D106" s="9" t="s">
        <v>523</v>
      </c>
      <c r="E106" s="9" t="s">
        <v>58</v>
      </c>
      <c r="F106" s="9" t="n">
        <v>140</v>
      </c>
      <c r="G106" s="9" t="s">
        <v>61</v>
      </c>
      <c r="H106" s="14" t="n">
        <f aca="false">IFERROR(F106*VLOOKUP(E106,Insumos!$A:$G,7,FALSE()),0)</f>
        <v>34.3</v>
      </c>
      <c r="I106" s="15"/>
    </row>
    <row r="107" customFormat="false" ht="15" hidden="false" customHeight="false" outlineLevel="0" collapsed="false">
      <c r="A107" s="9" t="n">
        <v>8</v>
      </c>
      <c r="B107" s="9" t="s">
        <v>514</v>
      </c>
      <c r="C107" s="9" t="s">
        <v>522</v>
      </c>
      <c r="D107" s="9" t="s">
        <v>524</v>
      </c>
      <c r="E107" s="9" t="s">
        <v>126</v>
      </c>
      <c r="F107" s="9" t="n">
        <v>180</v>
      </c>
      <c r="G107" s="9" t="s">
        <v>61</v>
      </c>
      <c r="H107" s="14" t="n">
        <f aca="false">IFERROR(F107*VLOOKUP(E107,Insumos!$A:$G,7,FALSE()),0)</f>
        <v>5.04</v>
      </c>
      <c r="I107" s="15"/>
    </row>
    <row r="108" customFormat="false" ht="15" hidden="false" customHeight="false" outlineLevel="0" collapsed="false">
      <c r="A108" s="9" t="n">
        <v>8</v>
      </c>
      <c r="B108" s="9" t="s">
        <v>514</v>
      </c>
      <c r="C108" s="9" t="s">
        <v>522</v>
      </c>
      <c r="D108" s="9" t="s">
        <v>525</v>
      </c>
      <c r="E108" s="9" t="s">
        <v>66</v>
      </c>
      <c r="F108" s="9" t="n">
        <v>150</v>
      </c>
      <c r="G108" s="9" t="s">
        <v>61</v>
      </c>
      <c r="H108" s="14" t="n">
        <f aca="false">IFERROR(F108*VLOOKUP(E108,Insumos!$A:$G,7,FALSE()),0)</f>
        <v>9.3</v>
      </c>
      <c r="I108" s="15"/>
    </row>
    <row r="109" customFormat="false" ht="15" hidden="false" customHeight="false" outlineLevel="0" collapsed="false">
      <c r="A109" s="9" t="n">
        <v>8</v>
      </c>
      <c r="B109" s="9" t="s">
        <v>514</v>
      </c>
      <c r="C109" s="9" t="s">
        <v>522</v>
      </c>
      <c r="D109" s="9" t="s">
        <v>421</v>
      </c>
      <c r="E109" s="9" t="s">
        <v>107</v>
      </c>
      <c r="F109" s="9" t="n">
        <v>200</v>
      </c>
      <c r="G109" s="9" t="s">
        <v>61</v>
      </c>
      <c r="H109" s="14" t="n">
        <f aca="false">IFERROR(F109*VLOOKUP(E109,Insumos!$A:$G,7,FALSE()),0)</f>
        <v>5.2</v>
      </c>
      <c r="I109" s="15"/>
    </row>
    <row r="110" customFormat="false" ht="15" hidden="false" customHeight="false" outlineLevel="0" collapsed="false">
      <c r="A110" s="9" t="n">
        <v>8</v>
      </c>
      <c r="B110" s="9" t="s">
        <v>514</v>
      </c>
      <c r="C110" s="9" t="s">
        <v>522</v>
      </c>
      <c r="D110" s="9" t="s">
        <v>526</v>
      </c>
      <c r="E110" s="9" t="s">
        <v>164</v>
      </c>
      <c r="F110" s="9" t="n">
        <v>18</v>
      </c>
      <c r="G110" s="9" t="s">
        <v>61</v>
      </c>
      <c r="H110" s="14" t="n">
        <f aca="false">IFERROR(F110*VLOOKUP(E110,Insumos!$A:$G,7,FALSE()),0)</f>
        <v>5.13</v>
      </c>
      <c r="I110" s="15"/>
    </row>
    <row r="111" customFormat="false" ht="15" hidden="false" customHeight="false" outlineLevel="0" collapsed="false">
      <c r="A111" s="9" t="n">
        <v>8</v>
      </c>
      <c r="B111" s="9" t="s">
        <v>514</v>
      </c>
      <c r="C111" s="9" t="s">
        <v>522</v>
      </c>
      <c r="D111" s="9" t="s">
        <v>482</v>
      </c>
      <c r="E111" s="9" t="s">
        <v>114</v>
      </c>
      <c r="F111" s="9" t="n">
        <v>4</v>
      </c>
      <c r="G111" s="9" t="s">
        <v>61</v>
      </c>
      <c r="H111" s="14" t="n">
        <f aca="false">IFERROR(F111*VLOOKUP(E111,Insumos!$A:$G,7,FALSE()),0)</f>
        <v>0.544</v>
      </c>
      <c r="I111" s="15"/>
    </row>
    <row r="112" customFormat="false" ht="15" hidden="false" customHeight="false" outlineLevel="0" collapsed="false">
      <c r="A112" s="9" t="n">
        <v>8</v>
      </c>
      <c r="B112" s="9" t="s">
        <v>514</v>
      </c>
      <c r="C112" s="9" t="s">
        <v>522</v>
      </c>
      <c r="D112" s="9" t="s">
        <v>527</v>
      </c>
      <c r="E112" s="9" t="s">
        <v>116</v>
      </c>
      <c r="F112" s="9" t="n">
        <v>3</v>
      </c>
      <c r="G112" s="9" t="s">
        <v>61</v>
      </c>
      <c r="H112" s="14" t="n">
        <f aca="false">IFERROR(F112*VLOOKUP(E112,Insumos!$A:$G,7,FALSE()),0)</f>
        <v>0.228</v>
      </c>
      <c r="I112" s="15"/>
    </row>
    <row r="113" customFormat="false" ht="15" hidden="false" customHeight="false" outlineLevel="0" collapsed="false">
      <c r="A113" s="9" t="n">
        <v>8</v>
      </c>
      <c r="B113" s="9" t="s">
        <v>514</v>
      </c>
      <c r="C113" s="9" t="s">
        <v>522</v>
      </c>
      <c r="D113" s="9" t="s">
        <v>528</v>
      </c>
      <c r="E113" s="9" t="s">
        <v>317</v>
      </c>
      <c r="F113" s="9" t="n">
        <v>6</v>
      </c>
      <c r="G113" s="9" t="s">
        <v>74</v>
      </c>
      <c r="H113" s="14" t="n">
        <f aca="false">IFERROR(F113*VLOOKUP(E113,Insumos!$A:$G,7,FALSE()),0)</f>
        <v>0.456</v>
      </c>
      <c r="I113" s="15"/>
    </row>
    <row r="114" customFormat="false" ht="15" hidden="false" customHeight="false" outlineLevel="0" collapsed="false">
      <c r="A114" s="9" t="n">
        <v>8</v>
      </c>
      <c r="B114" s="9" t="s">
        <v>514</v>
      </c>
      <c r="C114" s="9" t="s">
        <v>522</v>
      </c>
      <c r="D114" s="9" t="s">
        <v>529</v>
      </c>
      <c r="E114" s="9" t="s">
        <v>97</v>
      </c>
      <c r="F114" s="9" t="n">
        <v>120</v>
      </c>
      <c r="G114" s="9" t="s">
        <v>74</v>
      </c>
      <c r="H114" s="14" t="n">
        <f aca="false">IFERROR(F114*VLOOKUP(E114,Insumos!$A:$G,7,FALSE()),0)</f>
        <v>5.4</v>
      </c>
      <c r="I114" s="15"/>
    </row>
    <row r="115" customFormat="false" ht="15" hidden="false" customHeight="false" outlineLevel="0" collapsed="false">
      <c r="A115" s="9" t="n">
        <v>8</v>
      </c>
      <c r="B115" s="9" t="s">
        <v>514</v>
      </c>
      <c r="C115" s="9" t="s">
        <v>522</v>
      </c>
      <c r="D115" s="9" t="s">
        <v>530</v>
      </c>
      <c r="E115" s="9" t="s">
        <v>315</v>
      </c>
      <c r="F115" s="9" t="n">
        <v>5</v>
      </c>
      <c r="G115" s="9" t="s">
        <v>74</v>
      </c>
      <c r="H115" s="14" t="n">
        <f aca="false">IFERROR(F115*VLOOKUP(E115,Insumos!$A:$G,7,FALSE()),0)</f>
        <v>6.25</v>
      </c>
      <c r="I115" s="15"/>
    </row>
    <row r="116" customFormat="false" ht="15" hidden="false" customHeight="false" outlineLevel="0" collapsed="false">
      <c r="A116" s="9" t="n">
        <v>8</v>
      </c>
      <c r="B116" s="9" t="s">
        <v>514</v>
      </c>
      <c r="C116" s="9" t="s">
        <v>522</v>
      </c>
      <c r="D116" s="9" t="s">
        <v>461</v>
      </c>
      <c r="E116" s="9" t="s">
        <v>118</v>
      </c>
      <c r="F116" s="9" t="n">
        <v>2</v>
      </c>
      <c r="G116" s="9" t="s">
        <v>61</v>
      </c>
      <c r="H116" s="14" t="n">
        <f aca="false">IFERROR(F116*VLOOKUP(E116,Insumos!$A:$G,7,FALSE()),0)</f>
        <v>0.032</v>
      </c>
      <c r="I116" s="15"/>
    </row>
    <row r="117" customFormat="false" ht="15" hidden="false" customHeight="false" outlineLevel="0" collapsed="false">
      <c r="A117" s="9" t="n">
        <v>9</v>
      </c>
      <c r="B117" s="9" t="s">
        <v>531</v>
      </c>
      <c r="C117" s="9" t="s">
        <v>396</v>
      </c>
      <c r="D117" s="9" t="s">
        <v>532</v>
      </c>
      <c r="E117" s="9" t="s">
        <v>58</v>
      </c>
      <c r="F117" s="9" t="n">
        <v>220</v>
      </c>
      <c r="G117" s="9" t="s">
        <v>61</v>
      </c>
      <c r="H117" s="14" t="n">
        <f aca="false">IFERROR(F117*VLOOKUP(E117,Insumos!$A:$G,7,FALSE()),0)</f>
        <v>53.9</v>
      </c>
      <c r="I117" s="15"/>
    </row>
    <row r="118" customFormat="false" ht="15" hidden="false" customHeight="false" outlineLevel="0" collapsed="false">
      <c r="A118" s="9" t="n">
        <v>9</v>
      </c>
      <c r="B118" s="9" t="s">
        <v>531</v>
      </c>
      <c r="C118" s="9" t="s">
        <v>396</v>
      </c>
      <c r="D118" s="9" t="s">
        <v>533</v>
      </c>
      <c r="E118" s="9" t="s">
        <v>129</v>
      </c>
      <c r="F118" s="9" t="n">
        <v>200</v>
      </c>
      <c r="G118" s="9" t="s">
        <v>61</v>
      </c>
      <c r="H118" s="14" t="n">
        <f aca="false">IFERROR(F118*VLOOKUP(E118,Insumos!$A:$G,7,FALSE()),0)</f>
        <v>6.8</v>
      </c>
      <c r="I118" s="15"/>
    </row>
    <row r="119" customFormat="false" ht="15" hidden="false" customHeight="false" outlineLevel="0" collapsed="false">
      <c r="A119" s="9" t="n">
        <v>9</v>
      </c>
      <c r="B119" s="9" t="s">
        <v>531</v>
      </c>
      <c r="C119" s="9" t="s">
        <v>396</v>
      </c>
      <c r="D119" s="9" t="s">
        <v>534</v>
      </c>
      <c r="E119" s="9" t="s">
        <v>275</v>
      </c>
      <c r="F119" s="9" t="n">
        <v>6</v>
      </c>
      <c r="G119" s="9" t="s">
        <v>61</v>
      </c>
      <c r="H119" s="14" t="n">
        <f aca="false">IFERROR(F119*VLOOKUP(E119,Insumos!$A:$G,7,FALSE()),0)</f>
        <v>57</v>
      </c>
      <c r="I119" s="16" t="s">
        <v>535</v>
      </c>
    </row>
    <row r="120" customFormat="false" ht="15" hidden="false" customHeight="false" outlineLevel="0" collapsed="false">
      <c r="A120" s="9" t="n">
        <v>9</v>
      </c>
      <c r="B120" s="9" t="s">
        <v>531</v>
      </c>
      <c r="C120" s="9" t="s">
        <v>396</v>
      </c>
      <c r="D120" s="9" t="s">
        <v>536</v>
      </c>
      <c r="E120" s="9" t="s">
        <v>66</v>
      </c>
      <c r="F120" s="9" t="n">
        <v>220</v>
      </c>
      <c r="G120" s="9" t="s">
        <v>61</v>
      </c>
      <c r="H120" s="14" t="n">
        <f aca="false">IFERROR(F120*VLOOKUP(E120,Insumos!$A:$G,7,FALSE()),0)</f>
        <v>13.64</v>
      </c>
      <c r="I120" s="15"/>
    </row>
    <row r="121" customFormat="false" ht="15" hidden="false" customHeight="false" outlineLevel="0" collapsed="false">
      <c r="A121" s="9" t="n">
        <v>9</v>
      </c>
      <c r="B121" s="9" t="s">
        <v>531</v>
      </c>
      <c r="C121" s="9" t="s">
        <v>396</v>
      </c>
      <c r="D121" s="9" t="s">
        <v>495</v>
      </c>
      <c r="E121" s="9" t="s">
        <v>107</v>
      </c>
      <c r="F121" s="9" t="n">
        <v>220</v>
      </c>
      <c r="G121" s="9" t="s">
        <v>61</v>
      </c>
      <c r="H121" s="14" t="n">
        <f aca="false">IFERROR(F121*VLOOKUP(E121,Insumos!$A:$G,7,FALSE()),0)</f>
        <v>5.72</v>
      </c>
      <c r="I121" s="15"/>
    </row>
    <row r="122" customFormat="false" ht="15" hidden="false" customHeight="false" outlineLevel="0" collapsed="false">
      <c r="A122" s="9" t="n">
        <v>9</v>
      </c>
      <c r="B122" s="9" t="s">
        <v>531</v>
      </c>
      <c r="C122" s="9" t="s">
        <v>396</v>
      </c>
      <c r="D122" s="9" t="s">
        <v>537</v>
      </c>
      <c r="E122" s="9" t="s">
        <v>75</v>
      </c>
      <c r="F122" s="9" t="n">
        <v>40</v>
      </c>
      <c r="G122" s="9" t="s">
        <v>74</v>
      </c>
      <c r="H122" s="14" t="n">
        <f aca="false">IFERROR(F122*VLOOKUP(E122,Insumos!$A:$G,7,FALSE()),0)</f>
        <v>4.72</v>
      </c>
      <c r="I122" s="15"/>
    </row>
    <row r="123" customFormat="false" ht="15" hidden="false" customHeight="false" outlineLevel="0" collapsed="false">
      <c r="A123" s="9" t="n">
        <v>9</v>
      </c>
      <c r="B123" s="9" t="s">
        <v>531</v>
      </c>
      <c r="C123" s="9" t="s">
        <v>396</v>
      </c>
      <c r="D123" s="9" t="s">
        <v>423</v>
      </c>
      <c r="E123" s="9" t="s">
        <v>114</v>
      </c>
      <c r="F123" s="9" t="n">
        <v>5</v>
      </c>
      <c r="G123" s="9" t="s">
        <v>61</v>
      </c>
      <c r="H123" s="14" t="n">
        <f aca="false">IFERROR(F123*VLOOKUP(E123,Insumos!$A:$G,7,FALSE()),0)</f>
        <v>0.68</v>
      </c>
      <c r="I123" s="15"/>
    </row>
    <row r="124" customFormat="false" ht="15" hidden="false" customHeight="false" outlineLevel="0" collapsed="false">
      <c r="A124" s="9" t="n">
        <v>9</v>
      </c>
      <c r="B124" s="9" t="s">
        <v>531</v>
      </c>
      <c r="C124" s="9" t="s">
        <v>396</v>
      </c>
      <c r="D124" s="9" t="s">
        <v>490</v>
      </c>
      <c r="E124" s="9" t="s">
        <v>122</v>
      </c>
      <c r="F124" s="9" t="n">
        <v>2</v>
      </c>
      <c r="G124" s="9" t="s">
        <v>61</v>
      </c>
      <c r="H124" s="14" t="n">
        <f aca="false">IFERROR(F124*VLOOKUP(E124,Insumos!$A:$G,7,FALSE()),0)</f>
        <v>1.56</v>
      </c>
      <c r="I124" s="15"/>
    </row>
    <row r="125" customFormat="false" ht="15" hidden="false" customHeight="false" outlineLevel="0" collapsed="false">
      <c r="A125" s="9" t="n">
        <v>9</v>
      </c>
      <c r="B125" s="9" t="s">
        <v>531</v>
      </c>
      <c r="C125" s="9" t="s">
        <v>538</v>
      </c>
      <c r="D125" s="9" t="s">
        <v>539</v>
      </c>
      <c r="E125" s="9" t="s">
        <v>151</v>
      </c>
      <c r="F125" s="9" t="n">
        <v>50</v>
      </c>
      <c r="G125" s="9" t="s">
        <v>74</v>
      </c>
      <c r="H125" s="14" t="n">
        <f aca="false">IFERROR(F125*VLOOKUP(E125,Insumos!$A:$G,7,FALSE()),0)</f>
        <v>0.1125</v>
      </c>
      <c r="I125" s="15"/>
    </row>
    <row r="126" customFormat="false" ht="15" hidden="false" customHeight="false" outlineLevel="0" collapsed="false">
      <c r="A126" s="9" t="n">
        <v>9</v>
      </c>
      <c r="B126" s="9" t="s">
        <v>531</v>
      </c>
      <c r="C126" s="9" t="s">
        <v>538</v>
      </c>
      <c r="D126" s="9" t="s">
        <v>540</v>
      </c>
      <c r="E126" s="9" t="s">
        <v>126</v>
      </c>
      <c r="F126" s="9" t="n">
        <v>40</v>
      </c>
      <c r="G126" s="9" t="s">
        <v>61</v>
      </c>
      <c r="H126" s="14" t="n">
        <f aca="false">IFERROR(F126*VLOOKUP(E126,Insumos!$A:$G,7,FALSE()),0)</f>
        <v>1.12</v>
      </c>
      <c r="I126" s="15"/>
    </row>
    <row r="127" customFormat="false" ht="15" hidden="false" customHeight="false" outlineLevel="0" collapsed="false">
      <c r="A127" s="9" t="n">
        <v>9</v>
      </c>
      <c r="B127" s="9" t="s">
        <v>531</v>
      </c>
      <c r="C127" s="9" t="s">
        <v>538</v>
      </c>
      <c r="D127" s="9" t="s">
        <v>541</v>
      </c>
      <c r="E127" s="9" t="s">
        <v>542</v>
      </c>
      <c r="F127" s="9" t="n">
        <v>0</v>
      </c>
      <c r="G127" s="9" t="s">
        <v>61</v>
      </c>
      <c r="H127" s="14" t="n">
        <f aca="false">IFERROR(F127*VLOOKUP(E127,Insumos!$A:$G,7,FALSE()),0)</f>
        <v>0</v>
      </c>
      <c r="I127" s="16" t="s">
        <v>543</v>
      </c>
    </row>
    <row r="128" customFormat="false" ht="15" hidden="false" customHeight="false" outlineLevel="0" collapsed="false">
      <c r="A128" s="9" t="n">
        <v>9</v>
      </c>
      <c r="B128" s="9" t="s">
        <v>531</v>
      </c>
      <c r="C128" s="9" t="s">
        <v>409</v>
      </c>
      <c r="D128" s="9" t="s">
        <v>544</v>
      </c>
      <c r="E128" s="9" t="s">
        <v>131</v>
      </c>
      <c r="F128" s="9" t="n">
        <v>80</v>
      </c>
      <c r="G128" s="9" t="s">
        <v>61</v>
      </c>
      <c r="H128" s="14" t="n">
        <f aca="false">IFERROR(F128*VLOOKUP(E128,Insumos!$A:$G,7,FALSE()),0)</f>
        <v>3.36</v>
      </c>
      <c r="I128" s="15"/>
    </row>
    <row r="129" customFormat="false" ht="15" hidden="false" customHeight="false" outlineLevel="0" collapsed="false">
      <c r="A129" s="9" t="n">
        <v>9</v>
      </c>
      <c r="B129" s="9" t="s">
        <v>531</v>
      </c>
      <c r="C129" s="9" t="s">
        <v>409</v>
      </c>
      <c r="D129" s="9" t="s">
        <v>545</v>
      </c>
      <c r="E129" s="9" t="s">
        <v>58</v>
      </c>
      <c r="F129" s="9" t="n">
        <v>15</v>
      </c>
      <c r="G129" s="9" t="s">
        <v>61</v>
      </c>
      <c r="H129" s="14" t="n">
        <f aca="false">IFERROR(F129*VLOOKUP(E129,Insumos!$A:$G,7,FALSE()),0)</f>
        <v>3.675</v>
      </c>
      <c r="I129" s="15"/>
    </row>
    <row r="130" customFormat="false" ht="15" hidden="false" customHeight="false" outlineLevel="0" collapsed="false">
      <c r="A130" s="9" t="n">
        <v>9</v>
      </c>
      <c r="B130" s="9" t="s">
        <v>531</v>
      </c>
      <c r="C130" s="9" t="s">
        <v>409</v>
      </c>
      <c r="D130" s="9" t="s">
        <v>546</v>
      </c>
      <c r="E130" s="9" t="s">
        <v>72</v>
      </c>
      <c r="F130" s="9" t="n">
        <v>15</v>
      </c>
      <c r="G130" s="9" t="s">
        <v>74</v>
      </c>
      <c r="H130" s="14" t="n">
        <f aca="false">IFERROR(F130*VLOOKUP(E130,Insumos!$A:$G,7,FALSE()),0)</f>
        <v>0.405</v>
      </c>
      <c r="I130" s="15"/>
    </row>
    <row r="131" customFormat="false" ht="15" hidden="false" customHeight="false" outlineLevel="0" collapsed="false">
      <c r="A131" s="9" t="n">
        <v>10</v>
      </c>
      <c r="B131" s="9" t="s">
        <v>547</v>
      </c>
      <c r="C131" s="9" t="s">
        <v>396</v>
      </c>
      <c r="D131" s="9" t="s">
        <v>454</v>
      </c>
      <c r="E131" s="9" t="s">
        <v>58</v>
      </c>
      <c r="F131" s="9" t="n">
        <v>180</v>
      </c>
      <c r="G131" s="9" t="s">
        <v>61</v>
      </c>
      <c r="H131" s="14" t="n">
        <f aca="false">IFERROR(F131*VLOOKUP(E131,Insumos!$A:$G,7,FALSE()),0)</f>
        <v>44.1</v>
      </c>
      <c r="I131" s="15"/>
    </row>
    <row r="132" customFormat="false" ht="15" hidden="false" customHeight="false" outlineLevel="0" collapsed="false">
      <c r="A132" s="9" t="n">
        <v>10</v>
      </c>
      <c r="B132" s="9" t="s">
        <v>547</v>
      </c>
      <c r="C132" s="9" t="s">
        <v>396</v>
      </c>
      <c r="D132" s="9" t="s">
        <v>504</v>
      </c>
      <c r="E132" s="9" t="s">
        <v>126</v>
      </c>
      <c r="F132" s="9" t="n">
        <v>200</v>
      </c>
      <c r="G132" s="9" t="s">
        <v>61</v>
      </c>
      <c r="H132" s="14" t="n">
        <f aca="false">IFERROR(F132*VLOOKUP(E132,Insumos!$A:$G,7,FALSE()),0)</f>
        <v>5.6</v>
      </c>
      <c r="I132" s="15"/>
    </row>
    <row r="133" customFormat="false" ht="15" hidden="false" customHeight="false" outlineLevel="0" collapsed="false">
      <c r="A133" s="9" t="n">
        <v>10</v>
      </c>
      <c r="B133" s="9" t="s">
        <v>547</v>
      </c>
      <c r="C133" s="9" t="s">
        <v>396</v>
      </c>
      <c r="D133" s="9" t="s">
        <v>548</v>
      </c>
      <c r="E133" s="9" t="s">
        <v>222</v>
      </c>
      <c r="F133" s="9" t="n">
        <v>82.5</v>
      </c>
      <c r="G133" s="9" t="s">
        <v>61</v>
      </c>
      <c r="H133" s="14" t="n">
        <f aca="false">IFERROR(F133*VLOOKUP(E133,Insumos!$A:$G,7,FALSE()),0)</f>
        <v>4.785</v>
      </c>
      <c r="I133" s="16" t="s">
        <v>549</v>
      </c>
    </row>
    <row r="134" customFormat="false" ht="15" hidden="false" customHeight="false" outlineLevel="0" collapsed="false">
      <c r="A134" s="9" t="n">
        <v>10</v>
      </c>
      <c r="B134" s="9" t="s">
        <v>547</v>
      </c>
      <c r="C134" s="9" t="s">
        <v>396</v>
      </c>
      <c r="D134" s="9" t="s">
        <v>420</v>
      </c>
      <c r="E134" s="9" t="s">
        <v>66</v>
      </c>
      <c r="F134" s="9" t="n">
        <v>200</v>
      </c>
      <c r="G134" s="9" t="s">
        <v>61</v>
      </c>
      <c r="H134" s="14" t="n">
        <f aca="false">IFERROR(F134*VLOOKUP(E134,Insumos!$A:$G,7,FALSE()),0)</f>
        <v>12.4</v>
      </c>
      <c r="I134" s="15"/>
    </row>
    <row r="135" customFormat="false" ht="15" hidden="false" customHeight="false" outlineLevel="0" collapsed="false">
      <c r="A135" s="9" t="n">
        <v>10</v>
      </c>
      <c r="B135" s="9" t="s">
        <v>547</v>
      </c>
      <c r="C135" s="9" t="s">
        <v>396</v>
      </c>
      <c r="D135" s="9" t="s">
        <v>495</v>
      </c>
      <c r="E135" s="9" t="s">
        <v>107</v>
      </c>
      <c r="F135" s="9" t="n">
        <v>220</v>
      </c>
      <c r="G135" s="9" t="s">
        <v>61</v>
      </c>
      <c r="H135" s="14" t="n">
        <f aca="false">IFERROR(F135*VLOOKUP(E135,Insumos!$A:$G,7,FALSE()),0)</f>
        <v>5.72</v>
      </c>
      <c r="I135" s="15"/>
    </row>
    <row r="136" customFormat="false" ht="15" hidden="false" customHeight="false" outlineLevel="0" collapsed="false">
      <c r="A136" s="9" t="n">
        <v>10</v>
      </c>
      <c r="B136" s="9" t="s">
        <v>547</v>
      </c>
      <c r="C136" s="9" t="s">
        <v>396</v>
      </c>
      <c r="D136" s="9" t="s">
        <v>550</v>
      </c>
      <c r="E136" s="9" t="s">
        <v>172</v>
      </c>
      <c r="F136" s="9" t="n">
        <v>25</v>
      </c>
      <c r="G136" s="9" t="s">
        <v>61</v>
      </c>
      <c r="H136" s="14" t="n">
        <f aca="false">IFERROR(F136*VLOOKUP(E136,Insumos!$A:$G,7,FALSE()),0)</f>
        <v>10.625</v>
      </c>
      <c r="I136" s="15"/>
    </row>
    <row r="137" customFormat="false" ht="15" hidden="false" customHeight="false" outlineLevel="0" collapsed="false">
      <c r="A137" s="9" t="n">
        <v>10</v>
      </c>
      <c r="B137" s="9" t="s">
        <v>547</v>
      </c>
      <c r="C137" s="9" t="s">
        <v>396</v>
      </c>
      <c r="D137" s="9" t="s">
        <v>423</v>
      </c>
      <c r="E137" s="9" t="s">
        <v>114</v>
      </c>
      <c r="F137" s="9" t="n">
        <v>5</v>
      </c>
      <c r="G137" s="9" t="s">
        <v>61</v>
      </c>
      <c r="H137" s="14" t="n">
        <f aca="false">IFERROR(F137*VLOOKUP(E137,Insumos!$A:$G,7,FALSE()),0)</f>
        <v>0.68</v>
      </c>
      <c r="I137" s="15"/>
    </row>
    <row r="138" customFormat="false" ht="15" hidden="false" customHeight="false" outlineLevel="0" collapsed="false">
      <c r="A138" s="9" t="n">
        <v>10</v>
      </c>
      <c r="B138" s="9" t="s">
        <v>547</v>
      </c>
      <c r="C138" s="9" t="s">
        <v>396</v>
      </c>
      <c r="D138" s="9" t="s">
        <v>551</v>
      </c>
      <c r="E138" s="9" t="s">
        <v>213</v>
      </c>
      <c r="F138" s="9" t="n">
        <v>15</v>
      </c>
      <c r="G138" s="9" t="s">
        <v>61</v>
      </c>
      <c r="H138" s="14" t="n">
        <f aca="false">IFERROR(F138*VLOOKUP(E138,Insumos!$A:$G,7,FALSE()),0)</f>
        <v>8.7</v>
      </c>
      <c r="I138" s="15"/>
    </row>
    <row r="139" customFormat="false" ht="15" hidden="false" customHeight="false" outlineLevel="0" collapsed="false">
      <c r="A139" s="9" t="n">
        <v>10</v>
      </c>
      <c r="B139" s="9" t="s">
        <v>547</v>
      </c>
      <c r="C139" s="9" t="s">
        <v>396</v>
      </c>
      <c r="D139" s="9" t="s">
        <v>552</v>
      </c>
      <c r="E139" s="9" t="s">
        <v>77</v>
      </c>
      <c r="F139" s="9" t="n">
        <v>50</v>
      </c>
      <c r="G139" s="9" t="s">
        <v>74</v>
      </c>
      <c r="H139" s="14" t="n">
        <f aca="false">IFERROR(F139*VLOOKUP(E139,Insumos!$A:$G,7,FALSE()),0)</f>
        <v>5.11111111111111</v>
      </c>
      <c r="I139" s="15"/>
    </row>
    <row r="140" customFormat="false" ht="15" hidden="false" customHeight="false" outlineLevel="0" collapsed="false">
      <c r="A140" s="9" t="n">
        <v>10</v>
      </c>
      <c r="B140" s="9" t="s">
        <v>547</v>
      </c>
      <c r="C140" s="9" t="s">
        <v>396</v>
      </c>
      <c r="D140" s="9" t="s">
        <v>553</v>
      </c>
      <c r="E140" s="9" t="s">
        <v>222</v>
      </c>
      <c r="F140" s="9" t="n">
        <v>20</v>
      </c>
      <c r="G140" s="9" t="s">
        <v>74</v>
      </c>
      <c r="H140" s="14" t="n">
        <f aca="false">IFERROR(F140*VLOOKUP(E140,Insumos!$A:$G,7,FALSE()),0)</f>
        <v>1.16</v>
      </c>
      <c r="I140" s="15"/>
    </row>
    <row r="141" customFormat="false" ht="15" hidden="false" customHeight="false" outlineLevel="0" collapsed="false">
      <c r="A141" s="9" t="n">
        <v>10</v>
      </c>
      <c r="B141" s="9" t="s">
        <v>547</v>
      </c>
      <c r="C141" s="9" t="s">
        <v>396</v>
      </c>
      <c r="D141" s="9" t="s">
        <v>461</v>
      </c>
      <c r="E141" s="9" t="s">
        <v>118</v>
      </c>
      <c r="F141" s="9" t="n">
        <v>2</v>
      </c>
      <c r="G141" s="9" t="s">
        <v>61</v>
      </c>
      <c r="H141" s="14" t="n">
        <f aca="false">IFERROR(F141*VLOOKUP(E141,Insumos!$A:$G,7,FALSE()),0)</f>
        <v>0.032</v>
      </c>
      <c r="I141" s="15"/>
    </row>
    <row r="142" customFormat="false" ht="15" hidden="false" customHeight="false" outlineLevel="0" collapsed="false">
      <c r="A142" s="9" t="n">
        <v>10</v>
      </c>
      <c r="B142" s="9" t="s">
        <v>547</v>
      </c>
      <c r="C142" s="9" t="s">
        <v>554</v>
      </c>
      <c r="D142" s="9" t="s">
        <v>555</v>
      </c>
      <c r="E142" s="9" t="s">
        <v>222</v>
      </c>
      <c r="F142" s="9" t="n">
        <v>50</v>
      </c>
      <c r="G142" s="9" t="s">
        <v>74</v>
      </c>
      <c r="H142" s="14" t="n">
        <f aca="false">IFERROR(F142*VLOOKUP(E142,Insumos!$A:$G,7,FALSE()),0)</f>
        <v>2.9</v>
      </c>
      <c r="I142" s="15"/>
    </row>
    <row r="143" customFormat="false" ht="15" hidden="false" customHeight="false" outlineLevel="0" collapsed="false">
      <c r="A143" s="9" t="n">
        <v>10</v>
      </c>
      <c r="B143" s="9" t="s">
        <v>547</v>
      </c>
      <c r="C143" s="9" t="s">
        <v>554</v>
      </c>
      <c r="D143" s="9" t="s">
        <v>407</v>
      </c>
      <c r="E143" s="9" t="s">
        <v>126</v>
      </c>
      <c r="F143" s="9" t="n">
        <v>40</v>
      </c>
      <c r="G143" s="9" t="s">
        <v>61</v>
      </c>
      <c r="H143" s="14" t="n">
        <f aca="false">IFERROR(F143*VLOOKUP(E143,Insumos!$A:$G,7,FALSE()),0)</f>
        <v>1.12</v>
      </c>
      <c r="I143" s="15"/>
    </row>
    <row r="144" customFormat="false" ht="15" hidden="false" customHeight="false" outlineLevel="0" collapsed="false">
      <c r="A144" s="9" t="n">
        <v>10</v>
      </c>
      <c r="B144" s="9" t="s">
        <v>547</v>
      </c>
      <c r="C144" s="9" t="s">
        <v>556</v>
      </c>
      <c r="D144" s="9" t="s">
        <v>557</v>
      </c>
      <c r="E144" s="9" t="s">
        <v>131</v>
      </c>
      <c r="F144" s="9" t="n">
        <v>100</v>
      </c>
      <c r="G144" s="9" t="s">
        <v>61</v>
      </c>
      <c r="H144" s="14" t="n">
        <f aca="false">IFERROR(F144*VLOOKUP(E144,Insumos!$A:$G,7,FALSE()),0)</f>
        <v>4.2</v>
      </c>
      <c r="I144" s="15"/>
    </row>
    <row r="145" customFormat="false" ht="15" hidden="false" customHeight="false" outlineLevel="0" collapsed="false">
      <c r="A145" s="9" t="n">
        <v>10</v>
      </c>
      <c r="B145" s="9" t="s">
        <v>547</v>
      </c>
      <c r="C145" s="9" t="s">
        <v>556</v>
      </c>
      <c r="D145" s="9" t="s">
        <v>558</v>
      </c>
      <c r="E145" s="9" t="s">
        <v>222</v>
      </c>
      <c r="F145" s="9" t="n">
        <v>18</v>
      </c>
      <c r="G145" s="9" t="s">
        <v>74</v>
      </c>
      <c r="H145" s="14" t="n">
        <f aca="false">IFERROR(F145*VLOOKUP(E145,Insumos!$A:$G,7,FALSE()),0)</f>
        <v>1.044</v>
      </c>
      <c r="I145" s="15"/>
    </row>
    <row r="146" customFormat="false" ht="15" hidden="false" customHeight="false" outlineLevel="0" collapsed="false">
      <c r="A146" s="9" t="n">
        <v>11</v>
      </c>
      <c r="B146" s="9" t="s">
        <v>559</v>
      </c>
      <c r="C146" s="9" t="s">
        <v>396</v>
      </c>
      <c r="D146" s="9" t="s">
        <v>560</v>
      </c>
      <c r="E146" s="9" t="s">
        <v>99</v>
      </c>
      <c r="F146" s="9" t="n">
        <v>150</v>
      </c>
      <c r="G146" s="9" t="s">
        <v>74</v>
      </c>
      <c r="H146" s="14" t="n">
        <f aca="false">IFERROR(F146*VLOOKUP(E146,Insumos!$A:$G,7,FALSE()),0)</f>
        <v>42.75</v>
      </c>
      <c r="I146" s="15"/>
    </row>
    <row r="147" customFormat="false" ht="15" hidden="false" customHeight="false" outlineLevel="0" collapsed="false">
      <c r="A147" s="9" t="n">
        <v>11</v>
      </c>
      <c r="B147" s="9" t="s">
        <v>559</v>
      </c>
      <c r="C147" s="9" t="s">
        <v>396</v>
      </c>
      <c r="D147" s="9" t="s">
        <v>561</v>
      </c>
      <c r="E147" s="9" t="s">
        <v>58</v>
      </c>
      <c r="F147" s="9" t="n">
        <v>50</v>
      </c>
      <c r="G147" s="9" t="s">
        <v>61</v>
      </c>
      <c r="H147" s="14" t="n">
        <f aca="false">IFERROR(F147*VLOOKUP(E147,Insumos!$A:$G,7,FALSE()),0)</f>
        <v>12.25</v>
      </c>
      <c r="I147" s="15"/>
    </row>
    <row r="148" customFormat="false" ht="15" hidden="false" customHeight="false" outlineLevel="0" collapsed="false">
      <c r="A148" s="9" t="n">
        <v>11</v>
      </c>
      <c r="B148" s="9" t="s">
        <v>559</v>
      </c>
      <c r="C148" s="9" t="s">
        <v>396</v>
      </c>
      <c r="D148" s="9" t="s">
        <v>562</v>
      </c>
      <c r="E148" s="9" t="s">
        <v>126</v>
      </c>
      <c r="F148" s="9" t="n">
        <v>210</v>
      </c>
      <c r="G148" s="9" t="s">
        <v>61</v>
      </c>
      <c r="H148" s="14" t="n">
        <f aca="false">IFERROR(F148*VLOOKUP(E148,Insumos!$A:$G,7,FALSE()),0)</f>
        <v>5.88</v>
      </c>
      <c r="I148" s="15"/>
    </row>
    <row r="149" customFormat="false" ht="15" hidden="false" customHeight="false" outlineLevel="0" collapsed="false">
      <c r="A149" s="9" t="n">
        <v>11</v>
      </c>
      <c r="B149" s="9" t="s">
        <v>559</v>
      </c>
      <c r="C149" s="9" t="s">
        <v>396</v>
      </c>
      <c r="D149" s="9" t="s">
        <v>563</v>
      </c>
      <c r="E149" s="9" t="s">
        <v>219</v>
      </c>
      <c r="F149" s="9" t="n">
        <v>100</v>
      </c>
      <c r="G149" s="9" t="s">
        <v>61</v>
      </c>
      <c r="H149" s="14" t="n">
        <f aca="false">IFERROR(F149*VLOOKUP(E149,Insumos!$A:$G,7,FALSE()),0)</f>
        <v>2.6</v>
      </c>
      <c r="I149" s="16" t="s">
        <v>564</v>
      </c>
    </row>
    <row r="150" customFormat="false" ht="15" hidden="false" customHeight="false" outlineLevel="0" collapsed="false">
      <c r="A150" s="9" t="n">
        <v>11</v>
      </c>
      <c r="B150" s="9" t="s">
        <v>559</v>
      </c>
      <c r="C150" s="9" t="s">
        <v>396</v>
      </c>
      <c r="D150" s="9" t="s">
        <v>565</v>
      </c>
      <c r="E150" s="9" t="s">
        <v>303</v>
      </c>
      <c r="F150" s="9" t="n">
        <v>4</v>
      </c>
      <c r="G150" s="9" t="s">
        <v>61</v>
      </c>
      <c r="H150" s="14" t="n">
        <f aca="false">IFERROR(F150*VLOOKUP(E150,Insumos!$A:$G,7,FALSE()),0)</f>
        <v>1.52</v>
      </c>
      <c r="I150" s="15"/>
    </row>
    <row r="151" customFormat="false" ht="15" hidden="false" customHeight="false" outlineLevel="0" collapsed="false">
      <c r="A151" s="9" t="n">
        <v>11</v>
      </c>
      <c r="B151" s="9" t="s">
        <v>559</v>
      </c>
      <c r="C151" s="9" t="s">
        <v>396</v>
      </c>
      <c r="D151" s="9" t="s">
        <v>420</v>
      </c>
      <c r="E151" s="9" t="s">
        <v>66</v>
      </c>
      <c r="F151" s="9" t="n">
        <v>200</v>
      </c>
      <c r="G151" s="9" t="s">
        <v>61</v>
      </c>
      <c r="H151" s="14" t="n">
        <f aca="false">IFERROR(F151*VLOOKUP(E151,Insumos!$A:$G,7,FALSE()),0)</f>
        <v>12.4</v>
      </c>
      <c r="I151" s="15"/>
    </row>
    <row r="152" customFormat="false" ht="15" hidden="false" customHeight="false" outlineLevel="0" collapsed="false">
      <c r="A152" s="9" t="n">
        <v>11</v>
      </c>
      <c r="B152" s="9" t="s">
        <v>559</v>
      </c>
      <c r="C152" s="9" t="s">
        <v>396</v>
      </c>
      <c r="D152" s="9" t="s">
        <v>566</v>
      </c>
      <c r="E152" s="9" t="s">
        <v>107</v>
      </c>
      <c r="F152" s="9" t="n">
        <v>230</v>
      </c>
      <c r="G152" s="9" t="s">
        <v>61</v>
      </c>
      <c r="H152" s="14" t="n">
        <f aca="false">IFERROR(F152*VLOOKUP(E152,Insumos!$A:$G,7,FALSE()),0)</f>
        <v>5.98</v>
      </c>
      <c r="I152" s="15"/>
    </row>
    <row r="153" customFormat="false" ht="15" hidden="false" customHeight="false" outlineLevel="0" collapsed="false">
      <c r="A153" s="9" t="n">
        <v>11</v>
      </c>
      <c r="B153" s="9" t="s">
        <v>559</v>
      </c>
      <c r="C153" s="9" t="s">
        <v>396</v>
      </c>
      <c r="D153" s="9" t="s">
        <v>567</v>
      </c>
      <c r="E153" s="9" t="s">
        <v>172</v>
      </c>
      <c r="F153" s="9" t="n">
        <v>30</v>
      </c>
      <c r="G153" s="9" t="s">
        <v>61</v>
      </c>
      <c r="H153" s="14" t="n">
        <f aca="false">IFERROR(F153*VLOOKUP(E153,Insumos!$A:$G,7,FALSE()),0)</f>
        <v>12.75</v>
      </c>
      <c r="I153" s="15"/>
    </row>
    <row r="154" customFormat="false" ht="15" hidden="false" customHeight="false" outlineLevel="0" collapsed="false">
      <c r="A154" s="9" t="n">
        <v>11</v>
      </c>
      <c r="B154" s="9" t="s">
        <v>559</v>
      </c>
      <c r="C154" s="9" t="s">
        <v>396</v>
      </c>
      <c r="D154" s="9" t="s">
        <v>506</v>
      </c>
      <c r="E154" s="9" t="s">
        <v>114</v>
      </c>
      <c r="F154" s="9" t="n">
        <v>6</v>
      </c>
      <c r="G154" s="9" t="s">
        <v>61</v>
      </c>
      <c r="H154" s="14" t="n">
        <f aca="false">IFERROR(F154*VLOOKUP(E154,Insumos!$A:$G,7,FALSE()),0)</f>
        <v>0.816</v>
      </c>
      <c r="I154" s="15"/>
    </row>
    <row r="155" customFormat="false" ht="15" hidden="false" customHeight="false" outlineLevel="0" collapsed="false">
      <c r="A155" s="9" t="n">
        <v>11</v>
      </c>
      <c r="B155" s="9" t="s">
        <v>559</v>
      </c>
      <c r="C155" s="9" t="s">
        <v>396</v>
      </c>
      <c r="D155" s="9" t="s">
        <v>490</v>
      </c>
      <c r="E155" s="9" t="s">
        <v>122</v>
      </c>
      <c r="F155" s="9" t="n">
        <v>2</v>
      </c>
      <c r="G155" s="9" t="s">
        <v>61</v>
      </c>
      <c r="H155" s="14" t="n">
        <f aca="false">IFERROR(F155*VLOOKUP(E155,Insumos!$A:$G,7,FALSE()),0)</f>
        <v>1.56</v>
      </c>
      <c r="I155" s="15"/>
    </row>
    <row r="156" customFormat="false" ht="15" hidden="false" customHeight="false" outlineLevel="0" collapsed="false">
      <c r="A156" s="9" t="n">
        <v>11</v>
      </c>
      <c r="B156" s="9" t="s">
        <v>559</v>
      </c>
      <c r="C156" s="9" t="s">
        <v>396</v>
      </c>
      <c r="D156" s="9" t="s">
        <v>568</v>
      </c>
      <c r="E156" s="9" t="s">
        <v>219</v>
      </c>
      <c r="F156" s="9" t="n">
        <v>50</v>
      </c>
      <c r="G156" s="9" t="s">
        <v>74</v>
      </c>
      <c r="H156" s="14" t="n">
        <f aca="false">IFERROR(F156*VLOOKUP(E156,Insumos!$A:$G,7,FALSE()),0)</f>
        <v>1.3</v>
      </c>
      <c r="I156" s="15"/>
    </row>
    <row r="157" customFormat="false" ht="15" hidden="false" customHeight="false" outlineLevel="0" collapsed="false">
      <c r="A157" s="9" t="n">
        <v>11</v>
      </c>
      <c r="B157" s="9" t="s">
        <v>559</v>
      </c>
      <c r="C157" s="9" t="s">
        <v>396</v>
      </c>
      <c r="D157" s="9" t="s">
        <v>569</v>
      </c>
      <c r="E157" s="9" t="s">
        <v>81</v>
      </c>
      <c r="F157" s="9" t="n">
        <v>40</v>
      </c>
      <c r="G157" s="9" t="s">
        <v>74</v>
      </c>
      <c r="H157" s="14" t="n">
        <f aca="false">IFERROR(F157*VLOOKUP(E157,Insumos!$A:$G,7,FALSE()),0)</f>
        <v>4.35555555555556</v>
      </c>
      <c r="I157" s="15"/>
    </row>
    <row r="158" customFormat="false" ht="15" hidden="false" customHeight="false" outlineLevel="0" collapsed="false">
      <c r="A158" s="9" t="n">
        <v>11</v>
      </c>
      <c r="B158" s="9" t="s">
        <v>559</v>
      </c>
      <c r="C158" s="9" t="s">
        <v>405</v>
      </c>
      <c r="D158" s="9" t="s">
        <v>570</v>
      </c>
      <c r="E158" s="9" t="s">
        <v>219</v>
      </c>
      <c r="F158" s="9" t="n">
        <v>60</v>
      </c>
      <c r="G158" s="9" t="s">
        <v>74</v>
      </c>
      <c r="H158" s="14" t="n">
        <f aca="false">IFERROR(F158*VLOOKUP(E158,Insumos!$A:$G,7,FALSE()),0)</f>
        <v>1.56</v>
      </c>
      <c r="I158" s="15"/>
    </row>
    <row r="159" customFormat="false" ht="15" hidden="false" customHeight="false" outlineLevel="0" collapsed="false">
      <c r="A159" s="9" t="n">
        <v>11</v>
      </c>
      <c r="B159" s="9" t="s">
        <v>559</v>
      </c>
      <c r="C159" s="9" t="s">
        <v>405</v>
      </c>
      <c r="D159" s="9" t="s">
        <v>511</v>
      </c>
      <c r="E159" s="9" t="s">
        <v>126</v>
      </c>
      <c r="F159" s="9" t="n">
        <v>30</v>
      </c>
      <c r="G159" s="9" t="s">
        <v>61</v>
      </c>
      <c r="H159" s="14" t="n">
        <f aca="false">IFERROR(F159*VLOOKUP(E159,Insumos!$A:$G,7,FALSE()),0)</f>
        <v>0.84</v>
      </c>
      <c r="I159" s="15"/>
    </row>
    <row r="160" customFormat="false" ht="15" hidden="false" customHeight="false" outlineLevel="0" collapsed="false">
      <c r="A160" s="9" t="n">
        <v>11</v>
      </c>
      <c r="B160" s="9" t="s">
        <v>559</v>
      </c>
      <c r="C160" s="9" t="s">
        <v>405</v>
      </c>
      <c r="D160" s="9" t="s">
        <v>571</v>
      </c>
      <c r="E160" s="9" t="s">
        <v>303</v>
      </c>
      <c r="F160" s="9" t="n">
        <v>3</v>
      </c>
      <c r="G160" s="9" t="s">
        <v>61</v>
      </c>
      <c r="H160" s="14" t="n">
        <f aca="false">IFERROR(F160*VLOOKUP(E160,Insumos!$A:$G,7,FALSE()),0)</f>
        <v>1.14</v>
      </c>
      <c r="I160" s="16" t="s">
        <v>572</v>
      </c>
    </row>
    <row r="161" customFormat="false" ht="15" hidden="false" customHeight="false" outlineLevel="0" collapsed="false">
      <c r="A161" s="9" t="n">
        <v>11</v>
      </c>
      <c r="B161" s="9" t="s">
        <v>559</v>
      </c>
      <c r="C161" s="9" t="s">
        <v>573</v>
      </c>
      <c r="D161" s="9" t="s">
        <v>574</v>
      </c>
      <c r="E161" s="9" t="s">
        <v>131</v>
      </c>
      <c r="F161" s="9" t="n">
        <v>70</v>
      </c>
      <c r="G161" s="9" t="s">
        <v>61</v>
      </c>
      <c r="H161" s="14" t="n">
        <f aca="false">IFERROR(F161*VLOOKUP(E161,Insumos!$A:$G,7,FALSE()),0)</f>
        <v>2.94</v>
      </c>
      <c r="I161" s="15"/>
    </row>
    <row r="162" customFormat="false" ht="15" hidden="false" customHeight="false" outlineLevel="0" collapsed="false">
      <c r="A162" s="9" t="n">
        <v>11</v>
      </c>
      <c r="B162" s="9" t="s">
        <v>559</v>
      </c>
      <c r="C162" s="9" t="s">
        <v>573</v>
      </c>
      <c r="D162" s="9" t="s">
        <v>575</v>
      </c>
      <c r="E162" s="9" t="s">
        <v>219</v>
      </c>
      <c r="F162" s="9" t="n">
        <v>15</v>
      </c>
      <c r="G162" s="9" t="s">
        <v>74</v>
      </c>
      <c r="H162" s="14" t="n">
        <f aca="false">IFERROR(F162*VLOOKUP(E162,Insumos!$A:$G,7,FALSE()),0)</f>
        <v>0.39</v>
      </c>
      <c r="I162" s="15"/>
    </row>
    <row r="163" customFormat="false" ht="15" hidden="false" customHeight="false" outlineLevel="0" collapsed="false">
      <c r="A163" s="9" t="n">
        <v>12</v>
      </c>
      <c r="B163" s="9" t="s">
        <v>576</v>
      </c>
      <c r="C163" s="9" t="s">
        <v>396</v>
      </c>
      <c r="D163" s="9" t="s">
        <v>491</v>
      </c>
      <c r="E163" s="9" t="s">
        <v>58</v>
      </c>
      <c r="F163" s="9" t="n">
        <v>180</v>
      </c>
      <c r="G163" s="9" t="s">
        <v>61</v>
      </c>
      <c r="H163" s="14" t="n">
        <f aca="false">IFERROR(F163*VLOOKUP(E163,Insumos!$A:$G,7,FALSE()),0)</f>
        <v>44.1</v>
      </c>
      <c r="I163" s="15"/>
    </row>
    <row r="164" customFormat="false" ht="15" hidden="false" customHeight="false" outlineLevel="0" collapsed="false">
      <c r="A164" s="9" t="n">
        <v>12</v>
      </c>
      <c r="B164" s="9" t="s">
        <v>576</v>
      </c>
      <c r="C164" s="9" t="s">
        <v>396</v>
      </c>
      <c r="D164" s="9" t="s">
        <v>533</v>
      </c>
      <c r="E164" s="9" t="s">
        <v>129</v>
      </c>
      <c r="F164" s="9" t="n">
        <v>200</v>
      </c>
      <c r="G164" s="9" t="s">
        <v>61</v>
      </c>
      <c r="H164" s="14" t="n">
        <f aca="false">IFERROR(F164*VLOOKUP(E164,Insumos!$A:$G,7,FALSE()),0)</f>
        <v>6.8</v>
      </c>
      <c r="I164" s="15"/>
    </row>
    <row r="165" customFormat="false" ht="15" hidden="false" customHeight="false" outlineLevel="0" collapsed="false">
      <c r="A165" s="9" t="n">
        <v>12</v>
      </c>
      <c r="B165" s="9" t="s">
        <v>576</v>
      </c>
      <c r="C165" s="9" t="s">
        <v>396</v>
      </c>
      <c r="D165" s="9" t="s">
        <v>577</v>
      </c>
      <c r="E165" s="9" t="s">
        <v>228</v>
      </c>
      <c r="F165" s="9" t="n">
        <v>175</v>
      </c>
      <c r="G165" s="9" t="s">
        <v>61</v>
      </c>
      <c r="H165" s="14" t="n">
        <f aca="false">IFERROR(F165*VLOOKUP(E165,Insumos!$A:$G,7,FALSE()),0)</f>
        <v>6.65</v>
      </c>
      <c r="I165" s="16" t="s">
        <v>578</v>
      </c>
    </row>
    <row r="166" customFormat="false" ht="15" hidden="false" customHeight="false" outlineLevel="0" collapsed="false">
      <c r="A166" s="9" t="n">
        <v>12</v>
      </c>
      <c r="B166" s="9" t="s">
        <v>576</v>
      </c>
      <c r="C166" s="9" t="s">
        <v>396</v>
      </c>
      <c r="D166" s="9" t="s">
        <v>435</v>
      </c>
      <c r="E166" s="9" t="s">
        <v>66</v>
      </c>
      <c r="F166" s="9" t="n">
        <v>200</v>
      </c>
      <c r="G166" s="9" t="s">
        <v>61</v>
      </c>
      <c r="H166" s="14" t="n">
        <f aca="false">IFERROR(F166*VLOOKUP(E166,Insumos!$A:$G,7,FALSE()),0)</f>
        <v>12.4</v>
      </c>
      <c r="I166" s="15"/>
    </row>
    <row r="167" customFormat="false" ht="15" hidden="false" customHeight="false" outlineLevel="0" collapsed="false">
      <c r="A167" s="9" t="n">
        <v>12</v>
      </c>
      <c r="B167" s="9" t="s">
        <v>576</v>
      </c>
      <c r="C167" s="9" t="s">
        <v>396</v>
      </c>
      <c r="D167" s="9" t="s">
        <v>566</v>
      </c>
      <c r="E167" s="9" t="s">
        <v>107</v>
      </c>
      <c r="F167" s="9" t="n">
        <v>230</v>
      </c>
      <c r="G167" s="9" t="s">
        <v>61</v>
      </c>
      <c r="H167" s="14" t="n">
        <f aca="false">IFERROR(F167*VLOOKUP(E167,Insumos!$A:$G,7,FALSE()),0)</f>
        <v>5.98</v>
      </c>
      <c r="I167" s="15"/>
    </row>
    <row r="168" customFormat="false" ht="15" hidden="false" customHeight="false" outlineLevel="0" collapsed="false">
      <c r="A168" s="9" t="n">
        <v>12</v>
      </c>
      <c r="B168" s="9" t="s">
        <v>576</v>
      </c>
      <c r="C168" s="9" t="s">
        <v>396</v>
      </c>
      <c r="D168" s="9" t="s">
        <v>423</v>
      </c>
      <c r="E168" s="9" t="s">
        <v>114</v>
      </c>
      <c r="F168" s="9" t="n">
        <v>5</v>
      </c>
      <c r="G168" s="9" t="s">
        <v>61</v>
      </c>
      <c r="H168" s="14" t="n">
        <f aca="false">IFERROR(F168*VLOOKUP(E168,Insumos!$A:$G,7,FALSE()),0)</f>
        <v>0.68</v>
      </c>
      <c r="I168" s="15"/>
    </row>
    <row r="169" customFormat="false" ht="15" hidden="false" customHeight="false" outlineLevel="0" collapsed="false">
      <c r="A169" s="9" t="n">
        <v>12</v>
      </c>
      <c r="B169" s="9" t="s">
        <v>576</v>
      </c>
      <c r="C169" s="9" t="s">
        <v>396</v>
      </c>
      <c r="D169" s="9" t="s">
        <v>461</v>
      </c>
      <c r="E169" s="9" t="s">
        <v>118</v>
      </c>
      <c r="F169" s="9" t="n">
        <v>2</v>
      </c>
      <c r="G169" s="9" t="s">
        <v>61</v>
      </c>
      <c r="H169" s="14" t="n">
        <f aca="false">IFERROR(F169*VLOOKUP(E169,Insumos!$A:$G,7,FALSE()),0)</f>
        <v>0.032</v>
      </c>
      <c r="I169" s="15"/>
    </row>
    <row r="170" customFormat="false" ht="15" hidden="false" customHeight="false" outlineLevel="0" collapsed="false">
      <c r="A170" s="9" t="n">
        <v>12</v>
      </c>
      <c r="B170" s="9" t="s">
        <v>576</v>
      </c>
      <c r="C170" s="9" t="s">
        <v>396</v>
      </c>
      <c r="D170" s="9" t="s">
        <v>579</v>
      </c>
      <c r="E170" s="9" t="s">
        <v>75</v>
      </c>
      <c r="F170" s="9" t="n">
        <v>40</v>
      </c>
      <c r="G170" s="9" t="s">
        <v>74</v>
      </c>
      <c r="H170" s="14" t="n">
        <f aca="false">IFERROR(F170*VLOOKUP(E170,Insumos!$A:$G,7,FALSE()),0)</f>
        <v>4.72</v>
      </c>
      <c r="I170" s="15"/>
    </row>
    <row r="171" customFormat="false" ht="15" hidden="false" customHeight="false" outlineLevel="0" collapsed="false">
      <c r="A171" s="9" t="n">
        <v>12</v>
      </c>
      <c r="B171" s="9" t="s">
        <v>576</v>
      </c>
      <c r="C171" s="9" t="s">
        <v>396</v>
      </c>
      <c r="D171" s="9" t="s">
        <v>580</v>
      </c>
      <c r="E171" s="9" t="s">
        <v>228</v>
      </c>
      <c r="F171" s="9" t="n">
        <v>25</v>
      </c>
      <c r="G171" s="9" t="s">
        <v>74</v>
      </c>
      <c r="H171" s="14" t="n">
        <f aca="false">IFERROR(F171*VLOOKUP(E171,Insumos!$A:$G,7,FALSE()),0)</f>
        <v>0.95</v>
      </c>
      <c r="I171" s="15"/>
    </row>
    <row r="172" customFormat="false" ht="15" hidden="false" customHeight="false" outlineLevel="0" collapsed="false">
      <c r="A172" s="9" t="n">
        <v>12</v>
      </c>
      <c r="B172" s="9" t="s">
        <v>576</v>
      </c>
      <c r="C172" s="9" t="s">
        <v>581</v>
      </c>
      <c r="D172" s="9" t="s">
        <v>582</v>
      </c>
      <c r="E172" s="9" t="s">
        <v>228</v>
      </c>
      <c r="F172" s="9" t="n">
        <v>50</v>
      </c>
      <c r="G172" s="9" t="s">
        <v>74</v>
      </c>
      <c r="H172" s="14" t="n">
        <f aca="false">IFERROR(F172*VLOOKUP(E172,Insumos!$A:$G,7,FALSE()),0)</f>
        <v>1.9</v>
      </c>
      <c r="I172" s="15"/>
    </row>
    <row r="173" customFormat="false" ht="15" hidden="false" customHeight="false" outlineLevel="0" collapsed="false">
      <c r="A173" s="9" t="n">
        <v>12</v>
      </c>
      <c r="B173" s="9" t="s">
        <v>576</v>
      </c>
      <c r="C173" s="9" t="s">
        <v>581</v>
      </c>
      <c r="D173" s="9" t="s">
        <v>583</v>
      </c>
      <c r="E173" s="9" t="s">
        <v>126</v>
      </c>
      <c r="F173" s="9" t="n">
        <v>35</v>
      </c>
      <c r="G173" s="9" t="s">
        <v>61</v>
      </c>
      <c r="H173" s="14" t="n">
        <f aca="false">IFERROR(F173*VLOOKUP(E173,Insumos!$A:$G,7,FALSE()),0)</f>
        <v>0.98</v>
      </c>
      <c r="I173" s="15"/>
    </row>
    <row r="174" customFormat="false" ht="15" hidden="false" customHeight="false" outlineLevel="0" collapsed="false">
      <c r="A174" s="9" t="n">
        <v>12</v>
      </c>
      <c r="B174" s="9" t="s">
        <v>576</v>
      </c>
      <c r="C174" s="9" t="s">
        <v>581</v>
      </c>
      <c r="D174" s="9" t="s">
        <v>584</v>
      </c>
      <c r="E174" s="9" t="s">
        <v>332</v>
      </c>
      <c r="F174" s="9" t="n">
        <v>25</v>
      </c>
      <c r="G174" s="9" t="s">
        <v>74</v>
      </c>
      <c r="H174" s="14" t="n">
        <f aca="false">IFERROR(F174*VLOOKUP(E174,Insumos!$A:$G,7,FALSE()),0)</f>
        <v>14.3333333333333</v>
      </c>
      <c r="I174" s="15"/>
    </row>
    <row r="175" customFormat="false" ht="15" hidden="false" customHeight="false" outlineLevel="0" collapsed="false">
      <c r="A175" s="9" t="n">
        <v>12</v>
      </c>
      <c r="B175" s="9" t="s">
        <v>576</v>
      </c>
      <c r="C175" s="9" t="s">
        <v>585</v>
      </c>
      <c r="D175" s="9" t="s">
        <v>586</v>
      </c>
      <c r="E175" s="9" t="s">
        <v>131</v>
      </c>
      <c r="F175" s="9" t="n">
        <v>90</v>
      </c>
      <c r="G175" s="9" t="s">
        <v>61</v>
      </c>
      <c r="H175" s="14" t="n">
        <f aca="false">IFERROR(F175*VLOOKUP(E175,Insumos!$A:$G,7,FALSE()),0)</f>
        <v>3.78</v>
      </c>
      <c r="I175" s="15"/>
    </row>
    <row r="176" customFormat="false" ht="15" hidden="false" customHeight="false" outlineLevel="0" collapsed="false">
      <c r="A176" s="9" t="n">
        <v>12</v>
      </c>
      <c r="B176" s="9" t="s">
        <v>576</v>
      </c>
      <c r="C176" s="9" t="s">
        <v>585</v>
      </c>
      <c r="D176" s="9" t="s">
        <v>587</v>
      </c>
      <c r="E176" s="9" t="s">
        <v>228</v>
      </c>
      <c r="F176" s="9" t="n">
        <v>15</v>
      </c>
      <c r="G176" s="9" t="s">
        <v>74</v>
      </c>
      <c r="H176" s="14" t="n">
        <f aca="false">IFERROR(F176*VLOOKUP(E176,Insumos!$A:$G,7,FALSE()),0)</f>
        <v>0.57</v>
      </c>
      <c r="I176" s="15"/>
    </row>
    <row r="177" customFormat="false" ht="15" hidden="false" customHeight="false" outlineLevel="0" collapsed="false">
      <c r="A177" s="9" t="n">
        <v>12</v>
      </c>
      <c r="B177" s="9" t="s">
        <v>576</v>
      </c>
      <c r="C177" s="9" t="s">
        <v>585</v>
      </c>
      <c r="D177" s="9" t="s">
        <v>588</v>
      </c>
      <c r="E177" s="9" t="s">
        <v>332</v>
      </c>
      <c r="F177" s="9" t="n">
        <v>3</v>
      </c>
      <c r="G177" s="9" t="s">
        <v>74</v>
      </c>
      <c r="H177" s="14" t="n">
        <f aca="false">IFERROR(F177*VLOOKUP(E177,Insumos!$A:$G,7,FALSE()),0)</f>
        <v>1.72</v>
      </c>
      <c r="I177" s="15"/>
    </row>
    <row r="178" customFormat="false" ht="15" hidden="false" customHeight="false" outlineLevel="0" collapsed="false">
      <c r="A178" s="9" t="n">
        <v>13</v>
      </c>
      <c r="B178" s="9" t="s">
        <v>589</v>
      </c>
      <c r="C178" s="9" t="s">
        <v>396</v>
      </c>
      <c r="D178" s="9" t="s">
        <v>590</v>
      </c>
      <c r="E178" s="9" t="s">
        <v>58</v>
      </c>
      <c r="F178" s="9" t="n">
        <v>190</v>
      </c>
      <c r="G178" s="9" t="s">
        <v>61</v>
      </c>
      <c r="H178" s="14" t="n">
        <f aca="false">IFERROR(F178*VLOOKUP(E178,Insumos!$A:$G,7,FALSE()),0)</f>
        <v>46.55</v>
      </c>
      <c r="I178" s="15"/>
    </row>
    <row r="179" customFormat="false" ht="15" hidden="false" customHeight="false" outlineLevel="0" collapsed="false">
      <c r="A179" s="9" t="n">
        <v>13</v>
      </c>
      <c r="B179" s="9" t="s">
        <v>589</v>
      </c>
      <c r="C179" s="9" t="s">
        <v>396</v>
      </c>
      <c r="D179" s="9" t="s">
        <v>591</v>
      </c>
      <c r="E179" s="9" t="s">
        <v>126</v>
      </c>
      <c r="F179" s="9" t="n">
        <v>160</v>
      </c>
      <c r="G179" s="9" t="s">
        <v>61</v>
      </c>
      <c r="H179" s="14" t="n">
        <f aca="false">IFERROR(F179*VLOOKUP(E179,Insumos!$A:$G,7,FALSE()),0)</f>
        <v>4.48</v>
      </c>
      <c r="I179" s="15"/>
    </row>
    <row r="180" customFormat="false" ht="15" hidden="false" customHeight="false" outlineLevel="0" collapsed="false">
      <c r="A180" s="9" t="n">
        <v>13</v>
      </c>
      <c r="B180" s="9" t="s">
        <v>589</v>
      </c>
      <c r="C180" s="9" t="s">
        <v>396</v>
      </c>
      <c r="D180" s="9" t="s">
        <v>592</v>
      </c>
      <c r="E180" s="9" t="s">
        <v>133</v>
      </c>
      <c r="F180" s="9" t="n">
        <v>40</v>
      </c>
      <c r="G180" s="9" t="s">
        <v>61</v>
      </c>
      <c r="H180" s="14" t="n">
        <f aca="false">IFERROR(F180*VLOOKUP(E180,Insumos!$A:$G,7,FALSE()),0)</f>
        <v>2.08</v>
      </c>
      <c r="I180" s="15"/>
    </row>
    <row r="181" customFormat="false" ht="15" hidden="false" customHeight="false" outlineLevel="0" collapsed="false">
      <c r="A181" s="9" t="n">
        <v>13</v>
      </c>
      <c r="B181" s="9" t="s">
        <v>589</v>
      </c>
      <c r="C181" s="9" t="s">
        <v>396</v>
      </c>
      <c r="D181" s="9" t="s">
        <v>593</v>
      </c>
      <c r="E181" s="9" t="s">
        <v>226</v>
      </c>
      <c r="F181" s="9" t="n">
        <v>90</v>
      </c>
      <c r="G181" s="9" t="s">
        <v>61</v>
      </c>
      <c r="H181" s="14" t="n">
        <f aca="false">IFERROR(F181*VLOOKUP(E181,Insumos!$A:$G,7,FALSE()),0)</f>
        <v>3.06</v>
      </c>
      <c r="I181" s="16" t="s">
        <v>594</v>
      </c>
    </row>
    <row r="182" customFormat="false" ht="15" hidden="false" customHeight="false" outlineLevel="0" collapsed="false">
      <c r="A182" s="9" t="n">
        <v>13</v>
      </c>
      <c r="B182" s="9" t="s">
        <v>589</v>
      </c>
      <c r="C182" s="9" t="s">
        <v>396</v>
      </c>
      <c r="D182" s="9" t="s">
        <v>595</v>
      </c>
      <c r="E182" s="9" t="s">
        <v>303</v>
      </c>
      <c r="F182" s="9" t="n">
        <v>3</v>
      </c>
      <c r="G182" s="9" t="s">
        <v>61</v>
      </c>
      <c r="H182" s="14" t="n">
        <f aca="false">IFERROR(F182*VLOOKUP(E182,Insumos!$A:$G,7,FALSE()),0)</f>
        <v>1.14</v>
      </c>
      <c r="I182" s="15"/>
    </row>
    <row r="183" customFormat="false" ht="15" hidden="false" customHeight="false" outlineLevel="0" collapsed="false">
      <c r="A183" s="9" t="n">
        <v>13</v>
      </c>
      <c r="B183" s="9" t="s">
        <v>589</v>
      </c>
      <c r="C183" s="9" t="s">
        <v>396</v>
      </c>
      <c r="D183" s="9" t="s">
        <v>435</v>
      </c>
      <c r="E183" s="9" t="s">
        <v>66</v>
      </c>
      <c r="F183" s="9" t="n">
        <v>200</v>
      </c>
      <c r="G183" s="9" t="s">
        <v>61</v>
      </c>
      <c r="H183" s="14" t="n">
        <f aca="false">IFERROR(F183*VLOOKUP(E183,Insumos!$A:$G,7,FALSE()),0)</f>
        <v>12.4</v>
      </c>
      <c r="I183" s="15"/>
    </row>
    <row r="184" customFormat="false" ht="15" hidden="false" customHeight="false" outlineLevel="0" collapsed="false">
      <c r="A184" s="9" t="n">
        <v>13</v>
      </c>
      <c r="B184" s="9" t="s">
        <v>589</v>
      </c>
      <c r="C184" s="9" t="s">
        <v>396</v>
      </c>
      <c r="D184" s="9" t="s">
        <v>495</v>
      </c>
      <c r="E184" s="9" t="s">
        <v>107</v>
      </c>
      <c r="F184" s="9" t="n">
        <v>220</v>
      </c>
      <c r="G184" s="9" t="s">
        <v>61</v>
      </c>
      <c r="H184" s="14" t="n">
        <f aca="false">IFERROR(F184*VLOOKUP(E184,Insumos!$A:$G,7,FALSE()),0)</f>
        <v>5.72</v>
      </c>
      <c r="I184" s="15"/>
    </row>
    <row r="185" customFormat="false" ht="15" hidden="false" customHeight="false" outlineLevel="0" collapsed="false">
      <c r="A185" s="9" t="n">
        <v>13</v>
      </c>
      <c r="B185" s="9" t="s">
        <v>589</v>
      </c>
      <c r="C185" s="9" t="s">
        <v>396</v>
      </c>
      <c r="D185" s="9" t="s">
        <v>596</v>
      </c>
      <c r="E185" s="9" t="s">
        <v>110</v>
      </c>
      <c r="F185" s="9" t="n">
        <v>25</v>
      </c>
      <c r="G185" s="9" t="s">
        <v>61</v>
      </c>
      <c r="H185" s="14" t="n">
        <f aca="false">IFERROR(F185*VLOOKUP(E185,Insumos!$A:$G,7,FALSE()),0)</f>
        <v>0.6</v>
      </c>
      <c r="I185" s="15"/>
    </row>
    <row r="186" customFormat="false" ht="15" hidden="false" customHeight="false" outlineLevel="0" collapsed="false">
      <c r="A186" s="9" t="n">
        <v>13</v>
      </c>
      <c r="B186" s="9" t="s">
        <v>589</v>
      </c>
      <c r="C186" s="9" t="s">
        <v>396</v>
      </c>
      <c r="D186" s="9" t="s">
        <v>506</v>
      </c>
      <c r="E186" s="9" t="s">
        <v>114</v>
      </c>
      <c r="F186" s="9" t="n">
        <v>6</v>
      </c>
      <c r="G186" s="9" t="s">
        <v>61</v>
      </c>
      <c r="H186" s="14" t="n">
        <f aca="false">IFERROR(F186*VLOOKUP(E186,Insumos!$A:$G,7,FALSE()),0)</f>
        <v>0.816</v>
      </c>
      <c r="I186" s="15"/>
    </row>
    <row r="187" customFormat="false" ht="15" hidden="false" customHeight="false" outlineLevel="0" collapsed="false">
      <c r="A187" s="9" t="n">
        <v>13</v>
      </c>
      <c r="B187" s="9" t="s">
        <v>589</v>
      </c>
      <c r="C187" s="9" t="s">
        <v>396</v>
      </c>
      <c r="D187" s="9" t="s">
        <v>461</v>
      </c>
      <c r="E187" s="9" t="s">
        <v>118</v>
      </c>
      <c r="F187" s="9" t="n">
        <v>2</v>
      </c>
      <c r="G187" s="9" t="s">
        <v>61</v>
      </c>
      <c r="H187" s="14" t="n">
        <f aca="false">IFERROR(F187*VLOOKUP(E187,Insumos!$A:$G,7,FALSE()),0)</f>
        <v>0.032</v>
      </c>
      <c r="I187" s="15"/>
    </row>
    <row r="188" customFormat="false" ht="15" hidden="false" customHeight="false" outlineLevel="0" collapsed="false">
      <c r="A188" s="9" t="n">
        <v>13</v>
      </c>
      <c r="B188" s="9" t="s">
        <v>589</v>
      </c>
      <c r="C188" s="9" t="s">
        <v>396</v>
      </c>
      <c r="D188" s="9" t="s">
        <v>597</v>
      </c>
      <c r="E188" s="9" t="s">
        <v>226</v>
      </c>
      <c r="F188" s="9" t="n">
        <v>40</v>
      </c>
      <c r="G188" s="9" t="s">
        <v>74</v>
      </c>
      <c r="H188" s="14" t="n">
        <f aca="false">IFERROR(F188*VLOOKUP(E188,Insumos!$A:$G,7,FALSE()),0)</f>
        <v>1.36</v>
      </c>
      <c r="I188" s="15"/>
    </row>
    <row r="189" customFormat="false" ht="15" hidden="false" customHeight="false" outlineLevel="0" collapsed="false">
      <c r="A189" s="9" t="n">
        <v>13</v>
      </c>
      <c r="B189" s="9" t="s">
        <v>589</v>
      </c>
      <c r="C189" s="9" t="s">
        <v>598</v>
      </c>
      <c r="D189" s="9" t="s">
        <v>599</v>
      </c>
      <c r="E189" s="9" t="s">
        <v>135</v>
      </c>
      <c r="F189" s="9" t="n">
        <v>35</v>
      </c>
      <c r="G189" s="9" t="s">
        <v>61</v>
      </c>
      <c r="H189" s="14" t="n">
        <f aca="false">IFERROR(F189*VLOOKUP(E189,Insumos!$A:$G,7,FALSE()),0)</f>
        <v>2.03</v>
      </c>
      <c r="I189" s="15"/>
    </row>
    <row r="190" customFormat="false" ht="15" hidden="false" customHeight="false" outlineLevel="0" collapsed="false">
      <c r="A190" s="9" t="n">
        <v>13</v>
      </c>
      <c r="B190" s="9" t="s">
        <v>589</v>
      </c>
      <c r="C190" s="9" t="s">
        <v>598</v>
      </c>
      <c r="D190" s="9" t="s">
        <v>600</v>
      </c>
      <c r="E190" s="9" t="s">
        <v>303</v>
      </c>
      <c r="F190" s="9" t="n">
        <v>1</v>
      </c>
      <c r="G190" s="9" t="s">
        <v>61</v>
      </c>
      <c r="H190" s="14" t="n">
        <f aca="false">IFERROR(F190*VLOOKUP(E190,Insumos!$A:$G,7,FALSE()),0)</f>
        <v>0.38</v>
      </c>
      <c r="I190" s="15"/>
    </row>
    <row r="191" customFormat="false" ht="15" hidden="false" customHeight="false" outlineLevel="0" collapsed="false">
      <c r="A191" s="9" t="n">
        <v>13</v>
      </c>
      <c r="B191" s="9" t="s">
        <v>589</v>
      </c>
      <c r="C191" s="9" t="s">
        <v>601</v>
      </c>
      <c r="D191" s="9" t="s">
        <v>602</v>
      </c>
      <c r="E191" s="9" t="s">
        <v>226</v>
      </c>
      <c r="F191" s="9" t="n">
        <v>50</v>
      </c>
      <c r="G191" s="9" t="s">
        <v>74</v>
      </c>
      <c r="H191" s="14" t="n">
        <f aca="false">IFERROR(F191*VLOOKUP(E191,Insumos!$A:$G,7,FALSE()),0)</f>
        <v>1.7</v>
      </c>
      <c r="I191" s="15"/>
    </row>
    <row r="192" customFormat="false" ht="15" hidden="false" customHeight="false" outlineLevel="0" collapsed="false">
      <c r="A192" s="9" t="n">
        <v>13</v>
      </c>
      <c r="B192" s="9" t="s">
        <v>589</v>
      </c>
      <c r="C192" s="9" t="s">
        <v>601</v>
      </c>
      <c r="D192" s="9" t="s">
        <v>603</v>
      </c>
      <c r="E192" s="9" t="s">
        <v>126</v>
      </c>
      <c r="F192" s="9" t="n">
        <v>25</v>
      </c>
      <c r="G192" s="9" t="s">
        <v>61</v>
      </c>
      <c r="H192" s="14" t="n">
        <f aca="false">IFERROR(F192*VLOOKUP(E192,Insumos!$A:$G,7,FALSE()),0)</f>
        <v>0.7</v>
      </c>
      <c r="I192" s="15"/>
    </row>
    <row r="193" customFormat="false" ht="15" hidden="false" customHeight="false" outlineLevel="0" collapsed="false">
      <c r="A193" s="9" t="n">
        <v>14</v>
      </c>
      <c r="B193" s="9" t="s">
        <v>604</v>
      </c>
      <c r="C193" s="9" t="s">
        <v>396</v>
      </c>
      <c r="D193" s="9" t="s">
        <v>605</v>
      </c>
      <c r="E193" s="9" t="s">
        <v>58</v>
      </c>
      <c r="F193" s="9" t="n">
        <v>160</v>
      </c>
      <c r="G193" s="9" t="s">
        <v>61</v>
      </c>
      <c r="H193" s="14" t="n">
        <f aca="false">IFERROR(F193*VLOOKUP(E193,Insumos!$A:$G,7,FALSE()),0)</f>
        <v>39.2</v>
      </c>
      <c r="I193" s="15"/>
    </row>
    <row r="194" customFormat="false" ht="15" hidden="false" customHeight="false" outlineLevel="0" collapsed="false">
      <c r="A194" s="9" t="n">
        <v>14</v>
      </c>
      <c r="B194" s="9" t="s">
        <v>604</v>
      </c>
      <c r="C194" s="9" t="s">
        <v>396</v>
      </c>
      <c r="D194" s="9" t="s">
        <v>606</v>
      </c>
      <c r="E194" s="9" t="s">
        <v>105</v>
      </c>
      <c r="F194" s="9" t="n">
        <v>40</v>
      </c>
      <c r="G194" s="9" t="s">
        <v>74</v>
      </c>
      <c r="H194" s="14" t="n">
        <f aca="false">IFERROR(F194*VLOOKUP(E194,Insumos!$A:$G,7,FALSE()),0)</f>
        <v>11.7391304347826</v>
      </c>
      <c r="I194" s="15"/>
    </row>
    <row r="195" customFormat="false" ht="15" hidden="false" customHeight="false" outlineLevel="0" collapsed="false">
      <c r="A195" s="9" t="n">
        <v>14</v>
      </c>
      <c r="B195" s="9" t="s">
        <v>604</v>
      </c>
      <c r="C195" s="9" t="s">
        <v>396</v>
      </c>
      <c r="D195" s="9" t="s">
        <v>607</v>
      </c>
      <c r="E195" s="9" t="s">
        <v>126</v>
      </c>
      <c r="F195" s="9" t="n">
        <v>190</v>
      </c>
      <c r="G195" s="9" t="s">
        <v>61</v>
      </c>
      <c r="H195" s="14" t="n">
        <f aca="false">IFERROR(F195*VLOOKUP(E195,Insumos!$A:$G,7,FALSE()),0)</f>
        <v>5.32</v>
      </c>
      <c r="I195" s="15"/>
    </row>
    <row r="196" customFormat="false" ht="15" hidden="false" customHeight="false" outlineLevel="0" collapsed="false">
      <c r="A196" s="9" t="n">
        <v>14</v>
      </c>
      <c r="B196" s="9" t="s">
        <v>604</v>
      </c>
      <c r="C196" s="9" t="s">
        <v>396</v>
      </c>
      <c r="D196" s="9" t="s">
        <v>608</v>
      </c>
      <c r="E196" s="9" t="s">
        <v>224</v>
      </c>
      <c r="F196" s="9" t="n">
        <v>30</v>
      </c>
      <c r="G196" s="9" t="s">
        <v>61</v>
      </c>
      <c r="H196" s="14" t="n">
        <f aca="false">IFERROR(F196*VLOOKUP(E196,Insumos!$A:$G,7,FALSE()),0)</f>
        <v>0.96</v>
      </c>
      <c r="I196" s="16" t="s">
        <v>609</v>
      </c>
    </row>
    <row r="197" customFormat="false" ht="15" hidden="false" customHeight="false" outlineLevel="0" collapsed="false">
      <c r="A197" s="9" t="n">
        <v>14</v>
      </c>
      <c r="B197" s="9" t="s">
        <v>604</v>
      </c>
      <c r="C197" s="9" t="s">
        <v>396</v>
      </c>
      <c r="D197" s="9" t="s">
        <v>610</v>
      </c>
      <c r="E197" s="9" t="s">
        <v>307</v>
      </c>
      <c r="F197" s="9" t="n">
        <v>2</v>
      </c>
      <c r="G197" s="9" t="s">
        <v>61</v>
      </c>
      <c r="H197" s="14" t="n">
        <f aca="false">IFERROR(F197*VLOOKUP(E197,Insumos!$A:$G,7,FALSE()),0)</f>
        <v>4.8</v>
      </c>
      <c r="I197" s="16" t="s">
        <v>611</v>
      </c>
    </row>
    <row r="198" customFormat="false" ht="15" hidden="false" customHeight="false" outlineLevel="0" collapsed="false">
      <c r="A198" s="9" t="n">
        <v>14</v>
      </c>
      <c r="B198" s="9" t="s">
        <v>604</v>
      </c>
      <c r="C198" s="9" t="s">
        <v>396</v>
      </c>
      <c r="D198" s="9" t="s">
        <v>435</v>
      </c>
      <c r="E198" s="9" t="s">
        <v>66</v>
      </c>
      <c r="F198" s="9" t="n">
        <v>200</v>
      </c>
      <c r="G198" s="9" t="s">
        <v>61</v>
      </c>
      <c r="H198" s="14" t="n">
        <f aca="false">IFERROR(F198*VLOOKUP(E198,Insumos!$A:$G,7,FALSE()),0)</f>
        <v>12.4</v>
      </c>
      <c r="I198" s="15"/>
    </row>
    <row r="199" customFormat="false" ht="15" hidden="false" customHeight="false" outlineLevel="0" collapsed="false">
      <c r="A199" s="9" t="n">
        <v>14</v>
      </c>
      <c r="B199" s="9" t="s">
        <v>604</v>
      </c>
      <c r="C199" s="9" t="s">
        <v>396</v>
      </c>
      <c r="D199" s="9" t="s">
        <v>612</v>
      </c>
      <c r="E199" s="9" t="s">
        <v>107</v>
      </c>
      <c r="F199" s="9" t="n">
        <v>210</v>
      </c>
      <c r="G199" s="9" t="s">
        <v>61</v>
      </c>
      <c r="H199" s="14" t="n">
        <f aca="false">IFERROR(F199*VLOOKUP(E199,Insumos!$A:$G,7,FALSE()),0)</f>
        <v>5.46</v>
      </c>
      <c r="I199" s="15"/>
    </row>
    <row r="200" customFormat="false" ht="15" hidden="false" customHeight="false" outlineLevel="0" collapsed="false">
      <c r="A200" s="9" t="n">
        <v>14</v>
      </c>
      <c r="B200" s="9" t="s">
        <v>604</v>
      </c>
      <c r="C200" s="9" t="s">
        <v>396</v>
      </c>
      <c r="D200" s="9" t="s">
        <v>613</v>
      </c>
      <c r="E200" s="9" t="s">
        <v>215</v>
      </c>
      <c r="F200" s="9" t="n">
        <v>40</v>
      </c>
      <c r="G200" s="9" t="s">
        <v>61</v>
      </c>
      <c r="H200" s="14" t="n">
        <f aca="false">IFERROR(F200*VLOOKUP(E200,Insumos!$A:$G,7,FALSE()),0)</f>
        <v>6.24</v>
      </c>
      <c r="I200" s="15"/>
    </row>
    <row r="201" customFormat="false" ht="15" hidden="false" customHeight="false" outlineLevel="0" collapsed="false">
      <c r="A201" s="9" t="n">
        <v>14</v>
      </c>
      <c r="B201" s="9" t="s">
        <v>604</v>
      </c>
      <c r="C201" s="9" t="s">
        <v>396</v>
      </c>
      <c r="D201" s="9" t="s">
        <v>423</v>
      </c>
      <c r="E201" s="9" t="s">
        <v>114</v>
      </c>
      <c r="F201" s="9" t="n">
        <v>5</v>
      </c>
      <c r="G201" s="9" t="s">
        <v>61</v>
      </c>
      <c r="H201" s="14" t="n">
        <f aca="false">IFERROR(F201*VLOOKUP(E201,Insumos!$A:$G,7,FALSE()),0)</f>
        <v>0.68</v>
      </c>
      <c r="I201" s="15"/>
    </row>
    <row r="202" customFormat="false" ht="15" hidden="false" customHeight="false" outlineLevel="0" collapsed="false">
      <c r="A202" s="9" t="n">
        <v>14</v>
      </c>
      <c r="B202" s="9" t="s">
        <v>604</v>
      </c>
      <c r="C202" s="9" t="s">
        <v>396</v>
      </c>
      <c r="D202" s="9" t="s">
        <v>461</v>
      </c>
      <c r="E202" s="9" t="s">
        <v>118</v>
      </c>
      <c r="F202" s="9" t="n">
        <v>2</v>
      </c>
      <c r="G202" s="9" t="s">
        <v>61</v>
      </c>
      <c r="H202" s="14" t="n">
        <f aca="false">IFERROR(F202*VLOOKUP(E202,Insumos!$A:$G,7,FALSE()),0)</f>
        <v>0.032</v>
      </c>
      <c r="I202" s="15"/>
    </row>
    <row r="203" customFormat="false" ht="15" hidden="false" customHeight="false" outlineLevel="0" collapsed="false">
      <c r="A203" s="9" t="n">
        <v>14</v>
      </c>
      <c r="B203" s="9" t="s">
        <v>604</v>
      </c>
      <c r="C203" s="9" t="s">
        <v>396</v>
      </c>
      <c r="D203" s="9" t="s">
        <v>614</v>
      </c>
      <c r="E203" s="9" t="s">
        <v>95</v>
      </c>
      <c r="F203" s="9" t="n">
        <v>50</v>
      </c>
      <c r="G203" s="9" t="s">
        <v>74</v>
      </c>
      <c r="H203" s="14" t="n">
        <f aca="false">IFERROR(F203*VLOOKUP(E203,Insumos!$A:$G,7,FALSE()),0)</f>
        <v>5.25</v>
      </c>
      <c r="I203" s="15"/>
    </row>
    <row r="204" customFormat="false" ht="15" hidden="false" customHeight="false" outlineLevel="0" collapsed="false">
      <c r="A204" s="9" t="n">
        <v>14</v>
      </c>
      <c r="B204" s="9" t="s">
        <v>604</v>
      </c>
      <c r="C204" s="9" t="s">
        <v>615</v>
      </c>
      <c r="D204" s="9" t="s">
        <v>464</v>
      </c>
      <c r="E204" s="9" t="s">
        <v>160</v>
      </c>
      <c r="F204" s="9" t="n">
        <v>100</v>
      </c>
      <c r="G204" s="9" t="s">
        <v>61</v>
      </c>
      <c r="H204" s="14" t="n">
        <f aca="false">IFERROR(F204*VLOOKUP(E204,Insumos!$A:$G,7,FALSE()),0)</f>
        <v>36.5</v>
      </c>
      <c r="I204" s="15"/>
    </row>
    <row r="205" customFormat="false" ht="15" hidden="false" customHeight="false" outlineLevel="0" collapsed="false">
      <c r="A205" s="9" t="n">
        <v>14</v>
      </c>
      <c r="B205" s="9" t="s">
        <v>604</v>
      </c>
      <c r="C205" s="9" t="s">
        <v>615</v>
      </c>
      <c r="D205" s="9" t="s">
        <v>616</v>
      </c>
      <c r="E205" s="9" t="s">
        <v>75</v>
      </c>
      <c r="F205" s="9" t="n">
        <v>45</v>
      </c>
      <c r="G205" s="9" t="s">
        <v>74</v>
      </c>
      <c r="H205" s="14" t="n">
        <f aca="false">IFERROR(F205*VLOOKUP(E205,Insumos!$A:$G,7,FALSE()),0)</f>
        <v>5.31</v>
      </c>
      <c r="I205" s="15"/>
    </row>
    <row r="206" customFormat="false" ht="15" hidden="false" customHeight="false" outlineLevel="0" collapsed="false">
      <c r="A206" s="9" t="n">
        <v>14</v>
      </c>
      <c r="B206" s="9" t="s">
        <v>604</v>
      </c>
      <c r="C206" s="9" t="s">
        <v>615</v>
      </c>
      <c r="D206" s="9" t="s">
        <v>617</v>
      </c>
      <c r="E206" s="9" t="s">
        <v>224</v>
      </c>
      <c r="F206" s="9" t="n">
        <v>10</v>
      </c>
      <c r="G206" s="9" t="s">
        <v>74</v>
      </c>
      <c r="H206" s="14" t="n">
        <f aca="false">IFERROR(F206*VLOOKUP(E206,Insumos!$A:$G,7,FALSE()),0)</f>
        <v>0.32</v>
      </c>
      <c r="I206" s="15"/>
    </row>
    <row r="207" customFormat="false" ht="15" hidden="false" customHeight="false" outlineLevel="0" collapsed="false">
      <c r="A207" s="9" t="n">
        <v>14</v>
      </c>
      <c r="B207" s="9" t="s">
        <v>604</v>
      </c>
      <c r="C207" s="9" t="s">
        <v>615</v>
      </c>
      <c r="D207" s="9" t="s">
        <v>618</v>
      </c>
      <c r="E207" s="9" t="s">
        <v>224</v>
      </c>
      <c r="F207" s="9" t="n">
        <v>15</v>
      </c>
      <c r="G207" s="9" t="s">
        <v>61</v>
      </c>
      <c r="H207" s="14" t="n">
        <f aca="false">IFERROR(F207*VLOOKUP(E207,Insumos!$A:$G,7,FALSE()),0)</f>
        <v>0.48</v>
      </c>
      <c r="I207" s="16" t="s">
        <v>619</v>
      </c>
    </row>
    <row r="208" customFormat="false" ht="15" hidden="false" customHeight="false" outlineLevel="0" collapsed="false">
      <c r="A208" s="9" t="n">
        <v>14</v>
      </c>
      <c r="B208" s="9" t="s">
        <v>604</v>
      </c>
      <c r="C208" s="9" t="s">
        <v>620</v>
      </c>
      <c r="D208" s="9" t="s">
        <v>621</v>
      </c>
      <c r="E208" s="9" t="s">
        <v>215</v>
      </c>
      <c r="F208" s="9" t="n">
        <v>20</v>
      </c>
      <c r="G208" s="9" t="s">
        <v>61</v>
      </c>
      <c r="H208" s="14" t="n">
        <f aca="false">IFERROR(F208*VLOOKUP(E208,Insumos!$A:$G,7,FALSE()),0)</f>
        <v>3.12</v>
      </c>
      <c r="I208" s="15"/>
    </row>
    <row r="209" customFormat="false" ht="15" hidden="false" customHeight="false" outlineLevel="0" collapsed="false">
      <c r="A209" s="9" t="n">
        <v>15</v>
      </c>
      <c r="B209" s="9" t="s">
        <v>622</v>
      </c>
      <c r="C209" s="9" t="s">
        <v>623</v>
      </c>
      <c r="D209" s="9" t="s">
        <v>624</v>
      </c>
      <c r="E209" s="9" t="s">
        <v>58</v>
      </c>
      <c r="F209" s="9" t="n">
        <v>240</v>
      </c>
      <c r="G209" s="9" t="s">
        <v>61</v>
      </c>
      <c r="H209" s="14" t="n">
        <f aca="false">IFERROR(F209*VLOOKUP(E209,Insumos!$A:$G,7,FALSE()),0)</f>
        <v>58.8</v>
      </c>
      <c r="I209" s="15"/>
    </row>
    <row r="210" customFormat="false" ht="15" hidden="false" customHeight="false" outlineLevel="0" collapsed="false">
      <c r="A210" s="9" t="n">
        <v>15</v>
      </c>
      <c r="B210" s="9" t="s">
        <v>622</v>
      </c>
      <c r="C210" s="9" t="s">
        <v>396</v>
      </c>
      <c r="D210" s="9" t="s">
        <v>625</v>
      </c>
      <c r="E210" s="9" t="s">
        <v>58</v>
      </c>
      <c r="F210" s="9" t="n">
        <v>0</v>
      </c>
      <c r="G210" s="9" t="s">
        <v>61</v>
      </c>
      <c r="H210" s="14" t="n">
        <f aca="false">IFERROR(F210*VLOOKUP(E210,Insumos!$A:$G,7,FALSE()),0)</f>
        <v>0</v>
      </c>
      <c r="I210" s="16" t="s">
        <v>626</v>
      </c>
    </row>
    <row r="211" customFormat="false" ht="15" hidden="false" customHeight="false" outlineLevel="0" collapsed="false">
      <c r="A211" s="9" t="n">
        <v>15</v>
      </c>
      <c r="B211" s="9" t="s">
        <v>622</v>
      </c>
      <c r="C211" s="9" t="s">
        <v>396</v>
      </c>
      <c r="D211" s="9" t="s">
        <v>504</v>
      </c>
      <c r="E211" s="9" t="s">
        <v>126</v>
      </c>
      <c r="F211" s="9" t="n">
        <v>200</v>
      </c>
      <c r="G211" s="9" t="s">
        <v>61</v>
      </c>
      <c r="H211" s="14" t="n">
        <f aca="false">IFERROR(F211*VLOOKUP(E211,Insumos!$A:$G,7,FALSE()),0)</f>
        <v>5.6</v>
      </c>
      <c r="I211" s="15"/>
    </row>
    <row r="212" customFormat="false" ht="15" hidden="false" customHeight="false" outlineLevel="0" collapsed="false">
      <c r="A212" s="9" t="n">
        <v>15</v>
      </c>
      <c r="B212" s="9" t="s">
        <v>622</v>
      </c>
      <c r="C212" s="9" t="s">
        <v>396</v>
      </c>
      <c r="D212" s="9" t="s">
        <v>627</v>
      </c>
      <c r="E212" s="9" t="s">
        <v>222</v>
      </c>
      <c r="F212" s="9" t="n">
        <v>30</v>
      </c>
      <c r="G212" s="9" t="s">
        <v>61</v>
      </c>
      <c r="H212" s="14" t="n">
        <f aca="false">IFERROR(F212*VLOOKUP(E212,Insumos!$A:$G,7,FALSE()),0)</f>
        <v>1.74</v>
      </c>
      <c r="I212" s="16" t="s">
        <v>628</v>
      </c>
    </row>
    <row r="213" customFormat="false" ht="15" hidden="false" customHeight="false" outlineLevel="0" collapsed="false">
      <c r="A213" s="9" t="n">
        <v>15</v>
      </c>
      <c r="B213" s="9" t="s">
        <v>622</v>
      </c>
      <c r="C213" s="9" t="s">
        <v>396</v>
      </c>
      <c r="D213" s="9" t="s">
        <v>435</v>
      </c>
      <c r="E213" s="9" t="s">
        <v>66</v>
      </c>
      <c r="F213" s="9" t="n">
        <v>200</v>
      </c>
      <c r="G213" s="9" t="s">
        <v>61</v>
      </c>
      <c r="H213" s="14" t="n">
        <f aca="false">IFERROR(F213*VLOOKUP(E213,Insumos!$A:$G,7,FALSE()),0)</f>
        <v>12.4</v>
      </c>
      <c r="I213" s="15"/>
    </row>
    <row r="214" customFormat="false" ht="15" hidden="false" customHeight="false" outlineLevel="0" collapsed="false">
      <c r="A214" s="9" t="n">
        <v>15</v>
      </c>
      <c r="B214" s="9" t="s">
        <v>622</v>
      </c>
      <c r="C214" s="9" t="s">
        <v>396</v>
      </c>
      <c r="D214" s="9" t="s">
        <v>566</v>
      </c>
      <c r="E214" s="9" t="s">
        <v>107</v>
      </c>
      <c r="F214" s="9" t="n">
        <v>230</v>
      </c>
      <c r="G214" s="9" t="s">
        <v>61</v>
      </c>
      <c r="H214" s="14" t="n">
        <f aca="false">IFERROR(F214*VLOOKUP(E214,Insumos!$A:$G,7,FALSE()),0)</f>
        <v>5.98</v>
      </c>
      <c r="I214" s="15"/>
    </row>
    <row r="215" customFormat="false" ht="15" hidden="false" customHeight="false" outlineLevel="0" collapsed="false">
      <c r="A215" s="9" t="n">
        <v>15</v>
      </c>
      <c r="B215" s="9" t="s">
        <v>622</v>
      </c>
      <c r="C215" s="9" t="s">
        <v>396</v>
      </c>
      <c r="D215" s="9" t="s">
        <v>629</v>
      </c>
      <c r="E215" s="9" t="s">
        <v>112</v>
      </c>
      <c r="F215" s="9" t="n">
        <v>20</v>
      </c>
      <c r="G215" s="9" t="s">
        <v>61</v>
      </c>
      <c r="H215" s="14" t="n">
        <f aca="false">IFERROR(F215*VLOOKUP(E215,Insumos!$A:$G,7,FALSE()),0)</f>
        <v>1.28</v>
      </c>
      <c r="I215" s="15"/>
    </row>
    <row r="216" customFormat="false" ht="15" hidden="false" customHeight="false" outlineLevel="0" collapsed="false">
      <c r="A216" s="9" t="n">
        <v>15</v>
      </c>
      <c r="B216" s="9" t="s">
        <v>622</v>
      </c>
      <c r="C216" s="9" t="s">
        <v>396</v>
      </c>
      <c r="D216" s="9" t="s">
        <v>423</v>
      </c>
      <c r="E216" s="9" t="s">
        <v>114</v>
      </c>
      <c r="F216" s="9" t="n">
        <v>5</v>
      </c>
      <c r="G216" s="9" t="s">
        <v>61</v>
      </c>
      <c r="H216" s="14" t="n">
        <f aca="false">IFERROR(F216*VLOOKUP(E216,Insumos!$A:$G,7,FALSE()),0)</f>
        <v>0.68</v>
      </c>
      <c r="I216" s="15"/>
    </row>
    <row r="217" customFormat="false" ht="15" hidden="false" customHeight="false" outlineLevel="0" collapsed="false">
      <c r="A217" s="9" t="n">
        <v>15</v>
      </c>
      <c r="B217" s="9" t="s">
        <v>622</v>
      </c>
      <c r="C217" s="9" t="s">
        <v>396</v>
      </c>
      <c r="D217" s="9" t="s">
        <v>461</v>
      </c>
      <c r="E217" s="9" t="s">
        <v>118</v>
      </c>
      <c r="F217" s="9" t="n">
        <v>2</v>
      </c>
      <c r="G217" s="9" t="s">
        <v>61</v>
      </c>
      <c r="H217" s="14" t="n">
        <f aca="false">IFERROR(F217*VLOOKUP(E217,Insumos!$A:$G,7,FALSE()),0)</f>
        <v>0.032</v>
      </c>
      <c r="I217" s="15"/>
    </row>
    <row r="218" customFormat="false" ht="15" hidden="false" customHeight="false" outlineLevel="0" collapsed="false">
      <c r="A218" s="9" t="n">
        <v>15</v>
      </c>
      <c r="B218" s="9" t="s">
        <v>622</v>
      </c>
      <c r="C218" s="9" t="s">
        <v>396</v>
      </c>
      <c r="D218" s="9" t="s">
        <v>630</v>
      </c>
      <c r="E218" s="9" t="s">
        <v>72</v>
      </c>
      <c r="F218" s="9" t="n">
        <v>40</v>
      </c>
      <c r="G218" s="9" t="s">
        <v>74</v>
      </c>
      <c r="H218" s="14" t="n">
        <f aca="false">IFERROR(F218*VLOOKUP(E218,Insumos!$A:$G,7,FALSE()),0)</f>
        <v>1.08</v>
      </c>
      <c r="I218" s="15"/>
    </row>
    <row r="219" customFormat="false" ht="15" hidden="false" customHeight="false" outlineLevel="0" collapsed="false">
      <c r="A219" s="9" t="n">
        <v>15</v>
      </c>
      <c r="B219" s="9" t="s">
        <v>622</v>
      </c>
      <c r="C219" s="9" t="s">
        <v>631</v>
      </c>
      <c r="D219" s="9" t="s">
        <v>632</v>
      </c>
      <c r="E219" s="9" t="s">
        <v>295</v>
      </c>
      <c r="F219" s="9" t="n">
        <v>3</v>
      </c>
      <c r="G219" s="9" t="s">
        <v>61</v>
      </c>
      <c r="H219" s="14" t="n">
        <f aca="false">IFERROR(F219*VLOOKUP(E219,Insumos!$A:$G,7,FALSE()),0)</f>
        <v>4.95</v>
      </c>
      <c r="I219" s="16" t="s">
        <v>633</v>
      </c>
    </row>
    <row r="220" customFormat="false" ht="15" hidden="false" customHeight="false" outlineLevel="0" collapsed="false">
      <c r="A220" s="9" t="n">
        <v>15</v>
      </c>
      <c r="B220" s="9" t="s">
        <v>622</v>
      </c>
      <c r="C220" s="9" t="s">
        <v>631</v>
      </c>
      <c r="D220" s="9" t="s">
        <v>634</v>
      </c>
      <c r="E220" s="9" t="s">
        <v>126</v>
      </c>
      <c r="F220" s="9" t="n">
        <v>40</v>
      </c>
      <c r="G220" s="9" t="s">
        <v>61</v>
      </c>
      <c r="H220" s="14" t="n">
        <f aca="false">IFERROR(F220*VLOOKUP(E220,Insumos!$A:$G,7,FALSE()),0)</f>
        <v>1.12</v>
      </c>
      <c r="I220" s="15"/>
    </row>
    <row r="221" customFormat="false" ht="15" hidden="false" customHeight="false" outlineLevel="0" collapsed="false">
      <c r="A221" s="9" t="n">
        <v>15</v>
      </c>
      <c r="B221" s="9" t="s">
        <v>622</v>
      </c>
      <c r="C221" s="9" t="s">
        <v>635</v>
      </c>
      <c r="D221" s="9" t="s">
        <v>636</v>
      </c>
      <c r="E221" s="9" t="s">
        <v>131</v>
      </c>
      <c r="F221" s="9" t="n">
        <v>80</v>
      </c>
      <c r="G221" s="9" t="s">
        <v>61</v>
      </c>
      <c r="H221" s="14" t="n">
        <f aca="false">IFERROR(F221*VLOOKUP(E221,Insumos!$A:$G,7,FALSE()),0)</f>
        <v>3.36</v>
      </c>
      <c r="I221" s="15"/>
    </row>
    <row r="222" customFormat="false" ht="15" hidden="false" customHeight="false" outlineLevel="0" collapsed="false">
      <c r="A222" s="9" t="n">
        <v>15</v>
      </c>
      <c r="B222" s="9" t="s">
        <v>622</v>
      </c>
      <c r="C222" s="9" t="s">
        <v>635</v>
      </c>
      <c r="D222" s="9" t="s">
        <v>637</v>
      </c>
      <c r="E222" s="9" t="s">
        <v>305</v>
      </c>
      <c r="F222" s="9" t="n">
        <v>2</v>
      </c>
      <c r="G222" s="9" t="s">
        <v>61</v>
      </c>
      <c r="H222" s="14" t="n">
        <f aca="false">IFERROR(F222*VLOOKUP(E222,Insumos!$A:$G,7,FALSE()),0)</f>
        <v>5.8</v>
      </c>
      <c r="I222" s="16" t="s">
        <v>638</v>
      </c>
    </row>
    <row r="223" customFormat="false" ht="15" hidden="false" customHeight="false" outlineLevel="0" collapsed="false">
      <c r="A223" s="9" t="n">
        <v>16</v>
      </c>
      <c r="B223" s="9" t="s">
        <v>639</v>
      </c>
      <c r="C223" s="9" t="s">
        <v>640</v>
      </c>
      <c r="D223" s="9" t="s">
        <v>641</v>
      </c>
      <c r="E223" s="9" t="s">
        <v>303</v>
      </c>
      <c r="F223" s="9" t="n">
        <v>25</v>
      </c>
      <c r="G223" s="9" t="s">
        <v>61</v>
      </c>
      <c r="H223" s="14" t="n">
        <f aca="false">IFERROR(F223*VLOOKUP(E223,Insumos!$A:$G,7,FALSE()),0)</f>
        <v>9.5</v>
      </c>
      <c r="I223" s="15"/>
    </row>
    <row r="224" customFormat="false" ht="15" hidden="false" customHeight="false" outlineLevel="0" collapsed="false">
      <c r="A224" s="9" t="n">
        <v>16</v>
      </c>
      <c r="B224" s="9" t="s">
        <v>639</v>
      </c>
      <c r="C224" s="9" t="s">
        <v>640</v>
      </c>
      <c r="D224" s="9" t="s">
        <v>642</v>
      </c>
      <c r="E224" s="9" t="s">
        <v>101</v>
      </c>
      <c r="F224" s="9" t="n">
        <v>40</v>
      </c>
      <c r="G224" s="9" t="s">
        <v>74</v>
      </c>
      <c r="H224" s="14" t="n">
        <f aca="false">IFERROR(F224*VLOOKUP(E224,Insumos!$A:$G,7,FALSE()),0)</f>
        <v>1.68</v>
      </c>
      <c r="I224" s="15"/>
    </row>
    <row r="225" customFormat="false" ht="15" hidden="false" customHeight="false" outlineLevel="0" collapsed="false">
      <c r="A225" s="9" t="n">
        <v>16</v>
      </c>
      <c r="B225" s="9" t="s">
        <v>639</v>
      </c>
      <c r="C225" s="9" t="s">
        <v>396</v>
      </c>
      <c r="D225" s="9" t="s">
        <v>643</v>
      </c>
      <c r="E225" s="9" t="s">
        <v>58</v>
      </c>
      <c r="F225" s="9" t="n">
        <v>160</v>
      </c>
      <c r="G225" s="9" t="s">
        <v>61</v>
      </c>
      <c r="H225" s="14" t="n">
        <f aca="false">IFERROR(F225*VLOOKUP(E225,Insumos!$A:$G,7,FALSE()),0)</f>
        <v>39.2</v>
      </c>
      <c r="I225" s="15"/>
    </row>
    <row r="226" customFormat="false" ht="15" hidden="false" customHeight="false" outlineLevel="0" collapsed="false">
      <c r="A226" s="9" t="n">
        <v>16</v>
      </c>
      <c r="B226" s="9" t="s">
        <v>639</v>
      </c>
      <c r="C226" s="9" t="s">
        <v>396</v>
      </c>
      <c r="D226" s="9" t="s">
        <v>504</v>
      </c>
      <c r="E226" s="9" t="s">
        <v>126</v>
      </c>
      <c r="F226" s="9" t="n">
        <v>200</v>
      </c>
      <c r="G226" s="9" t="s">
        <v>61</v>
      </c>
      <c r="H226" s="14" t="n">
        <f aca="false">IFERROR(F226*VLOOKUP(E226,Insumos!$A:$G,7,FALSE()),0)</f>
        <v>5.6</v>
      </c>
      <c r="I226" s="15"/>
    </row>
    <row r="227" customFormat="false" ht="15" hidden="false" customHeight="false" outlineLevel="0" collapsed="false">
      <c r="A227" s="9" t="n">
        <v>16</v>
      </c>
      <c r="B227" s="9" t="s">
        <v>639</v>
      </c>
      <c r="C227" s="9" t="s">
        <v>396</v>
      </c>
      <c r="D227" s="9" t="s">
        <v>644</v>
      </c>
      <c r="E227" s="9" t="s">
        <v>222</v>
      </c>
      <c r="F227" s="9" t="n">
        <v>55</v>
      </c>
      <c r="G227" s="9" t="s">
        <v>61</v>
      </c>
      <c r="H227" s="14" t="n">
        <f aca="false">IFERROR(F227*VLOOKUP(E227,Insumos!$A:$G,7,FALSE()),0)</f>
        <v>3.19</v>
      </c>
      <c r="I227" s="16" t="s">
        <v>645</v>
      </c>
    </row>
    <row r="228" customFormat="false" ht="15" hidden="false" customHeight="false" outlineLevel="0" collapsed="false">
      <c r="A228" s="9" t="n">
        <v>16</v>
      </c>
      <c r="B228" s="9" t="s">
        <v>639</v>
      </c>
      <c r="C228" s="9" t="s">
        <v>396</v>
      </c>
      <c r="D228" s="9" t="s">
        <v>646</v>
      </c>
      <c r="E228" s="9" t="s">
        <v>66</v>
      </c>
      <c r="F228" s="9" t="n">
        <v>200</v>
      </c>
      <c r="G228" s="9" t="s">
        <v>61</v>
      </c>
      <c r="H228" s="14" t="n">
        <f aca="false">IFERROR(F228*VLOOKUP(E228,Insumos!$A:$G,7,FALSE()),0)</f>
        <v>12.4</v>
      </c>
      <c r="I228" s="15"/>
    </row>
    <row r="229" customFormat="false" ht="15" hidden="false" customHeight="false" outlineLevel="0" collapsed="false">
      <c r="A229" s="9" t="n">
        <v>16</v>
      </c>
      <c r="B229" s="9" t="s">
        <v>639</v>
      </c>
      <c r="C229" s="9" t="s">
        <v>396</v>
      </c>
      <c r="D229" s="9" t="s">
        <v>495</v>
      </c>
      <c r="E229" s="9" t="s">
        <v>107</v>
      </c>
      <c r="F229" s="9" t="n">
        <v>220</v>
      </c>
      <c r="G229" s="9" t="s">
        <v>61</v>
      </c>
      <c r="H229" s="14" t="n">
        <f aca="false">IFERROR(F229*VLOOKUP(E229,Insumos!$A:$G,7,FALSE()),0)</f>
        <v>5.72</v>
      </c>
      <c r="I229" s="15"/>
    </row>
    <row r="230" customFormat="false" ht="15" hidden="false" customHeight="false" outlineLevel="0" collapsed="false">
      <c r="A230" s="9" t="n">
        <v>16</v>
      </c>
      <c r="B230" s="9" t="s">
        <v>639</v>
      </c>
      <c r="C230" s="9" t="s">
        <v>396</v>
      </c>
      <c r="D230" s="9" t="s">
        <v>647</v>
      </c>
      <c r="E230" s="9" t="s">
        <v>172</v>
      </c>
      <c r="F230" s="9" t="n">
        <v>20</v>
      </c>
      <c r="G230" s="9" t="s">
        <v>61</v>
      </c>
      <c r="H230" s="14" t="n">
        <f aca="false">IFERROR(F230*VLOOKUP(E230,Insumos!$A:$G,7,FALSE()),0)</f>
        <v>8.5</v>
      </c>
      <c r="I230" s="15"/>
    </row>
    <row r="231" customFormat="false" ht="15" hidden="false" customHeight="false" outlineLevel="0" collapsed="false">
      <c r="A231" s="9" t="n">
        <v>16</v>
      </c>
      <c r="B231" s="9" t="s">
        <v>639</v>
      </c>
      <c r="C231" s="9" t="s">
        <v>396</v>
      </c>
      <c r="D231" s="9" t="s">
        <v>423</v>
      </c>
      <c r="E231" s="9" t="s">
        <v>114</v>
      </c>
      <c r="F231" s="9" t="n">
        <v>5</v>
      </c>
      <c r="G231" s="9" t="s">
        <v>61</v>
      </c>
      <c r="H231" s="14" t="n">
        <f aca="false">IFERROR(F231*VLOOKUP(E231,Insumos!$A:$G,7,FALSE()),0)</f>
        <v>0.68</v>
      </c>
      <c r="I231" s="15"/>
    </row>
    <row r="232" customFormat="false" ht="15" hidden="false" customHeight="false" outlineLevel="0" collapsed="false">
      <c r="A232" s="9" t="n">
        <v>16</v>
      </c>
      <c r="B232" s="9" t="s">
        <v>639</v>
      </c>
      <c r="C232" s="9" t="s">
        <v>396</v>
      </c>
      <c r="D232" s="9" t="s">
        <v>461</v>
      </c>
      <c r="E232" s="9" t="s">
        <v>118</v>
      </c>
      <c r="F232" s="9" t="n">
        <v>2</v>
      </c>
      <c r="G232" s="9" t="s">
        <v>61</v>
      </c>
      <c r="H232" s="14" t="n">
        <f aca="false">IFERROR(F232*VLOOKUP(E232,Insumos!$A:$G,7,FALSE()),0)</f>
        <v>0.032</v>
      </c>
      <c r="I232" s="15"/>
    </row>
    <row r="233" customFormat="false" ht="15" hidden="false" customHeight="false" outlineLevel="0" collapsed="false">
      <c r="A233" s="9" t="n">
        <v>16</v>
      </c>
      <c r="B233" s="9" t="s">
        <v>639</v>
      </c>
      <c r="C233" s="9" t="s">
        <v>396</v>
      </c>
      <c r="D233" s="9" t="s">
        <v>648</v>
      </c>
      <c r="E233" s="9" t="s">
        <v>222</v>
      </c>
      <c r="F233" s="9" t="n">
        <v>30</v>
      </c>
      <c r="G233" s="9" t="s">
        <v>74</v>
      </c>
      <c r="H233" s="14" t="n">
        <f aca="false">IFERROR(F233*VLOOKUP(E233,Insumos!$A:$G,7,FALSE()),0)</f>
        <v>1.74</v>
      </c>
      <c r="I233" s="15"/>
    </row>
    <row r="234" customFormat="false" ht="15" hidden="false" customHeight="false" outlineLevel="0" collapsed="false">
      <c r="A234" s="9" t="n">
        <v>16</v>
      </c>
      <c r="B234" s="9" t="s">
        <v>639</v>
      </c>
      <c r="C234" s="9" t="s">
        <v>405</v>
      </c>
      <c r="D234" s="9" t="s">
        <v>649</v>
      </c>
      <c r="E234" s="9" t="s">
        <v>222</v>
      </c>
      <c r="F234" s="9" t="n">
        <v>50</v>
      </c>
      <c r="G234" s="9" t="s">
        <v>74</v>
      </c>
      <c r="H234" s="14" t="n">
        <f aca="false">IFERROR(F234*VLOOKUP(E234,Insumos!$A:$G,7,FALSE()),0)</f>
        <v>2.9</v>
      </c>
      <c r="I234" s="15"/>
    </row>
    <row r="235" customFormat="false" ht="15" hidden="false" customHeight="false" outlineLevel="0" collapsed="false">
      <c r="A235" s="9" t="n">
        <v>16</v>
      </c>
      <c r="B235" s="9" t="s">
        <v>639</v>
      </c>
      <c r="C235" s="9" t="s">
        <v>405</v>
      </c>
      <c r="D235" s="9" t="s">
        <v>650</v>
      </c>
      <c r="E235" s="9" t="s">
        <v>126</v>
      </c>
      <c r="F235" s="9" t="n">
        <v>35</v>
      </c>
      <c r="G235" s="9" t="s">
        <v>61</v>
      </c>
      <c r="H235" s="14" t="n">
        <f aca="false">IFERROR(F235*VLOOKUP(E235,Insumos!$A:$G,7,FALSE()),0)</f>
        <v>0.98</v>
      </c>
      <c r="I235" s="15"/>
    </row>
    <row r="236" customFormat="false" ht="15" hidden="false" customHeight="false" outlineLevel="0" collapsed="false">
      <c r="A236" s="9" t="n">
        <v>16</v>
      </c>
      <c r="B236" s="9" t="s">
        <v>639</v>
      </c>
      <c r="C236" s="9" t="s">
        <v>405</v>
      </c>
      <c r="D236" s="9" t="s">
        <v>651</v>
      </c>
      <c r="E236" s="9" t="s">
        <v>303</v>
      </c>
      <c r="F236" s="9" t="n">
        <v>2</v>
      </c>
      <c r="G236" s="9" t="s">
        <v>61</v>
      </c>
      <c r="H236" s="14" t="n">
        <f aca="false">IFERROR(F236*VLOOKUP(E236,Insumos!$A:$G,7,FALSE()),0)</f>
        <v>0.76</v>
      </c>
      <c r="I236" s="16" t="s">
        <v>611</v>
      </c>
    </row>
    <row r="237" customFormat="false" ht="15" hidden="false" customHeight="false" outlineLevel="0" collapsed="false">
      <c r="A237" s="9" t="n">
        <v>16</v>
      </c>
      <c r="B237" s="9" t="s">
        <v>639</v>
      </c>
      <c r="C237" s="9" t="s">
        <v>652</v>
      </c>
      <c r="D237" s="9" t="s">
        <v>653</v>
      </c>
      <c r="E237" s="9" t="s">
        <v>131</v>
      </c>
      <c r="F237" s="9" t="n">
        <v>90</v>
      </c>
      <c r="G237" s="9" t="s">
        <v>61</v>
      </c>
      <c r="H237" s="14" t="n">
        <f aca="false">IFERROR(F237*VLOOKUP(E237,Insumos!$A:$G,7,FALSE()),0)</f>
        <v>3.78</v>
      </c>
      <c r="I237" s="15"/>
    </row>
    <row r="238" customFormat="false" ht="15" hidden="false" customHeight="false" outlineLevel="0" collapsed="false">
      <c r="A238" s="9" t="n">
        <v>16</v>
      </c>
      <c r="B238" s="9" t="s">
        <v>639</v>
      </c>
      <c r="C238" s="9" t="s">
        <v>652</v>
      </c>
      <c r="D238" s="9" t="s">
        <v>654</v>
      </c>
      <c r="E238" s="9" t="s">
        <v>222</v>
      </c>
      <c r="F238" s="9" t="n">
        <v>18</v>
      </c>
      <c r="G238" s="9" t="s">
        <v>74</v>
      </c>
      <c r="H238" s="14" t="n">
        <f aca="false">IFERROR(F238*VLOOKUP(E238,Insumos!$A:$G,7,FALSE()),0)</f>
        <v>1.044</v>
      </c>
      <c r="I238" s="15"/>
    </row>
    <row r="239" customFormat="false" ht="15" hidden="false" customHeight="false" outlineLevel="0" collapsed="false">
      <c r="A239" s="9" t="n">
        <v>17</v>
      </c>
      <c r="B239" s="9" t="s">
        <v>655</v>
      </c>
      <c r="C239" s="9" t="s">
        <v>656</v>
      </c>
      <c r="D239" s="9" t="s">
        <v>657</v>
      </c>
      <c r="E239" s="9" t="s">
        <v>58</v>
      </c>
      <c r="F239" s="9" t="n">
        <v>35</v>
      </c>
      <c r="G239" s="9" t="s">
        <v>61</v>
      </c>
      <c r="H239" s="14" t="n">
        <f aca="false">IFERROR(F239*VLOOKUP(E239,Insumos!$A:$G,7,FALSE()),0)</f>
        <v>8.575</v>
      </c>
      <c r="I239" s="15"/>
    </row>
    <row r="240" customFormat="false" ht="15" hidden="false" customHeight="false" outlineLevel="0" collapsed="false">
      <c r="A240" s="9" t="n">
        <v>17</v>
      </c>
      <c r="B240" s="9" t="s">
        <v>655</v>
      </c>
      <c r="C240" s="9" t="s">
        <v>656</v>
      </c>
      <c r="D240" s="9" t="s">
        <v>650</v>
      </c>
      <c r="E240" s="9" t="s">
        <v>126</v>
      </c>
      <c r="F240" s="9" t="n">
        <v>35</v>
      </c>
      <c r="G240" s="9" t="s">
        <v>61</v>
      </c>
      <c r="H240" s="14" t="n">
        <f aca="false">IFERROR(F240*VLOOKUP(E240,Insumos!$A:$G,7,FALSE()),0)</f>
        <v>0.98</v>
      </c>
      <c r="I240" s="15"/>
    </row>
    <row r="241" customFormat="false" ht="15" hidden="false" customHeight="false" outlineLevel="0" collapsed="false">
      <c r="A241" s="9" t="n">
        <v>17</v>
      </c>
      <c r="B241" s="9" t="s">
        <v>655</v>
      </c>
      <c r="C241" s="9" t="s">
        <v>656</v>
      </c>
      <c r="D241" s="9" t="s">
        <v>658</v>
      </c>
      <c r="E241" s="9" t="s">
        <v>107</v>
      </c>
      <c r="F241" s="9" t="n">
        <v>35</v>
      </c>
      <c r="G241" s="9" t="s">
        <v>61</v>
      </c>
      <c r="H241" s="14" t="n">
        <f aca="false">IFERROR(F241*VLOOKUP(E241,Insumos!$A:$G,7,FALSE()),0)</f>
        <v>0.91</v>
      </c>
      <c r="I241" s="15"/>
    </row>
    <row r="242" customFormat="false" ht="15" hidden="false" customHeight="false" outlineLevel="0" collapsed="false">
      <c r="A242" s="9" t="n">
        <v>17</v>
      </c>
      <c r="B242" s="9" t="s">
        <v>655</v>
      </c>
      <c r="C242" s="9" t="s">
        <v>656</v>
      </c>
      <c r="D242" s="9" t="s">
        <v>659</v>
      </c>
      <c r="E242" s="9" t="s">
        <v>172</v>
      </c>
      <c r="F242" s="9" t="n">
        <v>20</v>
      </c>
      <c r="G242" s="9" t="s">
        <v>61</v>
      </c>
      <c r="H242" s="14" t="n">
        <f aca="false">IFERROR(F242*VLOOKUP(E242,Insumos!$A:$G,7,FALSE()),0)</f>
        <v>8.5</v>
      </c>
      <c r="I242" s="15"/>
    </row>
    <row r="243" customFormat="false" ht="15" hidden="false" customHeight="false" outlineLevel="0" collapsed="false">
      <c r="A243" s="9" t="n">
        <v>17</v>
      </c>
      <c r="B243" s="9" t="s">
        <v>655</v>
      </c>
      <c r="C243" s="9" t="s">
        <v>656</v>
      </c>
      <c r="D243" s="9" t="s">
        <v>660</v>
      </c>
      <c r="E243" s="9" t="s">
        <v>293</v>
      </c>
      <c r="F243" s="9" t="n">
        <v>3</v>
      </c>
      <c r="G243" s="9" t="s">
        <v>61</v>
      </c>
      <c r="H243" s="14" t="n">
        <f aca="false">IFERROR(F243*VLOOKUP(E243,Insumos!$A:$G,7,FALSE()),0)</f>
        <v>14.4</v>
      </c>
      <c r="I243" s="15"/>
    </row>
    <row r="244" customFormat="false" ht="15" hidden="false" customHeight="false" outlineLevel="0" collapsed="false">
      <c r="A244" s="9" t="n">
        <v>17</v>
      </c>
      <c r="B244" s="9" t="s">
        <v>655</v>
      </c>
      <c r="C244" s="9" t="s">
        <v>396</v>
      </c>
      <c r="D244" s="9" t="s">
        <v>454</v>
      </c>
      <c r="E244" s="9" t="s">
        <v>58</v>
      </c>
      <c r="F244" s="9" t="n">
        <v>180</v>
      </c>
      <c r="G244" s="9" t="s">
        <v>61</v>
      </c>
      <c r="H244" s="14" t="n">
        <f aca="false">IFERROR(F244*VLOOKUP(E244,Insumos!$A:$G,7,FALSE()),0)</f>
        <v>44.1</v>
      </c>
      <c r="I244" s="15"/>
    </row>
    <row r="245" customFormat="false" ht="15" hidden="false" customHeight="false" outlineLevel="0" collapsed="false">
      <c r="A245" s="9" t="n">
        <v>17</v>
      </c>
      <c r="B245" s="9" t="s">
        <v>655</v>
      </c>
      <c r="C245" s="9" t="s">
        <v>396</v>
      </c>
      <c r="D245" s="9" t="s">
        <v>661</v>
      </c>
      <c r="E245" s="9" t="s">
        <v>129</v>
      </c>
      <c r="F245" s="9" t="n">
        <v>190</v>
      </c>
      <c r="G245" s="9" t="s">
        <v>61</v>
      </c>
      <c r="H245" s="14" t="n">
        <f aca="false">IFERROR(F245*VLOOKUP(E245,Insumos!$A:$G,7,FALSE()),0)</f>
        <v>6.46</v>
      </c>
      <c r="I245" s="15"/>
    </row>
    <row r="246" customFormat="false" ht="15" hidden="false" customHeight="false" outlineLevel="0" collapsed="false">
      <c r="A246" s="9" t="n">
        <v>17</v>
      </c>
      <c r="B246" s="9" t="s">
        <v>655</v>
      </c>
      <c r="C246" s="9" t="s">
        <v>396</v>
      </c>
      <c r="D246" s="9" t="s">
        <v>662</v>
      </c>
      <c r="E246" s="9" t="s">
        <v>293</v>
      </c>
      <c r="F246" s="9" t="n">
        <v>10</v>
      </c>
      <c r="G246" s="9" t="s">
        <v>61</v>
      </c>
      <c r="H246" s="14" t="n">
        <f aca="false">IFERROR(F246*VLOOKUP(E246,Insumos!$A:$G,7,FALSE()),0)</f>
        <v>48</v>
      </c>
      <c r="I246" s="15"/>
    </row>
    <row r="247" customFormat="false" ht="15" hidden="false" customHeight="false" outlineLevel="0" collapsed="false">
      <c r="A247" s="9" t="n">
        <v>17</v>
      </c>
      <c r="B247" s="9" t="s">
        <v>655</v>
      </c>
      <c r="C247" s="9" t="s">
        <v>396</v>
      </c>
      <c r="D247" s="9" t="s">
        <v>505</v>
      </c>
      <c r="E247" s="9" t="s">
        <v>66</v>
      </c>
      <c r="F247" s="9" t="n">
        <v>200</v>
      </c>
      <c r="G247" s="9" t="s">
        <v>61</v>
      </c>
      <c r="H247" s="14" t="n">
        <f aca="false">IFERROR(F247*VLOOKUP(E247,Insumos!$A:$G,7,FALSE()),0)</f>
        <v>12.4</v>
      </c>
      <c r="I247" s="15"/>
    </row>
    <row r="248" customFormat="false" ht="15" hidden="false" customHeight="false" outlineLevel="0" collapsed="false">
      <c r="A248" s="9" t="n">
        <v>17</v>
      </c>
      <c r="B248" s="9" t="s">
        <v>655</v>
      </c>
      <c r="C248" s="9" t="s">
        <v>396</v>
      </c>
      <c r="D248" s="9" t="s">
        <v>612</v>
      </c>
      <c r="E248" s="9" t="s">
        <v>107</v>
      </c>
      <c r="F248" s="9" t="n">
        <v>210</v>
      </c>
      <c r="G248" s="9" t="s">
        <v>61</v>
      </c>
      <c r="H248" s="14" t="n">
        <f aca="false">IFERROR(F248*VLOOKUP(E248,Insumos!$A:$G,7,FALSE()),0)</f>
        <v>5.46</v>
      </c>
      <c r="I248" s="15"/>
    </row>
    <row r="249" customFormat="false" ht="15" hidden="false" customHeight="false" outlineLevel="0" collapsed="false">
      <c r="A249" s="9" t="n">
        <v>17</v>
      </c>
      <c r="B249" s="9" t="s">
        <v>655</v>
      </c>
      <c r="C249" s="9" t="s">
        <v>396</v>
      </c>
      <c r="D249" s="9" t="s">
        <v>423</v>
      </c>
      <c r="E249" s="9" t="s">
        <v>114</v>
      </c>
      <c r="F249" s="9" t="n">
        <v>5</v>
      </c>
      <c r="G249" s="9" t="s">
        <v>61</v>
      </c>
      <c r="H249" s="14" t="n">
        <f aca="false">IFERROR(F249*VLOOKUP(E249,Insumos!$A:$G,7,FALSE()),0)</f>
        <v>0.68</v>
      </c>
      <c r="I249" s="15"/>
    </row>
    <row r="250" customFormat="false" ht="15" hidden="false" customHeight="false" outlineLevel="0" collapsed="false">
      <c r="A250" s="9" t="n">
        <v>17</v>
      </c>
      <c r="B250" s="9" t="s">
        <v>655</v>
      </c>
      <c r="C250" s="9" t="s">
        <v>396</v>
      </c>
      <c r="D250" s="9" t="s">
        <v>461</v>
      </c>
      <c r="E250" s="9" t="s">
        <v>118</v>
      </c>
      <c r="F250" s="9" t="n">
        <v>2</v>
      </c>
      <c r="G250" s="9" t="s">
        <v>61</v>
      </c>
      <c r="H250" s="14" t="n">
        <f aca="false">IFERROR(F250*VLOOKUP(E250,Insumos!$A:$G,7,FALSE()),0)</f>
        <v>0.032</v>
      </c>
      <c r="I250" s="15"/>
    </row>
    <row r="251" customFormat="false" ht="15" hidden="false" customHeight="false" outlineLevel="0" collapsed="false">
      <c r="A251" s="9" t="n">
        <v>17</v>
      </c>
      <c r="B251" s="9" t="s">
        <v>655</v>
      </c>
      <c r="C251" s="9" t="s">
        <v>396</v>
      </c>
      <c r="D251" s="9" t="s">
        <v>663</v>
      </c>
      <c r="E251" s="9" t="s">
        <v>230</v>
      </c>
      <c r="F251" s="9" t="n">
        <v>40</v>
      </c>
      <c r="G251" s="9" t="s">
        <v>74</v>
      </c>
      <c r="H251" s="14" t="n">
        <f aca="false">IFERROR(F251*VLOOKUP(E251,Insumos!$A:$G,7,FALSE()),0)</f>
        <v>61.6</v>
      </c>
      <c r="I251" s="15"/>
    </row>
    <row r="252" customFormat="false" ht="15" hidden="false" customHeight="false" outlineLevel="0" collapsed="false">
      <c r="A252" s="9" t="n">
        <v>17</v>
      </c>
      <c r="B252" s="9" t="s">
        <v>655</v>
      </c>
      <c r="C252" s="9" t="s">
        <v>396</v>
      </c>
      <c r="D252" s="9" t="s">
        <v>664</v>
      </c>
      <c r="E252" s="9" t="s">
        <v>75</v>
      </c>
      <c r="F252" s="9" t="n">
        <v>30</v>
      </c>
      <c r="G252" s="9" t="s">
        <v>74</v>
      </c>
      <c r="H252" s="14" t="n">
        <f aca="false">IFERROR(F252*VLOOKUP(E252,Insumos!$A:$G,7,FALSE()),0)</f>
        <v>3.54</v>
      </c>
      <c r="I252" s="15"/>
    </row>
    <row r="253" customFormat="false" ht="15" hidden="false" customHeight="false" outlineLevel="0" collapsed="false">
      <c r="A253" s="9" t="n">
        <v>17</v>
      </c>
      <c r="B253" s="9" t="s">
        <v>655</v>
      </c>
      <c r="C253" s="9" t="s">
        <v>665</v>
      </c>
      <c r="D253" s="9" t="s">
        <v>666</v>
      </c>
      <c r="E253" s="9" t="s">
        <v>230</v>
      </c>
      <c r="F253" s="9" t="n">
        <v>40</v>
      </c>
      <c r="G253" s="9" t="s">
        <v>74</v>
      </c>
      <c r="H253" s="14" t="n">
        <f aca="false">IFERROR(F253*VLOOKUP(E253,Insumos!$A:$G,7,FALSE()),0)</f>
        <v>61.6</v>
      </c>
      <c r="I253" s="15"/>
    </row>
    <row r="254" customFormat="false" ht="15" hidden="false" customHeight="false" outlineLevel="0" collapsed="false">
      <c r="A254" s="9" t="n">
        <v>17</v>
      </c>
      <c r="B254" s="9" t="s">
        <v>655</v>
      </c>
      <c r="C254" s="9" t="s">
        <v>665</v>
      </c>
      <c r="D254" s="9" t="s">
        <v>667</v>
      </c>
      <c r="E254" s="9" t="s">
        <v>126</v>
      </c>
      <c r="F254" s="9" t="n">
        <v>30</v>
      </c>
      <c r="G254" s="9" t="s">
        <v>61</v>
      </c>
      <c r="H254" s="14" t="n">
        <f aca="false">IFERROR(F254*VLOOKUP(E254,Insumos!$A:$G,7,FALSE()),0)</f>
        <v>0.84</v>
      </c>
      <c r="I254" s="15"/>
    </row>
    <row r="255" customFormat="false" ht="15" hidden="false" customHeight="false" outlineLevel="0" collapsed="false">
      <c r="A255" s="9" t="n">
        <v>17</v>
      </c>
      <c r="B255" s="9" t="s">
        <v>655</v>
      </c>
      <c r="C255" s="9" t="s">
        <v>665</v>
      </c>
      <c r="D255" s="9" t="s">
        <v>668</v>
      </c>
      <c r="E255" s="9" t="s">
        <v>151</v>
      </c>
      <c r="F255" s="9" t="n">
        <v>20</v>
      </c>
      <c r="G255" s="9" t="s">
        <v>74</v>
      </c>
      <c r="H255" s="14" t="n">
        <f aca="false">IFERROR(F255*VLOOKUP(E255,Insumos!$A:$G,7,FALSE()),0)</f>
        <v>0.045</v>
      </c>
      <c r="I255" s="15"/>
    </row>
    <row r="256" customFormat="false" ht="15" hidden="false" customHeight="false" outlineLevel="0" collapsed="false">
      <c r="A256" s="9" t="n">
        <v>18</v>
      </c>
      <c r="B256" s="9" t="s">
        <v>669</v>
      </c>
      <c r="C256" s="9" t="s">
        <v>670</v>
      </c>
      <c r="D256" s="9" t="s">
        <v>671</v>
      </c>
      <c r="E256" s="9" t="s">
        <v>266</v>
      </c>
      <c r="F256" s="9" t="n">
        <v>150</v>
      </c>
      <c r="G256" s="9" t="s">
        <v>61</v>
      </c>
      <c r="H256" s="14" t="n">
        <f aca="false">IFERROR(F256*VLOOKUP(E256,Insumos!$A:$G,7,FALSE()),0)</f>
        <v>43.5</v>
      </c>
      <c r="I256" s="15"/>
    </row>
    <row r="257" customFormat="false" ht="15" hidden="false" customHeight="false" outlineLevel="0" collapsed="false">
      <c r="A257" s="9" t="n">
        <v>18</v>
      </c>
      <c r="B257" s="9" t="s">
        <v>669</v>
      </c>
      <c r="C257" s="9" t="s">
        <v>670</v>
      </c>
      <c r="D257" s="9" t="s">
        <v>672</v>
      </c>
      <c r="E257" s="9" t="s">
        <v>112</v>
      </c>
      <c r="F257" s="9" t="n">
        <v>12</v>
      </c>
      <c r="G257" s="9" t="s">
        <v>61</v>
      </c>
      <c r="H257" s="14" t="n">
        <f aca="false">IFERROR(F257*VLOOKUP(E257,Insumos!$A:$G,7,FALSE()),0)</f>
        <v>0.768</v>
      </c>
      <c r="I257" s="15"/>
    </row>
    <row r="258" customFormat="false" ht="15" hidden="false" customHeight="false" outlineLevel="0" collapsed="false">
      <c r="A258" s="9" t="n">
        <v>18</v>
      </c>
      <c r="B258" s="9" t="s">
        <v>669</v>
      </c>
      <c r="C258" s="9" t="s">
        <v>396</v>
      </c>
      <c r="D258" s="9" t="s">
        <v>454</v>
      </c>
      <c r="E258" s="9" t="s">
        <v>58</v>
      </c>
      <c r="F258" s="9" t="n">
        <v>180</v>
      </c>
      <c r="G258" s="9" t="s">
        <v>61</v>
      </c>
      <c r="H258" s="14" t="n">
        <f aca="false">IFERROR(F258*VLOOKUP(E258,Insumos!$A:$G,7,FALSE()),0)</f>
        <v>44.1</v>
      </c>
      <c r="I258" s="15"/>
    </row>
    <row r="259" customFormat="false" ht="15" hidden="false" customHeight="false" outlineLevel="0" collapsed="false">
      <c r="A259" s="9" t="n">
        <v>18</v>
      </c>
      <c r="B259" s="9" t="s">
        <v>669</v>
      </c>
      <c r="C259" s="9" t="s">
        <v>396</v>
      </c>
      <c r="D259" s="9" t="s">
        <v>504</v>
      </c>
      <c r="E259" s="9" t="s">
        <v>126</v>
      </c>
      <c r="F259" s="9" t="n">
        <v>200</v>
      </c>
      <c r="G259" s="9" t="s">
        <v>61</v>
      </c>
      <c r="H259" s="14" t="n">
        <f aca="false">IFERROR(F259*VLOOKUP(E259,Insumos!$A:$G,7,FALSE()),0)</f>
        <v>5.6</v>
      </c>
      <c r="I259" s="15"/>
    </row>
    <row r="260" customFormat="false" ht="15" hidden="false" customHeight="false" outlineLevel="0" collapsed="false">
      <c r="A260" s="9" t="n">
        <v>18</v>
      </c>
      <c r="B260" s="9" t="s">
        <v>669</v>
      </c>
      <c r="C260" s="9" t="s">
        <v>396</v>
      </c>
      <c r="D260" s="9" t="s">
        <v>673</v>
      </c>
      <c r="E260" s="9" t="s">
        <v>222</v>
      </c>
      <c r="F260" s="9" t="n">
        <v>82.5</v>
      </c>
      <c r="G260" s="9" t="s">
        <v>61</v>
      </c>
      <c r="H260" s="14" t="n">
        <f aca="false">IFERROR(F260*VLOOKUP(E260,Insumos!$A:$G,7,FALSE()),0)</f>
        <v>4.785</v>
      </c>
      <c r="I260" s="16" t="s">
        <v>549</v>
      </c>
    </row>
    <row r="261" customFormat="false" ht="15" hidden="false" customHeight="false" outlineLevel="0" collapsed="false">
      <c r="A261" s="9" t="n">
        <v>18</v>
      </c>
      <c r="B261" s="9" t="s">
        <v>669</v>
      </c>
      <c r="C261" s="9" t="s">
        <v>396</v>
      </c>
      <c r="D261" s="9" t="s">
        <v>420</v>
      </c>
      <c r="E261" s="9" t="s">
        <v>66</v>
      </c>
      <c r="F261" s="9" t="n">
        <v>200</v>
      </c>
      <c r="G261" s="9" t="s">
        <v>61</v>
      </c>
      <c r="H261" s="14" t="n">
        <f aca="false">IFERROR(F261*VLOOKUP(E261,Insumos!$A:$G,7,FALSE()),0)</f>
        <v>12.4</v>
      </c>
      <c r="I261" s="15"/>
    </row>
    <row r="262" customFormat="false" ht="15" hidden="false" customHeight="false" outlineLevel="0" collapsed="false">
      <c r="A262" s="9" t="n">
        <v>18</v>
      </c>
      <c r="B262" s="9" t="s">
        <v>669</v>
      </c>
      <c r="C262" s="9" t="s">
        <v>396</v>
      </c>
      <c r="D262" s="9" t="s">
        <v>495</v>
      </c>
      <c r="E262" s="9" t="s">
        <v>107</v>
      </c>
      <c r="F262" s="9" t="n">
        <v>220</v>
      </c>
      <c r="G262" s="9" t="s">
        <v>61</v>
      </c>
      <c r="H262" s="14" t="n">
        <f aca="false">IFERROR(F262*VLOOKUP(E262,Insumos!$A:$G,7,FALSE()),0)</f>
        <v>5.72</v>
      </c>
      <c r="I262" s="15"/>
    </row>
    <row r="263" customFormat="false" ht="15" hidden="false" customHeight="false" outlineLevel="0" collapsed="false">
      <c r="A263" s="9" t="n">
        <v>18</v>
      </c>
      <c r="B263" s="9" t="s">
        <v>669</v>
      </c>
      <c r="C263" s="9" t="s">
        <v>396</v>
      </c>
      <c r="D263" s="9" t="s">
        <v>674</v>
      </c>
      <c r="E263" s="9" t="s">
        <v>172</v>
      </c>
      <c r="F263" s="9" t="n">
        <v>20</v>
      </c>
      <c r="G263" s="9" t="s">
        <v>61</v>
      </c>
      <c r="H263" s="14" t="n">
        <f aca="false">IFERROR(F263*VLOOKUP(E263,Insumos!$A:$G,7,FALSE()),0)</f>
        <v>8.5</v>
      </c>
      <c r="I263" s="15"/>
    </row>
    <row r="264" customFormat="false" ht="15" hidden="false" customHeight="false" outlineLevel="0" collapsed="false">
      <c r="A264" s="9" t="n">
        <v>18</v>
      </c>
      <c r="B264" s="9" t="s">
        <v>669</v>
      </c>
      <c r="C264" s="9" t="s">
        <v>396</v>
      </c>
      <c r="D264" s="9" t="s">
        <v>423</v>
      </c>
      <c r="E264" s="9" t="s">
        <v>114</v>
      </c>
      <c r="F264" s="9" t="n">
        <v>5</v>
      </c>
      <c r="G264" s="9" t="s">
        <v>61</v>
      </c>
      <c r="H264" s="14" t="n">
        <f aca="false">IFERROR(F264*VLOOKUP(E264,Insumos!$A:$G,7,FALSE()),0)</f>
        <v>0.68</v>
      </c>
      <c r="I264" s="15"/>
    </row>
    <row r="265" customFormat="false" ht="15" hidden="false" customHeight="false" outlineLevel="0" collapsed="false">
      <c r="A265" s="9" t="n">
        <v>18</v>
      </c>
      <c r="B265" s="9" t="s">
        <v>669</v>
      </c>
      <c r="C265" s="9" t="s">
        <v>396</v>
      </c>
      <c r="D265" s="9" t="s">
        <v>461</v>
      </c>
      <c r="E265" s="9" t="s">
        <v>118</v>
      </c>
      <c r="F265" s="9" t="n">
        <v>2</v>
      </c>
      <c r="G265" s="9" t="s">
        <v>61</v>
      </c>
      <c r="H265" s="14" t="n">
        <f aca="false">IFERROR(F265*VLOOKUP(E265,Insumos!$A:$G,7,FALSE()),0)</f>
        <v>0.032</v>
      </c>
      <c r="I265" s="15"/>
    </row>
    <row r="266" customFormat="false" ht="15" hidden="false" customHeight="false" outlineLevel="0" collapsed="false">
      <c r="A266" s="9" t="n">
        <v>18</v>
      </c>
      <c r="B266" s="9" t="s">
        <v>669</v>
      </c>
      <c r="C266" s="9" t="s">
        <v>396</v>
      </c>
      <c r="D266" s="9" t="s">
        <v>675</v>
      </c>
      <c r="E266" s="9" t="s">
        <v>77</v>
      </c>
      <c r="F266" s="9" t="n">
        <v>40</v>
      </c>
      <c r="G266" s="9" t="s">
        <v>74</v>
      </c>
      <c r="H266" s="14" t="n">
        <f aca="false">IFERROR(F266*VLOOKUP(E266,Insumos!$A:$G,7,FALSE()),0)</f>
        <v>4.08888888888889</v>
      </c>
      <c r="I266" s="15"/>
    </row>
    <row r="267" customFormat="false" ht="15" hidden="false" customHeight="false" outlineLevel="0" collapsed="false">
      <c r="A267" s="9" t="n">
        <v>18</v>
      </c>
      <c r="B267" s="9" t="s">
        <v>669</v>
      </c>
      <c r="C267" s="9" t="s">
        <v>396</v>
      </c>
      <c r="D267" s="9" t="s">
        <v>676</v>
      </c>
      <c r="E267" s="9" t="s">
        <v>222</v>
      </c>
      <c r="F267" s="9" t="n">
        <v>20</v>
      </c>
      <c r="G267" s="9" t="s">
        <v>74</v>
      </c>
      <c r="H267" s="14" t="n">
        <f aca="false">IFERROR(F267*VLOOKUP(E267,Insumos!$A:$G,7,FALSE()),0)</f>
        <v>1.16</v>
      </c>
      <c r="I267" s="15"/>
    </row>
    <row r="268" customFormat="false" ht="15" hidden="false" customHeight="false" outlineLevel="0" collapsed="false">
      <c r="A268" s="9" t="n">
        <v>18</v>
      </c>
      <c r="B268" s="9" t="s">
        <v>669</v>
      </c>
      <c r="C268" s="9" t="s">
        <v>677</v>
      </c>
      <c r="D268" s="9" t="s">
        <v>678</v>
      </c>
      <c r="E268" s="9" t="s">
        <v>131</v>
      </c>
      <c r="F268" s="9" t="n">
        <v>30</v>
      </c>
      <c r="G268" s="9" t="s">
        <v>61</v>
      </c>
      <c r="H268" s="14" t="n">
        <f aca="false">IFERROR(F268*VLOOKUP(E268,Insumos!$A:$G,7,FALSE()),0)</f>
        <v>1.26</v>
      </c>
      <c r="I268" s="15"/>
    </row>
    <row r="269" customFormat="false" ht="15" hidden="false" customHeight="false" outlineLevel="0" collapsed="false">
      <c r="A269" s="9" t="n">
        <v>19</v>
      </c>
      <c r="B269" s="9" t="s">
        <v>679</v>
      </c>
      <c r="C269" s="9" t="s">
        <v>680</v>
      </c>
      <c r="D269" s="9" t="s">
        <v>681</v>
      </c>
      <c r="E269" s="9" t="s">
        <v>58</v>
      </c>
      <c r="F269" s="9" t="n">
        <v>140</v>
      </c>
      <c r="G269" s="9" t="s">
        <v>61</v>
      </c>
      <c r="H269" s="14" t="n">
        <f aca="false">IFERROR(F269*VLOOKUP(E269,Insumos!$A:$G,7,FALSE()),0)</f>
        <v>34.3</v>
      </c>
      <c r="I269" s="15"/>
    </row>
    <row r="270" customFormat="false" ht="15" hidden="false" customHeight="false" outlineLevel="0" collapsed="false">
      <c r="A270" s="9" t="n">
        <v>19</v>
      </c>
      <c r="B270" s="9" t="s">
        <v>679</v>
      </c>
      <c r="C270" s="9" t="s">
        <v>680</v>
      </c>
      <c r="D270" s="9" t="s">
        <v>682</v>
      </c>
      <c r="E270" s="9" t="s">
        <v>153</v>
      </c>
      <c r="F270" s="9" t="n">
        <v>120</v>
      </c>
      <c r="G270" s="9" t="s">
        <v>61</v>
      </c>
      <c r="H270" s="14" t="n">
        <f aca="false">IFERROR(F270*VLOOKUP(E270,Insumos!$A:$G,7,FALSE()),0)</f>
        <v>46.2</v>
      </c>
      <c r="I270" s="15"/>
    </row>
    <row r="271" customFormat="false" ht="15" hidden="false" customHeight="false" outlineLevel="0" collapsed="false">
      <c r="A271" s="9" t="n">
        <v>19</v>
      </c>
      <c r="B271" s="9" t="s">
        <v>679</v>
      </c>
      <c r="C271" s="9" t="s">
        <v>680</v>
      </c>
      <c r="D271" s="9" t="s">
        <v>683</v>
      </c>
      <c r="E271" s="9" t="s">
        <v>164</v>
      </c>
      <c r="F271" s="9" t="n">
        <v>40</v>
      </c>
      <c r="G271" s="9" t="s">
        <v>61</v>
      </c>
      <c r="H271" s="14" t="n">
        <f aca="false">IFERROR(F271*VLOOKUP(E271,Insumos!$A:$G,7,FALSE()),0)</f>
        <v>11.4</v>
      </c>
      <c r="I271" s="15"/>
    </row>
    <row r="272" customFormat="false" ht="15" hidden="false" customHeight="false" outlineLevel="0" collapsed="false">
      <c r="A272" s="9" t="n">
        <v>19</v>
      </c>
      <c r="B272" s="9" t="s">
        <v>679</v>
      </c>
      <c r="C272" s="9" t="s">
        <v>680</v>
      </c>
      <c r="D272" s="9" t="s">
        <v>684</v>
      </c>
      <c r="E272" s="9" t="s">
        <v>299</v>
      </c>
      <c r="F272" s="9" t="n">
        <v>24</v>
      </c>
      <c r="G272" s="9" t="s">
        <v>61</v>
      </c>
      <c r="H272" s="14" t="n">
        <f aca="false">IFERROR(F272*VLOOKUP(E272,Insumos!$A:$G,7,FALSE()),0)</f>
        <v>9.24</v>
      </c>
      <c r="I272" s="16" t="s">
        <v>685</v>
      </c>
    </row>
    <row r="273" customFormat="false" ht="15" hidden="false" customHeight="false" outlineLevel="0" collapsed="false">
      <c r="A273" s="9" t="n">
        <v>19</v>
      </c>
      <c r="B273" s="9" t="s">
        <v>679</v>
      </c>
      <c r="C273" s="9" t="s">
        <v>680</v>
      </c>
      <c r="D273" s="9" t="s">
        <v>493</v>
      </c>
      <c r="E273" s="9" t="s">
        <v>133</v>
      </c>
      <c r="F273" s="9" t="n">
        <v>180</v>
      </c>
      <c r="G273" s="9" t="s">
        <v>61</v>
      </c>
      <c r="H273" s="14" t="n">
        <f aca="false">IFERROR(F273*VLOOKUP(E273,Insumos!$A:$G,7,FALSE()),0)</f>
        <v>9.36</v>
      </c>
      <c r="I273" s="15"/>
    </row>
    <row r="274" customFormat="false" ht="15" hidden="false" customHeight="false" outlineLevel="0" collapsed="false">
      <c r="A274" s="9" t="n">
        <v>19</v>
      </c>
      <c r="B274" s="9" t="s">
        <v>679</v>
      </c>
      <c r="C274" s="9" t="s">
        <v>680</v>
      </c>
      <c r="D274" s="9" t="s">
        <v>686</v>
      </c>
      <c r="E274" s="9" t="s">
        <v>66</v>
      </c>
      <c r="F274" s="9" t="n">
        <v>180</v>
      </c>
      <c r="G274" s="9" t="s">
        <v>61</v>
      </c>
      <c r="H274" s="14" t="n">
        <f aca="false">IFERROR(F274*VLOOKUP(E274,Insumos!$A:$G,7,FALSE()),0)</f>
        <v>11.16</v>
      </c>
      <c r="I274" s="15"/>
    </row>
    <row r="275" customFormat="false" ht="15" hidden="false" customHeight="false" outlineLevel="0" collapsed="false">
      <c r="A275" s="9" t="n">
        <v>19</v>
      </c>
      <c r="B275" s="9" t="s">
        <v>679</v>
      </c>
      <c r="C275" s="9" t="s">
        <v>680</v>
      </c>
      <c r="D275" s="9" t="s">
        <v>687</v>
      </c>
      <c r="E275" s="9" t="s">
        <v>107</v>
      </c>
      <c r="F275" s="9" t="n">
        <v>140</v>
      </c>
      <c r="G275" s="9" t="s">
        <v>61</v>
      </c>
      <c r="H275" s="14" t="n">
        <f aca="false">IFERROR(F275*VLOOKUP(E275,Insumos!$A:$G,7,FALSE()),0)</f>
        <v>3.64</v>
      </c>
      <c r="I275" s="15"/>
    </row>
    <row r="276" customFormat="false" ht="15" hidden="false" customHeight="false" outlineLevel="0" collapsed="false">
      <c r="A276" s="9" t="n">
        <v>19</v>
      </c>
      <c r="B276" s="9" t="s">
        <v>679</v>
      </c>
      <c r="C276" s="9" t="s">
        <v>680</v>
      </c>
      <c r="D276" s="9" t="s">
        <v>482</v>
      </c>
      <c r="E276" s="9" t="s">
        <v>114</v>
      </c>
      <c r="F276" s="9" t="n">
        <v>4</v>
      </c>
      <c r="G276" s="9" t="s">
        <v>61</v>
      </c>
      <c r="H276" s="14" t="n">
        <f aca="false">IFERROR(F276*VLOOKUP(E276,Insumos!$A:$G,7,FALSE()),0)</f>
        <v>0.544</v>
      </c>
      <c r="I276" s="15"/>
    </row>
    <row r="277" customFormat="false" ht="15" hidden="false" customHeight="false" outlineLevel="0" collapsed="false">
      <c r="A277" s="9" t="n">
        <v>19</v>
      </c>
      <c r="B277" s="9" t="s">
        <v>679</v>
      </c>
      <c r="C277" s="9" t="s">
        <v>680</v>
      </c>
      <c r="D277" s="9" t="s">
        <v>461</v>
      </c>
      <c r="E277" s="9" t="s">
        <v>118</v>
      </c>
      <c r="F277" s="9" t="n">
        <v>2</v>
      </c>
      <c r="G277" s="9" t="s">
        <v>61</v>
      </c>
      <c r="H277" s="14" t="n">
        <f aca="false">IFERROR(F277*VLOOKUP(E277,Insumos!$A:$G,7,FALSE()),0)</f>
        <v>0.032</v>
      </c>
      <c r="I277" s="15"/>
    </row>
    <row r="278" customFormat="false" ht="15" hidden="false" customHeight="false" outlineLevel="0" collapsed="false">
      <c r="A278" s="9" t="n">
        <v>19</v>
      </c>
      <c r="B278" s="9" t="s">
        <v>679</v>
      </c>
      <c r="C278" s="9" t="s">
        <v>680</v>
      </c>
      <c r="D278" s="9" t="s">
        <v>688</v>
      </c>
      <c r="E278" s="9" t="s">
        <v>75</v>
      </c>
      <c r="F278" s="9" t="n">
        <v>60</v>
      </c>
      <c r="G278" s="9" t="s">
        <v>74</v>
      </c>
      <c r="H278" s="14" t="n">
        <f aca="false">IFERROR(F278*VLOOKUP(E278,Insumos!$A:$G,7,FALSE()),0)</f>
        <v>7.08</v>
      </c>
      <c r="I278" s="15"/>
    </row>
    <row r="279" customFormat="false" ht="15" hidden="false" customHeight="false" outlineLevel="0" collapsed="false">
      <c r="A279" s="9" t="n">
        <v>19</v>
      </c>
      <c r="B279" s="9" t="s">
        <v>679</v>
      </c>
      <c r="C279" s="9" t="s">
        <v>689</v>
      </c>
      <c r="D279" s="9" t="s">
        <v>690</v>
      </c>
      <c r="E279" s="9" t="s">
        <v>156</v>
      </c>
      <c r="F279" s="9" t="n">
        <v>140</v>
      </c>
      <c r="G279" s="9" t="s">
        <v>61</v>
      </c>
      <c r="H279" s="14" t="n">
        <f aca="false">IFERROR(F279*VLOOKUP(E279,Insumos!$A:$G,7,FALSE()),0)</f>
        <v>47.6</v>
      </c>
      <c r="I279" s="15"/>
    </row>
    <row r="280" customFormat="false" ht="15" hidden="false" customHeight="false" outlineLevel="0" collapsed="false">
      <c r="A280" s="9" t="n">
        <v>19</v>
      </c>
      <c r="B280" s="9" t="s">
        <v>679</v>
      </c>
      <c r="C280" s="9" t="s">
        <v>689</v>
      </c>
      <c r="D280" s="9" t="s">
        <v>691</v>
      </c>
      <c r="E280" s="9" t="s">
        <v>103</v>
      </c>
      <c r="F280" s="9" t="n">
        <v>25</v>
      </c>
      <c r="G280" s="9" t="s">
        <v>74</v>
      </c>
      <c r="H280" s="14" t="n">
        <f aca="false">IFERROR(F280*VLOOKUP(E280,Insumos!$A:$G,7,FALSE()),0)</f>
        <v>7.25</v>
      </c>
      <c r="I280" s="15"/>
    </row>
    <row r="281" customFormat="false" ht="15" hidden="false" customHeight="false" outlineLevel="0" collapsed="false">
      <c r="A281" s="9" t="n">
        <v>19</v>
      </c>
      <c r="B281" s="9" t="s">
        <v>679</v>
      </c>
      <c r="C281" s="9" t="s">
        <v>689</v>
      </c>
      <c r="D281" s="9" t="s">
        <v>692</v>
      </c>
      <c r="E281" s="9" t="s">
        <v>177</v>
      </c>
      <c r="F281" s="9" t="n">
        <v>60</v>
      </c>
      <c r="G281" s="9" t="s">
        <v>61</v>
      </c>
      <c r="H281" s="14" t="n">
        <f aca="false">IFERROR(F281*VLOOKUP(E281,Insumos!$A:$G,7,FALSE()),0)</f>
        <v>40.8</v>
      </c>
      <c r="I281" s="15"/>
    </row>
    <row r="282" customFormat="false" ht="15" hidden="false" customHeight="false" outlineLevel="0" collapsed="false">
      <c r="A282" s="9" t="n">
        <v>20</v>
      </c>
      <c r="B282" s="9" t="s">
        <v>693</v>
      </c>
      <c r="C282" s="9" t="s">
        <v>396</v>
      </c>
      <c r="D282" s="9" t="s">
        <v>605</v>
      </c>
      <c r="E282" s="9" t="s">
        <v>58</v>
      </c>
      <c r="F282" s="9" t="n">
        <v>160</v>
      </c>
      <c r="G282" s="9" t="s">
        <v>61</v>
      </c>
      <c r="H282" s="14" t="n">
        <f aca="false">IFERROR(F282*VLOOKUP(E282,Insumos!$A:$G,7,FALSE()),0)</f>
        <v>39.2</v>
      </c>
      <c r="I282" s="15"/>
    </row>
    <row r="283" customFormat="false" ht="15" hidden="false" customHeight="false" outlineLevel="0" collapsed="false">
      <c r="A283" s="9" t="n">
        <v>20</v>
      </c>
      <c r="B283" s="9" t="s">
        <v>693</v>
      </c>
      <c r="C283" s="9" t="s">
        <v>396</v>
      </c>
      <c r="D283" s="9" t="s">
        <v>607</v>
      </c>
      <c r="E283" s="9" t="s">
        <v>126</v>
      </c>
      <c r="F283" s="9" t="n">
        <v>190</v>
      </c>
      <c r="G283" s="9" t="s">
        <v>61</v>
      </c>
      <c r="H283" s="14" t="n">
        <f aca="false">IFERROR(F283*VLOOKUP(E283,Insumos!$A:$G,7,FALSE()),0)</f>
        <v>5.32</v>
      </c>
      <c r="I283" s="15"/>
    </row>
    <row r="284" customFormat="false" ht="15" hidden="false" customHeight="false" outlineLevel="0" collapsed="false">
      <c r="A284" s="9" t="n">
        <v>20</v>
      </c>
      <c r="B284" s="9" t="s">
        <v>693</v>
      </c>
      <c r="C284" s="9" t="s">
        <v>396</v>
      </c>
      <c r="D284" s="9" t="s">
        <v>435</v>
      </c>
      <c r="E284" s="9" t="s">
        <v>66</v>
      </c>
      <c r="F284" s="9" t="n">
        <v>200</v>
      </c>
      <c r="G284" s="9" t="s">
        <v>61</v>
      </c>
      <c r="H284" s="14" t="n">
        <f aca="false">IFERROR(F284*VLOOKUP(E284,Insumos!$A:$G,7,FALSE()),0)</f>
        <v>12.4</v>
      </c>
      <c r="I284" s="15"/>
    </row>
    <row r="285" customFormat="false" ht="15" hidden="false" customHeight="false" outlineLevel="0" collapsed="false">
      <c r="A285" s="9" t="n">
        <v>20</v>
      </c>
      <c r="B285" s="9" t="s">
        <v>693</v>
      </c>
      <c r="C285" s="9" t="s">
        <v>396</v>
      </c>
      <c r="D285" s="9" t="s">
        <v>694</v>
      </c>
      <c r="E285" s="9" t="s">
        <v>107</v>
      </c>
      <c r="F285" s="9" t="n">
        <v>180</v>
      </c>
      <c r="G285" s="9" t="s">
        <v>61</v>
      </c>
      <c r="H285" s="14" t="n">
        <f aca="false">IFERROR(F285*VLOOKUP(E285,Insumos!$A:$G,7,FALSE()),0)</f>
        <v>4.68</v>
      </c>
      <c r="I285" s="15"/>
    </row>
    <row r="286" customFormat="false" ht="15" hidden="false" customHeight="false" outlineLevel="0" collapsed="false">
      <c r="A286" s="9" t="n">
        <v>20</v>
      </c>
      <c r="B286" s="9" t="s">
        <v>693</v>
      </c>
      <c r="C286" s="9" t="s">
        <v>396</v>
      </c>
      <c r="D286" s="9" t="s">
        <v>695</v>
      </c>
      <c r="E286" s="9" t="s">
        <v>164</v>
      </c>
      <c r="F286" s="9" t="n">
        <v>35</v>
      </c>
      <c r="G286" s="9" t="s">
        <v>61</v>
      </c>
      <c r="H286" s="14" t="n">
        <f aca="false">IFERROR(F286*VLOOKUP(E286,Insumos!$A:$G,7,FALSE()),0)</f>
        <v>9.975</v>
      </c>
      <c r="I286" s="15"/>
    </row>
    <row r="287" customFormat="false" ht="15" hidden="false" customHeight="false" outlineLevel="0" collapsed="false">
      <c r="A287" s="9" t="n">
        <v>20</v>
      </c>
      <c r="B287" s="9" t="s">
        <v>693</v>
      </c>
      <c r="C287" s="9" t="s">
        <v>396</v>
      </c>
      <c r="D287" s="9" t="s">
        <v>423</v>
      </c>
      <c r="E287" s="9" t="s">
        <v>114</v>
      </c>
      <c r="F287" s="9" t="n">
        <v>5</v>
      </c>
      <c r="G287" s="9" t="s">
        <v>61</v>
      </c>
      <c r="H287" s="14" t="n">
        <f aca="false">IFERROR(F287*VLOOKUP(E287,Insumos!$A:$G,7,FALSE()),0)</f>
        <v>0.68</v>
      </c>
      <c r="I287" s="15"/>
    </row>
    <row r="288" customFormat="false" ht="15" hidden="false" customHeight="false" outlineLevel="0" collapsed="false">
      <c r="A288" s="9" t="n">
        <v>20</v>
      </c>
      <c r="B288" s="9" t="s">
        <v>693</v>
      </c>
      <c r="C288" s="9" t="s">
        <v>396</v>
      </c>
      <c r="D288" s="9" t="s">
        <v>483</v>
      </c>
      <c r="E288" s="9" t="s">
        <v>120</v>
      </c>
      <c r="F288" s="9" t="n">
        <v>2</v>
      </c>
      <c r="G288" s="9" t="s">
        <v>61</v>
      </c>
      <c r="H288" s="14" t="n">
        <f aca="false">IFERROR(F288*VLOOKUP(E288,Insumos!$A:$G,7,FALSE()),0)</f>
        <v>0.168</v>
      </c>
      <c r="I288" s="15"/>
    </row>
    <row r="289" customFormat="false" ht="15" hidden="false" customHeight="false" outlineLevel="0" collapsed="false">
      <c r="A289" s="9" t="n">
        <v>20</v>
      </c>
      <c r="B289" s="9" t="s">
        <v>693</v>
      </c>
      <c r="C289" s="9" t="s">
        <v>396</v>
      </c>
      <c r="D289" s="9" t="s">
        <v>696</v>
      </c>
      <c r="E289" s="9" t="s">
        <v>72</v>
      </c>
      <c r="F289" s="9" t="n">
        <v>50</v>
      </c>
      <c r="G289" s="9" t="s">
        <v>74</v>
      </c>
      <c r="H289" s="14" t="n">
        <f aca="false">IFERROR(F289*VLOOKUP(E289,Insumos!$A:$G,7,FALSE()),0)</f>
        <v>1.35</v>
      </c>
      <c r="I289" s="15"/>
    </row>
    <row r="290" customFormat="false" ht="15" hidden="false" customHeight="false" outlineLevel="0" collapsed="false">
      <c r="A290" s="9" t="n">
        <v>20</v>
      </c>
      <c r="B290" s="9" t="s">
        <v>693</v>
      </c>
      <c r="C290" s="9" t="s">
        <v>396</v>
      </c>
      <c r="D290" s="9" t="s">
        <v>697</v>
      </c>
      <c r="E290" s="9" t="s">
        <v>162</v>
      </c>
      <c r="F290" s="9" t="n">
        <v>80</v>
      </c>
      <c r="G290" s="9" t="s">
        <v>61</v>
      </c>
      <c r="H290" s="14" t="n">
        <f aca="false">IFERROR(F290*VLOOKUP(E290,Insumos!$A:$G,7,FALSE()),0)</f>
        <v>15.6</v>
      </c>
      <c r="I290" s="15"/>
    </row>
    <row r="291" customFormat="false" ht="15" hidden="false" customHeight="false" outlineLevel="0" collapsed="false">
      <c r="A291" s="9" t="n">
        <v>20</v>
      </c>
      <c r="B291" s="9" t="s">
        <v>693</v>
      </c>
      <c r="C291" s="9" t="s">
        <v>396</v>
      </c>
      <c r="D291" s="9" t="s">
        <v>698</v>
      </c>
      <c r="E291" s="9" t="s">
        <v>264</v>
      </c>
      <c r="F291" s="9" t="n">
        <v>25</v>
      </c>
      <c r="G291" s="9" t="s">
        <v>61</v>
      </c>
      <c r="H291" s="14" t="n">
        <f aca="false">IFERROR(F291*VLOOKUP(E291,Insumos!$A:$G,7,FALSE()),0)</f>
        <v>66.25</v>
      </c>
      <c r="I291" s="15"/>
    </row>
    <row r="292" customFormat="false" ht="15" hidden="false" customHeight="false" outlineLevel="0" collapsed="false">
      <c r="A292" s="9" t="n">
        <v>20</v>
      </c>
      <c r="B292" s="9" t="s">
        <v>693</v>
      </c>
      <c r="C292" s="9" t="s">
        <v>699</v>
      </c>
      <c r="D292" s="9" t="s">
        <v>700</v>
      </c>
      <c r="E292" s="9" t="s">
        <v>156</v>
      </c>
      <c r="F292" s="9" t="n">
        <v>90</v>
      </c>
      <c r="G292" s="9" t="s">
        <v>61</v>
      </c>
      <c r="H292" s="14" t="n">
        <f aca="false">IFERROR(F292*VLOOKUP(E292,Insumos!$A:$G,7,FALSE()),0)</f>
        <v>30.6</v>
      </c>
      <c r="I292" s="15"/>
    </row>
    <row r="293" customFormat="false" ht="15" hidden="false" customHeight="false" outlineLevel="0" collapsed="false">
      <c r="A293" s="9" t="n">
        <v>20</v>
      </c>
      <c r="B293" s="9" t="s">
        <v>693</v>
      </c>
      <c r="C293" s="9" t="s">
        <v>699</v>
      </c>
      <c r="D293" s="9" t="s">
        <v>701</v>
      </c>
      <c r="E293" s="9" t="s">
        <v>75</v>
      </c>
      <c r="F293" s="9" t="n">
        <v>70</v>
      </c>
      <c r="G293" s="9" t="s">
        <v>74</v>
      </c>
      <c r="H293" s="14" t="n">
        <f aca="false">IFERROR(F293*VLOOKUP(E293,Insumos!$A:$G,7,FALSE()),0)</f>
        <v>8.26</v>
      </c>
      <c r="I293" s="15"/>
    </row>
    <row r="294" customFormat="false" ht="15" hidden="false" customHeight="false" outlineLevel="0" collapsed="false">
      <c r="A294" s="9" t="n">
        <v>20</v>
      </c>
      <c r="B294" s="9" t="s">
        <v>693</v>
      </c>
      <c r="C294" s="9" t="s">
        <v>699</v>
      </c>
      <c r="D294" s="9" t="s">
        <v>702</v>
      </c>
      <c r="E294" s="9" t="s">
        <v>145</v>
      </c>
      <c r="F294" s="9" t="n">
        <v>15</v>
      </c>
      <c r="G294" s="9" t="s">
        <v>61</v>
      </c>
      <c r="H294" s="14" t="n">
        <f aca="false">IFERROR(F294*VLOOKUP(E294,Insumos!$A:$G,7,FALSE()),0)</f>
        <v>1.17</v>
      </c>
      <c r="I294" s="15"/>
    </row>
    <row r="295" customFormat="false" ht="15" hidden="false" customHeight="false" outlineLevel="0" collapsed="false">
      <c r="A295" s="9" t="n">
        <v>20</v>
      </c>
      <c r="B295" s="9" t="s">
        <v>693</v>
      </c>
      <c r="C295" s="9" t="s">
        <v>699</v>
      </c>
      <c r="D295" s="9" t="s">
        <v>703</v>
      </c>
      <c r="E295" s="9" t="s">
        <v>58</v>
      </c>
      <c r="F295" s="9" t="n">
        <v>15</v>
      </c>
      <c r="G295" s="9" t="s">
        <v>61</v>
      </c>
      <c r="H295" s="14" t="n">
        <f aca="false">IFERROR(F295*VLOOKUP(E295,Insumos!$A:$G,7,FALSE()),0)</f>
        <v>3.675</v>
      </c>
      <c r="I295" s="15"/>
    </row>
    <row r="296" customFormat="false" ht="15" hidden="false" customHeight="false" outlineLevel="0" collapsed="false">
      <c r="A296" s="9" t="n">
        <v>21</v>
      </c>
      <c r="B296" s="9" t="s">
        <v>704</v>
      </c>
      <c r="C296" s="9" t="s">
        <v>396</v>
      </c>
      <c r="D296" s="9" t="s">
        <v>705</v>
      </c>
      <c r="E296" s="9" t="s">
        <v>58</v>
      </c>
      <c r="F296" s="9" t="n">
        <v>160</v>
      </c>
      <c r="G296" s="9" t="s">
        <v>61</v>
      </c>
      <c r="H296" s="14" t="n">
        <f aca="false">IFERROR(F296*VLOOKUP(E296,Insumos!$A:$G,7,FALSE()),0)</f>
        <v>39.2</v>
      </c>
      <c r="I296" s="15"/>
    </row>
    <row r="297" customFormat="false" ht="15" hidden="false" customHeight="false" outlineLevel="0" collapsed="false">
      <c r="A297" s="9" t="n">
        <v>21</v>
      </c>
      <c r="B297" s="9" t="s">
        <v>704</v>
      </c>
      <c r="C297" s="9" t="s">
        <v>396</v>
      </c>
      <c r="D297" s="9" t="s">
        <v>706</v>
      </c>
      <c r="E297" s="9" t="s">
        <v>160</v>
      </c>
      <c r="F297" s="9" t="n">
        <v>110</v>
      </c>
      <c r="G297" s="9" t="s">
        <v>61</v>
      </c>
      <c r="H297" s="14" t="n">
        <f aca="false">IFERROR(F297*VLOOKUP(E297,Insumos!$A:$G,7,FALSE()),0)</f>
        <v>40.15</v>
      </c>
      <c r="I297" s="15"/>
    </row>
    <row r="298" customFormat="false" ht="15" hidden="false" customHeight="false" outlineLevel="0" collapsed="false">
      <c r="A298" s="9" t="n">
        <v>21</v>
      </c>
      <c r="B298" s="9" t="s">
        <v>704</v>
      </c>
      <c r="C298" s="9" t="s">
        <v>396</v>
      </c>
      <c r="D298" s="9" t="s">
        <v>707</v>
      </c>
      <c r="E298" s="9" t="s">
        <v>126</v>
      </c>
      <c r="F298" s="9" t="n">
        <v>170</v>
      </c>
      <c r="G298" s="9" t="s">
        <v>61</v>
      </c>
      <c r="H298" s="14" t="n">
        <f aca="false">IFERROR(F298*VLOOKUP(E298,Insumos!$A:$G,7,FALSE()),0)</f>
        <v>4.76</v>
      </c>
      <c r="I298" s="15"/>
    </row>
    <row r="299" customFormat="false" ht="15" hidden="false" customHeight="false" outlineLevel="0" collapsed="false">
      <c r="A299" s="9" t="n">
        <v>21</v>
      </c>
      <c r="B299" s="9" t="s">
        <v>704</v>
      </c>
      <c r="C299" s="9" t="s">
        <v>396</v>
      </c>
      <c r="D299" s="9" t="s">
        <v>420</v>
      </c>
      <c r="E299" s="9" t="s">
        <v>66</v>
      </c>
      <c r="F299" s="9" t="n">
        <v>200</v>
      </c>
      <c r="G299" s="9" t="s">
        <v>61</v>
      </c>
      <c r="H299" s="14" t="n">
        <f aca="false">IFERROR(F299*VLOOKUP(E299,Insumos!$A:$G,7,FALSE()),0)</f>
        <v>12.4</v>
      </c>
      <c r="I299" s="15"/>
    </row>
    <row r="300" customFormat="false" ht="15" hidden="false" customHeight="false" outlineLevel="0" collapsed="false">
      <c r="A300" s="9" t="n">
        <v>21</v>
      </c>
      <c r="B300" s="9" t="s">
        <v>704</v>
      </c>
      <c r="C300" s="9" t="s">
        <v>396</v>
      </c>
      <c r="D300" s="9" t="s">
        <v>495</v>
      </c>
      <c r="E300" s="9" t="s">
        <v>107</v>
      </c>
      <c r="F300" s="9" t="n">
        <v>220</v>
      </c>
      <c r="G300" s="9" t="s">
        <v>61</v>
      </c>
      <c r="H300" s="14" t="n">
        <f aca="false">IFERROR(F300*VLOOKUP(E300,Insumos!$A:$G,7,FALSE()),0)</f>
        <v>5.72</v>
      </c>
      <c r="I300" s="15"/>
    </row>
    <row r="301" customFormat="false" ht="15" hidden="false" customHeight="false" outlineLevel="0" collapsed="false">
      <c r="A301" s="9" t="n">
        <v>21</v>
      </c>
      <c r="B301" s="9" t="s">
        <v>704</v>
      </c>
      <c r="C301" s="9" t="s">
        <v>396</v>
      </c>
      <c r="D301" s="9" t="s">
        <v>423</v>
      </c>
      <c r="E301" s="9" t="s">
        <v>114</v>
      </c>
      <c r="F301" s="9" t="n">
        <v>5</v>
      </c>
      <c r="G301" s="9" t="s">
        <v>61</v>
      </c>
      <c r="H301" s="14" t="n">
        <f aca="false">IFERROR(F301*VLOOKUP(E301,Insumos!$A:$G,7,FALSE()),0)</f>
        <v>0.68</v>
      </c>
      <c r="I301" s="15"/>
    </row>
    <row r="302" customFormat="false" ht="15" hidden="false" customHeight="false" outlineLevel="0" collapsed="false">
      <c r="A302" s="9" t="n">
        <v>21</v>
      </c>
      <c r="B302" s="9" t="s">
        <v>704</v>
      </c>
      <c r="C302" s="9" t="s">
        <v>396</v>
      </c>
      <c r="D302" s="9" t="s">
        <v>483</v>
      </c>
      <c r="E302" s="9" t="s">
        <v>120</v>
      </c>
      <c r="F302" s="9" t="n">
        <v>2</v>
      </c>
      <c r="G302" s="9" t="s">
        <v>61</v>
      </c>
      <c r="H302" s="14" t="n">
        <f aca="false">IFERROR(F302*VLOOKUP(E302,Insumos!$A:$G,7,FALSE()),0)</f>
        <v>0.168</v>
      </c>
      <c r="I302" s="15"/>
    </row>
    <row r="303" customFormat="false" ht="15" hidden="false" customHeight="false" outlineLevel="0" collapsed="false">
      <c r="A303" s="9" t="n">
        <v>21</v>
      </c>
      <c r="B303" s="9" t="s">
        <v>704</v>
      </c>
      <c r="C303" s="9" t="s">
        <v>396</v>
      </c>
      <c r="D303" s="9" t="s">
        <v>708</v>
      </c>
      <c r="E303" s="9" t="s">
        <v>232</v>
      </c>
      <c r="F303" s="9" t="n">
        <v>40</v>
      </c>
      <c r="G303" s="9" t="s">
        <v>74</v>
      </c>
      <c r="H303" s="14" t="n">
        <f aca="false">IFERROR(F303*VLOOKUP(E303,Insumos!$A:$G,7,FALSE()),0)</f>
        <v>8.4</v>
      </c>
      <c r="I303" s="15"/>
    </row>
    <row r="304" customFormat="false" ht="15" hidden="false" customHeight="false" outlineLevel="0" collapsed="false">
      <c r="A304" s="9" t="n">
        <v>21</v>
      </c>
      <c r="B304" s="9" t="s">
        <v>704</v>
      </c>
      <c r="C304" s="9" t="s">
        <v>396</v>
      </c>
      <c r="D304" s="9" t="s">
        <v>664</v>
      </c>
      <c r="E304" s="9" t="s">
        <v>75</v>
      </c>
      <c r="F304" s="9" t="n">
        <v>30</v>
      </c>
      <c r="G304" s="9" t="s">
        <v>74</v>
      </c>
      <c r="H304" s="14" t="n">
        <f aca="false">IFERROR(F304*VLOOKUP(E304,Insumos!$A:$G,7,FALSE()),0)</f>
        <v>3.54</v>
      </c>
      <c r="I304" s="15"/>
    </row>
    <row r="305" customFormat="false" ht="15" hidden="false" customHeight="false" outlineLevel="0" collapsed="false">
      <c r="A305" s="9" t="n">
        <v>21</v>
      </c>
      <c r="B305" s="9" t="s">
        <v>704</v>
      </c>
      <c r="C305" s="9" t="s">
        <v>396</v>
      </c>
      <c r="D305" s="9" t="s">
        <v>709</v>
      </c>
      <c r="E305" s="9" t="s">
        <v>187</v>
      </c>
      <c r="F305" s="9" t="n">
        <v>100</v>
      </c>
      <c r="G305" s="9" t="s">
        <v>61</v>
      </c>
      <c r="H305" s="14" t="n">
        <f aca="false">IFERROR(F305*VLOOKUP(E305,Insumos!$A:$G,7,FALSE()),0)</f>
        <v>92</v>
      </c>
      <c r="I305" s="15"/>
    </row>
    <row r="306" customFormat="false" ht="15" hidden="false" customHeight="false" outlineLevel="0" collapsed="false">
      <c r="A306" s="9" t="n">
        <v>21</v>
      </c>
      <c r="B306" s="9" t="s">
        <v>704</v>
      </c>
      <c r="C306" s="9" t="s">
        <v>710</v>
      </c>
      <c r="D306" s="9" t="s">
        <v>711</v>
      </c>
      <c r="E306" s="9" t="s">
        <v>131</v>
      </c>
      <c r="F306" s="9" t="n">
        <v>80</v>
      </c>
      <c r="G306" s="9" t="s">
        <v>61</v>
      </c>
      <c r="H306" s="14" t="n">
        <f aca="false">IFERROR(F306*VLOOKUP(E306,Insumos!$A:$G,7,FALSE()),0)</f>
        <v>3.36</v>
      </c>
      <c r="I306" s="15"/>
    </row>
    <row r="307" customFormat="false" ht="15" hidden="false" customHeight="false" outlineLevel="0" collapsed="false">
      <c r="A307" s="9" t="n">
        <v>21</v>
      </c>
      <c r="B307" s="9" t="s">
        <v>704</v>
      </c>
      <c r="C307" s="9" t="s">
        <v>710</v>
      </c>
      <c r="D307" s="9" t="s">
        <v>712</v>
      </c>
      <c r="E307" s="9" t="s">
        <v>232</v>
      </c>
      <c r="F307" s="9" t="n">
        <v>18</v>
      </c>
      <c r="G307" s="9" t="s">
        <v>74</v>
      </c>
      <c r="H307" s="14" t="n">
        <f aca="false">IFERROR(F307*VLOOKUP(E307,Insumos!$A:$G,7,FALSE()),0)</f>
        <v>3.78</v>
      </c>
      <c r="I307" s="15"/>
    </row>
    <row r="308" customFormat="false" ht="15" hidden="false" customHeight="false" outlineLevel="0" collapsed="false">
      <c r="A308" s="9" t="n">
        <v>21</v>
      </c>
      <c r="B308" s="9" t="s">
        <v>704</v>
      </c>
      <c r="C308" s="9" t="s">
        <v>710</v>
      </c>
      <c r="D308" s="9" t="s">
        <v>713</v>
      </c>
      <c r="E308" s="9" t="s">
        <v>232</v>
      </c>
      <c r="F308" s="9" t="n">
        <v>5</v>
      </c>
      <c r="G308" s="9" t="s">
        <v>61</v>
      </c>
      <c r="H308" s="14" t="n">
        <f aca="false">IFERROR(F308*VLOOKUP(E308,Insumos!$A:$G,7,FALSE()),0)</f>
        <v>1.05</v>
      </c>
      <c r="I308" s="15"/>
    </row>
    <row r="309" customFormat="false" ht="15" hidden="false" customHeight="false" outlineLevel="0" collapsed="false">
      <c r="A309" s="9" t="n">
        <v>22</v>
      </c>
      <c r="B309" s="9" t="s">
        <v>714</v>
      </c>
      <c r="C309" s="9" t="s">
        <v>715</v>
      </c>
      <c r="D309" s="9" t="s">
        <v>716</v>
      </c>
      <c r="E309" s="9" t="s">
        <v>268</v>
      </c>
      <c r="F309" s="9" t="n">
        <v>120</v>
      </c>
      <c r="G309" s="9" t="s">
        <v>61</v>
      </c>
      <c r="H309" s="14" t="n">
        <f aca="false">IFERROR(F309*VLOOKUP(E309,Insumos!$A:$G,7,FALSE()),0)</f>
        <v>79.5</v>
      </c>
      <c r="I309" s="15"/>
    </row>
    <row r="310" customFormat="false" ht="15" hidden="false" customHeight="false" outlineLevel="0" collapsed="false">
      <c r="A310" s="9" t="n">
        <v>22</v>
      </c>
      <c r="B310" s="9" t="s">
        <v>714</v>
      </c>
      <c r="C310" s="9" t="s">
        <v>715</v>
      </c>
      <c r="D310" s="9" t="s">
        <v>717</v>
      </c>
      <c r="E310" s="9" t="s">
        <v>326</v>
      </c>
      <c r="F310" s="9" t="n">
        <v>25</v>
      </c>
      <c r="G310" s="9" t="s">
        <v>74</v>
      </c>
      <c r="H310" s="14" t="n">
        <f aca="false">IFERROR(F310*VLOOKUP(E310,Insumos!$A:$G,7,FALSE()),0)</f>
        <v>22.1428571428571</v>
      </c>
      <c r="I310" s="15"/>
    </row>
    <row r="311" customFormat="false" ht="15" hidden="false" customHeight="false" outlineLevel="0" collapsed="false">
      <c r="A311" s="9" t="n">
        <v>22</v>
      </c>
      <c r="B311" s="9" t="s">
        <v>714</v>
      </c>
      <c r="C311" s="9" t="s">
        <v>715</v>
      </c>
      <c r="D311" s="9" t="s">
        <v>718</v>
      </c>
      <c r="E311" s="9" t="s">
        <v>107</v>
      </c>
      <c r="F311" s="9" t="n">
        <v>10</v>
      </c>
      <c r="G311" s="9" t="s">
        <v>61</v>
      </c>
      <c r="H311" s="14" t="n">
        <f aca="false">IFERROR(F311*VLOOKUP(E311,Insumos!$A:$G,7,FALSE()),0)</f>
        <v>0.26</v>
      </c>
      <c r="I311" s="15"/>
    </row>
    <row r="312" customFormat="false" ht="15" hidden="false" customHeight="false" outlineLevel="0" collapsed="false">
      <c r="A312" s="9" t="n">
        <v>22</v>
      </c>
      <c r="B312" s="9" t="s">
        <v>714</v>
      </c>
      <c r="C312" s="9" t="s">
        <v>396</v>
      </c>
      <c r="D312" s="9" t="s">
        <v>454</v>
      </c>
      <c r="E312" s="9" t="s">
        <v>58</v>
      </c>
      <c r="F312" s="9" t="n">
        <v>180</v>
      </c>
      <c r="G312" s="9" t="s">
        <v>61</v>
      </c>
      <c r="H312" s="14" t="n">
        <f aca="false">IFERROR(F312*VLOOKUP(E312,Insumos!$A:$G,7,FALSE()),0)</f>
        <v>44.1</v>
      </c>
      <c r="I312" s="15"/>
    </row>
    <row r="313" customFormat="false" ht="15" hidden="false" customHeight="false" outlineLevel="0" collapsed="false">
      <c r="A313" s="9" t="n">
        <v>22</v>
      </c>
      <c r="B313" s="9" t="s">
        <v>714</v>
      </c>
      <c r="C313" s="9" t="s">
        <v>396</v>
      </c>
      <c r="D313" s="9" t="s">
        <v>719</v>
      </c>
      <c r="E313" s="9" t="s">
        <v>133</v>
      </c>
      <c r="F313" s="9" t="n">
        <v>190</v>
      </c>
      <c r="G313" s="9" t="s">
        <v>61</v>
      </c>
      <c r="H313" s="14" t="n">
        <f aca="false">IFERROR(F313*VLOOKUP(E313,Insumos!$A:$G,7,FALSE()),0)</f>
        <v>9.88</v>
      </c>
      <c r="I313" s="15"/>
    </row>
    <row r="314" customFormat="false" ht="15" hidden="false" customHeight="false" outlineLevel="0" collapsed="false">
      <c r="A314" s="9" t="n">
        <v>22</v>
      </c>
      <c r="B314" s="9" t="s">
        <v>714</v>
      </c>
      <c r="C314" s="9" t="s">
        <v>396</v>
      </c>
      <c r="D314" s="9" t="s">
        <v>505</v>
      </c>
      <c r="E314" s="9" t="s">
        <v>66</v>
      </c>
      <c r="F314" s="9" t="n">
        <v>200</v>
      </c>
      <c r="G314" s="9" t="s">
        <v>61</v>
      </c>
      <c r="H314" s="14" t="n">
        <f aca="false">IFERROR(F314*VLOOKUP(E314,Insumos!$A:$G,7,FALSE()),0)</f>
        <v>12.4</v>
      </c>
      <c r="I314" s="15"/>
    </row>
    <row r="315" customFormat="false" ht="15" hidden="false" customHeight="false" outlineLevel="0" collapsed="false">
      <c r="A315" s="9" t="n">
        <v>22</v>
      </c>
      <c r="B315" s="9" t="s">
        <v>714</v>
      </c>
      <c r="C315" s="9" t="s">
        <v>396</v>
      </c>
      <c r="D315" s="9" t="s">
        <v>720</v>
      </c>
      <c r="E315" s="9" t="s">
        <v>107</v>
      </c>
      <c r="F315" s="9" t="n">
        <v>190</v>
      </c>
      <c r="G315" s="9" t="s">
        <v>61</v>
      </c>
      <c r="H315" s="14" t="n">
        <f aca="false">IFERROR(F315*VLOOKUP(E315,Insumos!$A:$G,7,FALSE()),0)</f>
        <v>4.94</v>
      </c>
      <c r="I315" s="15"/>
    </row>
    <row r="316" customFormat="false" ht="15" hidden="false" customHeight="false" outlineLevel="0" collapsed="false">
      <c r="A316" s="9" t="n">
        <v>22</v>
      </c>
      <c r="B316" s="9" t="s">
        <v>714</v>
      </c>
      <c r="C316" s="9" t="s">
        <v>396</v>
      </c>
      <c r="D316" s="9" t="s">
        <v>721</v>
      </c>
      <c r="E316" s="9" t="s">
        <v>164</v>
      </c>
      <c r="F316" s="9" t="n">
        <v>40</v>
      </c>
      <c r="G316" s="9" t="s">
        <v>61</v>
      </c>
      <c r="H316" s="14" t="n">
        <f aca="false">IFERROR(F316*VLOOKUP(E316,Insumos!$A:$G,7,FALSE()),0)</f>
        <v>11.4</v>
      </c>
      <c r="I316" s="15"/>
    </row>
    <row r="317" customFormat="false" ht="15" hidden="false" customHeight="false" outlineLevel="0" collapsed="false">
      <c r="A317" s="9" t="n">
        <v>22</v>
      </c>
      <c r="B317" s="9" t="s">
        <v>714</v>
      </c>
      <c r="C317" s="9" t="s">
        <v>396</v>
      </c>
      <c r="D317" s="9" t="s">
        <v>423</v>
      </c>
      <c r="E317" s="9" t="s">
        <v>114</v>
      </c>
      <c r="F317" s="9" t="n">
        <v>5</v>
      </c>
      <c r="G317" s="9" t="s">
        <v>61</v>
      </c>
      <c r="H317" s="14" t="n">
        <f aca="false">IFERROR(F317*VLOOKUP(E317,Insumos!$A:$G,7,FALSE()),0)</f>
        <v>0.68</v>
      </c>
      <c r="I317" s="15"/>
    </row>
    <row r="318" customFormat="false" ht="15" hidden="false" customHeight="false" outlineLevel="0" collapsed="false">
      <c r="A318" s="9" t="n">
        <v>22</v>
      </c>
      <c r="B318" s="9" t="s">
        <v>714</v>
      </c>
      <c r="C318" s="9" t="s">
        <v>396</v>
      </c>
      <c r="D318" s="9" t="s">
        <v>461</v>
      </c>
      <c r="E318" s="9" t="s">
        <v>118</v>
      </c>
      <c r="F318" s="9" t="n">
        <v>2</v>
      </c>
      <c r="G318" s="9" t="s">
        <v>61</v>
      </c>
      <c r="H318" s="14" t="n">
        <f aca="false">IFERROR(F318*VLOOKUP(E318,Insumos!$A:$G,7,FALSE()),0)</f>
        <v>0.032</v>
      </c>
      <c r="I318" s="15"/>
    </row>
    <row r="319" customFormat="false" ht="15" hidden="false" customHeight="false" outlineLevel="0" collapsed="false">
      <c r="A319" s="9" t="n">
        <v>22</v>
      </c>
      <c r="B319" s="9" t="s">
        <v>714</v>
      </c>
      <c r="C319" s="9" t="s">
        <v>396</v>
      </c>
      <c r="D319" s="9" t="s">
        <v>722</v>
      </c>
      <c r="E319" s="9" t="s">
        <v>77</v>
      </c>
      <c r="F319" s="9" t="n">
        <v>50</v>
      </c>
      <c r="G319" s="9" t="s">
        <v>74</v>
      </c>
      <c r="H319" s="14" t="n">
        <f aca="false">IFERROR(F319*VLOOKUP(E319,Insumos!$A:$G,7,FALSE()),0)</f>
        <v>5.11111111111111</v>
      </c>
      <c r="I319" s="15"/>
    </row>
    <row r="320" customFormat="false" ht="15" hidden="false" customHeight="false" outlineLevel="0" collapsed="false">
      <c r="A320" s="9" t="n">
        <v>22</v>
      </c>
      <c r="B320" s="9" t="s">
        <v>714</v>
      </c>
      <c r="C320" s="9" t="s">
        <v>396</v>
      </c>
      <c r="D320" s="9" t="s">
        <v>723</v>
      </c>
      <c r="E320" s="9" t="s">
        <v>272</v>
      </c>
      <c r="F320" s="9" t="n">
        <v>8</v>
      </c>
      <c r="G320" s="9" t="s">
        <v>74</v>
      </c>
      <c r="H320" s="14" t="n">
        <f aca="false">IFERROR(F320*VLOOKUP(E320,Insumos!$A:$G,7,FALSE()),0)</f>
        <v>13.44</v>
      </c>
      <c r="I320" s="15"/>
    </row>
    <row r="321" customFormat="false" ht="15" hidden="false" customHeight="false" outlineLevel="0" collapsed="false">
      <c r="A321" s="9" t="n">
        <v>22</v>
      </c>
      <c r="B321" s="9" t="s">
        <v>714</v>
      </c>
      <c r="C321" s="9" t="s">
        <v>724</v>
      </c>
      <c r="D321" s="9" t="s">
        <v>725</v>
      </c>
      <c r="E321" s="9" t="s">
        <v>268</v>
      </c>
      <c r="F321" s="9" t="n">
        <v>0</v>
      </c>
      <c r="G321" s="9" t="s">
        <v>61</v>
      </c>
      <c r="H321" s="14" t="n">
        <f aca="false">IFERROR(F321*VLOOKUP(E321,Insumos!$A:$G,7,FALSE()),0)</f>
        <v>0</v>
      </c>
      <c r="I321" s="16" t="s">
        <v>726</v>
      </c>
    </row>
    <row r="322" customFormat="false" ht="15" hidden="false" customHeight="false" outlineLevel="0" collapsed="false">
      <c r="A322" s="9" t="n">
        <v>22</v>
      </c>
      <c r="B322" s="9" t="s">
        <v>714</v>
      </c>
      <c r="C322" s="9" t="s">
        <v>724</v>
      </c>
      <c r="D322" s="9" t="s">
        <v>727</v>
      </c>
      <c r="E322" s="9" t="s">
        <v>151</v>
      </c>
      <c r="F322" s="9" t="n">
        <v>25</v>
      </c>
      <c r="G322" s="9" t="s">
        <v>74</v>
      </c>
      <c r="H322" s="14" t="n">
        <f aca="false">IFERROR(F322*VLOOKUP(E322,Insumos!$A:$G,7,FALSE()),0)</f>
        <v>0.05625</v>
      </c>
      <c r="I322" s="15"/>
    </row>
    <row r="323" customFormat="false" ht="15" hidden="false" customHeight="false" outlineLevel="0" collapsed="false">
      <c r="A323" s="9" t="n">
        <v>22</v>
      </c>
      <c r="B323" s="9" t="s">
        <v>714</v>
      </c>
      <c r="C323" s="9" t="s">
        <v>724</v>
      </c>
      <c r="D323" s="9" t="s">
        <v>728</v>
      </c>
      <c r="E323" s="9" t="s">
        <v>326</v>
      </c>
      <c r="F323" s="9" t="n">
        <v>20</v>
      </c>
      <c r="G323" s="9" t="s">
        <v>74</v>
      </c>
      <c r="H323" s="14" t="n">
        <f aca="false">IFERROR(F323*VLOOKUP(E323,Insumos!$A:$G,7,FALSE()),0)</f>
        <v>17.7142857142857</v>
      </c>
      <c r="I323" s="15"/>
    </row>
    <row r="324" customFormat="false" ht="15" hidden="false" customHeight="false" outlineLevel="0" collapsed="false">
      <c r="A324" s="9" t="n">
        <v>22</v>
      </c>
      <c r="B324" s="9" t="s">
        <v>714</v>
      </c>
      <c r="C324" s="9" t="s">
        <v>729</v>
      </c>
      <c r="D324" s="9" t="s">
        <v>730</v>
      </c>
      <c r="E324" s="9" t="s">
        <v>153</v>
      </c>
      <c r="F324" s="9" t="n">
        <v>50</v>
      </c>
      <c r="G324" s="9" t="s">
        <v>61</v>
      </c>
      <c r="H324" s="14" t="n">
        <f aca="false">IFERROR(F324*VLOOKUP(E324,Insumos!$A:$G,7,FALSE()),0)</f>
        <v>19.25</v>
      </c>
      <c r="I324" s="15"/>
    </row>
    <row r="325" customFormat="false" ht="15" hidden="false" customHeight="false" outlineLevel="0" collapsed="false">
      <c r="A325" s="9" t="n">
        <v>22</v>
      </c>
      <c r="B325" s="9" t="s">
        <v>714</v>
      </c>
      <c r="C325" s="9" t="s">
        <v>729</v>
      </c>
      <c r="D325" s="9" t="s">
        <v>731</v>
      </c>
      <c r="E325" s="9" t="s">
        <v>75</v>
      </c>
      <c r="F325" s="9" t="n">
        <v>35</v>
      </c>
      <c r="G325" s="9" t="s">
        <v>74</v>
      </c>
      <c r="H325" s="14" t="n">
        <f aca="false">IFERROR(F325*VLOOKUP(E325,Insumos!$A:$G,7,FALSE()),0)</f>
        <v>4.13</v>
      </c>
      <c r="I325" s="15"/>
    </row>
    <row r="326" customFormat="false" ht="15" hidden="false" customHeight="false" outlineLevel="0" collapsed="false">
      <c r="A326" s="9" t="n">
        <v>22</v>
      </c>
      <c r="B326" s="9" t="s">
        <v>714</v>
      </c>
      <c r="C326" s="9" t="s">
        <v>729</v>
      </c>
      <c r="D326" s="9" t="s">
        <v>732</v>
      </c>
      <c r="E326" s="9" t="s">
        <v>153</v>
      </c>
      <c r="F326" s="9" t="n">
        <v>40</v>
      </c>
      <c r="G326" s="9" t="s">
        <v>61</v>
      </c>
      <c r="H326" s="14" t="n">
        <f aca="false">IFERROR(F326*VLOOKUP(E326,Insumos!$A:$G,7,FALSE()),0)</f>
        <v>15.4</v>
      </c>
      <c r="I326" s="15"/>
    </row>
    <row r="327" customFormat="false" ht="15" hidden="false" customHeight="false" outlineLevel="0" collapsed="false">
      <c r="A327" s="9" t="n">
        <v>23</v>
      </c>
      <c r="B327" s="9" t="s">
        <v>733</v>
      </c>
      <c r="C327" s="9" t="s">
        <v>734</v>
      </c>
      <c r="D327" s="9" t="s">
        <v>735</v>
      </c>
      <c r="E327" s="9" t="s">
        <v>181</v>
      </c>
      <c r="F327" s="9" t="n">
        <v>100</v>
      </c>
      <c r="G327" s="9" t="s">
        <v>61</v>
      </c>
      <c r="H327" s="14" t="n">
        <f aca="false">IFERROR(F327*VLOOKUP(E327,Insumos!$A:$G,7,FALSE()),0)</f>
        <v>104</v>
      </c>
      <c r="I327" s="15"/>
    </row>
    <row r="328" customFormat="false" ht="15" hidden="false" customHeight="false" outlineLevel="0" collapsed="false">
      <c r="A328" s="9" t="n">
        <v>23</v>
      </c>
      <c r="B328" s="9" t="s">
        <v>733</v>
      </c>
      <c r="C328" s="9" t="s">
        <v>734</v>
      </c>
      <c r="D328" s="9" t="s">
        <v>736</v>
      </c>
      <c r="E328" s="9" t="s">
        <v>158</v>
      </c>
      <c r="F328" s="9" t="n">
        <v>100</v>
      </c>
      <c r="G328" s="9" t="s">
        <v>61</v>
      </c>
      <c r="H328" s="14" t="n">
        <f aca="false">IFERROR(F328*VLOOKUP(E328,Insumos!$A:$G,7,FALSE()),0)</f>
        <v>35.5</v>
      </c>
      <c r="I328" s="15"/>
    </row>
    <row r="329" customFormat="false" ht="15" hidden="false" customHeight="false" outlineLevel="0" collapsed="false">
      <c r="A329" s="9" t="n">
        <v>23</v>
      </c>
      <c r="B329" s="9" t="s">
        <v>733</v>
      </c>
      <c r="C329" s="9" t="s">
        <v>734</v>
      </c>
      <c r="D329" s="9" t="s">
        <v>737</v>
      </c>
      <c r="E329" s="9" t="s">
        <v>542</v>
      </c>
      <c r="F329" s="9" t="n">
        <v>0</v>
      </c>
      <c r="G329" s="9" t="s">
        <v>61</v>
      </c>
      <c r="H329" s="14" t="n">
        <f aca="false">IFERROR(F329*VLOOKUP(E329,Insumos!$A:$G,7,FALSE()),0)</f>
        <v>0</v>
      </c>
      <c r="I329" s="16" t="s">
        <v>738</v>
      </c>
    </row>
    <row r="330" customFormat="false" ht="15" hidden="false" customHeight="false" outlineLevel="0" collapsed="false">
      <c r="A330" s="9" t="n">
        <v>23</v>
      </c>
      <c r="B330" s="9" t="s">
        <v>733</v>
      </c>
      <c r="C330" s="9" t="s">
        <v>396</v>
      </c>
      <c r="D330" s="9" t="s">
        <v>739</v>
      </c>
      <c r="E330" s="9" t="s">
        <v>58</v>
      </c>
      <c r="F330" s="9" t="n">
        <v>150</v>
      </c>
      <c r="G330" s="9" t="s">
        <v>61</v>
      </c>
      <c r="H330" s="14" t="n">
        <f aca="false">IFERROR(F330*VLOOKUP(E330,Insumos!$A:$G,7,FALSE()),0)</f>
        <v>36.75</v>
      </c>
      <c r="I330" s="15"/>
    </row>
    <row r="331" customFormat="false" ht="15" hidden="false" customHeight="false" outlineLevel="0" collapsed="false">
      <c r="A331" s="9" t="n">
        <v>23</v>
      </c>
      <c r="B331" s="9" t="s">
        <v>733</v>
      </c>
      <c r="C331" s="9" t="s">
        <v>396</v>
      </c>
      <c r="D331" s="9" t="s">
        <v>740</v>
      </c>
      <c r="E331" s="9" t="s">
        <v>170</v>
      </c>
      <c r="F331" s="9" t="n">
        <v>0</v>
      </c>
      <c r="G331" s="9" t="s">
        <v>61</v>
      </c>
      <c r="H331" s="14" t="n">
        <f aca="false">IFERROR(F331*VLOOKUP(E331,Insumos!$A:$G,7,FALSE()),0)</f>
        <v>0</v>
      </c>
      <c r="I331" s="16" t="s">
        <v>741</v>
      </c>
    </row>
    <row r="332" customFormat="false" ht="15" hidden="false" customHeight="false" outlineLevel="0" collapsed="false">
      <c r="A332" s="9" t="n">
        <v>23</v>
      </c>
      <c r="B332" s="9" t="s">
        <v>733</v>
      </c>
      <c r="C332" s="9" t="s">
        <v>396</v>
      </c>
      <c r="D332" s="9" t="s">
        <v>742</v>
      </c>
      <c r="E332" s="9" t="s">
        <v>133</v>
      </c>
      <c r="F332" s="9" t="n">
        <v>170</v>
      </c>
      <c r="G332" s="9" t="s">
        <v>61</v>
      </c>
      <c r="H332" s="14" t="n">
        <f aca="false">IFERROR(F332*VLOOKUP(E332,Insumos!$A:$G,7,FALSE()),0)</f>
        <v>8.84</v>
      </c>
      <c r="I332" s="15"/>
    </row>
    <row r="333" customFormat="false" ht="15" hidden="false" customHeight="false" outlineLevel="0" collapsed="false">
      <c r="A333" s="9" t="n">
        <v>23</v>
      </c>
      <c r="B333" s="9" t="s">
        <v>733</v>
      </c>
      <c r="C333" s="9" t="s">
        <v>396</v>
      </c>
      <c r="D333" s="9" t="s">
        <v>435</v>
      </c>
      <c r="E333" s="9" t="s">
        <v>66</v>
      </c>
      <c r="F333" s="9" t="n">
        <v>200</v>
      </c>
      <c r="G333" s="9" t="s">
        <v>61</v>
      </c>
      <c r="H333" s="14" t="n">
        <f aca="false">IFERROR(F333*VLOOKUP(E333,Insumos!$A:$G,7,FALSE()),0)</f>
        <v>12.4</v>
      </c>
      <c r="I333" s="15"/>
    </row>
    <row r="334" customFormat="false" ht="15" hidden="false" customHeight="false" outlineLevel="0" collapsed="false">
      <c r="A334" s="9" t="n">
        <v>23</v>
      </c>
      <c r="B334" s="9" t="s">
        <v>733</v>
      </c>
      <c r="C334" s="9" t="s">
        <v>396</v>
      </c>
      <c r="D334" s="9" t="s">
        <v>421</v>
      </c>
      <c r="E334" s="9" t="s">
        <v>107</v>
      </c>
      <c r="F334" s="9" t="n">
        <v>200</v>
      </c>
      <c r="G334" s="9" t="s">
        <v>61</v>
      </c>
      <c r="H334" s="14" t="n">
        <f aca="false">IFERROR(F334*VLOOKUP(E334,Insumos!$A:$G,7,FALSE()),0)</f>
        <v>5.2</v>
      </c>
      <c r="I334" s="15"/>
    </row>
    <row r="335" customFormat="false" ht="15" hidden="false" customHeight="false" outlineLevel="0" collapsed="false">
      <c r="A335" s="9" t="n">
        <v>23</v>
      </c>
      <c r="B335" s="9" t="s">
        <v>733</v>
      </c>
      <c r="C335" s="9" t="s">
        <v>396</v>
      </c>
      <c r="D335" s="9" t="s">
        <v>743</v>
      </c>
      <c r="E335" s="9" t="s">
        <v>179</v>
      </c>
      <c r="F335" s="9" t="n">
        <v>30</v>
      </c>
      <c r="G335" s="9" t="s">
        <v>61</v>
      </c>
      <c r="H335" s="14" t="n">
        <f aca="false">IFERROR(F335*VLOOKUP(E335,Insumos!$A:$G,7,FALSE()),0)</f>
        <v>23.7</v>
      </c>
      <c r="I335" s="15"/>
    </row>
    <row r="336" customFormat="false" ht="15" hidden="false" customHeight="false" outlineLevel="0" collapsed="false">
      <c r="A336" s="9" t="n">
        <v>23</v>
      </c>
      <c r="B336" s="9" t="s">
        <v>733</v>
      </c>
      <c r="C336" s="9" t="s">
        <v>396</v>
      </c>
      <c r="D336" s="9" t="s">
        <v>744</v>
      </c>
      <c r="E336" s="9" t="s">
        <v>164</v>
      </c>
      <c r="F336" s="9" t="n">
        <v>20</v>
      </c>
      <c r="G336" s="9" t="s">
        <v>61</v>
      </c>
      <c r="H336" s="14" t="n">
        <f aca="false">IFERROR(F336*VLOOKUP(E336,Insumos!$A:$G,7,FALSE()),0)</f>
        <v>5.7</v>
      </c>
      <c r="I336" s="15"/>
    </row>
    <row r="337" customFormat="false" ht="15" hidden="false" customHeight="false" outlineLevel="0" collapsed="false">
      <c r="A337" s="9" t="n">
        <v>23</v>
      </c>
      <c r="B337" s="9" t="s">
        <v>733</v>
      </c>
      <c r="C337" s="9" t="s">
        <v>396</v>
      </c>
      <c r="D337" s="9" t="s">
        <v>423</v>
      </c>
      <c r="E337" s="9" t="s">
        <v>114</v>
      </c>
      <c r="F337" s="9" t="n">
        <v>5</v>
      </c>
      <c r="G337" s="9" t="s">
        <v>61</v>
      </c>
      <c r="H337" s="14" t="n">
        <f aca="false">IFERROR(F337*VLOOKUP(E337,Insumos!$A:$G,7,FALSE()),0)</f>
        <v>0.68</v>
      </c>
      <c r="I337" s="15"/>
    </row>
    <row r="338" customFormat="false" ht="15" hidden="false" customHeight="false" outlineLevel="0" collapsed="false">
      <c r="A338" s="9" t="n">
        <v>23</v>
      </c>
      <c r="B338" s="9" t="s">
        <v>733</v>
      </c>
      <c r="C338" s="9" t="s">
        <v>396</v>
      </c>
      <c r="D338" s="9" t="s">
        <v>461</v>
      </c>
      <c r="E338" s="9" t="s">
        <v>118</v>
      </c>
      <c r="F338" s="9" t="n">
        <v>2</v>
      </c>
      <c r="G338" s="9" t="s">
        <v>61</v>
      </c>
      <c r="H338" s="14" t="n">
        <f aca="false">IFERROR(F338*VLOOKUP(E338,Insumos!$A:$G,7,FALSE()),0)</f>
        <v>0.032</v>
      </c>
      <c r="I338" s="15"/>
    </row>
    <row r="339" customFormat="false" ht="15" hidden="false" customHeight="false" outlineLevel="0" collapsed="false">
      <c r="A339" s="9" t="n">
        <v>23</v>
      </c>
      <c r="B339" s="9" t="s">
        <v>733</v>
      </c>
      <c r="C339" s="9" t="s">
        <v>396</v>
      </c>
      <c r="D339" s="9" t="s">
        <v>745</v>
      </c>
      <c r="E339" s="9" t="s">
        <v>72</v>
      </c>
      <c r="F339" s="9" t="n">
        <v>40</v>
      </c>
      <c r="G339" s="9" t="s">
        <v>74</v>
      </c>
      <c r="H339" s="14" t="n">
        <f aca="false">IFERROR(F339*VLOOKUP(E339,Insumos!$A:$G,7,FALSE()),0)</f>
        <v>1.08</v>
      </c>
      <c r="I339" s="15"/>
    </row>
    <row r="340" customFormat="false" ht="15" hidden="false" customHeight="false" outlineLevel="0" collapsed="false">
      <c r="A340" s="9" t="n">
        <v>23</v>
      </c>
      <c r="B340" s="9" t="s">
        <v>733</v>
      </c>
      <c r="C340" s="9" t="s">
        <v>396</v>
      </c>
      <c r="D340" s="9" t="s">
        <v>746</v>
      </c>
      <c r="E340" s="9" t="s">
        <v>177</v>
      </c>
      <c r="F340" s="9" t="n">
        <v>50</v>
      </c>
      <c r="G340" s="9" t="s">
        <v>61</v>
      </c>
      <c r="H340" s="14" t="n">
        <f aca="false">IFERROR(F340*VLOOKUP(E340,Insumos!$A:$G,7,FALSE()),0)</f>
        <v>34</v>
      </c>
      <c r="I340" s="15"/>
    </row>
    <row r="341" customFormat="false" ht="15" hidden="false" customHeight="false" outlineLevel="0" collapsed="false">
      <c r="A341" s="9" t="n">
        <v>23</v>
      </c>
      <c r="B341" s="9" t="s">
        <v>733</v>
      </c>
      <c r="C341" s="9" t="s">
        <v>747</v>
      </c>
      <c r="D341" s="9" t="s">
        <v>748</v>
      </c>
      <c r="E341" s="9" t="s">
        <v>170</v>
      </c>
      <c r="F341" s="9" t="n">
        <v>0</v>
      </c>
      <c r="G341" s="9" t="s">
        <v>61</v>
      </c>
      <c r="H341" s="14" t="n">
        <f aca="false">IFERROR(F341*VLOOKUP(E341,Insumos!$A:$G,7,FALSE()),0)</f>
        <v>0</v>
      </c>
      <c r="I341" s="16" t="s">
        <v>741</v>
      </c>
    </row>
    <row r="342" customFormat="false" ht="15" hidden="false" customHeight="false" outlineLevel="0" collapsed="false">
      <c r="A342" s="9" t="n">
        <v>23</v>
      </c>
      <c r="B342" s="9" t="s">
        <v>733</v>
      </c>
      <c r="C342" s="9" t="s">
        <v>747</v>
      </c>
      <c r="D342" s="9" t="s">
        <v>749</v>
      </c>
      <c r="E342" s="9" t="s">
        <v>177</v>
      </c>
      <c r="F342" s="9" t="n">
        <v>30</v>
      </c>
      <c r="G342" s="9" t="s">
        <v>61</v>
      </c>
      <c r="H342" s="14" t="n">
        <f aca="false">IFERROR(F342*VLOOKUP(E342,Insumos!$A:$G,7,FALSE()),0)</f>
        <v>20.4</v>
      </c>
      <c r="I342" s="15"/>
    </row>
    <row r="343" customFormat="false" ht="15" hidden="false" customHeight="false" outlineLevel="0" collapsed="false">
      <c r="A343" s="9" t="n">
        <v>24</v>
      </c>
      <c r="B343" s="9" t="s">
        <v>750</v>
      </c>
      <c r="C343" s="9" t="s">
        <v>751</v>
      </c>
      <c r="D343" s="9" t="s">
        <v>752</v>
      </c>
      <c r="E343" s="9" t="s">
        <v>166</v>
      </c>
      <c r="F343" s="9" t="n">
        <v>60</v>
      </c>
      <c r="G343" s="9" t="s">
        <v>61</v>
      </c>
      <c r="H343" s="14" t="n">
        <f aca="false">IFERROR(F343*VLOOKUP(E343,Insumos!$A:$G,7,FALSE()),0)</f>
        <v>39.6</v>
      </c>
      <c r="I343" s="15"/>
    </row>
    <row r="344" customFormat="false" ht="15" hidden="false" customHeight="false" outlineLevel="0" collapsed="false">
      <c r="A344" s="9" t="n">
        <v>24</v>
      </c>
      <c r="B344" s="9" t="s">
        <v>750</v>
      </c>
      <c r="C344" s="9" t="s">
        <v>751</v>
      </c>
      <c r="D344" s="9" t="s">
        <v>603</v>
      </c>
      <c r="E344" s="9" t="s">
        <v>126</v>
      </c>
      <c r="F344" s="9" t="n">
        <v>25</v>
      </c>
      <c r="G344" s="9" t="s">
        <v>61</v>
      </c>
      <c r="H344" s="14" t="n">
        <f aca="false">IFERROR(F344*VLOOKUP(E344,Insumos!$A:$G,7,FALSE()),0)</f>
        <v>0.7</v>
      </c>
      <c r="I344" s="15"/>
    </row>
    <row r="345" customFormat="false" ht="15" hidden="false" customHeight="false" outlineLevel="0" collapsed="false">
      <c r="A345" s="9" t="n">
        <v>24</v>
      </c>
      <c r="B345" s="9" t="s">
        <v>750</v>
      </c>
      <c r="C345" s="9" t="s">
        <v>751</v>
      </c>
      <c r="D345" s="9" t="s">
        <v>753</v>
      </c>
      <c r="E345" s="9" t="s">
        <v>151</v>
      </c>
      <c r="F345" s="9" t="n">
        <v>10</v>
      </c>
      <c r="G345" s="9" t="s">
        <v>74</v>
      </c>
      <c r="H345" s="14" t="n">
        <f aca="false">IFERROR(F345*VLOOKUP(E345,Insumos!$A:$G,7,FALSE()),0)</f>
        <v>0.0225</v>
      </c>
      <c r="I345" s="15"/>
    </row>
    <row r="346" customFormat="false" ht="15" hidden="false" customHeight="false" outlineLevel="0" collapsed="false">
      <c r="A346" s="9" t="n">
        <v>24</v>
      </c>
      <c r="B346" s="9" t="s">
        <v>750</v>
      </c>
      <c r="C346" s="9" t="s">
        <v>396</v>
      </c>
      <c r="D346" s="9" t="s">
        <v>754</v>
      </c>
      <c r="E346" s="9" t="s">
        <v>58</v>
      </c>
      <c r="F346" s="9" t="n">
        <v>170</v>
      </c>
      <c r="G346" s="9" t="s">
        <v>61</v>
      </c>
      <c r="H346" s="14" t="n">
        <f aca="false">IFERROR(F346*VLOOKUP(E346,Insumos!$A:$G,7,FALSE()),0)</f>
        <v>41.65</v>
      </c>
      <c r="I346" s="15"/>
    </row>
    <row r="347" customFormat="false" ht="15" hidden="false" customHeight="false" outlineLevel="0" collapsed="false">
      <c r="A347" s="9" t="n">
        <v>24</v>
      </c>
      <c r="B347" s="9" t="s">
        <v>750</v>
      </c>
      <c r="C347" s="9" t="s">
        <v>396</v>
      </c>
      <c r="D347" s="9" t="s">
        <v>755</v>
      </c>
      <c r="E347" s="9" t="s">
        <v>129</v>
      </c>
      <c r="F347" s="9" t="n">
        <v>180</v>
      </c>
      <c r="G347" s="9" t="s">
        <v>61</v>
      </c>
      <c r="H347" s="14" t="n">
        <f aca="false">IFERROR(F347*VLOOKUP(E347,Insumos!$A:$G,7,FALSE()),0)</f>
        <v>6.12</v>
      </c>
      <c r="I347" s="15"/>
    </row>
    <row r="348" customFormat="false" ht="15" hidden="false" customHeight="false" outlineLevel="0" collapsed="false">
      <c r="A348" s="9" t="n">
        <v>24</v>
      </c>
      <c r="B348" s="9" t="s">
        <v>750</v>
      </c>
      <c r="C348" s="9" t="s">
        <v>396</v>
      </c>
      <c r="D348" s="9" t="s">
        <v>756</v>
      </c>
      <c r="E348" s="9" t="s">
        <v>153</v>
      </c>
      <c r="F348" s="9" t="n">
        <v>70</v>
      </c>
      <c r="G348" s="9" t="s">
        <v>61</v>
      </c>
      <c r="H348" s="14" t="n">
        <f aca="false">IFERROR(F348*VLOOKUP(E348,Insumos!$A:$G,7,FALSE()),0)</f>
        <v>26.95</v>
      </c>
      <c r="I348" s="15"/>
    </row>
    <row r="349" customFormat="false" ht="15" hidden="false" customHeight="false" outlineLevel="0" collapsed="false">
      <c r="A349" s="9" t="n">
        <v>24</v>
      </c>
      <c r="B349" s="9" t="s">
        <v>750</v>
      </c>
      <c r="C349" s="9" t="s">
        <v>396</v>
      </c>
      <c r="D349" s="9" t="s">
        <v>435</v>
      </c>
      <c r="E349" s="9" t="s">
        <v>66</v>
      </c>
      <c r="F349" s="9" t="n">
        <v>200</v>
      </c>
      <c r="G349" s="9" t="s">
        <v>61</v>
      </c>
      <c r="H349" s="14" t="n">
        <f aca="false">IFERROR(F349*VLOOKUP(E349,Insumos!$A:$G,7,FALSE()),0)</f>
        <v>12.4</v>
      </c>
      <c r="I349" s="15"/>
    </row>
    <row r="350" customFormat="false" ht="15" hidden="false" customHeight="false" outlineLevel="0" collapsed="false">
      <c r="A350" s="9" t="n">
        <v>24</v>
      </c>
      <c r="B350" s="9" t="s">
        <v>750</v>
      </c>
      <c r="C350" s="9" t="s">
        <v>396</v>
      </c>
      <c r="D350" s="9" t="s">
        <v>421</v>
      </c>
      <c r="E350" s="9" t="s">
        <v>107</v>
      </c>
      <c r="F350" s="9" t="n">
        <v>200</v>
      </c>
      <c r="G350" s="9" t="s">
        <v>61</v>
      </c>
      <c r="H350" s="14" t="n">
        <f aca="false">IFERROR(F350*VLOOKUP(E350,Insumos!$A:$G,7,FALSE()),0)</f>
        <v>5.2</v>
      </c>
      <c r="I350" s="15"/>
    </row>
    <row r="351" customFormat="false" ht="15" hidden="false" customHeight="false" outlineLevel="0" collapsed="false">
      <c r="A351" s="9" t="n">
        <v>24</v>
      </c>
      <c r="B351" s="9" t="s">
        <v>750</v>
      </c>
      <c r="C351" s="9" t="s">
        <v>396</v>
      </c>
      <c r="D351" s="9" t="s">
        <v>757</v>
      </c>
      <c r="E351" s="9" t="s">
        <v>164</v>
      </c>
      <c r="F351" s="9" t="n">
        <v>30</v>
      </c>
      <c r="G351" s="9" t="s">
        <v>61</v>
      </c>
      <c r="H351" s="14" t="n">
        <f aca="false">IFERROR(F351*VLOOKUP(E351,Insumos!$A:$G,7,FALSE()),0)</f>
        <v>8.55</v>
      </c>
      <c r="I351" s="15"/>
    </row>
    <row r="352" customFormat="false" ht="15" hidden="false" customHeight="false" outlineLevel="0" collapsed="false">
      <c r="A352" s="9" t="n">
        <v>24</v>
      </c>
      <c r="B352" s="9" t="s">
        <v>750</v>
      </c>
      <c r="C352" s="9" t="s">
        <v>396</v>
      </c>
      <c r="D352" s="9" t="s">
        <v>423</v>
      </c>
      <c r="E352" s="9" t="s">
        <v>114</v>
      </c>
      <c r="F352" s="9" t="n">
        <v>5</v>
      </c>
      <c r="G352" s="9" t="s">
        <v>61</v>
      </c>
      <c r="H352" s="14" t="n">
        <f aca="false">IFERROR(F352*VLOOKUP(E352,Insumos!$A:$G,7,FALSE()),0)</f>
        <v>0.68</v>
      </c>
      <c r="I352" s="15"/>
    </row>
    <row r="353" customFormat="false" ht="15" hidden="false" customHeight="false" outlineLevel="0" collapsed="false">
      <c r="A353" s="9" t="n">
        <v>24</v>
      </c>
      <c r="B353" s="9" t="s">
        <v>750</v>
      </c>
      <c r="C353" s="9" t="s">
        <v>396</v>
      </c>
      <c r="D353" s="9" t="s">
        <v>461</v>
      </c>
      <c r="E353" s="9" t="s">
        <v>118</v>
      </c>
      <c r="F353" s="9" t="n">
        <v>2</v>
      </c>
      <c r="G353" s="9" t="s">
        <v>61</v>
      </c>
      <c r="H353" s="14" t="n">
        <f aca="false">IFERROR(F353*VLOOKUP(E353,Insumos!$A:$G,7,FALSE()),0)</f>
        <v>0.032</v>
      </c>
      <c r="I353" s="15"/>
    </row>
    <row r="354" customFormat="false" ht="15" hidden="false" customHeight="false" outlineLevel="0" collapsed="false">
      <c r="A354" s="9" t="n">
        <v>24</v>
      </c>
      <c r="B354" s="9" t="s">
        <v>750</v>
      </c>
      <c r="C354" s="9" t="s">
        <v>396</v>
      </c>
      <c r="D354" s="9" t="s">
        <v>758</v>
      </c>
      <c r="E354" s="9" t="s">
        <v>299</v>
      </c>
      <c r="F354" s="9" t="n">
        <v>6</v>
      </c>
      <c r="G354" s="9" t="s">
        <v>61</v>
      </c>
      <c r="H354" s="14" t="n">
        <f aca="false">IFERROR(F354*VLOOKUP(E354,Insumos!$A:$G,7,FALSE()),0)</f>
        <v>2.31</v>
      </c>
      <c r="I354" s="16" t="s">
        <v>759</v>
      </c>
    </row>
    <row r="355" customFormat="false" ht="15" hidden="false" customHeight="false" outlineLevel="0" collapsed="false">
      <c r="A355" s="9" t="n">
        <v>24</v>
      </c>
      <c r="B355" s="9" t="s">
        <v>750</v>
      </c>
      <c r="C355" s="9" t="s">
        <v>760</v>
      </c>
      <c r="D355" s="9" t="s">
        <v>544</v>
      </c>
      <c r="E355" s="9" t="s">
        <v>131</v>
      </c>
      <c r="F355" s="9" t="n">
        <v>80</v>
      </c>
      <c r="G355" s="9" t="s">
        <v>61</v>
      </c>
      <c r="H355" s="14" t="n">
        <f aca="false">IFERROR(F355*VLOOKUP(E355,Insumos!$A:$G,7,FALSE()),0)</f>
        <v>3.36</v>
      </c>
      <c r="I355" s="15"/>
    </row>
    <row r="356" customFormat="false" ht="15" hidden="false" customHeight="false" outlineLevel="0" collapsed="false">
      <c r="A356" s="9" t="n">
        <v>24</v>
      </c>
      <c r="B356" s="9" t="s">
        <v>750</v>
      </c>
      <c r="C356" s="9" t="s">
        <v>760</v>
      </c>
      <c r="D356" s="9" t="s">
        <v>761</v>
      </c>
      <c r="E356" s="9" t="s">
        <v>164</v>
      </c>
      <c r="F356" s="9" t="n">
        <v>10</v>
      </c>
      <c r="G356" s="9" t="s">
        <v>61</v>
      </c>
      <c r="H356" s="14" t="n">
        <f aca="false">IFERROR(F356*VLOOKUP(E356,Insumos!$A:$G,7,FALSE()),0)</f>
        <v>2.85</v>
      </c>
      <c r="I356" s="15"/>
    </row>
    <row r="357" customFormat="false" ht="15" hidden="false" customHeight="false" outlineLevel="0" collapsed="false">
      <c r="A357" s="9" t="n">
        <v>24</v>
      </c>
      <c r="B357" s="9" t="s">
        <v>750</v>
      </c>
      <c r="C357" s="9" t="s">
        <v>760</v>
      </c>
      <c r="D357" s="9" t="s">
        <v>762</v>
      </c>
      <c r="E357" s="9" t="s">
        <v>151</v>
      </c>
      <c r="F357" s="9" t="n">
        <v>18</v>
      </c>
      <c r="G357" s="9" t="s">
        <v>74</v>
      </c>
      <c r="H357" s="14" t="n">
        <f aca="false">IFERROR(F357*VLOOKUP(E357,Insumos!$A:$G,7,FALSE()),0)</f>
        <v>0.0405</v>
      </c>
      <c r="I357" s="15"/>
    </row>
    <row r="358" customFormat="false" ht="15" hidden="false" customHeight="false" outlineLevel="0" collapsed="false">
      <c r="A358" s="9" t="n">
        <v>25</v>
      </c>
      <c r="B358" s="9" t="s">
        <v>763</v>
      </c>
      <c r="C358" s="9" t="s">
        <v>764</v>
      </c>
      <c r="D358" s="9" t="s">
        <v>765</v>
      </c>
      <c r="E358" s="9" t="s">
        <v>299</v>
      </c>
      <c r="F358" s="9" t="n">
        <v>16</v>
      </c>
      <c r="G358" s="9" t="s">
        <v>61</v>
      </c>
      <c r="H358" s="14" t="n">
        <f aca="false">IFERROR(F358*VLOOKUP(E358,Insumos!$A:$G,7,FALSE()),0)</f>
        <v>6.16</v>
      </c>
      <c r="I358" s="16" t="s">
        <v>685</v>
      </c>
    </row>
    <row r="359" customFormat="false" ht="15" hidden="false" customHeight="false" outlineLevel="0" collapsed="false">
      <c r="A359" s="9" t="n">
        <v>25</v>
      </c>
      <c r="B359" s="9" t="s">
        <v>763</v>
      </c>
      <c r="C359" s="9" t="s">
        <v>764</v>
      </c>
      <c r="D359" s="9" t="s">
        <v>766</v>
      </c>
      <c r="E359" s="9" t="s">
        <v>301</v>
      </c>
      <c r="F359" s="9" t="n">
        <v>8</v>
      </c>
      <c r="G359" s="9" t="s">
        <v>61</v>
      </c>
      <c r="H359" s="14" t="n">
        <f aca="false">IFERROR(F359*VLOOKUP(E359,Insumos!$A:$G,7,FALSE()),0)</f>
        <v>12.4</v>
      </c>
      <c r="I359" s="15"/>
    </row>
    <row r="360" customFormat="false" ht="15" hidden="false" customHeight="false" outlineLevel="0" collapsed="false">
      <c r="A360" s="9" t="n">
        <v>25</v>
      </c>
      <c r="B360" s="9" t="s">
        <v>763</v>
      </c>
      <c r="C360" s="9" t="s">
        <v>764</v>
      </c>
      <c r="D360" s="9" t="s">
        <v>767</v>
      </c>
      <c r="E360" s="9" t="s">
        <v>542</v>
      </c>
      <c r="F360" s="9" t="n">
        <v>0</v>
      </c>
      <c r="G360" s="9" t="s">
        <v>61</v>
      </c>
      <c r="H360" s="14" t="n">
        <f aca="false">IFERROR(F360*VLOOKUP(E360,Insumos!$A:$G,7,FALSE()),0)</f>
        <v>0</v>
      </c>
      <c r="I360" s="16" t="s">
        <v>738</v>
      </c>
    </row>
    <row r="361" customFormat="false" ht="15" hidden="false" customHeight="false" outlineLevel="0" collapsed="false">
      <c r="A361" s="9" t="n">
        <v>25</v>
      </c>
      <c r="B361" s="9" t="s">
        <v>763</v>
      </c>
      <c r="C361" s="9" t="s">
        <v>396</v>
      </c>
      <c r="D361" s="9" t="s">
        <v>768</v>
      </c>
      <c r="E361" s="9" t="s">
        <v>58</v>
      </c>
      <c r="F361" s="9" t="n">
        <v>180</v>
      </c>
      <c r="G361" s="9" t="s">
        <v>61</v>
      </c>
      <c r="H361" s="14" t="n">
        <f aca="false">IFERROR(F361*VLOOKUP(E361,Insumos!$A:$G,7,FALSE()),0)</f>
        <v>44.1</v>
      </c>
      <c r="I361" s="15"/>
    </row>
    <row r="362" customFormat="false" ht="15" hidden="false" customHeight="false" outlineLevel="0" collapsed="false">
      <c r="A362" s="9" t="n">
        <v>25</v>
      </c>
      <c r="B362" s="9" t="s">
        <v>763</v>
      </c>
      <c r="C362" s="9" t="s">
        <v>396</v>
      </c>
      <c r="D362" s="9" t="s">
        <v>719</v>
      </c>
      <c r="E362" s="9" t="s">
        <v>133</v>
      </c>
      <c r="F362" s="9" t="n">
        <v>190</v>
      </c>
      <c r="G362" s="9" t="s">
        <v>61</v>
      </c>
      <c r="H362" s="14" t="n">
        <f aca="false">IFERROR(F362*VLOOKUP(E362,Insumos!$A:$G,7,FALSE()),0)</f>
        <v>9.88</v>
      </c>
      <c r="I362" s="15"/>
    </row>
    <row r="363" customFormat="false" ht="15" hidden="false" customHeight="false" outlineLevel="0" collapsed="false">
      <c r="A363" s="9" t="n">
        <v>25</v>
      </c>
      <c r="B363" s="9" t="s">
        <v>763</v>
      </c>
      <c r="C363" s="9" t="s">
        <v>396</v>
      </c>
      <c r="D363" s="9" t="s">
        <v>505</v>
      </c>
      <c r="E363" s="9" t="s">
        <v>66</v>
      </c>
      <c r="F363" s="9" t="n">
        <v>200</v>
      </c>
      <c r="G363" s="9" t="s">
        <v>61</v>
      </c>
      <c r="H363" s="14" t="n">
        <f aca="false">IFERROR(F363*VLOOKUP(E363,Insumos!$A:$G,7,FALSE()),0)</f>
        <v>12.4</v>
      </c>
      <c r="I363" s="15"/>
    </row>
    <row r="364" customFormat="false" ht="15" hidden="false" customHeight="false" outlineLevel="0" collapsed="false">
      <c r="A364" s="9" t="n">
        <v>25</v>
      </c>
      <c r="B364" s="9" t="s">
        <v>763</v>
      </c>
      <c r="C364" s="9" t="s">
        <v>396</v>
      </c>
      <c r="D364" s="9" t="s">
        <v>495</v>
      </c>
      <c r="E364" s="9" t="s">
        <v>107</v>
      </c>
      <c r="F364" s="9" t="n">
        <v>220</v>
      </c>
      <c r="G364" s="9" t="s">
        <v>61</v>
      </c>
      <c r="H364" s="14" t="n">
        <f aca="false">IFERROR(F364*VLOOKUP(E364,Insumos!$A:$G,7,FALSE()),0)</f>
        <v>5.72</v>
      </c>
      <c r="I364" s="15"/>
    </row>
    <row r="365" customFormat="false" ht="15" hidden="false" customHeight="false" outlineLevel="0" collapsed="false">
      <c r="A365" s="9" t="n">
        <v>25</v>
      </c>
      <c r="B365" s="9" t="s">
        <v>763</v>
      </c>
      <c r="C365" s="9" t="s">
        <v>396</v>
      </c>
      <c r="D365" s="9" t="s">
        <v>550</v>
      </c>
      <c r="E365" s="9" t="s">
        <v>172</v>
      </c>
      <c r="F365" s="9" t="n">
        <v>25</v>
      </c>
      <c r="G365" s="9" t="s">
        <v>61</v>
      </c>
      <c r="H365" s="14" t="n">
        <f aca="false">IFERROR(F365*VLOOKUP(E365,Insumos!$A:$G,7,FALSE()),0)</f>
        <v>10.625</v>
      </c>
      <c r="I365" s="15"/>
    </row>
    <row r="366" customFormat="false" ht="15" hidden="false" customHeight="false" outlineLevel="0" collapsed="false">
      <c r="A366" s="9" t="n">
        <v>25</v>
      </c>
      <c r="B366" s="9" t="s">
        <v>763</v>
      </c>
      <c r="C366" s="9" t="s">
        <v>396</v>
      </c>
      <c r="D366" s="9" t="s">
        <v>423</v>
      </c>
      <c r="E366" s="9" t="s">
        <v>114</v>
      </c>
      <c r="F366" s="9" t="n">
        <v>5</v>
      </c>
      <c r="G366" s="9" t="s">
        <v>61</v>
      </c>
      <c r="H366" s="14" t="n">
        <f aca="false">IFERROR(F366*VLOOKUP(E366,Insumos!$A:$G,7,FALSE()),0)</f>
        <v>0.68</v>
      </c>
      <c r="I366" s="15"/>
    </row>
    <row r="367" customFormat="false" ht="15" hidden="false" customHeight="false" outlineLevel="0" collapsed="false">
      <c r="A367" s="9" t="n">
        <v>25</v>
      </c>
      <c r="B367" s="9" t="s">
        <v>763</v>
      </c>
      <c r="C367" s="9" t="s">
        <v>396</v>
      </c>
      <c r="D367" s="9" t="s">
        <v>483</v>
      </c>
      <c r="E367" s="9" t="s">
        <v>120</v>
      </c>
      <c r="F367" s="9" t="n">
        <v>2</v>
      </c>
      <c r="G367" s="9" t="s">
        <v>61</v>
      </c>
      <c r="H367" s="14" t="n">
        <f aca="false">IFERROR(F367*VLOOKUP(E367,Insumos!$A:$G,7,FALSE()),0)</f>
        <v>0.168</v>
      </c>
      <c r="I367" s="15"/>
    </row>
    <row r="368" customFormat="false" ht="15" hidden="false" customHeight="false" outlineLevel="0" collapsed="false">
      <c r="A368" s="9" t="n">
        <v>25</v>
      </c>
      <c r="B368" s="9" t="s">
        <v>763</v>
      </c>
      <c r="C368" s="9" t="s">
        <v>396</v>
      </c>
      <c r="D368" s="9" t="s">
        <v>579</v>
      </c>
      <c r="E368" s="9" t="s">
        <v>75</v>
      </c>
      <c r="F368" s="9" t="n">
        <v>40</v>
      </c>
      <c r="G368" s="9" t="s">
        <v>74</v>
      </c>
      <c r="H368" s="14" t="n">
        <f aca="false">IFERROR(F368*VLOOKUP(E368,Insumos!$A:$G,7,FALSE()),0)</f>
        <v>4.72</v>
      </c>
      <c r="I368" s="15"/>
    </row>
    <row r="369" customFormat="false" ht="15" hidden="false" customHeight="false" outlineLevel="0" collapsed="false">
      <c r="A369" s="9" t="n">
        <v>25</v>
      </c>
      <c r="B369" s="9" t="s">
        <v>763</v>
      </c>
      <c r="C369" s="9" t="s">
        <v>769</v>
      </c>
      <c r="D369" s="9" t="s">
        <v>770</v>
      </c>
      <c r="E369" s="9" t="s">
        <v>147</v>
      </c>
      <c r="F369" s="9" t="n">
        <v>140</v>
      </c>
      <c r="G369" s="9" t="s">
        <v>61</v>
      </c>
      <c r="H369" s="14" t="n">
        <f aca="false">IFERROR(F369*VLOOKUP(E369,Insumos!$A:$G,7,FALSE()),0)</f>
        <v>20.72</v>
      </c>
      <c r="I369" s="15"/>
    </row>
    <row r="370" customFormat="false" ht="15" hidden="false" customHeight="false" outlineLevel="0" collapsed="false">
      <c r="A370" s="9" t="n">
        <v>25</v>
      </c>
      <c r="B370" s="9" t="s">
        <v>763</v>
      </c>
      <c r="C370" s="9" t="s">
        <v>405</v>
      </c>
      <c r="D370" s="9" t="s">
        <v>771</v>
      </c>
      <c r="E370" s="9" t="s">
        <v>299</v>
      </c>
      <c r="F370" s="9" t="n">
        <v>16</v>
      </c>
      <c r="G370" s="9" t="s">
        <v>61</v>
      </c>
      <c r="H370" s="14" t="n">
        <f aca="false">IFERROR(F370*VLOOKUP(E370,Insumos!$A:$G,7,FALSE()),0)</f>
        <v>6.16</v>
      </c>
      <c r="I370" s="16" t="s">
        <v>685</v>
      </c>
    </row>
    <row r="371" customFormat="false" ht="15" hidden="false" customHeight="false" outlineLevel="0" collapsed="false">
      <c r="A371" s="9" t="n">
        <v>25</v>
      </c>
      <c r="B371" s="9" t="s">
        <v>763</v>
      </c>
      <c r="C371" s="9" t="s">
        <v>405</v>
      </c>
      <c r="D371" s="9" t="s">
        <v>772</v>
      </c>
      <c r="E371" s="9" t="s">
        <v>126</v>
      </c>
      <c r="F371" s="9" t="n">
        <v>25</v>
      </c>
      <c r="G371" s="9" t="s">
        <v>61</v>
      </c>
      <c r="H371" s="14" t="n">
        <f aca="false">IFERROR(F371*VLOOKUP(E371,Insumos!$A:$G,7,FALSE()),0)</f>
        <v>0.7</v>
      </c>
      <c r="I371" s="15"/>
    </row>
    <row r="372" customFormat="false" ht="15" hidden="false" customHeight="false" outlineLevel="0" collapsed="false">
      <c r="A372" s="9" t="n">
        <v>25</v>
      </c>
      <c r="B372" s="9" t="s">
        <v>763</v>
      </c>
      <c r="C372" s="9" t="s">
        <v>405</v>
      </c>
      <c r="D372" s="9" t="s">
        <v>773</v>
      </c>
      <c r="E372" s="9" t="s">
        <v>334</v>
      </c>
      <c r="F372" s="9" t="n">
        <v>15</v>
      </c>
      <c r="G372" s="9" t="s">
        <v>74</v>
      </c>
      <c r="H372" s="14" t="n">
        <f aca="false">IFERROR(F372*VLOOKUP(E372,Insumos!$A:$G,7,FALSE()),0)</f>
        <v>6.8</v>
      </c>
      <c r="I372" s="15"/>
    </row>
    <row r="373" customFormat="false" ht="15" hidden="false" customHeight="false" outlineLevel="0" collapsed="false">
      <c r="A373" s="9" t="n">
        <v>26</v>
      </c>
      <c r="B373" s="9" t="s">
        <v>774</v>
      </c>
      <c r="C373" s="9" t="s">
        <v>396</v>
      </c>
      <c r="D373" s="9" t="s">
        <v>775</v>
      </c>
      <c r="E373" s="9" t="s">
        <v>58</v>
      </c>
      <c r="F373" s="9" t="n">
        <v>170</v>
      </c>
      <c r="G373" s="9" t="s">
        <v>61</v>
      </c>
      <c r="H373" s="14" t="n">
        <f aca="false">IFERROR(F373*VLOOKUP(E373,Insumos!$A:$G,7,FALSE()),0)</f>
        <v>41.65</v>
      </c>
      <c r="I373" s="15"/>
    </row>
    <row r="374" customFormat="false" ht="15" hidden="false" customHeight="false" outlineLevel="0" collapsed="false">
      <c r="A374" s="9" t="n">
        <v>26</v>
      </c>
      <c r="B374" s="9" t="s">
        <v>774</v>
      </c>
      <c r="C374" s="9" t="s">
        <v>396</v>
      </c>
      <c r="D374" s="9" t="s">
        <v>661</v>
      </c>
      <c r="E374" s="9" t="s">
        <v>129</v>
      </c>
      <c r="F374" s="9" t="n">
        <v>190</v>
      </c>
      <c r="G374" s="9" t="s">
        <v>61</v>
      </c>
      <c r="H374" s="14" t="n">
        <f aca="false">IFERROR(F374*VLOOKUP(E374,Insumos!$A:$G,7,FALSE()),0)</f>
        <v>6.46</v>
      </c>
      <c r="I374" s="15"/>
    </row>
    <row r="375" customFormat="false" ht="15" hidden="false" customHeight="false" outlineLevel="0" collapsed="false">
      <c r="A375" s="9" t="n">
        <v>26</v>
      </c>
      <c r="B375" s="9" t="s">
        <v>774</v>
      </c>
      <c r="C375" s="9" t="s">
        <v>396</v>
      </c>
      <c r="D375" s="9" t="s">
        <v>505</v>
      </c>
      <c r="E375" s="9" t="s">
        <v>66</v>
      </c>
      <c r="F375" s="9" t="n">
        <v>200</v>
      </c>
      <c r="G375" s="9" t="s">
        <v>61</v>
      </c>
      <c r="H375" s="14" t="n">
        <f aca="false">IFERROR(F375*VLOOKUP(E375,Insumos!$A:$G,7,FALSE()),0)</f>
        <v>12.4</v>
      </c>
      <c r="I375" s="15"/>
    </row>
    <row r="376" customFormat="false" ht="15" hidden="false" customHeight="false" outlineLevel="0" collapsed="false">
      <c r="A376" s="9" t="n">
        <v>26</v>
      </c>
      <c r="B376" s="9" t="s">
        <v>774</v>
      </c>
      <c r="C376" s="9" t="s">
        <v>396</v>
      </c>
      <c r="D376" s="9" t="s">
        <v>720</v>
      </c>
      <c r="E376" s="9" t="s">
        <v>107</v>
      </c>
      <c r="F376" s="9" t="n">
        <v>190</v>
      </c>
      <c r="G376" s="9" t="s">
        <v>61</v>
      </c>
      <c r="H376" s="14" t="n">
        <f aca="false">IFERROR(F376*VLOOKUP(E376,Insumos!$A:$G,7,FALSE()),0)</f>
        <v>4.94</v>
      </c>
      <c r="I376" s="15"/>
    </row>
    <row r="377" customFormat="false" ht="15" hidden="false" customHeight="false" outlineLevel="0" collapsed="false">
      <c r="A377" s="9" t="n">
        <v>26</v>
      </c>
      <c r="B377" s="9" t="s">
        <v>774</v>
      </c>
      <c r="C377" s="9" t="s">
        <v>396</v>
      </c>
      <c r="D377" s="9" t="s">
        <v>776</v>
      </c>
      <c r="E377" s="9" t="s">
        <v>164</v>
      </c>
      <c r="F377" s="9" t="n">
        <v>40</v>
      </c>
      <c r="G377" s="9" t="s">
        <v>61</v>
      </c>
      <c r="H377" s="14" t="n">
        <f aca="false">IFERROR(F377*VLOOKUP(E377,Insumos!$A:$G,7,FALSE()),0)</f>
        <v>11.4</v>
      </c>
      <c r="I377" s="15"/>
    </row>
    <row r="378" customFormat="false" ht="15" hidden="false" customHeight="false" outlineLevel="0" collapsed="false">
      <c r="A378" s="9" t="n">
        <v>26</v>
      </c>
      <c r="B378" s="9" t="s">
        <v>774</v>
      </c>
      <c r="C378" s="9" t="s">
        <v>396</v>
      </c>
      <c r="D378" s="9" t="s">
        <v>423</v>
      </c>
      <c r="E378" s="9" t="s">
        <v>114</v>
      </c>
      <c r="F378" s="9" t="n">
        <v>5</v>
      </c>
      <c r="G378" s="9" t="s">
        <v>61</v>
      </c>
      <c r="H378" s="14" t="n">
        <f aca="false">IFERROR(F378*VLOOKUP(E378,Insumos!$A:$G,7,FALSE()),0)</f>
        <v>0.68</v>
      </c>
      <c r="I378" s="15"/>
    </row>
    <row r="379" customFormat="false" ht="15" hidden="false" customHeight="false" outlineLevel="0" collapsed="false">
      <c r="A379" s="9" t="n">
        <v>26</v>
      </c>
      <c r="B379" s="9" t="s">
        <v>774</v>
      </c>
      <c r="C379" s="9" t="s">
        <v>396</v>
      </c>
      <c r="D379" s="9" t="s">
        <v>461</v>
      </c>
      <c r="E379" s="9" t="s">
        <v>118</v>
      </c>
      <c r="F379" s="9" t="n">
        <v>2</v>
      </c>
      <c r="G379" s="9" t="s">
        <v>61</v>
      </c>
      <c r="H379" s="14" t="n">
        <f aca="false">IFERROR(F379*VLOOKUP(E379,Insumos!$A:$G,7,FALSE()),0)</f>
        <v>0.032</v>
      </c>
      <c r="I379" s="15"/>
    </row>
    <row r="380" customFormat="false" ht="15" hidden="false" customHeight="false" outlineLevel="0" collapsed="false">
      <c r="A380" s="9" t="n">
        <v>26</v>
      </c>
      <c r="B380" s="9" t="s">
        <v>774</v>
      </c>
      <c r="C380" s="9" t="s">
        <v>396</v>
      </c>
      <c r="D380" s="9" t="s">
        <v>777</v>
      </c>
      <c r="E380" s="9" t="s">
        <v>72</v>
      </c>
      <c r="F380" s="9" t="n">
        <v>45</v>
      </c>
      <c r="G380" s="9" t="s">
        <v>74</v>
      </c>
      <c r="H380" s="14" t="n">
        <f aca="false">IFERROR(F380*VLOOKUP(E380,Insumos!$A:$G,7,FALSE()),0)</f>
        <v>1.215</v>
      </c>
      <c r="I380" s="15"/>
    </row>
    <row r="381" customFormat="false" ht="15" hidden="false" customHeight="false" outlineLevel="0" collapsed="false">
      <c r="A381" s="9" t="n">
        <v>26</v>
      </c>
      <c r="B381" s="9" t="s">
        <v>774</v>
      </c>
      <c r="C381" s="9" t="s">
        <v>396</v>
      </c>
      <c r="D381" s="9" t="s">
        <v>778</v>
      </c>
      <c r="E381" s="9" t="s">
        <v>309</v>
      </c>
      <c r="F381" s="9" t="n">
        <v>4</v>
      </c>
      <c r="G381" s="9" t="s">
        <v>74</v>
      </c>
      <c r="H381" s="14" t="n">
        <f aca="false">IFERROR(F381*VLOOKUP(E381,Insumos!$A:$G,7,FALSE()),0)</f>
        <v>9</v>
      </c>
      <c r="I381" s="15"/>
    </row>
    <row r="382" customFormat="false" ht="15" hidden="false" customHeight="false" outlineLevel="0" collapsed="false">
      <c r="A382" s="9" t="n">
        <v>26</v>
      </c>
      <c r="B382" s="9" t="s">
        <v>774</v>
      </c>
      <c r="C382" s="9" t="s">
        <v>396</v>
      </c>
      <c r="D382" s="9" t="s">
        <v>779</v>
      </c>
      <c r="E382" s="9" t="s">
        <v>162</v>
      </c>
      <c r="F382" s="9" t="n">
        <v>90</v>
      </c>
      <c r="G382" s="9" t="s">
        <v>61</v>
      </c>
      <c r="H382" s="14" t="n">
        <f aca="false">IFERROR(F382*VLOOKUP(E382,Insumos!$A:$G,7,FALSE()),0)</f>
        <v>17.55</v>
      </c>
      <c r="I382" s="15"/>
    </row>
    <row r="383" customFormat="false" ht="15" hidden="false" customHeight="false" outlineLevel="0" collapsed="false">
      <c r="A383" s="9" t="n">
        <v>26</v>
      </c>
      <c r="B383" s="9" t="s">
        <v>774</v>
      </c>
      <c r="C383" s="9" t="s">
        <v>780</v>
      </c>
      <c r="D383" s="9" t="s">
        <v>498</v>
      </c>
      <c r="E383" s="9" t="s">
        <v>131</v>
      </c>
      <c r="F383" s="9" t="n">
        <v>70</v>
      </c>
      <c r="G383" s="9" t="s">
        <v>61</v>
      </c>
      <c r="H383" s="14" t="n">
        <f aca="false">IFERROR(F383*VLOOKUP(E383,Insumos!$A:$G,7,FALSE()),0)</f>
        <v>2.94</v>
      </c>
      <c r="I383" s="15"/>
    </row>
    <row r="384" customFormat="false" ht="15" hidden="false" customHeight="false" outlineLevel="0" collapsed="false">
      <c r="A384" s="9" t="n">
        <v>26</v>
      </c>
      <c r="B384" s="9" t="s">
        <v>774</v>
      </c>
      <c r="C384" s="9" t="s">
        <v>780</v>
      </c>
      <c r="D384" s="9" t="s">
        <v>781</v>
      </c>
      <c r="E384" s="9" t="s">
        <v>164</v>
      </c>
      <c r="F384" s="9" t="n">
        <v>10</v>
      </c>
      <c r="G384" s="9" t="s">
        <v>61</v>
      </c>
      <c r="H384" s="14" t="n">
        <f aca="false">IFERROR(F384*VLOOKUP(E384,Insumos!$A:$G,7,FALSE()),0)</f>
        <v>2.85</v>
      </c>
      <c r="I384" s="15"/>
    </row>
    <row r="385" customFormat="false" ht="15" hidden="false" customHeight="false" outlineLevel="0" collapsed="false">
      <c r="A385" s="9" t="n">
        <v>26</v>
      </c>
      <c r="B385" s="9" t="s">
        <v>774</v>
      </c>
      <c r="C385" s="9" t="s">
        <v>780</v>
      </c>
      <c r="D385" s="9" t="s">
        <v>782</v>
      </c>
      <c r="E385" s="9" t="s">
        <v>151</v>
      </c>
      <c r="F385" s="9" t="n">
        <v>15</v>
      </c>
      <c r="G385" s="9" t="s">
        <v>74</v>
      </c>
      <c r="H385" s="14" t="n">
        <f aca="false">IFERROR(F385*VLOOKUP(E385,Insumos!$A:$G,7,FALSE()),0)</f>
        <v>0.03375</v>
      </c>
      <c r="I385" s="15"/>
    </row>
    <row r="386" customFormat="false" ht="15" hidden="false" customHeight="false" outlineLevel="0" collapsed="false">
      <c r="A386" s="9" t="n">
        <v>26</v>
      </c>
      <c r="B386" s="9" t="s">
        <v>774</v>
      </c>
      <c r="C386" s="9" t="s">
        <v>780</v>
      </c>
      <c r="D386" s="9" t="s">
        <v>783</v>
      </c>
      <c r="E386" s="9" t="s">
        <v>309</v>
      </c>
      <c r="F386" s="9" t="n">
        <v>1</v>
      </c>
      <c r="G386" s="9" t="s">
        <v>74</v>
      </c>
      <c r="H386" s="14" t="n">
        <f aca="false">IFERROR(F386*VLOOKUP(E386,Insumos!$A:$G,7,FALSE()),0)</f>
        <v>2.25</v>
      </c>
      <c r="I386" s="15"/>
    </row>
    <row r="387" customFormat="false" ht="15" hidden="false" customHeight="false" outlineLevel="0" collapsed="false">
      <c r="A387" s="9" t="n">
        <v>27</v>
      </c>
      <c r="B387" s="9" t="s">
        <v>784</v>
      </c>
      <c r="C387" s="9" t="s">
        <v>785</v>
      </c>
      <c r="D387" s="9" t="s">
        <v>786</v>
      </c>
      <c r="E387" s="9" t="s">
        <v>319</v>
      </c>
      <c r="F387" s="9" t="n">
        <v>50</v>
      </c>
      <c r="G387" s="9" t="s">
        <v>61</v>
      </c>
      <c r="H387" s="14" t="n">
        <f aca="false">IFERROR(F387*VLOOKUP(E387,Insumos!$A:$G,7,FALSE()),0)</f>
        <v>16.5</v>
      </c>
      <c r="I387" s="15"/>
    </row>
    <row r="388" customFormat="false" ht="15" hidden="false" customHeight="false" outlineLevel="0" collapsed="false">
      <c r="A388" s="9" t="n">
        <v>27</v>
      </c>
      <c r="B388" s="9" t="s">
        <v>784</v>
      </c>
      <c r="C388" s="9" t="s">
        <v>785</v>
      </c>
      <c r="D388" s="9" t="s">
        <v>787</v>
      </c>
      <c r="E388" s="9" t="s">
        <v>168</v>
      </c>
      <c r="F388" s="9" t="n">
        <v>60</v>
      </c>
      <c r="G388" s="9" t="s">
        <v>61</v>
      </c>
      <c r="H388" s="14" t="n">
        <f aca="false">IFERROR(F388*VLOOKUP(E388,Insumos!$A:$G,7,FALSE()),0)</f>
        <v>17.4</v>
      </c>
      <c r="I388" s="15"/>
    </row>
    <row r="389" customFormat="false" ht="15" hidden="false" customHeight="false" outlineLevel="0" collapsed="false">
      <c r="A389" s="9" t="n">
        <v>27</v>
      </c>
      <c r="B389" s="9" t="s">
        <v>784</v>
      </c>
      <c r="C389" s="9" t="s">
        <v>785</v>
      </c>
      <c r="D389" s="9" t="s">
        <v>788</v>
      </c>
      <c r="E389" s="9" t="s">
        <v>299</v>
      </c>
      <c r="F389" s="9" t="n">
        <v>16</v>
      </c>
      <c r="G389" s="9" t="s">
        <v>61</v>
      </c>
      <c r="H389" s="14" t="n">
        <f aca="false">IFERROR(F389*VLOOKUP(E389,Insumos!$A:$G,7,FALSE()),0)</f>
        <v>6.16</v>
      </c>
      <c r="I389" s="16" t="s">
        <v>685</v>
      </c>
    </row>
    <row r="390" customFormat="false" ht="15" hidden="false" customHeight="false" outlineLevel="0" collapsed="false">
      <c r="A390" s="9" t="n">
        <v>27</v>
      </c>
      <c r="B390" s="9" t="s">
        <v>784</v>
      </c>
      <c r="C390" s="9" t="s">
        <v>396</v>
      </c>
      <c r="D390" s="9" t="s">
        <v>605</v>
      </c>
      <c r="E390" s="9" t="s">
        <v>58</v>
      </c>
      <c r="F390" s="9" t="n">
        <v>160</v>
      </c>
      <c r="G390" s="9" t="s">
        <v>61</v>
      </c>
      <c r="H390" s="14" t="n">
        <f aca="false">IFERROR(F390*VLOOKUP(E390,Insumos!$A:$G,7,FALSE()),0)</f>
        <v>39.2</v>
      </c>
      <c r="I390" s="15"/>
    </row>
    <row r="391" customFormat="false" ht="15" hidden="false" customHeight="false" outlineLevel="0" collapsed="false">
      <c r="A391" s="9" t="n">
        <v>27</v>
      </c>
      <c r="B391" s="9" t="s">
        <v>784</v>
      </c>
      <c r="C391" s="9" t="s">
        <v>396</v>
      </c>
      <c r="D391" s="9" t="s">
        <v>493</v>
      </c>
      <c r="E391" s="9" t="s">
        <v>133</v>
      </c>
      <c r="F391" s="9" t="n">
        <v>180</v>
      </c>
      <c r="G391" s="9" t="s">
        <v>61</v>
      </c>
      <c r="H391" s="14" t="n">
        <f aca="false">IFERROR(F391*VLOOKUP(E391,Insumos!$A:$G,7,FALSE()),0)</f>
        <v>9.36</v>
      </c>
      <c r="I391" s="15"/>
    </row>
    <row r="392" customFormat="false" ht="15" hidden="false" customHeight="false" outlineLevel="0" collapsed="false">
      <c r="A392" s="9" t="n">
        <v>27</v>
      </c>
      <c r="B392" s="9" t="s">
        <v>784</v>
      </c>
      <c r="C392" s="9" t="s">
        <v>396</v>
      </c>
      <c r="D392" s="9" t="s">
        <v>435</v>
      </c>
      <c r="E392" s="9" t="s">
        <v>66</v>
      </c>
      <c r="F392" s="9" t="n">
        <v>200</v>
      </c>
      <c r="G392" s="9" t="s">
        <v>61</v>
      </c>
      <c r="H392" s="14" t="n">
        <f aca="false">IFERROR(F392*VLOOKUP(E392,Insumos!$A:$G,7,FALSE()),0)</f>
        <v>12.4</v>
      </c>
      <c r="I392" s="15"/>
    </row>
    <row r="393" customFormat="false" ht="15" hidden="false" customHeight="false" outlineLevel="0" collapsed="false">
      <c r="A393" s="9" t="n">
        <v>27</v>
      </c>
      <c r="B393" s="9" t="s">
        <v>784</v>
      </c>
      <c r="C393" s="9" t="s">
        <v>396</v>
      </c>
      <c r="D393" s="9" t="s">
        <v>612</v>
      </c>
      <c r="E393" s="9" t="s">
        <v>107</v>
      </c>
      <c r="F393" s="9" t="n">
        <v>210</v>
      </c>
      <c r="G393" s="9" t="s">
        <v>61</v>
      </c>
      <c r="H393" s="14" t="n">
        <f aca="false">IFERROR(F393*VLOOKUP(E393,Insumos!$A:$G,7,FALSE()),0)</f>
        <v>5.46</v>
      </c>
      <c r="I393" s="15"/>
    </row>
    <row r="394" customFormat="false" ht="15" hidden="false" customHeight="false" outlineLevel="0" collapsed="false">
      <c r="A394" s="9" t="n">
        <v>27</v>
      </c>
      <c r="B394" s="9" t="s">
        <v>784</v>
      </c>
      <c r="C394" s="9" t="s">
        <v>396</v>
      </c>
      <c r="D394" s="9" t="s">
        <v>789</v>
      </c>
      <c r="E394" s="9" t="s">
        <v>164</v>
      </c>
      <c r="F394" s="9" t="n">
        <v>25</v>
      </c>
      <c r="G394" s="9" t="s">
        <v>61</v>
      </c>
      <c r="H394" s="14" t="n">
        <f aca="false">IFERROR(F394*VLOOKUP(E394,Insumos!$A:$G,7,FALSE()),0)</f>
        <v>7.125</v>
      </c>
      <c r="I394" s="15"/>
    </row>
    <row r="395" customFormat="false" ht="15" hidden="false" customHeight="false" outlineLevel="0" collapsed="false">
      <c r="A395" s="9" t="n">
        <v>27</v>
      </c>
      <c r="B395" s="9" t="s">
        <v>784</v>
      </c>
      <c r="C395" s="9" t="s">
        <v>396</v>
      </c>
      <c r="D395" s="9" t="s">
        <v>423</v>
      </c>
      <c r="E395" s="9" t="s">
        <v>114</v>
      </c>
      <c r="F395" s="9" t="n">
        <v>5</v>
      </c>
      <c r="G395" s="9" t="s">
        <v>61</v>
      </c>
      <c r="H395" s="14" t="n">
        <f aca="false">IFERROR(F395*VLOOKUP(E395,Insumos!$A:$G,7,FALSE()),0)</f>
        <v>0.68</v>
      </c>
      <c r="I395" s="15"/>
    </row>
    <row r="396" customFormat="false" ht="15" hidden="false" customHeight="false" outlineLevel="0" collapsed="false">
      <c r="A396" s="9" t="n">
        <v>27</v>
      </c>
      <c r="B396" s="9" t="s">
        <v>784</v>
      </c>
      <c r="C396" s="9" t="s">
        <v>396</v>
      </c>
      <c r="D396" s="9" t="s">
        <v>790</v>
      </c>
      <c r="E396" s="9" t="s">
        <v>277</v>
      </c>
      <c r="F396" s="9" t="n">
        <v>2</v>
      </c>
      <c r="G396" s="9" t="s">
        <v>61</v>
      </c>
      <c r="H396" s="14" t="n">
        <f aca="false">IFERROR(F396*VLOOKUP(E396,Insumos!$A:$G,7,FALSE()),0)</f>
        <v>1.48</v>
      </c>
      <c r="I396" s="15"/>
    </row>
    <row r="397" customFormat="false" ht="15" hidden="false" customHeight="false" outlineLevel="0" collapsed="false">
      <c r="A397" s="9" t="n">
        <v>27</v>
      </c>
      <c r="B397" s="9" t="s">
        <v>784</v>
      </c>
      <c r="C397" s="9" t="s">
        <v>396</v>
      </c>
      <c r="D397" s="9" t="s">
        <v>791</v>
      </c>
      <c r="E397" s="9" t="s">
        <v>287</v>
      </c>
      <c r="F397" s="9" t="n">
        <v>1</v>
      </c>
      <c r="G397" s="9" t="s">
        <v>61</v>
      </c>
      <c r="H397" s="14" t="n">
        <f aca="false">IFERROR(F397*VLOOKUP(E397,Insumos!$A:$G,7,FALSE()),0)</f>
        <v>0.78</v>
      </c>
      <c r="I397" s="15"/>
    </row>
    <row r="398" customFormat="false" ht="15" hidden="false" customHeight="false" outlineLevel="0" collapsed="false">
      <c r="A398" s="9" t="n">
        <v>27</v>
      </c>
      <c r="B398" s="9" t="s">
        <v>784</v>
      </c>
      <c r="C398" s="9" t="s">
        <v>396</v>
      </c>
      <c r="D398" s="9" t="s">
        <v>490</v>
      </c>
      <c r="E398" s="9" t="s">
        <v>122</v>
      </c>
      <c r="F398" s="9" t="n">
        <v>2</v>
      </c>
      <c r="G398" s="9" t="s">
        <v>61</v>
      </c>
      <c r="H398" s="14" t="n">
        <f aca="false">IFERROR(F398*VLOOKUP(E398,Insumos!$A:$G,7,FALSE()),0)</f>
        <v>1.56</v>
      </c>
      <c r="I398" s="15"/>
    </row>
    <row r="399" customFormat="false" ht="15" hidden="false" customHeight="false" outlineLevel="0" collapsed="false">
      <c r="A399" s="9" t="n">
        <v>27</v>
      </c>
      <c r="B399" s="9" t="s">
        <v>784</v>
      </c>
      <c r="C399" s="9" t="s">
        <v>405</v>
      </c>
      <c r="D399" s="9" t="s">
        <v>406</v>
      </c>
      <c r="E399" s="9" t="s">
        <v>151</v>
      </c>
      <c r="F399" s="9" t="n">
        <v>50</v>
      </c>
      <c r="G399" s="9" t="s">
        <v>74</v>
      </c>
      <c r="H399" s="14" t="n">
        <f aca="false">IFERROR(F399*VLOOKUP(E399,Insumos!$A:$G,7,FALSE()),0)</f>
        <v>0.1125</v>
      </c>
      <c r="I399" s="15"/>
    </row>
    <row r="400" customFormat="false" ht="15" hidden="false" customHeight="false" outlineLevel="0" collapsed="false">
      <c r="A400" s="9" t="n">
        <v>27</v>
      </c>
      <c r="B400" s="9" t="s">
        <v>784</v>
      </c>
      <c r="C400" s="9" t="s">
        <v>405</v>
      </c>
      <c r="D400" s="9" t="s">
        <v>792</v>
      </c>
      <c r="E400" s="9" t="s">
        <v>137</v>
      </c>
      <c r="F400" s="9" t="n">
        <v>35</v>
      </c>
      <c r="G400" s="9" t="s">
        <v>61</v>
      </c>
      <c r="H400" s="14" t="n">
        <f aca="false">IFERROR(F400*VLOOKUP(E400,Insumos!$A:$G,7,FALSE()),0)</f>
        <v>1.61</v>
      </c>
      <c r="I400" s="15"/>
    </row>
    <row r="401" customFormat="false" ht="15" hidden="false" customHeight="false" outlineLevel="0" collapsed="false">
      <c r="A401" s="9" t="n">
        <v>27</v>
      </c>
      <c r="B401" s="9" t="s">
        <v>784</v>
      </c>
      <c r="C401" s="9" t="s">
        <v>405</v>
      </c>
      <c r="D401" s="9" t="s">
        <v>793</v>
      </c>
      <c r="E401" s="9" t="s">
        <v>279</v>
      </c>
      <c r="F401" s="9" t="n">
        <v>2</v>
      </c>
      <c r="G401" s="9" t="s">
        <v>61</v>
      </c>
      <c r="H401" s="14" t="n">
        <f aca="false">IFERROR(F401*VLOOKUP(E401,Insumos!$A:$G,7,FALSE()),0)</f>
        <v>0.88</v>
      </c>
      <c r="I401" s="16" t="s">
        <v>794</v>
      </c>
    </row>
    <row r="402" customFormat="false" ht="15" hidden="false" customHeight="false" outlineLevel="0" collapsed="false">
      <c r="A402" s="9" t="n">
        <v>27</v>
      </c>
      <c r="B402" s="9" t="s">
        <v>784</v>
      </c>
      <c r="C402" s="9" t="s">
        <v>795</v>
      </c>
      <c r="D402" s="9" t="s">
        <v>796</v>
      </c>
      <c r="E402" s="9" t="s">
        <v>153</v>
      </c>
      <c r="F402" s="9" t="n">
        <v>60</v>
      </c>
      <c r="G402" s="9" t="s">
        <v>61</v>
      </c>
      <c r="H402" s="14" t="n">
        <f aca="false">IFERROR(F402*VLOOKUP(E402,Insumos!$A:$G,7,FALSE()),0)</f>
        <v>23.1</v>
      </c>
      <c r="I402" s="15"/>
    </row>
    <row r="403" customFormat="false" ht="15" hidden="false" customHeight="false" outlineLevel="0" collapsed="false">
      <c r="A403" s="9" t="n">
        <v>27</v>
      </c>
      <c r="B403" s="9" t="s">
        <v>784</v>
      </c>
      <c r="C403" s="9" t="s">
        <v>795</v>
      </c>
      <c r="D403" s="9" t="s">
        <v>797</v>
      </c>
      <c r="E403" s="9" t="s">
        <v>101</v>
      </c>
      <c r="F403" s="9" t="n">
        <v>10</v>
      </c>
      <c r="G403" s="9" t="s">
        <v>74</v>
      </c>
      <c r="H403" s="14" t="n">
        <f aca="false">IFERROR(F403*VLOOKUP(E403,Insumos!$A:$G,7,FALSE()),0)</f>
        <v>0.42</v>
      </c>
      <c r="I403" s="15"/>
    </row>
    <row r="404" customFormat="false" ht="15" hidden="false" customHeight="false" outlineLevel="0" collapsed="false">
      <c r="A404" s="9" t="n">
        <v>27</v>
      </c>
      <c r="B404" s="9" t="s">
        <v>784</v>
      </c>
      <c r="C404" s="9" t="s">
        <v>795</v>
      </c>
      <c r="D404" s="9" t="s">
        <v>798</v>
      </c>
      <c r="E404" s="9" t="s">
        <v>205</v>
      </c>
      <c r="F404" s="9" t="n">
        <v>10</v>
      </c>
      <c r="G404" s="9" t="s">
        <v>61</v>
      </c>
      <c r="H404" s="14" t="n">
        <f aca="false">IFERROR(F404*VLOOKUP(E404,Insumos!$A:$G,7,FALSE()),0)</f>
        <v>1.36</v>
      </c>
      <c r="I404" s="15"/>
    </row>
    <row r="405" customFormat="false" ht="15" hidden="false" customHeight="false" outlineLevel="0" collapsed="false">
      <c r="A405" s="9" t="n">
        <v>28</v>
      </c>
      <c r="B405" s="9" t="s">
        <v>799</v>
      </c>
      <c r="C405" s="9" t="s">
        <v>396</v>
      </c>
      <c r="D405" s="9" t="s">
        <v>739</v>
      </c>
      <c r="E405" s="9" t="s">
        <v>58</v>
      </c>
      <c r="F405" s="9" t="n">
        <v>150</v>
      </c>
      <c r="G405" s="9" t="s">
        <v>61</v>
      </c>
      <c r="H405" s="14" t="n">
        <f aca="false">IFERROR(F405*VLOOKUP(E405,Insumos!$A:$G,7,FALSE()),0)</f>
        <v>36.75</v>
      </c>
      <c r="I405" s="15"/>
    </row>
    <row r="406" customFormat="false" ht="15" hidden="false" customHeight="false" outlineLevel="0" collapsed="false">
      <c r="A406" s="9" t="n">
        <v>28</v>
      </c>
      <c r="B406" s="9" t="s">
        <v>799</v>
      </c>
      <c r="C406" s="9" t="s">
        <v>396</v>
      </c>
      <c r="D406" s="9" t="s">
        <v>800</v>
      </c>
      <c r="E406" s="9" t="s">
        <v>193</v>
      </c>
      <c r="F406" s="9" t="n">
        <v>80</v>
      </c>
      <c r="G406" s="9" t="s">
        <v>61</v>
      </c>
      <c r="H406" s="14" t="n">
        <f aca="false">IFERROR(F406*VLOOKUP(E406,Insumos!$A:$G,7,FALSE()),0)</f>
        <v>142.4</v>
      </c>
      <c r="I406" s="15"/>
    </row>
    <row r="407" customFormat="false" ht="15" hidden="false" customHeight="false" outlineLevel="0" collapsed="false">
      <c r="A407" s="9" t="n">
        <v>28</v>
      </c>
      <c r="B407" s="9" t="s">
        <v>799</v>
      </c>
      <c r="C407" s="9" t="s">
        <v>396</v>
      </c>
      <c r="D407" s="9" t="s">
        <v>801</v>
      </c>
      <c r="E407" s="9" t="s">
        <v>126</v>
      </c>
      <c r="F407" s="9" t="n">
        <v>180</v>
      </c>
      <c r="G407" s="9" t="s">
        <v>61</v>
      </c>
      <c r="H407" s="14" t="n">
        <f aca="false">IFERROR(F407*VLOOKUP(E407,Insumos!$A:$G,7,FALSE()),0)</f>
        <v>5.04</v>
      </c>
      <c r="I407" s="15"/>
    </row>
    <row r="408" customFormat="false" ht="15" hidden="false" customHeight="false" outlineLevel="0" collapsed="false">
      <c r="A408" s="9" t="n">
        <v>28</v>
      </c>
      <c r="B408" s="9" t="s">
        <v>799</v>
      </c>
      <c r="C408" s="9" t="s">
        <v>396</v>
      </c>
      <c r="D408" s="9" t="s">
        <v>505</v>
      </c>
      <c r="E408" s="9" t="s">
        <v>66</v>
      </c>
      <c r="F408" s="9" t="n">
        <v>200</v>
      </c>
      <c r="G408" s="9" t="s">
        <v>61</v>
      </c>
      <c r="H408" s="14" t="n">
        <f aca="false">IFERROR(F408*VLOOKUP(E408,Insumos!$A:$G,7,FALSE()),0)</f>
        <v>12.4</v>
      </c>
      <c r="I408" s="15"/>
    </row>
    <row r="409" customFormat="false" ht="15" hidden="false" customHeight="false" outlineLevel="0" collapsed="false">
      <c r="A409" s="9" t="n">
        <v>28</v>
      </c>
      <c r="B409" s="9" t="s">
        <v>799</v>
      </c>
      <c r="C409" s="9" t="s">
        <v>396</v>
      </c>
      <c r="D409" s="9" t="s">
        <v>720</v>
      </c>
      <c r="E409" s="9" t="s">
        <v>107</v>
      </c>
      <c r="F409" s="9" t="n">
        <v>190</v>
      </c>
      <c r="G409" s="9" t="s">
        <v>61</v>
      </c>
      <c r="H409" s="14" t="n">
        <f aca="false">IFERROR(F409*VLOOKUP(E409,Insumos!$A:$G,7,FALSE()),0)</f>
        <v>4.94</v>
      </c>
      <c r="I409" s="15"/>
    </row>
    <row r="410" customFormat="false" ht="15" hidden="false" customHeight="false" outlineLevel="0" collapsed="false">
      <c r="A410" s="9" t="n">
        <v>28</v>
      </c>
      <c r="B410" s="9" t="s">
        <v>799</v>
      </c>
      <c r="C410" s="9" t="s">
        <v>396</v>
      </c>
      <c r="D410" s="9" t="s">
        <v>802</v>
      </c>
      <c r="E410" s="9" t="s">
        <v>191</v>
      </c>
      <c r="F410" s="9" t="n">
        <v>50</v>
      </c>
      <c r="G410" s="9" t="s">
        <v>61</v>
      </c>
      <c r="H410" s="14" t="n">
        <f aca="false">IFERROR(F410*VLOOKUP(E410,Insumos!$A:$G,7,FALSE()),0)</f>
        <v>69</v>
      </c>
      <c r="I410" s="15"/>
    </row>
    <row r="411" customFormat="false" ht="15" hidden="false" customHeight="false" outlineLevel="0" collapsed="false">
      <c r="A411" s="9" t="n">
        <v>28</v>
      </c>
      <c r="B411" s="9" t="s">
        <v>799</v>
      </c>
      <c r="C411" s="9" t="s">
        <v>396</v>
      </c>
      <c r="D411" s="9" t="s">
        <v>423</v>
      </c>
      <c r="E411" s="9" t="s">
        <v>114</v>
      </c>
      <c r="F411" s="9" t="n">
        <v>5</v>
      </c>
      <c r="G411" s="9" t="s">
        <v>61</v>
      </c>
      <c r="H411" s="14" t="n">
        <f aca="false">IFERROR(F411*VLOOKUP(E411,Insumos!$A:$G,7,FALSE()),0)</f>
        <v>0.68</v>
      </c>
      <c r="I411" s="15"/>
    </row>
    <row r="412" customFormat="false" ht="15" hidden="false" customHeight="false" outlineLevel="0" collapsed="false">
      <c r="A412" s="9" t="n">
        <v>28</v>
      </c>
      <c r="B412" s="9" t="s">
        <v>799</v>
      </c>
      <c r="C412" s="9" t="s">
        <v>396</v>
      </c>
      <c r="D412" s="9" t="s">
        <v>461</v>
      </c>
      <c r="E412" s="9" t="s">
        <v>118</v>
      </c>
      <c r="F412" s="9" t="n">
        <v>2</v>
      </c>
      <c r="G412" s="9" t="s">
        <v>61</v>
      </c>
      <c r="H412" s="14" t="n">
        <f aca="false">IFERROR(F412*VLOOKUP(E412,Insumos!$A:$G,7,FALSE()),0)</f>
        <v>0.032</v>
      </c>
      <c r="I412" s="15"/>
    </row>
    <row r="413" customFormat="false" ht="15" hidden="false" customHeight="false" outlineLevel="0" collapsed="false">
      <c r="A413" s="9" t="n">
        <v>28</v>
      </c>
      <c r="B413" s="9" t="s">
        <v>799</v>
      </c>
      <c r="C413" s="9" t="s">
        <v>396</v>
      </c>
      <c r="D413" s="9" t="s">
        <v>579</v>
      </c>
      <c r="E413" s="9" t="s">
        <v>75</v>
      </c>
      <c r="F413" s="9" t="n">
        <v>40</v>
      </c>
      <c r="G413" s="9" t="s">
        <v>74</v>
      </c>
      <c r="H413" s="14" t="n">
        <f aca="false">IFERROR(F413*VLOOKUP(E413,Insumos!$A:$G,7,FALSE()),0)</f>
        <v>4.72</v>
      </c>
      <c r="I413" s="15"/>
    </row>
    <row r="414" customFormat="false" ht="15" hidden="false" customHeight="false" outlineLevel="0" collapsed="false">
      <c r="A414" s="9" t="n">
        <v>28</v>
      </c>
      <c r="B414" s="9" t="s">
        <v>799</v>
      </c>
      <c r="C414" s="9" t="s">
        <v>396</v>
      </c>
      <c r="D414" s="9" t="s">
        <v>803</v>
      </c>
      <c r="E414" s="9" t="s">
        <v>222</v>
      </c>
      <c r="F414" s="9" t="n">
        <v>14</v>
      </c>
      <c r="G414" s="9" t="s">
        <v>61</v>
      </c>
      <c r="H414" s="14" t="n">
        <f aca="false">IFERROR(F414*VLOOKUP(E414,Insumos!$A:$G,7,FALSE()),0)</f>
        <v>0.812</v>
      </c>
      <c r="I414" s="16" t="s">
        <v>804</v>
      </c>
    </row>
    <row r="415" customFormat="false" ht="15" hidden="false" customHeight="false" outlineLevel="0" collapsed="false">
      <c r="A415" s="9" t="n">
        <v>28</v>
      </c>
      <c r="B415" s="9" t="s">
        <v>799</v>
      </c>
      <c r="C415" s="9" t="s">
        <v>573</v>
      </c>
      <c r="D415" s="9" t="s">
        <v>711</v>
      </c>
      <c r="E415" s="9" t="s">
        <v>131</v>
      </c>
      <c r="F415" s="9" t="n">
        <v>80</v>
      </c>
      <c r="G415" s="9" t="s">
        <v>61</v>
      </c>
      <c r="H415" s="14" t="n">
        <f aca="false">IFERROR(F415*VLOOKUP(E415,Insumos!$A:$G,7,FALSE()),0)</f>
        <v>3.36</v>
      </c>
      <c r="I415" s="15"/>
    </row>
    <row r="416" customFormat="false" ht="15" hidden="false" customHeight="false" outlineLevel="0" collapsed="false">
      <c r="A416" s="9" t="n">
        <v>28</v>
      </c>
      <c r="B416" s="9" t="s">
        <v>799</v>
      </c>
      <c r="C416" s="9" t="s">
        <v>573</v>
      </c>
      <c r="D416" s="9" t="s">
        <v>805</v>
      </c>
      <c r="E416" s="9" t="s">
        <v>193</v>
      </c>
      <c r="F416" s="9" t="n">
        <v>15</v>
      </c>
      <c r="G416" s="9" t="s">
        <v>61</v>
      </c>
      <c r="H416" s="14" t="n">
        <f aca="false">IFERROR(F416*VLOOKUP(E416,Insumos!$A:$G,7,FALSE()),0)</f>
        <v>26.7</v>
      </c>
      <c r="I416" s="15"/>
    </row>
    <row r="417" customFormat="false" ht="15" hidden="false" customHeight="false" outlineLevel="0" collapsed="false">
      <c r="A417" s="9" t="n">
        <v>28</v>
      </c>
      <c r="B417" s="9" t="s">
        <v>799</v>
      </c>
      <c r="C417" s="9" t="s">
        <v>573</v>
      </c>
      <c r="D417" s="9" t="s">
        <v>546</v>
      </c>
      <c r="E417" s="9" t="s">
        <v>72</v>
      </c>
      <c r="F417" s="9" t="n">
        <v>15</v>
      </c>
      <c r="G417" s="9" t="s">
        <v>74</v>
      </c>
      <c r="H417" s="14" t="n">
        <f aca="false">IFERROR(F417*VLOOKUP(E417,Insumos!$A:$G,7,FALSE()),0)</f>
        <v>0.405</v>
      </c>
      <c r="I417" s="15"/>
    </row>
    <row r="418" customFormat="false" ht="15" hidden="false" customHeight="false" outlineLevel="0" collapsed="false">
      <c r="A418" s="9" t="n">
        <v>28</v>
      </c>
      <c r="B418" s="9" t="s">
        <v>799</v>
      </c>
      <c r="C418" s="9" t="s">
        <v>806</v>
      </c>
      <c r="D418" s="9" t="s">
        <v>807</v>
      </c>
      <c r="E418" s="9" t="s">
        <v>189</v>
      </c>
      <c r="F418" s="9" t="n">
        <v>50</v>
      </c>
      <c r="G418" s="9" t="s">
        <v>61</v>
      </c>
      <c r="H418" s="14" t="n">
        <f aca="false">IFERROR(F418*VLOOKUP(E418,Insumos!$A:$G,7,FALSE()),0)</f>
        <v>58.5</v>
      </c>
      <c r="I418" s="15"/>
    </row>
    <row r="419" customFormat="false" ht="15" hidden="false" customHeight="false" outlineLevel="0" collapsed="false">
      <c r="A419" s="9" t="n">
        <v>28</v>
      </c>
      <c r="B419" s="9" t="s">
        <v>799</v>
      </c>
      <c r="C419" s="9" t="s">
        <v>806</v>
      </c>
      <c r="D419" s="9" t="s">
        <v>808</v>
      </c>
      <c r="E419" s="9" t="s">
        <v>264</v>
      </c>
      <c r="F419" s="9" t="n">
        <v>30</v>
      </c>
      <c r="G419" s="9" t="s">
        <v>61</v>
      </c>
      <c r="H419" s="14" t="n">
        <f aca="false">IFERROR(F419*VLOOKUP(E419,Insumos!$A:$G,7,FALSE()),0)</f>
        <v>79.5</v>
      </c>
      <c r="I419" s="15"/>
    </row>
    <row r="420" customFormat="false" ht="15" hidden="false" customHeight="false" outlineLevel="0" collapsed="false">
      <c r="A420" s="9" t="n">
        <v>29</v>
      </c>
      <c r="B420" s="9" t="s">
        <v>809</v>
      </c>
      <c r="C420" s="9" t="s">
        <v>396</v>
      </c>
      <c r="D420" s="9" t="s">
        <v>523</v>
      </c>
      <c r="E420" s="9" t="s">
        <v>58</v>
      </c>
      <c r="F420" s="9" t="n">
        <v>140</v>
      </c>
      <c r="G420" s="9" t="s">
        <v>61</v>
      </c>
      <c r="H420" s="14" t="n">
        <f aca="false">IFERROR(F420*VLOOKUP(E420,Insumos!$A:$G,7,FALSE()),0)</f>
        <v>34.3</v>
      </c>
      <c r="I420" s="15"/>
    </row>
    <row r="421" customFormat="false" ht="15" hidden="false" customHeight="false" outlineLevel="0" collapsed="false">
      <c r="A421" s="9" t="n">
        <v>29</v>
      </c>
      <c r="B421" s="9" t="s">
        <v>809</v>
      </c>
      <c r="C421" s="9" t="s">
        <v>396</v>
      </c>
      <c r="D421" s="9" t="s">
        <v>810</v>
      </c>
      <c r="E421" s="9" t="s">
        <v>197</v>
      </c>
      <c r="F421" s="9" t="n">
        <v>70</v>
      </c>
      <c r="G421" s="9" t="s">
        <v>61</v>
      </c>
      <c r="H421" s="14" t="n">
        <f aca="false">IFERROR(F421*VLOOKUP(E421,Insumos!$A:$G,7,FALSE()),0)</f>
        <v>9.66</v>
      </c>
      <c r="I421" s="15"/>
    </row>
    <row r="422" customFormat="false" ht="15" hidden="false" customHeight="false" outlineLevel="0" collapsed="false">
      <c r="A422" s="9" t="n">
        <v>29</v>
      </c>
      <c r="B422" s="9" t="s">
        <v>809</v>
      </c>
      <c r="C422" s="9" t="s">
        <v>396</v>
      </c>
      <c r="D422" s="9" t="s">
        <v>811</v>
      </c>
      <c r="E422" s="9" t="s">
        <v>199</v>
      </c>
      <c r="F422" s="9" t="n">
        <v>120</v>
      </c>
      <c r="G422" s="9" t="s">
        <v>61</v>
      </c>
      <c r="H422" s="14" t="n">
        <f aca="false">IFERROR(F422*VLOOKUP(E422,Insumos!$A:$G,7,FALSE()),0)</f>
        <v>28.32</v>
      </c>
      <c r="I422" s="15"/>
    </row>
    <row r="423" customFormat="false" ht="15" hidden="false" customHeight="false" outlineLevel="0" collapsed="false">
      <c r="A423" s="9" t="n">
        <v>29</v>
      </c>
      <c r="B423" s="9" t="s">
        <v>809</v>
      </c>
      <c r="C423" s="9" t="s">
        <v>396</v>
      </c>
      <c r="D423" s="9" t="s">
        <v>449</v>
      </c>
      <c r="E423" s="9" t="s">
        <v>126</v>
      </c>
      <c r="F423" s="9" t="n">
        <v>100</v>
      </c>
      <c r="G423" s="9" t="s">
        <v>61</v>
      </c>
      <c r="H423" s="14" t="n">
        <f aca="false">IFERROR(F423*VLOOKUP(E423,Insumos!$A:$G,7,FALSE()),0)</f>
        <v>2.8</v>
      </c>
      <c r="I423" s="15"/>
    </row>
    <row r="424" customFormat="false" ht="15" hidden="false" customHeight="false" outlineLevel="0" collapsed="false">
      <c r="A424" s="9" t="n">
        <v>29</v>
      </c>
      <c r="B424" s="9" t="s">
        <v>809</v>
      </c>
      <c r="C424" s="9" t="s">
        <v>396</v>
      </c>
      <c r="D424" s="9" t="s">
        <v>435</v>
      </c>
      <c r="E424" s="9" t="s">
        <v>66</v>
      </c>
      <c r="F424" s="9" t="n">
        <v>200</v>
      </c>
      <c r="G424" s="9" t="s">
        <v>61</v>
      </c>
      <c r="H424" s="14" t="n">
        <f aca="false">IFERROR(F424*VLOOKUP(E424,Insumos!$A:$G,7,FALSE()),0)</f>
        <v>12.4</v>
      </c>
      <c r="I424" s="15"/>
    </row>
    <row r="425" customFormat="false" ht="15" hidden="false" customHeight="false" outlineLevel="0" collapsed="false">
      <c r="A425" s="9" t="n">
        <v>29</v>
      </c>
      <c r="B425" s="9" t="s">
        <v>809</v>
      </c>
      <c r="C425" s="9" t="s">
        <v>396</v>
      </c>
      <c r="D425" s="9" t="s">
        <v>421</v>
      </c>
      <c r="E425" s="9" t="s">
        <v>107</v>
      </c>
      <c r="F425" s="9" t="n">
        <v>200</v>
      </c>
      <c r="G425" s="9" t="s">
        <v>61</v>
      </c>
      <c r="H425" s="14" t="n">
        <f aca="false">IFERROR(F425*VLOOKUP(E425,Insumos!$A:$G,7,FALSE()),0)</f>
        <v>5.2</v>
      </c>
      <c r="I425" s="15"/>
    </row>
    <row r="426" customFormat="false" ht="15" hidden="false" customHeight="false" outlineLevel="0" collapsed="false">
      <c r="A426" s="9" t="n">
        <v>29</v>
      </c>
      <c r="B426" s="9" t="s">
        <v>809</v>
      </c>
      <c r="C426" s="9" t="s">
        <v>396</v>
      </c>
      <c r="D426" s="9" t="s">
        <v>423</v>
      </c>
      <c r="E426" s="9" t="s">
        <v>114</v>
      </c>
      <c r="F426" s="9" t="n">
        <v>5</v>
      </c>
      <c r="G426" s="9" t="s">
        <v>61</v>
      </c>
      <c r="H426" s="14" t="n">
        <f aca="false">IFERROR(F426*VLOOKUP(E426,Insumos!$A:$G,7,FALSE()),0)</f>
        <v>0.68</v>
      </c>
      <c r="I426" s="15"/>
    </row>
    <row r="427" customFormat="false" ht="15" hidden="false" customHeight="false" outlineLevel="0" collapsed="false">
      <c r="A427" s="9" t="n">
        <v>29</v>
      </c>
      <c r="B427" s="9" t="s">
        <v>809</v>
      </c>
      <c r="C427" s="9" t="s">
        <v>396</v>
      </c>
      <c r="D427" s="9" t="s">
        <v>437</v>
      </c>
      <c r="E427" s="9" t="s">
        <v>118</v>
      </c>
      <c r="F427" s="9" t="n">
        <v>3</v>
      </c>
      <c r="G427" s="9" t="s">
        <v>61</v>
      </c>
      <c r="H427" s="14" t="n">
        <f aca="false">IFERROR(F427*VLOOKUP(E427,Insumos!$A:$G,7,FALSE()),0)</f>
        <v>0.048</v>
      </c>
      <c r="I427" s="15"/>
    </row>
    <row r="428" customFormat="false" ht="15" hidden="false" customHeight="false" outlineLevel="0" collapsed="false">
      <c r="A428" s="9" t="n">
        <v>29</v>
      </c>
      <c r="B428" s="9" t="s">
        <v>809</v>
      </c>
      <c r="C428" s="9" t="s">
        <v>396</v>
      </c>
      <c r="D428" s="9" t="s">
        <v>745</v>
      </c>
      <c r="E428" s="9" t="s">
        <v>72</v>
      </c>
      <c r="F428" s="9" t="n">
        <v>40</v>
      </c>
      <c r="G428" s="9" t="s">
        <v>74</v>
      </c>
      <c r="H428" s="14" t="n">
        <f aca="false">IFERROR(F428*VLOOKUP(E428,Insumos!$A:$G,7,FALSE()),0)</f>
        <v>1.08</v>
      </c>
      <c r="I428" s="15"/>
    </row>
    <row r="429" customFormat="false" ht="15" hidden="false" customHeight="false" outlineLevel="0" collapsed="false">
      <c r="A429" s="9" t="n">
        <v>29</v>
      </c>
      <c r="B429" s="9" t="s">
        <v>809</v>
      </c>
      <c r="C429" s="9" t="s">
        <v>396</v>
      </c>
      <c r="D429" s="9" t="s">
        <v>812</v>
      </c>
      <c r="E429" s="9" t="s">
        <v>195</v>
      </c>
      <c r="F429" s="9" t="n">
        <v>60</v>
      </c>
      <c r="G429" s="9" t="s">
        <v>61</v>
      </c>
      <c r="H429" s="14" t="n">
        <f aca="false">IFERROR(F429*VLOOKUP(E429,Insumos!$A:$G,7,FALSE()),0)</f>
        <v>6.3</v>
      </c>
      <c r="I429" s="15"/>
    </row>
    <row r="430" customFormat="false" ht="15" hidden="false" customHeight="false" outlineLevel="0" collapsed="false">
      <c r="A430" s="9" t="n">
        <v>29</v>
      </c>
      <c r="B430" s="9" t="s">
        <v>809</v>
      </c>
      <c r="C430" s="9" t="s">
        <v>813</v>
      </c>
      <c r="D430" s="9" t="s">
        <v>814</v>
      </c>
      <c r="E430" s="9" t="s">
        <v>158</v>
      </c>
      <c r="F430" s="9" t="n">
        <v>100</v>
      </c>
      <c r="G430" s="9" t="s">
        <v>61</v>
      </c>
      <c r="H430" s="14" t="n">
        <f aca="false">IFERROR(F430*VLOOKUP(E430,Insumos!$A:$G,7,FALSE()),0)</f>
        <v>35.5</v>
      </c>
      <c r="I430" s="15"/>
    </row>
    <row r="431" customFormat="false" ht="15" hidden="false" customHeight="false" outlineLevel="0" collapsed="false">
      <c r="A431" s="9" t="n">
        <v>29</v>
      </c>
      <c r="B431" s="9" t="s">
        <v>809</v>
      </c>
      <c r="C431" s="9" t="s">
        <v>813</v>
      </c>
      <c r="D431" s="9" t="s">
        <v>815</v>
      </c>
      <c r="E431" s="9" t="s">
        <v>101</v>
      </c>
      <c r="F431" s="9" t="n">
        <v>15</v>
      </c>
      <c r="G431" s="9" t="s">
        <v>74</v>
      </c>
      <c r="H431" s="14" t="n">
        <f aca="false">IFERROR(F431*VLOOKUP(E431,Insumos!$A:$G,7,FALSE()),0)</f>
        <v>0.63</v>
      </c>
      <c r="I431" s="15"/>
    </row>
    <row r="432" customFormat="false" ht="15" hidden="false" customHeight="false" outlineLevel="0" collapsed="false">
      <c r="A432" s="9" t="n">
        <v>29</v>
      </c>
      <c r="B432" s="9" t="s">
        <v>809</v>
      </c>
      <c r="C432" s="9" t="s">
        <v>813</v>
      </c>
      <c r="D432" s="9" t="s">
        <v>816</v>
      </c>
      <c r="E432" s="9" t="s">
        <v>195</v>
      </c>
      <c r="F432" s="9" t="n">
        <v>25</v>
      </c>
      <c r="G432" s="9" t="s">
        <v>61</v>
      </c>
      <c r="H432" s="14" t="n">
        <f aca="false">IFERROR(F432*VLOOKUP(E432,Insumos!$A:$G,7,FALSE()),0)</f>
        <v>2.625</v>
      </c>
      <c r="I432" s="15"/>
    </row>
    <row r="433" customFormat="false" ht="15" hidden="false" customHeight="false" outlineLevel="0" collapsed="false">
      <c r="A433" s="9" t="n">
        <v>30</v>
      </c>
      <c r="B433" s="9" t="s">
        <v>817</v>
      </c>
      <c r="C433" s="9" t="s">
        <v>396</v>
      </c>
      <c r="D433" s="9" t="s">
        <v>739</v>
      </c>
      <c r="E433" s="9" t="s">
        <v>58</v>
      </c>
      <c r="F433" s="9" t="n">
        <v>150</v>
      </c>
      <c r="G433" s="9" t="s">
        <v>61</v>
      </c>
      <c r="H433" s="14" t="n">
        <f aca="false">IFERROR(F433*VLOOKUP(E433,Insumos!$A:$G,7,FALSE()),0)</f>
        <v>36.75</v>
      </c>
      <c r="I433" s="15"/>
    </row>
    <row r="434" customFormat="false" ht="15" hidden="false" customHeight="false" outlineLevel="0" collapsed="false">
      <c r="A434" s="9" t="n">
        <v>30</v>
      </c>
      <c r="B434" s="9" t="s">
        <v>817</v>
      </c>
      <c r="C434" s="9" t="s">
        <v>396</v>
      </c>
      <c r="D434" s="9" t="s">
        <v>818</v>
      </c>
      <c r="E434" s="9" t="s">
        <v>217</v>
      </c>
      <c r="F434" s="9" t="n">
        <v>100</v>
      </c>
      <c r="G434" s="9" t="s">
        <v>61</v>
      </c>
      <c r="H434" s="14" t="n">
        <f aca="false">IFERROR(F434*VLOOKUP(E434,Insumos!$A:$G,7,FALSE()),0)</f>
        <v>124</v>
      </c>
      <c r="I434" s="15"/>
    </row>
    <row r="435" customFormat="false" ht="15" hidden="false" customHeight="false" outlineLevel="0" collapsed="false">
      <c r="A435" s="9" t="n">
        <v>30</v>
      </c>
      <c r="B435" s="9" t="s">
        <v>817</v>
      </c>
      <c r="C435" s="9" t="s">
        <v>396</v>
      </c>
      <c r="D435" s="9" t="s">
        <v>455</v>
      </c>
      <c r="E435" s="9" t="s">
        <v>133</v>
      </c>
      <c r="F435" s="9" t="n">
        <v>130</v>
      </c>
      <c r="G435" s="9" t="s">
        <v>61</v>
      </c>
      <c r="H435" s="14" t="n">
        <f aca="false">IFERROR(F435*VLOOKUP(E435,Insumos!$A:$G,7,FALSE()),0)</f>
        <v>6.76</v>
      </c>
      <c r="I435" s="15"/>
    </row>
    <row r="436" customFormat="false" ht="15" hidden="false" customHeight="false" outlineLevel="0" collapsed="false">
      <c r="A436" s="9" t="n">
        <v>30</v>
      </c>
      <c r="B436" s="9" t="s">
        <v>817</v>
      </c>
      <c r="C436" s="9" t="s">
        <v>396</v>
      </c>
      <c r="D436" s="9" t="s">
        <v>819</v>
      </c>
      <c r="E436" s="9" t="s">
        <v>275</v>
      </c>
      <c r="F436" s="9" t="n">
        <v>3</v>
      </c>
      <c r="G436" s="9" t="s">
        <v>61</v>
      </c>
      <c r="H436" s="14" t="n">
        <f aca="false">IFERROR(F436*VLOOKUP(E436,Insumos!$A:$G,7,FALSE()),0)</f>
        <v>28.5</v>
      </c>
      <c r="I436" s="16" t="s">
        <v>820</v>
      </c>
    </row>
    <row r="437" customFormat="false" ht="15" hidden="false" customHeight="false" outlineLevel="0" collapsed="false">
      <c r="A437" s="9" t="n">
        <v>30</v>
      </c>
      <c r="B437" s="9" t="s">
        <v>817</v>
      </c>
      <c r="C437" s="9" t="s">
        <v>396</v>
      </c>
      <c r="D437" s="9" t="s">
        <v>435</v>
      </c>
      <c r="E437" s="9" t="s">
        <v>66</v>
      </c>
      <c r="F437" s="9" t="n">
        <v>200</v>
      </c>
      <c r="G437" s="9" t="s">
        <v>61</v>
      </c>
      <c r="H437" s="14" t="n">
        <f aca="false">IFERROR(F437*VLOOKUP(E437,Insumos!$A:$G,7,FALSE()),0)</f>
        <v>12.4</v>
      </c>
      <c r="I437" s="15"/>
    </row>
    <row r="438" customFormat="false" ht="15" hidden="false" customHeight="false" outlineLevel="0" collapsed="false">
      <c r="A438" s="9" t="n">
        <v>30</v>
      </c>
      <c r="B438" s="9" t="s">
        <v>817</v>
      </c>
      <c r="C438" s="9" t="s">
        <v>396</v>
      </c>
      <c r="D438" s="9" t="s">
        <v>612</v>
      </c>
      <c r="E438" s="9" t="s">
        <v>107</v>
      </c>
      <c r="F438" s="9" t="n">
        <v>210</v>
      </c>
      <c r="G438" s="9" t="s">
        <v>61</v>
      </c>
      <c r="H438" s="14" t="n">
        <f aca="false">IFERROR(F438*VLOOKUP(E438,Insumos!$A:$G,7,FALSE()),0)</f>
        <v>5.46</v>
      </c>
      <c r="I438" s="15"/>
    </row>
    <row r="439" customFormat="false" ht="15" hidden="false" customHeight="false" outlineLevel="0" collapsed="false">
      <c r="A439" s="9" t="n">
        <v>30</v>
      </c>
      <c r="B439" s="9" t="s">
        <v>817</v>
      </c>
      <c r="C439" s="9" t="s">
        <v>396</v>
      </c>
      <c r="D439" s="9" t="s">
        <v>821</v>
      </c>
      <c r="E439" s="9" t="s">
        <v>172</v>
      </c>
      <c r="F439" s="9" t="n">
        <v>25</v>
      </c>
      <c r="G439" s="9" t="s">
        <v>61</v>
      </c>
      <c r="H439" s="14" t="n">
        <f aca="false">IFERROR(F439*VLOOKUP(E439,Insumos!$A:$G,7,FALSE()),0)</f>
        <v>10.625</v>
      </c>
      <c r="I439" s="15"/>
    </row>
    <row r="440" customFormat="false" ht="15" hidden="false" customHeight="false" outlineLevel="0" collapsed="false">
      <c r="A440" s="9" t="n">
        <v>30</v>
      </c>
      <c r="B440" s="9" t="s">
        <v>817</v>
      </c>
      <c r="C440" s="9" t="s">
        <v>396</v>
      </c>
      <c r="D440" s="9" t="s">
        <v>423</v>
      </c>
      <c r="E440" s="9" t="s">
        <v>114</v>
      </c>
      <c r="F440" s="9" t="n">
        <v>5</v>
      </c>
      <c r="G440" s="9" t="s">
        <v>61</v>
      </c>
      <c r="H440" s="14" t="n">
        <f aca="false">IFERROR(F440*VLOOKUP(E440,Insumos!$A:$G,7,FALSE()),0)</f>
        <v>0.68</v>
      </c>
      <c r="I440" s="15"/>
    </row>
    <row r="441" customFormat="false" ht="15" hidden="false" customHeight="false" outlineLevel="0" collapsed="false">
      <c r="A441" s="9" t="n">
        <v>30</v>
      </c>
      <c r="B441" s="9" t="s">
        <v>817</v>
      </c>
      <c r="C441" s="9" t="s">
        <v>396</v>
      </c>
      <c r="D441" s="9" t="s">
        <v>483</v>
      </c>
      <c r="E441" s="9" t="s">
        <v>120</v>
      </c>
      <c r="F441" s="9" t="n">
        <v>2</v>
      </c>
      <c r="G441" s="9" t="s">
        <v>61</v>
      </c>
      <c r="H441" s="14" t="n">
        <f aca="false">IFERROR(F441*VLOOKUP(E441,Insumos!$A:$G,7,FALSE()),0)</f>
        <v>0.168</v>
      </c>
      <c r="I441" s="15"/>
    </row>
    <row r="442" customFormat="false" ht="15" hidden="false" customHeight="false" outlineLevel="0" collapsed="false">
      <c r="A442" s="9" t="n">
        <v>30</v>
      </c>
      <c r="B442" s="9" t="s">
        <v>817</v>
      </c>
      <c r="C442" s="9" t="s">
        <v>396</v>
      </c>
      <c r="D442" s="9" t="s">
        <v>664</v>
      </c>
      <c r="E442" s="9" t="s">
        <v>75</v>
      </c>
      <c r="F442" s="9" t="n">
        <v>30</v>
      </c>
      <c r="G442" s="9" t="s">
        <v>74</v>
      </c>
      <c r="H442" s="14" t="n">
        <f aca="false">IFERROR(F442*VLOOKUP(E442,Insumos!$A:$G,7,FALSE()),0)</f>
        <v>3.54</v>
      </c>
      <c r="I442" s="15"/>
    </row>
    <row r="443" customFormat="false" ht="15" hidden="false" customHeight="false" outlineLevel="0" collapsed="false">
      <c r="A443" s="9" t="n">
        <v>30</v>
      </c>
      <c r="B443" s="9" t="s">
        <v>817</v>
      </c>
      <c r="C443" s="9" t="s">
        <v>396</v>
      </c>
      <c r="D443" s="9" t="s">
        <v>822</v>
      </c>
      <c r="E443" s="9" t="s">
        <v>321</v>
      </c>
      <c r="F443" s="9" t="n">
        <v>15</v>
      </c>
      <c r="G443" s="9" t="s">
        <v>74</v>
      </c>
      <c r="H443" s="14" t="n">
        <f aca="false">IFERROR(F443*VLOOKUP(E443,Insumos!$A:$G,7,FALSE()),0)</f>
        <v>5.9</v>
      </c>
      <c r="I443" s="15"/>
    </row>
    <row r="444" customFormat="false" ht="15" hidden="false" customHeight="false" outlineLevel="0" collapsed="false">
      <c r="A444" s="9" t="n">
        <v>30</v>
      </c>
      <c r="B444" s="9" t="s">
        <v>817</v>
      </c>
      <c r="C444" s="9" t="s">
        <v>396</v>
      </c>
      <c r="D444" s="9" t="s">
        <v>823</v>
      </c>
      <c r="E444" s="9" t="s">
        <v>217</v>
      </c>
      <c r="F444" s="9" t="n">
        <v>120</v>
      </c>
      <c r="G444" s="9" t="s">
        <v>61</v>
      </c>
      <c r="H444" s="14" t="n">
        <f aca="false">IFERROR(F444*VLOOKUP(E444,Insumos!$A:$G,7,FALSE()),0)</f>
        <v>148.8</v>
      </c>
      <c r="I444" s="15"/>
    </row>
    <row r="445" customFormat="false" ht="15" hidden="false" customHeight="false" outlineLevel="0" collapsed="false">
      <c r="A445" s="9" t="n">
        <v>30</v>
      </c>
      <c r="B445" s="9" t="s">
        <v>817</v>
      </c>
      <c r="C445" s="9" t="s">
        <v>824</v>
      </c>
      <c r="D445" s="9" t="s">
        <v>574</v>
      </c>
      <c r="E445" s="9" t="s">
        <v>131</v>
      </c>
      <c r="F445" s="9" t="n">
        <v>70</v>
      </c>
      <c r="G445" s="9" t="s">
        <v>61</v>
      </c>
      <c r="H445" s="14" t="n">
        <f aca="false">IFERROR(F445*VLOOKUP(E445,Insumos!$A:$G,7,FALSE()),0)</f>
        <v>2.94</v>
      </c>
      <c r="I445" s="15"/>
    </row>
    <row r="446" customFormat="false" ht="15" hidden="false" customHeight="false" outlineLevel="0" collapsed="false">
      <c r="A446" s="9" t="n">
        <v>30</v>
      </c>
      <c r="B446" s="9" t="s">
        <v>817</v>
      </c>
      <c r="C446" s="9" t="s">
        <v>824</v>
      </c>
      <c r="D446" s="9" t="s">
        <v>825</v>
      </c>
      <c r="E446" s="9" t="s">
        <v>321</v>
      </c>
      <c r="F446" s="9" t="n">
        <v>10</v>
      </c>
      <c r="G446" s="9" t="s">
        <v>74</v>
      </c>
      <c r="H446" s="14" t="n">
        <f aca="false">IFERROR(F446*VLOOKUP(E446,Insumos!$A:$G,7,FALSE()),0)</f>
        <v>3.93333333333333</v>
      </c>
      <c r="I446" s="15"/>
    </row>
    <row r="447" customFormat="false" ht="15" hidden="false" customHeight="false" outlineLevel="0" collapsed="false">
      <c r="A447" s="9" t="n">
        <v>30</v>
      </c>
      <c r="B447" s="9" t="s">
        <v>817</v>
      </c>
      <c r="C447" s="9" t="s">
        <v>824</v>
      </c>
      <c r="D447" s="9" t="s">
        <v>826</v>
      </c>
      <c r="E447" s="9" t="s">
        <v>151</v>
      </c>
      <c r="F447" s="9" t="n">
        <v>10</v>
      </c>
      <c r="G447" s="9" t="s">
        <v>74</v>
      </c>
      <c r="H447" s="14" t="n">
        <f aca="false">IFERROR(F447*VLOOKUP(E447,Insumos!$A:$G,7,FALSE()),0)</f>
        <v>0.0225</v>
      </c>
      <c r="I447" s="15"/>
    </row>
    <row r="448" customFormat="false" ht="15" hidden="false" customHeight="false" outlineLevel="0" collapsed="false">
      <c r="A448" s="9" t="n">
        <v>31</v>
      </c>
      <c r="B448" s="9" t="s">
        <v>827</v>
      </c>
      <c r="C448" s="9" t="s">
        <v>828</v>
      </c>
      <c r="D448" s="9" t="s">
        <v>829</v>
      </c>
      <c r="E448" s="9" t="s">
        <v>211</v>
      </c>
      <c r="F448" s="9" t="n">
        <v>55</v>
      </c>
      <c r="G448" s="9" t="s">
        <v>61</v>
      </c>
      <c r="H448" s="14" t="n">
        <f aca="false">IFERROR(F448*VLOOKUP(E448,Insumos!$A:$G,7,FALSE()),0)</f>
        <v>12.98</v>
      </c>
      <c r="I448" s="15"/>
    </row>
    <row r="449" customFormat="false" ht="15" hidden="false" customHeight="false" outlineLevel="0" collapsed="false">
      <c r="A449" s="9" t="n">
        <v>31</v>
      </c>
      <c r="B449" s="9" t="s">
        <v>827</v>
      </c>
      <c r="C449" s="9" t="s">
        <v>828</v>
      </c>
      <c r="D449" s="9" t="s">
        <v>830</v>
      </c>
      <c r="E449" s="9" t="s">
        <v>209</v>
      </c>
      <c r="F449" s="9" t="n">
        <v>55</v>
      </c>
      <c r="G449" s="9" t="s">
        <v>61</v>
      </c>
      <c r="H449" s="14" t="n">
        <f aca="false">IFERROR(F449*VLOOKUP(E449,Insumos!$A:$G,7,FALSE()),0)</f>
        <v>6.82</v>
      </c>
      <c r="I449" s="15"/>
    </row>
    <row r="450" customFormat="false" ht="15" hidden="false" customHeight="false" outlineLevel="0" collapsed="false">
      <c r="A450" s="9" t="n">
        <v>31</v>
      </c>
      <c r="B450" s="9" t="s">
        <v>827</v>
      </c>
      <c r="C450" s="9" t="s">
        <v>828</v>
      </c>
      <c r="D450" s="9" t="s">
        <v>831</v>
      </c>
      <c r="E450" s="9" t="s">
        <v>542</v>
      </c>
      <c r="F450" s="9" t="n">
        <v>0</v>
      </c>
      <c r="G450" s="9" t="s">
        <v>61</v>
      </c>
      <c r="H450" s="14" t="n">
        <f aca="false">IFERROR(F450*VLOOKUP(E450,Insumos!$A:$G,7,FALSE()),0)</f>
        <v>0</v>
      </c>
      <c r="I450" s="16" t="s">
        <v>738</v>
      </c>
    </row>
    <row r="451" customFormat="false" ht="15" hidden="false" customHeight="false" outlineLevel="0" collapsed="false">
      <c r="A451" s="9" t="n">
        <v>31</v>
      </c>
      <c r="B451" s="9" t="s">
        <v>827</v>
      </c>
      <c r="C451" s="9" t="s">
        <v>396</v>
      </c>
      <c r="D451" s="9" t="s">
        <v>754</v>
      </c>
      <c r="E451" s="9" t="s">
        <v>58</v>
      </c>
      <c r="F451" s="9" t="n">
        <v>170</v>
      </c>
      <c r="G451" s="9" t="s">
        <v>61</v>
      </c>
      <c r="H451" s="14" t="n">
        <f aca="false">IFERROR(F451*VLOOKUP(E451,Insumos!$A:$G,7,FALSE()),0)</f>
        <v>41.65</v>
      </c>
      <c r="I451" s="15"/>
    </row>
    <row r="452" customFormat="false" ht="15" hidden="false" customHeight="false" outlineLevel="0" collapsed="false">
      <c r="A452" s="9" t="n">
        <v>31</v>
      </c>
      <c r="B452" s="9" t="s">
        <v>827</v>
      </c>
      <c r="C452" s="9" t="s">
        <v>396</v>
      </c>
      <c r="D452" s="9" t="s">
        <v>832</v>
      </c>
      <c r="E452" s="9" t="s">
        <v>133</v>
      </c>
      <c r="F452" s="9" t="n">
        <v>120</v>
      </c>
      <c r="G452" s="9" t="s">
        <v>61</v>
      </c>
      <c r="H452" s="14" t="n">
        <f aca="false">IFERROR(F452*VLOOKUP(E452,Insumos!$A:$G,7,FALSE()),0)</f>
        <v>6.24</v>
      </c>
      <c r="I452" s="15"/>
    </row>
    <row r="453" customFormat="false" ht="15" hidden="false" customHeight="false" outlineLevel="0" collapsed="false">
      <c r="A453" s="9" t="n">
        <v>31</v>
      </c>
      <c r="B453" s="9" t="s">
        <v>827</v>
      </c>
      <c r="C453" s="9" t="s">
        <v>396</v>
      </c>
      <c r="D453" s="9" t="s">
        <v>833</v>
      </c>
      <c r="E453" s="9" t="s">
        <v>139</v>
      </c>
      <c r="F453" s="9" t="n">
        <v>80</v>
      </c>
      <c r="G453" s="9" t="s">
        <v>61</v>
      </c>
      <c r="H453" s="14" t="n">
        <f aca="false">IFERROR(F453*VLOOKUP(E453,Insumos!$A:$G,7,FALSE()),0)</f>
        <v>15.6</v>
      </c>
      <c r="I453" s="15"/>
    </row>
    <row r="454" customFormat="false" ht="15" hidden="false" customHeight="false" outlineLevel="0" collapsed="false">
      <c r="A454" s="9" t="n">
        <v>31</v>
      </c>
      <c r="B454" s="9" t="s">
        <v>827</v>
      </c>
      <c r="C454" s="9" t="s">
        <v>396</v>
      </c>
      <c r="D454" s="9" t="s">
        <v>420</v>
      </c>
      <c r="E454" s="9" t="s">
        <v>66</v>
      </c>
      <c r="F454" s="9" t="n">
        <v>200</v>
      </c>
      <c r="G454" s="9" t="s">
        <v>61</v>
      </c>
      <c r="H454" s="14" t="n">
        <f aca="false">IFERROR(F454*VLOOKUP(E454,Insumos!$A:$G,7,FALSE()),0)</f>
        <v>12.4</v>
      </c>
      <c r="I454" s="15"/>
    </row>
    <row r="455" customFormat="false" ht="15" hidden="false" customHeight="false" outlineLevel="0" collapsed="false">
      <c r="A455" s="9" t="n">
        <v>31</v>
      </c>
      <c r="B455" s="9" t="s">
        <v>827</v>
      </c>
      <c r="C455" s="9" t="s">
        <v>396</v>
      </c>
      <c r="D455" s="9" t="s">
        <v>495</v>
      </c>
      <c r="E455" s="9" t="s">
        <v>107</v>
      </c>
      <c r="F455" s="9" t="n">
        <v>220</v>
      </c>
      <c r="G455" s="9" t="s">
        <v>61</v>
      </c>
      <c r="H455" s="14" t="n">
        <f aca="false">IFERROR(F455*VLOOKUP(E455,Insumos!$A:$G,7,FALSE()),0)</f>
        <v>5.72</v>
      </c>
      <c r="I455" s="15"/>
    </row>
    <row r="456" customFormat="false" ht="15" hidden="false" customHeight="false" outlineLevel="0" collapsed="false">
      <c r="A456" s="9" t="n">
        <v>31</v>
      </c>
      <c r="B456" s="9" t="s">
        <v>827</v>
      </c>
      <c r="C456" s="9" t="s">
        <v>396</v>
      </c>
      <c r="D456" s="9" t="s">
        <v>659</v>
      </c>
      <c r="E456" s="9" t="s">
        <v>172</v>
      </c>
      <c r="F456" s="9" t="n">
        <v>20</v>
      </c>
      <c r="G456" s="9" t="s">
        <v>61</v>
      </c>
      <c r="H456" s="14" t="n">
        <f aca="false">IFERROR(F456*VLOOKUP(E456,Insumos!$A:$G,7,FALSE()),0)</f>
        <v>8.5</v>
      </c>
      <c r="I456" s="15"/>
    </row>
    <row r="457" customFormat="false" ht="15" hidden="false" customHeight="false" outlineLevel="0" collapsed="false">
      <c r="A457" s="9" t="n">
        <v>31</v>
      </c>
      <c r="B457" s="9" t="s">
        <v>827</v>
      </c>
      <c r="C457" s="9" t="s">
        <v>396</v>
      </c>
      <c r="D457" s="9" t="s">
        <v>423</v>
      </c>
      <c r="E457" s="9" t="s">
        <v>114</v>
      </c>
      <c r="F457" s="9" t="n">
        <v>5</v>
      </c>
      <c r="G457" s="9" t="s">
        <v>61</v>
      </c>
      <c r="H457" s="14" t="n">
        <f aca="false">IFERROR(F457*VLOOKUP(E457,Insumos!$A:$G,7,FALSE()),0)</f>
        <v>0.68</v>
      </c>
      <c r="I457" s="15"/>
    </row>
    <row r="458" customFormat="false" ht="15" hidden="false" customHeight="false" outlineLevel="0" collapsed="false">
      <c r="A458" s="9" t="n">
        <v>31</v>
      </c>
      <c r="B458" s="9" t="s">
        <v>827</v>
      </c>
      <c r="C458" s="9" t="s">
        <v>396</v>
      </c>
      <c r="D458" s="9" t="s">
        <v>483</v>
      </c>
      <c r="E458" s="9" t="s">
        <v>120</v>
      </c>
      <c r="F458" s="9" t="n">
        <v>2</v>
      </c>
      <c r="G458" s="9" t="s">
        <v>61</v>
      </c>
      <c r="H458" s="14" t="n">
        <f aca="false">IFERROR(F458*VLOOKUP(E458,Insumos!$A:$G,7,FALSE()),0)</f>
        <v>0.168</v>
      </c>
      <c r="I458" s="15"/>
    </row>
    <row r="459" customFormat="false" ht="15" hidden="false" customHeight="false" outlineLevel="0" collapsed="false">
      <c r="A459" s="9" t="n">
        <v>31</v>
      </c>
      <c r="B459" s="9" t="s">
        <v>827</v>
      </c>
      <c r="C459" s="9" t="s">
        <v>396</v>
      </c>
      <c r="D459" s="9" t="s">
        <v>745</v>
      </c>
      <c r="E459" s="9" t="s">
        <v>72</v>
      </c>
      <c r="F459" s="9" t="n">
        <v>40</v>
      </c>
      <c r="G459" s="9" t="s">
        <v>74</v>
      </c>
      <c r="H459" s="14" t="n">
        <f aca="false">IFERROR(F459*VLOOKUP(E459,Insumos!$A:$G,7,FALSE()),0)</f>
        <v>1.08</v>
      </c>
      <c r="I459" s="15"/>
    </row>
    <row r="460" customFormat="false" ht="15" hidden="false" customHeight="false" outlineLevel="0" collapsed="false">
      <c r="A460" s="9" t="n">
        <v>31</v>
      </c>
      <c r="B460" s="9" t="s">
        <v>827</v>
      </c>
      <c r="C460" s="9" t="s">
        <v>834</v>
      </c>
      <c r="D460" s="9" t="s">
        <v>835</v>
      </c>
      <c r="E460" s="9" t="s">
        <v>139</v>
      </c>
      <c r="F460" s="9" t="n">
        <v>45</v>
      </c>
      <c r="G460" s="9" t="s">
        <v>61</v>
      </c>
      <c r="H460" s="14" t="n">
        <f aca="false">IFERROR(F460*VLOOKUP(E460,Insumos!$A:$G,7,FALSE()),0)</f>
        <v>8.775</v>
      </c>
      <c r="I460" s="15"/>
    </row>
    <row r="461" customFormat="false" ht="15" hidden="false" customHeight="false" outlineLevel="0" collapsed="false">
      <c r="A461" s="9" t="n">
        <v>31</v>
      </c>
      <c r="B461" s="9" t="s">
        <v>827</v>
      </c>
      <c r="C461" s="9" t="s">
        <v>834</v>
      </c>
      <c r="D461" s="9" t="s">
        <v>836</v>
      </c>
      <c r="E461" s="9" t="s">
        <v>151</v>
      </c>
      <c r="F461" s="9" t="n">
        <v>35</v>
      </c>
      <c r="G461" s="9" t="s">
        <v>74</v>
      </c>
      <c r="H461" s="14" t="n">
        <f aca="false">IFERROR(F461*VLOOKUP(E461,Insumos!$A:$G,7,FALSE()),0)</f>
        <v>0.07875</v>
      </c>
      <c r="I461" s="15"/>
    </row>
    <row r="462" customFormat="false" ht="15" hidden="false" customHeight="false" outlineLevel="0" collapsed="false">
      <c r="A462" s="9" t="n">
        <v>31</v>
      </c>
      <c r="B462" s="9" t="s">
        <v>827</v>
      </c>
      <c r="C462" s="9" t="s">
        <v>834</v>
      </c>
      <c r="D462" s="9" t="s">
        <v>837</v>
      </c>
      <c r="E462" s="9" t="s">
        <v>313</v>
      </c>
      <c r="F462" s="9" t="n">
        <v>5</v>
      </c>
      <c r="G462" s="9" t="s">
        <v>74</v>
      </c>
      <c r="H462" s="14" t="n">
        <f aca="false">IFERROR(F462*VLOOKUP(E462,Insumos!$A:$G,7,FALSE()),0)</f>
        <v>2.9</v>
      </c>
      <c r="I462" s="15"/>
    </row>
    <row r="463" customFormat="false" ht="15" hidden="false" customHeight="false" outlineLevel="0" collapsed="false">
      <c r="A463" s="9" t="n">
        <v>32</v>
      </c>
      <c r="B463" s="9" t="s">
        <v>838</v>
      </c>
      <c r="C463" s="9" t="s">
        <v>839</v>
      </c>
      <c r="D463" s="9" t="s">
        <v>840</v>
      </c>
      <c r="E463" s="9" t="s">
        <v>201</v>
      </c>
      <c r="F463" s="9" t="n">
        <v>80</v>
      </c>
      <c r="G463" s="9" t="s">
        <v>61</v>
      </c>
      <c r="H463" s="14" t="n">
        <f aca="false">IFERROR(F463*VLOOKUP(E463,Insumos!$A:$G,7,FALSE()),0)</f>
        <v>63.2</v>
      </c>
      <c r="I463" s="15"/>
    </row>
    <row r="464" customFormat="false" ht="15" hidden="false" customHeight="false" outlineLevel="0" collapsed="false">
      <c r="A464" s="9" t="n">
        <v>32</v>
      </c>
      <c r="B464" s="9" t="s">
        <v>838</v>
      </c>
      <c r="C464" s="9" t="s">
        <v>839</v>
      </c>
      <c r="D464" s="9" t="s">
        <v>841</v>
      </c>
      <c r="E464" s="9" t="s">
        <v>158</v>
      </c>
      <c r="F464" s="9" t="n">
        <v>50</v>
      </c>
      <c r="G464" s="9" t="s">
        <v>61</v>
      </c>
      <c r="H464" s="14" t="n">
        <f aca="false">IFERROR(F464*VLOOKUP(E464,Insumos!$A:$G,7,FALSE()),0)</f>
        <v>17.75</v>
      </c>
      <c r="I464" s="15"/>
    </row>
    <row r="465" customFormat="false" ht="15" hidden="false" customHeight="false" outlineLevel="0" collapsed="false">
      <c r="A465" s="9" t="n">
        <v>32</v>
      </c>
      <c r="B465" s="9" t="s">
        <v>838</v>
      </c>
      <c r="C465" s="9" t="s">
        <v>839</v>
      </c>
      <c r="D465" s="9" t="s">
        <v>842</v>
      </c>
      <c r="E465" s="9" t="s">
        <v>542</v>
      </c>
      <c r="F465" s="9" t="n">
        <v>0</v>
      </c>
      <c r="G465" s="9" t="s">
        <v>61</v>
      </c>
      <c r="H465" s="14" t="n">
        <f aca="false">IFERROR(F465*VLOOKUP(E465,Insumos!$A:$G,7,FALSE()),0)</f>
        <v>0</v>
      </c>
      <c r="I465" s="16" t="s">
        <v>738</v>
      </c>
    </row>
    <row r="466" customFormat="false" ht="15" hidden="false" customHeight="false" outlineLevel="0" collapsed="false">
      <c r="A466" s="9" t="n">
        <v>32</v>
      </c>
      <c r="B466" s="9" t="s">
        <v>838</v>
      </c>
      <c r="C466" s="9" t="s">
        <v>396</v>
      </c>
      <c r="D466" s="9" t="s">
        <v>739</v>
      </c>
      <c r="E466" s="9" t="s">
        <v>58</v>
      </c>
      <c r="F466" s="9" t="n">
        <v>150</v>
      </c>
      <c r="G466" s="9" t="s">
        <v>61</v>
      </c>
      <c r="H466" s="14" t="n">
        <f aca="false">IFERROR(F466*VLOOKUP(E466,Insumos!$A:$G,7,FALSE()),0)</f>
        <v>36.75</v>
      </c>
      <c r="I466" s="15"/>
    </row>
    <row r="467" customFormat="false" ht="15" hidden="false" customHeight="false" outlineLevel="0" collapsed="false">
      <c r="A467" s="9" t="n">
        <v>32</v>
      </c>
      <c r="B467" s="9" t="s">
        <v>838</v>
      </c>
      <c r="C467" s="9" t="s">
        <v>396</v>
      </c>
      <c r="D467" s="9" t="s">
        <v>843</v>
      </c>
      <c r="E467" s="9" t="s">
        <v>201</v>
      </c>
      <c r="F467" s="9" t="n">
        <v>70</v>
      </c>
      <c r="G467" s="9" t="s">
        <v>61</v>
      </c>
      <c r="H467" s="14" t="n">
        <f aca="false">IFERROR(F467*VLOOKUP(E467,Insumos!$A:$G,7,FALSE()),0)</f>
        <v>55.3</v>
      </c>
      <c r="I467" s="15"/>
    </row>
    <row r="468" customFormat="false" ht="15" hidden="false" customHeight="false" outlineLevel="0" collapsed="false">
      <c r="A468" s="9" t="n">
        <v>32</v>
      </c>
      <c r="B468" s="9" t="s">
        <v>838</v>
      </c>
      <c r="C468" s="9" t="s">
        <v>396</v>
      </c>
      <c r="D468" s="9" t="s">
        <v>844</v>
      </c>
      <c r="E468" s="9" t="s">
        <v>126</v>
      </c>
      <c r="F468" s="9" t="n">
        <v>150</v>
      </c>
      <c r="G468" s="9" t="s">
        <v>61</v>
      </c>
      <c r="H468" s="14" t="n">
        <f aca="false">IFERROR(F468*VLOOKUP(E468,Insumos!$A:$G,7,FALSE()),0)</f>
        <v>4.2</v>
      </c>
      <c r="I468" s="15"/>
    </row>
    <row r="469" customFormat="false" ht="15" hidden="false" customHeight="false" outlineLevel="0" collapsed="false">
      <c r="A469" s="9" t="n">
        <v>32</v>
      </c>
      <c r="B469" s="9" t="s">
        <v>838</v>
      </c>
      <c r="C469" s="9" t="s">
        <v>396</v>
      </c>
      <c r="D469" s="9" t="s">
        <v>435</v>
      </c>
      <c r="E469" s="9" t="s">
        <v>66</v>
      </c>
      <c r="F469" s="9" t="n">
        <v>200</v>
      </c>
      <c r="G469" s="9" t="s">
        <v>61</v>
      </c>
      <c r="H469" s="14" t="n">
        <f aca="false">IFERROR(F469*VLOOKUP(E469,Insumos!$A:$G,7,FALSE()),0)</f>
        <v>12.4</v>
      </c>
      <c r="I469" s="15"/>
    </row>
    <row r="470" customFormat="false" ht="15" hidden="false" customHeight="false" outlineLevel="0" collapsed="false">
      <c r="A470" s="9" t="n">
        <v>32</v>
      </c>
      <c r="B470" s="9" t="s">
        <v>838</v>
      </c>
      <c r="C470" s="9" t="s">
        <v>396</v>
      </c>
      <c r="D470" s="9" t="s">
        <v>421</v>
      </c>
      <c r="E470" s="9" t="s">
        <v>107</v>
      </c>
      <c r="F470" s="9" t="n">
        <v>200</v>
      </c>
      <c r="G470" s="9" t="s">
        <v>61</v>
      </c>
      <c r="H470" s="14" t="n">
        <f aca="false">IFERROR(F470*VLOOKUP(E470,Insumos!$A:$G,7,FALSE()),0)</f>
        <v>5.2</v>
      </c>
      <c r="I470" s="15"/>
    </row>
    <row r="471" customFormat="false" ht="15" hidden="false" customHeight="false" outlineLevel="0" collapsed="false">
      <c r="A471" s="9" t="n">
        <v>32</v>
      </c>
      <c r="B471" s="9" t="s">
        <v>838</v>
      </c>
      <c r="C471" s="9" t="s">
        <v>396</v>
      </c>
      <c r="D471" s="9" t="s">
        <v>845</v>
      </c>
      <c r="E471" s="9" t="s">
        <v>172</v>
      </c>
      <c r="F471" s="9" t="n">
        <v>40</v>
      </c>
      <c r="G471" s="9" t="s">
        <v>61</v>
      </c>
      <c r="H471" s="14" t="n">
        <f aca="false">IFERROR(F471*VLOOKUP(E471,Insumos!$A:$G,7,FALSE()),0)</f>
        <v>17</v>
      </c>
      <c r="I471" s="15"/>
    </row>
    <row r="472" customFormat="false" ht="15" hidden="false" customHeight="false" outlineLevel="0" collapsed="false">
      <c r="A472" s="9" t="n">
        <v>32</v>
      </c>
      <c r="B472" s="9" t="s">
        <v>838</v>
      </c>
      <c r="C472" s="9" t="s">
        <v>396</v>
      </c>
      <c r="D472" s="9" t="s">
        <v>423</v>
      </c>
      <c r="E472" s="9" t="s">
        <v>114</v>
      </c>
      <c r="F472" s="9" t="n">
        <v>5</v>
      </c>
      <c r="G472" s="9" t="s">
        <v>61</v>
      </c>
      <c r="H472" s="14" t="n">
        <f aca="false">IFERROR(F472*VLOOKUP(E472,Insumos!$A:$G,7,FALSE()),0)</f>
        <v>0.68</v>
      </c>
      <c r="I472" s="15"/>
    </row>
    <row r="473" customFormat="false" ht="15" hidden="false" customHeight="false" outlineLevel="0" collapsed="false">
      <c r="A473" s="9" t="n">
        <v>32</v>
      </c>
      <c r="B473" s="9" t="s">
        <v>838</v>
      </c>
      <c r="C473" s="9" t="s">
        <v>396</v>
      </c>
      <c r="D473" s="9" t="s">
        <v>461</v>
      </c>
      <c r="E473" s="9" t="s">
        <v>118</v>
      </c>
      <c r="F473" s="9" t="n">
        <v>2</v>
      </c>
      <c r="G473" s="9" t="s">
        <v>61</v>
      </c>
      <c r="H473" s="14" t="n">
        <f aca="false">IFERROR(F473*VLOOKUP(E473,Insumos!$A:$G,7,FALSE()),0)</f>
        <v>0.032</v>
      </c>
      <c r="I473" s="15"/>
    </row>
    <row r="474" customFormat="false" ht="15" hidden="false" customHeight="false" outlineLevel="0" collapsed="false">
      <c r="A474" s="9" t="n">
        <v>32</v>
      </c>
      <c r="B474" s="9" t="s">
        <v>838</v>
      </c>
      <c r="C474" s="9" t="s">
        <v>396</v>
      </c>
      <c r="D474" s="9" t="s">
        <v>579</v>
      </c>
      <c r="E474" s="9" t="s">
        <v>75</v>
      </c>
      <c r="F474" s="9" t="n">
        <v>40</v>
      </c>
      <c r="G474" s="9" t="s">
        <v>74</v>
      </c>
      <c r="H474" s="14" t="n">
        <f aca="false">IFERROR(F474*VLOOKUP(E474,Insumos!$A:$G,7,FALSE()),0)</f>
        <v>4.72</v>
      </c>
      <c r="I474" s="15"/>
    </row>
    <row r="475" customFormat="false" ht="15" hidden="false" customHeight="false" outlineLevel="0" collapsed="false">
      <c r="A475" s="9" t="n">
        <v>32</v>
      </c>
      <c r="B475" s="9" t="s">
        <v>838</v>
      </c>
      <c r="C475" s="9" t="s">
        <v>396</v>
      </c>
      <c r="D475" s="9" t="s">
        <v>846</v>
      </c>
      <c r="E475" s="9" t="s">
        <v>272</v>
      </c>
      <c r="F475" s="9" t="n">
        <v>5</v>
      </c>
      <c r="G475" s="9" t="s">
        <v>74</v>
      </c>
      <c r="H475" s="14" t="n">
        <f aca="false">IFERROR(F475*VLOOKUP(E475,Insumos!$A:$G,7,FALSE()),0)</f>
        <v>8.4</v>
      </c>
      <c r="I475" s="15"/>
    </row>
    <row r="476" customFormat="false" ht="15" hidden="false" customHeight="false" outlineLevel="0" collapsed="false">
      <c r="A476" s="9" t="n">
        <v>32</v>
      </c>
      <c r="B476" s="9" t="s">
        <v>838</v>
      </c>
      <c r="C476" s="9" t="s">
        <v>806</v>
      </c>
      <c r="D476" s="9" t="s">
        <v>847</v>
      </c>
      <c r="E476" s="9" t="s">
        <v>175</v>
      </c>
      <c r="F476" s="9" t="n">
        <v>80</v>
      </c>
      <c r="G476" s="9" t="s">
        <v>61</v>
      </c>
      <c r="H476" s="14" t="n">
        <f aca="false">IFERROR(F476*VLOOKUP(E476,Insumos!$A:$G,7,FALSE()),0)</f>
        <v>30.8</v>
      </c>
      <c r="I476" s="15"/>
    </row>
    <row r="477" customFormat="false" ht="15" hidden="false" customHeight="false" outlineLevel="0" collapsed="false">
      <c r="A477" s="9" t="n">
        <v>32</v>
      </c>
      <c r="B477" s="9" t="s">
        <v>838</v>
      </c>
      <c r="C477" s="9" t="s">
        <v>806</v>
      </c>
      <c r="D477" s="9" t="s">
        <v>848</v>
      </c>
      <c r="E477" s="9" t="s">
        <v>126</v>
      </c>
      <c r="F477" s="9" t="n">
        <v>20</v>
      </c>
      <c r="G477" s="9" t="s">
        <v>61</v>
      </c>
      <c r="H477" s="14" t="n">
        <f aca="false">IFERROR(F477*VLOOKUP(E477,Insumos!$A:$G,7,FALSE()),0)</f>
        <v>0.56</v>
      </c>
      <c r="I477" s="15"/>
    </row>
    <row r="478" customFormat="false" ht="15" hidden="false" customHeight="false" outlineLevel="0" collapsed="false">
      <c r="A478" s="9" t="n">
        <v>33</v>
      </c>
      <c r="B478" s="9" t="s">
        <v>849</v>
      </c>
      <c r="C478" s="9" t="s">
        <v>850</v>
      </c>
      <c r="D478" s="9" t="s">
        <v>851</v>
      </c>
      <c r="E478" s="9" t="s">
        <v>256</v>
      </c>
      <c r="F478" s="9" t="n">
        <v>200</v>
      </c>
      <c r="G478" s="9" t="s">
        <v>61</v>
      </c>
      <c r="H478" s="14" t="n">
        <f aca="false">IFERROR(F478*VLOOKUP(E478,Insumos!$A:$G,7,FALSE()),0)</f>
        <v>58</v>
      </c>
      <c r="I478" s="15"/>
    </row>
    <row r="479" customFormat="false" ht="15" hidden="false" customHeight="false" outlineLevel="0" collapsed="false">
      <c r="A479" s="9" t="n">
        <v>33</v>
      </c>
      <c r="B479" s="9" t="s">
        <v>849</v>
      </c>
      <c r="C479" s="9" t="s">
        <v>850</v>
      </c>
      <c r="D479" s="9" t="s">
        <v>852</v>
      </c>
      <c r="E479" s="9" t="s">
        <v>141</v>
      </c>
      <c r="F479" s="9" t="n">
        <v>40</v>
      </c>
      <c r="G479" s="9" t="s">
        <v>61</v>
      </c>
      <c r="H479" s="14" t="n">
        <f aca="false">IFERROR(F479*VLOOKUP(E479,Insumos!$A:$G,7,FALSE()),0)</f>
        <v>14</v>
      </c>
      <c r="I479" s="15"/>
    </row>
    <row r="480" customFormat="false" ht="15" hidden="false" customHeight="false" outlineLevel="0" collapsed="false">
      <c r="A480" s="9" t="n">
        <v>33</v>
      </c>
      <c r="B480" s="9" t="s">
        <v>849</v>
      </c>
      <c r="C480" s="9" t="s">
        <v>850</v>
      </c>
      <c r="D480" s="9" t="s">
        <v>853</v>
      </c>
      <c r="E480" s="9" t="s">
        <v>58</v>
      </c>
      <c r="F480" s="9" t="n">
        <v>15</v>
      </c>
      <c r="G480" s="9" t="s">
        <v>61</v>
      </c>
      <c r="H480" s="14" t="n">
        <f aca="false">IFERROR(F480*VLOOKUP(E480,Insumos!$A:$G,7,FALSE()),0)</f>
        <v>3.675</v>
      </c>
      <c r="I480" s="15"/>
    </row>
    <row r="481" customFormat="false" ht="15" hidden="false" customHeight="false" outlineLevel="0" collapsed="false">
      <c r="A481" s="9" t="n">
        <v>33</v>
      </c>
      <c r="B481" s="9" t="s">
        <v>849</v>
      </c>
      <c r="C481" s="9" t="s">
        <v>850</v>
      </c>
      <c r="D481" s="9" t="s">
        <v>854</v>
      </c>
      <c r="E481" s="9" t="s">
        <v>542</v>
      </c>
      <c r="F481" s="9" t="n">
        <v>0</v>
      </c>
      <c r="G481" s="9" t="s">
        <v>61</v>
      </c>
      <c r="H481" s="14" t="n">
        <f aca="false">IFERROR(F481*VLOOKUP(E481,Insumos!$A:$G,7,FALSE()),0)</f>
        <v>0</v>
      </c>
      <c r="I481" s="16" t="s">
        <v>738</v>
      </c>
    </row>
    <row r="482" customFormat="false" ht="15" hidden="false" customHeight="false" outlineLevel="0" collapsed="false">
      <c r="A482" s="9" t="n">
        <v>33</v>
      </c>
      <c r="B482" s="9" t="s">
        <v>849</v>
      </c>
      <c r="C482" s="9" t="s">
        <v>396</v>
      </c>
      <c r="D482" s="9" t="s">
        <v>754</v>
      </c>
      <c r="E482" s="9" t="s">
        <v>58</v>
      </c>
      <c r="F482" s="9" t="n">
        <v>170</v>
      </c>
      <c r="G482" s="9" t="s">
        <v>61</v>
      </c>
      <c r="H482" s="14" t="n">
        <f aca="false">IFERROR(F482*VLOOKUP(E482,Insumos!$A:$G,7,FALSE()),0)</f>
        <v>41.65</v>
      </c>
      <c r="I482" s="15"/>
    </row>
    <row r="483" customFormat="false" ht="15" hidden="false" customHeight="false" outlineLevel="0" collapsed="false">
      <c r="A483" s="9" t="n">
        <v>33</v>
      </c>
      <c r="B483" s="9" t="s">
        <v>849</v>
      </c>
      <c r="C483" s="9" t="s">
        <v>396</v>
      </c>
      <c r="D483" s="9" t="s">
        <v>855</v>
      </c>
      <c r="E483" s="9" t="s">
        <v>133</v>
      </c>
      <c r="F483" s="9" t="n">
        <v>160</v>
      </c>
      <c r="G483" s="9" t="s">
        <v>61</v>
      </c>
      <c r="H483" s="14" t="n">
        <f aca="false">IFERROR(F483*VLOOKUP(E483,Insumos!$A:$G,7,FALSE()),0)</f>
        <v>8.32</v>
      </c>
      <c r="I483" s="15"/>
    </row>
    <row r="484" customFormat="false" ht="15" hidden="false" customHeight="false" outlineLevel="0" collapsed="false">
      <c r="A484" s="9" t="n">
        <v>33</v>
      </c>
      <c r="B484" s="9" t="s">
        <v>849</v>
      </c>
      <c r="C484" s="9" t="s">
        <v>396</v>
      </c>
      <c r="D484" s="9" t="s">
        <v>856</v>
      </c>
      <c r="E484" s="9" t="s">
        <v>141</v>
      </c>
      <c r="F484" s="9" t="n">
        <v>40</v>
      </c>
      <c r="G484" s="9" t="s">
        <v>61</v>
      </c>
      <c r="H484" s="14" t="n">
        <f aca="false">IFERROR(F484*VLOOKUP(E484,Insumos!$A:$G,7,FALSE()),0)</f>
        <v>14</v>
      </c>
      <c r="I484" s="15"/>
    </row>
    <row r="485" customFormat="false" ht="15" hidden="false" customHeight="false" outlineLevel="0" collapsed="false">
      <c r="A485" s="9" t="n">
        <v>33</v>
      </c>
      <c r="B485" s="9" t="s">
        <v>849</v>
      </c>
      <c r="C485" s="9" t="s">
        <v>396</v>
      </c>
      <c r="D485" s="9" t="s">
        <v>435</v>
      </c>
      <c r="E485" s="9" t="s">
        <v>66</v>
      </c>
      <c r="F485" s="9" t="n">
        <v>200</v>
      </c>
      <c r="G485" s="9" t="s">
        <v>61</v>
      </c>
      <c r="H485" s="14" t="n">
        <f aca="false">IFERROR(F485*VLOOKUP(E485,Insumos!$A:$G,7,FALSE()),0)</f>
        <v>12.4</v>
      </c>
      <c r="I485" s="15"/>
    </row>
    <row r="486" customFormat="false" ht="15" hidden="false" customHeight="false" outlineLevel="0" collapsed="false">
      <c r="A486" s="9" t="n">
        <v>33</v>
      </c>
      <c r="B486" s="9" t="s">
        <v>849</v>
      </c>
      <c r="C486" s="9" t="s">
        <v>396</v>
      </c>
      <c r="D486" s="9" t="s">
        <v>612</v>
      </c>
      <c r="E486" s="9" t="s">
        <v>107</v>
      </c>
      <c r="F486" s="9" t="n">
        <v>210</v>
      </c>
      <c r="G486" s="9" t="s">
        <v>61</v>
      </c>
      <c r="H486" s="14" t="n">
        <f aca="false">IFERROR(F486*VLOOKUP(E486,Insumos!$A:$G,7,FALSE()),0)</f>
        <v>5.46</v>
      </c>
      <c r="I486" s="15"/>
    </row>
    <row r="487" customFormat="false" ht="15" hidden="false" customHeight="false" outlineLevel="0" collapsed="false">
      <c r="A487" s="9" t="n">
        <v>33</v>
      </c>
      <c r="B487" s="9" t="s">
        <v>849</v>
      </c>
      <c r="C487" s="9" t="s">
        <v>396</v>
      </c>
      <c r="D487" s="9" t="s">
        <v>857</v>
      </c>
      <c r="E487" s="9" t="s">
        <v>185</v>
      </c>
      <c r="F487" s="9" t="n">
        <v>40</v>
      </c>
      <c r="G487" s="9" t="s">
        <v>61</v>
      </c>
      <c r="H487" s="14" t="n">
        <f aca="false">IFERROR(F487*VLOOKUP(E487,Insumos!$A:$G,7,FALSE()),0)</f>
        <v>16.8</v>
      </c>
      <c r="I487" s="15"/>
    </row>
    <row r="488" customFormat="false" ht="15" hidden="false" customHeight="false" outlineLevel="0" collapsed="false">
      <c r="A488" s="9" t="n">
        <v>33</v>
      </c>
      <c r="B488" s="9" t="s">
        <v>849</v>
      </c>
      <c r="C488" s="9" t="s">
        <v>396</v>
      </c>
      <c r="D488" s="9" t="s">
        <v>423</v>
      </c>
      <c r="E488" s="9" t="s">
        <v>114</v>
      </c>
      <c r="F488" s="9" t="n">
        <v>5</v>
      </c>
      <c r="G488" s="9" t="s">
        <v>61</v>
      </c>
      <c r="H488" s="14" t="n">
        <f aca="false">IFERROR(F488*VLOOKUP(E488,Insumos!$A:$G,7,FALSE()),0)</f>
        <v>0.68</v>
      </c>
      <c r="I488" s="15"/>
    </row>
    <row r="489" customFormat="false" ht="15" hidden="false" customHeight="false" outlineLevel="0" collapsed="false">
      <c r="A489" s="9" t="n">
        <v>33</v>
      </c>
      <c r="B489" s="9" t="s">
        <v>849</v>
      </c>
      <c r="C489" s="9" t="s">
        <v>396</v>
      </c>
      <c r="D489" s="9" t="s">
        <v>483</v>
      </c>
      <c r="E489" s="9" t="s">
        <v>120</v>
      </c>
      <c r="F489" s="9" t="n">
        <v>2</v>
      </c>
      <c r="G489" s="9" t="s">
        <v>61</v>
      </c>
      <c r="H489" s="14" t="n">
        <f aca="false">IFERROR(F489*VLOOKUP(E489,Insumos!$A:$G,7,FALSE()),0)</f>
        <v>0.168</v>
      </c>
      <c r="I489" s="15"/>
    </row>
    <row r="490" customFormat="false" ht="15" hidden="false" customHeight="false" outlineLevel="0" collapsed="false">
      <c r="A490" s="9" t="n">
        <v>33</v>
      </c>
      <c r="B490" s="9" t="s">
        <v>849</v>
      </c>
      <c r="C490" s="9" t="s">
        <v>396</v>
      </c>
      <c r="D490" s="9" t="s">
        <v>858</v>
      </c>
      <c r="E490" s="9" t="s">
        <v>185</v>
      </c>
      <c r="F490" s="9" t="n">
        <v>40</v>
      </c>
      <c r="G490" s="9" t="s">
        <v>61</v>
      </c>
      <c r="H490" s="14" t="n">
        <f aca="false">IFERROR(F490*VLOOKUP(E490,Insumos!$A:$G,7,FALSE()),0)</f>
        <v>16.8</v>
      </c>
      <c r="I490" s="15"/>
    </row>
    <row r="491" customFormat="false" ht="15" hidden="false" customHeight="false" outlineLevel="0" collapsed="false">
      <c r="A491" s="9" t="n">
        <v>33</v>
      </c>
      <c r="B491" s="9" t="s">
        <v>849</v>
      </c>
      <c r="C491" s="9" t="s">
        <v>396</v>
      </c>
      <c r="D491" s="9" t="s">
        <v>745</v>
      </c>
      <c r="E491" s="9" t="s">
        <v>72</v>
      </c>
      <c r="F491" s="9" t="n">
        <v>40</v>
      </c>
      <c r="G491" s="9" t="s">
        <v>74</v>
      </c>
      <c r="H491" s="14" t="n">
        <f aca="false">IFERROR(F491*VLOOKUP(E491,Insumos!$A:$G,7,FALSE()),0)</f>
        <v>1.08</v>
      </c>
      <c r="I491" s="15"/>
    </row>
    <row r="492" customFormat="false" ht="15" hidden="false" customHeight="false" outlineLevel="0" collapsed="false">
      <c r="A492" s="9" t="n">
        <v>34</v>
      </c>
      <c r="B492" s="9" t="s">
        <v>859</v>
      </c>
      <c r="C492" s="9" t="s">
        <v>396</v>
      </c>
      <c r="D492" s="9" t="s">
        <v>523</v>
      </c>
      <c r="E492" s="9" t="s">
        <v>58</v>
      </c>
      <c r="F492" s="9" t="n">
        <v>140</v>
      </c>
      <c r="G492" s="9" t="s">
        <v>61</v>
      </c>
      <c r="H492" s="14" t="n">
        <f aca="false">IFERROR(F492*VLOOKUP(E492,Insumos!$A:$G,7,FALSE()),0)</f>
        <v>34.3</v>
      </c>
      <c r="I492" s="15"/>
    </row>
    <row r="493" customFormat="false" ht="15" hidden="false" customHeight="false" outlineLevel="0" collapsed="false">
      <c r="A493" s="9" t="n">
        <v>34</v>
      </c>
      <c r="B493" s="9" t="s">
        <v>859</v>
      </c>
      <c r="C493" s="9" t="s">
        <v>396</v>
      </c>
      <c r="D493" s="9" t="s">
        <v>860</v>
      </c>
      <c r="E493" s="9" t="s">
        <v>203</v>
      </c>
      <c r="F493" s="9" t="n">
        <v>80</v>
      </c>
      <c r="G493" s="9" t="s">
        <v>61</v>
      </c>
      <c r="H493" s="14" t="n">
        <f aca="false">IFERROR(F493*VLOOKUP(E493,Insumos!$A:$G,7,FALSE()),0)</f>
        <v>29.6</v>
      </c>
      <c r="I493" s="15"/>
    </row>
    <row r="494" customFormat="false" ht="15" hidden="false" customHeight="false" outlineLevel="0" collapsed="false">
      <c r="A494" s="9" t="n">
        <v>34</v>
      </c>
      <c r="B494" s="9" t="s">
        <v>859</v>
      </c>
      <c r="C494" s="9" t="s">
        <v>396</v>
      </c>
      <c r="D494" s="9" t="s">
        <v>719</v>
      </c>
      <c r="E494" s="9" t="s">
        <v>133</v>
      </c>
      <c r="F494" s="9" t="n">
        <v>190</v>
      </c>
      <c r="G494" s="9" t="s">
        <v>61</v>
      </c>
      <c r="H494" s="14" t="n">
        <f aca="false">IFERROR(F494*VLOOKUP(E494,Insumos!$A:$G,7,FALSE()),0)</f>
        <v>9.88</v>
      </c>
      <c r="I494" s="15"/>
    </row>
    <row r="495" customFormat="false" ht="15" hidden="false" customHeight="false" outlineLevel="0" collapsed="false">
      <c r="A495" s="9" t="n">
        <v>34</v>
      </c>
      <c r="B495" s="9" t="s">
        <v>859</v>
      </c>
      <c r="C495" s="9" t="s">
        <v>396</v>
      </c>
      <c r="D495" s="9" t="s">
        <v>505</v>
      </c>
      <c r="E495" s="9" t="s">
        <v>66</v>
      </c>
      <c r="F495" s="9" t="n">
        <v>200</v>
      </c>
      <c r="G495" s="9" t="s">
        <v>61</v>
      </c>
      <c r="H495" s="14" t="n">
        <f aca="false">IFERROR(F495*VLOOKUP(E495,Insumos!$A:$G,7,FALSE()),0)</f>
        <v>12.4</v>
      </c>
      <c r="I495" s="15"/>
    </row>
    <row r="496" customFormat="false" ht="15" hidden="false" customHeight="false" outlineLevel="0" collapsed="false">
      <c r="A496" s="9" t="n">
        <v>34</v>
      </c>
      <c r="B496" s="9" t="s">
        <v>859</v>
      </c>
      <c r="C496" s="9" t="s">
        <v>396</v>
      </c>
      <c r="D496" s="9" t="s">
        <v>495</v>
      </c>
      <c r="E496" s="9" t="s">
        <v>107</v>
      </c>
      <c r="F496" s="9" t="n">
        <v>220</v>
      </c>
      <c r="G496" s="9" t="s">
        <v>61</v>
      </c>
      <c r="H496" s="14" t="n">
        <f aca="false">IFERROR(F496*VLOOKUP(E496,Insumos!$A:$G,7,FALSE()),0)</f>
        <v>5.72</v>
      </c>
      <c r="I496" s="15"/>
    </row>
    <row r="497" customFormat="false" ht="15" hidden="false" customHeight="false" outlineLevel="0" collapsed="false">
      <c r="A497" s="9" t="n">
        <v>34</v>
      </c>
      <c r="B497" s="9" t="s">
        <v>859</v>
      </c>
      <c r="C497" s="9" t="s">
        <v>396</v>
      </c>
      <c r="D497" s="9" t="s">
        <v>861</v>
      </c>
      <c r="E497" s="9" t="s">
        <v>112</v>
      </c>
      <c r="F497" s="9" t="n">
        <v>20</v>
      </c>
      <c r="G497" s="9" t="s">
        <v>61</v>
      </c>
      <c r="H497" s="14" t="n">
        <f aca="false">IFERROR(F497*VLOOKUP(E497,Insumos!$A:$G,7,FALSE()),0)</f>
        <v>1.28</v>
      </c>
      <c r="I497" s="15"/>
    </row>
    <row r="498" customFormat="false" ht="15" hidden="false" customHeight="false" outlineLevel="0" collapsed="false">
      <c r="A498" s="9" t="n">
        <v>34</v>
      </c>
      <c r="B498" s="9" t="s">
        <v>859</v>
      </c>
      <c r="C498" s="9" t="s">
        <v>396</v>
      </c>
      <c r="D498" s="9" t="s">
        <v>423</v>
      </c>
      <c r="E498" s="9" t="s">
        <v>114</v>
      </c>
      <c r="F498" s="9" t="n">
        <v>5</v>
      </c>
      <c r="G498" s="9" t="s">
        <v>61</v>
      </c>
      <c r="H498" s="14" t="n">
        <f aca="false">IFERROR(F498*VLOOKUP(E498,Insumos!$A:$G,7,FALSE()),0)</f>
        <v>0.68</v>
      </c>
      <c r="I498" s="15"/>
    </row>
    <row r="499" customFormat="false" ht="15" hidden="false" customHeight="false" outlineLevel="0" collapsed="false">
      <c r="A499" s="9" t="n">
        <v>34</v>
      </c>
      <c r="B499" s="9" t="s">
        <v>859</v>
      </c>
      <c r="C499" s="9" t="s">
        <v>396</v>
      </c>
      <c r="D499" s="9" t="s">
        <v>483</v>
      </c>
      <c r="E499" s="9" t="s">
        <v>120</v>
      </c>
      <c r="F499" s="9" t="n">
        <v>2</v>
      </c>
      <c r="G499" s="9" t="s">
        <v>61</v>
      </c>
      <c r="H499" s="14" t="n">
        <f aca="false">IFERROR(F499*VLOOKUP(E499,Insumos!$A:$G,7,FALSE()),0)</f>
        <v>0.168</v>
      </c>
      <c r="I499" s="15"/>
    </row>
    <row r="500" customFormat="false" ht="15" hidden="false" customHeight="false" outlineLevel="0" collapsed="false">
      <c r="A500" s="9" t="n">
        <v>34</v>
      </c>
      <c r="B500" s="9" t="s">
        <v>859</v>
      </c>
      <c r="C500" s="9" t="s">
        <v>396</v>
      </c>
      <c r="D500" s="9" t="s">
        <v>862</v>
      </c>
      <c r="E500" s="9" t="s">
        <v>72</v>
      </c>
      <c r="F500" s="9" t="n">
        <v>40</v>
      </c>
      <c r="G500" s="9" t="s">
        <v>74</v>
      </c>
      <c r="H500" s="14" t="n">
        <f aca="false">IFERROR(F500*VLOOKUP(E500,Insumos!$A:$G,7,FALSE()),0)</f>
        <v>1.08</v>
      </c>
      <c r="I500" s="15"/>
    </row>
    <row r="501" customFormat="false" ht="15" hidden="false" customHeight="false" outlineLevel="0" collapsed="false">
      <c r="A501" s="9" t="n">
        <v>34</v>
      </c>
      <c r="B501" s="9" t="s">
        <v>859</v>
      </c>
      <c r="C501" s="9" t="s">
        <v>396</v>
      </c>
      <c r="D501" s="9" t="s">
        <v>521</v>
      </c>
      <c r="E501" s="9" t="s">
        <v>272</v>
      </c>
      <c r="F501" s="9" t="n">
        <v>5</v>
      </c>
      <c r="G501" s="9" t="s">
        <v>74</v>
      </c>
      <c r="H501" s="14" t="n">
        <f aca="false">IFERROR(F501*VLOOKUP(E501,Insumos!$A:$G,7,FALSE()),0)</f>
        <v>8.4</v>
      </c>
      <c r="I501" s="15"/>
    </row>
    <row r="502" customFormat="false" ht="15" hidden="false" customHeight="false" outlineLevel="0" collapsed="false">
      <c r="A502" s="9" t="n">
        <v>34</v>
      </c>
      <c r="B502" s="9" t="s">
        <v>859</v>
      </c>
      <c r="C502" s="9" t="s">
        <v>863</v>
      </c>
      <c r="D502" s="9" t="s">
        <v>574</v>
      </c>
      <c r="E502" s="9" t="s">
        <v>131</v>
      </c>
      <c r="F502" s="9" t="n">
        <v>70</v>
      </c>
      <c r="G502" s="9" t="s">
        <v>61</v>
      </c>
      <c r="H502" s="14" t="n">
        <f aca="false">IFERROR(F502*VLOOKUP(E502,Insumos!$A:$G,7,FALSE()),0)</f>
        <v>2.94</v>
      </c>
      <c r="I502" s="15"/>
    </row>
    <row r="503" customFormat="false" ht="15" hidden="false" customHeight="false" outlineLevel="0" collapsed="false">
      <c r="A503" s="9" t="n">
        <v>34</v>
      </c>
      <c r="B503" s="9" t="s">
        <v>859</v>
      </c>
      <c r="C503" s="9" t="s">
        <v>863</v>
      </c>
      <c r="D503" s="9" t="s">
        <v>864</v>
      </c>
      <c r="E503" s="9" t="s">
        <v>139</v>
      </c>
      <c r="F503" s="9" t="n">
        <v>15</v>
      </c>
      <c r="G503" s="9" t="s">
        <v>61</v>
      </c>
      <c r="H503" s="14" t="n">
        <f aca="false">IFERROR(F503*VLOOKUP(E503,Insumos!$A:$G,7,FALSE()),0)</f>
        <v>2.925</v>
      </c>
      <c r="I503" s="15"/>
    </row>
    <row r="504" customFormat="false" ht="15" hidden="false" customHeight="false" outlineLevel="0" collapsed="false">
      <c r="A504" s="9" t="n">
        <v>34</v>
      </c>
      <c r="B504" s="9" t="s">
        <v>859</v>
      </c>
      <c r="C504" s="9" t="s">
        <v>863</v>
      </c>
      <c r="D504" s="9" t="s">
        <v>782</v>
      </c>
      <c r="E504" s="9" t="s">
        <v>151</v>
      </c>
      <c r="F504" s="9" t="n">
        <v>15</v>
      </c>
      <c r="G504" s="9" t="s">
        <v>74</v>
      </c>
      <c r="H504" s="14" t="n">
        <f aca="false">IFERROR(F504*VLOOKUP(E504,Insumos!$A:$G,7,FALSE()),0)</f>
        <v>0.03375</v>
      </c>
      <c r="I504" s="15"/>
    </row>
    <row r="505" customFormat="false" ht="15" hidden="false" customHeight="false" outlineLevel="0" collapsed="false">
      <c r="A505" s="9" t="n">
        <v>34</v>
      </c>
      <c r="B505" s="9" t="s">
        <v>859</v>
      </c>
      <c r="C505" s="9" t="s">
        <v>729</v>
      </c>
      <c r="D505" s="9" t="s">
        <v>865</v>
      </c>
      <c r="E505" s="9" t="s">
        <v>207</v>
      </c>
      <c r="F505" s="9" t="n">
        <v>15</v>
      </c>
      <c r="G505" s="9" t="s">
        <v>61</v>
      </c>
      <c r="H505" s="14" t="n">
        <f aca="false">IFERROR(F505*VLOOKUP(E505,Insumos!$A:$G,7,FALSE()),0)</f>
        <v>5.7</v>
      </c>
      <c r="I505" s="15"/>
    </row>
    <row r="506" customFormat="false" ht="15" hidden="false" customHeight="false" outlineLevel="0" collapsed="false">
      <c r="A506" s="9" t="n">
        <v>34</v>
      </c>
      <c r="B506" s="9" t="s">
        <v>859</v>
      </c>
      <c r="C506" s="9" t="s">
        <v>729</v>
      </c>
      <c r="D506" s="9" t="s">
        <v>866</v>
      </c>
      <c r="E506" s="9" t="s">
        <v>205</v>
      </c>
      <c r="F506" s="9" t="n">
        <v>15</v>
      </c>
      <c r="G506" s="9" t="s">
        <v>61</v>
      </c>
      <c r="H506" s="14" t="n">
        <f aca="false">IFERROR(F506*VLOOKUP(E506,Insumos!$A:$G,7,FALSE()),0)</f>
        <v>2.04</v>
      </c>
      <c r="I506" s="15"/>
    </row>
    <row r="507" customFormat="false" ht="15" hidden="false" customHeight="false" outlineLevel="0" collapsed="false">
      <c r="A507" s="9" t="n">
        <v>35</v>
      </c>
      <c r="B507" s="9" t="s">
        <v>867</v>
      </c>
      <c r="C507" s="9" t="s">
        <v>868</v>
      </c>
      <c r="D507" s="9" t="s">
        <v>869</v>
      </c>
      <c r="E507" s="9" t="s">
        <v>258</v>
      </c>
      <c r="F507" s="9" t="n">
        <v>180</v>
      </c>
      <c r="G507" s="9" t="s">
        <v>61</v>
      </c>
      <c r="H507" s="14" t="n">
        <f aca="false">IFERROR(F507*VLOOKUP(E507,Insumos!$A:$G,7,FALSE()),0)</f>
        <v>70.2</v>
      </c>
      <c r="I507" s="15"/>
    </row>
    <row r="508" customFormat="false" ht="15" hidden="false" customHeight="false" outlineLevel="0" collapsed="false">
      <c r="A508" s="9" t="n">
        <v>35</v>
      </c>
      <c r="B508" s="9" t="s">
        <v>867</v>
      </c>
      <c r="C508" s="9" t="s">
        <v>868</v>
      </c>
      <c r="D508" s="9" t="s">
        <v>870</v>
      </c>
      <c r="E508" s="9" t="s">
        <v>151</v>
      </c>
      <c r="F508" s="9" t="n">
        <v>150</v>
      </c>
      <c r="G508" s="9" t="s">
        <v>74</v>
      </c>
      <c r="H508" s="14" t="n">
        <f aca="false">IFERROR(F508*VLOOKUP(E508,Insumos!$A:$G,7,FALSE()),0)</f>
        <v>0.3375</v>
      </c>
      <c r="I508" s="15"/>
    </row>
    <row r="509" customFormat="false" ht="15" hidden="false" customHeight="false" outlineLevel="0" collapsed="false">
      <c r="A509" s="9" t="n">
        <v>35</v>
      </c>
      <c r="B509" s="9" t="s">
        <v>867</v>
      </c>
      <c r="C509" s="9" t="s">
        <v>868</v>
      </c>
      <c r="D509" s="9" t="s">
        <v>871</v>
      </c>
      <c r="E509" s="9" t="s">
        <v>116</v>
      </c>
      <c r="F509" s="9" t="n">
        <v>4</v>
      </c>
      <c r="G509" s="9" t="s">
        <v>61</v>
      </c>
      <c r="H509" s="14" t="n">
        <f aca="false">IFERROR(F509*VLOOKUP(E509,Insumos!$A:$G,7,FALSE()),0)</f>
        <v>0.304</v>
      </c>
      <c r="I509" s="15"/>
    </row>
    <row r="510" customFormat="false" ht="15" hidden="false" customHeight="false" outlineLevel="0" collapsed="false">
      <c r="A510" s="9" t="n">
        <v>35</v>
      </c>
      <c r="B510" s="9" t="s">
        <v>867</v>
      </c>
      <c r="C510" s="9" t="s">
        <v>868</v>
      </c>
      <c r="D510" s="9" t="s">
        <v>872</v>
      </c>
      <c r="E510" s="9" t="s">
        <v>542</v>
      </c>
      <c r="F510" s="9" t="n">
        <v>0</v>
      </c>
      <c r="G510" s="9" t="s">
        <v>61</v>
      </c>
      <c r="H510" s="14" t="n">
        <f aca="false">IFERROR(F510*VLOOKUP(E510,Insumos!$A:$G,7,FALSE()),0)</f>
        <v>0</v>
      </c>
      <c r="I510" s="16" t="s">
        <v>738</v>
      </c>
    </row>
    <row r="511" customFormat="false" ht="15" hidden="false" customHeight="false" outlineLevel="0" collapsed="false">
      <c r="A511" s="9" t="n">
        <v>35</v>
      </c>
      <c r="B511" s="9" t="s">
        <v>867</v>
      </c>
      <c r="C511" s="9" t="s">
        <v>396</v>
      </c>
      <c r="D511" s="9" t="s">
        <v>873</v>
      </c>
      <c r="E511" s="9" t="s">
        <v>58</v>
      </c>
      <c r="F511" s="9" t="n">
        <v>120</v>
      </c>
      <c r="G511" s="9" t="s">
        <v>61</v>
      </c>
      <c r="H511" s="14" t="n">
        <f aca="false">IFERROR(F511*VLOOKUP(E511,Insumos!$A:$G,7,FALSE()),0)</f>
        <v>29.4</v>
      </c>
      <c r="I511" s="15"/>
    </row>
    <row r="512" customFormat="false" ht="15" hidden="false" customHeight="false" outlineLevel="0" collapsed="false">
      <c r="A512" s="9" t="n">
        <v>35</v>
      </c>
      <c r="B512" s="9" t="s">
        <v>867</v>
      </c>
      <c r="C512" s="9" t="s">
        <v>396</v>
      </c>
      <c r="D512" s="9" t="s">
        <v>874</v>
      </c>
      <c r="E512" s="9" t="s">
        <v>135</v>
      </c>
      <c r="F512" s="9" t="n">
        <v>140</v>
      </c>
      <c r="G512" s="9" t="s">
        <v>61</v>
      </c>
      <c r="H512" s="14" t="n">
        <f aca="false">IFERROR(F512*VLOOKUP(E512,Insumos!$A:$G,7,FALSE()),0)</f>
        <v>8.12</v>
      </c>
      <c r="I512" s="15"/>
    </row>
    <row r="513" customFormat="false" ht="15" hidden="false" customHeight="false" outlineLevel="0" collapsed="false">
      <c r="A513" s="9" t="n">
        <v>35</v>
      </c>
      <c r="B513" s="9" t="s">
        <v>867</v>
      </c>
      <c r="C513" s="9" t="s">
        <v>396</v>
      </c>
      <c r="D513" s="9" t="s">
        <v>525</v>
      </c>
      <c r="E513" s="9" t="s">
        <v>66</v>
      </c>
      <c r="F513" s="9" t="n">
        <v>150</v>
      </c>
      <c r="G513" s="9" t="s">
        <v>61</v>
      </c>
      <c r="H513" s="14" t="n">
        <f aca="false">IFERROR(F513*VLOOKUP(E513,Insumos!$A:$G,7,FALSE()),0)</f>
        <v>9.3</v>
      </c>
      <c r="I513" s="15"/>
    </row>
    <row r="514" customFormat="false" ht="15" hidden="false" customHeight="false" outlineLevel="0" collapsed="false">
      <c r="A514" s="9" t="n">
        <v>35</v>
      </c>
      <c r="B514" s="9" t="s">
        <v>867</v>
      </c>
      <c r="C514" s="9" t="s">
        <v>396</v>
      </c>
      <c r="D514" s="9" t="s">
        <v>421</v>
      </c>
      <c r="E514" s="9" t="s">
        <v>107</v>
      </c>
      <c r="F514" s="9" t="n">
        <v>200</v>
      </c>
      <c r="G514" s="9" t="s">
        <v>61</v>
      </c>
      <c r="H514" s="14" t="n">
        <f aca="false">IFERROR(F514*VLOOKUP(E514,Insumos!$A:$G,7,FALSE()),0)</f>
        <v>5.2</v>
      </c>
      <c r="I514" s="15"/>
    </row>
    <row r="515" customFormat="false" ht="15" hidden="false" customHeight="false" outlineLevel="0" collapsed="false">
      <c r="A515" s="9" t="n">
        <v>35</v>
      </c>
      <c r="B515" s="9" t="s">
        <v>867</v>
      </c>
      <c r="C515" s="9" t="s">
        <v>396</v>
      </c>
      <c r="D515" s="9" t="s">
        <v>482</v>
      </c>
      <c r="E515" s="9" t="s">
        <v>114</v>
      </c>
      <c r="F515" s="9" t="n">
        <v>4</v>
      </c>
      <c r="G515" s="9" t="s">
        <v>61</v>
      </c>
      <c r="H515" s="14" t="n">
        <f aca="false">IFERROR(F515*VLOOKUP(E515,Insumos!$A:$G,7,FALSE()),0)</f>
        <v>0.544</v>
      </c>
      <c r="I515" s="15"/>
    </row>
    <row r="516" customFormat="false" ht="15" hidden="false" customHeight="false" outlineLevel="0" collapsed="false">
      <c r="A516" s="9" t="n">
        <v>35</v>
      </c>
      <c r="B516" s="9" t="s">
        <v>867</v>
      </c>
      <c r="C516" s="9" t="s">
        <v>396</v>
      </c>
      <c r="D516" s="9" t="s">
        <v>461</v>
      </c>
      <c r="E516" s="9" t="s">
        <v>118</v>
      </c>
      <c r="F516" s="9" t="n">
        <v>2</v>
      </c>
      <c r="G516" s="9" t="s">
        <v>61</v>
      </c>
      <c r="H516" s="14" t="n">
        <f aca="false">IFERROR(F516*VLOOKUP(E516,Insumos!$A:$G,7,FALSE()),0)</f>
        <v>0.032</v>
      </c>
      <c r="I516" s="15"/>
    </row>
    <row r="517" customFormat="false" ht="15" hidden="false" customHeight="false" outlineLevel="0" collapsed="false">
      <c r="A517" s="9" t="n">
        <v>35</v>
      </c>
      <c r="B517" s="9" t="s">
        <v>867</v>
      </c>
      <c r="C517" s="9" t="s">
        <v>396</v>
      </c>
      <c r="D517" s="9" t="s">
        <v>875</v>
      </c>
      <c r="E517" s="9" t="s">
        <v>183</v>
      </c>
      <c r="F517" s="9" t="n">
        <v>80</v>
      </c>
      <c r="G517" s="9" t="s">
        <v>61</v>
      </c>
      <c r="H517" s="14" t="n">
        <f aca="false">IFERROR(F517*VLOOKUP(E517,Insumos!$A:$G,7,FALSE()),0)</f>
        <v>38.4</v>
      </c>
      <c r="I517" s="15"/>
    </row>
    <row r="518" customFormat="false" ht="15" hidden="false" customHeight="false" outlineLevel="0" collapsed="false">
      <c r="A518" s="9" t="n">
        <v>35</v>
      </c>
      <c r="B518" s="9" t="s">
        <v>867</v>
      </c>
      <c r="C518" s="9" t="s">
        <v>876</v>
      </c>
      <c r="D518" s="9" t="s">
        <v>877</v>
      </c>
      <c r="E518" s="9" t="s">
        <v>135</v>
      </c>
      <c r="F518" s="9" t="n">
        <v>80</v>
      </c>
      <c r="G518" s="9" t="s">
        <v>61</v>
      </c>
      <c r="H518" s="14" t="n">
        <f aca="false">IFERROR(F518*VLOOKUP(E518,Insumos!$A:$G,7,FALSE()),0)</f>
        <v>4.64</v>
      </c>
      <c r="I518" s="15"/>
    </row>
    <row r="519" customFormat="false" ht="15" hidden="false" customHeight="false" outlineLevel="0" collapsed="false">
      <c r="A519" s="9" t="n">
        <v>35</v>
      </c>
      <c r="B519" s="9" t="s">
        <v>867</v>
      </c>
      <c r="C519" s="9" t="s">
        <v>876</v>
      </c>
      <c r="D519" s="9" t="s">
        <v>878</v>
      </c>
      <c r="E519" s="9" t="s">
        <v>58</v>
      </c>
      <c r="F519" s="9" t="n">
        <v>50</v>
      </c>
      <c r="G519" s="9" t="s">
        <v>61</v>
      </c>
      <c r="H519" s="14" t="n">
        <f aca="false">IFERROR(F519*VLOOKUP(E519,Insumos!$A:$G,7,FALSE()),0)</f>
        <v>12.25</v>
      </c>
      <c r="I519" s="15"/>
    </row>
    <row r="520" customFormat="false" ht="15" hidden="false" customHeight="false" outlineLevel="0" collapsed="false">
      <c r="A520" s="9" t="n">
        <v>35</v>
      </c>
      <c r="B520" s="9" t="s">
        <v>867</v>
      </c>
      <c r="C520" s="9" t="s">
        <v>876</v>
      </c>
      <c r="D520" s="9" t="s">
        <v>879</v>
      </c>
      <c r="E520" s="9" t="s">
        <v>75</v>
      </c>
      <c r="F520" s="9" t="n">
        <v>80</v>
      </c>
      <c r="G520" s="9" t="s">
        <v>74</v>
      </c>
      <c r="H520" s="14" t="n">
        <f aca="false">IFERROR(F520*VLOOKUP(E520,Insumos!$A:$G,7,FALSE()),0)</f>
        <v>9.44</v>
      </c>
      <c r="I520" s="15"/>
    </row>
    <row r="521" customFormat="false" ht="15" hidden="false" customHeight="false" outlineLevel="0" collapsed="false">
      <c r="A521" s="9" t="n">
        <v>35</v>
      </c>
      <c r="B521" s="9" t="s">
        <v>867</v>
      </c>
      <c r="C521" s="9" t="s">
        <v>876</v>
      </c>
      <c r="D521" s="9" t="s">
        <v>490</v>
      </c>
      <c r="E521" s="9" t="s">
        <v>122</v>
      </c>
      <c r="F521" s="9" t="n">
        <v>2</v>
      </c>
      <c r="G521" s="9" t="s">
        <v>61</v>
      </c>
      <c r="H521" s="14" t="n">
        <f aca="false">IFERROR(F521*VLOOKUP(E521,Insumos!$A:$G,7,FALSE()),0)</f>
        <v>1.56</v>
      </c>
      <c r="I521" s="15"/>
    </row>
    <row r="522" customFormat="false" ht="15" hidden="false" customHeight="false" outlineLevel="0" collapsed="false">
      <c r="A522" s="9" t="n">
        <v>36</v>
      </c>
      <c r="B522" s="9" t="s">
        <v>880</v>
      </c>
      <c r="C522" s="9" t="s">
        <v>881</v>
      </c>
      <c r="D522" s="9" t="s">
        <v>882</v>
      </c>
      <c r="E522" s="9" t="s">
        <v>238</v>
      </c>
      <c r="F522" s="9" t="n">
        <v>390</v>
      </c>
      <c r="G522" s="9" t="s">
        <v>61</v>
      </c>
      <c r="H522" s="14" t="n">
        <f aca="false">IFERROR(F522*VLOOKUP(E522,Insumos!$A:$G,7,FALSE()),0)</f>
        <v>9.36</v>
      </c>
      <c r="I522" s="16" t="s">
        <v>883</v>
      </c>
    </row>
    <row r="523" customFormat="false" ht="15" hidden="false" customHeight="false" outlineLevel="0" collapsed="false">
      <c r="A523" s="9" t="n">
        <v>36</v>
      </c>
      <c r="B523" s="9" t="s">
        <v>880</v>
      </c>
      <c r="C523" s="9" t="s">
        <v>881</v>
      </c>
      <c r="D523" s="9" t="s">
        <v>853</v>
      </c>
      <c r="E523" s="9" t="s">
        <v>58</v>
      </c>
      <c r="F523" s="9" t="n">
        <v>15</v>
      </c>
      <c r="G523" s="9" t="s">
        <v>61</v>
      </c>
      <c r="H523" s="14" t="n">
        <f aca="false">IFERROR(F523*VLOOKUP(E523,Insumos!$A:$G,7,FALSE()),0)</f>
        <v>3.675</v>
      </c>
      <c r="I523" s="15"/>
    </row>
    <row r="524" customFormat="false" ht="15" hidden="false" customHeight="false" outlineLevel="0" collapsed="false">
      <c r="A524" s="9" t="n">
        <v>36</v>
      </c>
      <c r="B524" s="9" t="s">
        <v>880</v>
      </c>
      <c r="C524" s="9" t="s">
        <v>881</v>
      </c>
      <c r="D524" s="9" t="s">
        <v>884</v>
      </c>
      <c r="E524" s="9" t="s">
        <v>133</v>
      </c>
      <c r="F524" s="9" t="n">
        <v>20</v>
      </c>
      <c r="G524" s="9" t="s">
        <v>61</v>
      </c>
      <c r="H524" s="14" t="n">
        <f aca="false">IFERROR(F524*VLOOKUP(E524,Insumos!$A:$G,7,FALSE()),0)</f>
        <v>1.04</v>
      </c>
      <c r="I524" s="15"/>
    </row>
    <row r="525" customFormat="false" ht="15" hidden="false" customHeight="false" outlineLevel="0" collapsed="false">
      <c r="A525" s="9" t="n">
        <v>36</v>
      </c>
      <c r="B525" s="9" t="s">
        <v>880</v>
      </c>
      <c r="C525" s="9" t="s">
        <v>881</v>
      </c>
      <c r="D525" s="9" t="s">
        <v>885</v>
      </c>
      <c r="E525" s="9" t="s">
        <v>542</v>
      </c>
      <c r="F525" s="9" t="n">
        <v>0</v>
      </c>
      <c r="G525" s="9" t="s">
        <v>61</v>
      </c>
      <c r="H525" s="14" t="n">
        <f aca="false">IFERROR(F525*VLOOKUP(E525,Insumos!$A:$G,7,FALSE()),0)</f>
        <v>0</v>
      </c>
      <c r="I525" s="16" t="s">
        <v>738</v>
      </c>
    </row>
    <row r="526" customFormat="false" ht="15" hidden="false" customHeight="false" outlineLevel="0" collapsed="false">
      <c r="A526" s="9" t="n">
        <v>36</v>
      </c>
      <c r="B526" s="9" t="s">
        <v>880</v>
      </c>
      <c r="C526" s="9" t="s">
        <v>396</v>
      </c>
      <c r="D526" s="9" t="s">
        <v>886</v>
      </c>
      <c r="E526" s="9" t="s">
        <v>58</v>
      </c>
      <c r="F526" s="9" t="n">
        <v>140</v>
      </c>
      <c r="G526" s="9" t="s">
        <v>61</v>
      </c>
      <c r="H526" s="14" t="n">
        <f aca="false">IFERROR(F526*VLOOKUP(E526,Insumos!$A:$G,7,FALSE()),0)</f>
        <v>34.3</v>
      </c>
      <c r="I526" s="15"/>
    </row>
    <row r="527" customFormat="false" ht="15" hidden="false" customHeight="false" outlineLevel="0" collapsed="false">
      <c r="A527" s="9" t="n">
        <v>36</v>
      </c>
      <c r="B527" s="9" t="s">
        <v>880</v>
      </c>
      <c r="C527" s="9" t="s">
        <v>396</v>
      </c>
      <c r="D527" s="9" t="s">
        <v>887</v>
      </c>
      <c r="E527" s="9" t="s">
        <v>133</v>
      </c>
      <c r="F527" s="9" t="n">
        <v>150</v>
      </c>
      <c r="G527" s="9" t="s">
        <v>61</v>
      </c>
      <c r="H527" s="14" t="n">
        <f aca="false">IFERROR(F527*VLOOKUP(E527,Insumos!$A:$G,7,FALSE()),0)</f>
        <v>7.8</v>
      </c>
      <c r="I527" s="15"/>
    </row>
    <row r="528" customFormat="false" ht="15" hidden="false" customHeight="false" outlineLevel="0" collapsed="false">
      <c r="A528" s="9" t="n">
        <v>36</v>
      </c>
      <c r="B528" s="9" t="s">
        <v>880</v>
      </c>
      <c r="C528" s="9" t="s">
        <v>396</v>
      </c>
      <c r="D528" s="9" t="s">
        <v>888</v>
      </c>
      <c r="E528" s="9" t="s">
        <v>66</v>
      </c>
      <c r="F528" s="9" t="n">
        <v>150</v>
      </c>
      <c r="G528" s="9" t="s">
        <v>61</v>
      </c>
      <c r="H528" s="14" t="n">
        <f aca="false">IFERROR(F528*VLOOKUP(E528,Insumos!$A:$G,7,FALSE()),0)</f>
        <v>9.3</v>
      </c>
      <c r="I528" s="15"/>
    </row>
    <row r="529" customFormat="false" ht="15" hidden="false" customHeight="false" outlineLevel="0" collapsed="false">
      <c r="A529" s="9" t="n">
        <v>36</v>
      </c>
      <c r="B529" s="9" t="s">
        <v>880</v>
      </c>
      <c r="C529" s="9" t="s">
        <v>396</v>
      </c>
      <c r="D529" s="9" t="s">
        <v>566</v>
      </c>
      <c r="E529" s="9" t="s">
        <v>107</v>
      </c>
      <c r="F529" s="9" t="n">
        <v>230</v>
      </c>
      <c r="G529" s="9" t="s">
        <v>61</v>
      </c>
      <c r="H529" s="14" t="n">
        <f aca="false">IFERROR(F529*VLOOKUP(E529,Insumos!$A:$G,7,FALSE()),0)</f>
        <v>5.98</v>
      </c>
      <c r="I529" s="15"/>
    </row>
    <row r="530" customFormat="false" ht="15" hidden="false" customHeight="false" outlineLevel="0" collapsed="false">
      <c r="A530" s="9" t="n">
        <v>36</v>
      </c>
      <c r="B530" s="9" t="s">
        <v>880</v>
      </c>
      <c r="C530" s="9" t="s">
        <v>396</v>
      </c>
      <c r="D530" s="9" t="s">
        <v>423</v>
      </c>
      <c r="E530" s="9" t="s">
        <v>114</v>
      </c>
      <c r="F530" s="9" t="n">
        <v>5</v>
      </c>
      <c r="G530" s="9" t="s">
        <v>61</v>
      </c>
      <c r="H530" s="14" t="n">
        <f aca="false">IFERROR(F530*VLOOKUP(E530,Insumos!$A:$G,7,FALSE()),0)</f>
        <v>0.68</v>
      </c>
      <c r="I530" s="15"/>
    </row>
    <row r="531" customFormat="false" ht="15" hidden="false" customHeight="false" outlineLevel="0" collapsed="false">
      <c r="A531" s="9" t="n">
        <v>36</v>
      </c>
      <c r="B531" s="9" t="s">
        <v>880</v>
      </c>
      <c r="C531" s="9" t="s">
        <v>396</v>
      </c>
      <c r="D531" s="9" t="s">
        <v>527</v>
      </c>
      <c r="E531" s="9" t="s">
        <v>116</v>
      </c>
      <c r="F531" s="9" t="n">
        <v>3</v>
      </c>
      <c r="G531" s="9" t="s">
        <v>61</v>
      </c>
      <c r="H531" s="14" t="n">
        <f aca="false">IFERROR(F531*VLOOKUP(E531,Insumos!$A:$G,7,FALSE()),0)</f>
        <v>0.228</v>
      </c>
      <c r="I531" s="15"/>
    </row>
    <row r="532" customFormat="false" ht="15" hidden="false" customHeight="false" outlineLevel="0" collapsed="false">
      <c r="A532" s="9" t="n">
        <v>36</v>
      </c>
      <c r="B532" s="9" t="s">
        <v>880</v>
      </c>
      <c r="C532" s="9" t="s">
        <v>396</v>
      </c>
      <c r="D532" s="9" t="s">
        <v>889</v>
      </c>
      <c r="E532" s="9" t="s">
        <v>277</v>
      </c>
      <c r="F532" s="9" t="n">
        <v>2</v>
      </c>
      <c r="G532" s="9" t="s">
        <v>61</v>
      </c>
      <c r="H532" s="14" t="n">
        <f aca="false">IFERROR(F532*VLOOKUP(E532,Insumos!$A:$G,7,FALSE()),0)</f>
        <v>1.48</v>
      </c>
      <c r="I532" s="15"/>
    </row>
    <row r="533" customFormat="false" ht="15" hidden="false" customHeight="false" outlineLevel="0" collapsed="false">
      <c r="A533" s="9" t="n">
        <v>36</v>
      </c>
      <c r="B533" s="9" t="s">
        <v>880</v>
      </c>
      <c r="C533" s="9" t="s">
        <v>396</v>
      </c>
      <c r="D533" s="9" t="s">
        <v>461</v>
      </c>
      <c r="E533" s="9" t="s">
        <v>118</v>
      </c>
      <c r="F533" s="9" t="n">
        <v>2</v>
      </c>
      <c r="G533" s="9" t="s">
        <v>61</v>
      </c>
      <c r="H533" s="14" t="n">
        <f aca="false">IFERROR(F533*VLOOKUP(E533,Insumos!$A:$G,7,FALSE()),0)</f>
        <v>0.032</v>
      </c>
      <c r="I533" s="15"/>
    </row>
    <row r="534" customFormat="false" ht="15" hidden="false" customHeight="false" outlineLevel="0" collapsed="false">
      <c r="A534" s="9" t="n">
        <v>36</v>
      </c>
      <c r="B534" s="9" t="s">
        <v>880</v>
      </c>
      <c r="C534" s="9" t="s">
        <v>396</v>
      </c>
      <c r="D534" s="9" t="s">
        <v>890</v>
      </c>
      <c r="E534" s="9" t="s">
        <v>77</v>
      </c>
      <c r="F534" s="9" t="n">
        <v>40</v>
      </c>
      <c r="G534" s="9" t="s">
        <v>74</v>
      </c>
      <c r="H534" s="14" t="n">
        <f aca="false">IFERROR(F534*VLOOKUP(E534,Insumos!$A:$G,7,FALSE()),0)</f>
        <v>4.08888888888889</v>
      </c>
      <c r="I534" s="15"/>
    </row>
    <row r="535" customFormat="false" ht="15" hidden="false" customHeight="false" outlineLevel="0" collapsed="false">
      <c r="A535" s="9" t="n">
        <v>36</v>
      </c>
      <c r="B535" s="9" t="s">
        <v>880</v>
      </c>
      <c r="C535" s="9" t="s">
        <v>396</v>
      </c>
      <c r="D535" s="9" t="s">
        <v>891</v>
      </c>
      <c r="E535" s="9" t="s">
        <v>238</v>
      </c>
      <c r="F535" s="9" t="n">
        <v>0</v>
      </c>
      <c r="G535" s="9" t="s">
        <v>61</v>
      </c>
      <c r="H535" s="14" t="n">
        <f aca="false">IFERROR(F535*VLOOKUP(E535,Insumos!$A:$G,7,FALSE()),0)</f>
        <v>0</v>
      </c>
      <c r="I535" s="16" t="s">
        <v>892</v>
      </c>
    </row>
    <row r="536" customFormat="false" ht="15" hidden="false" customHeight="false" outlineLevel="0" collapsed="false">
      <c r="A536" s="9" t="n">
        <v>36</v>
      </c>
      <c r="B536" s="9" t="s">
        <v>880</v>
      </c>
      <c r="C536" s="9" t="s">
        <v>893</v>
      </c>
      <c r="D536" s="9" t="s">
        <v>894</v>
      </c>
      <c r="E536" s="9" t="s">
        <v>147</v>
      </c>
      <c r="F536" s="9" t="n">
        <v>120</v>
      </c>
      <c r="G536" s="9" t="s">
        <v>61</v>
      </c>
      <c r="H536" s="14" t="n">
        <f aca="false">IFERROR(F536*VLOOKUP(E536,Insumos!$A:$G,7,FALSE()),0)</f>
        <v>17.76</v>
      </c>
      <c r="I536" s="15"/>
    </row>
    <row r="537" customFormat="false" ht="15" hidden="false" customHeight="false" outlineLevel="0" collapsed="false">
      <c r="A537" s="9" t="n">
        <v>36</v>
      </c>
      <c r="B537" s="9" t="s">
        <v>880</v>
      </c>
      <c r="C537" s="9" t="s">
        <v>893</v>
      </c>
      <c r="D537" s="9" t="s">
        <v>895</v>
      </c>
      <c r="E537" s="9" t="s">
        <v>183</v>
      </c>
      <c r="F537" s="9" t="n">
        <v>80</v>
      </c>
      <c r="G537" s="9" t="s">
        <v>61</v>
      </c>
      <c r="H537" s="14" t="n">
        <f aca="false">IFERROR(F537*VLOOKUP(E537,Insumos!$A:$G,7,FALSE()),0)</f>
        <v>38.4</v>
      </c>
      <c r="I537" s="15"/>
    </row>
    <row r="538" customFormat="false" ht="15" hidden="false" customHeight="false" outlineLevel="0" collapsed="false">
      <c r="A538" s="9" t="n">
        <v>36</v>
      </c>
      <c r="B538" s="9" t="s">
        <v>880</v>
      </c>
      <c r="C538" s="9" t="s">
        <v>893</v>
      </c>
      <c r="D538" s="9" t="s">
        <v>896</v>
      </c>
      <c r="E538" s="9" t="s">
        <v>137</v>
      </c>
      <c r="F538" s="9" t="n">
        <v>25</v>
      </c>
      <c r="G538" s="9" t="s">
        <v>61</v>
      </c>
      <c r="H538" s="14" t="n">
        <f aca="false">IFERROR(F538*VLOOKUP(E538,Insumos!$A:$G,7,FALSE()),0)</f>
        <v>1.15</v>
      </c>
      <c r="I538" s="15"/>
    </row>
    <row r="539" customFormat="false" ht="15" hidden="false" customHeight="false" outlineLevel="0" collapsed="false">
      <c r="A539" s="9" t="n">
        <v>37</v>
      </c>
      <c r="B539" s="9" t="s">
        <v>897</v>
      </c>
      <c r="C539" s="9" t="s">
        <v>898</v>
      </c>
      <c r="D539" s="9" t="s">
        <v>899</v>
      </c>
      <c r="E539" s="9" t="s">
        <v>240</v>
      </c>
      <c r="F539" s="9" t="n">
        <v>360</v>
      </c>
      <c r="G539" s="9" t="s">
        <v>61</v>
      </c>
      <c r="H539" s="14" t="n">
        <f aca="false">IFERROR(F539*VLOOKUP(E539,Insumos!$A:$G,7,FALSE()),0)</f>
        <v>17.28</v>
      </c>
      <c r="I539" s="16" t="s">
        <v>900</v>
      </c>
    </row>
    <row r="540" customFormat="false" ht="15" hidden="false" customHeight="false" outlineLevel="0" collapsed="false">
      <c r="A540" s="9" t="n">
        <v>37</v>
      </c>
      <c r="B540" s="9" t="s">
        <v>897</v>
      </c>
      <c r="C540" s="9" t="s">
        <v>898</v>
      </c>
      <c r="D540" s="9" t="s">
        <v>471</v>
      </c>
      <c r="E540" s="9" t="s">
        <v>58</v>
      </c>
      <c r="F540" s="9" t="n">
        <v>25</v>
      </c>
      <c r="G540" s="9" t="s">
        <v>61</v>
      </c>
      <c r="H540" s="14" t="n">
        <f aca="false">IFERROR(F540*VLOOKUP(E540,Insumos!$A:$G,7,FALSE()),0)</f>
        <v>6.125</v>
      </c>
      <c r="I540" s="15"/>
    </row>
    <row r="541" customFormat="false" ht="15" hidden="false" customHeight="false" outlineLevel="0" collapsed="false">
      <c r="A541" s="9" t="n">
        <v>37</v>
      </c>
      <c r="B541" s="9" t="s">
        <v>897</v>
      </c>
      <c r="C541" s="9" t="s">
        <v>898</v>
      </c>
      <c r="D541" s="9" t="s">
        <v>901</v>
      </c>
      <c r="E541" s="9" t="s">
        <v>133</v>
      </c>
      <c r="F541" s="9" t="n">
        <v>35</v>
      </c>
      <c r="G541" s="9" t="s">
        <v>61</v>
      </c>
      <c r="H541" s="14" t="n">
        <f aca="false">IFERROR(F541*VLOOKUP(E541,Insumos!$A:$G,7,FALSE()),0)</f>
        <v>1.82</v>
      </c>
      <c r="I541" s="15"/>
    </row>
    <row r="542" customFormat="false" ht="15" hidden="false" customHeight="false" outlineLevel="0" collapsed="false">
      <c r="A542" s="9" t="n">
        <v>37</v>
      </c>
      <c r="B542" s="9" t="s">
        <v>897</v>
      </c>
      <c r="C542" s="9" t="s">
        <v>898</v>
      </c>
      <c r="D542" s="9" t="s">
        <v>902</v>
      </c>
      <c r="E542" s="9" t="s">
        <v>277</v>
      </c>
      <c r="F542" s="9" t="n">
        <v>3</v>
      </c>
      <c r="G542" s="9" t="s">
        <v>61</v>
      </c>
      <c r="H542" s="14" t="n">
        <f aca="false">IFERROR(F542*VLOOKUP(E542,Insumos!$A:$G,7,FALSE()),0)</f>
        <v>2.22</v>
      </c>
      <c r="I542" s="15"/>
    </row>
    <row r="543" customFormat="false" ht="15" hidden="false" customHeight="false" outlineLevel="0" collapsed="false">
      <c r="A543" s="9" t="n">
        <v>37</v>
      </c>
      <c r="B543" s="9" t="s">
        <v>897</v>
      </c>
      <c r="C543" s="9" t="s">
        <v>898</v>
      </c>
      <c r="D543" s="9" t="s">
        <v>903</v>
      </c>
      <c r="E543" s="9" t="s">
        <v>542</v>
      </c>
      <c r="F543" s="9" t="n">
        <v>0</v>
      </c>
      <c r="G543" s="9" t="s">
        <v>61</v>
      </c>
      <c r="H543" s="14" t="n">
        <f aca="false">IFERROR(F543*VLOOKUP(E543,Insumos!$A:$G,7,FALSE()),0)</f>
        <v>0</v>
      </c>
      <c r="I543" s="16" t="s">
        <v>738</v>
      </c>
    </row>
    <row r="544" customFormat="false" ht="15" hidden="false" customHeight="false" outlineLevel="0" collapsed="false">
      <c r="A544" s="9" t="n">
        <v>37</v>
      </c>
      <c r="B544" s="9" t="s">
        <v>897</v>
      </c>
      <c r="C544" s="9" t="s">
        <v>396</v>
      </c>
      <c r="D544" s="9" t="s">
        <v>904</v>
      </c>
      <c r="E544" s="9" t="s">
        <v>58</v>
      </c>
      <c r="F544" s="9" t="n">
        <v>227</v>
      </c>
      <c r="G544" s="9" t="s">
        <v>61</v>
      </c>
      <c r="H544" s="14" t="n">
        <f aca="false">IFERROR(F544*VLOOKUP(E544,Insumos!$A:$G,7,FALSE()),0)</f>
        <v>55.615</v>
      </c>
      <c r="I544" s="16" t="s">
        <v>478</v>
      </c>
    </row>
    <row r="545" customFormat="false" ht="15" hidden="false" customHeight="false" outlineLevel="0" collapsed="false">
      <c r="A545" s="9" t="n">
        <v>37</v>
      </c>
      <c r="B545" s="9" t="s">
        <v>897</v>
      </c>
      <c r="C545" s="9" t="s">
        <v>396</v>
      </c>
      <c r="D545" s="9" t="s">
        <v>493</v>
      </c>
      <c r="E545" s="9" t="s">
        <v>133</v>
      </c>
      <c r="F545" s="9" t="n">
        <v>180</v>
      </c>
      <c r="G545" s="9" t="s">
        <v>61</v>
      </c>
      <c r="H545" s="14" t="n">
        <f aca="false">IFERROR(F545*VLOOKUP(E545,Insumos!$A:$G,7,FALSE()),0)</f>
        <v>9.36</v>
      </c>
      <c r="I545" s="15"/>
    </row>
    <row r="546" customFormat="false" ht="15" hidden="false" customHeight="false" outlineLevel="0" collapsed="false">
      <c r="A546" s="9" t="n">
        <v>37</v>
      </c>
      <c r="B546" s="9" t="s">
        <v>897</v>
      </c>
      <c r="C546" s="9" t="s">
        <v>396</v>
      </c>
      <c r="D546" s="9" t="s">
        <v>435</v>
      </c>
      <c r="E546" s="9" t="s">
        <v>66</v>
      </c>
      <c r="F546" s="9" t="n">
        <v>200</v>
      </c>
      <c r="G546" s="9" t="s">
        <v>61</v>
      </c>
      <c r="H546" s="14" t="n">
        <f aca="false">IFERROR(F546*VLOOKUP(E546,Insumos!$A:$G,7,FALSE()),0)</f>
        <v>12.4</v>
      </c>
      <c r="I546" s="15"/>
    </row>
    <row r="547" customFormat="false" ht="15" hidden="false" customHeight="false" outlineLevel="0" collapsed="false">
      <c r="A547" s="9" t="n">
        <v>37</v>
      </c>
      <c r="B547" s="9" t="s">
        <v>897</v>
      </c>
      <c r="C547" s="9" t="s">
        <v>396</v>
      </c>
      <c r="D547" s="9" t="s">
        <v>495</v>
      </c>
      <c r="E547" s="9" t="s">
        <v>107</v>
      </c>
      <c r="F547" s="9" t="n">
        <v>220</v>
      </c>
      <c r="G547" s="9" t="s">
        <v>61</v>
      </c>
      <c r="H547" s="14" t="n">
        <f aca="false">IFERROR(F547*VLOOKUP(E547,Insumos!$A:$G,7,FALSE()),0)</f>
        <v>5.72</v>
      </c>
      <c r="I547" s="15"/>
    </row>
    <row r="548" customFormat="false" ht="15" hidden="false" customHeight="false" outlineLevel="0" collapsed="false">
      <c r="A548" s="9" t="n">
        <v>37</v>
      </c>
      <c r="B548" s="9" t="s">
        <v>897</v>
      </c>
      <c r="C548" s="9" t="s">
        <v>396</v>
      </c>
      <c r="D548" s="9" t="s">
        <v>550</v>
      </c>
      <c r="E548" s="9" t="s">
        <v>172</v>
      </c>
      <c r="F548" s="9" t="n">
        <v>25</v>
      </c>
      <c r="G548" s="9" t="s">
        <v>61</v>
      </c>
      <c r="H548" s="14" t="n">
        <f aca="false">IFERROR(F548*VLOOKUP(E548,Insumos!$A:$G,7,FALSE()),0)</f>
        <v>10.625</v>
      </c>
      <c r="I548" s="15"/>
    </row>
    <row r="549" customFormat="false" ht="15" hidden="false" customHeight="false" outlineLevel="0" collapsed="false">
      <c r="A549" s="9" t="n">
        <v>37</v>
      </c>
      <c r="B549" s="9" t="s">
        <v>897</v>
      </c>
      <c r="C549" s="9" t="s">
        <v>396</v>
      </c>
      <c r="D549" s="9" t="s">
        <v>423</v>
      </c>
      <c r="E549" s="9" t="s">
        <v>114</v>
      </c>
      <c r="F549" s="9" t="n">
        <v>5</v>
      </c>
      <c r="G549" s="9" t="s">
        <v>61</v>
      </c>
      <c r="H549" s="14" t="n">
        <f aca="false">IFERROR(F549*VLOOKUP(E549,Insumos!$A:$G,7,FALSE()),0)</f>
        <v>0.68</v>
      </c>
      <c r="I549" s="15"/>
    </row>
    <row r="550" customFormat="false" ht="15" hidden="false" customHeight="false" outlineLevel="0" collapsed="false">
      <c r="A550" s="9" t="n">
        <v>37</v>
      </c>
      <c r="B550" s="9" t="s">
        <v>897</v>
      </c>
      <c r="C550" s="9" t="s">
        <v>396</v>
      </c>
      <c r="D550" s="9" t="s">
        <v>902</v>
      </c>
      <c r="E550" s="9" t="s">
        <v>277</v>
      </c>
      <c r="F550" s="9" t="n">
        <v>3</v>
      </c>
      <c r="G550" s="9" t="s">
        <v>61</v>
      </c>
      <c r="H550" s="14" t="n">
        <f aca="false">IFERROR(F550*VLOOKUP(E550,Insumos!$A:$G,7,FALSE()),0)</f>
        <v>2.22</v>
      </c>
      <c r="I550" s="15"/>
    </row>
    <row r="551" customFormat="false" ht="15" hidden="false" customHeight="false" outlineLevel="0" collapsed="false">
      <c r="A551" s="9" t="n">
        <v>37</v>
      </c>
      <c r="B551" s="9" t="s">
        <v>897</v>
      </c>
      <c r="C551" s="9" t="s">
        <v>396</v>
      </c>
      <c r="D551" s="9" t="s">
        <v>905</v>
      </c>
      <c r="E551" s="9" t="s">
        <v>285</v>
      </c>
      <c r="F551" s="9" t="n">
        <v>0.5</v>
      </c>
      <c r="G551" s="9" t="s">
        <v>61</v>
      </c>
      <c r="H551" s="14" t="n">
        <f aca="false">IFERROR(F551*VLOOKUP(E551,Insumos!$A:$G,7,FALSE()),0)</f>
        <v>0.475</v>
      </c>
      <c r="I551" s="16" t="s">
        <v>474</v>
      </c>
    </row>
    <row r="552" customFormat="false" ht="15" hidden="false" customHeight="false" outlineLevel="0" collapsed="false">
      <c r="A552" s="9" t="n">
        <v>37</v>
      </c>
      <c r="B552" s="9" t="s">
        <v>897</v>
      </c>
      <c r="C552" s="9" t="s">
        <v>396</v>
      </c>
      <c r="D552" s="9" t="s">
        <v>461</v>
      </c>
      <c r="E552" s="9" t="s">
        <v>118</v>
      </c>
      <c r="F552" s="9" t="n">
        <v>2</v>
      </c>
      <c r="G552" s="9" t="s">
        <v>61</v>
      </c>
      <c r="H552" s="14" t="n">
        <f aca="false">IFERROR(F552*VLOOKUP(E552,Insumos!$A:$G,7,FALSE()),0)</f>
        <v>0.032</v>
      </c>
      <c r="I552" s="15"/>
    </row>
    <row r="553" customFormat="false" ht="15" hidden="false" customHeight="false" outlineLevel="0" collapsed="false">
      <c r="A553" s="9" t="n">
        <v>37</v>
      </c>
      <c r="B553" s="9" t="s">
        <v>897</v>
      </c>
      <c r="C553" s="9" t="s">
        <v>396</v>
      </c>
      <c r="D553" s="9" t="s">
        <v>745</v>
      </c>
      <c r="E553" s="9" t="s">
        <v>72</v>
      </c>
      <c r="F553" s="9" t="n">
        <v>40</v>
      </c>
      <c r="G553" s="9" t="s">
        <v>74</v>
      </c>
      <c r="H553" s="14" t="n">
        <f aca="false">IFERROR(F553*VLOOKUP(E553,Insumos!$A:$G,7,FALSE()),0)</f>
        <v>1.08</v>
      </c>
      <c r="I553" s="15"/>
    </row>
    <row r="554" customFormat="false" ht="15" hidden="false" customHeight="false" outlineLevel="0" collapsed="false">
      <c r="A554" s="9" t="n">
        <v>37</v>
      </c>
      <c r="B554" s="9" t="s">
        <v>897</v>
      </c>
      <c r="C554" s="9" t="s">
        <v>906</v>
      </c>
      <c r="D554" s="9" t="s">
        <v>907</v>
      </c>
      <c r="E554" s="9" t="s">
        <v>58</v>
      </c>
      <c r="F554" s="9" t="n">
        <v>20</v>
      </c>
      <c r="G554" s="9" t="s">
        <v>61</v>
      </c>
      <c r="H554" s="14" t="n">
        <f aca="false">IFERROR(F554*VLOOKUP(E554,Insumos!$A:$G,7,FALSE()),0)</f>
        <v>4.9</v>
      </c>
      <c r="I554" s="15"/>
    </row>
    <row r="555" customFormat="false" ht="15" hidden="false" customHeight="false" outlineLevel="0" collapsed="false">
      <c r="A555" s="9" t="n">
        <v>37</v>
      </c>
      <c r="B555" s="9" t="s">
        <v>897</v>
      </c>
      <c r="C555" s="9" t="s">
        <v>906</v>
      </c>
      <c r="D555" s="9" t="s">
        <v>908</v>
      </c>
      <c r="E555" s="9" t="s">
        <v>133</v>
      </c>
      <c r="F555" s="9" t="n">
        <v>15</v>
      </c>
      <c r="G555" s="9" t="s">
        <v>61</v>
      </c>
      <c r="H555" s="14" t="n">
        <f aca="false">IFERROR(F555*VLOOKUP(E555,Insumos!$A:$G,7,FALSE()),0)</f>
        <v>0.78</v>
      </c>
      <c r="I555" s="15"/>
    </row>
    <row r="556" customFormat="false" ht="15" hidden="false" customHeight="false" outlineLevel="0" collapsed="false">
      <c r="A556" s="9" t="n">
        <v>38</v>
      </c>
      <c r="B556" s="9" t="s">
        <v>909</v>
      </c>
      <c r="C556" s="9" t="s">
        <v>396</v>
      </c>
      <c r="D556" s="9" t="s">
        <v>910</v>
      </c>
      <c r="E556" s="9" t="s">
        <v>101</v>
      </c>
      <c r="F556" s="9" t="n">
        <v>130</v>
      </c>
      <c r="G556" s="9" t="s">
        <v>74</v>
      </c>
      <c r="H556" s="14" t="n">
        <f aca="false">IFERROR(F556*VLOOKUP(E556,Insumos!$A:$G,7,FALSE()),0)</f>
        <v>5.46</v>
      </c>
      <c r="I556" s="15"/>
    </row>
    <row r="557" customFormat="false" ht="15" hidden="false" customHeight="false" outlineLevel="0" collapsed="false">
      <c r="A557" s="9" t="n">
        <v>38</v>
      </c>
      <c r="B557" s="9" t="s">
        <v>909</v>
      </c>
      <c r="C557" s="9" t="s">
        <v>396</v>
      </c>
      <c r="D557" s="9" t="s">
        <v>561</v>
      </c>
      <c r="E557" s="9" t="s">
        <v>58</v>
      </c>
      <c r="F557" s="9" t="n">
        <v>50</v>
      </c>
      <c r="G557" s="9" t="s">
        <v>61</v>
      </c>
      <c r="H557" s="14" t="n">
        <f aca="false">IFERROR(F557*VLOOKUP(E557,Insumos!$A:$G,7,FALSE()),0)</f>
        <v>12.25</v>
      </c>
      <c r="I557" s="15"/>
    </row>
    <row r="558" customFormat="false" ht="15" hidden="false" customHeight="false" outlineLevel="0" collapsed="false">
      <c r="A558" s="9" t="n">
        <v>38</v>
      </c>
      <c r="B558" s="9" t="s">
        <v>909</v>
      </c>
      <c r="C558" s="9" t="s">
        <v>396</v>
      </c>
      <c r="D558" s="9" t="s">
        <v>493</v>
      </c>
      <c r="E558" s="9" t="s">
        <v>133</v>
      </c>
      <c r="F558" s="9" t="n">
        <v>180</v>
      </c>
      <c r="G558" s="9" t="s">
        <v>61</v>
      </c>
      <c r="H558" s="14" t="n">
        <f aca="false">IFERROR(F558*VLOOKUP(E558,Insumos!$A:$G,7,FALSE()),0)</f>
        <v>9.36</v>
      </c>
      <c r="I558" s="15"/>
    </row>
    <row r="559" customFormat="false" ht="15" hidden="false" customHeight="false" outlineLevel="0" collapsed="false">
      <c r="A559" s="9" t="n">
        <v>38</v>
      </c>
      <c r="B559" s="9" t="s">
        <v>909</v>
      </c>
      <c r="C559" s="9" t="s">
        <v>396</v>
      </c>
      <c r="D559" s="9" t="s">
        <v>686</v>
      </c>
      <c r="E559" s="9" t="s">
        <v>66</v>
      </c>
      <c r="F559" s="9" t="n">
        <v>180</v>
      </c>
      <c r="G559" s="9" t="s">
        <v>61</v>
      </c>
      <c r="H559" s="14" t="n">
        <f aca="false">IFERROR(F559*VLOOKUP(E559,Insumos!$A:$G,7,FALSE()),0)</f>
        <v>11.16</v>
      </c>
      <c r="I559" s="15"/>
    </row>
    <row r="560" customFormat="false" ht="15" hidden="false" customHeight="false" outlineLevel="0" collapsed="false">
      <c r="A560" s="9" t="n">
        <v>38</v>
      </c>
      <c r="B560" s="9" t="s">
        <v>909</v>
      </c>
      <c r="C560" s="9" t="s">
        <v>396</v>
      </c>
      <c r="D560" s="9" t="s">
        <v>911</v>
      </c>
      <c r="E560" s="9" t="s">
        <v>248</v>
      </c>
      <c r="F560" s="9" t="n">
        <v>200</v>
      </c>
      <c r="G560" s="9" t="s">
        <v>61</v>
      </c>
      <c r="H560" s="14" t="n">
        <f aca="false">IFERROR(F560*VLOOKUP(E560,Insumos!$A:$G,7,FALSE()),0)</f>
        <v>4</v>
      </c>
      <c r="I560" s="15"/>
    </row>
    <row r="561" customFormat="false" ht="15" hidden="false" customHeight="false" outlineLevel="0" collapsed="false">
      <c r="A561" s="9" t="n">
        <v>38</v>
      </c>
      <c r="B561" s="9" t="s">
        <v>909</v>
      </c>
      <c r="C561" s="9" t="s">
        <v>396</v>
      </c>
      <c r="D561" s="9" t="s">
        <v>912</v>
      </c>
      <c r="E561" s="9" t="s">
        <v>250</v>
      </c>
      <c r="F561" s="9" t="n">
        <v>70</v>
      </c>
      <c r="G561" s="9" t="s">
        <v>61</v>
      </c>
      <c r="H561" s="14" t="n">
        <f aca="false">IFERROR(F561*VLOOKUP(E561,Insumos!$A:$G,7,FALSE()),0)</f>
        <v>12.32</v>
      </c>
      <c r="I561" s="15"/>
    </row>
    <row r="562" customFormat="false" ht="15" hidden="false" customHeight="false" outlineLevel="0" collapsed="false">
      <c r="A562" s="9" t="n">
        <v>38</v>
      </c>
      <c r="B562" s="9" t="s">
        <v>909</v>
      </c>
      <c r="C562" s="9" t="s">
        <v>396</v>
      </c>
      <c r="D562" s="9" t="s">
        <v>913</v>
      </c>
      <c r="E562" s="9" t="s">
        <v>183</v>
      </c>
      <c r="F562" s="9" t="n">
        <v>50</v>
      </c>
      <c r="G562" s="9" t="s">
        <v>61</v>
      </c>
      <c r="H562" s="14" t="n">
        <f aca="false">IFERROR(F562*VLOOKUP(E562,Insumos!$A:$G,7,FALSE()),0)</f>
        <v>24</v>
      </c>
      <c r="I562" s="15"/>
    </row>
    <row r="563" customFormat="false" ht="15" hidden="false" customHeight="false" outlineLevel="0" collapsed="false">
      <c r="A563" s="9" t="n">
        <v>38</v>
      </c>
      <c r="B563" s="9" t="s">
        <v>909</v>
      </c>
      <c r="C563" s="9" t="s">
        <v>396</v>
      </c>
      <c r="D563" s="9" t="s">
        <v>612</v>
      </c>
      <c r="E563" s="9" t="s">
        <v>107</v>
      </c>
      <c r="F563" s="9" t="n">
        <v>210</v>
      </c>
      <c r="G563" s="9" t="s">
        <v>61</v>
      </c>
      <c r="H563" s="14" t="n">
        <f aca="false">IFERROR(F563*VLOOKUP(E563,Insumos!$A:$G,7,FALSE()),0)</f>
        <v>5.46</v>
      </c>
      <c r="I563" s="15"/>
    </row>
    <row r="564" customFormat="false" ht="15" hidden="false" customHeight="false" outlineLevel="0" collapsed="false">
      <c r="A564" s="9" t="n">
        <v>38</v>
      </c>
      <c r="B564" s="9" t="s">
        <v>909</v>
      </c>
      <c r="C564" s="9" t="s">
        <v>396</v>
      </c>
      <c r="D564" s="9" t="s">
        <v>423</v>
      </c>
      <c r="E564" s="9" t="s">
        <v>114</v>
      </c>
      <c r="F564" s="9" t="n">
        <v>5</v>
      </c>
      <c r="G564" s="9" t="s">
        <v>61</v>
      </c>
      <c r="H564" s="14" t="n">
        <f aca="false">IFERROR(F564*VLOOKUP(E564,Insumos!$A:$G,7,FALSE()),0)</f>
        <v>0.68</v>
      </c>
      <c r="I564" s="15"/>
    </row>
    <row r="565" customFormat="false" ht="15" hidden="false" customHeight="false" outlineLevel="0" collapsed="false">
      <c r="A565" s="9" t="n">
        <v>38</v>
      </c>
      <c r="B565" s="9" t="s">
        <v>909</v>
      </c>
      <c r="C565" s="9" t="s">
        <v>396</v>
      </c>
      <c r="D565" s="9" t="s">
        <v>527</v>
      </c>
      <c r="E565" s="9" t="s">
        <v>116</v>
      </c>
      <c r="F565" s="9" t="n">
        <v>3</v>
      </c>
      <c r="G565" s="9" t="s">
        <v>61</v>
      </c>
      <c r="H565" s="14" t="n">
        <f aca="false">IFERROR(F565*VLOOKUP(E565,Insumos!$A:$G,7,FALSE()),0)</f>
        <v>0.228</v>
      </c>
      <c r="I565" s="15"/>
    </row>
    <row r="566" customFormat="false" ht="15" hidden="false" customHeight="false" outlineLevel="0" collapsed="false">
      <c r="A566" s="9" t="n">
        <v>38</v>
      </c>
      <c r="B566" s="9" t="s">
        <v>909</v>
      </c>
      <c r="C566" s="9" t="s">
        <v>396</v>
      </c>
      <c r="D566" s="9" t="s">
        <v>914</v>
      </c>
      <c r="E566" s="9" t="s">
        <v>277</v>
      </c>
      <c r="F566" s="9" t="n">
        <v>4</v>
      </c>
      <c r="G566" s="9" t="s">
        <v>61</v>
      </c>
      <c r="H566" s="14" t="n">
        <f aca="false">IFERROR(F566*VLOOKUP(E566,Insumos!$A:$G,7,FALSE()),0)</f>
        <v>2.96</v>
      </c>
      <c r="I566" s="15"/>
    </row>
    <row r="567" customFormat="false" ht="15" hidden="false" customHeight="false" outlineLevel="0" collapsed="false">
      <c r="A567" s="9" t="n">
        <v>38</v>
      </c>
      <c r="B567" s="9" t="s">
        <v>909</v>
      </c>
      <c r="C567" s="9" t="s">
        <v>396</v>
      </c>
      <c r="D567" s="9" t="s">
        <v>915</v>
      </c>
      <c r="E567" s="9" t="s">
        <v>283</v>
      </c>
      <c r="F567" s="9" t="n">
        <v>2</v>
      </c>
      <c r="G567" s="9" t="s">
        <v>61</v>
      </c>
      <c r="H567" s="14" t="n">
        <f aca="false">IFERROR(F567*VLOOKUP(E567,Insumos!$A:$G,7,FALSE()),0)</f>
        <v>0.704</v>
      </c>
      <c r="I567" s="15"/>
    </row>
    <row r="568" customFormat="false" ht="15" hidden="false" customHeight="false" outlineLevel="0" collapsed="false">
      <c r="A568" s="9" t="n">
        <v>38</v>
      </c>
      <c r="B568" s="9" t="s">
        <v>909</v>
      </c>
      <c r="C568" s="9" t="s">
        <v>396</v>
      </c>
      <c r="D568" s="9" t="s">
        <v>916</v>
      </c>
      <c r="E568" s="9" t="s">
        <v>285</v>
      </c>
      <c r="F568" s="9" t="n">
        <v>1</v>
      </c>
      <c r="G568" s="9" t="s">
        <v>61</v>
      </c>
      <c r="H568" s="14" t="n">
        <f aca="false">IFERROR(F568*VLOOKUP(E568,Insumos!$A:$G,7,FALSE()),0)</f>
        <v>0.95</v>
      </c>
      <c r="I568" s="15"/>
    </row>
    <row r="569" customFormat="false" ht="15" hidden="false" customHeight="false" outlineLevel="0" collapsed="false">
      <c r="A569" s="9" t="n">
        <v>38</v>
      </c>
      <c r="B569" s="9" t="s">
        <v>909</v>
      </c>
      <c r="C569" s="9" t="s">
        <v>396</v>
      </c>
      <c r="D569" s="9" t="s">
        <v>461</v>
      </c>
      <c r="E569" s="9" t="s">
        <v>118</v>
      </c>
      <c r="F569" s="9" t="n">
        <v>2</v>
      </c>
      <c r="G569" s="9" t="s">
        <v>61</v>
      </c>
      <c r="H569" s="14" t="n">
        <f aca="false">IFERROR(F569*VLOOKUP(E569,Insumos!$A:$G,7,FALSE()),0)</f>
        <v>0.032</v>
      </c>
      <c r="I569" s="15"/>
    </row>
    <row r="570" customFormat="false" ht="15" hidden="false" customHeight="false" outlineLevel="0" collapsed="false">
      <c r="A570" s="9" t="n">
        <v>38</v>
      </c>
      <c r="B570" s="9" t="s">
        <v>909</v>
      </c>
      <c r="C570" s="9" t="s">
        <v>917</v>
      </c>
      <c r="D570" s="9" t="s">
        <v>918</v>
      </c>
      <c r="E570" s="9" t="s">
        <v>85</v>
      </c>
      <c r="F570" s="9" t="n">
        <v>120</v>
      </c>
      <c r="G570" s="9" t="s">
        <v>61</v>
      </c>
      <c r="H570" s="14" t="n">
        <f aca="false">IFERROR(F570*VLOOKUP(E570,Insumos!$A:$G,7,FALSE()),0)</f>
        <v>39.6</v>
      </c>
      <c r="I570" s="15"/>
    </row>
    <row r="571" customFormat="false" ht="15" hidden="false" customHeight="false" outlineLevel="0" collapsed="false">
      <c r="A571" s="9" t="n">
        <v>38</v>
      </c>
      <c r="B571" s="9" t="s">
        <v>909</v>
      </c>
      <c r="C571" s="9" t="s">
        <v>917</v>
      </c>
      <c r="D571" s="9" t="s">
        <v>919</v>
      </c>
      <c r="E571" s="9" t="s">
        <v>58</v>
      </c>
      <c r="F571" s="9" t="n">
        <v>60</v>
      </c>
      <c r="G571" s="9" t="s">
        <v>61</v>
      </c>
      <c r="H571" s="14" t="n">
        <f aca="false">IFERROR(F571*VLOOKUP(E571,Insumos!$A:$G,7,FALSE()),0)</f>
        <v>14.7</v>
      </c>
      <c r="I571" s="15"/>
    </row>
    <row r="572" customFormat="false" ht="15" hidden="false" customHeight="false" outlineLevel="0" collapsed="false">
      <c r="A572" s="9" t="n">
        <v>38</v>
      </c>
      <c r="B572" s="9" t="s">
        <v>909</v>
      </c>
      <c r="C572" s="9" t="s">
        <v>917</v>
      </c>
      <c r="D572" s="9" t="s">
        <v>920</v>
      </c>
      <c r="E572" s="9" t="s">
        <v>131</v>
      </c>
      <c r="F572" s="9" t="n">
        <v>60</v>
      </c>
      <c r="G572" s="9" t="s">
        <v>61</v>
      </c>
      <c r="H572" s="14" t="n">
        <f aca="false">IFERROR(F572*VLOOKUP(E572,Insumos!$A:$G,7,FALSE()),0)</f>
        <v>2.52</v>
      </c>
      <c r="I572" s="15"/>
    </row>
    <row r="573" customFormat="false" ht="15" hidden="false" customHeight="false" outlineLevel="0" collapsed="false">
      <c r="A573" s="9" t="n">
        <v>38</v>
      </c>
      <c r="B573" s="9" t="s">
        <v>909</v>
      </c>
      <c r="C573" s="9" t="s">
        <v>917</v>
      </c>
      <c r="D573" s="9" t="s">
        <v>921</v>
      </c>
      <c r="E573" s="9" t="s">
        <v>272</v>
      </c>
      <c r="F573" s="9" t="n">
        <v>5</v>
      </c>
      <c r="G573" s="9" t="s">
        <v>74</v>
      </c>
      <c r="H573" s="14" t="n">
        <f aca="false">IFERROR(F573*VLOOKUP(E573,Insumos!$A:$G,7,FALSE()),0)</f>
        <v>8.4</v>
      </c>
      <c r="I573" s="15"/>
    </row>
    <row r="574" customFormat="false" ht="15" hidden="false" customHeight="false" outlineLevel="0" collapsed="false">
      <c r="A574" s="9" t="n">
        <v>39</v>
      </c>
      <c r="B574" s="9" t="s">
        <v>922</v>
      </c>
      <c r="C574" s="9" t="s">
        <v>923</v>
      </c>
      <c r="D574" s="9" t="s">
        <v>924</v>
      </c>
      <c r="E574" s="9" t="s">
        <v>246</v>
      </c>
      <c r="F574" s="9" t="n">
        <v>250</v>
      </c>
      <c r="G574" s="9" t="s">
        <v>61</v>
      </c>
      <c r="H574" s="14" t="n">
        <f aca="false">IFERROR(F574*VLOOKUP(E574,Insumos!$A:$G,7,FALSE()),0)</f>
        <v>5.5</v>
      </c>
      <c r="I574" s="15"/>
    </row>
    <row r="575" customFormat="false" ht="15" hidden="false" customHeight="false" outlineLevel="0" collapsed="false">
      <c r="A575" s="9" t="n">
        <v>39</v>
      </c>
      <c r="B575" s="9" t="s">
        <v>922</v>
      </c>
      <c r="C575" s="9" t="s">
        <v>923</v>
      </c>
      <c r="D575" s="9" t="s">
        <v>925</v>
      </c>
      <c r="E575" s="9" t="s">
        <v>137</v>
      </c>
      <c r="F575" s="9" t="n">
        <v>40</v>
      </c>
      <c r="G575" s="9" t="s">
        <v>61</v>
      </c>
      <c r="H575" s="14" t="n">
        <f aca="false">IFERROR(F575*VLOOKUP(E575,Insumos!$A:$G,7,FALSE()),0)</f>
        <v>1.84</v>
      </c>
      <c r="I575" s="15"/>
    </row>
    <row r="576" customFormat="false" ht="15" hidden="false" customHeight="false" outlineLevel="0" collapsed="false">
      <c r="A576" s="9" t="n">
        <v>39</v>
      </c>
      <c r="B576" s="9" t="s">
        <v>922</v>
      </c>
      <c r="C576" s="9" t="s">
        <v>923</v>
      </c>
      <c r="D576" s="9" t="s">
        <v>926</v>
      </c>
      <c r="E576" s="9" t="s">
        <v>279</v>
      </c>
      <c r="F576" s="9" t="n">
        <v>3</v>
      </c>
      <c r="G576" s="9" t="s">
        <v>61</v>
      </c>
      <c r="H576" s="14" t="n">
        <f aca="false">IFERROR(F576*VLOOKUP(E576,Insumos!$A:$G,7,FALSE()),0)</f>
        <v>1.32</v>
      </c>
      <c r="I576" s="16" t="s">
        <v>927</v>
      </c>
    </row>
    <row r="577" customFormat="false" ht="15" hidden="false" customHeight="false" outlineLevel="0" collapsed="false">
      <c r="A577" s="9" t="n">
        <v>39</v>
      </c>
      <c r="B577" s="9" t="s">
        <v>922</v>
      </c>
      <c r="C577" s="9" t="s">
        <v>923</v>
      </c>
      <c r="D577" s="9" t="s">
        <v>928</v>
      </c>
      <c r="E577" s="9" t="s">
        <v>542</v>
      </c>
      <c r="F577" s="9" t="n">
        <v>0</v>
      </c>
      <c r="G577" s="9" t="s">
        <v>61</v>
      </c>
      <c r="H577" s="14" t="n">
        <f aca="false">IFERROR(F577*VLOOKUP(E577,Insumos!$A:$G,7,FALSE()),0)</f>
        <v>0</v>
      </c>
      <c r="I577" s="16" t="s">
        <v>738</v>
      </c>
    </row>
    <row r="578" customFormat="false" ht="15" hidden="false" customHeight="false" outlineLevel="0" collapsed="false">
      <c r="A578" s="9" t="n">
        <v>39</v>
      </c>
      <c r="B578" s="9" t="s">
        <v>922</v>
      </c>
      <c r="C578" s="9" t="s">
        <v>396</v>
      </c>
      <c r="D578" s="9" t="s">
        <v>605</v>
      </c>
      <c r="E578" s="9" t="s">
        <v>58</v>
      </c>
      <c r="F578" s="9" t="n">
        <v>160</v>
      </c>
      <c r="G578" s="9" t="s">
        <v>61</v>
      </c>
      <c r="H578" s="14" t="n">
        <f aca="false">IFERROR(F578*VLOOKUP(E578,Insumos!$A:$G,7,FALSE()),0)</f>
        <v>39.2</v>
      </c>
      <c r="I578" s="15"/>
    </row>
    <row r="579" customFormat="false" ht="15" hidden="false" customHeight="false" outlineLevel="0" collapsed="false">
      <c r="A579" s="9" t="n">
        <v>39</v>
      </c>
      <c r="B579" s="9" t="s">
        <v>922</v>
      </c>
      <c r="C579" s="9" t="s">
        <v>396</v>
      </c>
      <c r="D579" s="9" t="s">
        <v>929</v>
      </c>
      <c r="E579" s="9" t="s">
        <v>135</v>
      </c>
      <c r="F579" s="9" t="n">
        <v>160</v>
      </c>
      <c r="G579" s="9" t="s">
        <v>61</v>
      </c>
      <c r="H579" s="14" t="n">
        <f aca="false">IFERROR(F579*VLOOKUP(E579,Insumos!$A:$G,7,FALSE()),0)</f>
        <v>9.28</v>
      </c>
      <c r="I579" s="15"/>
    </row>
    <row r="580" customFormat="false" ht="15" hidden="false" customHeight="false" outlineLevel="0" collapsed="false">
      <c r="A580" s="9" t="n">
        <v>39</v>
      </c>
      <c r="B580" s="9" t="s">
        <v>922</v>
      </c>
      <c r="C580" s="9" t="s">
        <v>396</v>
      </c>
      <c r="D580" s="9" t="s">
        <v>435</v>
      </c>
      <c r="E580" s="9" t="s">
        <v>66</v>
      </c>
      <c r="F580" s="9" t="n">
        <v>200</v>
      </c>
      <c r="G580" s="9" t="s">
        <v>61</v>
      </c>
      <c r="H580" s="14" t="n">
        <f aca="false">IFERROR(F580*VLOOKUP(E580,Insumos!$A:$G,7,FALSE()),0)</f>
        <v>12.4</v>
      </c>
      <c r="I580" s="15"/>
    </row>
    <row r="581" customFormat="false" ht="15" hidden="false" customHeight="false" outlineLevel="0" collapsed="false">
      <c r="A581" s="9" t="n">
        <v>39</v>
      </c>
      <c r="B581" s="9" t="s">
        <v>922</v>
      </c>
      <c r="C581" s="9" t="s">
        <v>396</v>
      </c>
      <c r="D581" s="9" t="s">
        <v>495</v>
      </c>
      <c r="E581" s="9" t="s">
        <v>107</v>
      </c>
      <c r="F581" s="9" t="n">
        <v>220</v>
      </c>
      <c r="G581" s="9" t="s">
        <v>61</v>
      </c>
      <c r="H581" s="14" t="n">
        <f aca="false">IFERROR(F581*VLOOKUP(E581,Insumos!$A:$G,7,FALSE()),0)</f>
        <v>5.72</v>
      </c>
      <c r="I581" s="15"/>
    </row>
    <row r="582" customFormat="false" ht="15" hidden="false" customHeight="false" outlineLevel="0" collapsed="false">
      <c r="A582" s="9" t="n">
        <v>39</v>
      </c>
      <c r="B582" s="9" t="s">
        <v>922</v>
      </c>
      <c r="C582" s="9" t="s">
        <v>396</v>
      </c>
      <c r="D582" s="9" t="s">
        <v>861</v>
      </c>
      <c r="E582" s="9" t="s">
        <v>112</v>
      </c>
      <c r="F582" s="9" t="n">
        <v>20</v>
      </c>
      <c r="G582" s="9" t="s">
        <v>61</v>
      </c>
      <c r="H582" s="14" t="n">
        <f aca="false">IFERROR(F582*VLOOKUP(E582,Insumos!$A:$G,7,FALSE()),0)</f>
        <v>1.28</v>
      </c>
      <c r="I582" s="15"/>
    </row>
    <row r="583" customFormat="false" ht="15" hidden="false" customHeight="false" outlineLevel="0" collapsed="false">
      <c r="A583" s="9" t="n">
        <v>39</v>
      </c>
      <c r="B583" s="9" t="s">
        <v>922</v>
      </c>
      <c r="C583" s="9" t="s">
        <v>396</v>
      </c>
      <c r="D583" s="9" t="s">
        <v>423</v>
      </c>
      <c r="E583" s="9" t="s">
        <v>114</v>
      </c>
      <c r="F583" s="9" t="n">
        <v>5</v>
      </c>
      <c r="G583" s="9" t="s">
        <v>61</v>
      </c>
      <c r="H583" s="14" t="n">
        <f aca="false">IFERROR(F583*VLOOKUP(E583,Insumos!$A:$G,7,FALSE()),0)</f>
        <v>0.68</v>
      </c>
      <c r="I583" s="15"/>
    </row>
    <row r="584" customFormat="false" ht="15" hidden="false" customHeight="false" outlineLevel="0" collapsed="false">
      <c r="A584" s="9" t="n">
        <v>39</v>
      </c>
      <c r="B584" s="9" t="s">
        <v>922</v>
      </c>
      <c r="C584" s="9" t="s">
        <v>396</v>
      </c>
      <c r="D584" s="9" t="s">
        <v>930</v>
      </c>
      <c r="E584" s="9" t="s">
        <v>277</v>
      </c>
      <c r="F584" s="9" t="n">
        <v>3</v>
      </c>
      <c r="G584" s="9" t="s">
        <v>61</v>
      </c>
      <c r="H584" s="14" t="n">
        <f aca="false">IFERROR(F584*VLOOKUP(E584,Insumos!$A:$G,7,FALSE()),0)</f>
        <v>2.22</v>
      </c>
      <c r="I584" s="15"/>
    </row>
    <row r="585" customFormat="false" ht="15" hidden="false" customHeight="false" outlineLevel="0" collapsed="false">
      <c r="A585" s="9" t="n">
        <v>39</v>
      </c>
      <c r="B585" s="9" t="s">
        <v>922</v>
      </c>
      <c r="C585" s="9" t="s">
        <v>396</v>
      </c>
      <c r="D585" s="9" t="s">
        <v>915</v>
      </c>
      <c r="E585" s="9" t="s">
        <v>283</v>
      </c>
      <c r="F585" s="9" t="n">
        <v>2</v>
      </c>
      <c r="G585" s="9" t="s">
        <v>61</v>
      </c>
      <c r="H585" s="14" t="n">
        <f aca="false">IFERROR(F585*VLOOKUP(E585,Insumos!$A:$G,7,FALSE()),0)</f>
        <v>0.704</v>
      </c>
      <c r="I585" s="15"/>
    </row>
    <row r="586" customFormat="false" ht="15" hidden="false" customHeight="false" outlineLevel="0" collapsed="false">
      <c r="A586" s="9" t="n">
        <v>39</v>
      </c>
      <c r="B586" s="9" t="s">
        <v>922</v>
      </c>
      <c r="C586" s="9" t="s">
        <v>396</v>
      </c>
      <c r="D586" s="9" t="s">
        <v>931</v>
      </c>
      <c r="E586" s="9" t="s">
        <v>287</v>
      </c>
      <c r="F586" s="9" t="n">
        <v>1</v>
      </c>
      <c r="G586" s="9" t="s">
        <v>61</v>
      </c>
      <c r="H586" s="14" t="n">
        <f aca="false">IFERROR(F586*VLOOKUP(E586,Insumos!$A:$G,7,FALSE()),0)</f>
        <v>0.78</v>
      </c>
      <c r="I586" s="15"/>
    </row>
    <row r="587" customFormat="false" ht="15" hidden="false" customHeight="false" outlineLevel="0" collapsed="false">
      <c r="A587" s="9" t="n">
        <v>39</v>
      </c>
      <c r="B587" s="9" t="s">
        <v>922</v>
      </c>
      <c r="C587" s="9" t="s">
        <v>396</v>
      </c>
      <c r="D587" s="9" t="s">
        <v>932</v>
      </c>
      <c r="E587" s="9" t="s">
        <v>291</v>
      </c>
      <c r="F587" s="9" t="n">
        <v>1</v>
      </c>
      <c r="G587" s="9" t="s">
        <v>61</v>
      </c>
      <c r="H587" s="14" t="n">
        <f aca="false">IFERROR(F587*VLOOKUP(E587,Insumos!$A:$G,7,FALSE()),0)</f>
        <v>0.68</v>
      </c>
      <c r="I587" s="15"/>
    </row>
    <row r="588" customFormat="false" ht="15" hidden="false" customHeight="false" outlineLevel="0" collapsed="false">
      <c r="A588" s="9" t="n">
        <v>39</v>
      </c>
      <c r="B588" s="9" t="s">
        <v>922</v>
      </c>
      <c r="C588" s="9" t="s">
        <v>396</v>
      </c>
      <c r="D588" s="9" t="s">
        <v>483</v>
      </c>
      <c r="E588" s="9" t="s">
        <v>120</v>
      </c>
      <c r="F588" s="9" t="n">
        <v>2</v>
      </c>
      <c r="G588" s="9" t="s">
        <v>61</v>
      </c>
      <c r="H588" s="14" t="n">
        <f aca="false">IFERROR(F588*VLOOKUP(E588,Insumos!$A:$G,7,FALSE()),0)</f>
        <v>0.168</v>
      </c>
      <c r="I588" s="15"/>
    </row>
    <row r="589" customFormat="false" ht="15" hidden="false" customHeight="false" outlineLevel="0" collapsed="false">
      <c r="A589" s="9" t="n">
        <v>39</v>
      </c>
      <c r="B589" s="9" t="s">
        <v>922</v>
      </c>
      <c r="C589" s="9" t="s">
        <v>396</v>
      </c>
      <c r="D589" s="9" t="s">
        <v>933</v>
      </c>
      <c r="E589" s="9" t="s">
        <v>246</v>
      </c>
      <c r="F589" s="9" t="n">
        <v>0</v>
      </c>
      <c r="G589" s="9" t="s">
        <v>61</v>
      </c>
      <c r="H589" s="14" t="n">
        <f aca="false">IFERROR(F589*VLOOKUP(E589,Insumos!$A:$G,7,FALSE()),0)</f>
        <v>0</v>
      </c>
      <c r="I589" s="16" t="s">
        <v>934</v>
      </c>
    </row>
    <row r="590" customFormat="false" ht="15" hidden="false" customHeight="false" outlineLevel="0" collapsed="false">
      <c r="A590" s="9" t="n">
        <v>39</v>
      </c>
      <c r="B590" s="9" t="s">
        <v>922</v>
      </c>
      <c r="C590" s="9" t="s">
        <v>935</v>
      </c>
      <c r="D590" s="9" t="s">
        <v>936</v>
      </c>
      <c r="E590" s="9" t="s">
        <v>211</v>
      </c>
      <c r="F590" s="9" t="n">
        <v>60</v>
      </c>
      <c r="G590" s="9" t="s">
        <v>61</v>
      </c>
      <c r="H590" s="14" t="n">
        <f aca="false">IFERROR(F590*VLOOKUP(E590,Insumos!$A:$G,7,FALSE()),0)</f>
        <v>14.16</v>
      </c>
      <c r="I590" s="15"/>
    </row>
    <row r="591" customFormat="false" ht="15" hidden="false" customHeight="false" outlineLevel="0" collapsed="false">
      <c r="A591" s="9" t="n">
        <v>39</v>
      </c>
      <c r="B591" s="9" t="s">
        <v>922</v>
      </c>
      <c r="C591" s="9" t="s">
        <v>935</v>
      </c>
      <c r="D591" s="9" t="s">
        <v>937</v>
      </c>
      <c r="E591" s="9" t="s">
        <v>137</v>
      </c>
      <c r="F591" s="9" t="n">
        <v>20</v>
      </c>
      <c r="G591" s="9" t="s">
        <v>61</v>
      </c>
      <c r="H591" s="14" t="n">
        <f aca="false">IFERROR(F591*VLOOKUP(E591,Insumos!$A:$G,7,FALSE()),0)</f>
        <v>0.92</v>
      </c>
      <c r="I591" s="15"/>
    </row>
    <row r="592" customFormat="false" ht="15" hidden="false" customHeight="false" outlineLevel="0" collapsed="false">
      <c r="A592" s="9" t="n">
        <v>39</v>
      </c>
      <c r="B592" s="9" t="s">
        <v>922</v>
      </c>
      <c r="C592" s="9" t="s">
        <v>935</v>
      </c>
      <c r="D592" s="9" t="s">
        <v>938</v>
      </c>
      <c r="E592" s="9" t="s">
        <v>137</v>
      </c>
      <c r="F592" s="9" t="n">
        <v>50</v>
      </c>
      <c r="G592" s="9" t="s">
        <v>74</v>
      </c>
      <c r="H592" s="14" t="n">
        <f aca="false">IFERROR(F592*VLOOKUP(E592,Insumos!$A:$G,7,FALSE()),0)</f>
        <v>2.3</v>
      </c>
      <c r="I592" s="15"/>
    </row>
    <row r="593" customFormat="false" ht="15" hidden="false" customHeight="false" outlineLevel="0" collapsed="false">
      <c r="A593" s="9" t="n">
        <v>40</v>
      </c>
      <c r="B593" s="9" t="s">
        <v>939</v>
      </c>
      <c r="C593" s="9" t="s">
        <v>940</v>
      </c>
      <c r="D593" s="9" t="s">
        <v>941</v>
      </c>
      <c r="E593" s="9" t="s">
        <v>244</v>
      </c>
      <c r="F593" s="9" t="n">
        <v>420</v>
      </c>
      <c r="G593" s="9" t="s">
        <v>61</v>
      </c>
      <c r="H593" s="14" t="n">
        <f aca="false">IFERROR(F593*VLOOKUP(E593,Insumos!$A:$G,7,FALSE()),0)</f>
        <v>18.9</v>
      </c>
      <c r="I593" s="16" t="s">
        <v>942</v>
      </c>
    </row>
    <row r="594" customFormat="false" ht="15" hidden="false" customHeight="false" outlineLevel="0" collapsed="false">
      <c r="A594" s="9" t="n">
        <v>40</v>
      </c>
      <c r="B594" s="9" t="s">
        <v>939</v>
      </c>
      <c r="C594" s="9" t="s">
        <v>940</v>
      </c>
      <c r="D594" s="9" t="s">
        <v>943</v>
      </c>
      <c r="E594" s="9" t="s">
        <v>58</v>
      </c>
      <c r="F594" s="9" t="n">
        <v>20</v>
      </c>
      <c r="G594" s="9" t="s">
        <v>61</v>
      </c>
      <c r="H594" s="14" t="n">
        <f aca="false">IFERROR(F594*VLOOKUP(E594,Insumos!$A:$G,7,FALSE()),0)</f>
        <v>4.9</v>
      </c>
      <c r="I594" s="15"/>
    </row>
    <row r="595" customFormat="false" ht="15" hidden="false" customHeight="false" outlineLevel="0" collapsed="false">
      <c r="A595" s="9" t="n">
        <v>40</v>
      </c>
      <c r="B595" s="9" t="s">
        <v>939</v>
      </c>
      <c r="C595" s="9" t="s">
        <v>940</v>
      </c>
      <c r="D595" s="9" t="s">
        <v>603</v>
      </c>
      <c r="E595" s="9" t="s">
        <v>126</v>
      </c>
      <c r="F595" s="9" t="n">
        <v>25</v>
      </c>
      <c r="G595" s="9" t="s">
        <v>61</v>
      </c>
      <c r="H595" s="14" t="n">
        <f aca="false">IFERROR(F595*VLOOKUP(E595,Insumos!$A:$G,7,FALSE()),0)</f>
        <v>0.7</v>
      </c>
      <c r="I595" s="15"/>
    </row>
    <row r="596" customFormat="false" ht="15" hidden="false" customHeight="false" outlineLevel="0" collapsed="false">
      <c r="A596" s="9" t="n">
        <v>40</v>
      </c>
      <c r="B596" s="9" t="s">
        <v>939</v>
      </c>
      <c r="C596" s="9" t="s">
        <v>940</v>
      </c>
      <c r="D596" s="9" t="s">
        <v>944</v>
      </c>
      <c r="E596" s="9" t="s">
        <v>224</v>
      </c>
      <c r="F596" s="9" t="n">
        <v>10</v>
      </c>
      <c r="G596" s="9" t="s">
        <v>74</v>
      </c>
      <c r="H596" s="14" t="n">
        <f aca="false">IFERROR(F596*VLOOKUP(E596,Insumos!$A:$G,7,FALSE()),0)</f>
        <v>0.32</v>
      </c>
      <c r="I596" s="15"/>
    </row>
    <row r="597" customFormat="false" ht="15" hidden="false" customHeight="false" outlineLevel="0" collapsed="false">
      <c r="A597" s="9" t="n">
        <v>40</v>
      </c>
      <c r="B597" s="9" t="s">
        <v>939</v>
      </c>
      <c r="C597" s="9" t="s">
        <v>940</v>
      </c>
      <c r="D597" s="9" t="s">
        <v>945</v>
      </c>
      <c r="E597" s="9" t="s">
        <v>542</v>
      </c>
      <c r="F597" s="9" t="n">
        <v>0</v>
      </c>
      <c r="G597" s="9" t="s">
        <v>61</v>
      </c>
      <c r="H597" s="14" t="n">
        <f aca="false">IFERROR(F597*VLOOKUP(E597,Insumos!$A:$G,7,FALSE()),0)</f>
        <v>0</v>
      </c>
      <c r="I597" s="16" t="s">
        <v>738</v>
      </c>
    </row>
    <row r="598" customFormat="false" ht="15" hidden="false" customHeight="false" outlineLevel="0" collapsed="false">
      <c r="A598" s="9" t="n">
        <v>40</v>
      </c>
      <c r="B598" s="9" t="s">
        <v>939</v>
      </c>
      <c r="C598" s="9" t="s">
        <v>396</v>
      </c>
      <c r="D598" s="9" t="s">
        <v>754</v>
      </c>
      <c r="E598" s="9" t="s">
        <v>58</v>
      </c>
      <c r="F598" s="9" t="n">
        <v>170</v>
      </c>
      <c r="G598" s="9" t="s">
        <v>61</v>
      </c>
      <c r="H598" s="14" t="n">
        <f aca="false">IFERROR(F598*VLOOKUP(E598,Insumos!$A:$G,7,FALSE()),0)</f>
        <v>41.65</v>
      </c>
      <c r="I598" s="15"/>
    </row>
    <row r="599" customFormat="false" ht="15" hidden="false" customHeight="false" outlineLevel="0" collapsed="false">
      <c r="A599" s="9" t="n">
        <v>40</v>
      </c>
      <c r="B599" s="9" t="s">
        <v>939</v>
      </c>
      <c r="C599" s="9" t="s">
        <v>396</v>
      </c>
      <c r="D599" s="9" t="s">
        <v>607</v>
      </c>
      <c r="E599" s="9" t="s">
        <v>126</v>
      </c>
      <c r="F599" s="9" t="n">
        <v>190</v>
      </c>
      <c r="G599" s="9" t="s">
        <v>61</v>
      </c>
      <c r="H599" s="14" t="n">
        <f aca="false">IFERROR(F599*VLOOKUP(E599,Insumos!$A:$G,7,FALSE()),0)</f>
        <v>5.32</v>
      </c>
      <c r="I599" s="15"/>
    </row>
    <row r="600" customFormat="false" ht="15" hidden="false" customHeight="false" outlineLevel="0" collapsed="false">
      <c r="A600" s="9" t="n">
        <v>40</v>
      </c>
      <c r="B600" s="9" t="s">
        <v>939</v>
      </c>
      <c r="C600" s="9" t="s">
        <v>396</v>
      </c>
      <c r="D600" s="9" t="s">
        <v>946</v>
      </c>
      <c r="E600" s="9" t="s">
        <v>224</v>
      </c>
      <c r="F600" s="9" t="n">
        <v>15</v>
      </c>
      <c r="G600" s="9" t="s">
        <v>61</v>
      </c>
      <c r="H600" s="14" t="n">
        <f aca="false">IFERROR(F600*VLOOKUP(E600,Insumos!$A:$G,7,FALSE()),0)</f>
        <v>0.48</v>
      </c>
      <c r="I600" s="16" t="s">
        <v>619</v>
      </c>
    </row>
    <row r="601" customFormat="false" ht="15" hidden="false" customHeight="false" outlineLevel="0" collapsed="false">
      <c r="A601" s="9" t="n">
        <v>40</v>
      </c>
      <c r="B601" s="9" t="s">
        <v>939</v>
      </c>
      <c r="C601" s="9" t="s">
        <v>396</v>
      </c>
      <c r="D601" s="9" t="s">
        <v>505</v>
      </c>
      <c r="E601" s="9" t="s">
        <v>66</v>
      </c>
      <c r="F601" s="9" t="n">
        <v>200</v>
      </c>
      <c r="G601" s="9" t="s">
        <v>61</v>
      </c>
      <c r="H601" s="14" t="n">
        <f aca="false">IFERROR(F601*VLOOKUP(E601,Insumos!$A:$G,7,FALSE()),0)</f>
        <v>12.4</v>
      </c>
      <c r="I601" s="15"/>
    </row>
    <row r="602" customFormat="false" ht="15" hidden="false" customHeight="false" outlineLevel="0" collapsed="false">
      <c r="A602" s="9" t="n">
        <v>40</v>
      </c>
      <c r="B602" s="9" t="s">
        <v>939</v>
      </c>
      <c r="C602" s="9" t="s">
        <v>396</v>
      </c>
      <c r="D602" s="9" t="s">
        <v>495</v>
      </c>
      <c r="E602" s="9" t="s">
        <v>107</v>
      </c>
      <c r="F602" s="9" t="n">
        <v>220</v>
      </c>
      <c r="G602" s="9" t="s">
        <v>61</v>
      </c>
      <c r="H602" s="14" t="n">
        <f aca="false">IFERROR(F602*VLOOKUP(E602,Insumos!$A:$G,7,FALSE()),0)</f>
        <v>5.72</v>
      </c>
      <c r="I602" s="15"/>
    </row>
    <row r="603" customFormat="false" ht="15" hidden="false" customHeight="false" outlineLevel="0" collapsed="false">
      <c r="A603" s="9" t="n">
        <v>40</v>
      </c>
      <c r="B603" s="9" t="s">
        <v>939</v>
      </c>
      <c r="C603" s="9" t="s">
        <v>396</v>
      </c>
      <c r="D603" s="9" t="s">
        <v>821</v>
      </c>
      <c r="E603" s="9" t="s">
        <v>172</v>
      </c>
      <c r="F603" s="9" t="n">
        <v>25</v>
      </c>
      <c r="G603" s="9" t="s">
        <v>61</v>
      </c>
      <c r="H603" s="14" t="n">
        <f aca="false">IFERROR(F603*VLOOKUP(E603,Insumos!$A:$G,7,FALSE()),0)</f>
        <v>10.625</v>
      </c>
      <c r="I603" s="15"/>
    </row>
    <row r="604" customFormat="false" ht="15" hidden="false" customHeight="false" outlineLevel="0" collapsed="false">
      <c r="A604" s="9" t="n">
        <v>40</v>
      </c>
      <c r="B604" s="9" t="s">
        <v>939</v>
      </c>
      <c r="C604" s="9" t="s">
        <v>396</v>
      </c>
      <c r="D604" s="9" t="s">
        <v>423</v>
      </c>
      <c r="E604" s="9" t="s">
        <v>114</v>
      </c>
      <c r="F604" s="9" t="n">
        <v>5</v>
      </c>
      <c r="G604" s="9" t="s">
        <v>61</v>
      </c>
      <c r="H604" s="14" t="n">
        <f aca="false">IFERROR(F604*VLOOKUP(E604,Insumos!$A:$G,7,FALSE()),0)</f>
        <v>0.68</v>
      </c>
      <c r="I604" s="15"/>
    </row>
    <row r="605" customFormat="false" ht="15" hidden="false" customHeight="false" outlineLevel="0" collapsed="false">
      <c r="A605" s="9" t="n">
        <v>40</v>
      </c>
      <c r="B605" s="9" t="s">
        <v>939</v>
      </c>
      <c r="C605" s="9" t="s">
        <v>396</v>
      </c>
      <c r="D605" s="9" t="s">
        <v>461</v>
      </c>
      <c r="E605" s="9" t="s">
        <v>118</v>
      </c>
      <c r="F605" s="9" t="n">
        <v>2</v>
      </c>
      <c r="G605" s="9" t="s">
        <v>61</v>
      </c>
      <c r="H605" s="14" t="n">
        <f aca="false">IFERROR(F605*VLOOKUP(E605,Insumos!$A:$G,7,FALSE()),0)</f>
        <v>0.032</v>
      </c>
      <c r="I605" s="15"/>
    </row>
    <row r="606" customFormat="false" ht="15" hidden="false" customHeight="false" outlineLevel="0" collapsed="false">
      <c r="A606" s="9" t="n">
        <v>40</v>
      </c>
      <c r="B606" s="9" t="s">
        <v>939</v>
      </c>
      <c r="C606" s="9" t="s">
        <v>396</v>
      </c>
      <c r="D606" s="9" t="s">
        <v>947</v>
      </c>
      <c r="E606" s="9" t="s">
        <v>254</v>
      </c>
      <c r="F606" s="9" t="n">
        <v>40</v>
      </c>
      <c r="G606" s="9" t="s">
        <v>61</v>
      </c>
      <c r="H606" s="14" t="n">
        <f aca="false">IFERROR(F606*VLOOKUP(E606,Insumos!$A:$G,7,FALSE()),0)</f>
        <v>15.68</v>
      </c>
      <c r="I606" s="15"/>
    </row>
    <row r="607" customFormat="false" ht="15" hidden="false" customHeight="false" outlineLevel="0" collapsed="false">
      <c r="A607" s="9" t="n">
        <v>40</v>
      </c>
      <c r="B607" s="9" t="s">
        <v>939</v>
      </c>
      <c r="C607" s="9" t="s">
        <v>396</v>
      </c>
      <c r="D607" s="9" t="s">
        <v>948</v>
      </c>
      <c r="E607" s="9" t="s">
        <v>77</v>
      </c>
      <c r="F607" s="9" t="n">
        <v>30</v>
      </c>
      <c r="G607" s="9" t="s">
        <v>74</v>
      </c>
      <c r="H607" s="14" t="n">
        <f aca="false">IFERROR(F607*VLOOKUP(E607,Insumos!$A:$G,7,FALSE()),0)</f>
        <v>3.06666666666667</v>
      </c>
      <c r="I607" s="15"/>
    </row>
    <row r="608" customFormat="false" ht="15" hidden="false" customHeight="false" outlineLevel="0" collapsed="false">
      <c r="A608" s="9" t="n">
        <v>40</v>
      </c>
      <c r="B608" s="9" t="s">
        <v>939</v>
      </c>
      <c r="C608" s="9" t="s">
        <v>906</v>
      </c>
      <c r="D608" s="9" t="s">
        <v>949</v>
      </c>
      <c r="E608" s="9" t="s">
        <v>131</v>
      </c>
      <c r="F608" s="9" t="n">
        <v>60</v>
      </c>
      <c r="G608" s="9" t="s">
        <v>61</v>
      </c>
      <c r="H608" s="14" t="n">
        <f aca="false">IFERROR(F608*VLOOKUP(E608,Insumos!$A:$G,7,FALSE()),0)</f>
        <v>2.52</v>
      </c>
      <c r="I608" s="15"/>
    </row>
    <row r="609" customFormat="false" ht="15" hidden="false" customHeight="false" outlineLevel="0" collapsed="false">
      <c r="A609" s="9" t="n">
        <v>41</v>
      </c>
      <c r="B609" s="9" t="s">
        <v>950</v>
      </c>
      <c r="C609" s="9" t="s">
        <v>396</v>
      </c>
      <c r="D609" s="9" t="s">
        <v>775</v>
      </c>
      <c r="E609" s="9" t="s">
        <v>58</v>
      </c>
      <c r="F609" s="9" t="n">
        <v>170</v>
      </c>
      <c r="G609" s="9" t="s">
        <v>61</v>
      </c>
      <c r="H609" s="14" t="n">
        <f aca="false">IFERROR(F609*VLOOKUP(E609,Insumos!$A:$G,7,FALSE()),0)</f>
        <v>41.65</v>
      </c>
      <c r="I609" s="15"/>
    </row>
    <row r="610" customFormat="false" ht="15" hidden="false" customHeight="false" outlineLevel="0" collapsed="false">
      <c r="A610" s="9" t="n">
        <v>41</v>
      </c>
      <c r="B610" s="9" t="s">
        <v>950</v>
      </c>
      <c r="C610" s="9" t="s">
        <v>396</v>
      </c>
      <c r="D610" s="9" t="s">
        <v>607</v>
      </c>
      <c r="E610" s="9" t="s">
        <v>126</v>
      </c>
      <c r="F610" s="9" t="n">
        <v>190</v>
      </c>
      <c r="G610" s="9" t="s">
        <v>61</v>
      </c>
      <c r="H610" s="14" t="n">
        <f aca="false">IFERROR(F610*VLOOKUP(E610,Insumos!$A:$G,7,FALSE()),0)</f>
        <v>5.32</v>
      </c>
      <c r="I610" s="15"/>
    </row>
    <row r="611" customFormat="false" ht="15" hidden="false" customHeight="false" outlineLevel="0" collapsed="false">
      <c r="A611" s="9" t="n">
        <v>41</v>
      </c>
      <c r="B611" s="9" t="s">
        <v>950</v>
      </c>
      <c r="C611" s="9" t="s">
        <v>396</v>
      </c>
      <c r="D611" s="9" t="s">
        <v>420</v>
      </c>
      <c r="E611" s="9" t="s">
        <v>66</v>
      </c>
      <c r="F611" s="9" t="n">
        <v>200</v>
      </c>
      <c r="G611" s="9" t="s">
        <v>61</v>
      </c>
      <c r="H611" s="14" t="n">
        <f aca="false">IFERROR(F611*VLOOKUP(E611,Insumos!$A:$G,7,FALSE()),0)</f>
        <v>12.4</v>
      </c>
      <c r="I611" s="15"/>
    </row>
    <row r="612" customFormat="false" ht="15" hidden="false" customHeight="false" outlineLevel="0" collapsed="false">
      <c r="A612" s="9" t="n">
        <v>41</v>
      </c>
      <c r="B612" s="9" t="s">
        <v>950</v>
      </c>
      <c r="C612" s="9" t="s">
        <v>396</v>
      </c>
      <c r="D612" s="9" t="s">
        <v>495</v>
      </c>
      <c r="E612" s="9" t="s">
        <v>107</v>
      </c>
      <c r="F612" s="9" t="n">
        <v>220</v>
      </c>
      <c r="G612" s="9" t="s">
        <v>61</v>
      </c>
      <c r="H612" s="14" t="n">
        <f aca="false">IFERROR(F612*VLOOKUP(E612,Insumos!$A:$G,7,FALSE()),0)</f>
        <v>5.72</v>
      </c>
      <c r="I612" s="15"/>
    </row>
    <row r="613" customFormat="false" ht="15" hidden="false" customHeight="false" outlineLevel="0" collapsed="false">
      <c r="A613" s="9" t="n">
        <v>41</v>
      </c>
      <c r="B613" s="9" t="s">
        <v>950</v>
      </c>
      <c r="C613" s="9" t="s">
        <v>396</v>
      </c>
      <c r="D613" s="9" t="s">
        <v>550</v>
      </c>
      <c r="E613" s="9" t="s">
        <v>172</v>
      </c>
      <c r="F613" s="9" t="n">
        <v>25</v>
      </c>
      <c r="G613" s="9" t="s">
        <v>61</v>
      </c>
      <c r="H613" s="14" t="n">
        <f aca="false">IFERROR(F613*VLOOKUP(E613,Insumos!$A:$G,7,FALSE()),0)</f>
        <v>10.625</v>
      </c>
      <c r="I613" s="15"/>
    </row>
    <row r="614" customFormat="false" ht="15" hidden="false" customHeight="false" outlineLevel="0" collapsed="false">
      <c r="A614" s="9" t="n">
        <v>41</v>
      </c>
      <c r="B614" s="9" t="s">
        <v>950</v>
      </c>
      <c r="C614" s="9" t="s">
        <v>396</v>
      </c>
      <c r="D614" s="9" t="s">
        <v>423</v>
      </c>
      <c r="E614" s="9" t="s">
        <v>114</v>
      </c>
      <c r="F614" s="9" t="n">
        <v>5</v>
      </c>
      <c r="G614" s="9" t="s">
        <v>61</v>
      </c>
      <c r="H614" s="14" t="n">
        <f aca="false">IFERROR(F614*VLOOKUP(E614,Insumos!$A:$G,7,FALSE()),0)</f>
        <v>0.68</v>
      </c>
      <c r="I614" s="15"/>
    </row>
    <row r="615" customFormat="false" ht="15" hidden="false" customHeight="false" outlineLevel="0" collapsed="false">
      <c r="A615" s="9" t="n">
        <v>41</v>
      </c>
      <c r="B615" s="9" t="s">
        <v>950</v>
      </c>
      <c r="C615" s="9" t="s">
        <v>396</v>
      </c>
      <c r="D615" s="9" t="s">
        <v>461</v>
      </c>
      <c r="E615" s="9" t="s">
        <v>118</v>
      </c>
      <c r="F615" s="9" t="n">
        <v>2</v>
      </c>
      <c r="G615" s="9" t="s">
        <v>61</v>
      </c>
      <c r="H615" s="14" t="n">
        <f aca="false">IFERROR(F615*VLOOKUP(E615,Insumos!$A:$G,7,FALSE()),0)</f>
        <v>0.032</v>
      </c>
      <c r="I615" s="15"/>
    </row>
    <row r="616" customFormat="false" ht="15" hidden="false" customHeight="false" outlineLevel="0" collapsed="false">
      <c r="A616" s="9" t="n">
        <v>41</v>
      </c>
      <c r="B616" s="9" t="s">
        <v>950</v>
      </c>
      <c r="C616" s="9" t="s">
        <v>396</v>
      </c>
      <c r="D616" s="9" t="s">
        <v>951</v>
      </c>
      <c r="E616" s="9" t="s">
        <v>232</v>
      </c>
      <c r="F616" s="9" t="n">
        <v>45</v>
      </c>
      <c r="G616" s="9" t="s">
        <v>74</v>
      </c>
      <c r="H616" s="14" t="n">
        <f aca="false">IFERROR(F616*VLOOKUP(E616,Insumos!$A:$G,7,FALSE()),0)</f>
        <v>9.45</v>
      </c>
      <c r="I616" s="15"/>
    </row>
    <row r="617" customFormat="false" ht="15" hidden="false" customHeight="false" outlineLevel="0" collapsed="false">
      <c r="A617" s="9" t="n">
        <v>41</v>
      </c>
      <c r="B617" s="9" t="s">
        <v>950</v>
      </c>
      <c r="C617" s="9" t="s">
        <v>396</v>
      </c>
      <c r="D617" s="9" t="s">
        <v>952</v>
      </c>
      <c r="E617" s="9" t="s">
        <v>77</v>
      </c>
      <c r="F617" s="9" t="n">
        <v>30</v>
      </c>
      <c r="G617" s="9" t="s">
        <v>74</v>
      </c>
      <c r="H617" s="14" t="n">
        <f aca="false">IFERROR(F617*VLOOKUP(E617,Insumos!$A:$G,7,FALSE()),0)</f>
        <v>3.06666666666667</v>
      </c>
      <c r="I617" s="15"/>
    </row>
    <row r="618" customFormat="false" ht="15" hidden="false" customHeight="false" outlineLevel="0" collapsed="false">
      <c r="A618" s="9" t="n">
        <v>41</v>
      </c>
      <c r="B618" s="9" t="s">
        <v>950</v>
      </c>
      <c r="C618" s="9" t="s">
        <v>396</v>
      </c>
      <c r="D618" s="9" t="s">
        <v>953</v>
      </c>
      <c r="E618" s="9" t="s">
        <v>262</v>
      </c>
      <c r="F618" s="9" t="n">
        <v>130</v>
      </c>
      <c r="G618" s="9" t="s">
        <v>61</v>
      </c>
      <c r="H618" s="14" t="n">
        <f aca="false">IFERROR(F618*VLOOKUP(E618,Insumos!$A:$G,7,FALSE()),0)</f>
        <v>44.3529411764706</v>
      </c>
      <c r="I618" s="15"/>
    </row>
    <row r="619" customFormat="false" ht="15" hidden="false" customHeight="false" outlineLevel="0" collapsed="false">
      <c r="A619" s="9" t="n">
        <v>41</v>
      </c>
      <c r="B619" s="9" t="s">
        <v>950</v>
      </c>
      <c r="C619" s="9" t="s">
        <v>954</v>
      </c>
      <c r="D619" s="9" t="s">
        <v>955</v>
      </c>
      <c r="E619" s="9" t="s">
        <v>232</v>
      </c>
      <c r="F619" s="9" t="n">
        <v>50</v>
      </c>
      <c r="G619" s="9" t="s">
        <v>74</v>
      </c>
      <c r="H619" s="14" t="n">
        <f aca="false">IFERROR(F619*VLOOKUP(E619,Insumos!$A:$G,7,FALSE()),0)</f>
        <v>10.5</v>
      </c>
      <c r="I619" s="15"/>
    </row>
    <row r="620" customFormat="false" ht="15" hidden="false" customHeight="false" outlineLevel="0" collapsed="false">
      <c r="A620" s="9" t="n">
        <v>41</v>
      </c>
      <c r="B620" s="9" t="s">
        <v>950</v>
      </c>
      <c r="C620" s="9" t="s">
        <v>954</v>
      </c>
      <c r="D620" s="9" t="s">
        <v>650</v>
      </c>
      <c r="E620" s="9" t="s">
        <v>126</v>
      </c>
      <c r="F620" s="9" t="n">
        <v>35</v>
      </c>
      <c r="G620" s="9" t="s">
        <v>61</v>
      </c>
      <c r="H620" s="14" t="n">
        <f aca="false">IFERROR(F620*VLOOKUP(E620,Insumos!$A:$G,7,FALSE()),0)</f>
        <v>0.98</v>
      </c>
      <c r="I620" s="15"/>
    </row>
    <row r="621" customFormat="false" ht="15" hidden="false" customHeight="false" outlineLevel="0" collapsed="false">
      <c r="A621" s="9" t="n">
        <v>41</v>
      </c>
      <c r="B621" s="9" t="s">
        <v>950</v>
      </c>
      <c r="C621" s="9" t="s">
        <v>954</v>
      </c>
      <c r="D621" s="9" t="s">
        <v>668</v>
      </c>
      <c r="E621" s="9" t="s">
        <v>151</v>
      </c>
      <c r="F621" s="9" t="n">
        <v>20</v>
      </c>
      <c r="G621" s="9" t="s">
        <v>74</v>
      </c>
      <c r="H621" s="14" t="n">
        <f aca="false">IFERROR(F621*VLOOKUP(E621,Insumos!$A:$G,7,FALSE()),0)</f>
        <v>0.045</v>
      </c>
      <c r="I621" s="15"/>
    </row>
    <row r="622" customFormat="false" ht="15" hidden="false" customHeight="false" outlineLevel="0" collapsed="false">
      <c r="A622" s="9" t="n">
        <v>41</v>
      </c>
      <c r="B622" s="9" t="s">
        <v>950</v>
      </c>
      <c r="C622" s="9" t="s">
        <v>573</v>
      </c>
      <c r="D622" s="9" t="s">
        <v>574</v>
      </c>
      <c r="E622" s="9" t="s">
        <v>131</v>
      </c>
      <c r="F622" s="9" t="n">
        <v>70</v>
      </c>
      <c r="G622" s="9" t="s">
        <v>61</v>
      </c>
      <c r="H622" s="14" t="n">
        <f aca="false">IFERROR(F622*VLOOKUP(E622,Insumos!$A:$G,7,FALSE()),0)</f>
        <v>2.94</v>
      </c>
      <c r="I622" s="15"/>
    </row>
    <row r="623" customFormat="false" ht="15" hidden="false" customHeight="false" outlineLevel="0" collapsed="false">
      <c r="A623" s="9" t="n">
        <v>41</v>
      </c>
      <c r="B623" s="9" t="s">
        <v>950</v>
      </c>
      <c r="C623" s="9" t="s">
        <v>573</v>
      </c>
      <c r="D623" s="9" t="s">
        <v>956</v>
      </c>
      <c r="E623" s="9" t="s">
        <v>232</v>
      </c>
      <c r="F623" s="9" t="n">
        <v>15</v>
      </c>
      <c r="G623" s="9" t="s">
        <v>74</v>
      </c>
      <c r="H623" s="14" t="n">
        <f aca="false">IFERROR(F623*VLOOKUP(E623,Insumos!$A:$G,7,FALSE()),0)</f>
        <v>3.15</v>
      </c>
      <c r="I623" s="15"/>
    </row>
    <row r="624" customFormat="false" ht="15" hidden="false" customHeight="false" outlineLevel="0" collapsed="false">
      <c r="A624" s="9" t="n">
        <v>42</v>
      </c>
      <c r="B624" s="9" t="s">
        <v>957</v>
      </c>
      <c r="C624" s="9" t="s">
        <v>958</v>
      </c>
      <c r="D624" s="9" t="s">
        <v>959</v>
      </c>
      <c r="E624" s="9" t="s">
        <v>260</v>
      </c>
      <c r="F624" s="9" t="n">
        <v>160</v>
      </c>
      <c r="G624" s="9" t="s">
        <v>61</v>
      </c>
      <c r="H624" s="14" t="n">
        <f aca="false">IFERROR(F624*VLOOKUP(E624,Insumos!$A:$G,7,FALSE()),0)</f>
        <v>28.16</v>
      </c>
      <c r="I624" s="15"/>
    </row>
    <row r="625" customFormat="false" ht="15" hidden="false" customHeight="false" outlineLevel="0" collapsed="false">
      <c r="A625" s="9" t="n">
        <v>42</v>
      </c>
      <c r="B625" s="9" t="s">
        <v>957</v>
      </c>
      <c r="C625" s="9" t="s">
        <v>958</v>
      </c>
      <c r="D625" s="9" t="s">
        <v>960</v>
      </c>
      <c r="E625" s="9" t="s">
        <v>324</v>
      </c>
      <c r="F625" s="9" t="n">
        <v>40</v>
      </c>
      <c r="G625" s="9" t="s">
        <v>74</v>
      </c>
      <c r="H625" s="14" t="n">
        <f aca="false">IFERROR(F625*VLOOKUP(E625,Insumos!$A:$G,7,FALSE()),0)</f>
        <v>22</v>
      </c>
      <c r="I625" s="15"/>
    </row>
    <row r="626" customFormat="false" ht="15" hidden="false" customHeight="false" outlineLevel="0" collapsed="false">
      <c r="A626" s="9" t="n">
        <v>42</v>
      </c>
      <c r="B626" s="9" t="s">
        <v>957</v>
      </c>
      <c r="C626" s="9" t="s">
        <v>958</v>
      </c>
      <c r="D626" s="9" t="s">
        <v>961</v>
      </c>
      <c r="E626" s="9" t="s">
        <v>295</v>
      </c>
      <c r="F626" s="9" t="n">
        <v>2</v>
      </c>
      <c r="G626" s="9" t="s">
        <v>61</v>
      </c>
      <c r="H626" s="14" t="n">
        <f aca="false">IFERROR(F626*VLOOKUP(E626,Insumos!$A:$G,7,FALSE()),0)</f>
        <v>3.3</v>
      </c>
      <c r="I626" s="16" t="s">
        <v>962</v>
      </c>
    </row>
    <row r="627" customFormat="false" ht="15" hidden="false" customHeight="false" outlineLevel="0" collapsed="false">
      <c r="A627" s="9" t="n">
        <v>42</v>
      </c>
      <c r="B627" s="9" t="s">
        <v>957</v>
      </c>
      <c r="C627" s="9" t="s">
        <v>396</v>
      </c>
      <c r="D627" s="9" t="s">
        <v>754</v>
      </c>
      <c r="E627" s="9" t="s">
        <v>58</v>
      </c>
      <c r="F627" s="9" t="n">
        <v>170</v>
      </c>
      <c r="G627" s="9" t="s">
        <v>61</v>
      </c>
      <c r="H627" s="14" t="n">
        <f aca="false">IFERROR(F627*VLOOKUP(E627,Insumos!$A:$G,7,FALSE()),0)</f>
        <v>41.65</v>
      </c>
      <c r="I627" s="15"/>
    </row>
    <row r="628" customFormat="false" ht="15" hidden="false" customHeight="false" outlineLevel="0" collapsed="false">
      <c r="A628" s="9" t="n">
        <v>42</v>
      </c>
      <c r="B628" s="9" t="s">
        <v>957</v>
      </c>
      <c r="C628" s="9" t="s">
        <v>396</v>
      </c>
      <c r="D628" s="9" t="s">
        <v>963</v>
      </c>
      <c r="E628" s="9" t="s">
        <v>135</v>
      </c>
      <c r="F628" s="9" t="n">
        <v>170</v>
      </c>
      <c r="G628" s="9" t="s">
        <v>61</v>
      </c>
      <c r="H628" s="14" t="n">
        <f aca="false">IFERROR(F628*VLOOKUP(E628,Insumos!$A:$G,7,FALSE()),0)</f>
        <v>9.86</v>
      </c>
      <c r="I628" s="15"/>
    </row>
    <row r="629" customFormat="false" ht="15" hidden="false" customHeight="false" outlineLevel="0" collapsed="false">
      <c r="A629" s="9" t="n">
        <v>42</v>
      </c>
      <c r="B629" s="9" t="s">
        <v>957</v>
      </c>
      <c r="C629" s="9" t="s">
        <v>396</v>
      </c>
      <c r="D629" s="9" t="s">
        <v>435</v>
      </c>
      <c r="E629" s="9" t="s">
        <v>66</v>
      </c>
      <c r="F629" s="9" t="n">
        <v>200</v>
      </c>
      <c r="G629" s="9" t="s">
        <v>61</v>
      </c>
      <c r="H629" s="14" t="n">
        <f aca="false">IFERROR(F629*VLOOKUP(E629,Insumos!$A:$G,7,FALSE()),0)</f>
        <v>12.4</v>
      </c>
      <c r="I629" s="15"/>
    </row>
    <row r="630" customFormat="false" ht="15" hidden="false" customHeight="false" outlineLevel="0" collapsed="false">
      <c r="A630" s="9" t="n">
        <v>42</v>
      </c>
      <c r="B630" s="9" t="s">
        <v>957</v>
      </c>
      <c r="C630" s="9" t="s">
        <v>396</v>
      </c>
      <c r="D630" s="9" t="s">
        <v>495</v>
      </c>
      <c r="E630" s="9" t="s">
        <v>107</v>
      </c>
      <c r="F630" s="9" t="n">
        <v>220</v>
      </c>
      <c r="G630" s="9" t="s">
        <v>61</v>
      </c>
      <c r="H630" s="14" t="n">
        <f aca="false">IFERROR(F630*VLOOKUP(E630,Insumos!$A:$G,7,FALSE()),0)</f>
        <v>5.72</v>
      </c>
      <c r="I630" s="15"/>
    </row>
    <row r="631" customFormat="false" ht="15" hidden="false" customHeight="false" outlineLevel="0" collapsed="false">
      <c r="A631" s="9" t="n">
        <v>42</v>
      </c>
      <c r="B631" s="9" t="s">
        <v>957</v>
      </c>
      <c r="C631" s="9" t="s">
        <v>396</v>
      </c>
      <c r="D631" s="9" t="s">
        <v>423</v>
      </c>
      <c r="E631" s="9" t="s">
        <v>114</v>
      </c>
      <c r="F631" s="9" t="n">
        <v>5</v>
      </c>
      <c r="G631" s="9" t="s">
        <v>61</v>
      </c>
      <c r="H631" s="14" t="n">
        <f aca="false">IFERROR(F631*VLOOKUP(E631,Insumos!$A:$G,7,FALSE()),0)</f>
        <v>0.68</v>
      </c>
      <c r="I631" s="15"/>
    </row>
    <row r="632" customFormat="false" ht="15" hidden="false" customHeight="false" outlineLevel="0" collapsed="false">
      <c r="A632" s="9" t="n">
        <v>42</v>
      </c>
      <c r="B632" s="9" t="s">
        <v>957</v>
      </c>
      <c r="C632" s="9" t="s">
        <v>396</v>
      </c>
      <c r="D632" s="9" t="s">
        <v>902</v>
      </c>
      <c r="E632" s="9" t="s">
        <v>277</v>
      </c>
      <c r="F632" s="9" t="n">
        <v>3</v>
      </c>
      <c r="G632" s="9" t="s">
        <v>61</v>
      </c>
      <c r="H632" s="14" t="n">
        <f aca="false">IFERROR(F632*VLOOKUP(E632,Insumos!$A:$G,7,FALSE()),0)</f>
        <v>2.22</v>
      </c>
      <c r="I632" s="15"/>
    </row>
    <row r="633" customFormat="false" ht="15" hidden="false" customHeight="false" outlineLevel="0" collapsed="false">
      <c r="A633" s="9" t="n">
        <v>42</v>
      </c>
      <c r="B633" s="9" t="s">
        <v>957</v>
      </c>
      <c r="C633" s="9" t="s">
        <v>396</v>
      </c>
      <c r="D633" s="9" t="s">
        <v>916</v>
      </c>
      <c r="E633" s="9" t="s">
        <v>285</v>
      </c>
      <c r="F633" s="9" t="n">
        <v>1</v>
      </c>
      <c r="G633" s="9" t="s">
        <v>61</v>
      </c>
      <c r="H633" s="14" t="n">
        <f aca="false">IFERROR(F633*VLOOKUP(E633,Insumos!$A:$G,7,FALSE()),0)</f>
        <v>0.95</v>
      </c>
      <c r="I633" s="15"/>
    </row>
    <row r="634" customFormat="false" ht="15" hidden="false" customHeight="false" outlineLevel="0" collapsed="false">
      <c r="A634" s="9" t="n">
        <v>42</v>
      </c>
      <c r="B634" s="9" t="s">
        <v>957</v>
      </c>
      <c r="C634" s="9" t="s">
        <v>396</v>
      </c>
      <c r="D634" s="9" t="s">
        <v>461</v>
      </c>
      <c r="E634" s="9" t="s">
        <v>118</v>
      </c>
      <c r="F634" s="9" t="n">
        <v>2</v>
      </c>
      <c r="G634" s="9" t="s">
        <v>61</v>
      </c>
      <c r="H634" s="14" t="n">
        <f aca="false">IFERROR(F634*VLOOKUP(E634,Insumos!$A:$G,7,FALSE()),0)</f>
        <v>0.032</v>
      </c>
      <c r="I634" s="15"/>
    </row>
    <row r="635" customFormat="false" ht="15" hidden="false" customHeight="false" outlineLevel="0" collapsed="false">
      <c r="A635" s="9" t="n">
        <v>42</v>
      </c>
      <c r="B635" s="9" t="s">
        <v>957</v>
      </c>
      <c r="C635" s="9" t="s">
        <v>396</v>
      </c>
      <c r="D635" s="9" t="s">
        <v>964</v>
      </c>
      <c r="E635" s="9" t="s">
        <v>324</v>
      </c>
      <c r="F635" s="9" t="n">
        <v>0</v>
      </c>
      <c r="G635" s="9" t="s">
        <v>61</v>
      </c>
      <c r="H635" s="14" t="n">
        <f aca="false">IFERROR(F635*VLOOKUP(E635,Insumos!$A:$G,7,FALSE()),0)</f>
        <v>0</v>
      </c>
      <c r="I635" s="16" t="s">
        <v>965</v>
      </c>
    </row>
    <row r="636" customFormat="false" ht="15" hidden="false" customHeight="false" outlineLevel="0" collapsed="false">
      <c r="A636" s="9" t="n">
        <v>42</v>
      </c>
      <c r="B636" s="9" t="s">
        <v>957</v>
      </c>
      <c r="C636" s="9" t="s">
        <v>396</v>
      </c>
      <c r="D636" s="9" t="s">
        <v>966</v>
      </c>
      <c r="E636" s="9" t="s">
        <v>107</v>
      </c>
      <c r="F636" s="9" t="n">
        <v>10</v>
      </c>
      <c r="G636" s="9" t="s">
        <v>61</v>
      </c>
      <c r="H636" s="14" t="n">
        <f aca="false">IFERROR(F636*VLOOKUP(E636,Insumos!$A:$G,7,FALSE()),0)</f>
        <v>0.26</v>
      </c>
      <c r="I636" s="15"/>
    </row>
    <row r="637" customFormat="false" ht="15" hidden="false" customHeight="false" outlineLevel="0" collapsed="false">
      <c r="A637" s="9" t="n">
        <v>42</v>
      </c>
      <c r="B637" s="9" t="s">
        <v>957</v>
      </c>
      <c r="C637" s="9" t="s">
        <v>967</v>
      </c>
      <c r="D637" s="9" t="s">
        <v>968</v>
      </c>
      <c r="E637" s="9" t="s">
        <v>58</v>
      </c>
      <c r="F637" s="9" t="n">
        <v>40</v>
      </c>
      <c r="G637" s="9" t="s">
        <v>61</v>
      </c>
      <c r="H637" s="14" t="n">
        <f aca="false">IFERROR(F637*VLOOKUP(E637,Insumos!$A:$G,7,FALSE()),0)</f>
        <v>9.8</v>
      </c>
      <c r="I637" s="15"/>
    </row>
    <row r="638" customFormat="false" ht="15" hidden="false" customHeight="false" outlineLevel="0" collapsed="false">
      <c r="A638" s="9" t="n">
        <v>42</v>
      </c>
      <c r="B638" s="9" t="s">
        <v>957</v>
      </c>
      <c r="C638" s="9" t="s">
        <v>967</v>
      </c>
      <c r="D638" s="9" t="s">
        <v>969</v>
      </c>
      <c r="E638" s="9" t="s">
        <v>135</v>
      </c>
      <c r="F638" s="9" t="n">
        <v>35</v>
      </c>
      <c r="G638" s="9" t="s">
        <v>61</v>
      </c>
      <c r="H638" s="14" t="n">
        <f aca="false">IFERROR(F638*VLOOKUP(E638,Insumos!$A:$G,7,FALSE()),0)</f>
        <v>2.03</v>
      </c>
      <c r="I638" s="15"/>
    </row>
    <row r="639" customFormat="false" ht="15" hidden="false" customHeight="false" outlineLevel="0" collapsed="false">
      <c r="A639" s="9" t="n">
        <v>42</v>
      </c>
      <c r="B639" s="9" t="s">
        <v>957</v>
      </c>
      <c r="C639" s="9" t="s">
        <v>967</v>
      </c>
      <c r="D639" s="9" t="s">
        <v>970</v>
      </c>
      <c r="E639" s="9" t="s">
        <v>277</v>
      </c>
      <c r="F639" s="9" t="n">
        <v>1</v>
      </c>
      <c r="G639" s="9" t="s">
        <v>61</v>
      </c>
      <c r="H639" s="14" t="n">
        <f aca="false">IFERROR(F639*VLOOKUP(E639,Insumos!$A:$G,7,FALSE()),0)</f>
        <v>0.74</v>
      </c>
      <c r="I639" s="15"/>
    </row>
    <row r="640" customFormat="false" ht="15" hidden="false" customHeight="false" outlineLevel="0" collapsed="false">
      <c r="A640" s="9" t="n">
        <v>43</v>
      </c>
      <c r="B640" s="9" t="s">
        <v>971</v>
      </c>
      <c r="C640" s="9" t="s">
        <v>972</v>
      </c>
      <c r="D640" s="9" t="s">
        <v>973</v>
      </c>
      <c r="E640" s="9" t="s">
        <v>234</v>
      </c>
      <c r="F640" s="9" t="n">
        <v>200</v>
      </c>
      <c r="G640" s="9" t="s">
        <v>61</v>
      </c>
      <c r="H640" s="14" t="n">
        <f aca="false">IFERROR(F640*VLOOKUP(E640,Insumos!$A:$G,7,FALSE()),0)</f>
        <v>13.6</v>
      </c>
      <c r="I640" s="15"/>
    </row>
    <row r="641" customFormat="false" ht="15" hidden="false" customHeight="false" outlineLevel="0" collapsed="false">
      <c r="A641" s="9" t="n">
        <v>43</v>
      </c>
      <c r="B641" s="9" t="s">
        <v>971</v>
      </c>
      <c r="C641" s="9" t="s">
        <v>972</v>
      </c>
      <c r="D641" s="9" t="s">
        <v>974</v>
      </c>
      <c r="E641" s="9" t="s">
        <v>126</v>
      </c>
      <c r="F641" s="9" t="n">
        <v>25</v>
      </c>
      <c r="G641" s="9" t="s">
        <v>61</v>
      </c>
      <c r="H641" s="14" t="n">
        <f aca="false">IFERROR(F641*VLOOKUP(E641,Insumos!$A:$G,7,FALSE()),0)</f>
        <v>0.7</v>
      </c>
      <c r="I641" s="15"/>
    </row>
    <row r="642" customFormat="false" ht="15" hidden="false" customHeight="false" outlineLevel="0" collapsed="false">
      <c r="A642" s="9" t="n">
        <v>43</v>
      </c>
      <c r="B642" s="9" t="s">
        <v>971</v>
      </c>
      <c r="C642" s="9" t="s">
        <v>396</v>
      </c>
      <c r="D642" s="9" t="s">
        <v>605</v>
      </c>
      <c r="E642" s="9" t="s">
        <v>58</v>
      </c>
      <c r="F642" s="9" t="n">
        <v>160</v>
      </c>
      <c r="G642" s="9" t="s">
        <v>61</v>
      </c>
      <c r="H642" s="14" t="n">
        <f aca="false">IFERROR(F642*VLOOKUP(E642,Insumos!$A:$G,7,FALSE()),0)</f>
        <v>39.2</v>
      </c>
      <c r="I642" s="15"/>
    </row>
    <row r="643" customFormat="false" ht="15" hidden="false" customHeight="false" outlineLevel="0" collapsed="false">
      <c r="A643" s="9" t="n">
        <v>43</v>
      </c>
      <c r="B643" s="9" t="s">
        <v>971</v>
      </c>
      <c r="C643" s="9" t="s">
        <v>396</v>
      </c>
      <c r="D643" s="9" t="s">
        <v>707</v>
      </c>
      <c r="E643" s="9" t="s">
        <v>126</v>
      </c>
      <c r="F643" s="9" t="n">
        <v>170</v>
      </c>
      <c r="G643" s="9" t="s">
        <v>61</v>
      </c>
      <c r="H643" s="14" t="n">
        <f aca="false">IFERROR(F643*VLOOKUP(E643,Insumos!$A:$G,7,FALSE()),0)</f>
        <v>4.76</v>
      </c>
      <c r="I643" s="15"/>
    </row>
    <row r="644" customFormat="false" ht="15" hidden="false" customHeight="false" outlineLevel="0" collapsed="false">
      <c r="A644" s="9" t="n">
        <v>43</v>
      </c>
      <c r="B644" s="9" t="s">
        <v>971</v>
      </c>
      <c r="C644" s="9" t="s">
        <v>396</v>
      </c>
      <c r="D644" s="9" t="s">
        <v>435</v>
      </c>
      <c r="E644" s="9" t="s">
        <v>66</v>
      </c>
      <c r="F644" s="9" t="n">
        <v>200</v>
      </c>
      <c r="G644" s="9" t="s">
        <v>61</v>
      </c>
      <c r="H644" s="14" t="n">
        <f aca="false">IFERROR(F644*VLOOKUP(E644,Insumos!$A:$G,7,FALSE()),0)</f>
        <v>12.4</v>
      </c>
      <c r="I644" s="15"/>
    </row>
    <row r="645" customFormat="false" ht="15" hidden="false" customHeight="false" outlineLevel="0" collapsed="false">
      <c r="A645" s="9" t="n">
        <v>43</v>
      </c>
      <c r="B645" s="9" t="s">
        <v>971</v>
      </c>
      <c r="C645" s="9" t="s">
        <v>396</v>
      </c>
      <c r="D645" s="9" t="s">
        <v>495</v>
      </c>
      <c r="E645" s="9" t="s">
        <v>107</v>
      </c>
      <c r="F645" s="9" t="n">
        <v>220</v>
      </c>
      <c r="G645" s="9" t="s">
        <v>61</v>
      </c>
      <c r="H645" s="14" t="n">
        <f aca="false">IFERROR(F645*VLOOKUP(E645,Insumos!$A:$G,7,FALSE()),0)</f>
        <v>5.72</v>
      </c>
      <c r="I645" s="15"/>
    </row>
    <row r="646" customFormat="false" ht="15" hidden="false" customHeight="false" outlineLevel="0" collapsed="false">
      <c r="A646" s="9" t="n">
        <v>43</v>
      </c>
      <c r="B646" s="9" t="s">
        <v>971</v>
      </c>
      <c r="C646" s="9" t="s">
        <v>396</v>
      </c>
      <c r="D646" s="9" t="s">
        <v>659</v>
      </c>
      <c r="E646" s="9" t="s">
        <v>172</v>
      </c>
      <c r="F646" s="9" t="n">
        <v>20</v>
      </c>
      <c r="G646" s="9" t="s">
        <v>61</v>
      </c>
      <c r="H646" s="14" t="n">
        <f aca="false">IFERROR(F646*VLOOKUP(E646,Insumos!$A:$G,7,FALSE()),0)</f>
        <v>8.5</v>
      </c>
      <c r="I646" s="15"/>
    </row>
    <row r="647" customFormat="false" ht="15" hidden="false" customHeight="false" outlineLevel="0" collapsed="false">
      <c r="A647" s="9" t="n">
        <v>43</v>
      </c>
      <c r="B647" s="9" t="s">
        <v>971</v>
      </c>
      <c r="C647" s="9" t="s">
        <v>396</v>
      </c>
      <c r="D647" s="9" t="s">
        <v>423</v>
      </c>
      <c r="E647" s="9" t="s">
        <v>114</v>
      </c>
      <c r="F647" s="9" t="n">
        <v>5</v>
      </c>
      <c r="G647" s="9" t="s">
        <v>61</v>
      </c>
      <c r="H647" s="14" t="n">
        <f aca="false">IFERROR(F647*VLOOKUP(E647,Insumos!$A:$G,7,FALSE()),0)</f>
        <v>0.68</v>
      </c>
      <c r="I647" s="15"/>
    </row>
    <row r="648" customFormat="false" ht="15" hidden="false" customHeight="false" outlineLevel="0" collapsed="false">
      <c r="A648" s="9" t="n">
        <v>43</v>
      </c>
      <c r="B648" s="9" t="s">
        <v>971</v>
      </c>
      <c r="C648" s="9" t="s">
        <v>396</v>
      </c>
      <c r="D648" s="9" t="s">
        <v>461</v>
      </c>
      <c r="E648" s="9" t="s">
        <v>118</v>
      </c>
      <c r="F648" s="9" t="n">
        <v>2</v>
      </c>
      <c r="G648" s="9" t="s">
        <v>61</v>
      </c>
      <c r="H648" s="14" t="n">
        <f aca="false">IFERROR(F648*VLOOKUP(E648,Insumos!$A:$G,7,FALSE()),0)</f>
        <v>0.032</v>
      </c>
      <c r="I648" s="15"/>
    </row>
    <row r="649" customFormat="false" ht="15" hidden="false" customHeight="false" outlineLevel="0" collapsed="false">
      <c r="A649" s="9" t="n">
        <v>43</v>
      </c>
      <c r="B649" s="9" t="s">
        <v>971</v>
      </c>
      <c r="C649" s="9" t="s">
        <v>396</v>
      </c>
      <c r="D649" s="9" t="s">
        <v>975</v>
      </c>
      <c r="E649" s="9" t="s">
        <v>77</v>
      </c>
      <c r="F649" s="9" t="n">
        <v>40</v>
      </c>
      <c r="G649" s="9" t="s">
        <v>74</v>
      </c>
      <c r="H649" s="14" t="n">
        <f aca="false">IFERROR(F649*VLOOKUP(E649,Insumos!$A:$G,7,FALSE()),0)</f>
        <v>4.08888888888889</v>
      </c>
      <c r="I649" s="15"/>
    </row>
    <row r="650" customFormat="false" ht="15" hidden="false" customHeight="false" outlineLevel="0" collapsed="false">
      <c r="A650" s="9" t="n">
        <v>43</v>
      </c>
      <c r="B650" s="9" t="s">
        <v>971</v>
      </c>
      <c r="C650" s="9" t="s">
        <v>396</v>
      </c>
      <c r="D650" s="9" t="s">
        <v>976</v>
      </c>
      <c r="E650" s="9" t="s">
        <v>234</v>
      </c>
      <c r="F650" s="9" t="n">
        <v>0</v>
      </c>
      <c r="G650" s="9" t="s">
        <v>61</v>
      </c>
      <c r="H650" s="14" t="n">
        <f aca="false">IFERROR(F650*VLOOKUP(E650,Insumos!$A:$G,7,FALSE()),0)</f>
        <v>0</v>
      </c>
      <c r="I650" s="16" t="s">
        <v>977</v>
      </c>
    </row>
    <row r="651" customFormat="false" ht="15" hidden="false" customHeight="false" outlineLevel="0" collapsed="false">
      <c r="A651" s="9" t="n">
        <v>43</v>
      </c>
      <c r="B651" s="9" t="s">
        <v>971</v>
      </c>
      <c r="C651" s="9" t="s">
        <v>978</v>
      </c>
      <c r="D651" s="9" t="s">
        <v>979</v>
      </c>
      <c r="E651" s="9" t="s">
        <v>236</v>
      </c>
      <c r="F651" s="9" t="n">
        <v>120</v>
      </c>
      <c r="G651" s="9" t="s">
        <v>61</v>
      </c>
      <c r="H651" s="14" t="n">
        <f aca="false">IFERROR(F651*VLOOKUP(E651,Insumos!$A:$G,7,FALSE()),0)</f>
        <v>22.8</v>
      </c>
      <c r="I651" s="15"/>
    </row>
    <row r="652" customFormat="false" ht="15" hidden="false" customHeight="false" outlineLevel="0" collapsed="false">
      <c r="A652" s="9" t="n">
        <v>43</v>
      </c>
      <c r="B652" s="9" t="s">
        <v>971</v>
      </c>
      <c r="C652" s="9" t="s">
        <v>978</v>
      </c>
      <c r="D652" s="9" t="s">
        <v>980</v>
      </c>
      <c r="E652" s="9" t="s">
        <v>89</v>
      </c>
      <c r="F652" s="9" t="n">
        <v>100</v>
      </c>
      <c r="G652" s="9" t="s">
        <v>61</v>
      </c>
      <c r="H652" s="14" t="n">
        <f aca="false">IFERROR(F652*VLOOKUP(E652,Insumos!$A:$G,7,FALSE()),0)</f>
        <v>17.6</v>
      </c>
      <c r="I652" s="15"/>
    </row>
    <row r="653" customFormat="false" ht="15" hidden="false" customHeight="false" outlineLevel="0" collapsed="false">
      <c r="A653" s="9" t="n">
        <v>44</v>
      </c>
      <c r="B653" s="9" t="s">
        <v>981</v>
      </c>
      <c r="C653" s="9" t="s">
        <v>396</v>
      </c>
      <c r="D653" s="9" t="s">
        <v>754</v>
      </c>
      <c r="E653" s="9" t="s">
        <v>58</v>
      </c>
      <c r="F653" s="9" t="n">
        <v>170</v>
      </c>
      <c r="G653" s="9" t="s">
        <v>61</v>
      </c>
      <c r="H653" s="14" t="n">
        <f aca="false">IFERROR(F653*VLOOKUP(E653,Insumos!$A:$G,7,FALSE()),0)</f>
        <v>41.65</v>
      </c>
      <c r="I653" s="15"/>
    </row>
    <row r="654" customFormat="false" ht="15" hidden="false" customHeight="false" outlineLevel="0" collapsed="false">
      <c r="A654" s="9" t="n">
        <v>44</v>
      </c>
      <c r="B654" s="9" t="s">
        <v>981</v>
      </c>
      <c r="C654" s="9" t="s">
        <v>396</v>
      </c>
      <c r="D654" s="9" t="s">
        <v>493</v>
      </c>
      <c r="E654" s="9" t="s">
        <v>133</v>
      </c>
      <c r="F654" s="9" t="n">
        <v>180</v>
      </c>
      <c r="G654" s="9" t="s">
        <v>61</v>
      </c>
      <c r="H654" s="14" t="n">
        <f aca="false">IFERROR(F654*VLOOKUP(E654,Insumos!$A:$G,7,FALSE()),0)</f>
        <v>9.36</v>
      </c>
      <c r="I654" s="15"/>
    </row>
    <row r="655" customFormat="false" ht="15" hidden="false" customHeight="false" outlineLevel="0" collapsed="false">
      <c r="A655" s="9" t="n">
        <v>44</v>
      </c>
      <c r="B655" s="9" t="s">
        <v>981</v>
      </c>
      <c r="C655" s="9" t="s">
        <v>396</v>
      </c>
      <c r="D655" s="9" t="s">
        <v>435</v>
      </c>
      <c r="E655" s="9" t="s">
        <v>66</v>
      </c>
      <c r="F655" s="9" t="n">
        <v>200</v>
      </c>
      <c r="G655" s="9" t="s">
        <v>61</v>
      </c>
      <c r="H655" s="14" t="n">
        <f aca="false">IFERROR(F655*VLOOKUP(E655,Insumos!$A:$G,7,FALSE()),0)</f>
        <v>12.4</v>
      </c>
      <c r="I655" s="15"/>
    </row>
    <row r="656" customFormat="false" ht="15" hidden="false" customHeight="false" outlineLevel="0" collapsed="false">
      <c r="A656" s="9" t="n">
        <v>44</v>
      </c>
      <c r="B656" s="9" t="s">
        <v>981</v>
      </c>
      <c r="C656" s="9" t="s">
        <v>396</v>
      </c>
      <c r="D656" s="9" t="s">
        <v>566</v>
      </c>
      <c r="E656" s="9" t="s">
        <v>107</v>
      </c>
      <c r="F656" s="9" t="n">
        <v>230</v>
      </c>
      <c r="G656" s="9" t="s">
        <v>61</v>
      </c>
      <c r="H656" s="14" t="n">
        <f aca="false">IFERROR(F656*VLOOKUP(E656,Insumos!$A:$G,7,FALSE()),0)</f>
        <v>5.98</v>
      </c>
      <c r="I656" s="15"/>
    </row>
    <row r="657" customFormat="false" ht="15" hidden="false" customHeight="false" outlineLevel="0" collapsed="false">
      <c r="A657" s="9" t="n">
        <v>44</v>
      </c>
      <c r="B657" s="9" t="s">
        <v>981</v>
      </c>
      <c r="C657" s="9" t="s">
        <v>396</v>
      </c>
      <c r="D657" s="9" t="s">
        <v>423</v>
      </c>
      <c r="E657" s="9" t="s">
        <v>114</v>
      </c>
      <c r="F657" s="9" t="n">
        <v>5</v>
      </c>
      <c r="G657" s="9" t="s">
        <v>61</v>
      </c>
      <c r="H657" s="14" t="n">
        <f aca="false">IFERROR(F657*VLOOKUP(E657,Insumos!$A:$G,7,FALSE()),0)</f>
        <v>0.68</v>
      </c>
      <c r="I657" s="15"/>
    </row>
    <row r="658" customFormat="false" ht="15" hidden="false" customHeight="false" outlineLevel="0" collapsed="false">
      <c r="A658" s="9" t="n">
        <v>44</v>
      </c>
      <c r="B658" s="9" t="s">
        <v>981</v>
      </c>
      <c r="C658" s="9" t="s">
        <v>396</v>
      </c>
      <c r="D658" s="9" t="s">
        <v>914</v>
      </c>
      <c r="E658" s="9" t="s">
        <v>277</v>
      </c>
      <c r="F658" s="9" t="n">
        <v>4</v>
      </c>
      <c r="G658" s="9" t="s">
        <v>61</v>
      </c>
      <c r="H658" s="14" t="n">
        <f aca="false">IFERROR(F658*VLOOKUP(E658,Insumos!$A:$G,7,FALSE()),0)</f>
        <v>2.96</v>
      </c>
      <c r="I658" s="15"/>
    </row>
    <row r="659" customFormat="false" ht="15" hidden="false" customHeight="false" outlineLevel="0" collapsed="false">
      <c r="A659" s="9" t="n">
        <v>44</v>
      </c>
      <c r="B659" s="9" t="s">
        <v>981</v>
      </c>
      <c r="C659" s="9" t="s">
        <v>396</v>
      </c>
      <c r="D659" s="9" t="s">
        <v>461</v>
      </c>
      <c r="E659" s="9" t="s">
        <v>118</v>
      </c>
      <c r="F659" s="9" t="n">
        <v>2</v>
      </c>
      <c r="G659" s="9" t="s">
        <v>61</v>
      </c>
      <c r="H659" s="14" t="n">
        <f aca="false">IFERROR(F659*VLOOKUP(E659,Insumos!$A:$G,7,FALSE()),0)</f>
        <v>0.032</v>
      </c>
      <c r="I659" s="15"/>
    </row>
    <row r="660" customFormat="false" ht="15" hidden="false" customHeight="false" outlineLevel="0" collapsed="false">
      <c r="A660" s="9" t="n">
        <v>44</v>
      </c>
      <c r="B660" s="9" t="s">
        <v>981</v>
      </c>
      <c r="C660" s="9" t="s">
        <v>396</v>
      </c>
      <c r="D660" s="9" t="s">
        <v>982</v>
      </c>
      <c r="E660" s="9" t="s">
        <v>72</v>
      </c>
      <c r="F660" s="9" t="n">
        <v>50</v>
      </c>
      <c r="G660" s="9" t="s">
        <v>74</v>
      </c>
      <c r="H660" s="14" t="n">
        <f aca="false">IFERROR(F660*VLOOKUP(E660,Insumos!$A:$G,7,FALSE()),0)</f>
        <v>1.35</v>
      </c>
      <c r="I660" s="15"/>
    </row>
    <row r="661" customFormat="false" ht="15" hidden="false" customHeight="false" outlineLevel="0" collapsed="false">
      <c r="A661" s="9" t="n">
        <v>44</v>
      </c>
      <c r="B661" s="9" t="s">
        <v>981</v>
      </c>
      <c r="C661" s="9" t="s">
        <v>396</v>
      </c>
      <c r="D661" s="9" t="s">
        <v>983</v>
      </c>
      <c r="E661" s="9" t="s">
        <v>272</v>
      </c>
      <c r="F661" s="9" t="n">
        <v>8</v>
      </c>
      <c r="G661" s="9" t="s">
        <v>74</v>
      </c>
      <c r="H661" s="14" t="n">
        <f aca="false">IFERROR(F661*VLOOKUP(E661,Insumos!$A:$G,7,FALSE()),0)</f>
        <v>13.44</v>
      </c>
      <c r="I661" s="15"/>
    </row>
    <row r="662" customFormat="false" ht="15" hidden="false" customHeight="false" outlineLevel="0" collapsed="false">
      <c r="A662" s="9" t="n">
        <v>44</v>
      </c>
      <c r="B662" s="9" t="s">
        <v>981</v>
      </c>
      <c r="C662" s="9" t="s">
        <v>984</v>
      </c>
      <c r="D662" s="9" t="s">
        <v>985</v>
      </c>
      <c r="E662" s="9" t="s">
        <v>147</v>
      </c>
      <c r="F662" s="9" t="n">
        <v>130</v>
      </c>
      <c r="G662" s="9" t="s">
        <v>61</v>
      </c>
      <c r="H662" s="14" t="n">
        <f aca="false">IFERROR(F662*VLOOKUP(E662,Insumos!$A:$G,7,FALSE()),0)</f>
        <v>19.24</v>
      </c>
      <c r="I662" s="15"/>
    </row>
    <row r="663" customFormat="false" ht="15" hidden="false" customHeight="false" outlineLevel="0" collapsed="false">
      <c r="A663" s="9" t="n">
        <v>44</v>
      </c>
      <c r="B663" s="9" t="s">
        <v>981</v>
      </c>
      <c r="C663" s="9" t="s">
        <v>986</v>
      </c>
      <c r="D663" s="9" t="s">
        <v>987</v>
      </c>
      <c r="E663" s="9" t="s">
        <v>58</v>
      </c>
      <c r="F663" s="9" t="n">
        <v>45</v>
      </c>
      <c r="G663" s="9" t="s">
        <v>61</v>
      </c>
      <c r="H663" s="14" t="n">
        <f aca="false">IFERROR(F663*VLOOKUP(E663,Insumos!$A:$G,7,FALSE()),0)</f>
        <v>11.025</v>
      </c>
      <c r="I663" s="15"/>
    </row>
    <row r="664" customFormat="false" ht="15" hidden="false" customHeight="false" outlineLevel="0" collapsed="false">
      <c r="A664" s="9" t="n">
        <v>44</v>
      </c>
      <c r="B664" s="9" t="s">
        <v>981</v>
      </c>
      <c r="C664" s="9" t="s">
        <v>986</v>
      </c>
      <c r="D664" s="9" t="s">
        <v>988</v>
      </c>
      <c r="E664" s="9" t="s">
        <v>126</v>
      </c>
      <c r="F664" s="9" t="n">
        <v>50</v>
      </c>
      <c r="G664" s="9" t="s">
        <v>61</v>
      </c>
      <c r="H664" s="14" t="n">
        <f aca="false">IFERROR(F664*VLOOKUP(E664,Insumos!$A:$G,7,FALSE()),0)</f>
        <v>1.4</v>
      </c>
      <c r="I664" s="15"/>
    </row>
    <row r="665" customFormat="false" ht="15" hidden="false" customHeight="false" outlineLevel="0" collapsed="false">
      <c r="A665" s="9" t="n">
        <v>45</v>
      </c>
      <c r="B665" s="9" t="s">
        <v>989</v>
      </c>
      <c r="C665" s="9" t="s">
        <v>396</v>
      </c>
      <c r="D665" s="9" t="s">
        <v>990</v>
      </c>
      <c r="E665" s="9" t="s">
        <v>270</v>
      </c>
      <c r="F665" s="9" t="n">
        <v>200</v>
      </c>
      <c r="G665" s="9" t="s">
        <v>61</v>
      </c>
      <c r="H665" s="14" t="n">
        <f aca="false">IFERROR(F665*VLOOKUP(E665,Insumos!$A:$G,7,FALSE()),0)</f>
        <v>6.4</v>
      </c>
      <c r="I665" s="15"/>
    </row>
    <row r="666" customFormat="false" ht="15" hidden="false" customHeight="false" outlineLevel="0" collapsed="false">
      <c r="A666" s="9" t="n">
        <v>45</v>
      </c>
      <c r="B666" s="9" t="s">
        <v>989</v>
      </c>
      <c r="C666" s="9" t="s">
        <v>396</v>
      </c>
      <c r="D666" s="9" t="s">
        <v>991</v>
      </c>
      <c r="E666" s="9" t="s">
        <v>79</v>
      </c>
      <c r="F666" s="9" t="n">
        <v>150</v>
      </c>
      <c r="G666" s="9" t="s">
        <v>61</v>
      </c>
      <c r="H666" s="14" t="n">
        <f aca="false">IFERROR(F666*VLOOKUP(E666,Insumos!$A:$G,7,FALSE()),0)</f>
        <v>28.5</v>
      </c>
      <c r="I666" s="15"/>
    </row>
    <row r="667" customFormat="false" ht="15" hidden="false" customHeight="false" outlineLevel="0" collapsed="false">
      <c r="A667" s="9" t="n">
        <v>45</v>
      </c>
      <c r="B667" s="9" t="s">
        <v>989</v>
      </c>
      <c r="C667" s="9" t="s">
        <v>396</v>
      </c>
      <c r="D667" s="9" t="s">
        <v>523</v>
      </c>
      <c r="E667" s="9" t="s">
        <v>58</v>
      </c>
      <c r="F667" s="9" t="n">
        <v>140</v>
      </c>
      <c r="G667" s="9" t="s">
        <v>61</v>
      </c>
      <c r="H667" s="14" t="n">
        <f aca="false">IFERROR(F667*VLOOKUP(E667,Insumos!$A:$G,7,FALSE()),0)</f>
        <v>34.3</v>
      </c>
      <c r="I667" s="15"/>
    </row>
    <row r="668" customFormat="false" ht="15" hidden="false" customHeight="false" outlineLevel="0" collapsed="false">
      <c r="A668" s="9" t="n">
        <v>45</v>
      </c>
      <c r="B668" s="9" t="s">
        <v>989</v>
      </c>
      <c r="C668" s="9" t="s">
        <v>396</v>
      </c>
      <c r="D668" s="9" t="s">
        <v>707</v>
      </c>
      <c r="E668" s="9" t="s">
        <v>126</v>
      </c>
      <c r="F668" s="9" t="n">
        <v>170</v>
      </c>
      <c r="G668" s="9" t="s">
        <v>61</v>
      </c>
      <c r="H668" s="14" t="n">
        <f aca="false">IFERROR(F668*VLOOKUP(E668,Insumos!$A:$G,7,FALSE()),0)</f>
        <v>4.76</v>
      </c>
      <c r="I668" s="15"/>
    </row>
    <row r="669" customFormat="false" ht="15" hidden="false" customHeight="false" outlineLevel="0" collapsed="false">
      <c r="A669" s="9" t="n">
        <v>45</v>
      </c>
      <c r="B669" s="9" t="s">
        <v>989</v>
      </c>
      <c r="C669" s="9" t="s">
        <v>396</v>
      </c>
      <c r="D669" s="9" t="s">
        <v>420</v>
      </c>
      <c r="E669" s="9" t="s">
        <v>66</v>
      </c>
      <c r="F669" s="9" t="n">
        <v>200</v>
      </c>
      <c r="G669" s="9" t="s">
        <v>61</v>
      </c>
      <c r="H669" s="14" t="n">
        <f aca="false">IFERROR(F669*VLOOKUP(E669,Insumos!$A:$G,7,FALSE()),0)</f>
        <v>12.4</v>
      </c>
      <c r="I669" s="15"/>
    </row>
    <row r="670" customFormat="false" ht="15" hidden="false" customHeight="false" outlineLevel="0" collapsed="false">
      <c r="A670" s="9" t="n">
        <v>45</v>
      </c>
      <c r="B670" s="9" t="s">
        <v>989</v>
      </c>
      <c r="C670" s="9" t="s">
        <v>396</v>
      </c>
      <c r="D670" s="9" t="s">
        <v>612</v>
      </c>
      <c r="E670" s="9" t="s">
        <v>107</v>
      </c>
      <c r="F670" s="9" t="n">
        <v>210</v>
      </c>
      <c r="G670" s="9" t="s">
        <v>61</v>
      </c>
      <c r="H670" s="14" t="n">
        <f aca="false">IFERROR(F670*VLOOKUP(E670,Insumos!$A:$G,7,FALSE()),0)</f>
        <v>5.46</v>
      </c>
      <c r="I670" s="15"/>
    </row>
    <row r="671" customFormat="false" ht="15" hidden="false" customHeight="false" outlineLevel="0" collapsed="false">
      <c r="A671" s="9" t="n">
        <v>45</v>
      </c>
      <c r="B671" s="9" t="s">
        <v>989</v>
      </c>
      <c r="C671" s="9" t="s">
        <v>396</v>
      </c>
      <c r="D671" s="9" t="s">
        <v>992</v>
      </c>
      <c r="E671" s="9" t="s">
        <v>110</v>
      </c>
      <c r="F671" s="9" t="n">
        <v>40</v>
      </c>
      <c r="G671" s="9" t="s">
        <v>61</v>
      </c>
      <c r="H671" s="14" t="n">
        <f aca="false">IFERROR(F671*VLOOKUP(E671,Insumos!$A:$G,7,FALSE()),0)</f>
        <v>0.96</v>
      </c>
      <c r="I671" s="15"/>
    </row>
    <row r="672" customFormat="false" ht="15" hidden="false" customHeight="false" outlineLevel="0" collapsed="false">
      <c r="A672" s="9" t="n">
        <v>45</v>
      </c>
      <c r="B672" s="9" t="s">
        <v>989</v>
      </c>
      <c r="C672" s="9" t="s">
        <v>396</v>
      </c>
      <c r="D672" s="9" t="s">
        <v>506</v>
      </c>
      <c r="E672" s="9" t="s">
        <v>114</v>
      </c>
      <c r="F672" s="9" t="n">
        <v>6</v>
      </c>
      <c r="G672" s="9" t="s">
        <v>61</v>
      </c>
      <c r="H672" s="14" t="n">
        <f aca="false">IFERROR(F672*VLOOKUP(E672,Insumos!$A:$G,7,FALSE()),0)</f>
        <v>0.816</v>
      </c>
      <c r="I672" s="15"/>
    </row>
    <row r="673" customFormat="false" ht="15" hidden="false" customHeight="false" outlineLevel="0" collapsed="false">
      <c r="A673" s="9" t="n">
        <v>45</v>
      </c>
      <c r="B673" s="9" t="s">
        <v>989</v>
      </c>
      <c r="C673" s="9" t="s">
        <v>396</v>
      </c>
      <c r="D673" s="9" t="s">
        <v>993</v>
      </c>
      <c r="E673" s="9" t="s">
        <v>120</v>
      </c>
      <c r="F673" s="9" t="n">
        <v>3</v>
      </c>
      <c r="G673" s="9" t="s">
        <v>61</v>
      </c>
      <c r="H673" s="14" t="n">
        <f aca="false">IFERROR(F673*VLOOKUP(E673,Insumos!$A:$G,7,FALSE()),0)</f>
        <v>0.252</v>
      </c>
      <c r="I673" s="15"/>
    </row>
    <row r="674" customFormat="false" ht="15" hidden="false" customHeight="false" outlineLevel="0" collapsed="false">
      <c r="A674" s="9" t="n">
        <v>45</v>
      </c>
      <c r="B674" s="9" t="s">
        <v>989</v>
      </c>
      <c r="C674" s="9" t="s">
        <v>396</v>
      </c>
      <c r="D674" s="9" t="s">
        <v>994</v>
      </c>
      <c r="E674" s="9" t="s">
        <v>87</v>
      </c>
      <c r="F674" s="9" t="n">
        <v>50</v>
      </c>
      <c r="G674" s="9" t="s">
        <v>61</v>
      </c>
      <c r="H674" s="14" t="n">
        <f aca="false">IFERROR(F674*VLOOKUP(E674,Insumos!$A:$G,7,FALSE()),0)</f>
        <v>47</v>
      </c>
      <c r="I674" s="15"/>
    </row>
    <row r="675" customFormat="false" ht="15" hidden="false" customHeight="false" outlineLevel="0" collapsed="false">
      <c r="A675" s="9" t="n">
        <v>45</v>
      </c>
      <c r="B675" s="9" t="s">
        <v>989</v>
      </c>
      <c r="C675" s="9" t="s">
        <v>995</v>
      </c>
      <c r="D675" s="9" t="s">
        <v>996</v>
      </c>
      <c r="E675" s="9" t="s">
        <v>87</v>
      </c>
      <c r="F675" s="9" t="n">
        <v>30</v>
      </c>
      <c r="G675" s="9" t="s">
        <v>61</v>
      </c>
      <c r="H675" s="14" t="n">
        <f aca="false">IFERROR(F675*VLOOKUP(E675,Insumos!$A:$G,7,FALSE()),0)</f>
        <v>28.2</v>
      </c>
      <c r="I675" s="15"/>
    </row>
    <row r="676" customFormat="false" ht="15" hidden="false" customHeight="false" outlineLevel="0" collapsed="false">
      <c r="A676" s="9" t="n">
        <v>46</v>
      </c>
      <c r="B676" s="9" t="s">
        <v>997</v>
      </c>
      <c r="C676" s="9" t="s">
        <v>998</v>
      </c>
      <c r="D676" s="9" t="s">
        <v>999</v>
      </c>
      <c r="E676" s="9" t="s">
        <v>72</v>
      </c>
      <c r="F676" s="9" t="n">
        <v>80</v>
      </c>
      <c r="G676" s="9" t="s">
        <v>74</v>
      </c>
      <c r="H676" s="14" t="n">
        <f aca="false">IFERROR(F676*VLOOKUP(E676,Insumos!$A:$G,7,FALSE()),0)</f>
        <v>2.16</v>
      </c>
      <c r="I676" s="15"/>
    </row>
    <row r="677" customFormat="false" ht="15" hidden="false" customHeight="false" outlineLevel="0" collapsed="false">
      <c r="A677" s="9" t="n">
        <v>46</v>
      </c>
      <c r="B677" s="9" t="s">
        <v>997</v>
      </c>
      <c r="C677" s="9" t="s">
        <v>998</v>
      </c>
      <c r="D677" s="9" t="s">
        <v>1000</v>
      </c>
      <c r="E677" s="9" t="s">
        <v>295</v>
      </c>
      <c r="F677" s="9" t="n">
        <v>10</v>
      </c>
      <c r="G677" s="9" t="s">
        <v>61</v>
      </c>
      <c r="H677" s="14" t="n">
        <f aca="false">IFERROR(F677*VLOOKUP(E677,Insumos!$A:$G,7,FALSE()),0)</f>
        <v>16.5</v>
      </c>
      <c r="I677" s="15"/>
    </row>
    <row r="678" customFormat="false" ht="15" hidden="false" customHeight="false" outlineLevel="0" collapsed="false">
      <c r="A678" s="9" t="n">
        <v>46</v>
      </c>
      <c r="B678" s="9" t="s">
        <v>997</v>
      </c>
      <c r="C678" s="9" t="s">
        <v>998</v>
      </c>
      <c r="D678" s="9" t="s">
        <v>1001</v>
      </c>
      <c r="E678" s="9" t="s">
        <v>281</v>
      </c>
      <c r="F678" s="9" t="n">
        <v>2</v>
      </c>
      <c r="G678" s="9" t="s">
        <v>61</v>
      </c>
      <c r="H678" s="14" t="n">
        <f aca="false">IFERROR(F678*VLOOKUP(E678,Insumos!$A:$G,7,FALSE()),0)</f>
        <v>3.3</v>
      </c>
      <c r="I678" s="16" t="s">
        <v>1002</v>
      </c>
    </row>
    <row r="679" customFormat="false" ht="15" hidden="false" customHeight="false" outlineLevel="0" collapsed="false">
      <c r="A679" s="9" t="n">
        <v>46</v>
      </c>
      <c r="B679" s="9" t="s">
        <v>997</v>
      </c>
      <c r="C679" s="9" t="s">
        <v>998</v>
      </c>
      <c r="D679" s="9" t="s">
        <v>1003</v>
      </c>
      <c r="E679" s="9" t="s">
        <v>279</v>
      </c>
      <c r="F679" s="9" t="n">
        <v>3</v>
      </c>
      <c r="G679" s="9" t="s">
        <v>61</v>
      </c>
      <c r="H679" s="14" t="n">
        <f aca="false">IFERROR(F679*VLOOKUP(E679,Insumos!$A:$G,7,FALSE()),0)</f>
        <v>1.32</v>
      </c>
      <c r="I679" s="16" t="s">
        <v>1004</v>
      </c>
    </row>
    <row r="680" customFormat="false" ht="15" hidden="false" customHeight="false" outlineLevel="0" collapsed="false">
      <c r="A680" s="9" t="n">
        <v>46</v>
      </c>
      <c r="B680" s="9" t="s">
        <v>997</v>
      </c>
      <c r="C680" s="9" t="s">
        <v>998</v>
      </c>
      <c r="D680" s="9" t="s">
        <v>1005</v>
      </c>
      <c r="E680" s="9" t="s">
        <v>287</v>
      </c>
      <c r="F680" s="9" t="n">
        <v>1</v>
      </c>
      <c r="G680" s="9" t="s">
        <v>61</v>
      </c>
      <c r="H680" s="14" t="n">
        <f aca="false">IFERROR(F680*VLOOKUP(E680,Insumos!$A:$G,7,FALSE()),0)</f>
        <v>0.78</v>
      </c>
      <c r="I680" s="16" t="s">
        <v>1006</v>
      </c>
    </row>
    <row r="681" customFormat="false" ht="15" hidden="false" customHeight="false" outlineLevel="0" collapsed="false">
      <c r="A681" s="9" t="n">
        <v>46</v>
      </c>
      <c r="B681" s="9" t="s">
        <v>997</v>
      </c>
      <c r="C681" s="9" t="s">
        <v>998</v>
      </c>
      <c r="D681" s="9" t="s">
        <v>1007</v>
      </c>
      <c r="E681" s="9" t="s">
        <v>283</v>
      </c>
      <c r="F681" s="9" t="n">
        <v>2</v>
      </c>
      <c r="G681" s="9" t="s">
        <v>61</v>
      </c>
      <c r="H681" s="14" t="n">
        <f aca="false">IFERROR(F681*VLOOKUP(E681,Insumos!$A:$G,7,FALSE()),0)</f>
        <v>0.704</v>
      </c>
      <c r="I681" s="15"/>
    </row>
    <row r="682" customFormat="false" ht="15" hidden="false" customHeight="false" outlineLevel="0" collapsed="false">
      <c r="A682" s="9" t="n">
        <v>46</v>
      </c>
      <c r="B682" s="9" t="s">
        <v>997</v>
      </c>
      <c r="C682" s="9" t="s">
        <v>396</v>
      </c>
      <c r="D682" s="9" t="s">
        <v>775</v>
      </c>
      <c r="E682" s="9" t="s">
        <v>58</v>
      </c>
      <c r="F682" s="9" t="n">
        <v>170</v>
      </c>
      <c r="G682" s="9" t="s">
        <v>61</v>
      </c>
      <c r="H682" s="14" t="n">
        <f aca="false">IFERROR(F682*VLOOKUP(E682,Insumos!$A:$G,7,FALSE()),0)</f>
        <v>41.65</v>
      </c>
      <c r="I682" s="15"/>
    </row>
    <row r="683" customFormat="false" ht="15" hidden="false" customHeight="false" outlineLevel="0" collapsed="false">
      <c r="A683" s="9" t="n">
        <v>46</v>
      </c>
      <c r="B683" s="9" t="s">
        <v>997</v>
      </c>
      <c r="C683" s="9" t="s">
        <v>396</v>
      </c>
      <c r="D683" s="9" t="s">
        <v>493</v>
      </c>
      <c r="E683" s="9" t="s">
        <v>133</v>
      </c>
      <c r="F683" s="9" t="n">
        <v>180</v>
      </c>
      <c r="G683" s="9" t="s">
        <v>61</v>
      </c>
      <c r="H683" s="14" t="n">
        <f aca="false">IFERROR(F683*VLOOKUP(E683,Insumos!$A:$G,7,FALSE()),0)</f>
        <v>9.36</v>
      </c>
      <c r="I683" s="15"/>
    </row>
    <row r="684" customFormat="false" ht="15" hidden="false" customHeight="false" outlineLevel="0" collapsed="false">
      <c r="A684" s="9" t="n">
        <v>46</v>
      </c>
      <c r="B684" s="9" t="s">
        <v>997</v>
      </c>
      <c r="C684" s="9" t="s">
        <v>396</v>
      </c>
      <c r="D684" s="9" t="s">
        <v>505</v>
      </c>
      <c r="E684" s="9" t="s">
        <v>66</v>
      </c>
      <c r="F684" s="9" t="n">
        <v>200</v>
      </c>
      <c r="G684" s="9" t="s">
        <v>61</v>
      </c>
      <c r="H684" s="14" t="n">
        <f aca="false">IFERROR(F684*VLOOKUP(E684,Insumos!$A:$G,7,FALSE()),0)</f>
        <v>12.4</v>
      </c>
      <c r="I684" s="15"/>
    </row>
    <row r="685" customFormat="false" ht="15" hidden="false" customHeight="false" outlineLevel="0" collapsed="false">
      <c r="A685" s="9" t="n">
        <v>46</v>
      </c>
      <c r="B685" s="9" t="s">
        <v>997</v>
      </c>
      <c r="C685" s="9" t="s">
        <v>396</v>
      </c>
      <c r="D685" s="9" t="s">
        <v>495</v>
      </c>
      <c r="E685" s="9" t="s">
        <v>107</v>
      </c>
      <c r="F685" s="9" t="n">
        <v>220</v>
      </c>
      <c r="G685" s="9" t="s">
        <v>61</v>
      </c>
      <c r="H685" s="14" t="n">
        <f aca="false">IFERROR(F685*VLOOKUP(E685,Insumos!$A:$G,7,FALSE()),0)</f>
        <v>5.72</v>
      </c>
      <c r="I685" s="15"/>
    </row>
    <row r="686" customFormat="false" ht="15" hidden="false" customHeight="false" outlineLevel="0" collapsed="false">
      <c r="A686" s="9" t="n">
        <v>46</v>
      </c>
      <c r="B686" s="9" t="s">
        <v>997</v>
      </c>
      <c r="C686" s="9" t="s">
        <v>396</v>
      </c>
      <c r="D686" s="9" t="s">
        <v>674</v>
      </c>
      <c r="E686" s="9" t="s">
        <v>172</v>
      </c>
      <c r="F686" s="9" t="n">
        <v>20</v>
      </c>
      <c r="G686" s="9" t="s">
        <v>61</v>
      </c>
      <c r="H686" s="14" t="n">
        <f aca="false">IFERROR(F686*VLOOKUP(E686,Insumos!$A:$G,7,FALSE()),0)</f>
        <v>8.5</v>
      </c>
      <c r="I686" s="15"/>
    </row>
    <row r="687" customFormat="false" ht="15" hidden="false" customHeight="false" outlineLevel="0" collapsed="false">
      <c r="A687" s="9" t="n">
        <v>46</v>
      </c>
      <c r="B687" s="9" t="s">
        <v>997</v>
      </c>
      <c r="C687" s="9" t="s">
        <v>396</v>
      </c>
      <c r="D687" s="9" t="s">
        <v>423</v>
      </c>
      <c r="E687" s="9" t="s">
        <v>114</v>
      </c>
      <c r="F687" s="9" t="n">
        <v>5</v>
      </c>
      <c r="G687" s="9" t="s">
        <v>61</v>
      </c>
      <c r="H687" s="14" t="n">
        <f aca="false">IFERROR(F687*VLOOKUP(E687,Insumos!$A:$G,7,FALSE()),0)</f>
        <v>0.68</v>
      </c>
      <c r="I687" s="15"/>
    </row>
    <row r="688" customFormat="false" ht="15" hidden="false" customHeight="false" outlineLevel="0" collapsed="false">
      <c r="A688" s="9" t="n">
        <v>46</v>
      </c>
      <c r="B688" s="9" t="s">
        <v>997</v>
      </c>
      <c r="C688" s="9" t="s">
        <v>396</v>
      </c>
      <c r="D688" s="9" t="s">
        <v>1008</v>
      </c>
      <c r="E688" s="9" t="s">
        <v>277</v>
      </c>
      <c r="F688" s="9" t="n">
        <v>2</v>
      </c>
      <c r="G688" s="9" t="s">
        <v>61</v>
      </c>
      <c r="H688" s="14" t="n">
        <f aca="false">IFERROR(F688*VLOOKUP(E688,Insumos!$A:$G,7,FALSE()),0)</f>
        <v>1.48</v>
      </c>
      <c r="I688" s="15"/>
    </row>
    <row r="689" customFormat="false" ht="15" hidden="false" customHeight="false" outlineLevel="0" collapsed="false">
      <c r="A689" s="9" t="n">
        <v>46</v>
      </c>
      <c r="B689" s="9" t="s">
        <v>997</v>
      </c>
      <c r="C689" s="9" t="s">
        <v>396</v>
      </c>
      <c r="D689" s="9" t="s">
        <v>1009</v>
      </c>
      <c r="E689" s="9" t="s">
        <v>283</v>
      </c>
      <c r="F689" s="9" t="n">
        <v>1</v>
      </c>
      <c r="G689" s="9" t="s">
        <v>61</v>
      </c>
      <c r="H689" s="14" t="n">
        <f aca="false">IFERROR(F689*VLOOKUP(E689,Insumos!$A:$G,7,FALSE()),0)</f>
        <v>0.352</v>
      </c>
      <c r="I689" s="15"/>
    </row>
    <row r="690" customFormat="false" ht="15" hidden="false" customHeight="false" outlineLevel="0" collapsed="false">
      <c r="A690" s="9" t="n">
        <v>46</v>
      </c>
      <c r="B690" s="9" t="s">
        <v>997</v>
      </c>
      <c r="C690" s="9" t="s">
        <v>396</v>
      </c>
      <c r="D690" s="9" t="s">
        <v>461</v>
      </c>
      <c r="E690" s="9" t="s">
        <v>118</v>
      </c>
      <c r="F690" s="9" t="n">
        <v>2</v>
      </c>
      <c r="G690" s="9" t="s">
        <v>61</v>
      </c>
      <c r="H690" s="14" t="n">
        <f aca="false">IFERROR(F690*VLOOKUP(E690,Insumos!$A:$G,7,FALSE()),0)</f>
        <v>0.032</v>
      </c>
      <c r="I690" s="15"/>
    </row>
    <row r="691" customFormat="false" ht="15" hidden="false" customHeight="false" outlineLevel="0" collapsed="false">
      <c r="A691" s="9" t="n">
        <v>46</v>
      </c>
      <c r="B691" s="9" t="s">
        <v>997</v>
      </c>
      <c r="C691" s="9" t="s">
        <v>396</v>
      </c>
      <c r="D691" s="9" t="s">
        <v>1010</v>
      </c>
      <c r="E691" s="9" t="s">
        <v>297</v>
      </c>
      <c r="F691" s="9" t="n">
        <v>0</v>
      </c>
      <c r="G691" s="9" t="s">
        <v>61</v>
      </c>
      <c r="H691" s="14" t="n">
        <f aca="false">IFERROR(F691*VLOOKUP(E691,Insumos!$A:$G,7,FALSE()),0)</f>
        <v>0</v>
      </c>
      <c r="I691" s="16" t="s">
        <v>1011</v>
      </c>
    </row>
    <row r="692" customFormat="false" ht="15" hidden="false" customHeight="false" outlineLevel="0" collapsed="false">
      <c r="A692" s="9" t="n">
        <v>46</v>
      </c>
      <c r="B692" s="9" t="s">
        <v>997</v>
      </c>
      <c r="C692" s="9" t="s">
        <v>1012</v>
      </c>
      <c r="D692" s="9" t="s">
        <v>1013</v>
      </c>
      <c r="E692" s="9" t="s">
        <v>160</v>
      </c>
      <c r="F692" s="9" t="n">
        <v>90</v>
      </c>
      <c r="G692" s="9" t="s">
        <v>61</v>
      </c>
      <c r="H692" s="14" t="n">
        <f aca="false">IFERROR(F692*VLOOKUP(E692,Insumos!$A:$G,7,FALSE()),0)</f>
        <v>32.85</v>
      </c>
      <c r="I692" s="15"/>
    </row>
    <row r="693" customFormat="false" ht="15" hidden="false" customHeight="false" outlineLevel="0" collapsed="false">
      <c r="A693" s="9" t="n">
        <v>46</v>
      </c>
      <c r="B693" s="9" t="s">
        <v>997</v>
      </c>
      <c r="C693" s="9" t="s">
        <v>1012</v>
      </c>
      <c r="D693" s="9" t="s">
        <v>1014</v>
      </c>
      <c r="E693" s="9" t="s">
        <v>75</v>
      </c>
      <c r="F693" s="9" t="n">
        <v>35</v>
      </c>
      <c r="G693" s="9" t="s">
        <v>74</v>
      </c>
      <c r="H693" s="14" t="n">
        <f aca="false">IFERROR(F693*VLOOKUP(E693,Insumos!$A:$G,7,FALSE()),0)</f>
        <v>4.13</v>
      </c>
      <c r="I693" s="15"/>
    </row>
    <row r="694" customFormat="false" ht="15" hidden="false" customHeight="false" outlineLevel="0" collapsed="false">
      <c r="A694" s="9" t="n">
        <v>46</v>
      </c>
      <c r="B694" s="9" t="s">
        <v>997</v>
      </c>
      <c r="C694" s="9" t="s">
        <v>1012</v>
      </c>
      <c r="D694" s="9" t="s">
        <v>489</v>
      </c>
      <c r="E694" s="9" t="s">
        <v>58</v>
      </c>
      <c r="F694" s="9" t="n">
        <v>10</v>
      </c>
      <c r="G694" s="9" t="s">
        <v>61</v>
      </c>
      <c r="H694" s="14" t="n">
        <f aca="false">IFERROR(F694*VLOOKUP(E694,Insumos!$A:$G,7,FALSE()),0)</f>
        <v>2.45</v>
      </c>
      <c r="I694" s="15"/>
    </row>
    <row r="695" customFormat="false" ht="15" hidden="false" customHeight="false" outlineLevel="0" collapsed="false">
      <c r="A695" s="9" t="n">
        <v>47</v>
      </c>
      <c r="B695" s="9" t="s">
        <v>1015</v>
      </c>
      <c r="C695" s="9" t="s">
        <v>396</v>
      </c>
      <c r="D695" s="9" t="s">
        <v>454</v>
      </c>
      <c r="E695" s="9" t="s">
        <v>58</v>
      </c>
      <c r="F695" s="9" t="n">
        <v>180</v>
      </c>
      <c r="G695" s="9" t="s">
        <v>61</v>
      </c>
      <c r="H695" s="14" t="n">
        <f aca="false">IFERROR(F695*VLOOKUP(E695,Insumos!$A:$G,7,FALSE()),0)</f>
        <v>44.1</v>
      </c>
      <c r="I695" s="15"/>
    </row>
    <row r="696" customFormat="false" ht="15" hidden="false" customHeight="false" outlineLevel="0" collapsed="false">
      <c r="A696" s="9" t="n">
        <v>47</v>
      </c>
      <c r="B696" s="9" t="s">
        <v>1015</v>
      </c>
      <c r="C696" s="9" t="s">
        <v>396</v>
      </c>
      <c r="D696" s="9" t="s">
        <v>607</v>
      </c>
      <c r="E696" s="9" t="s">
        <v>126</v>
      </c>
      <c r="F696" s="9" t="n">
        <v>190</v>
      </c>
      <c r="G696" s="9" t="s">
        <v>61</v>
      </c>
      <c r="H696" s="14" t="n">
        <f aca="false">IFERROR(F696*VLOOKUP(E696,Insumos!$A:$G,7,FALSE()),0)</f>
        <v>5.32</v>
      </c>
      <c r="I696" s="15"/>
    </row>
    <row r="697" customFormat="false" ht="15" hidden="false" customHeight="false" outlineLevel="0" collapsed="false">
      <c r="A697" s="9" t="n">
        <v>47</v>
      </c>
      <c r="B697" s="9" t="s">
        <v>1015</v>
      </c>
      <c r="C697" s="9" t="s">
        <v>396</v>
      </c>
      <c r="D697" s="9" t="s">
        <v>1016</v>
      </c>
      <c r="E697" s="9" t="s">
        <v>219</v>
      </c>
      <c r="F697" s="9" t="n">
        <v>100</v>
      </c>
      <c r="G697" s="9" t="s">
        <v>61</v>
      </c>
      <c r="H697" s="14" t="n">
        <f aca="false">IFERROR(F697*VLOOKUP(E697,Insumos!$A:$G,7,FALSE()),0)</f>
        <v>2.6</v>
      </c>
      <c r="I697" s="16" t="s">
        <v>564</v>
      </c>
    </row>
    <row r="698" customFormat="false" ht="15" hidden="false" customHeight="false" outlineLevel="0" collapsed="false">
      <c r="A698" s="9" t="n">
        <v>47</v>
      </c>
      <c r="B698" s="9" t="s">
        <v>1015</v>
      </c>
      <c r="C698" s="9" t="s">
        <v>396</v>
      </c>
      <c r="D698" s="9" t="s">
        <v>435</v>
      </c>
      <c r="E698" s="9" t="s">
        <v>66</v>
      </c>
      <c r="F698" s="9" t="n">
        <v>200</v>
      </c>
      <c r="G698" s="9" t="s">
        <v>61</v>
      </c>
      <c r="H698" s="14" t="n">
        <f aca="false">IFERROR(F698*VLOOKUP(E698,Insumos!$A:$G,7,FALSE()),0)</f>
        <v>12.4</v>
      </c>
      <c r="I698" s="15"/>
    </row>
    <row r="699" customFormat="false" ht="15" hidden="false" customHeight="false" outlineLevel="0" collapsed="false">
      <c r="A699" s="9" t="n">
        <v>47</v>
      </c>
      <c r="B699" s="9" t="s">
        <v>1015</v>
      </c>
      <c r="C699" s="9" t="s">
        <v>396</v>
      </c>
      <c r="D699" s="9" t="s">
        <v>566</v>
      </c>
      <c r="E699" s="9" t="s">
        <v>107</v>
      </c>
      <c r="F699" s="9" t="n">
        <v>230</v>
      </c>
      <c r="G699" s="9" t="s">
        <v>61</v>
      </c>
      <c r="H699" s="14" t="n">
        <f aca="false">IFERROR(F699*VLOOKUP(E699,Insumos!$A:$G,7,FALSE()),0)</f>
        <v>5.98</v>
      </c>
      <c r="I699" s="15"/>
    </row>
    <row r="700" customFormat="false" ht="15" hidden="false" customHeight="false" outlineLevel="0" collapsed="false">
      <c r="A700" s="9" t="n">
        <v>47</v>
      </c>
      <c r="B700" s="9" t="s">
        <v>1015</v>
      </c>
      <c r="C700" s="9" t="s">
        <v>396</v>
      </c>
      <c r="D700" s="9" t="s">
        <v>861</v>
      </c>
      <c r="E700" s="9" t="s">
        <v>112</v>
      </c>
      <c r="F700" s="9" t="n">
        <v>20</v>
      </c>
      <c r="G700" s="9" t="s">
        <v>61</v>
      </c>
      <c r="H700" s="14" t="n">
        <f aca="false">IFERROR(F700*VLOOKUP(E700,Insumos!$A:$G,7,FALSE()),0)</f>
        <v>1.28</v>
      </c>
      <c r="I700" s="15"/>
    </row>
    <row r="701" customFormat="false" ht="15" hidden="false" customHeight="false" outlineLevel="0" collapsed="false">
      <c r="A701" s="9" t="n">
        <v>47</v>
      </c>
      <c r="B701" s="9" t="s">
        <v>1015</v>
      </c>
      <c r="C701" s="9" t="s">
        <v>396</v>
      </c>
      <c r="D701" s="9" t="s">
        <v>423</v>
      </c>
      <c r="E701" s="9" t="s">
        <v>114</v>
      </c>
      <c r="F701" s="9" t="n">
        <v>5</v>
      </c>
      <c r="G701" s="9" t="s">
        <v>61</v>
      </c>
      <c r="H701" s="14" t="n">
        <f aca="false">IFERROR(F701*VLOOKUP(E701,Insumos!$A:$G,7,FALSE()),0)</f>
        <v>0.68</v>
      </c>
      <c r="I701" s="15"/>
    </row>
    <row r="702" customFormat="false" ht="15" hidden="false" customHeight="false" outlineLevel="0" collapsed="false">
      <c r="A702" s="9" t="n">
        <v>47</v>
      </c>
      <c r="B702" s="9" t="s">
        <v>1015</v>
      </c>
      <c r="C702" s="9" t="s">
        <v>396</v>
      </c>
      <c r="D702" s="9" t="s">
        <v>461</v>
      </c>
      <c r="E702" s="9" t="s">
        <v>118</v>
      </c>
      <c r="F702" s="9" t="n">
        <v>2</v>
      </c>
      <c r="G702" s="9" t="s">
        <v>61</v>
      </c>
      <c r="H702" s="14" t="n">
        <f aca="false">IFERROR(F702*VLOOKUP(E702,Insumos!$A:$G,7,FALSE()),0)</f>
        <v>0.032</v>
      </c>
      <c r="I702" s="15"/>
    </row>
    <row r="703" customFormat="false" ht="15" hidden="false" customHeight="false" outlineLevel="0" collapsed="false">
      <c r="A703" s="9" t="n">
        <v>47</v>
      </c>
      <c r="B703" s="9" t="s">
        <v>1015</v>
      </c>
      <c r="C703" s="9" t="s">
        <v>396</v>
      </c>
      <c r="D703" s="9" t="s">
        <v>1017</v>
      </c>
      <c r="E703" s="9" t="s">
        <v>330</v>
      </c>
      <c r="F703" s="9" t="n">
        <v>35</v>
      </c>
      <c r="G703" s="9" t="s">
        <v>74</v>
      </c>
      <c r="H703" s="14" t="n">
        <f aca="false">IFERROR(F703*VLOOKUP(E703,Insumos!$A:$G,7,FALSE()),0)</f>
        <v>24.2666666666667</v>
      </c>
      <c r="I703" s="15"/>
    </row>
    <row r="704" customFormat="false" ht="15" hidden="false" customHeight="false" outlineLevel="0" collapsed="false">
      <c r="A704" s="9" t="n">
        <v>47</v>
      </c>
      <c r="B704" s="9" t="s">
        <v>1015</v>
      </c>
      <c r="C704" s="9" t="s">
        <v>396</v>
      </c>
      <c r="D704" s="9" t="s">
        <v>1018</v>
      </c>
      <c r="E704" s="9" t="s">
        <v>219</v>
      </c>
      <c r="F704" s="9" t="n">
        <v>35</v>
      </c>
      <c r="G704" s="9" t="s">
        <v>74</v>
      </c>
      <c r="H704" s="14" t="n">
        <f aca="false">IFERROR(F704*VLOOKUP(E704,Insumos!$A:$G,7,FALSE()),0)</f>
        <v>0.91</v>
      </c>
      <c r="I704" s="15"/>
    </row>
    <row r="705" customFormat="false" ht="15" hidden="false" customHeight="false" outlineLevel="0" collapsed="false">
      <c r="A705" s="9" t="n">
        <v>47</v>
      </c>
      <c r="B705" s="9" t="s">
        <v>1015</v>
      </c>
      <c r="C705" s="9" t="s">
        <v>1019</v>
      </c>
      <c r="D705" s="9" t="s">
        <v>1020</v>
      </c>
      <c r="E705" s="9" t="s">
        <v>219</v>
      </c>
      <c r="F705" s="9" t="n">
        <v>50</v>
      </c>
      <c r="G705" s="9" t="s">
        <v>74</v>
      </c>
      <c r="H705" s="14" t="n">
        <f aca="false">IFERROR(F705*VLOOKUP(E705,Insumos!$A:$G,7,FALSE()),0)</f>
        <v>1.3</v>
      </c>
      <c r="I705" s="15"/>
    </row>
    <row r="706" customFormat="false" ht="15" hidden="false" customHeight="false" outlineLevel="0" collapsed="false">
      <c r="A706" s="9" t="n">
        <v>47</v>
      </c>
      <c r="B706" s="9" t="s">
        <v>1015</v>
      </c>
      <c r="C706" s="9" t="s">
        <v>1019</v>
      </c>
      <c r="D706" s="9" t="s">
        <v>650</v>
      </c>
      <c r="E706" s="9" t="s">
        <v>126</v>
      </c>
      <c r="F706" s="9" t="n">
        <v>35</v>
      </c>
      <c r="G706" s="9" t="s">
        <v>61</v>
      </c>
      <c r="H706" s="14" t="n">
        <f aca="false">IFERROR(F706*VLOOKUP(E706,Insumos!$A:$G,7,FALSE()),0)</f>
        <v>0.98</v>
      </c>
      <c r="I706" s="15"/>
    </row>
    <row r="707" customFormat="false" ht="15" hidden="false" customHeight="false" outlineLevel="0" collapsed="false">
      <c r="A707" s="9" t="n">
        <v>47</v>
      </c>
      <c r="B707" s="9" t="s">
        <v>1015</v>
      </c>
      <c r="C707" s="9" t="s">
        <v>1019</v>
      </c>
      <c r="D707" s="9" t="s">
        <v>1021</v>
      </c>
      <c r="E707" s="9" t="s">
        <v>330</v>
      </c>
      <c r="F707" s="9" t="n">
        <v>25</v>
      </c>
      <c r="G707" s="9" t="s">
        <v>74</v>
      </c>
      <c r="H707" s="14" t="n">
        <f aca="false">IFERROR(F707*VLOOKUP(E707,Insumos!$A:$G,7,FALSE()),0)</f>
        <v>17.3333333333333</v>
      </c>
      <c r="I707" s="15"/>
    </row>
    <row r="708" customFormat="false" ht="15" hidden="false" customHeight="false" outlineLevel="0" collapsed="false">
      <c r="A708" s="9" t="n">
        <v>47</v>
      </c>
      <c r="B708" s="9" t="s">
        <v>1015</v>
      </c>
      <c r="C708" s="9" t="s">
        <v>1022</v>
      </c>
      <c r="D708" s="9" t="s">
        <v>603</v>
      </c>
      <c r="E708" s="9" t="s">
        <v>126</v>
      </c>
      <c r="F708" s="9" t="n">
        <v>25</v>
      </c>
      <c r="G708" s="9" t="s">
        <v>61</v>
      </c>
      <c r="H708" s="14" t="n">
        <f aca="false">IFERROR(F708*VLOOKUP(E708,Insumos!$A:$G,7,FALSE()),0)</f>
        <v>0.7</v>
      </c>
      <c r="I708" s="15"/>
    </row>
    <row r="709" customFormat="false" ht="15" hidden="false" customHeight="false" outlineLevel="0" collapsed="false">
      <c r="A709" s="9" t="n">
        <v>47</v>
      </c>
      <c r="B709" s="9" t="s">
        <v>1015</v>
      </c>
      <c r="C709" s="9" t="s">
        <v>1022</v>
      </c>
      <c r="D709" s="9" t="s">
        <v>1023</v>
      </c>
      <c r="E709" s="9" t="s">
        <v>124</v>
      </c>
      <c r="F709" s="9" t="n">
        <v>3</v>
      </c>
      <c r="G709" s="9" t="s">
        <v>61</v>
      </c>
      <c r="H709" s="14" t="n">
        <f aca="false">IFERROR(F709*VLOOKUP(E709,Insumos!$A:$G,7,FALSE()),0)</f>
        <v>4.35</v>
      </c>
      <c r="I709" s="15"/>
    </row>
    <row r="710" customFormat="false" ht="15" hidden="false" customHeight="false" outlineLevel="0" collapsed="false">
      <c r="A710" s="9" t="n">
        <v>47</v>
      </c>
      <c r="B710" s="9" t="s">
        <v>1015</v>
      </c>
      <c r="C710" s="9" t="s">
        <v>1022</v>
      </c>
      <c r="D710" s="9" t="s">
        <v>1024</v>
      </c>
      <c r="E710" s="9" t="s">
        <v>219</v>
      </c>
      <c r="F710" s="9" t="n">
        <v>25</v>
      </c>
      <c r="G710" s="9" t="s">
        <v>61</v>
      </c>
      <c r="H710" s="14" t="n">
        <f aca="false">IFERROR(F710*VLOOKUP(E710,Insumos!$A:$G,7,FALSE()),0)</f>
        <v>0.65</v>
      </c>
      <c r="I710" s="16" t="s">
        <v>1025</v>
      </c>
    </row>
    <row r="711" customFormat="false" ht="15" hidden="false" customHeight="false" outlineLevel="0" collapsed="false">
      <c r="A711" s="9" t="n">
        <v>48</v>
      </c>
      <c r="B711" s="9" t="s">
        <v>1026</v>
      </c>
      <c r="C711" s="9" t="s">
        <v>396</v>
      </c>
      <c r="D711" s="9" t="s">
        <v>605</v>
      </c>
      <c r="E711" s="9" t="s">
        <v>58</v>
      </c>
      <c r="F711" s="9" t="n">
        <v>160</v>
      </c>
      <c r="G711" s="9" t="s">
        <v>61</v>
      </c>
      <c r="H711" s="14" t="n">
        <f aca="false">IFERROR(F711*VLOOKUP(E711,Insumos!$A:$G,7,FALSE()),0)</f>
        <v>39.2</v>
      </c>
      <c r="I711" s="15"/>
    </row>
    <row r="712" customFormat="false" ht="15" hidden="false" customHeight="false" outlineLevel="0" collapsed="false">
      <c r="A712" s="9" t="n">
        <v>48</v>
      </c>
      <c r="B712" s="9" t="s">
        <v>1026</v>
      </c>
      <c r="C712" s="9" t="s">
        <v>396</v>
      </c>
      <c r="D712" s="9" t="s">
        <v>1027</v>
      </c>
      <c r="E712" s="9" t="s">
        <v>153</v>
      </c>
      <c r="F712" s="9" t="n">
        <v>80</v>
      </c>
      <c r="G712" s="9" t="s">
        <v>61</v>
      </c>
      <c r="H712" s="14" t="n">
        <f aca="false">IFERROR(F712*VLOOKUP(E712,Insumos!$A:$G,7,FALSE()),0)</f>
        <v>30.8</v>
      </c>
      <c r="I712" s="15"/>
    </row>
    <row r="713" customFormat="false" ht="15" hidden="false" customHeight="false" outlineLevel="0" collapsed="false">
      <c r="A713" s="9" t="n">
        <v>48</v>
      </c>
      <c r="B713" s="9" t="s">
        <v>1026</v>
      </c>
      <c r="C713" s="9" t="s">
        <v>396</v>
      </c>
      <c r="D713" s="9" t="s">
        <v>493</v>
      </c>
      <c r="E713" s="9" t="s">
        <v>133</v>
      </c>
      <c r="F713" s="9" t="n">
        <v>180</v>
      </c>
      <c r="G713" s="9" t="s">
        <v>61</v>
      </c>
      <c r="H713" s="14" t="n">
        <f aca="false">IFERROR(F713*VLOOKUP(E713,Insumos!$A:$G,7,FALSE()),0)</f>
        <v>9.36</v>
      </c>
      <c r="I713" s="15"/>
    </row>
    <row r="714" customFormat="false" ht="15" hidden="false" customHeight="false" outlineLevel="0" collapsed="false">
      <c r="A714" s="9" t="n">
        <v>48</v>
      </c>
      <c r="B714" s="9" t="s">
        <v>1026</v>
      </c>
      <c r="C714" s="9" t="s">
        <v>396</v>
      </c>
      <c r="D714" s="9" t="s">
        <v>505</v>
      </c>
      <c r="E714" s="9" t="s">
        <v>66</v>
      </c>
      <c r="F714" s="9" t="n">
        <v>200</v>
      </c>
      <c r="G714" s="9" t="s">
        <v>61</v>
      </c>
      <c r="H714" s="14" t="n">
        <f aca="false">IFERROR(F714*VLOOKUP(E714,Insumos!$A:$G,7,FALSE()),0)</f>
        <v>12.4</v>
      </c>
      <c r="I714" s="15"/>
    </row>
    <row r="715" customFormat="false" ht="15" hidden="false" customHeight="false" outlineLevel="0" collapsed="false">
      <c r="A715" s="9" t="n">
        <v>48</v>
      </c>
      <c r="B715" s="9" t="s">
        <v>1026</v>
      </c>
      <c r="C715" s="9" t="s">
        <v>396</v>
      </c>
      <c r="D715" s="9" t="s">
        <v>421</v>
      </c>
      <c r="E715" s="9" t="s">
        <v>107</v>
      </c>
      <c r="F715" s="9" t="n">
        <v>200</v>
      </c>
      <c r="G715" s="9" t="s">
        <v>61</v>
      </c>
      <c r="H715" s="14" t="n">
        <f aca="false">IFERROR(F715*VLOOKUP(E715,Insumos!$A:$G,7,FALSE()),0)</f>
        <v>5.2</v>
      </c>
      <c r="I715" s="15"/>
    </row>
    <row r="716" customFormat="false" ht="15" hidden="false" customHeight="false" outlineLevel="0" collapsed="false">
      <c r="A716" s="9" t="n">
        <v>48</v>
      </c>
      <c r="B716" s="9" t="s">
        <v>1026</v>
      </c>
      <c r="C716" s="9" t="s">
        <v>396</v>
      </c>
      <c r="D716" s="9" t="s">
        <v>789</v>
      </c>
      <c r="E716" s="9" t="s">
        <v>164</v>
      </c>
      <c r="F716" s="9" t="n">
        <v>25</v>
      </c>
      <c r="G716" s="9" t="s">
        <v>61</v>
      </c>
      <c r="H716" s="14" t="n">
        <f aca="false">IFERROR(F716*VLOOKUP(E716,Insumos!$A:$G,7,FALSE()),0)</f>
        <v>7.125</v>
      </c>
      <c r="I716" s="15"/>
    </row>
    <row r="717" customFormat="false" ht="15" hidden="false" customHeight="false" outlineLevel="0" collapsed="false">
      <c r="A717" s="9" t="n">
        <v>48</v>
      </c>
      <c r="B717" s="9" t="s">
        <v>1026</v>
      </c>
      <c r="C717" s="9" t="s">
        <v>396</v>
      </c>
      <c r="D717" s="9" t="s">
        <v>507</v>
      </c>
      <c r="E717" s="9" t="s">
        <v>281</v>
      </c>
      <c r="F717" s="9" t="n">
        <v>4</v>
      </c>
      <c r="G717" s="9" t="s">
        <v>61</v>
      </c>
      <c r="H717" s="14" t="n">
        <f aca="false">IFERROR(F717*VLOOKUP(E717,Insumos!$A:$G,7,FALSE()),0)</f>
        <v>6.6</v>
      </c>
      <c r="I717" s="15"/>
    </row>
    <row r="718" customFormat="false" ht="15" hidden="false" customHeight="false" outlineLevel="0" collapsed="false">
      <c r="A718" s="9" t="n">
        <v>48</v>
      </c>
      <c r="B718" s="9" t="s">
        <v>1026</v>
      </c>
      <c r="C718" s="9" t="s">
        <v>396</v>
      </c>
      <c r="D718" s="9" t="s">
        <v>423</v>
      </c>
      <c r="E718" s="9" t="s">
        <v>114</v>
      </c>
      <c r="F718" s="9" t="n">
        <v>5</v>
      </c>
      <c r="G718" s="9" t="s">
        <v>61</v>
      </c>
      <c r="H718" s="14" t="n">
        <f aca="false">IFERROR(F718*VLOOKUP(E718,Insumos!$A:$G,7,FALSE()),0)</f>
        <v>0.68</v>
      </c>
      <c r="I718" s="15"/>
    </row>
    <row r="719" customFormat="false" ht="15" hidden="false" customHeight="false" outlineLevel="0" collapsed="false">
      <c r="A719" s="9" t="n">
        <v>48</v>
      </c>
      <c r="B719" s="9" t="s">
        <v>1026</v>
      </c>
      <c r="C719" s="9" t="s">
        <v>396</v>
      </c>
      <c r="D719" s="9" t="s">
        <v>461</v>
      </c>
      <c r="E719" s="9" t="s">
        <v>118</v>
      </c>
      <c r="F719" s="9" t="n">
        <v>2</v>
      </c>
      <c r="G719" s="9" t="s">
        <v>61</v>
      </c>
      <c r="H719" s="14" t="n">
        <f aca="false">IFERROR(F719*VLOOKUP(E719,Insumos!$A:$G,7,FALSE()),0)</f>
        <v>0.032</v>
      </c>
      <c r="I719" s="15"/>
    </row>
    <row r="720" customFormat="false" ht="15" hidden="false" customHeight="false" outlineLevel="0" collapsed="false">
      <c r="A720" s="9" t="n">
        <v>48</v>
      </c>
      <c r="B720" s="9" t="s">
        <v>1026</v>
      </c>
      <c r="C720" s="9" t="s">
        <v>396</v>
      </c>
      <c r="D720" s="9" t="s">
        <v>1028</v>
      </c>
      <c r="E720" s="9" t="s">
        <v>299</v>
      </c>
      <c r="F720" s="9" t="n">
        <v>16</v>
      </c>
      <c r="G720" s="9" t="s">
        <v>61</v>
      </c>
      <c r="H720" s="14" t="n">
        <f aca="false">IFERROR(F720*VLOOKUP(E720,Insumos!$A:$G,7,FALSE()),0)</f>
        <v>6.16</v>
      </c>
      <c r="I720" s="16" t="s">
        <v>685</v>
      </c>
    </row>
    <row r="721" customFormat="false" ht="15" hidden="false" customHeight="false" outlineLevel="0" collapsed="false">
      <c r="A721" s="9" t="n">
        <v>48</v>
      </c>
      <c r="B721" s="9" t="s">
        <v>1026</v>
      </c>
      <c r="C721" s="9" t="s">
        <v>396</v>
      </c>
      <c r="D721" s="9" t="s">
        <v>664</v>
      </c>
      <c r="E721" s="9" t="s">
        <v>75</v>
      </c>
      <c r="F721" s="9" t="n">
        <v>30</v>
      </c>
      <c r="G721" s="9" t="s">
        <v>74</v>
      </c>
      <c r="H721" s="14" t="n">
        <f aca="false">IFERROR(F721*VLOOKUP(E721,Insumos!$A:$G,7,FALSE()),0)</f>
        <v>3.54</v>
      </c>
      <c r="I721" s="15"/>
    </row>
    <row r="722" customFormat="false" ht="15" hidden="false" customHeight="false" outlineLevel="0" collapsed="false">
      <c r="A722" s="9" t="n">
        <v>48</v>
      </c>
      <c r="B722" s="9" t="s">
        <v>1026</v>
      </c>
      <c r="C722" s="9" t="s">
        <v>1029</v>
      </c>
      <c r="D722" s="9" t="s">
        <v>1030</v>
      </c>
      <c r="E722" s="9" t="s">
        <v>299</v>
      </c>
      <c r="F722" s="9" t="n">
        <v>20</v>
      </c>
      <c r="G722" s="9" t="s">
        <v>61</v>
      </c>
      <c r="H722" s="14" t="n">
        <f aca="false">IFERROR(F722*VLOOKUP(E722,Insumos!$A:$G,7,FALSE()),0)</f>
        <v>7.7</v>
      </c>
      <c r="I722" s="16" t="s">
        <v>685</v>
      </c>
    </row>
    <row r="723" customFormat="false" ht="15" hidden="false" customHeight="false" outlineLevel="0" collapsed="false">
      <c r="A723" s="9" t="n">
        <v>48</v>
      </c>
      <c r="B723" s="9" t="s">
        <v>1026</v>
      </c>
      <c r="C723" s="9" t="s">
        <v>1029</v>
      </c>
      <c r="D723" s="9" t="s">
        <v>1031</v>
      </c>
      <c r="E723" s="9" t="s">
        <v>133</v>
      </c>
      <c r="F723" s="9" t="n">
        <v>30</v>
      </c>
      <c r="G723" s="9" t="s">
        <v>61</v>
      </c>
      <c r="H723" s="14" t="n">
        <f aca="false">IFERROR(F723*VLOOKUP(E723,Insumos!$A:$G,7,FALSE()),0)</f>
        <v>1.56</v>
      </c>
      <c r="I723" s="15"/>
    </row>
    <row r="724" customFormat="false" ht="15" hidden="false" customHeight="false" outlineLevel="0" collapsed="false">
      <c r="A724" s="9" t="n">
        <v>48</v>
      </c>
      <c r="B724" s="9" t="s">
        <v>1026</v>
      </c>
      <c r="C724" s="9" t="s">
        <v>573</v>
      </c>
      <c r="D724" s="9" t="s">
        <v>574</v>
      </c>
      <c r="E724" s="9" t="s">
        <v>131</v>
      </c>
      <c r="F724" s="9" t="n">
        <v>70</v>
      </c>
      <c r="G724" s="9" t="s">
        <v>61</v>
      </c>
      <c r="H724" s="14" t="n">
        <f aca="false">IFERROR(F724*VLOOKUP(E724,Insumos!$A:$G,7,FALSE()),0)</f>
        <v>2.94</v>
      </c>
      <c r="I724" s="15"/>
    </row>
    <row r="725" customFormat="false" ht="15" hidden="false" customHeight="false" outlineLevel="0" collapsed="false">
      <c r="A725" s="9" t="n">
        <v>48</v>
      </c>
      <c r="B725" s="9" t="s">
        <v>1026</v>
      </c>
      <c r="C725" s="9" t="s">
        <v>573</v>
      </c>
      <c r="D725" s="9" t="s">
        <v>1032</v>
      </c>
      <c r="E725" s="9" t="s">
        <v>164</v>
      </c>
      <c r="F725" s="9" t="n">
        <v>10</v>
      </c>
      <c r="G725" s="9" t="s">
        <v>61</v>
      </c>
      <c r="H725" s="14" t="n">
        <f aca="false">IFERROR(F725*VLOOKUP(E725,Insumos!$A:$G,7,FALSE()),0)</f>
        <v>2.85</v>
      </c>
      <c r="I725" s="15"/>
    </row>
    <row r="726" customFormat="false" ht="15" hidden="false" customHeight="false" outlineLevel="0" collapsed="false">
      <c r="A726" s="9" t="n">
        <v>48</v>
      </c>
      <c r="B726" s="9" t="s">
        <v>1026</v>
      </c>
      <c r="C726" s="9" t="s">
        <v>573</v>
      </c>
      <c r="D726" s="9" t="s">
        <v>1033</v>
      </c>
      <c r="E726" s="9" t="s">
        <v>299</v>
      </c>
      <c r="F726" s="9" t="n">
        <v>6</v>
      </c>
      <c r="G726" s="9" t="s">
        <v>61</v>
      </c>
      <c r="H726" s="14" t="n">
        <f aca="false">IFERROR(F726*VLOOKUP(E726,Insumos!$A:$G,7,FALSE()),0)</f>
        <v>2.31</v>
      </c>
      <c r="I726" s="16" t="s">
        <v>685</v>
      </c>
    </row>
    <row r="727" customFormat="false" ht="15" hidden="false" customHeight="false" outlineLevel="0" collapsed="false">
      <c r="A727" s="9" t="n">
        <v>48</v>
      </c>
      <c r="B727" s="9" t="s">
        <v>1026</v>
      </c>
      <c r="C727" s="9" t="s">
        <v>573</v>
      </c>
      <c r="D727" s="9" t="s">
        <v>1034</v>
      </c>
      <c r="E727" s="9" t="s">
        <v>166</v>
      </c>
      <c r="F727" s="9" t="n">
        <v>15</v>
      </c>
      <c r="G727" s="9" t="s">
        <v>61</v>
      </c>
      <c r="H727" s="14" t="n">
        <f aca="false">IFERROR(F727*VLOOKUP(E727,Insumos!$A:$G,7,FALSE()),0)</f>
        <v>9.9</v>
      </c>
      <c r="I727" s="15"/>
    </row>
    <row r="728" customFormat="false" ht="15" hidden="false" customHeight="false" outlineLevel="0" collapsed="false">
      <c r="A728" s="9" t="n">
        <v>49</v>
      </c>
      <c r="B728" s="9" t="s">
        <v>1035</v>
      </c>
      <c r="C728" s="9" t="s">
        <v>1036</v>
      </c>
      <c r="D728" s="9" t="s">
        <v>523</v>
      </c>
      <c r="E728" s="9" t="s">
        <v>58</v>
      </c>
      <c r="F728" s="9" t="n">
        <v>140</v>
      </c>
      <c r="G728" s="9" t="s">
        <v>61</v>
      </c>
      <c r="H728" s="14" t="n">
        <f aca="false">IFERROR(F728*VLOOKUP(E728,Insumos!$A:$G,7,FALSE()),0)</f>
        <v>34.3</v>
      </c>
      <c r="I728" s="15"/>
    </row>
    <row r="729" customFormat="false" ht="15" hidden="false" customHeight="false" outlineLevel="0" collapsed="false">
      <c r="A729" s="9" t="n">
        <v>49</v>
      </c>
      <c r="B729" s="9" t="s">
        <v>1035</v>
      </c>
      <c r="C729" s="9" t="s">
        <v>1036</v>
      </c>
      <c r="D729" s="9" t="s">
        <v>449</v>
      </c>
      <c r="E729" s="9" t="s">
        <v>126</v>
      </c>
      <c r="F729" s="9" t="n">
        <v>100</v>
      </c>
      <c r="G729" s="9" t="s">
        <v>61</v>
      </c>
      <c r="H729" s="14" t="n">
        <f aca="false">IFERROR(F729*VLOOKUP(E729,Insumos!$A:$G,7,FALSE()),0)</f>
        <v>2.8</v>
      </c>
      <c r="I729" s="15"/>
    </row>
    <row r="730" customFormat="false" ht="15" hidden="false" customHeight="false" outlineLevel="0" collapsed="false">
      <c r="A730" s="9" t="n">
        <v>49</v>
      </c>
      <c r="B730" s="9" t="s">
        <v>1035</v>
      </c>
      <c r="C730" s="9" t="s">
        <v>1036</v>
      </c>
      <c r="D730" s="9" t="s">
        <v>1037</v>
      </c>
      <c r="E730" s="9" t="s">
        <v>91</v>
      </c>
      <c r="F730" s="9" t="n">
        <v>80</v>
      </c>
      <c r="G730" s="9" t="s">
        <v>61</v>
      </c>
      <c r="H730" s="14" t="n">
        <f aca="false">IFERROR(F730*VLOOKUP(E730,Insumos!$A:$G,7,FALSE()),0)</f>
        <v>7.02842377260982</v>
      </c>
      <c r="I730" s="15"/>
    </row>
    <row r="731" customFormat="false" ht="15" hidden="false" customHeight="false" outlineLevel="0" collapsed="false">
      <c r="A731" s="9" t="n">
        <v>49</v>
      </c>
      <c r="B731" s="9" t="s">
        <v>1035</v>
      </c>
      <c r="C731" s="9" t="s">
        <v>1036</v>
      </c>
      <c r="D731" s="9" t="s">
        <v>1038</v>
      </c>
      <c r="E731" s="9" t="s">
        <v>66</v>
      </c>
      <c r="F731" s="9" t="n">
        <v>200</v>
      </c>
      <c r="G731" s="9" t="s">
        <v>61</v>
      </c>
      <c r="H731" s="14" t="n">
        <f aca="false">IFERROR(F731*VLOOKUP(E731,Insumos!$A:$G,7,FALSE()),0)</f>
        <v>12.4</v>
      </c>
      <c r="I731" s="15"/>
    </row>
    <row r="732" customFormat="false" ht="15" hidden="false" customHeight="false" outlineLevel="0" collapsed="false">
      <c r="A732" s="9" t="n">
        <v>49</v>
      </c>
      <c r="B732" s="9" t="s">
        <v>1035</v>
      </c>
      <c r="C732" s="9" t="s">
        <v>1036</v>
      </c>
      <c r="D732" s="9" t="s">
        <v>495</v>
      </c>
      <c r="E732" s="9" t="s">
        <v>107</v>
      </c>
      <c r="F732" s="9" t="n">
        <v>220</v>
      </c>
      <c r="G732" s="9" t="s">
        <v>61</v>
      </c>
      <c r="H732" s="14" t="n">
        <f aca="false">IFERROR(F732*VLOOKUP(E732,Insumos!$A:$G,7,FALSE()),0)</f>
        <v>5.72</v>
      </c>
      <c r="I732" s="15"/>
    </row>
    <row r="733" customFormat="false" ht="15" hidden="false" customHeight="false" outlineLevel="0" collapsed="false">
      <c r="A733" s="9" t="n">
        <v>49</v>
      </c>
      <c r="B733" s="9" t="s">
        <v>1035</v>
      </c>
      <c r="C733" s="9" t="s">
        <v>1036</v>
      </c>
      <c r="D733" s="9" t="s">
        <v>861</v>
      </c>
      <c r="E733" s="9" t="s">
        <v>112</v>
      </c>
      <c r="F733" s="9" t="n">
        <v>20</v>
      </c>
      <c r="G733" s="9" t="s">
        <v>61</v>
      </c>
      <c r="H733" s="14" t="n">
        <f aca="false">IFERROR(F733*VLOOKUP(E733,Insumos!$A:$G,7,FALSE()),0)</f>
        <v>1.28</v>
      </c>
      <c r="I733" s="15"/>
    </row>
    <row r="734" customFormat="false" ht="15" hidden="false" customHeight="false" outlineLevel="0" collapsed="false">
      <c r="A734" s="9" t="n">
        <v>49</v>
      </c>
      <c r="B734" s="9" t="s">
        <v>1035</v>
      </c>
      <c r="C734" s="9" t="s">
        <v>1036</v>
      </c>
      <c r="D734" s="9" t="s">
        <v>506</v>
      </c>
      <c r="E734" s="9" t="s">
        <v>114</v>
      </c>
      <c r="F734" s="9" t="n">
        <v>6</v>
      </c>
      <c r="G734" s="9" t="s">
        <v>61</v>
      </c>
      <c r="H734" s="14" t="n">
        <f aca="false">IFERROR(F734*VLOOKUP(E734,Insumos!$A:$G,7,FALSE()),0)</f>
        <v>0.816</v>
      </c>
      <c r="I734" s="15"/>
    </row>
    <row r="735" customFormat="false" ht="15" hidden="false" customHeight="false" outlineLevel="0" collapsed="false">
      <c r="A735" s="9" t="n">
        <v>49</v>
      </c>
      <c r="B735" s="9" t="s">
        <v>1035</v>
      </c>
      <c r="C735" s="9" t="s">
        <v>1036</v>
      </c>
      <c r="D735" s="9" t="s">
        <v>461</v>
      </c>
      <c r="E735" s="9" t="s">
        <v>118</v>
      </c>
      <c r="F735" s="9" t="n">
        <v>2</v>
      </c>
      <c r="G735" s="9" t="s">
        <v>61</v>
      </c>
      <c r="H735" s="14" t="n">
        <f aca="false">IFERROR(F735*VLOOKUP(E735,Insumos!$A:$G,7,FALSE()),0)</f>
        <v>0.032</v>
      </c>
      <c r="I735" s="15"/>
    </row>
    <row r="736" customFormat="false" ht="15" hidden="false" customHeight="false" outlineLevel="0" collapsed="false">
      <c r="A736" s="9" t="n">
        <v>49</v>
      </c>
      <c r="B736" s="9" t="s">
        <v>1035</v>
      </c>
      <c r="C736" s="9" t="s">
        <v>1036</v>
      </c>
      <c r="D736" s="9" t="s">
        <v>1039</v>
      </c>
      <c r="E736" s="9" t="s">
        <v>93</v>
      </c>
      <c r="F736" s="9" t="n">
        <v>40</v>
      </c>
      <c r="G736" s="9" t="s">
        <v>74</v>
      </c>
      <c r="H736" s="14" t="n">
        <f aca="false">IFERROR(F736*VLOOKUP(E736,Insumos!$A:$G,7,FALSE()),0)</f>
        <v>2.66666666666667</v>
      </c>
      <c r="I736" s="15"/>
    </row>
    <row r="737" customFormat="false" ht="15" hidden="false" customHeight="false" outlineLevel="0" collapsed="false">
      <c r="A737" s="9" t="n">
        <v>49</v>
      </c>
      <c r="B737" s="9" t="s">
        <v>1035</v>
      </c>
      <c r="C737" s="9" t="s">
        <v>1040</v>
      </c>
      <c r="D737" s="9" t="s">
        <v>1041</v>
      </c>
      <c r="E737" s="9" t="s">
        <v>91</v>
      </c>
      <c r="F737" s="9" t="n">
        <v>60</v>
      </c>
      <c r="G737" s="9" t="s">
        <v>74</v>
      </c>
      <c r="H737" s="14" t="n">
        <f aca="false">IFERROR(F737*VLOOKUP(E737,Insumos!$A:$G,7,FALSE()),0)</f>
        <v>5.27131782945736</v>
      </c>
      <c r="I737" s="15"/>
    </row>
    <row r="738" customFormat="false" ht="15" hidden="false" customHeight="false" outlineLevel="0" collapsed="false">
      <c r="A738" s="9" t="n">
        <v>49</v>
      </c>
      <c r="B738" s="9" t="s">
        <v>1035</v>
      </c>
      <c r="C738" s="9" t="s">
        <v>1040</v>
      </c>
      <c r="D738" s="9" t="s">
        <v>1042</v>
      </c>
      <c r="E738" s="9" t="s">
        <v>93</v>
      </c>
      <c r="F738" s="9" t="n">
        <v>50</v>
      </c>
      <c r="G738" s="9" t="s">
        <v>74</v>
      </c>
      <c r="H738" s="14" t="n">
        <f aca="false">IFERROR(F738*VLOOKUP(E738,Insumos!$A:$G,7,FALSE()),0)</f>
        <v>3.33333333333333</v>
      </c>
      <c r="I738" s="15"/>
    </row>
    <row r="739" customFormat="false" ht="15" hidden="false" customHeight="false" outlineLevel="0" collapsed="false">
      <c r="A739" s="9" t="n">
        <v>49</v>
      </c>
      <c r="B739" s="9" t="s">
        <v>1035</v>
      </c>
      <c r="C739" s="9" t="s">
        <v>1040</v>
      </c>
      <c r="D739" s="9" t="s">
        <v>1043</v>
      </c>
      <c r="E739" s="9" t="s">
        <v>75</v>
      </c>
      <c r="F739" s="9" t="n">
        <v>40</v>
      </c>
      <c r="G739" s="9" t="s">
        <v>74</v>
      </c>
      <c r="H739" s="14" t="n">
        <f aca="false">IFERROR(F739*VLOOKUP(E739,Insumos!$A:$G,7,FALSE()),0)</f>
        <v>4.72</v>
      </c>
      <c r="I739" s="15"/>
    </row>
    <row r="740" customFormat="false" ht="15" hidden="false" customHeight="false" outlineLevel="0" collapsed="false">
      <c r="A740" s="9" t="n">
        <v>49</v>
      </c>
      <c r="B740" s="9" t="s">
        <v>1035</v>
      </c>
      <c r="C740" s="9" t="s">
        <v>1040</v>
      </c>
      <c r="D740" s="9" t="s">
        <v>1044</v>
      </c>
      <c r="E740" s="9" t="s">
        <v>321</v>
      </c>
      <c r="F740" s="9" t="n">
        <v>10</v>
      </c>
      <c r="G740" s="9" t="s">
        <v>74</v>
      </c>
      <c r="H740" s="14" t="n">
        <f aca="false">IFERROR(F740*VLOOKUP(E740,Insumos!$A:$G,7,FALSE()),0)</f>
        <v>3.93333333333333</v>
      </c>
      <c r="I740" s="15"/>
    </row>
    <row r="741" customFormat="false" ht="15" hidden="false" customHeight="false" outlineLevel="0" collapsed="false">
      <c r="A741" s="9" t="n">
        <v>49</v>
      </c>
      <c r="B741" s="9" t="s">
        <v>1035</v>
      </c>
      <c r="C741" s="9" t="s">
        <v>1045</v>
      </c>
      <c r="D741" s="9" t="s">
        <v>1046</v>
      </c>
      <c r="E741" s="9" t="s">
        <v>266</v>
      </c>
      <c r="F741" s="9" t="n">
        <v>120</v>
      </c>
      <c r="G741" s="9" t="s">
        <v>61</v>
      </c>
      <c r="H741" s="14" t="n">
        <f aca="false">IFERROR(F741*VLOOKUP(E741,Insumos!$A:$G,7,FALSE()),0)</f>
        <v>34.8</v>
      </c>
      <c r="I741" s="15"/>
    </row>
    <row r="742" customFormat="false" ht="15" hidden="false" customHeight="false" outlineLevel="0" collapsed="false">
      <c r="A742" s="9" t="n">
        <v>49</v>
      </c>
      <c r="B742" s="9" t="s">
        <v>1035</v>
      </c>
      <c r="C742" s="9" t="s">
        <v>1045</v>
      </c>
      <c r="D742" s="9" t="s">
        <v>1047</v>
      </c>
      <c r="E742" s="9" t="s">
        <v>126</v>
      </c>
      <c r="F742" s="9" t="n">
        <v>30</v>
      </c>
      <c r="G742" s="9" t="s">
        <v>61</v>
      </c>
      <c r="H742" s="14" t="n">
        <f aca="false">IFERROR(F742*VLOOKUP(E742,Insumos!$A:$G,7,FALSE()),0)</f>
        <v>0.84</v>
      </c>
      <c r="I742" s="15"/>
    </row>
    <row r="743" customFormat="false" ht="15" hidden="false" customHeight="false" outlineLevel="0" collapsed="false">
      <c r="A743" s="9" t="n">
        <v>49</v>
      </c>
      <c r="B743" s="9" t="s">
        <v>1035</v>
      </c>
      <c r="C743" s="9" t="s">
        <v>1045</v>
      </c>
      <c r="D743" s="9" t="s">
        <v>1048</v>
      </c>
      <c r="E743" s="9" t="s">
        <v>222</v>
      </c>
      <c r="F743" s="9" t="n">
        <v>5</v>
      </c>
      <c r="G743" s="9" t="s">
        <v>74</v>
      </c>
      <c r="H743" s="14" t="n">
        <f aca="false">IFERROR(F743*VLOOKUP(E743,Insumos!$A:$G,7,FALSE()),0)</f>
        <v>0.29</v>
      </c>
      <c r="I743" s="15"/>
    </row>
    <row r="744" customFormat="false" ht="15" hidden="false" customHeight="false" outlineLevel="0" collapsed="false">
      <c r="A744" s="9" t="n">
        <v>50</v>
      </c>
      <c r="B744" s="9" t="s">
        <v>1049</v>
      </c>
      <c r="C744" s="9" t="s">
        <v>396</v>
      </c>
      <c r="D744" s="9" t="s">
        <v>754</v>
      </c>
      <c r="E744" s="9" t="s">
        <v>58</v>
      </c>
      <c r="F744" s="9" t="n">
        <v>170</v>
      </c>
      <c r="G744" s="9" t="s">
        <v>61</v>
      </c>
      <c r="H744" s="14" t="n">
        <f aca="false">IFERROR(F744*VLOOKUP(E744,Insumos!$A:$G,7,FALSE()),0)</f>
        <v>41.65</v>
      </c>
      <c r="I744" s="15"/>
    </row>
    <row r="745" customFormat="false" ht="15" hidden="false" customHeight="false" outlineLevel="0" collapsed="false">
      <c r="A745" s="9" t="n">
        <v>50</v>
      </c>
      <c r="B745" s="9" t="s">
        <v>1049</v>
      </c>
      <c r="C745" s="9" t="s">
        <v>396</v>
      </c>
      <c r="D745" s="9" t="s">
        <v>493</v>
      </c>
      <c r="E745" s="9" t="s">
        <v>133</v>
      </c>
      <c r="F745" s="9" t="n">
        <v>180</v>
      </c>
      <c r="G745" s="9" t="s">
        <v>61</v>
      </c>
      <c r="H745" s="14" t="n">
        <f aca="false">IFERROR(F745*VLOOKUP(E745,Insumos!$A:$G,7,FALSE()),0)</f>
        <v>9.36</v>
      </c>
      <c r="I745" s="15"/>
    </row>
    <row r="746" customFormat="false" ht="15" hidden="false" customHeight="false" outlineLevel="0" collapsed="false">
      <c r="A746" s="9" t="n">
        <v>50</v>
      </c>
      <c r="B746" s="9" t="s">
        <v>1049</v>
      </c>
      <c r="C746" s="9" t="s">
        <v>396</v>
      </c>
      <c r="D746" s="9" t="s">
        <v>505</v>
      </c>
      <c r="E746" s="9" t="s">
        <v>66</v>
      </c>
      <c r="F746" s="9" t="n">
        <v>200</v>
      </c>
      <c r="G746" s="9" t="s">
        <v>61</v>
      </c>
      <c r="H746" s="14" t="n">
        <f aca="false">IFERROR(F746*VLOOKUP(E746,Insumos!$A:$G,7,FALSE()),0)</f>
        <v>12.4</v>
      </c>
      <c r="I746" s="15"/>
    </row>
    <row r="747" customFormat="false" ht="15" hidden="false" customHeight="false" outlineLevel="0" collapsed="false">
      <c r="A747" s="9" t="n">
        <v>50</v>
      </c>
      <c r="B747" s="9" t="s">
        <v>1049</v>
      </c>
      <c r="C747" s="9" t="s">
        <v>396</v>
      </c>
      <c r="D747" s="9" t="s">
        <v>495</v>
      </c>
      <c r="E747" s="9" t="s">
        <v>107</v>
      </c>
      <c r="F747" s="9" t="n">
        <v>220</v>
      </c>
      <c r="G747" s="9" t="s">
        <v>61</v>
      </c>
      <c r="H747" s="14" t="n">
        <f aca="false">IFERROR(F747*VLOOKUP(E747,Insumos!$A:$G,7,FALSE()),0)</f>
        <v>5.72</v>
      </c>
      <c r="I747" s="15"/>
    </row>
    <row r="748" customFormat="false" ht="15" hidden="false" customHeight="false" outlineLevel="0" collapsed="false">
      <c r="A748" s="9" t="n">
        <v>50</v>
      </c>
      <c r="B748" s="9" t="s">
        <v>1049</v>
      </c>
      <c r="C748" s="9" t="s">
        <v>396</v>
      </c>
      <c r="D748" s="9" t="s">
        <v>821</v>
      </c>
      <c r="E748" s="9" t="s">
        <v>172</v>
      </c>
      <c r="F748" s="9" t="n">
        <v>25</v>
      </c>
      <c r="G748" s="9" t="s">
        <v>61</v>
      </c>
      <c r="H748" s="14" t="n">
        <f aca="false">IFERROR(F748*VLOOKUP(E748,Insumos!$A:$G,7,FALSE()),0)</f>
        <v>10.625</v>
      </c>
      <c r="I748" s="15"/>
    </row>
    <row r="749" customFormat="false" ht="15" hidden="false" customHeight="false" outlineLevel="0" collapsed="false">
      <c r="A749" s="9" t="n">
        <v>50</v>
      </c>
      <c r="B749" s="9" t="s">
        <v>1049</v>
      </c>
      <c r="C749" s="9" t="s">
        <v>396</v>
      </c>
      <c r="D749" s="9" t="s">
        <v>423</v>
      </c>
      <c r="E749" s="9" t="s">
        <v>114</v>
      </c>
      <c r="F749" s="9" t="n">
        <v>5</v>
      </c>
      <c r="G749" s="9" t="s">
        <v>61</v>
      </c>
      <c r="H749" s="14" t="n">
        <f aca="false">IFERROR(F749*VLOOKUP(E749,Insumos!$A:$G,7,FALSE()),0)</f>
        <v>0.68</v>
      </c>
      <c r="I749" s="15"/>
    </row>
    <row r="750" customFormat="false" ht="15" hidden="false" customHeight="false" outlineLevel="0" collapsed="false">
      <c r="A750" s="9" t="n">
        <v>50</v>
      </c>
      <c r="B750" s="9" t="s">
        <v>1049</v>
      </c>
      <c r="C750" s="9" t="s">
        <v>396</v>
      </c>
      <c r="D750" s="9" t="s">
        <v>461</v>
      </c>
      <c r="E750" s="9" t="s">
        <v>118</v>
      </c>
      <c r="F750" s="9" t="n">
        <v>2</v>
      </c>
      <c r="G750" s="9" t="s">
        <v>61</v>
      </c>
      <c r="H750" s="14" t="n">
        <f aca="false">IFERROR(F750*VLOOKUP(E750,Insumos!$A:$G,7,FALSE()),0)</f>
        <v>0.032</v>
      </c>
      <c r="I750" s="15"/>
    </row>
    <row r="751" customFormat="false" ht="15" hidden="false" customHeight="false" outlineLevel="0" collapsed="false">
      <c r="A751" s="9" t="n">
        <v>50</v>
      </c>
      <c r="B751" s="9" t="s">
        <v>1049</v>
      </c>
      <c r="C751" s="9" t="s">
        <v>396</v>
      </c>
      <c r="D751" s="9" t="s">
        <v>1050</v>
      </c>
      <c r="E751" s="9" t="s">
        <v>299</v>
      </c>
      <c r="F751" s="9" t="n">
        <v>16</v>
      </c>
      <c r="G751" s="9" t="s">
        <v>61</v>
      </c>
      <c r="H751" s="14" t="n">
        <f aca="false">IFERROR(F751*VLOOKUP(E751,Insumos!$A:$G,7,FALSE()),0)</f>
        <v>6.16</v>
      </c>
      <c r="I751" s="16" t="s">
        <v>685</v>
      </c>
    </row>
    <row r="752" customFormat="false" ht="15" hidden="false" customHeight="false" outlineLevel="0" collapsed="false">
      <c r="A752" s="9" t="n">
        <v>50</v>
      </c>
      <c r="B752" s="9" t="s">
        <v>1049</v>
      </c>
      <c r="C752" s="9" t="s">
        <v>396</v>
      </c>
      <c r="D752" s="9" t="s">
        <v>1051</v>
      </c>
      <c r="E752" s="9" t="s">
        <v>328</v>
      </c>
      <c r="F752" s="9" t="n">
        <v>25</v>
      </c>
      <c r="G752" s="9" t="s">
        <v>74</v>
      </c>
      <c r="H752" s="14" t="n">
        <f aca="false">IFERROR(F752*VLOOKUP(E752,Insumos!$A:$G,7,FALSE()),0)</f>
        <v>17.1428571428571</v>
      </c>
      <c r="I752" s="15"/>
    </row>
    <row r="753" customFormat="false" ht="15" hidden="false" customHeight="false" outlineLevel="0" collapsed="false">
      <c r="A753" s="9" t="n">
        <v>50</v>
      </c>
      <c r="B753" s="9" t="s">
        <v>1049</v>
      </c>
      <c r="C753" s="9" t="s">
        <v>1052</v>
      </c>
      <c r="D753" s="9" t="s">
        <v>771</v>
      </c>
      <c r="E753" s="9" t="s">
        <v>299</v>
      </c>
      <c r="F753" s="9" t="n">
        <v>16</v>
      </c>
      <c r="G753" s="9" t="s">
        <v>61</v>
      </c>
      <c r="H753" s="14" t="n">
        <f aca="false">IFERROR(F753*VLOOKUP(E753,Insumos!$A:$G,7,FALSE()),0)</f>
        <v>6.16</v>
      </c>
      <c r="I753" s="16" t="s">
        <v>685</v>
      </c>
    </row>
    <row r="754" customFormat="false" ht="15" hidden="false" customHeight="false" outlineLevel="0" collapsed="false">
      <c r="A754" s="9" t="n">
        <v>50</v>
      </c>
      <c r="B754" s="9" t="s">
        <v>1049</v>
      </c>
      <c r="C754" s="9" t="s">
        <v>1052</v>
      </c>
      <c r="D754" s="9" t="s">
        <v>1053</v>
      </c>
      <c r="E754" s="9" t="s">
        <v>328</v>
      </c>
      <c r="F754" s="9" t="n">
        <v>35</v>
      </c>
      <c r="G754" s="9" t="s">
        <v>74</v>
      </c>
      <c r="H754" s="14" t="n">
        <f aca="false">IFERROR(F754*VLOOKUP(E754,Insumos!$A:$G,7,FALSE()),0)</f>
        <v>24</v>
      </c>
      <c r="I754" s="15"/>
    </row>
    <row r="755" customFormat="false" ht="15" hidden="false" customHeight="false" outlineLevel="0" collapsed="false">
      <c r="A755" s="9" t="n">
        <v>50</v>
      </c>
      <c r="B755" s="9" t="s">
        <v>1049</v>
      </c>
      <c r="C755" s="9" t="s">
        <v>1052</v>
      </c>
      <c r="D755" s="9" t="s">
        <v>1054</v>
      </c>
      <c r="E755" s="9" t="s">
        <v>126</v>
      </c>
      <c r="F755" s="9" t="n">
        <v>20</v>
      </c>
      <c r="G755" s="9" t="s">
        <v>61</v>
      </c>
      <c r="H755" s="14" t="n">
        <f aca="false">IFERROR(F755*VLOOKUP(E755,Insumos!$A:$G,7,FALSE()),0)</f>
        <v>0.56</v>
      </c>
      <c r="I755" s="15"/>
    </row>
    <row r="756" customFormat="false" ht="15" hidden="false" customHeight="false" outlineLevel="0" collapsed="false">
      <c r="A756" s="9" t="n">
        <v>50</v>
      </c>
      <c r="B756" s="9" t="s">
        <v>1049</v>
      </c>
      <c r="C756" s="9" t="s">
        <v>1055</v>
      </c>
      <c r="D756" s="9" t="s">
        <v>1056</v>
      </c>
      <c r="E756" s="9" t="s">
        <v>83</v>
      </c>
      <c r="F756" s="9" t="n">
        <v>80</v>
      </c>
      <c r="G756" s="9" t="s">
        <v>61</v>
      </c>
      <c r="H756" s="14" t="n">
        <f aca="false">IFERROR(F756*VLOOKUP(E756,Insumos!$A:$G,7,FALSE()),0)</f>
        <v>13.44</v>
      </c>
      <c r="I756" s="15"/>
    </row>
    <row r="757" customFormat="false" ht="15" hidden="false" customHeight="false" outlineLevel="0" collapsed="false">
      <c r="A757" s="9" t="n">
        <v>50</v>
      </c>
      <c r="B757" s="9" t="s">
        <v>1049</v>
      </c>
      <c r="C757" s="9" t="s">
        <v>1055</v>
      </c>
      <c r="D757" s="9" t="s">
        <v>1057</v>
      </c>
      <c r="E757" s="9" t="s">
        <v>58</v>
      </c>
      <c r="F757" s="9" t="n">
        <v>30</v>
      </c>
      <c r="G757" s="9" t="s">
        <v>61</v>
      </c>
      <c r="H757" s="14" t="n">
        <f aca="false">IFERROR(F757*VLOOKUP(E757,Insumos!$A:$G,7,FALSE()),0)</f>
        <v>7.35</v>
      </c>
      <c r="I757" s="15"/>
    </row>
    <row r="758" customFormat="false" ht="15" hidden="false" customHeight="false" outlineLevel="0" collapsed="false">
      <c r="A758" s="9" t="n">
        <v>50</v>
      </c>
      <c r="B758" s="9" t="s">
        <v>1049</v>
      </c>
      <c r="C758" s="9" t="s">
        <v>1055</v>
      </c>
      <c r="D758" s="9" t="s">
        <v>1058</v>
      </c>
      <c r="E758" s="9" t="s">
        <v>131</v>
      </c>
      <c r="F758" s="9" t="n">
        <v>40</v>
      </c>
      <c r="G758" s="9" t="s">
        <v>61</v>
      </c>
      <c r="H758" s="14" t="n">
        <f aca="false">IFERROR(F758*VLOOKUP(E758,Insumos!$A:$G,7,FALSE()),0)</f>
        <v>1.68</v>
      </c>
      <c r="I758" s="15"/>
    </row>
    <row r="759" customFormat="false" ht="15" hidden="false" customHeight="false" outlineLevel="0" collapsed="false">
      <c r="A759" s="9" t="n">
        <v>50</v>
      </c>
      <c r="B759" s="9" t="s">
        <v>1049</v>
      </c>
      <c r="C759" s="9" t="s">
        <v>1055</v>
      </c>
      <c r="D759" s="9" t="s">
        <v>1059</v>
      </c>
      <c r="E759" s="9" t="s">
        <v>328</v>
      </c>
      <c r="F759" s="9" t="n">
        <v>15</v>
      </c>
      <c r="G759" s="9" t="s">
        <v>74</v>
      </c>
      <c r="H759" s="14" t="n">
        <f aca="false">IFERROR(F759*VLOOKUP(E759,Insumos!$A:$G,7,FALSE()),0)</f>
        <v>10.2857142857143</v>
      </c>
      <c r="I759" s="15"/>
    </row>
    <row r="760" customFormat="false" ht="15" hidden="false" customHeight="false" outlineLevel="0" collapsed="false">
      <c r="A760" s="9" t="n">
        <v>51</v>
      </c>
      <c r="B760" s="9" t="s">
        <v>1060</v>
      </c>
      <c r="C760" s="9" t="s">
        <v>1061</v>
      </c>
      <c r="D760" s="9" t="s">
        <v>1062</v>
      </c>
      <c r="E760" s="9" t="s">
        <v>139</v>
      </c>
      <c r="F760" s="9" t="n">
        <v>20</v>
      </c>
      <c r="G760" s="9" t="s">
        <v>61</v>
      </c>
      <c r="H760" s="14" t="n">
        <f aca="false">IFERROR(F760*VLOOKUP(E760,Insumos!$A:$G,7,FALSE()),0)</f>
        <v>3.9</v>
      </c>
      <c r="I760" s="15"/>
    </row>
    <row r="761" customFormat="false" ht="15" hidden="false" customHeight="false" outlineLevel="0" collapsed="false">
      <c r="A761" s="9" t="n">
        <v>51</v>
      </c>
      <c r="B761" s="9" t="s">
        <v>1060</v>
      </c>
      <c r="C761" s="9" t="s">
        <v>1061</v>
      </c>
      <c r="D761" s="9" t="s">
        <v>1063</v>
      </c>
      <c r="E761" s="9" t="s">
        <v>219</v>
      </c>
      <c r="F761" s="9" t="n">
        <v>100</v>
      </c>
      <c r="G761" s="9" t="s">
        <v>61</v>
      </c>
      <c r="H761" s="14" t="n">
        <f aca="false">IFERROR(F761*VLOOKUP(E761,Insumos!$A:$G,7,FALSE()),0)</f>
        <v>2.6</v>
      </c>
      <c r="I761" s="16" t="s">
        <v>1064</v>
      </c>
    </row>
    <row r="762" customFormat="false" ht="15" hidden="false" customHeight="false" outlineLevel="0" collapsed="false">
      <c r="A762" s="9" t="n">
        <v>51</v>
      </c>
      <c r="B762" s="9" t="s">
        <v>1060</v>
      </c>
      <c r="C762" s="9" t="s">
        <v>1061</v>
      </c>
      <c r="D762" s="9" t="s">
        <v>1065</v>
      </c>
      <c r="E762" s="9" t="s">
        <v>275</v>
      </c>
      <c r="F762" s="9" t="n">
        <v>3</v>
      </c>
      <c r="G762" s="9" t="s">
        <v>61</v>
      </c>
      <c r="H762" s="14" t="n">
        <f aca="false">IFERROR(F762*VLOOKUP(E762,Insumos!$A:$G,7,FALSE()),0)</f>
        <v>28.5</v>
      </c>
      <c r="I762" s="16" t="s">
        <v>820</v>
      </c>
    </row>
    <row r="763" customFormat="false" ht="15" hidden="false" customHeight="false" outlineLevel="0" collapsed="false">
      <c r="A763" s="9" t="n">
        <v>51</v>
      </c>
      <c r="B763" s="9" t="s">
        <v>1060</v>
      </c>
      <c r="C763" s="9" t="s">
        <v>1061</v>
      </c>
      <c r="D763" s="9" t="s">
        <v>1066</v>
      </c>
      <c r="E763" s="9" t="s">
        <v>336</v>
      </c>
      <c r="F763" s="9" t="n">
        <v>15</v>
      </c>
      <c r="G763" s="9" t="s">
        <v>74</v>
      </c>
      <c r="H763" s="14" t="n">
        <f aca="false">IFERROR(F763*VLOOKUP(E763,Insumos!$A:$G,7,FALSE()),0)</f>
        <v>8.46428571428571</v>
      </c>
      <c r="I763" s="15"/>
    </row>
    <row r="764" customFormat="false" ht="15" hidden="false" customHeight="false" outlineLevel="0" collapsed="false">
      <c r="A764" s="9" t="n">
        <v>51</v>
      </c>
      <c r="B764" s="9" t="s">
        <v>1060</v>
      </c>
      <c r="C764" s="9" t="s">
        <v>1067</v>
      </c>
      <c r="D764" s="9" t="s">
        <v>1068</v>
      </c>
      <c r="E764" s="9" t="s">
        <v>58</v>
      </c>
      <c r="F764" s="9" t="n">
        <v>190</v>
      </c>
      <c r="G764" s="9" t="s">
        <v>61</v>
      </c>
      <c r="H764" s="14" t="n">
        <f aca="false">IFERROR(F764*VLOOKUP(E764,Insumos!$A:$G,7,FALSE()),0)</f>
        <v>46.55</v>
      </c>
      <c r="I764" s="15"/>
    </row>
    <row r="765" customFormat="false" ht="15" hidden="false" customHeight="false" outlineLevel="0" collapsed="false">
      <c r="A765" s="9" t="n">
        <v>51</v>
      </c>
      <c r="B765" s="9" t="s">
        <v>1060</v>
      </c>
      <c r="C765" s="9" t="s">
        <v>1067</v>
      </c>
      <c r="D765" s="9" t="s">
        <v>1069</v>
      </c>
      <c r="E765" s="9" t="s">
        <v>126</v>
      </c>
      <c r="F765" s="9" t="n">
        <v>160</v>
      </c>
      <c r="G765" s="9" t="s">
        <v>61</v>
      </c>
      <c r="H765" s="14" t="n">
        <f aca="false">IFERROR(F765*VLOOKUP(E765,Insumos!$A:$G,7,FALSE()),0)</f>
        <v>4.48</v>
      </c>
      <c r="I765" s="15"/>
    </row>
    <row r="766" customFormat="false" ht="15" hidden="false" customHeight="false" outlineLevel="0" collapsed="false">
      <c r="A766" s="9" t="n">
        <v>51</v>
      </c>
      <c r="B766" s="9" t="s">
        <v>1060</v>
      </c>
      <c r="C766" s="9" t="s">
        <v>1067</v>
      </c>
      <c r="D766" s="9" t="s">
        <v>1070</v>
      </c>
      <c r="E766" s="9" t="s">
        <v>66</v>
      </c>
      <c r="F766" s="9" t="n">
        <v>120</v>
      </c>
      <c r="G766" s="9" t="s">
        <v>61</v>
      </c>
      <c r="H766" s="14" t="n">
        <f aca="false">IFERROR(F766*VLOOKUP(E766,Insumos!$A:$G,7,FALSE()),0)</f>
        <v>7.44</v>
      </c>
      <c r="I766" s="16" t="s">
        <v>1071</v>
      </c>
    </row>
    <row r="767" customFormat="false" ht="15" hidden="false" customHeight="false" outlineLevel="0" collapsed="false">
      <c r="A767" s="9" t="n">
        <v>51</v>
      </c>
      <c r="B767" s="9" t="s">
        <v>1060</v>
      </c>
      <c r="C767" s="9" t="s">
        <v>1067</v>
      </c>
      <c r="D767" s="9" t="s">
        <v>436</v>
      </c>
      <c r="E767" s="9" t="s">
        <v>107</v>
      </c>
      <c r="F767" s="9" t="n">
        <v>240</v>
      </c>
      <c r="G767" s="9" t="s">
        <v>61</v>
      </c>
      <c r="H767" s="14" t="n">
        <f aca="false">IFERROR(F767*VLOOKUP(E767,Insumos!$A:$G,7,FALSE()),0)</f>
        <v>6.24</v>
      </c>
      <c r="I767" s="15"/>
    </row>
    <row r="768" customFormat="false" ht="15" hidden="false" customHeight="false" outlineLevel="0" collapsed="false">
      <c r="A768" s="9" t="n">
        <v>51</v>
      </c>
      <c r="B768" s="9" t="s">
        <v>1060</v>
      </c>
      <c r="C768" s="9" t="s">
        <v>1067</v>
      </c>
      <c r="D768" s="9" t="s">
        <v>423</v>
      </c>
      <c r="E768" s="9" t="s">
        <v>114</v>
      </c>
      <c r="F768" s="9" t="n">
        <v>5</v>
      </c>
      <c r="G768" s="9" t="s">
        <v>61</v>
      </c>
      <c r="H768" s="14" t="n">
        <f aca="false">IFERROR(F768*VLOOKUP(E768,Insumos!$A:$G,7,FALSE()),0)</f>
        <v>0.68</v>
      </c>
      <c r="I768" s="15"/>
    </row>
    <row r="769" customFormat="false" ht="15" hidden="false" customHeight="false" outlineLevel="0" collapsed="false">
      <c r="A769" s="9" t="n">
        <v>51</v>
      </c>
      <c r="B769" s="9" t="s">
        <v>1060</v>
      </c>
      <c r="C769" s="9" t="s">
        <v>1067</v>
      </c>
      <c r="D769" s="9" t="s">
        <v>483</v>
      </c>
      <c r="E769" s="9" t="s">
        <v>120</v>
      </c>
      <c r="F769" s="9" t="n">
        <v>2</v>
      </c>
      <c r="G769" s="9" t="s">
        <v>61</v>
      </c>
      <c r="H769" s="14" t="n">
        <f aca="false">IFERROR(F769*VLOOKUP(E769,Insumos!$A:$G,7,FALSE()),0)</f>
        <v>0.168</v>
      </c>
      <c r="I769" s="15"/>
    </row>
    <row r="770" customFormat="false" ht="15" hidden="false" customHeight="false" outlineLevel="0" collapsed="false">
      <c r="A770" s="9" t="n">
        <v>51</v>
      </c>
      <c r="B770" s="9" t="s">
        <v>1060</v>
      </c>
      <c r="C770" s="9" t="s">
        <v>1067</v>
      </c>
      <c r="D770" s="9" t="s">
        <v>675</v>
      </c>
      <c r="E770" s="9" t="s">
        <v>77</v>
      </c>
      <c r="F770" s="9" t="n">
        <v>40</v>
      </c>
      <c r="G770" s="9" t="s">
        <v>74</v>
      </c>
      <c r="H770" s="14" t="n">
        <f aca="false">IFERROR(F770*VLOOKUP(E770,Insumos!$A:$G,7,FALSE()),0)</f>
        <v>4.08888888888889</v>
      </c>
      <c r="I770" s="15"/>
    </row>
    <row r="771" customFormat="false" ht="15" hidden="false" customHeight="false" outlineLevel="0" collapsed="false">
      <c r="A771" s="9" t="n">
        <v>51</v>
      </c>
      <c r="B771" s="9" t="s">
        <v>1060</v>
      </c>
      <c r="C771" s="9" t="s">
        <v>1067</v>
      </c>
      <c r="D771" s="9" t="s">
        <v>1072</v>
      </c>
      <c r="E771" s="9" t="s">
        <v>252</v>
      </c>
      <c r="F771" s="9" t="n">
        <v>100</v>
      </c>
      <c r="G771" s="9" t="s">
        <v>61</v>
      </c>
      <c r="H771" s="14" t="n">
        <f aca="false">IFERROR(F771*VLOOKUP(E771,Insumos!$A:$G,7,FALSE()),0)</f>
        <v>29</v>
      </c>
      <c r="I771" s="15"/>
    </row>
    <row r="772" customFormat="false" ht="15" hidden="false" customHeight="false" outlineLevel="0" collapsed="false">
      <c r="A772" s="9" t="n">
        <v>51</v>
      </c>
      <c r="B772" s="9" t="s">
        <v>1060</v>
      </c>
      <c r="C772" s="9" t="s">
        <v>1067</v>
      </c>
      <c r="D772" s="9" t="s">
        <v>1073</v>
      </c>
      <c r="E772" s="9" t="s">
        <v>162</v>
      </c>
      <c r="F772" s="9" t="n">
        <v>90</v>
      </c>
      <c r="G772" s="9" t="s">
        <v>61</v>
      </c>
      <c r="H772" s="14" t="n">
        <f aca="false">IFERROR(F772*VLOOKUP(E772,Insumos!$A:$G,7,FALSE()),0)</f>
        <v>17.55</v>
      </c>
      <c r="I772" s="15"/>
    </row>
    <row r="773" customFormat="false" ht="15" hidden="false" customHeight="false" outlineLevel="0" collapsed="false">
      <c r="A773" s="9" t="n">
        <v>51</v>
      </c>
      <c r="B773" s="9" t="s">
        <v>1060</v>
      </c>
      <c r="C773" s="9" t="s">
        <v>1074</v>
      </c>
      <c r="D773" s="9" t="s">
        <v>1075</v>
      </c>
      <c r="E773" s="9" t="s">
        <v>172</v>
      </c>
      <c r="F773" s="9" t="n">
        <v>40</v>
      </c>
      <c r="G773" s="9" t="s">
        <v>61</v>
      </c>
      <c r="H773" s="14" t="n">
        <f aca="false">IFERROR(F773*VLOOKUP(E773,Insumos!$A:$G,7,FALSE()),0)</f>
        <v>17</v>
      </c>
      <c r="I773" s="15"/>
    </row>
    <row r="774" customFormat="false" ht="15" hidden="false" customHeight="false" outlineLevel="0" collapsed="false">
      <c r="A774" s="9" t="n">
        <v>51</v>
      </c>
      <c r="B774" s="9" t="s">
        <v>1060</v>
      </c>
      <c r="C774" s="9" t="s">
        <v>1074</v>
      </c>
      <c r="D774" s="9" t="s">
        <v>1076</v>
      </c>
      <c r="E774" s="9" t="s">
        <v>131</v>
      </c>
      <c r="F774" s="9" t="n">
        <v>40</v>
      </c>
      <c r="G774" s="9" t="s">
        <v>61</v>
      </c>
      <c r="H774" s="14" t="n">
        <f aca="false">IFERROR(F774*VLOOKUP(E774,Insumos!$A:$G,7,FALSE()),0)</f>
        <v>1.68</v>
      </c>
      <c r="I774" s="15"/>
    </row>
    <row r="775" customFormat="false" ht="15" hidden="false" customHeight="false" outlineLevel="0" collapsed="false">
      <c r="A775" s="9" t="n">
        <v>51</v>
      </c>
      <c r="B775" s="9" t="s">
        <v>1060</v>
      </c>
      <c r="C775" s="9" t="s">
        <v>1074</v>
      </c>
      <c r="D775" s="9" t="s">
        <v>1077</v>
      </c>
      <c r="E775" s="9" t="s">
        <v>70</v>
      </c>
      <c r="F775" s="9" t="n">
        <v>20</v>
      </c>
      <c r="G775" s="9" t="s">
        <v>61</v>
      </c>
      <c r="H775" s="14" t="n">
        <f aca="false">IFERROR(F775*VLOOKUP(E775,Insumos!$A:$G,7,FALSE()),0)</f>
        <v>0.96</v>
      </c>
      <c r="I775" s="15"/>
    </row>
    <row r="776" customFormat="false" ht="15" hidden="false" customHeight="false" outlineLevel="0" collapsed="false">
      <c r="A776" s="9" t="n">
        <v>51</v>
      </c>
      <c r="B776" s="9" t="s">
        <v>1060</v>
      </c>
      <c r="C776" s="9" t="s">
        <v>1074</v>
      </c>
      <c r="D776" s="9" t="s">
        <v>1078</v>
      </c>
      <c r="E776" s="9" t="s">
        <v>175</v>
      </c>
      <c r="F776" s="9" t="n">
        <v>20</v>
      </c>
      <c r="G776" s="9" t="s">
        <v>61</v>
      </c>
      <c r="H776" s="14" t="n">
        <f aca="false">IFERROR(F776*VLOOKUP(E776,Insumos!$A:$G,7,FALSE()),0)</f>
        <v>7.7</v>
      </c>
      <c r="I776" s="15"/>
    </row>
    <row r="777" customFormat="false" ht="15" hidden="false" customHeight="false" outlineLevel="0" collapsed="false">
      <c r="A777" s="9" t="n">
        <v>51</v>
      </c>
      <c r="B777" s="9" t="s">
        <v>1060</v>
      </c>
      <c r="C777" s="9" t="s">
        <v>1074</v>
      </c>
      <c r="D777" s="9" t="s">
        <v>1079</v>
      </c>
      <c r="E777" s="9" t="s">
        <v>126</v>
      </c>
      <c r="F777" s="9" t="n">
        <v>25</v>
      </c>
      <c r="G777" s="9" t="s">
        <v>61</v>
      </c>
      <c r="H777" s="14" t="n">
        <f aca="false">IFERROR(F777*VLOOKUP(E777,Insumos!$A:$G,7,FALSE()),0)</f>
        <v>0.7</v>
      </c>
      <c r="I777" s="16" t="s">
        <v>1080</v>
      </c>
    </row>
    <row r="778" customFormat="false" ht="15" hidden="false" customHeight="false" outlineLevel="0" collapsed="false">
      <c r="A778" s="9" t="n">
        <v>51</v>
      </c>
      <c r="B778" s="9" t="s">
        <v>1060</v>
      </c>
      <c r="C778" s="9" t="s">
        <v>1067</v>
      </c>
      <c r="D778" s="9" t="s">
        <v>1081</v>
      </c>
      <c r="E778" s="9" t="s">
        <v>68</v>
      </c>
      <c r="F778" s="9" t="n">
        <v>60</v>
      </c>
      <c r="G778" s="9" t="s">
        <v>61</v>
      </c>
      <c r="H778" s="14" t="n">
        <f aca="false">IFERROR(F778*VLOOKUP(E778,Insumos!$A:$G,7,FALSE()),0)</f>
        <v>7.08</v>
      </c>
      <c r="I778" s="16" t="s">
        <v>1082</v>
      </c>
    </row>
    <row r="780" customFormat="false" ht="15" hidden="false" customHeight="false" outlineLevel="0" collapsed="false">
      <c r="A780" s="2" t="s">
        <v>1083</v>
      </c>
    </row>
  </sheetData>
  <autoFilter ref="A5:I77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3"/>
    <col collapsed="false" customWidth="true" hidden="false" outlineLevel="0" max="4" min="4" style="0" width="70"/>
  </cols>
  <sheetData>
    <row r="1" customFormat="false" ht="19.7" hidden="false" customHeight="false" outlineLevel="0" collapsed="false">
      <c r="A1" s="1" t="s">
        <v>1084</v>
      </c>
    </row>
    <row r="2" customFormat="false" ht="15" hidden="false" customHeight="false" outlineLevel="0" collapsed="false">
      <c r="A2" s="2" t="s">
        <v>1085</v>
      </c>
    </row>
    <row r="3" customFormat="false" ht="15" hidden="false" customHeight="false" outlineLevel="0" collapsed="false">
      <c r="A3" s="3" t="s">
        <v>2</v>
      </c>
    </row>
    <row r="5" customFormat="false" ht="25.5" hidden="false" customHeight="true" outlineLevel="0" collapsed="false">
      <c r="A5" s="8" t="s">
        <v>1086</v>
      </c>
      <c r="B5" s="8" t="s">
        <v>1087</v>
      </c>
      <c r="C5" s="8"/>
      <c r="D5" s="8" t="s">
        <v>342</v>
      </c>
    </row>
    <row r="6" customFormat="false" ht="15" hidden="false" customHeight="false" outlineLevel="0" collapsed="false">
      <c r="A6" s="12" t="s">
        <v>1088</v>
      </c>
      <c r="B6" s="10" t="n">
        <v>18000</v>
      </c>
      <c r="D6" s="2" t="s">
        <v>1089</v>
      </c>
    </row>
    <row r="7" customFormat="false" ht="15" hidden="false" customHeight="false" outlineLevel="0" collapsed="false">
      <c r="A7" s="12" t="s">
        <v>1090</v>
      </c>
      <c r="B7" s="17" t="n">
        <v>500</v>
      </c>
      <c r="D7" s="2" t="s">
        <v>1091</v>
      </c>
    </row>
    <row r="8" customFormat="false" ht="15" hidden="false" customHeight="false" outlineLevel="0" collapsed="false">
      <c r="A8" s="12" t="s">
        <v>1092</v>
      </c>
      <c r="B8" s="10" t="n">
        <v>18000</v>
      </c>
      <c r="D8" s="2" t="s">
        <v>1093</v>
      </c>
    </row>
    <row r="9" customFormat="false" ht="15" hidden="false" customHeight="false" outlineLevel="0" collapsed="false">
      <c r="A9" s="12" t="s">
        <v>1094</v>
      </c>
      <c r="B9" s="17" t="n">
        <v>200</v>
      </c>
      <c r="D9" s="2" t="s">
        <v>1095</v>
      </c>
    </row>
    <row r="10" customFormat="false" ht="15" hidden="false" customHeight="false" outlineLevel="0" collapsed="false">
      <c r="A10" s="12" t="s">
        <v>1096</v>
      </c>
      <c r="B10" s="17" t="n">
        <v>15</v>
      </c>
      <c r="D10" s="2" t="s">
        <v>1097</v>
      </c>
    </row>
    <row r="11" customFormat="false" ht="15" hidden="false" customHeight="false" outlineLevel="0" collapsed="false">
      <c r="A11" s="12" t="s">
        <v>1098</v>
      </c>
      <c r="B11" s="10" t="n">
        <v>18</v>
      </c>
      <c r="D11" s="2" t="s">
        <v>1099</v>
      </c>
    </row>
    <row r="12" customFormat="false" ht="15" hidden="false" customHeight="false" outlineLevel="0" collapsed="false">
      <c r="A12" s="12" t="s">
        <v>1100</v>
      </c>
      <c r="B12" s="10" t="n">
        <v>2.5</v>
      </c>
      <c r="D12" s="2" t="s">
        <v>1101</v>
      </c>
    </row>
    <row r="13" customFormat="false" ht="15" hidden="false" customHeight="false" outlineLevel="0" collapsed="false">
      <c r="A13" s="12" t="s">
        <v>1102</v>
      </c>
      <c r="B13" s="10" t="n">
        <v>48</v>
      </c>
      <c r="D13" s="2" t="s">
        <v>1103</v>
      </c>
    </row>
    <row r="14" customFormat="false" ht="15" hidden="false" customHeight="false" outlineLevel="0" collapsed="false">
      <c r="A14" s="12" t="s">
        <v>1104</v>
      </c>
      <c r="B14" s="17" t="n">
        <v>4</v>
      </c>
      <c r="D14" s="2" t="s">
        <v>1105</v>
      </c>
    </row>
    <row r="15" customFormat="false" ht="15" hidden="false" customHeight="false" outlineLevel="0" collapsed="false">
      <c r="A15" s="12" t="s">
        <v>1106</v>
      </c>
      <c r="B15" s="18" t="n">
        <v>0.06</v>
      </c>
      <c r="D15" s="2" t="s">
        <v>1107</v>
      </c>
    </row>
    <row r="17" customFormat="false" ht="15" hidden="false" customHeight="false" outlineLevel="0" collapsed="false">
      <c r="A17" s="6" t="s">
        <v>1108</v>
      </c>
    </row>
    <row r="18" customFormat="false" ht="15" hidden="false" customHeight="false" outlineLevel="0" collapsed="false">
      <c r="A18" s="4" t="s">
        <v>1109</v>
      </c>
      <c r="B18" s="19" t="n">
        <f aca="false">IFERROR(B6/B7,0)</f>
        <v>36</v>
      </c>
      <c r="D18" s="2" t="s">
        <v>1110</v>
      </c>
    </row>
    <row r="19" customFormat="false" ht="15" hidden="false" customHeight="false" outlineLevel="0" collapsed="false">
      <c r="A19" s="4" t="s">
        <v>1111</v>
      </c>
      <c r="B19" s="19" t="n">
        <f aca="false">IFERROR(B8/B9,0)</f>
        <v>90</v>
      </c>
      <c r="D19" s="2" t="s">
        <v>1112</v>
      </c>
    </row>
    <row r="20" customFormat="false" ht="15" hidden="false" customHeight="false" outlineLevel="0" collapsed="false">
      <c r="A20" s="4" t="s">
        <v>1113</v>
      </c>
      <c r="B20" s="19" t="n">
        <f aca="false">IFERROR(B13/B14,0)</f>
        <v>12</v>
      </c>
      <c r="D20" s="2" t="s">
        <v>1114</v>
      </c>
    </row>
    <row r="23" customFormat="false" ht="15" hidden="false" customHeight="false" outlineLevel="0" collapsed="false">
      <c r="A23" s="6" t="s">
        <v>1115</v>
      </c>
    </row>
    <row r="24" customFormat="false" ht="25.5" hidden="false" customHeight="true" outlineLevel="0" collapsed="false">
      <c r="A24" s="8" t="s">
        <v>1116</v>
      </c>
      <c r="B24" s="8" t="s">
        <v>1117</v>
      </c>
      <c r="C24" s="8"/>
      <c r="D24" s="8" t="s">
        <v>1118</v>
      </c>
    </row>
    <row r="25" customFormat="false" ht="15" hidden="false" customHeight="false" outlineLevel="0" collapsed="false">
      <c r="A25" s="4" t="s">
        <v>1119</v>
      </c>
      <c r="B25" s="18" t="n">
        <v>0.6</v>
      </c>
      <c r="D25" s="2" t="s">
        <v>1120</v>
      </c>
    </row>
    <row r="26" customFormat="false" ht="15" hidden="false" customHeight="false" outlineLevel="0" collapsed="false">
      <c r="A26" s="4" t="s">
        <v>1121</v>
      </c>
      <c r="B26" s="18" t="n">
        <v>0.55</v>
      </c>
      <c r="D26" s="2" t="s">
        <v>1122</v>
      </c>
    </row>
    <row r="27" customFormat="false" ht="15" hidden="false" customHeight="false" outlineLevel="0" collapsed="false">
      <c r="A27" s="4" t="s">
        <v>1123</v>
      </c>
      <c r="B27" s="18" t="n">
        <v>0.72</v>
      </c>
      <c r="D27" s="2" t="s">
        <v>1122</v>
      </c>
    </row>
    <row r="28" customFormat="false" ht="15" hidden="false" customHeight="false" outlineLevel="0" collapsed="false">
      <c r="A28" s="4" t="s">
        <v>1124</v>
      </c>
      <c r="B28" s="18" t="n">
        <v>0.32</v>
      </c>
      <c r="D28" s="2" t="s">
        <v>1122</v>
      </c>
    </row>
    <row r="30" customFormat="false" ht="15" hidden="false" customHeight="false" outlineLevel="0" collapsed="false">
      <c r="A30" s="2" t="s">
        <v>1125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8"/>
    <col collapsed="false" customWidth="true" hidden="false" outlineLevel="0" max="4" min="4" style="0" width="6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8"/>
    <col collapsed="false" customWidth="true" hidden="false" outlineLevel="0" max="13" min="13" style="0" width="13"/>
    <col collapsed="false" customWidth="true" hidden="false" outlineLevel="0" max="14" min="14" style="0" width="9"/>
    <col collapsed="false" customWidth="true" hidden="false" outlineLevel="0" max="20" min="15" style="0" width="12"/>
    <col collapsed="false" customWidth="true" hidden="false" outlineLevel="0" max="21" min="21" style="0" width="10"/>
  </cols>
  <sheetData>
    <row r="1" customFormat="false" ht="19.7" hidden="false" customHeight="false" outlineLevel="0" collapsed="false">
      <c r="A1" s="1" t="s">
        <v>1126</v>
      </c>
    </row>
    <row r="2" customFormat="false" ht="15" hidden="false" customHeight="false" outlineLevel="0" collapsed="false">
      <c r="A2" s="2" t="s">
        <v>1127</v>
      </c>
    </row>
    <row r="3" customFormat="false" ht="15" hidden="false" customHeight="false" outlineLevel="0" collapsed="false">
      <c r="A3" s="3" t="s">
        <v>2</v>
      </c>
    </row>
    <row r="5" customFormat="false" ht="25.5" hidden="false" customHeight="true" outlineLevel="0" collapsed="false">
      <c r="A5" s="8" t="s">
        <v>387</v>
      </c>
      <c r="B5" s="8" t="s">
        <v>388</v>
      </c>
      <c r="C5" s="8" t="s">
        <v>1128</v>
      </c>
      <c r="D5" s="8" t="s">
        <v>1129</v>
      </c>
      <c r="E5" s="8" t="s">
        <v>1130</v>
      </c>
      <c r="F5" s="8" t="s">
        <v>1131</v>
      </c>
      <c r="G5" s="8" t="s">
        <v>1132</v>
      </c>
      <c r="H5" s="8" t="s">
        <v>1133</v>
      </c>
      <c r="I5" s="8" t="s">
        <v>1134</v>
      </c>
      <c r="J5" s="8" t="s">
        <v>1135</v>
      </c>
      <c r="K5" s="8" t="s">
        <v>1136</v>
      </c>
      <c r="L5" s="8" t="s">
        <v>1137</v>
      </c>
      <c r="M5" s="8" t="s">
        <v>1138</v>
      </c>
      <c r="N5" s="8" t="s">
        <v>1139</v>
      </c>
      <c r="O5" s="8" t="s">
        <v>1140</v>
      </c>
      <c r="P5" s="8" t="s">
        <v>1141</v>
      </c>
      <c r="Q5" s="8" t="s">
        <v>1121</v>
      </c>
      <c r="R5" s="8" t="s">
        <v>1142</v>
      </c>
      <c r="S5" s="8" t="s">
        <v>1143</v>
      </c>
      <c r="T5" s="8" t="s">
        <v>1144</v>
      </c>
      <c r="U5" s="8" t="s">
        <v>1145</v>
      </c>
    </row>
    <row r="6" customFormat="false" ht="15" hidden="false" customHeight="false" outlineLevel="0" collapsed="false">
      <c r="A6" s="9" t="n">
        <v>1</v>
      </c>
      <c r="B6" s="9" t="s">
        <v>395</v>
      </c>
      <c r="C6" s="12" t="s">
        <v>347</v>
      </c>
      <c r="D6" s="9" t="n">
        <v>6</v>
      </c>
      <c r="E6" s="14" t="n">
        <f aca="false">SUMIF(Ingredientes!$A:$A,$A6,Ingredientes!$H:$H)</f>
        <v>125.7555</v>
      </c>
      <c r="F6" s="14" t="n">
        <f aca="false">'Mi negocio'!$B$11</f>
        <v>18</v>
      </c>
      <c r="G6" s="14" t="n">
        <f aca="false">'Mi negocio'!$B$20</f>
        <v>12</v>
      </c>
      <c r="H6" s="20" t="n">
        <v>25</v>
      </c>
      <c r="I6" s="14" t="n">
        <f aca="false">(H6+'Mi negocio'!$B$10)/60*'Mi negocio'!$B$19</f>
        <v>60</v>
      </c>
      <c r="J6" s="14" t="n">
        <f aca="false">'Mi negocio'!$B$18</f>
        <v>36</v>
      </c>
      <c r="K6" s="14" t="n">
        <f aca="false">E6+F6+G6+I6+J6</f>
        <v>251.7555</v>
      </c>
      <c r="L6" s="21" t="n">
        <f aca="false">'Mi negocio'!$B$15</f>
        <v>0.06</v>
      </c>
      <c r="M6" s="19" t="n">
        <f aca="false">IFERROR(K6/(1-L6),0)</f>
        <v>267.825</v>
      </c>
      <c r="N6" s="20" t="n">
        <v>10</v>
      </c>
      <c r="O6" s="14" t="n">
        <f aca="false">IFERROR(M6/N6,0)</f>
        <v>26.7825</v>
      </c>
      <c r="P6" s="22" t="n">
        <f aca="false">IFERROR(CEILING((M6/N6+'Mi negocio'!$B$12)/(1-'Mi negocio'!$B$25),1),0)</f>
        <v>74</v>
      </c>
      <c r="Q6" s="22" t="n">
        <f aca="false">IFERROR(CEILING(M6/(1-'Mi negocio'!$B$26),5),0)</f>
        <v>600</v>
      </c>
      <c r="R6" s="22" t="n">
        <f aca="false">IFERROR(CEILING(M6/(1-'Mi negocio'!$B$27),5),0)</f>
        <v>960</v>
      </c>
      <c r="S6" s="22" t="n">
        <f aca="false">IFERROR(CEILING(M6/(1-'Mi negocio'!$B$28),5),0)</f>
        <v>395</v>
      </c>
      <c r="T6" s="14" t="n">
        <f aca="false">Q6-M6</f>
        <v>332.175</v>
      </c>
      <c r="U6" s="21" t="n">
        <f aca="false">IFERROR(T6/Q6,0)</f>
        <v>0.553625</v>
      </c>
    </row>
    <row r="7" customFormat="false" ht="15" hidden="false" customHeight="false" outlineLevel="0" collapsed="false">
      <c r="A7" s="9" t="n">
        <v>2</v>
      </c>
      <c r="B7" s="9" t="s">
        <v>413</v>
      </c>
      <c r="C7" s="12" t="s">
        <v>353</v>
      </c>
      <c r="D7" s="9" t="n">
        <v>6</v>
      </c>
      <c r="E7" s="14" t="n">
        <f aca="false">SUMIF(Ingredientes!$A:$A,$A7,Ingredientes!$H:$H)</f>
        <v>143.725</v>
      </c>
      <c r="F7" s="14" t="n">
        <f aca="false">'Mi negocio'!$B$11</f>
        <v>18</v>
      </c>
      <c r="G7" s="14" t="n">
        <f aca="false">'Mi negocio'!$B$20</f>
        <v>12</v>
      </c>
      <c r="H7" s="20" t="n">
        <v>35</v>
      </c>
      <c r="I7" s="14" t="n">
        <f aca="false">(H7+'Mi negocio'!$B$10)/60*'Mi negocio'!$B$19</f>
        <v>75</v>
      </c>
      <c r="J7" s="14" t="n">
        <f aca="false">'Mi negocio'!$B$18</f>
        <v>36</v>
      </c>
      <c r="K7" s="14" t="n">
        <f aca="false">E7+F7+G7+I7+J7</f>
        <v>284.725</v>
      </c>
      <c r="L7" s="21" t="n">
        <f aca="false">'Mi negocio'!$B$15</f>
        <v>0.06</v>
      </c>
      <c r="M7" s="19" t="n">
        <f aca="false">IFERROR(K7/(1-L7),0)</f>
        <v>302.898936170213</v>
      </c>
      <c r="N7" s="20" t="n">
        <v>10</v>
      </c>
      <c r="O7" s="14" t="n">
        <f aca="false">IFERROR(M7/N7,0)</f>
        <v>30.2898936170213</v>
      </c>
      <c r="P7" s="22" t="n">
        <f aca="false">IFERROR(CEILING((M7/N7+'Mi negocio'!$B$12)/(1-'Mi negocio'!$B$25),1),0)</f>
        <v>82</v>
      </c>
      <c r="Q7" s="22" t="n">
        <f aca="false">IFERROR(CEILING(M7/(1-'Mi negocio'!$B$26),5),0)</f>
        <v>675</v>
      </c>
      <c r="R7" s="22" t="n">
        <f aca="false">IFERROR(CEILING(M7/(1-'Mi negocio'!$B$27),5),0)</f>
        <v>1085</v>
      </c>
      <c r="S7" s="22" t="n">
        <f aca="false">IFERROR(CEILING(M7/(1-'Mi negocio'!$B$28),5),0)</f>
        <v>450</v>
      </c>
      <c r="T7" s="14" t="n">
        <f aca="false">Q7-M7</f>
        <v>372.101063829787</v>
      </c>
      <c r="U7" s="21" t="n">
        <f aca="false">IFERROR(T7/Q7,0)</f>
        <v>0.551260835303388</v>
      </c>
    </row>
    <row r="8" customFormat="false" ht="15" hidden="false" customHeight="false" outlineLevel="0" collapsed="false">
      <c r="A8" s="9" t="n">
        <v>3</v>
      </c>
      <c r="B8" s="9" t="s">
        <v>431</v>
      </c>
      <c r="C8" s="12" t="s">
        <v>347</v>
      </c>
      <c r="D8" s="9" t="n">
        <v>6</v>
      </c>
      <c r="E8" s="14" t="n">
        <f aca="false">SUMIF(Ingredientes!$A:$A,$A8,Ingredientes!$H:$H)</f>
        <v>140.711333333333</v>
      </c>
      <c r="F8" s="14" t="n">
        <f aca="false">'Mi negocio'!$B$11</f>
        <v>18</v>
      </c>
      <c r="G8" s="14" t="n">
        <f aca="false">'Mi negocio'!$B$20</f>
        <v>12</v>
      </c>
      <c r="H8" s="20" t="n">
        <v>30</v>
      </c>
      <c r="I8" s="14" t="n">
        <f aca="false">(H8+'Mi negocio'!$B$10)/60*'Mi negocio'!$B$19</f>
        <v>67.5</v>
      </c>
      <c r="J8" s="14" t="n">
        <f aca="false">'Mi negocio'!$B$18</f>
        <v>36</v>
      </c>
      <c r="K8" s="14" t="n">
        <f aca="false">E8+F8+G8+I8+J8</f>
        <v>274.211333333333</v>
      </c>
      <c r="L8" s="21" t="n">
        <f aca="false">'Mi negocio'!$B$15</f>
        <v>0.06</v>
      </c>
      <c r="M8" s="19" t="n">
        <f aca="false">IFERROR(K8/(1-L8),0)</f>
        <v>291.714184397163</v>
      </c>
      <c r="N8" s="20" t="n">
        <v>12</v>
      </c>
      <c r="O8" s="14" t="n">
        <f aca="false">IFERROR(M8/N8,0)</f>
        <v>24.3095153664303</v>
      </c>
      <c r="P8" s="22" t="n">
        <f aca="false">IFERROR(CEILING((M8/N8+'Mi negocio'!$B$12)/(1-'Mi negocio'!$B$25),1),0)</f>
        <v>68</v>
      </c>
      <c r="Q8" s="22" t="n">
        <f aca="false">IFERROR(CEILING(M8/(1-'Mi negocio'!$B$26),5),0)</f>
        <v>650</v>
      </c>
      <c r="R8" s="22" t="n">
        <f aca="false">IFERROR(CEILING(M8/(1-'Mi negocio'!$B$27),5),0)</f>
        <v>1045</v>
      </c>
      <c r="S8" s="22" t="n">
        <f aca="false">IFERROR(CEILING(M8/(1-'Mi negocio'!$B$28),5),0)</f>
        <v>430</v>
      </c>
      <c r="T8" s="14" t="n">
        <f aca="false">Q8-M8</f>
        <v>358.285815602837</v>
      </c>
      <c r="U8" s="21" t="n">
        <f aca="false">IFERROR(T8/Q8,0)</f>
        <v>0.551208947081288</v>
      </c>
    </row>
    <row r="9" customFormat="false" ht="15" hidden="false" customHeight="false" outlineLevel="0" collapsed="false">
      <c r="A9" s="9" t="n">
        <v>4</v>
      </c>
      <c r="B9" s="9" t="s">
        <v>447</v>
      </c>
      <c r="C9" s="12" t="s">
        <v>347</v>
      </c>
      <c r="D9" s="9" t="n">
        <v>6</v>
      </c>
      <c r="E9" s="14" t="n">
        <f aca="false">SUMIF(Ingredientes!$A:$A,$A9,Ingredientes!$H:$H)</f>
        <v>143.91</v>
      </c>
      <c r="F9" s="14" t="n">
        <f aca="false">'Mi negocio'!$B$11</f>
        <v>18</v>
      </c>
      <c r="G9" s="14" t="n">
        <f aca="false">'Mi negocio'!$B$20</f>
        <v>12</v>
      </c>
      <c r="H9" s="20" t="n">
        <v>40</v>
      </c>
      <c r="I9" s="14" t="n">
        <f aca="false">(H9+'Mi negocio'!$B$10)/60*'Mi negocio'!$B$19</f>
        <v>82.5</v>
      </c>
      <c r="J9" s="14" t="n">
        <f aca="false">'Mi negocio'!$B$18</f>
        <v>36</v>
      </c>
      <c r="K9" s="14" t="n">
        <f aca="false">E9+F9+G9+I9+J9</f>
        <v>292.41</v>
      </c>
      <c r="L9" s="21" t="n">
        <f aca="false">'Mi negocio'!$B$15</f>
        <v>0.06</v>
      </c>
      <c r="M9" s="19" t="n">
        <f aca="false">IFERROR(K9/(1-L9),0)</f>
        <v>311.074468085106</v>
      </c>
      <c r="N9" s="20" t="n">
        <v>10</v>
      </c>
      <c r="O9" s="14" t="n">
        <f aca="false">IFERROR(M9/N9,0)</f>
        <v>31.1074468085106</v>
      </c>
      <c r="P9" s="22" t="n">
        <f aca="false">IFERROR(CEILING((M9/N9+'Mi negocio'!$B$12)/(1-'Mi negocio'!$B$25),1),0)</f>
        <v>85</v>
      </c>
      <c r="Q9" s="22" t="n">
        <f aca="false">IFERROR(CEILING(M9/(1-'Mi negocio'!$B$26),5),0)</f>
        <v>695</v>
      </c>
      <c r="R9" s="22" t="n">
        <f aca="false">IFERROR(CEILING(M9/(1-'Mi negocio'!$B$27),5),0)</f>
        <v>1115</v>
      </c>
      <c r="S9" s="22" t="n">
        <f aca="false">IFERROR(CEILING(M9/(1-'Mi negocio'!$B$28),5),0)</f>
        <v>460</v>
      </c>
      <c r="T9" s="14" t="n">
        <f aca="false">Q9-M9</f>
        <v>383.925531914894</v>
      </c>
      <c r="U9" s="21" t="n">
        <f aca="false">IFERROR(T9/Q9,0)</f>
        <v>0.552410837287617</v>
      </c>
    </row>
    <row r="10" customFormat="false" ht="15" hidden="false" customHeight="false" outlineLevel="0" collapsed="false">
      <c r="A10" s="9" t="n">
        <v>5</v>
      </c>
      <c r="B10" s="9" t="s">
        <v>467</v>
      </c>
      <c r="C10" s="12" t="s">
        <v>359</v>
      </c>
      <c r="D10" s="9" t="n">
        <v>6</v>
      </c>
      <c r="E10" s="14" t="n">
        <f aca="false">SUMIF(Ingredientes!$A:$A,$A10,Ingredientes!$H:$H)</f>
        <v>143.720333333333</v>
      </c>
      <c r="F10" s="14" t="n">
        <f aca="false">'Mi negocio'!$B$11</f>
        <v>18</v>
      </c>
      <c r="G10" s="14" t="n">
        <f aca="false">'Mi negocio'!$B$20</f>
        <v>12</v>
      </c>
      <c r="H10" s="20" t="n">
        <v>35</v>
      </c>
      <c r="I10" s="14" t="n">
        <f aca="false">(H10+'Mi negocio'!$B$10)/60*'Mi negocio'!$B$19</f>
        <v>75</v>
      </c>
      <c r="J10" s="14" t="n">
        <f aca="false">'Mi negocio'!$B$18</f>
        <v>36</v>
      </c>
      <c r="K10" s="14" t="n">
        <f aca="false">E10+F10+G10+I10+J10</f>
        <v>284.720333333333</v>
      </c>
      <c r="L10" s="21" t="n">
        <f aca="false">'Mi negocio'!$B$15</f>
        <v>0.06</v>
      </c>
      <c r="M10" s="19" t="n">
        <f aca="false">IFERROR(K10/(1-L10),0)</f>
        <v>302.893971631206</v>
      </c>
      <c r="N10" s="20" t="n">
        <v>10</v>
      </c>
      <c r="O10" s="14" t="n">
        <f aca="false">IFERROR(M10/N10,0)</f>
        <v>30.2893971631206</v>
      </c>
      <c r="P10" s="22" t="n">
        <f aca="false">IFERROR(CEILING((M10/N10+'Mi negocio'!$B$12)/(1-'Mi negocio'!$B$25),1),0)</f>
        <v>82</v>
      </c>
      <c r="Q10" s="22" t="n">
        <f aca="false">IFERROR(CEILING(M10/(1-'Mi negocio'!$B$26),5),0)</f>
        <v>675</v>
      </c>
      <c r="R10" s="22" t="n">
        <f aca="false">IFERROR(CEILING(M10/(1-'Mi negocio'!$B$27),5),0)</f>
        <v>1085</v>
      </c>
      <c r="S10" s="22" t="n">
        <f aca="false">IFERROR(CEILING(M10/(1-'Mi negocio'!$B$28),5),0)</f>
        <v>450</v>
      </c>
      <c r="T10" s="14" t="n">
        <f aca="false">Q10-M10</f>
        <v>372.106028368794</v>
      </c>
      <c r="U10" s="21" t="n">
        <f aca="false">IFERROR(T10/Q10,0)</f>
        <v>0.551268190175992</v>
      </c>
    </row>
    <row r="11" customFormat="false" ht="15" hidden="false" customHeight="false" outlineLevel="0" collapsed="false">
      <c r="A11" s="9" t="n">
        <v>6</v>
      </c>
      <c r="B11" s="9" t="s">
        <v>485</v>
      </c>
      <c r="C11" s="12" t="s">
        <v>347</v>
      </c>
      <c r="D11" s="9" t="n">
        <v>6</v>
      </c>
      <c r="E11" s="14" t="n">
        <f aca="false">SUMIF(Ingredientes!$A:$A,$A11,Ingredientes!$H:$H)</f>
        <v>261.452</v>
      </c>
      <c r="F11" s="14" t="n">
        <f aca="false">'Mi negocio'!$B$11</f>
        <v>18</v>
      </c>
      <c r="G11" s="14" t="n">
        <f aca="false">'Mi negocio'!$B$20</f>
        <v>12</v>
      </c>
      <c r="H11" s="20" t="n">
        <v>30</v>
      </c>
      <c r="I11" s="14" t="n">
        <f aca="false">(H11+'Mi negocio'!$B$10)/60*'Mi negocio'!$B$19</f>
        <v>67.5</v>
      </c>
      <c r="J11" s="14" t="n">
        <f aca="false">'Mi negocio'!$B$18</f>
        <v>36</v>
      </c>
      <c r="K11" s="14" t="n">
        <f aca="false">E11+F11+G11+I11+J11</f>
        <v>394.952</v>
      </c>
      <c r="L11" s="21" t="n">
        <f aca="false">'Mi negocio'!$B$15</f>
        <v>0.06</v>
      </c>
      <c r="M11" s="19" t="n">
        <f aca="false">IFERROR(K11/(1-L11),0)</f>
        <v>420.16170212766</v>
      </c>
      <c r="N11" s="20" t="n">
        <v>10</v>
      </c>
      <c r="O11" s="14" t="n">
        <f aca="false">IFERROR(M11/N11,0)</f>
        <v>42.016170212766</v>
      </c>
      <c r="P11" s="22" t="n">
        <f aca="false">IFERROR(CEILING((M11/N11+'Mi negocio'!$B$12)/(1-'Mi negocio'!$B$25),1),0)</f>
        <v>112</v>
      </c>
      <c r="Q11" s="22" t="n">
        <f aca="false">IFERROR(CEILING(M11/(1-'Mi negocio'!$B$26),5),0)</f>
        <v>935</v>
      </c>
      <c r="R11" s="22" t="n">
        <f aca="false">IFERROR(CEILING(M11/(1-'Mi negocio'!$B$27),5),0)</f>
        <v>1505</v>
      </c>
      <c r="S11" s="22" t="n">
        <f aca="false">IFERROR(CEILING(M11/(1-'Mi negocio'!$B$28),5),0)</f>
        <v>620</v>
      </c>
      <c r="T11" s="14" t="n">
        <f aca="false">Q11-M11</f>
        <v>514.83829787234</v>
      </c>
      <c r="U11" s="21" t="n">
        <f aca="false">IFERROR(T11/Q11,0)</f>
        <v>0.550629195585391</v>
      </c>
    </row>
    <row r="12" customFormat="false" ht="15" hidden="false" customHeight="false" outlineLevel="0" collapsed="false">
      <c r="A12" s="9" t="n">
        <v>7</v>
      </c>
      <c r="B12" s="9" t="s">
        <v>501</v>
      </c>
      <c r="C12" s="12" t="s">
        <v>347</v>
      </c>
      <c r="D12" s="9" t="n">
        <v>6</v>
      </c>
      <c r="E12" s="14" t="n">
        <f aca="false">SUMIF(Ingredientes!$A:$A,$A12,Ingredientes!$H:$H)</f>
        <v>92.678</v>
      </c>
      <c r="F12" s="14" t="n">
        <f aca="false">'Mi negocio'!$B$11</f>
        <v>18</v>
      </c>
      <c r="G12" s="14" t="n">
        <f aca="false">'Mi negocio'!$B$20</f>
        <v>12</v>
      </c>
      <c r="H12" s="20" t="n">
        <v>25</v>
      </c>
      <c r="I12" s="14" t="n">
        <f aca="false">(H12+'Mi negocio'!$B$10)/60*'Mi negocio'!$B$19</f>
        <v>60</v>
      </c>
      <c r="J12" s="14" t="n">
        <f aca="false">'Mi negocio'!$B$18</f>
        <v>36</v>
      </c>
      <c r="K12" s="14" t="n">
        <f aca="false">E12+F12+G12+I12+J12</f>
        <v>218.678</v>
      </c>
      <c r="L12" s="21" t="n">
        <f aca="false">'Mi negocio'!$B$15</f>
        <v>0.06</v>
      </c>
      <c r="M12" s="19" t="n">
        <f aca="false">IFERROR(K12/(1-L12),0)</f>
        <v>232.636170212766</v>
      </c>
      <c r="N12" s="20" t="n">
        <v>10</v>
      </c>
      <c r="O12" s="14" t="n">
        <f aca="false">IFERROR(M12/N12,0)</f>
        <v>23.2636170212766</v>
      </c>
      <c r="P12" s="22" t="n">
        <f aca="false">IFERROR(CEILING((M12/N12+'Mi negocio'!$B$12)/(1-'Mi negocio'!$B$25),1),0)</f>
        <v>65</v>
      </c>
      <c r="Q12" s="22" t="n">
        <f aca="false">IFERROR(CEILING(M12/(1-'Mi negocio'!$B$26),5),0)</f>
        <v>520</v>
      </c>
      <c r="R12" s="22" t="n">
        <f aca="false">IFERROR(CEILING(M12/(1-'Mi negocio'!$B$27),5),0)</f>
        <v>835</v>
      </c>
      <c r="S12" s="22" t="n">
        <f aca="false">IFERROR(CEILING(M12/(1-'Mi negocio'!$B$28),5),0)</f>
        <v>345</v>
      </c>
      <c r="T12" s="14" t="n">
        <f aca="false">Q12-M12</f>
        <v>287.363829787234</v>
      </c>
      <c r="U12" s="21" t="n">
        <f aca="false">IFERROR(T12/Q12,0)</f>
        <v>0.552622749590835</v>
      </c>
    </row>
    <row r="13" customFormat="false" ht="15" hidden="false" customHeight="false" outlineLevel="0" collapsed="false">
      <c r="A13" s="9" t="n">
        <v>8</v>
      </c>
      <c r="B13" s="9" t="s">
        <v>514</v>
      </c>
      <c r="C13" s="12" t="s">
        <v>347</v>
      </c>
      <c r="D13" s="9" t="n">
        <v>6</v>
      </c>
      <c r="E13" s="14" t="n">
        <f aca="false">SUMIF(Ingredientes!$A:$A,$A13,Ingredientes!$H:$H)</f>
        <v>118.77</v>
      </c>
      <c r="F13" s="14" t="n">
        <f aca="false">'Mi negocio'!$B$11</f>
        <v>18</v>
      </c>
      <c r="G13" s="14" t="n">
        <f aca="false">'Mi negocio'!$B$20</f>
        <v>12</v>
      </c>
      <c r="H13" s="20" t="n">
        <v>40</v>
      </c>
      <c r="I13" s="14" t="n">
        <f aca="false">(H13+'Mi negocio'!$B$10)/60*'Mi negocio'!$B$19</f>
        <v>82.5</v>
      </c>
      <c r="J13" s="14" t="n">
        <f aca="false">'Mi negocio'!$B$18</f>
        <v>36</v>
      </c>
      <c r="K13" s="14" t="n">
        <f aca="false">E13+F13+G13+I13+J13</f>
        <v>267.27</v>
      </c>
      <c r="L13" s="21" t="n">
        <f aca="false">'Mi negocio'!$B$15</f>
        <v>0.06</v>
      </c>
      <c r="M13" s="19" t="n">
        <f aca="false">IFERROR(K13/(1-L13),0)</f>
        <v>284.329787234043</v>
      </c>
      <c r="N13" s="20" t="n">
        <v>12</v>
      </c>
      <c r="O13" s="14" t="n">
        <f aca="false">IFERROR(M13/N13,0)</f>
        <v>23.6941489361702</v>
      </c>
      <c r="P13" s="22" t="n">
        <f aca="false">IFERROR(CEILING((M13/N13+'Mi negocio'!$B$12)/(1-'Mi negocio'!$B$25),1),0)</f>
        <v>66</v>
      </c>
      <c r="Q13" s="22" t="n">
        <f aca="false">IFERROR(CEILING(M13/(1-'Mi negocio'!$B$26),5),0)</f>
        <v>635</v>
      </c>
      <c r="R13" s="22" t="n">
        <f aca="false">IFERROR(CEILING(M13/(1-'Mi negocio'!$B$27),5),0)</f>
        <v>1020</v>
      </c>
      <c r="S13" s="22" t="n">
        <f aca="false">IFERROR(CEILING(M13/(1-'Mi negocio'!$B$28),5),0)</f>
        <v>420</v>
      </c>
      <c r="T13" s="14" t="n">
        <f aca="false">Q13-M13</f>
        <v>350.670212765957</v>
      </c>
      <c r="U13" s="21" t="n">
        <f aca="false">IFERROR(T13/Q13,0)</f>
        <v>0.552236555536941</v>
      </c>
    </row>
    <row r="14" customFormat="false" ht="15" hidden="false" customHeight="false" outlineLevel="0" collapsed="false">
      <c r="A14" s="9" t="n">
        <v>9</v>
      </c>
      <c r="B14" s="9" t="s">
        <v>531</v>
      </c>
      <c r="C14" s="12" t="s">
        <v>353</v>
      </c>
      <c r="D14" s="9" t="n">
        <v>6</v>
      </c>
      <c r="E14" s="14" t="n">
        <f aca="false">SUMIF(Ingredientes!$A:$A,$A14,Ingredientes!$H:$H)</f>
        <v>152.6925</v>
      </c>
      <c r="F14" s="14" t="n">
        <f aca="false">'Mi negocio'!$B$11</f>
        <v>18</v>
      </c>
      <c r="G14" s="14" t="n">
        <f aca="false">'Mi negocio'!$B$20</f>
        <v>12</v>
      </c>
      <c r="H14" s="20" t="n">
        <v>30</v>
      </c>
      <c r="I14" s="14" t="n">
        <f aca="false">(H14+'Mi negocio'!$B$10)/60*'Mi negocio'!$B$19</f>
        <v>67.5</v>
      </c>
      <c r="J14" s="14" t="n">
        <f aca="false">'Mi negocio'!$B$18</f>
        <v>36</v>
      </c>
      <c r="K14" s="14" t="n">
        <f aca="false">E14+F14+G14+I14+J14</f>
        <v>286.1925</v>
      </c>
      <c r="L14" s="21" t="n">
        <f aca="false">'Mi negocio'!$B$15</f>
        <v>0.06</v>
      </c>
      <c r="M14" s="19" t="n">
        <f aca="false">IFERROR(K14/(1-L14),0)</f>
        <v>304.460106382979</v>
      </c>
      <c r="N14" s="20" t="n">
        <v>10</v>
      </c>
      <c r="O14" s="14" t="n">
        <f aca="false">IFERROR(M14/N14,0)</f>
        <v>30.4460106382979</v>
      </c>
      <c r="P14" s="22" t="n">
        <f aca="false">IFERROR(CEILING((M14/N14+'Mi negocio'!$B$12)/(1-'Mi negocio'!$B$25),1),0)</f>
        <v>83</v>
      </c>
      <c r="Q14" s="22" t="n">
        <f aca="false">IFERROR(CEILING(M14/(1-'Mi negocio'!$B$26),5),0)</f>
        <v>680</v>
      </c>
      <c r="R14" s="22" t="n">
        <f aca="false">IFERROR(CEILING(M14/(1-'Mi negocio'!$B$27),5),0)</f>
        <v>1090</v>
      </c>
      <c r="S14" s="22" t="n">
        <f aca="false">IFERROR(CEILING(M14/(1-'Mi negocio'!$B$28),5),0)</f>
        <v>450</v>
      </c>
      <c r="T14" s="14" t="n">
        <f aca="false">Q14-M14</f>
        <v>375.539893617021</v>
      </c>
      <c r="U14" s="21" t="n">
        <f aca="false">IFERROR(T14/Q14,0)</f>
        <v>0.552264549436796</v>
      </c>
    </row>
    <row r="15" customFormat="false" ht="15" hidden="false" customHeight="false" outlineLevel="0" collapsed="false">
      <c r="A15" s="9" t="n">
        <v>10</v>
      </c>
      <c r="B15" s="9" t="s">
        <v>547</v>
      </c>
      <c r="C15" s="12" t="s">
        <v>347</v>
      </c>
      <c r="D15" s="9" t="n">
        <v>7</v>
      </c>
      <c r="E15" s="14" t="n">
        <f aca="false">SUMIF(Ingredientes!$A:$A,$A15,Ingredientes!$H:$H)</f>
        <v>108.177111111111</v>
      </c>
      <c r="F15" s="14" t="n">
        <f aca="false">'Mi negocio'!$B$11</f>
        <v>18</v>
      </c>
      <c r="G15" s="14" t="n">
        <f aca="false">'Mi negocio'!$B$20</f>
        <v>12</v>
      </c>
      <c r="H15" s="20" t="n">
        <v>25</v>
      </c>
      <c r="I15" s="14" t="n">
        <f aca="false">(H15+'Mi negocio'!$B$10)/60*'Mi negocio'!$B$19</f>
        <v>60</v>
      </c>
      <c r="J15" s="14" t="n">
        <f aca="false">'Mi negocio'!$B$18</f>
        <v>36</v>
      </c>
      <c r="K15" s="14" t="n">
        <f aca="false">E15+F15+G15+I15+J15</f>
        <v>234.177111111111</v>
      </c>
      <c r="L15" s="21" t="n">
        <f aca="false">'Mi negocio'!$B$15</f>
        <v>0.06</v>
      </c>
      <c r="M15" s="19" t="n">
        <f aca="false">IFERROR(K15/(1-L15),0)</f>
        <v>249.124586288416</v>
      </c>
      <c r="N15" s="20" t="n">
        <v>10</v>
      </c>
      <c r="O15" s="14" t="n">
        <f aca="false">IFERROR(M15/N15,0)</f>
        <v>24.9124586288416</v>
      </c>
      <c r="P15" s="22" t="n">
        <f aca="false">IFERROR(CEILING((M15/N15+'Mi negocio'!$B$12)/(1-'Mi negocio'!$B$25),1),0)</f>
        <v>69</v>
      </c>
      <c r="Q15" s="22" t="n">
        <f aca="false">IFERROR(CEILING(M15/(1-'Mi negocio'!$B$26),5),0)</f>
        <v>555</v>
      </c>
      <c r="R15" s="22" t="n">
        <f aca="false">IFERROR(CEILING(M15/(1-'Mi negocio'!$B$27),5),0)</f>
        <v>890</v>
      </c>
      <c r="S15" s="22" t="n">
        <f aca="false">IFERROR(CEILING(M15/(1-'Mi negocio'!$B$28),5),0)</f>
        <v>370</v>
      </c>
      <c r="T15" s="14" t="n">
        <f aca="false">Q15-M15</f>
        <v>305.875413711584</v>
      </c>
      <c r="U15" s="21" t="n">
        <f aca="false">IFERROR(T15/Q15,0)</f>
        <v>0.551126871552404</v>
      </c>
    </row>
    <row r="16" customFormat="false" ht="15" hidden="false" customHeight="false" outlineLevel="0" collapsed="false">
      <c r="A16" s="9" t="n">
        <v>11</v>
      </c>
      <c r="B16" s="9" t="s">
        <v>559</v>
      </c>
      <c r="C16" s="12" t="s">
        <v>356</v>
      </c>
      <c r="D16" s="9" t="n">
        <v>7</v>
      </c>
      <c r="E16" s="14" t="n">
        <f aca="false">SUMIF(Ingredientes!$A:$A,$A16,Ingredientes!$H:$H)</f>
        <v>111.031555555556</v>
      </c>
      <c r="F16" s="14" t="n">
        <f aca="false">'Mi negocio'!$B$11</f>
        <v>18</v>
      </c>
      <c r="G16" s="14" t="n">
        <f aca="false">'Mi negocio'!$B$20</f>
        <v>12</v>
      </c>
      <c r="H16" s="20" t="n">
        <v>30</v>
      </c>
      <c r="I16" s="14" t="n">
        <f aca="false">(H16+'Mi negocio'!$B$10)/60*'Mi negocio'!$B$19</f>
        <v>67.5</v>
      </c>
      <c r="J16" s="14" t="n">
        <f aca="false">'Mi negocio'!$B$18</f>
        <v>36</v>
      </c>
      <c r="K16" s="14" t="n">
        <f aca="false">E16+F16+G16+I16+J16</f>
        <v>244.531555555556</v>
      </c>
      <c r="L16" s="21" t="n">
        <f aca="false">'Mi negocio'!$B$15</f>
        <v>0.06</v>
      </c>
      <c r="M16" s="19" t="n">
        <f aca="false">IFERROR(K16/(1-L16),0)</f>
        <v>260.139952718676</v>
      </c>
      <c r="N16" s="20" t="n">
        <v>10</v>
      </c>
      <c r="O16" s="14" t="n">
        <f aca="false">IFERROR(M16/N16,0)</f>
        <v>26.0139952718676</v>
      </c>
      <c r="P16" s="22" t="n">
        <f aca="false">IFERROR(CEILING((M16/N16+'Mi negocio'!$B$12)/(1-'Mi negocio'!$B$25),1),0)</f>
        <v>72</v>
      </c>
      <c r="Q16" s="22" t="n">
        <f aca="false">IFERROR(CEILING(M16/(1-'Mi negocio'!$B$26),5),0)</f>
        <v>580</v>
      </c>
      <c r="R16" s="22" t="n">
        <f aca="false">IFERROR(CEILING(M16/(1-'Mi negocio'!$B$27),5),0)</f>
        <v>930</v>
      </c>
      <c r="S16" s="22" t="n">
        <f aca="false">IFERROR(CEILING(M16/(1-'Mi negocio'!$B$28),5),0)</f>
        <v>385</v>
      </c>
      <c r="T16" s="14" t="n">
        <f aca="false">Q16-M16</f>
        <v>319.860047281324</v>
      </c>
      <c r="U16" s="21" t="n">
        <f aca="false">IFERROR(T16/Q16,0)</f>
        <v>0.551482840140214</v>
      </c>
    </row>
    <row r="17" customFormat="false" ht="15" hidden="false" customHeight="false" outlineLevel="0" collapsed="false">
      <c r="A17" s="9" t="n">
        <v>12</v>
      </c>
      <c r="B17" s="9" t="s">
        <v>576</v>
      </c>
      <c r="C17" s="12" t="s">
        <v>347</v>
      </c>
      <c r="D17" s="9" t="n">
        <v>7</v>
      </c>
      <c r="E17" s="14" t="n">
        <f aca="false">SUMIF(Ingredientes!$A:$A,$A17,Ingredientes!$H:$H)</f>
        <v>105.595333333333</v>
      </c>
      <c r="F17" s="14" t="n">
        <f aca="false">'Mi negocio'!$B$11</f>
        <v>18</v>
      </c>
      <c r="G17" s="14" t="n">
        <f aca="false">'Mi negocio'!$B$20</f>
        <v>12</v>
      </c>
      <c r="H17" s="20" t="n">
        <v>30</v>
      </c>
      <c r="I17" s="14" t="n">
        <f aca="false">(H17+'Mi negocio'!$B$10)/60*'Mi negocio'!$B$19</f>
        <v>67.5</v>
      </c>
      <c r="J17" s="14" t="n">
        <f aca="false">'Mi negocio'!$B$18</f>
        <v>36</v>
      </c>
      <c r="K17" s="14" t="n">
        <f aca="false">E17+F17+G17+I17+J17</f>
        <v>239.095333333333</v>
      </c>
      <c r="L17" s="21" t="n">
        <f aca="false">'Mi negocio'!$B$15</f>
        <v>0.06</v>
      </c>
      <c r="M17" s="19" t="n">
        <f aca="false">IFERROR(K17/(1-L17),0)</f>
        <v>254.356737588652</v>
      </c>
      <c r="N17" s="20" t="n">
        <v>10</v>
      </c>
      <c r="O17" s="14" t="n">
        <f aca="false">IFERROR(M17/N17,0)</f>
        <v>25.4356737588652</v>
      </c>
      <c r="P17" s="22" t="n">
        <f aca="false">IFERROR(CEILING((M17/N17+'Mi negocio'!$B$12)/(1-'Mi negocio'!$B$25),1),0)</f>
        <v>70</v>
      </c>
      <c r="Q17" s="22" t="n">
        <f aca="false">IFERROR(CEILING(M17/(1-'Mi negocio'!$B$26),5),0)</f>
        <v>570</v>
      </c>
      <c r="R17" s="22" t="n">
        <f aca="false">IFERROR(CEILING(M17/(1-'Mi negocio'!$B$27),5),0)</f>
        <v>910</v>
      </c>
      <c r="S17" s="22" t="n">
        <f aca="false">IFERROR(CEILING(M17/(1-'Mi negocio'!$B$28),5),0)</f>
        <v>375</v>
      </c>
      <c r="T17" s="14" t="n">
        <f aca="false">Q17-M17</f>
        <v>315.643262411348</v>
      </c>
      <c r="U17" s="21" t="n">
        <f aca="false">IFERROR(T17/Q17,0)</f>
        <v>0.553760109493592</v>
      </c>
    </row>
    <row r="18" customFormat="false" ht="15" hidden="false" customHeight="false" outlineLevel="0" collapsed="false">
      <c r="A18" s="9" t="n">
        <v>13</v>
      </c>
      <c r="B18" s="9" t="s">
        <v>589</v>
      </c>
      <c r="C18" s="12" t="s">
        <v>347</v>
      </c>
      <c r="D18" s="9" t="n">
        <v>7</v>
      </c>
      <c r="E18" s="14" t="n">
        <f aca="false">SUMIF(Ingredientes!$A:$A,$A18,Ingredientes!$H:$H)</f>
        <v>83.048</v>
      </c>
      <c r="F18" s="14" t="n">
        <f aca="false">'Mi negocio'!$B$11</f>
        <v>18</v>
      </c>
      <c r="G18" s="14" t="n">
        <f aca="false">'Mi negocio'!$B$20</f>
        <v>12</v>
      </c>
      <c r="H18" s="20" t="n">
        <v>25</v>
      </c>
      <c r="I18" s="14" t="n">
        <f aca="false">(H18+'Mi negocio'!$B$10)/60*'Mi negocio'!$B$19</f>
        <v>60</v>
      </c>
      <c r="J18" s="14" t="n">
        <f aca="false">'Mi negocio'!$B$18</f>
        <v>36</v>
      </c>
      <c r="K18" s="14" t="n">
        <f aca="false">E18+F18+G18+I18+J18</f>
        <v>209.048</v>
      </c>
      <c r="L18" s="21" t="n">
        <f aca="false">'Mi negocio'!$B$15</f>
        <v>0.06</v>
      </c>
      <c r="M18" s="19" t="n">
        <f aca="false">IFERROR(K18/(1-L18),0)</f>
        <v>222.391489361702</v>
      </c>
      <c r="N18" s="20" t="n">
        <v>10</v>
      </c>
      <c r="O18" s="14" t="n">
        <f aca="false">IFERROR(M18/N18,0)</f>
        <v>22.2391489361702</v>
      </c>
      <c r="P18" s="22" t="n">
        <f aca="false">IFERROR(CEILING((M18/N18+'Mi negocio'!$B$12)/(1-'Mi negocio'!$B$25),1),0)</f>
        <v>62</v>
      </c>
      <c r="Q18" s="22" t="n">
        <f aca="false">IFERROR(CEILING(M18/(1-'Mi negocio'!$B$26),5),0)</f>
        <v>495</v>
      </c>
      <c r="R18" s="22" t="n">
        <f aca="false">IFERROR(CEILING(M18/(1-'Mi negocio'!$B$27),5),0)</f>
        <v>795</v>
      </c>
      <c r="S18" s="22" t="n">
        <f aca="false">IFERROR(CEILING(M18/(1-'Mi negocio'!$B$28),5),0)</f>
        <v>330</v>
      </c>
      <c r="T18" s="14" t="n">
        <f aca="false">Q18-M18</f>
        <v>272.608510638298</v>
      </c>
      <c r="U18" s="21" t="n">
        <f aca="false">IFERROR(T18/Q18,0)</f>
        <v>0.550724263915753</v>
      </c>
    </row>
    <row r="19" customFormat="false" ht="15" hidden="false" customHeight="false" outlineLevel="0" collapsed="false">
      <c r="A19" s="9" t="n">
        <v>14</v>
      </c>
      <c r="B19" s="9" t="s">
        <v>604</v>
      </c>
      <c r="C19" s="12" t="s">
        <v>347</v>
      </c>
      <c r="D19" s="9" t="n">
        <v>7</v>
      </c>
      <c r="E19" s="14" t="n">
        <f aca="false">SUMIF(Ingredientes!$A:$A,$A19,Ingredientes!$H:$H)</f>
        <v>137.811130434783</v>
      </c>
      <c r="F19" s="14" t="n">
        <f aca="false">'Mi negocio'!$B$11</f>
        <v>18</v>
      </c>
      <c r="G19" s="14" t="n">
        <f aca="false">'Mi negocio'!$B$20</f>
        <v>12</v>
      </c>
      <c r="H19" s="20" t="n">
        <v>35</v>
      </c>
      <c r="I19" s="14" t="n">
        <f aca="false">(H19+'Mi negocio'!$B$10)/60*'Mi negocio'!$B$19</f>
        <v>75</v>
      </c>
      <c r="J19" s="14" t="n">
        <f aca="false">'Mi negocio'!$B$18</f>
        <v>36</v>
      </c>
      <c r="K19" s="14" t="n">
        <f aca="false">E19+F19+G19+I19+J19</f>
        <v>278.811130434783</v>
      </c>
      <c r="L19" s="21" t="n">
        <f aca="false">'Mi negocio'!$B$15</f>
        <v>0.06</v>
      </c>
      <c r="M19" s="19" t="n">
        <f aca="false">IFERROR(K19/(1-L19),0)</f>
        <v>296.607585568918</v>
      </c>
      <c r="N19" s="20" t="n">
        <v>10</v>
      </c>
      <c r="O19" s="14" t="n">
        <f aca="false">IFERROR(M19/N19,0)</f>
        <v>29.6607585568918</v>
      </c>
      <c r="P19" s="22" t="n">
        <f aca="false">IFERROR(CEILING((M19/N19+'Mi negocio'!$B$12)/(1-'Mi negocio'!$B$25),1),0)</f>
        <v>81</v>
      </c>
      <c r="Q19" s="22" t="n">
        <f aca="false">IFERROR(CEILING(M19/(1-'Mi negocio'!$B$26),5),0)</f>
        <v>660</v>
      </c>
      <c r="R19" s="22" t="n">
        <f aca="false">IFERROR(CEILING(M19/(1-'Mi negocio'!$B$27),5),0)</f>
        <v>1060</v>
      </c>
      <c r="S19" s="22" t="n">
        <f aca="false">IFERROR(CEILING(M19/(1-'Mi negocio'!$B$28),5),0)</f>
        <v>440</v>
      </c>
      <c r="T19" s="14" t="n">
        <f aca="false">Q19-M19</f>
        <v>363.392414431082</v>
      </c>
      <c r="U19" s="21" t="n">
        <f aca="false">IFERROR(T19/Q19,0)</f>
        <v>0.550594567319822</v>
      </c>
    </row>
    <row r="20" customFormat="false" ht="15" hidden="false" customHeight="false" outlineLevel="0" collapsed="false">
      <c r="A20" s="9" t="n">
        <v>15</v>
      </c>
      <c r="B20" s="9" t="s">
        <v>622</v>
      </c>
      <c r="C20" s="12" t="s">
        <v>347</v>
      </c>
      <c r="D20" s="9" t="n">
        <v>7</v>
      </c>
      <c r="E20" s="14" t="n">
        <f aca="false">SUMIF(Ingredientes!$A:$A,$A20,Ingredientes!$H:$H)</f>
        <v>102.822</v>
      </c>
      <c r="F20" s="14" t="n">
        <f aca="false">'Mi negocio'!$B$11</f>
        <v>18</v>
      </c>
      <c r="G20" s="14" t="n">
        <f aca="false">'Mi negocio'!$B$20</f>
        <v>12</v>
      </c>
      <c r="H20" s="20" t="n">
        <v>35</v>
      </c>
      <c r="I20" s="14" t="n">
        <f aca="false">(H20+'Mi negocio'!$B$10)/60*'Mi negocio'!$B$19</f>
        <v>75</v>
      </c>
      <c r="J20" s="14" t="n">
        <f aca="false">'Mi negocio'!$B$18</f>
        <v>36</v>
      </c>
      <c r="K20" s="14" t="n">
        <f aca="false">E20+F20+G20+I20+J20</f>
        <v>243.822</v>
      </c>
      <c r="L20" s="21" t="n">
        <f aca="false">'Mi negocio'!$B$15</f>
        <v>0.06</v>
      </c>
      <c r="M20" s="19" t="n">
        <f aca="false">IFERROR(K20/(1-L20),0)</f>
        <v>259.385106382979</v>
      </c>
      <c r="N20" s="20" t="n">
        <v>10</v>
      </c>
      <c r="O20" s="14" t="n">
        <f aca="false">IFERROR(M20/N20,0)</f>
        <v>25.9385106382979</v>
      </c>
      <c r="P20" s="22" t="n">
        <f aca="false">IFERROR(CEILING((M20/N20+'Mi negocio'!$B$12)/(1-'Mi negocio'!$B$25),1),0)</f>
        <v>72</v>
      </c>
      <c r="Q20" s="22" t="n">
        <f aca="false">IFERROR(CEILING(M20/(1-'Mi negocio'!$B$26),5),0)</f>
        <v>580</v>
      </c>
      <c r="R20" s="22" t="n">
        <f aca="false">IFERROR(CEILING(M20/(1-'Mi negocio'!$B$27),5),0)</f>
        <v>930</v>
      </c>
      <c r="S20" s="22" t="n">
        <f aca="false">IFERROR(CEILING(M20/(1-'Mi negocio'!$B$28),5),0)</f>
        <v>385</v>
      </c>
      <c r="T20" s="14" t="n">
        <f aca="false">Q20-M20</f>
        <v>320.614893617021</v>
      </c>
      <c r="U20" s="21" t="n">
        <f aca="false">IFERROR(T20/Q20,0)</f>
        <v>0.552784299339692</v>
      </c>
    </row>
    <row r="21" customFormat="false" ht="15" hidden="false" customHeight="false" outlineLevel="0" collapsed="false">
      <c r="A21" s="9" t="n">
        <v>16</v>
      </c>
      <c r="B21" s="9" t="s">
        <v>639</v>
      </c>
      <c r="C21" s="12" t="s">
        <v>347</v>
      </c>
      <c r="D21" s="9" t="n">
        <v>7</v>
      </c>
      <c r="E21" s="14" t="n">
        <f aca="false">SUMIF(Ingredientes!$A:$A,$A21,Ingredientes!$H:$H)</f>
        <v>97.706</v>
      </c>
      <c r="F21" s="14" t="n">
        <f aca="false">'Mi negocio'!$B$11</f>
        <v>18</v>
      </c>
      <c r="G21" s="14" t="n">
        <f aca="false">'Mi negocio'!$B$20</f>
        <v>12</v>
      </c>
      <c r="H21" s="20" t="n">
        <v>30</v>
      </c>
      <c r="I21" s="14" t="n">
        <f aca="false">(H21+'Mi negocio'!$B$10)/60*'Mi negocio'!$B$19</f>
        <v>67.5</v>
      </c>
      <c r="J21" s="14" t="n">
        <f aca="false">'Mi negocio'!$B$18</f>
        <v>36</v>
      </c>
      <c r="K21" s="14" t="n">
        <f aca="false">E21+F21+G21+I21+J21</f>
        <v>231.206</v>
      </c>
      <c r="L21" s="21" t="n">
        <f aca="false">'Mi negocio'!$B$15</f>
        <v>0.06</v>
      </c>
      <c r="M21" s="19" t="n">
        <f aca="false">IFERROR(K21/(1-L21),0)</f>
        <v>245.963829787234</v>
      </c>
      <c r="N21" s="20" t="n">
        <v>10</v>
      </c>
      <c r="O21" s="14" t="n">
        <f aca="false">IFERROR(M21/N21,0)</f>
        <v>24.5963829787234</v>
      </c>
      <c r="P21" s="22" t="n">
        <f aca="false">IFERROR(CEILING((M21/N21+'Mi negocio'!$B$12)/(1-'Mi negocio'!$B$25),1),0)</f>
        <v>68</v>
      </c>
      <c r="Q21" s="22" t="n">
        <f aca="false">IFERROR(CEILING(M21/(1-'Mi negocio'!$B$26),5),0)</f>
        <v>550</v>
      </c>
      <c r="R21" s="22" t="n">
        <f aca="false">IFERROR(CEILING(M21/(1-'Mi negocio'!$B$27),5),0)</f>
        <v>880</v>
      </c>
      <c r="S21" s="22" t="n">
        <f aca="false">IFERROR(CEILING(M21/(1-'Mi negocio'!$B$28),5),0)</f>
        <v>365</v>
      </c>
      <c r="T21" s="14" t="n">
        <f aca="false">Q21-M21</f>
        <v>304.036170212766</v>
      </c>
      <c r="U21" s="21" t="n">
        <f aca="false">IFERROR(T21/Q21,0)</f>
        <v>0.552793036750484</v>
      </c>
    </row>
    <row r="22" customFormat="false" ht="15" hidden="false" customHeight="false" outlineLevel="0" collapsed="false">
      <c r="A22" s="9" t="n">
        <v>17</v>
      </c>
      <c r="B22" s="9" t="s">
        <v>655</v>
      </c>
      <c r="C22" s="12" t="s">
        <v>350</v>
      </c>
      <c r="D22" s="9" t="n">
        <v>7</v>
      </c>
      <c r="E22" s="14" t="n">
        <f aca="false">SUMIF(Ingredientes!$A:$A,$A22,Ingredientes!$H:$H)</f>
        <v>278.122</v>
      </c>
      <c r="F22" s="14" t="n">
        <f aca="false">'Mi negocio'!$B$11</f>
        <v>18</v>
      </c>
      <c r="G22" s="14" t="n">
        <f aca="false">'Mi negocio'!$B$20</f>
        <v>12</v>
      </c>
      <c r="H22" s="20" t="n">
        <v>35</v>
      </c>
      <c r="I22" s="14" t="n">
        <f aca="false">(H22+'Mi negocio'!$B$10)/60*'Mi negocio'!$B$19</f>
        <v>75</v>
      </c>
      <c r="J22" s="14" t="n">
        <f aca="false">'Mi negocio'!$B$18</f>
        <v>36</v>
      </c>
      <c r="K22" s="14" t="n">
        <f aca="false">E22+F22+G22+I22+J22</f>
        <v>419.122</v>
      </c>
      <c r="L22" s="21" t="n">
        <f aca="false">'Mi negocio'!$B$15</f>
        <v>0.06</v>
      </c>
      <c r="M22" s="19" t="n">
        <f aca="false">IFERROR(K22/(1-L22),0)</f>
        <v>445.874468085106</v>
      </c>
      <c r="N22" s="20" t="n">
        <v>10</v>
      </c>
      <c r="O22" s="14" t="n">
        <f aca="false">IFERROR(M22/N22,0)</f>
        <v>44.5874468085106</v>
      </c>
      <c r="P22" s="22" t="n">
        <f aca="false">IFERROR(CEILING((M22/N22+'Mi negocio'!$B$12)/(1-'Mi negocio'!$B$25),1),0)</f>
        <v>118</v>
      </c>
      <c r="Q22" s="22" t="n">
        <f aca="false">IFERROR(CEILING(M22/(1-'Mi negocio'!$B$26),5),0)</f>
        <v>995</v>
      </c>
      <c r="R22" s="22" t="n">
        <f aca="false">IFERROR(CEILING(M22/(1-'Mi negocio'!$B$27),5),0)</f>
        <v>1595</v>
      </c>
      <c r="S22" s="22" t="n">
        <f aca="false">IFERROR(CEILING(M22/(1-'Mi negocio'!$B$28),5),0)</f>
        <v>660</v>
      </c>
      <c r="T22" s="14" t="n">
        <f aca="false">Q22-M22</f>
        <v>549.125531914894</v>
      </c>
      <c r="U22" s="21" t="n">
        <f aca="false">IFERROR(T22/Q22,0)</f>
        <v>0.551884956698386</v>
      </c>
    </row>
    <row r="23" customFormat="false" ht="15" hidden="false" customHeight="false" outlineLevel="0" collapsed="false">
      <c r="A23" s="9" t="n">
        <v>18</v>
      </c>
      <c r="B23" s="9" t="s">
        <v>669</v>
      </c>
      <c r="C23" s="12" t="s">
        <v>347</v>
      </c>
      <c r="D23" s="9" t="n">
        <v>7</v>
      </c>
      <c r="E23" s="14" t="n">
        <f aca="false">SUMIF(Ingredientes!$A:$A,$A23,Ingredientes!$H:$H)</f>
        <v>132.593888888889</v>
      </c>
      <c r="F23" s="14" t="n">
        <f aca="false">'Mi negocio'!$B$11</f>
        <v>18</v>
      </c>
      <c r="G23" s="14" t="n">
        <f aca="false">'Mi negocio'!$B$20</f>
        <v>12</v>
      </c>
      <c r="H23" s="20" t="n">
        <v>25</v>
      </c>
      <c r="I23" s="14" t="n">
        <f aca="false">(H23+'Mi negocio'!$B$10)/60*'Mi negocio'!$B$19</f>
        <v>60</v>
      </c>
      <c r="J23" s="14" t="n">
        <f aca="false">'Mi negocio'!$B$18</f>
        <v>36</v>
      </c>
      <c r="K23" s="14" t="n">
        <f aca="false">E23+F23+G23+I23+J23</f>
        <v>258.593888888889</v>
      </c>
      <c r="L23" s="21" t="n">
        <f aca="false">'Mi negocio'!$B$15</f>
        <v>0.06</v>
      </c>
      <c r="M23" s="19" t="n">
        <f aca="false">IFERROR(K23/(1-L23),0)</f>
        <v>275.09988179669</v>
      </c>
      <c r="N23" s="20" t="n">
        <v>10</v>
      </c>
      <c r="O23" s="14" t="n">
        <f aca="false">IFERROR(M23/N23,0)</f>
        <v>27.509988179669</v>
      </c>
      <c r="P23" s="22" t="n">
        <f aca="false">IFERROR(CEILING((M23/N23+'Mi negocio'!$B$12)/(1-'Mi negocio'!$B$25),1),0)</f>
        <v>76</v>
      </c>
      <c r="Q23" s="22" t="n">
        <f aca="false">IFERROR(CEILING(M23/(1-'Mi negocio'!$B$26),5),0)</f>
        <v>615</v>
      </c>
      <c r="R23" s="22" t="n">
        <f aca="false">IFERROR(CEILING(M23/(1-'Mi negocio'!$B$27),5),0)</f>
        <v>985</v>
      </c>
      <c r="S23" s="22" t="n">
        <f aca="false">IFERROR(CEILING(M23/(1-'Mi negocio'!$B$28),5),0)</f>
        <v>405</v>
      </c>
      <c r="T23" s="14" t="n">
        <f aca="false">Q23-M23</f>
        <v>339.90011820331</v>
      </c>
      <c r="U23" s="21" t="n">
        <f aca="false">IFERROR(T23/Q23,0)</f>
        <v>0.552683119029772</v>
      </c>
    </row>
    <row r="24" customFormat="false" ht="15" hidden="false" customHeight="false" outlineLevel="0" collapsed="false">
      <c r="A24" s="9" t="n">
        <v>19</v>
      </c>
      <c r="B24" s="9" t="s">
        <v>679</v>
      </c>
      <c r="C24" s="12" t="s">
        <v>356</v>
      </c>
      <c r="D24" s="9" t="n">
        <v>8</v>
      </c>
      <c r="E24" s="14" t="n">
        <f aca="false">SUMIF(Ingredientes!$A:$A,$A24,Ingredientes!$H:$H)</f>
        <v>228.606</v>
      </c>
      <c r="F24" s="14" t="n">
        <f aca="false">'Mi negocio'!$B$11</f>
        <v>18</v>
      </c>
      <c r="G24" s="14" t="n">
        <f aca="false">'Mi negocio'!$B$20</f>
        <v>12</v>
      </c>
      <c r="H24" s="20" t="n">
        <v>35</v>
      </c>
      <c r="I24" s="14" t="n">
        <f aca="false">(H24+'Mi negocio'!$B$10)/60*'Mi negocio'!$B$19</f>
        <v>75</v>
      </c>
      <c r="J24" s="14" t="n">
        <f aca="false">'Mi negocio'!$B$18</f>
        <v>36</v>
      </c>
      <c r="K24" s="14" t="n">
        <f aca="false">E24+F24+G24+I24+J24</f>
        <v>369.606</v>
      </c>
      <c r="L24" s="21" t="n">
        <f aca="false">'Mi negocio'!$B$15</f>
        <v>0.06</v>
      </c>
      <c r="M24" s="19" t="n">
        <f aca="false">IFERROR(K24/(1-L24),0)</f>
        <v>393.197872340426</v>
      </c>
      <c r="N24" s="20" t="n">
        <v>12</v>
      </c>
      <c r="O24" s="14" t="n">
        <f aca="false">IFERROR(M24/N24,0)</f>
        <v>32.7664893617021</v>
      </c>
      <c r="P24" s="22" t="n">
        <f aca="false">IFERROR(CEILING((M24/N24+'Mi negocio'!$B$12)/(1-'Mi negocio'!$B$25),1),0)</f>
        <v>89</v>
      </c>
      <c r="Q24" s="22" t="n">
        <f aca="false">IFERROR(CEILING(M24/(1-'Mi negocio'!$B$26),5),0)</f>
        <v>875</v>
      </c>
      <c r="R24" s="22" t="n">
        <f aca="false">IFERROR(CEILING(M24/(1-'Mi negocio'!$B$27),5),0)</f>
        <v>1405</v>
      </c>
      <c r="S24" s="22" t="n">
        <f aca="false">IFERROR(CEILING(M24/(1-'Mi negocio'!$B$28),5),0)</f>
        <v>580</v>
      </c>
      <c r="T24" s="14" t="n">
        <f aca="false">Q24-M24</f>
        <v>481.802127659574</v>
      </c>
      <c r="U24" s="21" t="n">
        <f aca="false">IFERROR(T24/Q24,0)</f>
        <v>0.550631003039514</v>
      </c>
    </row>
    <row r="25" customFormat="false" ht="15" hidden="false" customHeight="false" outlineLevel="0" collapsed="false">
      <c r="A25" s="9" t="n">
        <v>20</v>
      </c>
      <c r="B25" s="9" t="s">
        <v>693</v>
      </c>
      <c r="C25" s="12" t="s">
        <v>347</v>
      </c>
      <c r="D25" s="9" t="n">
        <v>8</v>
      </c>
      <c r="E25" s="14" t="n">
        <f aca="false">SUMIF(Ingredientes!$A:$A,$A25,Ingredientes!$H:$H)</f>
        <v>199.328</v>
      </c>
      <c r="F25" s="14" t="n">
        <f aca="false">'Mi negocio'!$B$11</f>
        <v>18</v>
      </c>
      <c r="G25" s="14" t="n">
        <f aca="false">'Mi negocio'!$B$20</f>
        <v>12</v>
      </c>
      <c r="H25" s="20" t="n">
        <v>35</v>
      </c>
      <c r="I25" s="14" t="n">
        <f aca="false">(H25+'Mi negocio'!$B$10)/60*'Mi negocio'!$B$19</f>
        <v>75</v>
      </c>
      <c r="J25" s="14" t="n">
        <f aca="false">'Mi negocio'!$B$18</f>
        <v>36</v>
      </c>
      <c r="K25" s="14" t="n">
        <f aca="false">E25+F25+G25+I25+J25</f>
        <v>340.328</v>
      </c>
      <c r="L25" s="21" t="n">
        <f aca="false">'Mi negocio'!$B$15</f>
        <v>0.06</v>
      </c>
      <c r="M25" s="19" t="n">
        <f aca="false">IFERROR(K25/(1-L25),0)</f>
        <v>362.051063829787</v>
      </c>
      <c r="N25" s="20" t="n">
        <v>10</v>
      </c>
      <c r="O25" s="14" t="n">
        <f aca="false">IFERROR(M25/N25,0)</f>
        <v>36.2051063829787</v>
      </c>
      <c r="P25" s="22" t="n">
        <f aca="false">IFERROR(CEILING((M25/N25+'Mi negocio'!$B$12)/(1-'Mi negocio'!$B$25),1),0)</f>
        <v>97</v>
      </c>
      <c r="Q25" s="22" t="n">
        <f aca="false">IFERROR(CEILING(M25/(1-'Mi negocio'!$B$26),5),0)</f>
        <v>805</v>
      </c>
      <c r="R25" s="22" t="n">
        <f aca="false">IFERROR(CEILING(M25/(1-'Mi negocio'!$B$27),5),0)</f>
        <v>1295</v>
      </c>
      <c r="S25" s="22" t="n">
        <f aca="false">IFERROR(CEILING(M25/(1-'Mi negocio'!$B$28),5),0)</f>
        <v>535</v>
      </c>
      <c r="T25" s="14" t="n">
        <f aca="false">Q25-M25</f>
        <v>442.948936170213</v>
      </c>
      <c r="U25" s="21" t="n">
        <f aca="false">IFERROR(T25/Q25,0)</f>
        <v>0.550247125677283</v>
      </c>
    </row>
    <row r="26" customFormat="false" ht="15" hidden="false" customHeight="false" outlineLevel="0" collapsed="false">
      <c r="A26" s="9" t="n">
        <v>21</v>
      </c>
      <c r="B26" s="9" t="s">
        <v>704</v>
      </c>
      <c r="C26" s="12" t="s">
        <v>347</v>
      </c>
      <c r="D26" s="9" t="n">
        <v>8</v>
      </c>
      <c r="E26" s="14" t="n">
        <f aca="false">SUMIF(Ingredientes!$A:$A,$A26,Ingredientes!$H:$H)</f>
        <v>215.208</v>
      </c>
      <c r="F26" s="14" t="n">
        <f aca="false">'Mi negocio'!$B$11</f>
        <v>18</v>
      </c>
      <c r="G26" s="14" t="n">
        <f aca="false">'Mi negocio'!$B$20</f>
        <v>12</v>
      </c>
      <c r="H26" s="20" t="n">
        <v>35</v>
      </c>
      <c r="I26" s="14" t="n">
        <f aca="false">(H26+'Mi negocio'!$B$10)/60*'Mi negocio'!$B$19</f>
        <v>75</v>
      </c>
      <c r="J26" s="14" t="n">
        <f aca="false">'Mi negocio'!$B$18</f>
        <v>36</v>
      </c>
      <c r="K26" s="14" t="n">
        <f aca="false">E26+F26+G26+I26+J26</f>
        <v>356.208</v>
      </c>
      <c r="L26" s="21" t="n">
        <f aca="false">'Mi negocio'!$B$15</f>
        <v>0.06</v>
      </c>
      <c r="M26" s="19" t="n">
        <f aca="false">IFERROR(K26/(1-L26),0)</f>
        <v>378.944680851064</v>
      </c>
      <c r="N26" s="20" t="n">
        <v>10</v>
      </c>
      <c r="O26" s="14" t="n">
        <f aca="false">IFERROR(M26/N26,0)</f>
        <v>37.8944680851064</v>
      </c>
      <c r="P26" s="22" t="n">
        <f aca="false">IFERROR(CEILING((M26/N26+'Mi negocio'!$B$12)/(1-'Mi negocio'!$B$25),1),0)</f>
        <v>101</v>
      </c>
      <c r="Q26" s="22" t="n">
        <f aca="false">IFERROR(CEILING(M26/(1-'Mi negocio'!$B$26),5),0)</f>
        <v>845</v>
      </c>
      <c r="R26" s="22" t="n">
        <f aca="false">IFERROR(CEILING(M26/(1-'Mi negocio'!$B$27),5),0)</f>
        <v>1355</v>
      </c>
      <c r="S26" s="22" t="n">
        <f aca="false">IFERROR(CEILING(M26/(1-'Mi negocio'!$B$28),5),0)</f>
        <v>560</v>
      </c>
      <c r="T26" s="14" t="n">
        <f aca="false">Q26-M26</f>
        <v>466.055319148936</v>
      </c>
      <c r="U26" s="21" t="n">
        <f aca="false">IFERROR(T26/Q26,0)</f>
        <v>0.551544756389274</v>
      </c>
    </row>
    <row r="27" customFormat="false" ht="15" hidden="false" customHeight="false" outlineLevel="0" collapsed="false">
      <c r="A27" s="9" t="n">
        <v>22</v>
      </c>
      <c r="B27" s="9" t="s">
        <v>714</v>
      </c>
      <c r="C27" s="12" t="s">
        <v>347</v>
      </c>
      <c r="D27" s="9" t="n">
        <v>8</v>
      </c>
      <c r="E27" s="14" t="n">
        <f aca="false">SUMIF(Ingredientes!$A:$A,$A27,Ingredientes!$H:$H)</f>
        <v>260.436503968254</v>
      </c>
      <c r="F27" s="14" t="n">
        <f aca="false">'Mi negocio'!$B$11</f>
        <v>18</v>
      </c>
      <c r="G27" s="14" t="n">
        <f aca="false">'Mi negocio'!$B$20</f>
        <v>12</v>
      </c>
      <c r="H27" s="20" t="n">
        <v>35</v>
      </c>
      <c r="I27" s="14" t="n">
        <f aca="false">(H27+'Mi negocio'!$B$10)/60*'Mi negocio'!$B$19</f>
        <v>75</v>
      </c>
      <c r="J27" s="14" t="n">
        <f aca="false">'Mi negocio'!$B$18</f>
        <v>36</v>
      </c>
      <c r="K27" s="14" t="n">
        <f aca="false">E27+F27+G27+I27+J27</f>
        <v>401.436503968254</v>
      </c>
      <c r="L27" s="21" t="n">
        <f aca="false">'Mi negocio'!$B$15</f>
        <v>0.06</v>
      </c>
      <c r="M27" s="19" t="n">
        <f aca="false">IFERROR(K27/(1-L27),0)</f>
        <v>427.060110604526</v>
      </c>
      <c r="N27" s="20" t="n">
        <v>10</v>
      </c>
      <c r="O27" s="14" t="n">
        <f aca="false">IFERROR(M27/N27,0)</f>
        <v>42.7060110604526</v>
      </c>
      <c r="P27" s="22" t="n">
        <f aca="false">IFERROR(CEILING((M27/N27+'Mi negocio'!$B$12)/(1-'Mi negocio'!$B$25),1),0)</f>
        <v>114</v>
      </c>
      <c r="Q27" s="22" t="n">
        <f aca="false">IFERROR(CEILING(M27/(1-'Mi negocio'!$B$26),5),0)</f>
        <v>950</v>
      </c>
      <c r="R27" s="22" t="n">
        <f aca="false">IFERROR(CEILING(M27/(1-'Mi negocio'!$B$27),5),0)</f>
        <v>1530</v>
      </c>
      <c r="S27" s="22" t="n">
        <f aca="false">IFERROR(CEILING(M27/(1-'Mi negocio'!$B$28),5),0)</f>
        <v>630</v>
      </c>
      <c r="T27" s="14" t="n">
        <f aca="false">Q27-M27</f>
        <v>522.939889395474</v>
      </c>
      <c r="U27" s="21" t="n">
        <f aca="false">IFERROR(T27/Q27,0)</f>
        <v>0.55046304146892</v>
      </c>
    </row>
    <row r="28" customFormat="false" ht="15" hidden="false" customHeight="false" outlineLevel="0" collapsed="false">
      <c r="A28" s="9" t="n">
        <v>23</v>
      </c>
      <c r="B28" s="9" t="s">
        <v>733</v>
      </c>
      <c r="C28" s="12" t="s">
        <v>359</v>
      </c>
      <c r="D28" s="9" t="n">
        <v>8</v>
      </c>
      <c r="E28" s="14" t="n">
        <f aca="false">SUMIF(Ingredientes!$A:$A,$A28,Ingredientes!$H:$H)</f>
        <v>288.282</v>
      </c>
      <c r="F28" s="14" t="n">
        <f aca="false">'Mi negocio'!$B$11</f>
        <v>18</v>
      </c>
      <c r="G28" s="14" t="n">
        <f aca="false">'Mi negocio'!$B$20</f>
        <v>12</v>
      </c>
      <c r="H28" s="20" t="n">
        <v>40</v>
      </c>
      <c r="I28" s="14" t="n">
        <f aca="false">(H28+'Mi negocio'!$B$10)/60*'Mi negocio'!$B$19</f>
        <v>82.5</v>
      </c>
      <c r="J28" s="14" t="n">
        <f aca="false">'Mi negocio'!$B$18</f>
        <v>36</v>
      </c>
      <c r="K28" s="14" t="n">
        <f aca="false">E28+F28+G28+I28+J28</f>
        <v>436.782</v>
      </c>
      <c r="L28" s="21" t="n">
        <f aca="false">'Mi negocio'!$B$15</f>
        <v>0.06</v>
      </c>
      <c r="M28" s="19" t="n">
        <f aca="false">IFERROR(K28/(1-L28),0)</f>
        <v>464.66170212766</v>
      </c>
      <c r="N28" s="20" t="n">
        <v>10</v>
      </c>
      <c r="O28" s="14" t="n">
        <f aca="false">IFERROR(M28/N28,0)</f>
        <v>46.466170212766</v>
      </c>
      <c r="P28" s="22" t="n">
        <f aca="false">IFERROR(CEILING((M28/N28+'Mi negocio'!$B$12)/(1-'Mi negocio'!$B$25),1),0)</f>
        <v>123</v>
      </c>
      <c r="Q28" s="22" t="n">
        <f aca="false">IFERROR(CEILING(M28/(1-'Mi negocio'!$B$26),5),0)</f>
        <v>1035</v>
      </c>
      <c r="R28" s="22" t="n">
        <f aca="false">IFERROR(CEILING(M28/(1-'Mi negocio'!$B$27),5),0)</f>
        <v>1660</v>
      </c>
      <c r="S28" s="22" t="n">
        <f aca="false">IFERROR(CEILING(M28/(1-'Mi negocio'!$B$28),5),0)</f>
        <v>685</v>
      </c>
      <c r="T28" s="14" t="n">
        <f aca="false">Q28-M28</f>
        <v>570.338297872341</v>
      </c>
      <c r="U28" s="21" t="n">
        <f aca="false">IFERROR(T28/Q28,0)</f>
        <v>0.551051495528831</v>
      </c>
    </row>
    <row r="29" customFormat="false" ht="15" hidden="false" customHeight="false" outlineLevel="0" collapsed="false">
      <c r="A29" s="9" t="n">
        <v>24</v>
      </c>
      <c r="B29" s="9" t="s">
        <v>750</v>
      </c>
      <c r="C29" s="12" t="s">
        <v>347</v>
      </c>
      <c r="D29" s="9" t="n">
        <v>8</v>
      </c>
      <c r="E29" s="14" t="n">
        <f aca="false">SUMIF(Ingredientes!$A:$A,$A29,Ingredientes!$H:$H)</f>
        <v>150.465</v>
      </c>
      <c r="F29" s="14" t="n">
        <f aca="false">'Mi negocio'!$B$11</f>
        <v>18</v>
      </c>
      <c r="G29" s="14" t="n">
        <f aca="false">'Mi negocio'!$B$20</f>
        <v>12</v>
      </c>
      <c r="H29" s="20" t="n">
        <v>30</v>
      </c>
      <c r="I29" s="14" t="n">
        <f aca="false">(H29+'Mi negocio'!$B$10)/60*'Mi negocio'!$B$19</f>
        <v>67.5</v>
      </c>
      <c r="J29" s="14" t="n">
        <f aca="false">'Mi negocio'!$B$18</f>
        <v>36</v>
      </c>
      <c r="K29" s="14" t="n">
        <f aca="false">E29+F29+G29+I29+J29</f>
        <v>283.965</v>
      </c>
      <c r="L29" s="21" t="n">
        <f aca="false">'Mi negocio'!$B$15</f>
        <v>0.06</v>
      </c>
      <c r="M29" s="19" t="n">
        <f aca="false">IFERROR(K29/(1-L29),0)</f>
        <v>302.090425531915</v>
      </c>
      <c r="N29" s="20" t="n">
        <v>10</v>
      </c>
      <c r="O29" s="14" t="n">
        <f aca="false">IFERROR(M29/N29,0)</f>
        <v>30.2090425531915</v>
      </c>
      <c r="P29" s="22" t="n">
        <f aca="false">IFERROR(CEILING((M29/N29+'Mi negocio'!$B$12)/(1-'Mi negocio'!$B$25),1),0)</f>
        <v>82</v>
      </c>
      <c r="Q29" s="22" t="n">
        <f aca="false">IFERROR(CEILING(M29/(1-'Mi negocio'!$B$26),5),0)</f>
        <v>675</v>
      </c>
      <c r="R29" s="22" t="n">
        <f aca="false">IFERROR(CEILING(M29/(1-'Mi negocio'!$B$27),5),0)</f>
        <v>1080</v>
      </c>
      <c r="S29" s="22" t="n">
        <f aca="false">IFERROR(CEILING(M29/(1-'Mi negocio'!$B$28),5),0)</f>
        <v>445</v>
      </c>
      <c r="T29" s="14" t="n">
        <f aca="false">Q29-M29</f>
        <v>372.909574468085</v>
      </c>
      <c r="U29" s="21" t="n">
        <f aca="false">IFERROR(T29/Q29,0)</f>
        <v>0.552458628841608</v>
      </c>
    </row>
    <row r="30" customFormat="false" ht="15" hidden="false" customHeight="false" outlineLevel="0" collapsed="false">
      <c r="A30" s="9" t="n">
        <v>25</v>
      </c>
      <c r="B30" s="9" t="s">
        <v>763</v>
      </c>
      <c r="C30" s="12" t="s">
        <v>347</v>
      </c>
      <c r="D30" s="9" t="n">
        <v>8</v>
      </c>
      <c r="E30" s="14" t="n">
        <f aca="false">SUMIF(Ingredientes!$A:$A,$A30,Ingredientes!$H:$H)</f>
        <v>141.233</v>
      </c>
      <c r="F30" s="14" t="n">
        <f aca="false">'Mi negocio'!$B$11</f>
        <v>18</v>
      </c>
      <c r="G30" s="14" t="n">
        <f aca="false">'Mi negocio'!$B$20</f>
        <v>12</v>
      </c>
      <c r="H30" s="20" t="n">
        <v>35</v>
      </c>
      <c r="I30" s="14" t="n">
        <f aca="false">(H30+'Mi negocio'!$B$10)/60*'Mi negocio'!$B$19</f>
        <v>75</v>
      </c>
      <c r="J30" s="14" t="n">
        <f aca="false">'Mi negocio'!$B$18</f>
        <v>36</v>
      </c>
      <c r="K30" s="14" t="n">
        <f aca="false">E30+F30+G30+I30+J30</f>
        <v>282.233</v>
      </c>
      <c r="L30" s="21" t="n">
        <f aca="false">'Mi negocio'!$B$15</f>
        <v>0.06</v>
      </c>
      <c r="M30" s="19" t="n">
        <f aca="false">IFERROR(K30/(1-L30),0)</f>
        <v>300.247872340426</v>
      </c>
      <c r="N30" s="20" t="n">
        <v>10</v>
      </c>
      <c r="O30" s="14" t="n">
        <f aca="false">IFERROR(M30/N30,0)</f>
        <v>30.0247872340426</v>
      </c>
      <c r="P30" s="22" t="n">
        <f aca="false">IFERROR(CEILING((M30/N30+'Mi negocio'!$B$12)/(1-'Mi negocio'!$B$25),1),0)</f>
        <v>82</v>
      </c>
      <c r="Q30" s="22" t="n">
        <f aca="false">IFERROR(CEILING(M30/(1-'Mi negocio'!$B$26),5),0)</f>
        <v>670</v>
      </c>
      <c r="R30" s="22" t="n">
        <f aca="false">IFERROR(CEILING(M30/(1-'Mi negocio'!$B$27),5),0)</f>
        <v>1075</v>
      </c>
      <c r="S30" s="22" t="n">
        <f aca="false">IFERROR(CEILING(M30/(1-'Mi negocio'!$B$28),5),0)</f>
        <v>445</v>
      </c>
      <c r="T30" s="14" t="n">
        <f aca="false">Q30-M30</f>
        <v>369.752127659574</v>
      </c>
      <c r="U30" s="21" t="n">
        <f aca="false">IFERROR(T30/Q30,0)</f>
        <v>0.551868847253096</v>
      </c>
    </row>
    <row r="31" customFormat="false" ht="15" hidden="false" customHeight="false" outlineLevel="0" collapsed="false">
      <c r="A31" s="9" t="n">
        <v>26</v>
      </c>
      <c r="B31" s="9" t="s">
        <v>774</v>
      </c>
      <c r="C31" s="12" t="s">
        <v>347</v>
      </c>
      <c r="D31" s="9" t="n">
        <v>8</v>
      </c>
      <c r="E31" s="14" t="n">
        <f aca="false">SUMIF(Ingredientes!$A:$A,$A31,Ingredientes!$H:$H)</f>
        <v>113.40075</v>
      </c>
      <c r="F31" s="14" t="n">
        <f aca="false">'Mi negocio'!$B$11</f>
        <v>18</v>
      </c>
      <c r="G31" s="14" t="n">
        <f aca="false">'Mi negocio'!$B$20</f>
        <v>12</v>
      </c>
      <c r="H31" s="20" t="n">
        <v>30</v>
      </c>
      <c r="I31" s="14" t="n">
        <f aca="false">(H31+'Mi negocio'!$B$10)/60*'Mi negocio'!$B$19</f>
        <v>67.5</v>
      </c>
      <c r="J31" s="14" t="n">
        <f aca="false">'Mi negocio'!$B$18</f>
        <v>36</v>
      </c>
      <c r="K31" s="14" t="n">
        <f aca="false">E31+F31+G31+I31+J31</f>
        <v>246.90075</v>
      </c>
      <c r="L31" s="21" t="n">
        <f aca="false">'Mi negocio'!$B$15</f>
        <v>0.06</v>
      </c>
      <c r="M31" s="19" t="n">
        <f aca="false">IFERROR(K31/(1-L31),0)</f>
        <v>262.660372340426</v>
      </c>
      <c r="N31" s="20" t="n">
        <v>10</v>
      </c>
      <c r="O31" s="14" t="n">
        <f aca="false">IFERROR(M31/N31,0)</f>
        <v>26.2660372340426</v>
      </c>
      <c r="P31" s="22" t="n">
        <f aca="false">IFERROR(CEILING((M31/N31+'Mi negocio'!$B$12)/(1-'Mi negocio'!$B$25),1),0)</f>
        <v>72</v>
      </c>
      <c r="Q31" s="22" t="n">
        <f aca="false">IFERROR(CEILING(M31/(1-'Mi negocio'!$B$26),5),0)</f>
        <v>585</v>
      </c>
      <c r="R31" s="22" t="n">
        <f aca="false">IFERROR(CEILING(M31/(1-'Mi negocio'!$B$27),5),0)</f>
        <v>940</v>
      </c>
      <c r="S31" s="22" t="n">
        <f aca="false">IFERROR(CEILING(M31/(1-'Mi negocio'!$B$28),5),0)</f>
        <v>390</v>
      </c>
      <c r="T31" s="14" t="n">
        <f aca="false">Q31-M31</f>
        <v>322.339627659574</v>
      </c>
      <c r="U31" s="21" t="n">
        <f aca="false">IFERROR(T31/Q31,0)</f>
        <v>0.551007910529187</v>
      </c>
    </row>
    <row r="32" customFormat="false" ht="15" hidden="false" customHeight="false" outlineLevel="0" collapsed="false">
      <c r="A32" s="9" t="n">
        <v>27</v>
      </c>
      <c r="B32" s="9" t="s">
        <v>784</v>
      </c>
      <c r="C32" s="12" t="s">
        <v>347</v>
      </c>
      <c r="D32" s="9" t="n">
        <v>8</v>
      </c>
      <c r="E32" s="14" t="n">
        <f aca="false">SUMIF(Ingredientes!$A:$A,$A32,Ingredientes!$H:$H)</f>
        <v>145.5875</v>
      </c>
      <c r="F32" s="14" t="n">
        <f aca="false">'Mi negocio'!$B$11</f>
        <v>18</v>
      </c>
      <c r="G32" s="14" t="n">
        <f aca="false">'Mi negocio'!$B$20</f>
        <v>12</v>
      </c>
      <c r="H32" s="20" t="n">
        <v>35</v>
      </c>
      <c r="I32" s="14" t="n">
        <f aca="false">(H32+'Mi negocio'!$B$10)/60*'Mi negocio'!$B$19</f>
        <v>75</v>
      </c>
      <c r="J32" s="14" t="n">
        <f aca="false">'Mi negocio'!$B$18</f>
        <v>36</v>
      </c>
      <c r="K32" s="14" t="n">
        <f aca="false">E32+F32+G32+I32+J32</f>
        <v>286.5875</v>
      </c>
      <c r="L32" s="21" t="n">
        <f aca="false">'Mi negocio'!$B$15</f>
        <v>0.06</v>
      </c>
      <c r="M32" s="19" t="n">
        <f aca="false">IFERROR(K32/(1-L32),0)</f>
        <v>304.880319148936</v>
      </c>
      <c r="N32" s="20" t="n">
        <v>10</v>
      </c>
      <c r="O32" s="14" t="n">
        <f aca="false">IFERROR(M32/N32,0)</f>
        <v>30.4880319148936</v>
      </c>
      <c r="P32" s="22" t="n">
        <f aca="false">IFERROR(CEILING((M32/N32+'Mi negocio'!$B$12)/(1-'Mi negocio'!$B$25),1),0)</f>
        <v>83</v>
      </c>
      <c r="Q32" s="22" t="n">
        <f aca="false">IFERROR(CEILING(M32/(1-'Mi negocio'!$B$26),5),0)</f>
        <v>680</v>
      </c>
      <c r="R32" s="22" t="n">
        <f aca="false">IFERROR(CEILING(M32/(1-'Mi negocio'!$B$27),5),0)</f>
        <v>1090</v>
      </c>
      <c r="S32" s="22" t="n">
        <f aca="false">IFERROR(CEILING(M32/(1-'Mi negocio'!$B$28),5),0)</f>
        <v>450</v>
      </c>
      <c r="T32" s="14" t="n">
        <f aca="false">Q32-M32</f>
        <v>375.119680851064</v>
      </c>
      <c r="U32" s="21" t="n">
        <f aca="false">IFERROR(T32/Q32,0)</f>
        <v>0.551646589486859</v>
      </c>
    </row>
    <row r="33" customFormat="false" ht="15" hidden="false" customHeight="false" outlineLevel="0" collapsed="false">
      <c r="A33" s="9" t="n">
        <v>28</v>
      </c>
      <c r="B33" s="9" t="s">
        <v>799</v>
      </c>
      <c r="C33" s="12" t="s">
        <v>359</v>
      </c>
      <c r="D33" s="9" t="n">
        <v>9</v>
      </c>
      <c r="E33" s="14" t="n">
        <f aca="false">SUMIF(Ingredientes!$A:$A,$A33,Ingredientes!$H:$H)</f>
        <v>445.239</v>
      </c>
      <c r="F33" s="14" t="n">
        <f aca="false">'Mi negocio'!$B$11</f>
        <v>18</v>
      </c>
      <c r="G33" s="14" t="n">
        <f aca="false">'Mi negocio'!$B$20</f>
        <v>12</v>
      </c>
      <c r="H33" s="20" t="n">
        <v>35</v>
      </c>
      <c r="I33" s="14" t="n">
        <f aca="false">(H33+'Mi negocio'!$B$10)/60*'Mi negocio'!$B$19</f>
        <v>75</v>
      </c>
      <c r="J33" s="14" t="n">
        <f aca="false">'Mi negocio'!$B$18</f>
        <v>36</v>
      </c>
      <c r="K33" s="14" t="n">
        <f aca="false">E33+F33+G33+I33+J33</f>
        <v>586.239</v>
      </c>
      <c r="L33" s="21" t="n">
        <f aca="false">'Mi negocio'!$B$15</f>
        <v>0.06</v>
      </c>
      <c r="M33" s="19" t="n">
        <f aca="false">IFERROR(K33/(1-L33),0)</f>
        <v>623.658510638298</v>
      </c>
      <c r="N33" s="20" t="n">
        <v>10</v>
      </c>
      <c r="O33" s="14" t="n">
        <f aca="false">IFERROR(M33/N33,0)</f>
        <v>62.3658510638298</v>
      </c>
      <c r="P33" s="22" t="n">
        <f aca="false">IFERROR(CEILING((M33/N33+'Mi negocio'!$B$12)/(1-'Mi negocio'!$B$25),1),0)</f>
        <v>163</v>
      </c>
      <c r="Q33" s="22" t="n">
        <f aca="false">IFERROR(CEILING(M33/(1-'Mi negocio'!$B$26),5),0)</f>
        <v>1390</v>
      </c>
      <c r="R33" s="22" t="n">
        <f aca="false">IFERROR(CEILING(M33/(1-'Mi negocio'!$B$27),5),0)</f>
        <v>2230</v>
      </c>
      <c r="S33" s="22" t="n">
        <f aca="false">IFERROR(CEILING(M33/(1-'Mi negocio'!$B$28),5),0)</f>
        <v>920</v>
      </c>
      <c r="T33" s="14" t="n">
        <f aca="false">Q33-M33</f>
        <v>766.341489361702</v>
      </c>
      <c r="U33" s="21" t="n">
        <f aca="false">IFERROR(T33/Q33,0)</f>
        <v>0.551324812490433</v>
      </c>
    </row>
    <row r="34" customFormat="false" ht="15" hidden="false" customHeight="false" outlineLevel="0" collapsed="false">
      <c r="A34" s="9" t="n">
        <v>29</v>
      </c>
      <c r="B34" s="9" t="s">
        <v>809</v>
      </c>
      <c r="C34" s="12" t="s">
        <v>359</v>
      </c>
      <c r="D34" s="9" t="n">
        <v>9</v>
      </c>
      <c r="E34" s="14" t="n">
        <f aca="false">SUMIF(Ingredientes!$A:$A,$A34,Ingredientes!$H:$H)</f>
        <v>139.543</v>
      </c>
      <c r="F34" s="14" t="n">
        <f aca="false">'Mi negocio'!$B$11</f>
        <v>18</v>
      </c>
      <c r="G34" s="14" t="n">
        <f aca="false">'Mi negocio'!$B$20</f>
        <v>12</v>
      </c>
      <c r="H34" s="20" t="n">
        <v>30</v>
      </c>
      <c r="I34" s="14" t="n">
        <f aca="false">(H34+'Mi negocio'!$B$10)/60*'Mi negocio'!$B$19</f>
        <v>67.5</v>
      </c>
      <c r="J34" s="14" t="n">
        <f aca="false">'Mi negocio'!$B$18</f>
        <v>36</v>
      </c>
      <c r="K34" s="14" t="n">
        <f aca="false">E34+F34+G34+I34+J34</f>
        <v>273.043</v>
      </c>
      <c r="L34" s="21" t="n">
        <f aca="false">'Mi negocio'!$B$15</f>
        <v>0.06</v>
      </c>
      <c r="M34" s="19" t="n">
        <f aca="false">IFERROR(K34/(1-L34),0)</f>
        <v>290.471276595745</v>
      </c>
      <c r="N34" s="20" t="n">
        <v>10</v>
      </c>
      <c r="O34" s="14" t="n">
        <f aca="false">IFERROR(M34/N34,0)</f>
        <v>29.0471276595745</v>
      </c>
      <c r="P34" s="22" t="n">
        <f aca="false">IFERROR(CEILING((M34/N34+'Mi negocio'!$B$12)/(1-'Mi negocio'!$B$25),1),0)</f>
        <v>79</v>
      </c>
      <c r="Q34" s="22" t="n">
        <f aca="false">IFERROR(CEILING(M34/(1-'Mi negocio'!$B$26),5),0)</f>
        <v>650</v>
      </c>
      <c r="R34" s="22" t="n">
        <f aca="false">IFERROR(CEILING(M34/(1-'Mi negocio'!$B$27),5),0)</f>
        <v>1040</v>
      </c>
      <c r="S34" s="22" t="n">
        <f aca="false">IFERROR(CEILING(M34/(1-'Mi negocio'!$B$28),5),0)</f>
        <v>430</v>
      </c>
      <c r="T34" s="14" t="n">
        <f aca="false">Q34-M34</f>
        <v>359.528723404255</v>
      </c>
      <c r="U34" s="21" t="n">
        <f aca="false">IFERROR(T34/Q34,0)</f>
        <v>0.553121112929624</v>
      </c>
    </row>
    <row r="35" customFormat="false" ht="15" hidden="false" customHeight="false" outlineLevel="0" collapsed="false">
      <c r="A35" s="9" t="n">
        <v>30</v>
      </c>
      <c r="B35" s="9" t="s">
        <v>817</v>
      </c>
      <c r="C35" s="12" t="s">
        <v>347</v>
      </c>
      <c r="D35" s="9" t="n">
        <v>9</v>
      </c>
      <c r="E35" s="14" t="n">
        <f aca="false">SUMIF(Ingredientes!$A:$A,$A35,Ingredientes!$H:$H)</f>
        <v>390.478833333333</v>
      </c>
      <c r="F35" s="14" t="n">
        <f aca="false">'Mi negocio'!$B$11</f>
        <v>18</v>
      </c>
      <c r="G35" s="14" t="n">
        <f aca="false">'Mi negocio'!$B$20</f>
        <v>12</v>
      </c>
      <c r="H35" s="20" t="n">
        <v>35</v>
      </c>
      <c r="I35" s="14" t="n">
        <f aca="false">(H35+'Mi negocio'!$B$10)/60*'Mi negocio'!$B$19</f>
        <v>75</v>
      </c>
      <c r="J35" s="14" t="n">
        <f aca="false">'Mi negocio'!$B$18</f>
        <v>36</v>
      </c>
      <c r="K35" s="14" t="n">
        <f aca="false">E35+F35+G35+I35+J35</f>
        <v>531.478833333333</v>
      </c>
      <c r="L35" s="21" t="n">
        <f aca="false">'Mi negocio'!$B$15</f>
        <v>0.06</v>
      </c>
      <c r="M35" s="19" t="n">
        <f aca="false">IFERROR(K35/(1-L35),0)</f>
        <v>565.403014184397</v>
      </c>
      <c r="N35" s="20" t="n">
        <v>10</v>
      </c>
      <c r="O35" s="14" t="n">
        <f aca="false">IFERROR(M35/N35,0)</f>
        <v>56.5403014184397</v>
      </c>
      <c r="P35" s="22" t="n">
        <f aca="false">IFERROR(CEILING((M35/N35+'Mi negocio'!$B$12)/(1-'Mi negocio'!$B$25),1),0)</f>
        <v>148</v>
      </c>
      <c r="Q35" s="22" t="n">
        <f aca="false">IFERROR(CEILING(M35/(1-'Mi negocio'!$B$26),5),0)</f>
        <v>1260</v>
      </c>
      <c r="R35" s="22" t="n">
        <f aca="false">IFERROR(CEILING(M35/(1-'Mi negocio'!$B$27),5),0)</f>
        <v>2020</v>
      </c>
      <c r="S35" s="22" t="n">
        <f aca="false">IFERROR(CEILING(M35/(1-'Mi negocio'!$B$28),5),0)</f>
        <v>835</v>
      </c>
      <c r="T35" s="14" t="n">
        <f aca="false">Q35-M35</f>
        <v>694.596985815603</v>
      </c>
      <c r="U35" s="21" t="n">
        <f aca="false">IFERROR(T35/Q35,0)</f>
        <v>0.551267449060002</v>
      </c>
    </row>
    <row r="36" customFormat="false" ht="15" hidden="false" customHeight="false" outlineLevel="0" collapsed="false">
      <c r="A36" s="9" t="n">
        <v>31</v>
      </c>
      <c r="B36" s="9" t="s">
        <v>827</v>
      </c>
      <c r="C36" s="12" t="s">
        <v>347</v>
      </c>
      <c r="D36" s="9" t="n">
        <v>9</v>
      </c>
      <c r="E36" s="14" t="n">
        <f aca="false">SUMIF(Ingredientes!$A:$A,$A36,Ingredientes!$H:$H)</f>
        <v>123.59175</v>
      </c>
      <c r="F36" s="14" t="n">
        <f aca="false">'Mi negocio'!$B$11</f>
        <v>18</v>
      </c>
      <c r="G36" s="14" t="n">
        <f aca="false">'Mi negocio'!$B$20</f>
        <v>12</v>
      </c>
      <c r="H36" s="20" t="n">
        <v>30</v>
      </c>
      <c r="I36" s="14" t="n">
        <f aca="false">(H36+'Mi negocio'!$B$10)/60*'Mi negocio'!$B$19</f>
        <v>67.5</v>
      </c>
      <c r="J36" s="14" t="n">
        <f aca="false">'Mi negocio'!$B$18</f>
        <v>36</v>
      </c>
      <c r="K36" s="14" t="n">
        <f aca="false">E36+F36+G36+I36+J36</f>
        <v>257.09175</v>
      </c>
      <c r="L36" s="21" t="n">
        <f aca="false">'Mi negocio'!$B$15</f>
        <v>0.06</v>
      </c>
      <c r="M36" s="19" t="n">
        <f aca="false">IFERROR(K36/(1-L36),0)</f>
        <v>273.501861702128</v>
      </c>
      <c r="N36" s="20" t="n">
        <v>10</v>
      </c>
      <c r="O36" s="14" t="n">
        <f aca="false">IFERROR(M36/N36,0)</f>
        <v>27.3501861702128</v>
      </c>
      <c r="P36" s="22" t="n">
        <f aca="false">IFERROR(CEILING((M36/N36+'Mi negocio'!$B$12)/(1-'Mi negocio'!$B$25),1),0)</f>
        <v>75</v>
      </c>
      <c r="Q36" s="22" t="n">
        <f aca="false">IFERROR(CEILING(M36/(1-'Mi negocio'!$B$26),5),0)</f>
        <v>610</v>
      </c>
      <c r="R36" s="22" t="n">
        <f aca="false">IFERROR(CEILING(M36/(1-'Mi negocio'!$B$27),5),0)</f>
        <v>980</v>
      </c>
      <c r="S36" s="22" t="n">
        <f aca="false">IFERROR(CEILING(M36/(1-'Mi negocio'!$B$28),5),0)</f>
        <v>405</v>
      </c>
      <c r="T36" s="14" t="n">
        <f aca="false">Q36-M36</f>
        <v>336.498138297872</v>
      </c>
      <c r="U36" s="21" t="n">
        <f aca="false">IFERROR(T36/Q36,0)</f>
        <v>0.551636292291594</v>
      </c>
    </row>
    <row r="37" customFormat="false" ht="15" hidden="false" customHeight="false" outlineLevel="0" collapsed="false">
      <c r="A37" s="9" t="n">
        <v>32</v>
      </c>
      <c r="B37" s="9" t="s">
        <v>838</v>
      </c>
      <c r="C37" s="12" t="s">
        <v>359</v>
      </c>
      <c r="D37" s="9" t="n">
        <v>9</v>
      </c>
      <c r="E37" s="14" t="n">
        <f aca="false">SUMIF(Ingredientes!$A:$A,$A37,Ingredientes!$H:$H)</f>
        <v>256.992</v>
      </c>
      <c r="F37" s="14" t="n">
        <f aca="false">'Mi negocio'!$B$11</f>
        <v>18</v>
      </c>
      <c r="G37" s="14" t="n">
        <f aca="false">'Mi negocio'!$B$20</f>
        <v>12</v>
      </c>
      <c r="H37" s="20" t="n">
        <v>40</v>
      </c>
      <c r="I37" s="14" t="n">
        <f aca="false">(H37+'Mi negocio'!$B$10)/60*'Mi negocio'!$B$19</f>
        <v>82.5</v>
      </c>
      <c r="J37" s="14" t="n">
        <f aca="false">'Mi negocio'!$B$18</f>
        <v>36</v>
      </c>
      <c r="K37" s="14" t="n">
        <f aca="false">E37+F37+G37+I37+J37</f>
        <v>405.492</v>
      </c>
      <c r="L37" s="21" t="n">
        <f aca="false">'Mi negocio'!$B$15</f>
        <v>0.06</v>
      </c>
      <c r="M37" s="19" t="n">
        <f aca="false">IFERROR(K37/(1-L37),0)</f>
        <v>431.374468085106</v>
      </c>
      <c r="N37" s="20" t="n">
        <v>10</v>
      </c>
      <c r="O37" s="14" t="n">
        <f aca="false">IFERROR(M37/N37,0)</f>
        <v>43.1374468085106</v>
      </c>
      <c r="P37" s="22" t="n">
        <f aca="false">IFERROR(CEILING((M37/N37+'Mi negocio'!$B$12)/(1-'Mi negocio'!$B$25),1),0)</f>
        <v>115</v>
      </c>
      <c r="Q37" s="22" t="n">
        <f aca="false">IFERROR(CEILING(M37/(1-'Mi negocio'!$B$26),5),0)</f>
        <v>960</v>
      </c>
      <c r="R37" s="22" t="n">
        <f aca="false">IFERROR(CEILING(M37/(1-'Mi negocio'!$B$27),5),0)</f>
        <v>1545</v>
      </c>
      <c r="S37" s="22" t="n">
        <f aca="false">IFERROR(CEILING(M37/(1-'Mi negocio'!$B$28),5),0)</f>
        <v>635</v>
      </c>
      <c r="T37" s="14" t="n">
        <f aca="false">Q37-M37</f>
        <v>528.625531914894</v>
      </c>
      <c r="U37" s="21" t="n">
        <f aca="false">IFERROR(T37/Q37,0)</f>
        <v>0.550651595744681</v>
      </c>
    </row>
    <row r="38" customFormat="false" ht="15" hidden="false" customHeight="false" outlineLevel="0" collapsed="false">
      <c r="A38" s="9" t="n">
        <v>33</v>
      </c>
      <c r="B38" s="9" t="s">
        <v>849</v>
      </c>
      <c r="C38" s="12" t="s">
        <v>347</v>
      </c>
      <c r="D38" s="9" t="n">
        <v>9</v>
      </c>
      <c r="E38" s="14" t="n">
        <f aca="false">SUMIF(Ingredientes!$A:$A,$A38,Ingredientes!$H:$H)</f>
        <v>193.033</v>
      </c>
      <c r="F38" s="14" t="n">
        <f aca="false">'Mi negocio'!$B$11</f>
        <v>18</v>
      </c>
      <c r="G38" s="14" t="n">
        <f aca="false">'Mi negocio'!$B$20</f>
        <v>12</v>
      </c>
      <c r="H38" s="20" t="n">
        <v>35</v>
      </c>
      <c r="I38" s="14" t="n">
        <f aca="false">(H38+'Mi negocio'!$B$10)/60*'Mi negocio'!$B$19</f>
        <v>75</v>
      </c>
      <c r="J38" s="14" t="n">
        <f aca="false">'Mi negocio'!$B$18</f>
        <v>36</v>
      </c>
      <c r="K38" s="14" t="n">
        <f aca="false">E38+F38+G38+I38+J38</f>
        <v>334.033</v>
      </c>
      <c r="L38" s="21" t="n">
        <f aca="false">'Mi negocio'!$B$15</f>
        <v>0.06</v>
      </c>
      <c r="M38" s="19" t="n">
        <f aca="false">IFERROR(K38/(1-L38),0)</f>
        <v>355.354255319149</v>
      </c>
      <c r="N38" s="20" t="n">
        <v>10</v>
      </c>
      <c r="O38" s="14" t="n">
        <f aca="false">IFERROR(M38/N38,0)</f>
        <v>35.5354255319149</v>
      </c>
      <c r="P38" s="22" t="n">
        <f aca="false">IFERROR(CEILING((M38/N38+'Mi negocio'!$B$12)/(1-'Mi negocio'!$B$25),1),0)</f>
        <v>96</v>
      </c>
      <c r="Q38" s="22" t="n">
        <f aca="false">IFERROR(CEILING(M38/(1-'Mi negocio'!$B$26),5),0)</f>
        <v>790</v>
      </c>
      <c r="R38" s="22" t="n">
        <f aca="false">IFERROR(CEILING(M38/(1-'Mi negocio'!$B$27),5),0)</f>
        <v>1270</v>
      </c>
      <c r="S38" s="22" t="n">
        <f aca="false">IFERROR(CEILING(M38/(1-'Mi negocio'!$B$28),5),0)</f>
        <v>525</v>
      </c>
      <c r="T38" s="14" t="n">
        <f aca="false">Q38-M38</f>
        <v>434.645744680851</v>
      </c>
      <c r="U38" s="21" t="n">
        <f aca="false">IFERROR(T38/Q38,0)</f>
        <v>0.550184486937786</v>
      </c>
    </row>
    <row r="39" customFormat="false" ht="15" hidden="false" customHeight="false" outlineLevel="0" collapsed="false">
      <c r="A39" s="9" t="n">
        <v>34</v>
      </c>
      <c r="B39" s="9" t="s">
        <v>859</v>
      </c>
      <c r="C39" s="12" t="s">
        <v>359</v>
      </c>
      <c r="D39" s="9" t="n">
        <v>9</v>
      </c>
      <c r="E39" s="14" t="n">
        <f aca="false">SUMIF(Ingredientes!$A:$A,$A39,Ingredientes!$H:$H)</f>
        <v>117.14675</v>
      </c>
      <c r="F39" s="14" t="n">
        <f aca="false">'Mi negocio'!$B$11</f>
        <v>18</v>
      </c>
      <c r="G39" s="14" t="n">
        <f aca="false">'Mi negocio'!$B$20</f>
        <v>12</v>
      </c>
      <c r="H39" s="20" t="n">
        <v>30</v>
      </c>
      <c r="I39" s="14" t="n">
        <f aca="false">(H39+'Mi negocio'!$B$10)/60*'Mi negocio'!$B$19</f>
        <v>67.5</v>
      </c>
      <c r="J39" s="14" t="n">
        <f aca="false">'Mi negocio'!$B$18</f>
        <v>36</v>
      </c>
      <c r="K39" s="14" t="n">
        <f aca="false">E39+F39+G39+I39+J39</f>
        <v>250.64675</v>
      </c>
      <c r="L39" s="21" t="n">
        <f aca="false">'Mi negocio'!$B$15</f>
        <v>0.06</v>
      </c>
      <c r="M39" s="19" t="n">
        <f aca="false">IFERROR(K39/(1-L39),0)</f>
        <v>266.645478723404</v>
      </c>
      <c r="N39" s="20" t="n">
        <v>10</v>
      </c>
      <c r="O39" s="14" t="n">
        <f aca="false">IFERROR(M39/N39,0)</f>
        <v>26.6645478723404</v>
      </c>
      <c r="P39" s="22" t="n">
        <f aca="false">IFERROR(CEILING((M39/N39+'Mi negocio'!$B$12)/(1-'Mi negocio'!$B$25),1),0)</f>
        <v>73</v>
      </c>
      <c r="Q39" s="22" t="n">
        <f aca="false">IFERROR(CEILING(M39/(1-'Mi negocio'!$B$26),5),0)</f>
        <v>595</v>
      </c>
      <c r="R39" s="22" t="n">
        <f aca="false">IFERROR(CEILING(M39/(1-'Mi negocio'!$B$27),5),0)</f>
        <v>955</v>
      </c>
      <c r="S39" s="22" t="n">
        <f aca="false">IFERROR(CEILING(M39/(1-'Mi negocio'!$B$28),5),0)</f>
        <v>395</v>
      </c>
      <c r="T39" s="14" t="n">
        <f aca="false">Q39-M39</f>
        <v>328.354521276596</v>
      </c>
      <c r="U39" s="21" t="n">
        <f aca="false">IFERROR(T39/Q39,0)</f>
        <v>0.551856338279993</v>
      </c>
    </row>
    <row r="40" customFormat="false" ht="15" hidden="false" customHeight="false" outlineLevel="0" collapsed="false">
      <c r="A40" s="9" t="n">
        <v>35</v>
      </c>
      <c r="B40" s="9" t="s">
        <v>867</v>
      </c>
      <c r="C40" s="12" t="s">
        <v>347</v>
      </c>
      <c r="D40" s="9" t="n">
        <v>9</v>
      </c>
      <c r="E40" s="14" t="n">
        <f aca="false">SUMIF(Ingredientes!$A:$A,$A40,Ingredientes!$H:$H)</f>
        <v>189.7275</v>
      </c>
      <c r="F40" s="14" t="n">
        <f aca="false">'Mi negocio'!$B$11</f>
        <v>18</v>
      </c>
      <c r="G40" s="14" t="n">
        <f aca="false">'Mi negocio'!$B$20</f>
        <v>12</v>
      </c>
      <c r="H40" s="20" t="n">
        <v>35</v>
      </c>
      <c r="I40" s="14" t="n">
        <f aca="false">(H40+'Mi negocio'!$B$10)/60*'Mi negocio'!$B$19</f>
        <v>75</v>
      </c>
      <c r="J40" s="14" t="n">
        <f aca="false">'Mi negocio'!$B$18</f>
        <v>36</v>
      </c>
      <c r="K40" s="14" t="n">
        <f aca="false">E40+F40+G40+I40+J40</f>
        <v>330.7275</v>
      </c>
      <c r="L40" s="21" t="n">
        <f aca="false">'Mi negocio'!$B$15</f>
        <v>0.06</v>
      </c>
      <c r="M40" s="19" t="n">
        <f aca="false">IFERROR(K40/(1-L40),0)</f>
        <v>351.837765957447</v>
      </c>
      <c r="N40" s="20" t="n">
        <v>10</v>
      </c>
      <c r="O40" s="14" t="n">
        <f aca="false">IFERROR(M40/N40,0)</f>
        <v>35.1837765957447</v>
      </c>
      <c r="P40" s="22" t="n">
        <f aca="false">IFERROR(CEILING((M40/N40+'Mi negocio'!$B$12)/(1-'Mi negocio'!$B$25),1),0)</f>
        <v>95</v>
      </c>
      <c r="Q40" s="22" t="n">
        <f aca="false">IFERROR(CEILING(M40/(1-'Mi negocio'!$B$26),5),0)</f>
        <v>785</v>
      </c>
      <c r="R40" s="22" t="n">
        <f aca="false">IFERROR(CEILING(M40/(1-'Mi negocio'!$B$27),5),0)</f>
        <v>1260</v>
      </c>
      <c r="S40" s="22" t="n">
        <f aca="false">IFERROR(CEILING(M40/(1-'Mi negocio'!$B$28),5),0)</f>
        <v>520</v>
      </c>
      <c r="T40" s="14" t="n">
        <f aca="false">Q40-M40</f>
        <v>433.162234042553</v>
      </c>
      <c r="U40" s="21" t="n">
        <f aca="false">IFERROR(T40/Q40,0)</f>
        <v>0.55179902425803</v>
      </c>
    </row>
    <row r="41" customFormat="false" ht="15" hidden="false" customHeight="false" outlineLevel="0" collapsed="false">
      <c r="A41" s="9" t="n">
        <v>36</v>
      </c>
      <c r="B41" s="9" t="s">
        <v>880</v>
      </c>
      <c r="C41" s="12" t="s">
        <v>347</v>
      </c>
      <c r="D41" s="9" t="n">
        <v>10</v>
      </c>
      <c r="E41" s="14" t="n">
        <f aca="false">SUMIF(Ingredientes!$A:$A,$A41,Ingredientes!$H:$H)</f>
        <v>135.273888888889</v>
      </c>
      <c r="F41" s="14" t="n">
        <f aca="false">'Mi negocio'!$B$11</f>
        <v>18</v>
      </c>
      <c r="G41" s="14" t="n">
        <f aca="false">'Mi negocio'!$B$20</f>
        <v>12</v>
      </c>
      <c r="H41" s="20" t="n">
        <v>35</v>
      </c>
      <c r="I41" s="14" t="n">
        <f aca="false">(H41+'Mi negocio'!$B$10)/60*'Mi negocio'!$B$19</f>
        <v>75</v>
      </c>
      <c r="J41" s="14" t="n">
        <f aca="false">'Mi negocio'!$B$18</f>
        <v>36</v>
      </c>
      <c r="K41" s="14" t="n">
        <f aca="false">E41+F41+G41+I41+J41</f>
        <v>276.273888888889</v>
      </c>
      <c r="L41" s="21" t="n">
        <f aca="false">'Mi negocio'!$B$15</f>
        <v>0.06</v>
      </c>
      <c r="M41" s="19" t="n">
        <f aca="false">IFERROR(K41/(1-L41),0)</f>
        <v>293.908392434988</v>
      </c>
      <c r="N41" s="20" t="n">
        <v>10</v>
      </c>
      <c r="O41" s="14" t="n">
        <f aca="false">IFERROR(M41/N41,0)</f>
        <v>29.3908392434988</v>
      </c>
      <c r="P41" s="22" t="n">
        <f aca="false">IFERROR(CEILING((M41/N41+'Mi negocio'!$B$12)/(1-'Mi negocio'!$B$25),1),0)</f>
        <v>80</v>
      </c>
      <c r="Q41" s="22" t="n">
        <f aca="false">IFERROR(CEILING(M41/(1-'Mi negocio'!$B$26),5),0)</f>
        <v>655</v>
      </c>
      <c r="R41" s="22" t="n">
        <f aca="false">IFERROR(CEILING(M41/(1-'Mi negocio'!$B$27),5),0)</f>
        <v>1050</v>
      </c>
      <c r="S41" s="22" t="n">
        <f aca="false">IFERROR(CEILING(M41/(1-'Mi negocio'!$B$28),5),0)</f>
        <v>435</v>
      </c>
      <c r="T41" s="14" t="n">
        <f aca="false">Q41-M41</f>
        <v>361.091607565012</v>
      </c>
      <c r="U41" s="21" t="n">
        <f aca="false">IFERROR(T41/Q41,0)</f>
        <v>0.55128489704582</v>
      </c>
    </row>
    <row r="42" customFormat="false" ht="15" hidden="false" customHeight="false" outlineLevel="0" collapsed="false">
      <c r="A42" s="9" t="n">
        <v>37</v>
      </c>
      <c r="B42" s="9" t="s">
        <v>897</v>
      </c>
      <c r="C42" s="12" t="s">
        <v>353</v>
      </c>
      <c r="D42" s="9" t="n">
        <v>10</v>
      </c>
      <c r="E42" s="14" t="n">
        <f aca="false">SUMIF(Ingredientes!$A:$A,$A42,Ingredientes!$H:$H)</f>
        <v>131.332</v>
      </c>
      <c r="F42" s="14" t="n">
        <f aca="false">'Mi negocio'!$B$11</f>
        <v>18</v>
      </c>
      <c r="G42" s="14" t="n">
        <f aca="false">'Mi negocio'!$B$20</f>
        <v>12</v>
      </c>
      <c r="H42" s="20" t="n">
        <v>35</v>
      </c>
      <c r="I42" s="14" t="n">
        <f aca="false">(H42+'Mi negocio'!$B$10)/60*'Mi negocio'!$B$19</f>
        <v>75</v>
      </c>
      <c r="J42" s="14" t="n">
        <f aca="false">'Mi negocio'!$B$18</f>
        <v>36</v>
      </c>
      <c r="K42" s="14" t="n">
        <f aca="false">E42+F42+G42+I42+J42</f>
        <v>272.332</v>
      </c>
      <c r="L42" s="21" t="n">
        <f aca="false">'Mi negocio'!$B$15</f>
        <v>0.06</v>
      </c>
      <c r="M42" s="19" t="n">
        <f aca="false">IFERROR(K42/(1-L42),0)</f>
        <v>289.714893617021</v>
      </c>
      <c r="N42" s="20" t="n">
        <v>10</v>
      </c>
      <c r="O42" s="14" t="n">
        <f aca="false">IFERROR(M42/N42,0)</f>
        <v>28.9714893617021</v>
      </c>
      <c r="P42" s="22" t="n">
        <f aca="false">IFERROR(CEILING((M42/N42+'Mi negocio'!$B$12)/(1-'Mi negocio'!$B$25),1),0)</f>
        <v>79</v>
      </c>
      <c r="Q42" s="22" t="n">
        <f aca="false">IFERROR(CEILING(M42/(1-'Mi negocio'!$B$26),5),0)</f>
        <v>645</v>
      </c>
      <c r="R42" s="22" t="n">
        <f aca="false">IFERROR(CEILING(M42/(1-'Mi negocio'!$B$27),5),0)</f>
        <v>1035</v>
      </c>
      <c r="S42" s="22" t="n">
        <f aca="false">IFERROR(CEILING(M42/(1-'Mi negocio'!$B$28),5),0)</f>
        <v>430</v>
      </c>
      <c r="T42" s="14" t="n">
        <f aca="false">Q42-M42</f>
        <v>355.285106382979</v>
      </c>
      <c r="U42" s="21" t="n">
        <f aca="false">IFERROR(T42/Q42,0)</f>
        <v>0.550829622299192</v>
      </c>
    </row>
    <row r="43" customFormat="false" ht="15" hidden="false" customHeight="false" outlineLevel="0" collapsed="false">
      <c r="A43" s="9" t="n">
        <v>38</v>
      </c>
      <c r="B43" s="9" t="s">
        <v>909</v>
      </c>
      <c r="C43" s="12" t="s">
        <v>356</v>
      </c>
      <c r="D43" s="9" t="n">
        <v>10</v>
      </c>
      <c r="E43" s="14" t="n">
        <f aca="false">SUMIF(Ingredientes!$A:$A,$A43,Ingredientes!$H:$H)</f>
        <v>154.784</v>
      </c>
      <c r="F43" s="14" t="n">
        <f aca="false">'Mi negocio'!$B$11</f>
        <v>18</v>
      </c>
      <c r="G43" s="14" t="n">
        <f aca="false">'Mi negocio'!$B$20</f>
        <v>12</v>
      </c>
      <c r="H43" s="20" t="n">
        <v>40</v>
      </c>
      <c r="I43" s="14" t="n">
        <f aca="false">(H43+'Mi negocio'!$B$10)/60*'Mi negocio'!$B$19</f>
        <v>82.5</v>
      </c>
      <c r="J43" s="14" t="n">
        <f aca="false">'Mi negocio'!$B$18</f>
        <v>36</v>
      </c>
      <c r="K43" s="14" t="n">
        <f aca="false">E43+F43+G43+I43+J43</f>
        <v>303.284</v>
      </c>
      <c r="L43" s="21" t="n">
        <f aca="false">'Mi negocio'!$B$15</f>
        <v>0.06</v>
      </c>
      <c r="M43" s="19" t="n">
        <f aca="false">IFERROR(K43/(1-L43),0)</f>
        <v>322.642553191489</v>
      </c>
      <c r="N43" s="20" t="n">
        <v>10</v>
      </c>
      <c r="O43" s="14" t="n">
        <f aca="false">IFERROR(M43/N43,0)</f>
        <v>32.2642553191489</v>
      </c>
      <c r="P43" s="22" t="n">
        <f aca="false">IFERROR(CEILING((M43/N43+'Mi negocio'!$B$12)/(1-'Mi negocio'!$B$25),1),0)</f>
        <v>87</v>
      </c>
      <c r="Q43" s="22" t="n">
        <f aca="false">IFERROR(CEILING(M43/(1-'Mi negocio'!$B$26),5),0)</f>
        <v>720</v>
      </c>
      <c r="R43" s="22" t="n">
        <f aca="false">IFERROR(CEILING(M43/(1-'Mi negocio'!$B$27),5),0)</f>
        <v>1155</v>
      </c>
      <c r="S43" s="22" t="n">
        <f aca="false">IFERROR(CEILING(M43/(1-'Mi negocio'!$B$28),5),0)</f>
        <v>475</v>
      </c>
      <c r="T43" s="14" t="n">
        <f aca="false">Q43-M43</f>
        <v>397.357446808511</v>
      </c>
      <c r="U43" s="21" t="n">
        <f aca="false">IFERROR(T43/Q43,0)</f>
        <v>0.551885342789598</v>
      </c>
    </row>
    <row r="44" customFormat="false" ht="15" hidden="false" customHeight="false" outlineLevel="0" collapsed="false">
      <c r="A44" s="9" t="n">
        <v>39</v>
      </c>
      <c r="B44" s="9" t="s">
        <v>922</v>
      </c>
      <c r="C44" s="12" t="s">
        <v>347</v>
      </c>
      <c r="D44" s="9" t="n">
        <v>10</v>
      </c>
      <c r="E44" s="14" t="n">
        <f aca="false">SUMIF(Ingredientes!$A:$A,$A44,Ingredientes!$H:$H)</f>
        <v>99.152</v>
      </c>
      <c r="F44" s="14" t="n">
        <f aca="false">'Mi negocio'!$B$11</f>
        <v>18</v>
      </c>
      <c r="G44" s="14" t="n">
        <f aca="false">'Mi negocio'!$B$20</f>
        <v>12</v>
      </c>
      <c r="H44" s="20" t="n">
        <v>35</v>
      </c>
      <c r="I44" s="14" t="n">
        <f aca="false">(H44+'Mi negocio'!$B$10)/60*'Mi negocio'!$B$19</f>
        <v>75</v>
      </c>
      <c r="J44" s="14" t="n">
        <f aca="false">'Mi negocio'!$B$18</f>
        <v>36</v>
      </c>
      <c r="K44" s="14" t="n">
        <f aca="false">E44+F44+G44+I44+J44</f>
        <v>240.152</v>
      </c>
      <c r="L44" s="21" t="n">
        <f aca="false">'Mi negocio'!$B$15</f>
        <v>0.06</v>
      </c>
      <c r="M44" s="19" t="n">
        <f aca="false">IFERROR(K44/(1-L44),0)</f>
        <v>255.48085106383</v>
      </c>
      <c r="N44" s="20" t="n">
        <v>10</v>
      </c>
      <c r="O44" s="14" t="n">
        <f aca="false">IFERROR(M44/N44,0)</f>
        <v>25.548085106383</v>
      </c>
      <c r="P44" s="22" t="n">
        <f aca="false">IFERROR(CEILING((M44/N44+'Mi negocio'!$B$12)/(1-'Mi negocio'!$B$25),1),0)</f>
        <v>71</v>
      </c>
      <c r="Q44" s="22" t="n">
        <f aca="false">IFERROR(CEILING(M44/(1-'Mi negocio'!$B$26),5),0)</f>
        <v>570</v>
      </c>
      <c r="R44" s="22" t="n">
        <f aca="false">IFERROR(CEILING(M44/(1-'Mi negocio'!$B$27),5),0)</f>
        <v>915</v>
      </c>
      <c r="S44" s="22" t="n">
        <f aca="false">IFERROR(CEILING(M44/(1-'Mi negocio'!$B$28),5),0)</f>
        <v>380</v>
      </c>
      <c r="T44" s="14" t="n">
        <f aca="false">Q44-M44</f>
        <v>314.51914893617</v>
      </c>
      <c r="U44" s="21" t="n">
        <f aca="false">IFERROR(T44/Q44,0)</f>
        <v>0.551787980589772</v>
      </c>
    </row>
    <row r="45" customFormat="false" ht="15" hidden="false" customHeight="false" outlineLevel="0" collapsed="false">
      <c r="A45" s="9" t="n">
        <v>40</v>
      </c>
      <c r="B45" s="9" t="s">
        <v>939</v>
      </c>
      <c r="C45" s="12" t="s">
        <v>347</v>
      </c>
      <c r="D45" s="9" t="n">
        <v>10</v>
      </c>
      <c r="E45" s="14" t="n">
        <f aca="false">SUMIF(Ingredientes!$A:$A,$A45,Ingredientes!$H:$H)</f>
        <v>122.993666666667</v>
      </c>
      <c r="F45" s="14" t="n">
        <f aca="false">'Mi negocio'!$B$11</f>
        <v>18</v>
      </c>
      <c r="G45" s="14" t="n">
        <f aca="false">'Mi negocio'!$B$20</f>
        <v>12</v>
      </c>
      <c r="H45" s="20" t="n">
        <v>35</v>
      </c>
      <c r="I45" s="14" t="n">
        <f aca="false">(H45+'Mi negocio'!$B$10)/60*'Mi negocio'!$B$19</f>
        <v>75</v>
      </c>
      <c r="J45" s="14" t="n">
        <f aca="false">'Mi negocio'!$B$18</f>
        <v>36</v>
      </c>
      <c r="K45" s="14" t="n">
        <f aca="false">E45+F45+G45+I45+J45</f>
        <v>263.993666666667</v>
      </c>
      <c r="L45" s="21" t="n">
        <f aca="false">'Mi negocio'!$B$15</f>
        <v>0.06</v>
      </c>
      <c r="M45" s="19" t="n">
        <f aca="false">IFERROR(K45/(1-L45),0)</f>
        <v>280.844326241135</v>
      </c>
      <c r="N45" s="20" t="n">
        <v>10</v>
      </c>
      <c r="O45" s="14" t="n">
        <f aca="false">IFERROR(M45/N45,0)</f>
        <v>28.0844326241135</v>
      </c>
      <c r="P45" s="22" t="n">
        <f aca="false">IFERROR(CEILING((M45/N45+'Mi negocio'!$B$12)/(1-'Mi negocio'!$B$25),1),0)</f>
        <v>77</v>
      </c>
      <c r="Q45" s="22" t="n">
        <f aca="false">IFERROR(CEILING(M45/(1-'Mi negocio'!$B$26),5),0)</f>
        <v>625</v>
      </c>
      <c r="R45" s="22" t="n">
        <f aca="false">IFERROR(CEILING(M45/(1-'Mi negocio'!$B$27),5),0)</f>
        <v>1005</v>
      </c>
      <c r="S45" s="22" t="n">
        <f aca="false">IFERROR(CEILING(M45/(1-'Mi negocio'!$B$28),5),0)</f>
        <v>415</v>
      </c>
      <c r="T45" s="14" t="n">
        <f aca="false">Q45-M45</f>
        <v>344.155673758865</v>
      </c>
      <c r="U45" s="21" t="n">
        <f aca="false">IFERROR(T45/Q45,0)</f>
        <v>0.550649078014184</v>
      </c>
    </row>
    <row r="46" customFormat="false" ht="15" hidden="false" customHeight="false" outlineLevel="0" collapsed="false">
      <c r="A46" s="9" t="n">
        <v>41</v>
      </c>
      <c r="B46" s="9" t="s">
        <v>950</v>
      </c>
      <c r="C46" s="12" t="s">
        <v>347</v>
      </c>
      <c r="D46" s="9" t="n">
        <v>10</v>
      </c>
      <c r="E46" s="14" t="n">
        <f aca="false">SUMIF(Ingredientes!$A:$A,$A46,Ingredientes!$H:$H)</f>
        <v>150.911607843137</v>
      </c>
      <c r="F46" s="14" t="n">
        <f aca="false">'Mi negocio'!$B$11</f>
        <v>18</v>
      </c>
      <c r="G46" s="14" t="n">
        <f aca="false">'Mi negocio'!$B$20</f>
        <v>12</v>
      </c>
      <c r="H46" s="20" t="n">
        <v>30</v>
      </c>
      <c r="I46" s="14" t="n">
        <f aca="false">(H46+'Mi negocio'!$B$10)/60*'Mi negocio'!$B$19</f>
        <v>67.5</v>
      </c>
      <c r="J46" s="14" t="n">
        <f aca="false">'Mi negocio'!$B$18</f>
        <v>36</v>
      </c>
      <c r="K46" s="14" t="n">
        <f aca="false">E46+F46+G46+I46+J46</f>
        <v>284.411607843137</v>
      </c>
      <c r="L46" s="21" t="n">
        <f aca="false">'Mi negocio'!$B$15</f>
        <v>0.06</v>
      </c>
      <c r="M46" s="19" t="n">
        <f aca="false">IFERROR(K46/(1-L46),0)</f>
        <v>302.565540258657</v>
      </c>
      <c r="N46" s="20" t="n">
        <v>10</v>
      </c>
      <c r="O46" s="14" t="n">
        <f aca="false">IFERROR(M46/N46,0)</f>
        <v>30.2565540258657</v>
      </c>
      <c r="P46" s="22" t="n">
        <f aca="false">IFERROR(CEILING((M46/N46+'Mi negocio'!$B$12)/(1-'Mi negocio'!$B$25),1),0)</f>
        <v>82</v>
      </c>
      <c r="Q46" s="22" t="n">
        <f aca="false">IFERROR(CEILING(M46/(1-'Mi negocio'!$B$26),5),0)</f>
        <v>675</v>
      </c>
      <c r="R46" s="22" t="n">
        <f aca="false">IFERROR(CEILING(M46/(1-'Mi negocio'!$B$27),5),0)</f>
        <v>1085</v>
      </c>
      <c r="S46" s="22" t="n">
        <f aca="false">IFERROR(CEILING(M46/(1-'Mi negocio'!$B$28),5),0)</f>
        <v>445</v>
      </c>
      <c r="T46" s="14" t="n">
        <f aca="false">Q46-M46</f>
        <v>372.434459741343</v>
      </c>
      <c r="U46" s="21" t="n">
        <f aca="false">IFERROR(T46/Q46,0)</f>
        <v>0.55175475517236</v>
      </c>
    </row>
    <row r="47" customFormat="false" ht="15" hidden="false" customHeight="false" outlineLevel="0" collapsed="false">
      <c r="A47" s="9" t="n">
        <v>42</v>
      </c>
      <c r="B47" s="9" t="s">
        <v>957</v>
      </c>
      <c r="C47" s="12" t="s">
        <v>347</v>
      </c>
      <c r="D47" s="9" t="n">
        <v>10</v>
      </c>
      <c r="E47" s="14" t="n">
        <f aca="false">SUMIF(Ingredientes!$A:$A,$A47,Ingredientes!$H:$H)</f>
        <v>139.802</v>
      </c>
      <c r="F47" s="14" t="n">
        <f aca="false">'Mi negocio'!$B$11</f>
        <v>18</v>
      </c>
      <c r="G47" s="14" t="n">
        <f aca="false">'Mi negocio'!$B$20</f>
        <v>12</v>
      </c>
      <c r="H47" s="20" t="n">
        <v>35</v>
      </c>
      <c r="I47" s="14" t="n">
        <f aca="false">(H47+'Mi negocio'!$B$10)/60*'Mi negocio'!$B$19</f>
        <v>75</v>
      </c>
      <c r="J47" s="14" t="n">
        <f aca="false">'Mi negocio'!$B$18</f>
        <v>36</v>
      </c>
      <c r="K47" s="14" t="n">
        <f aca="false">E47+F47+G47+I47+J47</f>
        <v>280.802</v>
      </c>
      <c r="L47" s="21" t="n">
        <f aca="false">'Mi negocio'!$B$15</f>
        <v>0.06</v>
      </c>
      <c r="M47" s="19" t="n">
        <f aca="false">IFERROR(K47/(1-L47),0)</f>
        <v>298.725531914894</v>
      </c>
      <c r="N47" s="20" t="n">
        <v>10</v>
      </c>
      <c r="O47" s="14" t="n">
        <f aca="false">IFERROR(M47/N47,0)</f>
        <v>29.8725531914894</v>
      </c>
      <c r="P47" s="22" t="n">
        <f aca="false">IFERROR(CEILING((M47/N47+'Mi negocio'!$B$12)/(1-'Mi negocio'!$B$25),1),0)</f>
        <v>81</v>
      </c>
      <c r="Q47" s="22" t="n">
        <f aca="false">IFERROR(CEILING(M47/(1-'Mi negocio'!$B$26),5),0)</f>
        <v>665</v>
      </c>
      <c r="R47" s="22" t="n">
        <f aca="false">IFERROR(CEILING(M47/(1-'Mi negocio'!$B$27),5),0)</f>
        <v>1070</v>
      </c>
      <c r="S47" s="22" t="n">
        <f aca="false">IFERROR(CEILING(M47/(1-'Mi negocio'!$B$28),5),0)</f>
        <v>440</v>
      </c>
      <c r="T47" s="14" t="n">
        <f aca="false">Q47-M47</f>
        <v>366.274468085106</v>
      </c>
      <c r="U47" s="21" t="n">
        <f aca="false">IFERROR(T47/Q47,0)</f>
        <v>0.55078867381219</v>
      </c>
    </row>
    <row r="48" customFormat="false" ht="15" hidden="false" customHeight="false" outlineLevel="0" collapsed="false">
      <c r="A48" s="9" t="n">
        <v>43</v>
      </c>
      <c r="B48" s="9" t="s">
        <v>971</v>
      </c>
      <c r="C48" s="12" t="s">
        <v>347</v>
      </c>
      <c r="D48" s="9" t="n">
        <v>10</v>
      </c>
      <c r="E48" s="14" t="n">
        <f aca="false">SUMIF(Ingredientes!$A:$A,$A48,Ingredientes!$H:$H)</f>
        <v>130.080888888889</v>
      </c>
      <c r="F48" s="14" t="n">
        <f aca="false">'Mi negocio'!$B$11</f>
        <v>18</v>
      </c>
      <c r="G48" s="14" t="n">
        <f aca="false">'Mi negocio'!$B$20</f>
        <v>12</v>
      </c>
      <c r="H48" s="20" t="n">
        <v>35</v>
      </c>
      <c r="I48" s="14" t="n">
        <f aca="false">(H48+'Mi negocio'!$B$10)/60*'Mi negocio'!$B$19</f>
        <v>75</v>
      </c>
      <c r="J48" s="14" t="n">
        <f aca="false">'Mi negocio'!$B$18</f>
        <v>36</v>
      </c>
      <c r="K48" s="14" t="n">
        <f aca="false">E48+F48+G48+I48+J48</f>
        <v>271.080888888889</v>
      </c>
      <c r="L48" s="21" t="n">
        <f aca="false">'Mi negocio'!$B$15</f>
        <v>0.06</v>
      </c>
      <c r="M48" s="19" t="n">
        <f aca="false">IFERROR(K48/(1-L48),0)</f>
        <v>288.383924349882</v>
      </c>
      <c r="N48" s="20" t="n">
        <v>10</v>
      </c>
      <c r="O48" s="14" t="n">
        <f aca="false">IFERROR(M48/N48,0)</f>
        <v>28.8383924349882</v>
      </c>
      <c r="P48" s="22" t="n">
        <f aca="false">IFERROR(CEILING((M48/N48+'Mi negocio'!$B$12)/(1-'Mi negocio'!$B$25),1),0)</f>
        <v>79</v>
      </c>
      <c r="Q48" s="22" t="n">
        <f aca="false">IFERROR(CEILING(M48/(1-'Mi negocio'!$B$26),5),0)</f>
        <v>645</v>
      </c>
      <c r="R48" s="22" t="n">
        <f aca="false">IFERROR(CEILING(M48/(1-'Mi negocio'!$B$27),5),0)</f>
        <v>1030</v>
      </c>
      <c r="S48" s="22" t="n">
        <f aca="false">IFERROR(CEILING(M48/(1-'Mi negocio'!$B$28),5),0)</f>
        <v>425</v>
      </c>
      <c r="T48" s="14" t="n">
        <f aca="false">Q48-M48</f>
        <v>356.616075650118</v>
      </c>
      <c r="U48" s="21" t="n">
        <f aca="false">IFERROR(T48/Q48,0)</f>
        <v>0.552893140542819</v>
      </c>
    </row>
    <row r="49" customFormat="false" ht="15" hidden="false" customHeight="false" outlineLevel="0" collapsed="false">
      <c r="A49" s="9" t="n">
        <v>44</v>
      </c>
      <c r="B49" s="9" t="s">
        <v>981</v>
      </c>
      <c r="C49" s="12" t="s">
        <v>347</v>
      </c>
      <c r="D49" s="9" t="n">
        <v>11</v>
      </c>
      <c r="E49" s="14" t="n">
        <f aca="false">SUMIF(Ingredientes!$A:$A,$A49,Ingredientes!$H:$H)</f>
        <v>119.517</v>
      </c>
      <c r="F49" s="14" t="n">
        <f aca="false">'Mi negocio'!$B$11</f>
        <v>18</v>
      </c>
      <c r="G49" s="14" t="n">
        <f aca="false">'Mi negocio'!$B$20</f>
        <v>12</v>
      </c>
      <c r="H49" s="20" t="n">
        <v>30</v>
      </c>
      <c r="I49" s="14" t="n">
        <f aca="false">(H49+'Mi negocio'!$B$10)/60*'Mi negocio'!$B$19</f>
        <v>67.5</v>
      </c>
      <c r="J49" s="14" t="n">
        <f aca="false">'Mi negocio'!$B$18</f>
        <v>36</v>
      </c>
      <c r="K49" s="14" t="n">
        <f aca="false">E49+F49+G49+I49+J49</f>
        <v>253.017</v>
      </c>
      <c r="L49" s="21" t="n">
        <f aca="false">'Mi negocio'!$B$15</f>
        <v>0.06</v>
      </c>
      <c r="M49" s="19" t="n">
        <f aca="false">IFERROR(K49/(1-L49),0)</f>
        <v>269.167021276596</v>
      </c>
      <c r="N49" s="20" t="n">
        <v>10</v>
      </c>
      <c r="O49" s="14" t="n">
        <f aca="false">IFERROR(M49/N49,0)</f>
        <v>26.9167021276596</v>
      </c>
      <c r="P49" s="22" t="n">
        <f aca="false">IFERROR(CEILING((M49/N49+'Mi negocio'!$B$12)/(1-'Mi negocio'!$B$25),1),0)</f>
        <v>74</v>
      </c>
      <c r="Q49" s="22" t="n">
        <f aca="false">IFERROR(CEILING(M49/(1-'Mi negocio'!$B$26),5),0)</f>
        <v>600</v>
      </c>
      <c r="R49" s="22" t="n">
        <f aca="false">IFERROR(CEILING(M49/(1-'Mi negocio'!$B$27),5),0)</f>
        <v>965</v>
      </c>
      <c r="S49" s="22" t="n">
        <f aca="false">IFERROR(CEILING(M49/(1-'Mi negocio'!$B$28),5),0)</f>
        <v>400</v>
      </c>
      <c r="T49" s="14" t="n">
        <f aca="false">Q49-M49</f>
        <v>330.832978723404</v>
      </c>
      <c r="U49" s="21" t="n">
        <f aca="false">IFERROR(T49/Q49,0)</f>
        <v>0.55138829787234</v>
      </c>
    </row>
    <row r="50" customFormat="false" ht="15" hidden="false" customHeight="false" outlineLevel="0" collapsed="false">
      <c r="A50" s="9" t="n">
        <v>45</v>
      </c>
      <c r="B50" s="9" t="s">
        <v>989</v>
      </c>
      <c r="C50" s="12" t="s">
        <v>347</v>
      </c>
      <c r="D50" s="9" t="n">
        <v>11</v>
      </c>
      <c r="E50" s="14" t="n">
        <f aca="false">SUMIF(Ingredientes!$A:$A,$A50,Ingredientes!$H:$H)</f>
        <v>169.048</v>
      </c>
      <c r="F50" s="14" t="n">
        <f aca="false">'Mi negocio'!$B$11</f>
        <v>18</v>
      </c>
      <c r="G50" s="14" t="n">
        <f aca="false">'Mi negocio'!$B$20</f>
        <v>12</v>
      </c>
      <c r="H50" s="20" t="n">
        <v>30</v>
      </c>
      <c r="I50" s="14" t="n">
        <f aca="false">(H50+'Mi negocio'!$B$10)/60*'Mi negocio'!$B$19</f>
        <v>67.5</v>
      </c>
      <c r="J50" s="14" t="n">
        <f aca="false">'Mi negocio'!$B$18</f>
        <v>36</v>
      </c>
      <c r="K50" s="14" t="n">
        <f aca="false">E50+F50+G50+I50+J50</f>
        <v>302.548</v>
      </c>
      <c r="L50" s="21" t="n">
        <f aca="false">'Mi negocio'!$B$15</f>
        <v>0.06</v>
      </c>
      <c r="M50" s="19" t="n">
        <f aca="false">IFERROR(K50/(1-L50),0)</f>
        <v>321.859574468085</v>
      </c>
      <c r="N50" s="20" t="n">
        <v>10</v>
      </c>
      <c r="O50" s="14" t="n">
        <f aca="false">IFERROR(M50/N50,0)</f>
        <v>32.1859574468085</v>
      </c>
      <c r="P50" s="22" t="n">
        <f aca="false">IFERROR(CEILING((M50/N50+'Mi negocio'!$B$12)/(1-'Mi negocio'!$B$25),1),0)</f>
        <v>87</v>
      </c>
      <c r="Q50" s="22" t="n">
        <f aca="false">IFERROR(CEILING(M50/(1-'Mi negocio'!$B$26),5),0)</f>
        <v>720</v>
      </c>
      <c r="R50" s="22" t="n">
        <f aca="false">IFERROR(CEILING(M50/(1-'Mi negocio'!$B$27),5),0)</f>
        <v>1150</v>
      </c>
      <c r="S50" s="22" t="n">
        <f aca="false">IFERROR(CEILING(M50/(1-'Mi negocio'!$B$28),5),0)</f>
        <v>475</v>
      </c>
      <c r="T50" s="14" t="n">
        <f aca="false">Q50-M50</f>
        <v>398.140425531915</v>
      </c>
      <c r="U50" s="21" t="n">
        <f aca="false">IFERROR(T50/Q50,0)</f>
        <v>0.552972813238771</v>
      </c>
    </row>
    <row r="51" customFormat="false" ht="15" hidden="false" customHeight="false" outlineLevel="0" collapsed="false">
      <c r="A51" s="9" t="n">
        <v>46</v>
      </c>
      <c r="B51" s="9" t="s">
        <v>997</v>
      </c>
      <c r="C51" s="12" t="s">
        <v>347</v>
      </c>
      <c r="D51" s="9" t="n">
        <v>11</v>
      </c>
      <c r="E51" s="14" t="n">
        <f aca="false">SUMIF(Ingredientes!$A:$A,$A51,Ingredientes!$H:$H)</f>
        <v>144.368</v>
      </c>
      <c r="F51" s="14" t="n">
        <f aca="false">'Mi negocio'!$B$11</f>
        <v>18</v>
      </c>
      <c r="G51" s="14" t="n">
        <f aca="false">'Mi negocio'!$B$20</f>
        <v>12</v>
      </c>
      <c r="H51" s="20" t="n">
        <v>35</v>
      </c>
      <c r="I51" s="14" t="n">
        <f aca="false">(H51+'Mi negocio'!$B$10)/60*'Mi negocio'!$B$19</f>
        <v>75</v>
      </c>
      <c r="J51" s="14" t="n">
        <f aca="false">'Mi negocio'!$B$18</f>
        <v>36</v>
      </c>
      <c r="K51" s="14" t="n">
        <f aca="false">E51+F51+G51+I51+J51</f>
        <v>285.368</v>
      </c>
      <c r="L51" s="21" t="n">
        <f aca="false">'Mi negocio'!$B$15</f>
        <v>0.06</v>
      </c>
      <c r="M51" s="19" t="n">
        <f aca="false">IFERROR(K51/(1-L51),0)</f>
        <v>303.582978723404</v>
      </c>
      <c r="N51" s="20" t="n">
        <v>10</v>
      </c>
      <c r="O51" s="14" t="n">
        <f aca="false">IFERROR(M51/N51,0)</f>
        <v>30.3582978723404</v>
      </c>
      <c r="P51" s="22" t="n">
        <f aca="false">IFERROR(CEILING((M51/N51+'Mi negocio'!$B$12)/(1-'Mi negocio'!$B$25),1),0)</f>
        <v>83</v>
      </c>
      <c r="Q51" s="22" t="n">
        <f aca="false">IFERROR(CEILING(M51/(1-'Mi negocio'!$B$26),5),0)</f>
        <v>675</v>
      </c>
      <c r="R51" s="22" t="n">
        <f aca="false">IFERROR(CEILING(M51/(1-'Mi negocio'!$B$27),5),0)</f>
        <v>1085</v>
      </c>
      <c r="S51" s="22" t="n">
        <f aca="false">IFERROR(CEILING(M51/(1-'Mi negocio'!$B$28),5),0)</f>
        <v>450</v>
      </c>
      <c r="T51" s="14" t="n">
        <f aca="false">Q51-M51</f>
        <v>371.417021276596</v>
      </c>
      <c r="U51" s="21" t="n">
        <f aca="false">IFERROR(T51/Q51,0)</f>
        <v>0.55024743892829</v>
      </c>
    </row>
    <row r="52" customFormat="false" ht="15" hidden="false" customHeight="false" outlineLevel="0" collapsed="false">
      <c r="A52" s="9" t="n">
        <v>47</v>
      </c>
      <c r="B52" s="9" t="s">
        <v>1015</v>
      </c>
      <c r="C52" s="12" t="s">
        <v>347</v>
      </c>
      <c r="D52" s="9" t="n">
        <v>11</v>
      </c>
      <c r="E52" s="14" t="n">
        <f aca="false">SUMIF(Ingredientes!$A:$A,$A52,Ingredientes!$H:$H)</f>
        <v>122.882</v>
      </c>
      <c r="F52" s="14" t="n">
        <f aca="false">'Mi negocio'!$B$11</f>
        <v>18</v>
      </c>
      <c r="G52" s="14" t="n">
        <f aca="false">'Mi negocio'!$B$20</f>
        <v>12</v>
      </c>
      <c r="H52" s="20" t="n">
        <v>35</v>
      </c>
      <c r="I52" s="14" t="n">
        <f aca="false">(H52+'Mi negocio'!$B$10)/60*'Mi negocio'!$B$19</f>
        <v>75</v>
      </c>
      <c r="J52" s="14" t="n">
        <f aca="false">'Mi negocio'!$B$18</f>
        <v>36</v>
      </c>
      <c r="K52" s="14" t="n">
        <f aca="false">E52+F52+G52+I52+J52</f>
        <v>263.882</v>
      </c>
      <c r="L52" s="21" t="n">
        <f aca="false">'Mi negocio'!$B$15</f>
        <v>0.06</v>
      </c>
      <c r="M52" s="19" t="n">
        <f aca="false">IFERROR(K52/(1-L52),0)</f>
        <v>280.725531914894</v>
      </c>
      <c r="N52" s="20" t="n">
        <v>10</v>
      </c>
      <c r="O52" s="14" t="n">
        <f aca="false">IFERROR(M52/N52,0)</f>
        <v>28.0725531914894</v>
      </c>
      <c r="P52" s="22" t="n">
        <f aca="false">IFERROR(CEILING((M52/N52+'Mi negocio'!$B$12)/(1-'Mi negocio'!$B$25),1),0)</f>
        <v>77</v>
      </c>
      <c r="Q52" s="22" t="n">
        <f aca="false">IFERROR(CEILING(M52/(1-'Mi negocio'!$B$26),5),0)</f>
        <v>625</v>
      </c>
      <c r="R52" s="22" t="n">
        <f aca="false">IFERROR(CEILING(M52/(1-'Mi negocio'!$B$27),5),0)</f>
        <v>1005</v>
      </c>
      <c r="S52" s="22" t="n">
        <f aca="false">IFERROR(CEILING(M52/(1-'Mi negocio'!$B$28),5),0)</f>
        <v>415</v>
      </c>
      <c r="T52" s="14" t="n">
        <f aca="false">Q52-M52</f>
        <v>344.274468085106</v>
      </c>
      <c r="U52" s="21" t="n">
        <f aca="false">IFERROR(T52/Q52,0)</f>
        <v>0.55083914893617</v>
      </c>
    </row>
    <row r="53" customFormat="false" ht="15" hidden="false" customHeight="false" outlineLevel="0" collapsed="false">
      <c r="A53" s="9" t="n">
        <v>48</v>
      </c>
      <c r="B53" s="9" t="s">
        <v>1026</v>
      </c>
      <c r="C53" s="12" t="s">
        <v>347</v>
      </c>
      <c r="D53" s="9" t="n">
        <v>11</v>
      </c>
      <c r="E53" s="14" t="n">
        <f aca="false">SUMIF(Ingredientes!$A:$A,$A53,Ingredientes!$H:$H)</f>
        <v>148.357</v>
      </c>
      <c r="F53" s="14" t="n">
        <f aca="false">'Mi negocio'!$B$11</f>
        <v>18</v>
      </c>
      <c r="G53" s="14" t="n">
        <f aca="false">'Mi negocio'!$B$20</f>
        <v>12</v>
      </c>
      <c r="H53" s="20" t="n">
        <v>35</v>
      </c>
      <c r="I53" s="14" t="n">
        <f aca="false">(H53+'Mi negocio'!$B$10)/60*'Mi negocio'!$B$19</f>
        <v>75</v>
      </c>
      <c r="J53" s="14" t="n">
        <f aca="false">'Mi negocio'!$B$18</f>
        <v>36</v>
      </c>
      <c r="K53" s="14" t="n">
        <f aca="false">E53+F53+G53+I53+J53</f>
        <v>289.357</v>
      </c>
      <c r="L53" s="21" t="n">
        <f aca="false">'Mi negocio'!$B$15</f>
        <v>0.06</v>
      </c>
      <c r="M53" s="19" t="n">
        <f aca="false">IFERROR(K53/(1-L53),0)</f>
        <v>307.826595744681</v>
      </c>
      <c r="N53" s="20" t="n">
        <v>10</v>
      </c>
      <c r="O53" s="14" t="n">
        <f aca="false">IFERROR(M53/N53,0)</f>
        <v>30.7826595744681</v>
      </c>
      <c r="P53" s="22" t="n">
        <f aca="false">IFERROR(CEILING((M53/N53+'Mi negocio'!$B$12)/(1-'Mi negocio'!$B$25),1),0)</f>
        <v>84</v>
      </c>
      <c r="Q53" s="22" t="n">
        <f aca="false">IFERROR(CEILING(M53/(1-'Mi negocio'!$B$26),5),0)</f>
        <v>685</v>
      </c>
      <c r="R53" s="22" t="n">
        <f aca="false">IFERROR(CEILING(M53/(1-'Mi negocio'!$B$27),5),0)</f>
        <v>1100</v>
      </c>
      <c r="S53" s="22" t="n">
        <f aca="false">IFERROR(CEILING(M53/(1-'Mi negocio'!$B$28),5),0)</f>
        <v>455</v>
      </c>
      <c r="T53" s="14" t="n">
        <f aca="false">Q53-M53</f>
        <v>377.173404255319</v>
      </c>
      <c r="U53" s="21" t="n">
        <f aca="false">IFERROR(T53/Q53,0)</f>
        <v>0.550618108401926</v>
      </c>
    </row>
    <row r="54" customFormat="false" ht="15" hidden="false" customHeight="false" outlineLevel="0" collapsed="false">
      <c r="A54" s="9" t="n">
        <v>49</v>
      </c>
      <c r="B54" s="9" t="s">
        <v>1035</v>
      </c>
      <c r="C54" s="12" t="s">
        <v>347</v>
      </c>
      <c r="D54" s="9" t="n">
        <v>11</v>
      </c>
      <c r="E54" s="14" t="n">
        <f aca="false">SUMIF(Ingredientes!$A:$A,$A54,Ingredientes!$H:$H)</f>
        <v>120.231074935401</v>
      </c>
      <c r="F54" s="14" t="n">
        <f aca="false">'Mi negocio'!$B$11</f>
        <v>18</v>
      </c>
      <c r="G54" s="14" t="n">
        <f aca="false">'Mi negocio'!$B$20</f>
        <v>12</v>
      </c>
      <c r="H54" s="20" t="n">
        <v>40</v>
      </c>
      <c r="I54" s="14" t="n">
        <f aca="false">(H54+'Mi negocio'!$B$10)/60*'Mi negocio'!$B$19</f>
        <v>82.5</v>
      </c>
      <c r="J54" s="14" t="n">
        <f aca="false">'Mi negocio'!$B$18</f>
        <v>36</v>
      </c>
      <c r="K54" s="14" t="n">
        <f aca="false">E54+F54+G54+I54+J54</f>
        <v>268.731074935401</v>
      </c>
      <c r="L54" s="21" t="n">
        <f aca="false">'Mi negocio'!$B$15</f>
        <v>0.06</v>
      </c>
      <c r="M54" s="19" t="n">
        <f aca="false">IFERROR(K54/(1-L54),0)</f>
        <v>285.884122271703</v>
      </c>
      <c r="N54" s="20" t="n">
        <v>10</v>
      </c>
      <c r="O54" s="14" t="n">
        <f aca="false">IFERROR(M54/N54,0)</f>
        <v>28.5884122271703</v>
      </c>
      <c r="P54" s="22" t="n">
        <f aca="false">IFERROR(CEILING((M54/N54+'Mi negocio'!$B$12)/(1-'Mi negocio'!$B$25),1),0)</f>
        <v>78</v>
      </c>
      <c r="Q54" s="22" t="n">
        <f aca="false">IFERROR(CEILING(M54/(1-'Mi negocio'!$B$26),5),0)</f>
        <v>640</v>
      </c>
      <c r="R54" s="22" t="n">
        <f aca="false">IFERROR(CEILING(M54/(1-'Mi negocio'!$B$27),5),0)</f>
        <v>1025</v>
      </c>
      <c r="S54" s="22" t="n">
        <f aca="false">IFERROR(CEILING(M54/(1-'Mi negocio'!$B$28),5),0)</f>
        <v>425</v>
      </c>
      <c r="T54" s="14" t="n">
        <f aca="false">Q54-M54</f>
        <v>354.115877728297</v>
      </c>
      <c r="U54" s="21" t="n">
        <f aca="false">IFERROR(T54/Q54,0)</f>
        <v>0.553306058950465</v>
      </c>
    </row>
    <row r="55" customFormat="false" ht="15" hidden="false" customHeight="false" outlineLevel="0" collapsed="false">
      <c r="A55" s="9" t="n">
        <v>50</v>
      </c>
      <c r="B55" s="9" t="s">
        <v>1049</v>
      </c>
      <c r="C55" s="12" t="s">
        <v>347</v>
      </c>
      <c r="D55" s="9" t="n">
        <v>11</v>
      </c>
      <c r="E55" s="14" t="n">
        <f aca="false">SUMIF(Ingredientes!$A:$A,$A55,Ingredientes!$H:$H)</f>
        <v>167.245571428571</v>
      </c>
      <c r="F55" s="14" t="n">
        <f aca="false">'Mi negocio'!$B$11</f>
        <v>18</v>
      </c>
      <c r="G55" s="14" t="n">
        <f aca="false">'Mi negocio'!$B$20</f>
        <v>12</v>
      </c>
      <c r="H55" s="20" t="n">
        <v>35</v>
      </c>
      <c r="I55" s="14" t="n">
        <f aca="false">(H55+'Mi negocio'!$B$10)/60*'Mi negocio'!$B$19</f>
        <v>75</v>
      </c>
      <c r="J55" s="14" t="n">
        <f aca="false">'Mi negocio'!$B$18</f>
        <v>36</v>
      </c>
      <c r="K55" s="14" t="n">
        <f aca="false">E55+F55+G55+I55+J55</f>
        <v>308.245571428571</v>
      </c>
      <c r="L55" s="21" t="n">
        <f aca="false">'Mi negocio'!$B$15</f>
        <v>0.06</v>
      </c>
      <c r="M55" s="19" t="n">
        <f aca="false">IFERROR(K55/(1-L55),0)</f>
        <v>327.920820668693</v>
      </c>
      <c r="N55" s="20" t="n">
        <v>10</v>
      </c>
      <c r="O55" s="14" t="n">
        <f aca="false">IFERROR(M55/N55,0)</f>
        <v>32.7920820668693</v>
      </c>
      <c r="P55" s="22" t="n">
        <f aca="false">IFERROR(CEILING((M55/N55+'Mi negocio'!$B$12)/(1-'Mi negocio'!$B$25),1),0)</f>
        <v>89</v>
      </c>
      <c r="Q55" s="22" t="n">
        <f aca="false">IFERROR(CEILING(M55/(1-'Mi negocio'!$B$26),5),0)</f>
        <v>730</v>
      </c>
      <c r="R55" s="22" t="n">
        <f aca="false">IFERROR(CEILING(M55/(1-'Mi negocio'!$B$27),5),0)</f>
        <v>1175</v>
      </c>
      <c r="S55" s="22" t="n">
        <f aca="false">IFERROR(CEILING(M55/(1-'Mi negocio'!$B$28),5),0)</f>
        <v>485</v>
      </c>
      <c r="T55" s="14" t="n">
        <f aca="false">Q55-M55</f>
        <v>402.079179331307</v>
      </c>
      <c r="U55" s="21" t="n">
        <f aca="false">IFERROR(T55/Q55,0)</f>
        <v>0.550793396344256</v>
      </c>
    </row>
    <row r="56" customFormat="false" ht="15" hidden="false" customHeight="false" outlineLevel="0" collapsed="false">
      <c r="A56" s="9" t="n">
        <v>51</v>
      </c>
      <c r="B56" s="9" t="s">
        <v>1060</v>
      </c>
      <c r="C56" s="12" t="s">
        <v>362</v>
      </c>
      <c r="D56" s="9" t="n">
        <v>11</v>
      </c>
      <c r="E56" s="14" t="n">
        <f aca="false">SUMIF(Ingredientes!$A:$A,$A56,Ingredientes!$H:$H)</f>
        <v>194.781174603175</v>
      </c>
      <c r="F56" s="14" t="n">
        <f aca="false">'Mi negocio'!$B$11</f>
        <v>18</v>
      </c>
      <c r="G56" s="14" t="n">
        <f aca="false">'Mi negocio'!$B$20</f>
        <v>12</v>
      </c>
      <c r="H56" s="20" t="n">
        <v>45</v>
      </c>
      <c r="I56" s="14" t="n">
        <f aca="false">(H56+'Mi negocio'!$B$10)/60*'Mi negocio'!$B$19</f>
        <v>90</v>
      </c>
      <c r="J56" s="14" t="n">
        <f aca="false">'Mi negocio'!$B$18</f>
        <v>36</v>
      </c>
      <c r="K56" s="14" t="n">
        <f aca="false">E56+F56+G56+I56+J56</f>
        <v>350.781174603175</v>
      </c>
      <c r="L56" s="21" t="n">
        <f aca="false">'Mi negocio'!$B$15</f>
        <v>0.06</v>
      </c>
      <c r="M56" s="19" t="n">
        <f aca="false">IFERROR(K56/(1-L56),0)</f>
        <v>373.171462343803</v>
      </c>
      <c r="N56" s="20" t="n">
        <v>12</v>
      </c>
      <c r="O56" s="14" t="n">
        <f aca="false">IFERROR(M56/N56,0)</f>
        <v>31.0976218619836</v>
      </c>
      <c r="P56" s="22" t="n">
        <f aca="false">IFERROR(CEILING((M56/N56+'Mi negocio'!$B$12)/(1-'Mi negocio'!$B$25),1),0)</f>
        <v>84</v>
      </c>
      <c r="Q56" s="22" t="n">
        <f aca="false">IFERROR(CEILING(M56/(1-'Mi negocio'!$B$26),5),0)</f>
        <v>830</v>
      </c>
      <c r="R56" s="22" t="n">
        <f aca="false">IFERROR(CEILING(M56/(1-'Mi negocio'!$B$27),5),0)</f>
        <v>1335</v>
      </c>
      <c r="S56" s="22" t="n">
        <f aca="false">IFERROR(CEILING(M56/(1-'Mi negocio'!$B$28),5),0)</f>
        <v>550</v>
      </c>
      <c r="T56" s="14" t="n">
        <f aca="false">Q56-M56</f>
        <v>456.828537656197</v>
      </c>
      <c r="U56" s="21" t="n">
        <f aca="false">IFERROR(T56/Q56,0)</f>
        <v>0.550395828501442</v>
      </c>
    </row>
    <row r="58" customFormat="false" ht="15" hidden="false" customHeight="false" outlineLevel="0" collapsed="false">
      <c r="B58" s="4" t="s">
        <v>1146</v>
      </c>
      <c r="E58" s="23" t="n">
        <f aca="false">AVERAGE(E6:E56)</f>
        <v>163.321179344052</v>
      </c>
      <c r="M58" s="23" t="n">
        <f aca="false">AVERAGE(M6:M56)</f>
        <v>321.242806561257</v>
      </c>
      <c r="O58" s="23" t="n">
        <f aca="false">AVERAGE(O6:O56)</f>
        <v>31.6855834971991</v>
      </c>
      <c r="P58" s="23" t="n">
        <f aca="false">AVERAGE(P6:P56)</f>
        <v>85.9607843137255</v>
      </c>
      <c r="Q58" s="23" t="n">
        <f aca="false">AVERAGE(Q6:Q56)</f>
        <v>716.274509803922</v>
      </c>
      <c r="R58" s="23" t="n">
        <f aca="false">AVERAGE(R6:R56)</f>
        <v>1149.60784313725</v>
      </c>
      <c r="S58" s="23" t="n">
        <f aca="false">AVERAGE(S6:S56)</f>
        <v>474.901960784314</v>
      </c>
      <c r="T58" s="23" t="n">
        <f aca="false">AVERAGE(T6:T56)</f>
        <v>395.031703242665</v>
      </c>
    </row>
    <row r="60" customFormat="false" ht="15" hidden="false" customHeight="false" outlineLevel="0" collapsed="false">
      <c r="B60" s="2" t="s">
        <v>1147</v>
      </c>
    </row>
  </sheetData>
  <autoFilter ref="A5:U56"/>
  <conditionalFormatting sqref="M6:M56">
    <cfRule type="colorScale" priority="2">
      <colorScale>
        <cfvo type="min" val="0"/>
        <cfvo type="max" val="0"/>
        <color rgb="FFEEF7F2"/>
        <color rgb="FFFDE2D7"/>
      </colorScale>
    </cfRule>
  </conditionalFormatting>
  <conditionalFormatting sqref="U6:U56">
    <cfRule type="cellIs" priority="3" operator="lessThan" aboveAverage="0" equalAverage="0" bottom="0" percent="0" rank="0" text="" dxfId="67">
      <formula>0.3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4" min="3" style="0" width="12"/>
    <col collapsed="false" customWidth="true" hidden="false" outlineLevel="0" max="7" min="5" style="0" width="13"/>
    <col collapsed="false" customWidth="true" hidden="false" outlineLevel="0" max="8" min="8" style="0" width="9"/>
    <col collapsed="false" customWidth="true" hidden="false" outlineLevel="0" max="10" min="9" style="0" width="15"/>
    <col collapsed="false" customWidth="true" hidden="false" outlineLevel="0" max="11" min="11" style="0" width="13"/>
  </cols>
  <sheetData>
    <row r="1" customFormat="false" ht="19.7" hidden="false" customHeight="false" outlineLevel="0" collapsed="false">
      <c r="A1" s="1" t="s">
        <v>1148</v>
      </c>
    </row>
    <row r="2" customFormat="false" ht="15" hidden="false" customHeight="false" outlineLevel="0" collapsed="false">
      <c r="A2" s="2" t="s">
        <v>1149</v>
      </c>
    </row>
    <row r="3" customFormat="false" ht="15" hidden="false" customHeight="false" outlineLevel="0" collapsed="false">
      <c r="A3" s="3" t="s">
        <v>2</v>
      </c>
    </row>
    <row r="5" customFormat="false" ht="25.5" hidden="false" customHeight="true" outlineLevel="0" collapsed="false">
      <c r="A5" s="8" t="s">
        <v>387</v>
      </c>
      <c r="B5" s="8" t="s">
        <v>388</v>
      </c>
      <c r="C5" s="8" t="s">
        <v>1150</v>
      </c>
      <c r="D5" s="8" t="s">
        <v>1151</v>
      </c>
      <c r="E5" s="8" t="s">
        <v>1130</v>
      </c>
      <c r="F5" s="8" t="s">
        <v>1152</v>
      </c>
      <c r="G5" s="8" t="s">
        <v>1153</v>
      </c>
      <c r="H5" s="8" t="s">
        <v>1154</v>
      </c>
      <c r="I5" s="8" t="s">
        <v>1155</v>
      </c>
      <c r="J5" s="8" t="s">
        <v>1156</v>
      </c>
      <c r="K5" s="8" t="s">
        <v>1157</v>
      </c>
    </row>
    <row r="6" customFormat="false" ht="15" hidden="false" customHeight="false" outlineLevel="0" collapsed="false">
      <c r="A6" s="9" t="n">
        <v>1</v>
      </c>
      <c r="B6" s="9" t="s">
        <v>395</v>
      </c>
      <c r="C6" s="24" t="n">
        <v>0</v>
      </c>
      <c r="D6" s="20" t="n">
        <f aca="false">IFERROR(CEILING(C6/'Mi negocio'!$B$14,1),0)</f>
        <v>0</v>
      </c>
      <c r="E6" s="14" t="n">
        <f aca="false">C6*'Recetas y precios'!E6</f>
        <v>0</v>
      </c>
      <c r="F6" s="14" t="n">
        <f aca="false">C6*'Recetas y precios'!M6</f>
        <v>0</v>
      </c>
      <c r="G6" s="20" t="n">
        <f aca="false">C6*('Recetas y precios'!H6+'Mi negocio'!$B$10)</f>
        <v>0</v>
      </c>
      <c r="H6" s="25" t="n">
        <f aca="false">G6/60</f>
        <v>0</v>
      </c>
      <c r="I6" s="14" t="n">
        <f aca="false">C6*'Recetas y precios'!Q6</f>
        <v>0</v>
      </c>
      <c r="J6" s="14" t="n">
        <f aca="false">C6*'Recetas y precios'!N6*'Recetas y precios'!P6</f>
        <v>0</v>
      </c>
      <c r="K6" s="14" t="n">
        <f aca="false">I6-F6</f>
        <v>0</v>
      </c>
    </row>
    <row r="7" customFormat="false" ht="15" hidden="false" customHeight="false" outlineLevel="0" collapsed="false">
      <c r="A7" s="9" t="n">
        <v>2</v>
      </c>
      <c r="B7" s="9" t="s">
        <v>413</v>
      </c>
      <c r="C7" s="24" t="n">
        <v>0</v>
      </c>
      <c r="D7" s="20" t="n">
        <f aca="false">IFERROR(CEILING(C7/'Mi negocio'!$B$14,1),0)</f>
        <v>0</v>
      </c>
      <c r="E7" s="14" t="n">
        <f aca="false">C7*'Recetas y precios'!E7</f>
        <v>0</v>
      </c>
      <c r="F7" s="14" t="n">
        <f aca="false">C7*'Recetas y precios'!M7</f>
        <v>0</v>
      </c>
      <c r="G7" s="20" t="n">
        <f aca="false">C7*('Recetas y precios'!H7+'Mi negocio'!$B$10)</f>
        <v>0</v>
      </c>
      <c r="H7" s="25" t="n">
        <f aca="false">G7/60</f>
        <v>0</v>
      </c>
      <c r="I7" s="14" t="n">
        <f aca="false">C7*'Recetas y precios'!Q7</f>
        <v>0</v>
      </c>
      <c r="J7" s="14" t="n">
        <f aca="false">C7*'Recetas y precios'!N7*'Recetas y precios'!P7</f>
        <v>0</v>
      </c>
      <c r="K7" s="14" t="n">
        <f aca="false">I7-F7</f>
        <v>0</v>
      </c>
    </row>
    <row r="8" customFormat="false" ht="15" hidden="false" customHeight="false" outlineLevel="0" collapsed="false">
      <c r="A8" s="9" t="n">
        <v>3</v>
      </c>
      <c r="B8" s="9" t="s">
        <v>431</v>
      </c>
      <c r="C8" s="24" t="n">
        <v>0</v>
      </c>
      <c r="D8" s="20" t="n">
        <f aca="false">IFERROR(CEILING(C8/'Mi negocio'!$B$14,1),0)</f>
        <v>0</v>
      </c>
      <c r="E8" s="14" t="n">
        <f aca="false">C8*'Recetas y precios'!E8</f>
        <v>0</v>
      </c>
      <c r="F8" s="14" t="n">
        <f aca="false">C8*'Recetas y precios'!M8</f>
        <v>0</v>
      </c>
      <c r="G8" s="20" t="n">
        <f aca="false">C8*('Recetas y precios'!H8+'Mi negocio'!$B$10)</f>
        <v>0</v>
      </c>
      <c r="H8" s="25" t="n">
        <f aca="false">G8/60</f>
        <v>0</v>
      </c>
      <c r="I8" s="14" t="n">
        <f aca="false">C8*'Recetas y precios'!Q8</f>
        <v>0</v>
      </c>
      <c r="J8" s="14" t="n">
        <f aca="false">C8*'Recetas y precios'!N8*'Recetas y precios'!P8</f>
        <v>0</v>
      </c>
      <c r="K8" s="14" t="n">
        <f aca="false">I8-F8</f>
        <v>0</v>
      </c>
    </row>
    <row r="9" customFormat="false" ht="15" hidden="false" customHeight="false" outlineLevel="0" collapsed="false">
      <c r="A9" s="9" t="n">
        <v>4</v>
      </c>
      <c r="B9" s="9" t="s">
        <v>447</v>
      </c>
      <c r="C9" s="24" t="n">
        <v>0</v>
      </c>
      <c r="D9" s="20" t="n">
        <f aca="false">IFERROR(CEILING(C9/'Mi negocio'!$B$14,1),0)</f>
        <v>0</v>
      </c>
      <c r="E9" s="14" t="n">
        <f aca="false">C9*'Recetas y precios'!E9</f>
        <v>0</v>
      </c>
      <c r="F9" s="14" t="n">
        <f aca="false">C9*'Recetas y precios'!M9</f>
        <v>0</v>
      </c>
      <c r="G9" s="20" t="n">
        <f aca="false">C9*('Recetas y precios'!H9+'Mi negocio'!$B$10)</f>
        <v>0</v>
      </c>
      <c r="H9" s="25" t="n">
        <f aca="false">G9/60</f>
        <v>0</v>
      </c>
      <c r="I9" s="14" t="n">
        <f aca="false">C9*'Recetas y precios'!Q9</f>
        <v>0</v>
      </c>
      <c r="J9" s="14" t="n">
        <f aca="false">C9*'Recetas y precios'!N9*'Recetas y precios'!P9</f>
        <v>0</v>
      </c>
      <c r="K9" s="14" t="n">
        <f aca="false">I9-F9</f>
        <v>0</v>
      </c>
    </row>
    <row r="10" customFormat="false" ht="15" hidden="false" customHeight="false" outlineLevel="0" collapsed="false">
      <c r="A10" s="9" t="n">
        <v>5</v>
      </c>
      <c r="B10" s="9" t="s">
        <v>467</v>
      </c>
      <c r="C10" s="24" t="n">
        <v>0</v>
      </c>
      <c r="D10" s="20" t="n">
        <f aca="false">IFERROR(CEILING(C10/'Mi negocio'!$B$14,1),0)</f>
        <v>0</v>
      </c>
      <c r="E10" s="14" t="n">
        <f aca="false">C10*'Recetas y precios'!E10</f>
        <v>0</v>
      </c>
      <c r="F10" s="14" t="n">
        <f aca="false">C10*'Recetas y precios'!M10</f>
        <v>0</v>
      </c>
      <c r="G10" s="20" t="n">
        <f aca="false">C10*('Recetas y precios'!H10+'Mi negocio'!$B$10)</f>
        <v>0</v>
      </c>
      <c r="H10" s="25" t="n">
        <f aca="false">G10/60</f>
        <v>0</v>
      </c>
      <c r="I10" s="14" t="n">
        <f aca="false">C10*'Recetas y precios'!Q10</f>
        <v>0</v>
      </c>
      <c r="J10" s="14" t="n">
        <f aca="false">C10*'Recetas y precios'!N10*'Recetas y precios'!P10</f>
        <v>0</v>
      </c>
      <c r="K10" s="14" t="n">
        <f aca="false">I10-F10</f>
        <v>0</v>
      </c>
    </row>
    <row r="11" customFormat="false" ht="15" hidden="false" customHeight="false" outlineLevel="0" collapsed="false">
      <c r="A11" s="9" t="n">
        <v>6</v>
      </c>
      <c r="B11" s="9" t="s">
        <v>485</v>
      </c>
      <c r="C11" s="24" t="n">
        <v>0</v>
      </c>
      <c r="D11" s="20" t="n">
        <f aca="false">IFERROR(CEILING(C11/'Mi negocio'!$B$14,1),0)</f>
        <v>0</v>
      </c>
      <c r="E11" s="14" t="n">
        <f aca="false">C11*'Recetas y precios'!E11</f>
        <v>0</v>
      </c>
      <c r="F11" s="14" t="n">
        <f aca="false">C11*'Recetas y precios'!M11</f>
        <v>0</v>
      </c>
      <c r="G11" s="20" t="n">
        <f aca="false">C11*('Recetas y precios'!H11+'Mi negocio'!$B$10)</f>
        <v>0</v>
      </c>
      <c r="H11" s="25" t="n">
        <f aca="false">G11/60</f>
        <v>0</v>
      </c>
      <c r="I11" s="14" t="n">
        <f aca="false">C11*'Recetas y precios'!Q11</f>
        <v>0</v>
      </c>
      <c r="J11" s="14" t="n">
        <f aca="false">C11*'Recetas y precios'!N11*'Recetas y precios'!P11</f>
        <v>0</v>
      </c>
      <c r="K11" s="14" t="n">
        <f aca="false">I11-F11</f>
        <v>0</v>
      </c>
    </row>
    <row r="12" customFormat="false" ht="15" hidden="false" customHeight="false" outlineLevel="0" collapsed="false">
      <c r="A12" s="9" t="n">
        <v>7</v>
      </c>
      <c r="B12" s="9" t="s">
        <v>501</v>
      </c>
      <c r="C12" s="24" t="n">
        <v>0</v>
      </c>
      <c r="D12" s="20" t="n">
        <f aca="false">IFERROR(CEILING(C12/'Mi negocio'!$B$14,1),0)</f>
        <v>0</v>
      </c>
      <c r="E12" s="14" t="n">
        <f aca="false">C12*'Recetas y precios'!E12</f>
        <v>0</v>
      </c>
      <c r="F12" s="14" t="n">
        <f aca="false">C12*'Recetas y precios'!M12</f>
        <v>0</v>
      </c>
      <c r="G12" s="20" t="n">
        <f aca="false">C12*('Recetas y precios'!H12+'Mi negocio'!$B$10)</f>
        <v>0</v>
      </c>
      <c r="H12" s="25" t="n">
        <f aca="false">G12/60</f>
        <v>0</v>
      </c>
      <c r="I12" s="14" t="n">
        <f aca="false">C12*'Recetas y precios'!Q12</f>
        <v>0</v>
      </c>
      <c r="J12" s="14" t="n">
        <f aca="false">C12*'Recetas y precios'!N12*'Recetas y precios'!P12</f>
        <v>0</v>
      </c>
      <c r="K12" s="14" t="n">
        <f aca="false">I12-F12</f>
        <v>0</v>
      </c>
    </row>
    <row r="13" customFormat="false" ht="15" hidden="false" customHeight="false" outlineLevel="0" collapsed="false">
      <c r="A13" s="9" t="n">
        <v>8</v>
      </c>
      <c r="B13" s="9" t="s">
        <v>514</v>
      </c>
      <c r="C13" s="24" t="n">
        <v>0</v>
      </c>
      <c r="D13" s="20" t="n">
        <f aca="false">IFERROR(CEILING(C13/'Mi negocio'!$B$14,1),0)</f>
        <v>0</v>
      </c>
      <c r="E13" s="14" t="n">
        <f aca="false">C13*'Recetas y precios'!E13</f>
        <v>0</v>
      </c>
      <c r="F13" s="14" t="n">
        <f aca="false">C13*'Recetas y precios'!M13</f>
        <v>0</v>
      </c>
      <c r="G13" s="20" t="n">
        <f aca="false">C13*('Recetas y precios'!H13+'Mi negocio'!$B$10)</f>
        <v>0</v>
      </c>
      <c r="H13" s="25" t="n">
        <f aca="false">G13/60</f>
        <v>0</v>
      </c>
      <c r="I13" s="14" t="n">
        <f aca="false">C13*'Recetas y precios'!Q13</f>
        <v>0</v>
      </c>
      <c r="J13" s="14" t="n">
        <f aca="false">C13*'Recetas y precios'!N13*'Recetas y precios'!P13</f>
        <v>0</v>
      </c>
      <c r="K13" s="14" t="n">
        <f aca="false">I13-F13</f>
        <v>0</v>
      </c>
    </row>
    <row r="14" customFormat="false" ht="15" hidden="false" customHeight="false" outlineLevel="0" collapsed="false">
      <c r="A14" s="9" t="n">
        <v>9</v>
      </c>
      <c r="B14" s="9" t="s">
        <v>531</v>
      </c>
      <c r="C14" s="24" t="n">
        <v>0</v>
      </c>
      <c r="D14" s="20" t="n">
        <f aca="false">IFERROR(CEILING(C14/'Mi negocio'!$B$14,1),0)</f>
        <v>0</v>
      </c>
      <c r="E14" s="14" t="n">
        <f aca="false">C14*'Recetas y precios'!E14</f>
        <v>0</v>
      </c>
      <c r="F14" s="14" t="n">
        <f aca="false">C14*'Recetas y precios'!M14</f>
        <v>0</v>
      </c>
      <c r="G14" s="20" t="n">
        <f aca="false">C14*('Recetas y precios'!H14+'Mi negocio'!$B$10)</f>
        <v>0</v>
      </c>
      <c r="H14" s="25" t="n">
        <f aca="false">G14/60</f>
        <v>0</v>
      </c>
      <c r="I14" s="14" t="n">
        <f aca="false">C14*'Recetas y precios'!Q14</f>
        <v>0</v>
      </c>
      <c r="J14" s="14" t="n">
        <f aca="false">C14*'Recetas y precios'!N14*'Recetas y precios'!P14</f>
        <v>0</v>
      </c>
      <c r="K14" s="14" t="n">
        <f aca="false">I14-F14</f>
        <v>0</v>
      </c>
    </row>
    <row r="15" customFormat="false" ht="15" hidden="false" customHeight="false" outlineLevel="0" collapsed="false">
      <c r="A15" s="9" t="n">
        <v>10</v>
      </c>
      <c r="B15" s="9" t="s">
        <v>547</v>
      </c>
      <c r="C15" s="24" t="n">
        <v>0</v>
      </c>
      <c r="D15" s="20" t="n">
        <f aca="false">IFERROR(CEILING(C15/'Mi negocio'!$B$14,1),0)</f>
        <v>0</v>
      </c>
      <c r="E15" s="14" t="n">
        <f aca="false">C15*'Recetas y precios'!E15</f>
        <v>0</v>
      </c>
      <c r="F15" s="14" t="n">
        <f aca="false">C15*'Recetas y precios'!M15</f>
        <v>0</v>
      </c>
      <c r="G15" s="20" t="n">
        <f aca="false">C15*('Recetas y precios'!H15+'Mi negocio'!$B$10)</f>
        <v>0</v>
      </c>
      <c r="H15" s="25" t="n">
        <f aca="false">G15/60</f>
        <v>0</v>
      </c>
      <c r="I15" s="14" t="n">
        <f aca="false">C15*'Recetas y precios'!Q15</f>
        <v>0</v>
      </c>
      <c r="J15" s="14" t="n">
        <f aca="false">C15*'Recetas y precios'!N15*'Recetas y precios'!P15</f>
        <v>0</v>
      </c>
      <c r="K15" s="14" t="n">
        <f aca="false">I15-F15</f>
        <v>0</v>
      </c>
    </row>
    <row r="16" customFormat="false" ht="15" hidden="false" customHeight="false" outlineLevel="0" collapsed="false">
      <c r="A16" s="9" t="n">
        <v>11</v>
      </c>
      <c r="B16" s="9" t="s">
        <v>559</v>
      </c>
      <c r="C16" s="24" t="n">
        <v>0</v>
      </c>
      <c r="D16" s="20" t="n">
        <f aca="false">IFERROR(CEILING(C16/'Mi negocio'!$B$14,1),0)</f>
        <v>0</v>
      </c>
      <c r="E16" s="14" t="n">
        <f aca="false">C16*'Recetas y precios'!E16</f>
        <v>0</v>
      </c>
      <c r="F16" s="14" t="n">
        <f aca="false">C16*'Recetas y precios'!M16</f>
        <v>0</v>
      </c>
      <c r="G16" s="20" t="n">
        <f aca="false">C16*('Recetas y precios'!H16+'Mi negocio'!$B$10)</f>
        <v>0</v>
      </c>
      <c r="H16" s="25" t="n">
        <f aca="false">G16/60</f>
        <v>0</v>
      </c>
      <c r="I16" s="14" t="n">
        <f aca="false">C16*'Recetas y precios'!Q16</f>
        <v>0</v>
      </c>
      <c r="J16" s="14" t="n">
        <f aca="false">C16*'Recetas y precios'!N16*'Recetas y precios'!P16</f>
        <v>0</v>
      </c>
      <c r="K16" s="14" t="n">
        <f aca="false">I16-F16</f>
        <v>0</v>
      </c>
    </row>
    <row r="17" customFormat="false" ht="15" hidden="false" customHeight="false" outlineLevel="0" collapsed="false">
      <c r="A17" s="9" t="n">
        <v>12</v>
      </c>
      <c r="B17" s="9" t="s">
        <v>576</v>
      </c>
      <c r="C17" s="24" t="n">
        <v>0</v>
      </c>
      <c r="D17" s="20" t="n">
        <f aca="false">IFERROR(CEILING(C17/'Mi negocio'!$B$14,1),0)</f>
        <v>0</v>
      </c>
      <c r="E17" s="14" t="n">
        <f aca="false">C17*'Recetas y precios'!E17</f>
        <v>0</v>
      </c>
      <c r="F17" s="14" t="n">
        <f aca="false">C17*'Recetas y precios'!M17</f>
        <v>0</v>
      </c>
      <c r="G17" s="20" t="n">
        <f aca="false">C17*('Recetas y precios'!H17+'Mi negocio'!$B$10)</f>
        <v>0</v>
      </c>
      <c r="H17" s="25" t="n">
        <f aca="false">G17/60</f>
        <v>0</v>
      </c>
      <c r="I17" s="14" t="n">
        <f aca="false">C17*'Recetas y precios'!Q17</f>
        <v>0</v>
      </c>
      <c r="J17" s="14" t="n">
        <f aca="false">C17*'Recetas y precios'!N17*'Recetas y precios'!P17</f>
        <v>0</v>
      </c>
      <c r="K17" s="14" t="n">
        <f aca="false">I17-F17</f>
        <v>0</v>
      </c>
    </row>
    <row r="18" customFormat="false" ht="15" hidden="false" customHeight="false" outlineLevel="0" collapsed="false">
      <c r="A18" s="9" t="n">
        <v>13</v>
      </c>
      <c r="B18" s="9" t="s">
        <v>589</v>
      </c>
      <c r="C18" s="24" t="n">
        <v>0</v>
      </c>
      <c r="D18" s="20" t="n">
        <f aca="false">IFERROR(CEILING(C18/'Mi negocio'!$B$14,1),0)</f>
        <v>0</v>
      </c>
      <c r="E18" s="14" t="n">
        <f aca="false">C18*'Recetas y precios'!E18</f>
        <v>0</v>
      </c>
      <c r="F18" s="14" t="n">
        <f aca="false">C18*'Recetas y precios'!M18</f>
        <v>0</v>
      </c>
      <c r="G18" s="20" t="n">
        <f aca="false">C18*('Recetas y precios'!H18+'Mi negocio'!$B$10)</f>
        <v>0</v>
      </c>
      <c r="H18" s="25" t="n">
        <f aca="false">G18/60</f>
        <v>0</v>
      </c>
      <c r="I18" s="14" t="n">
        <f aca="false">C18*'Recetas y precios'!Q18</f>
        <v>0</v>
      </c>
      <c r="J18" s="14" t="n">
        <f aca="false">C18*'Recetas y precios'!N18*'Recetas y precios'!P18</f>
        <v>0</v>
      </c>
      <c r="K18" s="14" t="n">
        <f aca="false">I18-F18</f>
        <v>0</v>
      </c>
    </row>
    <row r="19" customFormat="false" ht="15" hidden="false" customHeight="false" outlineLevel="0" collapsed="false">
      <c r="A19" s="9" t="n">
        <v>14</v>
      </c>
      <c r="B19" s="9" t="s">
        <v>604</v>
      </c>
      <c r="C19" s="24" t="n">
        <v>0</v>
      </c>
      <c r="D19" s="20" t="n">
        <f aca="false">IFERROR(CEILING(C19/'Mi negocio'!$B$14,1),0)</f>
        <v>0</v>
      </c>
      <c r="E19" s="14" t="n">
        <f aca="false">C19*'Recetas y precios'!E19</f>
        <v>0</v>
      </c>
      <c r="F19" s="14" t="n">
        <f aca="false">C19*'Recetas y precios'!M19</f>
        <v>0</v>
      </c>
      <c r="G19" s="20" t="n">
        <f aca="false">C19*('Recetas y precios'!H19+'Mi negocio'!$B$10)</f>
        <v>0</v>
      </c>
      <c r="H19" s="25" t="n">
        <f aca="false">G19/60</f>
        <v>0</v>
      </c>
      <c r="I19" s="14" t="n">
        <f aca="false">C19*'Recetas y precios'!Q19</f>
        <v>0</v>
      </c>
      <c r="J19" s="14" t="n">
        <f aca="false">C19*'Recetas y precios'!N19*'Recetas y precios'!P19</f>
        <v>0</v>
      </c>
      <c r="K19" s="14" t="n">
        <f aca="false">I19-F19</f>
        <v>0</v>
      </c>
    </row>
    <row r="20" customFormat="false" ht="15" hidden="false" customHeight="false" outlineLevel="0" collapsed="false">
      <c r="A20" s="9" t="n">
        <v>15</v>
      </c>
      <c r="B20" s="9" t="s">
        <v>622</v>
      </c>
      <c r="C20" s="24" t="n">
        <v>0</v>
      </c>
      <c r="D20" s="20" t="n">
        <f aca="false">IFERROR(CEILING(C20/'Mi negocio'!$B$14,1),0)</f>
        <v>0</v>
      </c>
      <c r="E20" s="14" t="n">
        <f aca="false">C20*'Recetas y precios'!E20</f>
        <v>0</v>
      </c>
      <c r="F20" s="14" t="n">
        <f aca="false">C20*'Recetas y precios'!M20</f>
        <v>0</v>
      </c>
      <c r="G20" s="20" t="n">
        <f aca="false">C20*('Recetas y precios'!H20+'Mi negocio'!$B$10)</f>
        <v>0</v>
      </c>
      <c r="H20" s="25" t="n">
        <f aca="false">G20/60</f>
        <v>0</v>
      </c>
      <c r="I20" s="14" t="n">
        <f aca="false">C20*'Recetas y precios'!Q20</f>
        <v>0</v>
      </c>
      <c r="J20" s="14" t="n">
        <f aca="false">C20*'Recetas y precios'!N20*'Recetas y precios'!P20</f>
        <v>0</v>
      </c>
      <c r="K20" s="14" t="n">
        <f aca="false">I20-F20</f>
        <v>0</v>
      </c>
    </row>
    <row r="21" customFormat="false" ht="15" hidden="false" customHeight="false" outlineLevel="0" collapsed="false">
      <c r="A21" s="9" t="n">
        <v>16</v>
      </c>
      <c r="B21" s="9" t="s">
        <v>639</v>
      </c>
      <c r="C21" s="24" t="n">
        <v>0</v>
      </c>
      <c r="D21" s="20" t="n">
        <f aca="false">IFERROR(CEILING(C21/'Mi negocio'!$B$14,1),0)</f>
        <v>0</v>
      </c>
      <c r="E21" s="14" t="n">
        <f aca="false">C21*'Recetas y precios'!E21</f>
        <v>0</v>
      </c>
      <c r="F21" s="14" t="n">
        <f aca="false">C21*'Recetas y precios'!M21</f>
        <v>0</v>
      </c>
      <c r="G21" s="20" t="n">
        <f aca="false">C21*('Recetas y precios'!H21+'Mi negocio'!$B$10)</f>
        <v>0</v>
      </c>
      <c r="H21" s="25" t="n">
        <f aca="false">G21/60</f>
        <v>0</v>
      </c>
      <c r="I21" s="14" t="n">
        <f aca="false">C21*'Recetas y precios'!Q21</f>
        <v>0</v>
      </c>
      <c r="J21" s="14" t="n">
        <f aca="false">C21*'Recetas y precios'!N21*'Recetas y precios'!P21</f>
        <v>0</v>
      </c>
      <c r="K21" s="14" t="n">
        <f aca="false">I21-F21</f>
        <v>0</v>
      </c>
    </row>
    <row r="22" customFormat="false" ht="15" hidden="false" customHeight="false" outlineLevel="0" collapsed="false">
      <c r="A22" s="9" t="n">
        <v>17</v>
      </c>
      <c r="B22" s="9" t="s">
        <v>655</v>
      </c>
      <c r="C22" s="24" t="n">
        <v>0</v>
      </c>
      <c r="D22" s="20" t="n">
        <f aca="false">IFERROR(CEILING(C22/'Mi negocio'!$B$14,1),0)</f>
        <v>0</v>
      </c>
      <c r="E22" s="14" t="n">
        <f aca="false">C22*'Recetas y precios'!E22</f>
        <v>0</v>
      </c>
      <c r="F22" s="14" t="n">
        <f aca="false">C22*'Recetas y precios'!M22</f>
        <v>0</v>
      </c>
      <c r="G22" s="20" t="n">
        <f aca="false">C22*('Recetas y precios'!H22+'Mi negocio'!$B$10)</f>
        <v>0</v>
      </c>
      <c r="H22" s="25" t="n">
        <f aca="false">G22/60</f>
        <v>0</v>
      </c>
      <c r="I22" s="14" t="n">
        <f aca="false">C22*'Recetas y precios'!Q22</f>
        <v>0</v>
      </c>
      <c r="J22" s="14" t="n">
        <f aca="false">C22*'Recetas y precios'!N22*'Recetas y precios'!P22</f>
        <v>0</v>
      </c>
      <c r="K22" s="14" t="n">
        <f aca="false">I22-F22</f>
        <v>0</v>
      </c>
    </row>
    <row r="23" customFormat="false" ht="15" hidden="false" customHeight="false" outlineLevel="0" collapsed="false">
      <c r="A23" s="9" t="n">
        <v>18</v>
      </c>
      <c r="B23" s="9" t="s">
        <v>669</v>
      </c>
      <c r="C23" s="24" t="n">
        <v>0</v>
      </c>
      <c r="D23" s="20" t="n">
        <f aca="false">IFERROR(CEILING(C23/'Mi negocio'!$B$14,1),0)</f>
        <v>0</v>
      </c>
      <c r="E23" s="14" t="n">
        <f aca="false">C23*'Recetas y precios'!E23</f>
        <v>0</v>
      </c>
      <c r="F23" s="14" t="n">
        <f aca="false">C23*'Recetas y precios'!M23</f>
        <v>0</v>
      </c>
      <c r="G23" s="20" t="n">
        <f aca="false">C23*('Recetas y precios'!H23+'Mi negocio'!$B$10)</f>
        <v>0</v>
      </c>
      <c r="H23" s="25" t="n">
        <f aca="false">G23/60</f>
        <v>0</v>
      </c>
      <c r="I23" s="14" t="n">
        <f aca="false">C23*'Recetas y precios'!Q23</f>
        <v>0</v>
      </c>
      <c r="J23" s="14" t="n">
        <f aca="false">C23*'Recetas y precios'!N23*'Recetas y precios'!P23</f>
        <v>0</v>
      </c>
      <c r="K23" s="14" t="n">
        <f aca="false">I23-F23</f>
        <v>0</v>
      </c>
    </row>
    <row r="24" customFormat="false" ht="15" hidden="false" customHeight="false" outlineLevel="0" collapsed="false">
      <c r="A24" s="9" t="n">
        <v>19</v>
      </c>
      <c r="B24" s="9" t="s">
        <v>679</v>
      </c>
      <c r="C24" s="24" t="n">
        <v>0</v>
      </c>
      <c r="D24" s="20" t="n">
        <f aca="false">IFERROR(CEILING(C24/'Mi negocio'!$B$14,1),0)</f>
        <v>0</v>
      </c>
      <c r="E24" s="14" t="n">
        <f aca="false">C24*'Recetas y precios'!E24</f>
        <v>0</v>
      </c>
      <c r="F24" s="14" t="n">
        <f aca="false">C24*'Recetas y precios'!M24</f>
        <v>0</v>
      </c>
      <c r="G24" s="20" t="n">
        <f aca="false">C24*('Recetas y precios'!H24+'Mi negocio'!$B$10)</f>
        <v>0</v>
      </c>
      <c r="H24" s="25" t="n">
        <f aca="false">G24/60</f>
        <v>0</v>
      </c>
      <c r="I24" s="14" t="n">
        <f aca="false">C24*'Recetas y precios'!Q24</f>
        <v>0</v>
      </c>
      <c r="J24" s="14" t="n">
        <f aca="false">C24*'Recetas y precios'!N24*'Recetas y precios'!P24</f>
        <v>0</v>
      </c>
      <c r="K24" s="14" t="n">
        <f aca="false">I24-F24</f>
        <v>0</v>
      </c>
    </row>
    <row r="25" customFormat="false" ht="15" hidden="false" customHeight="false" outlineLevel="0" collapsed="false">
      <c r="A25" s="9" t="n">
        <v>20</v>
      </c>
      <c r="B25" s="9" t="s">
        <v>693</v>
      </c>
      <c r="C25" s="24" t="n">
        <v>0</v>
      </c>
      <c r="D25" s="20" t="n">
        <f aca="false">IFERROR(CEILING(C25/'Mi negocio'!$B$14,1),0)</f>
        <v>0</v>
      </c>
      <c r="E25" s="14" t="n">
        <f aca="false">C25*'Recetas y precios'!E25</f>
        <v>0</v>
      </c>
      <c r="F25" s="14" t="n">
        <f aca="false">C25*'Recetas y precios'!M25</f>
        <v>0</v>
      </c>
      <c r="G25" s="20" t="n">
        <f aca="false">C25*('Recetas y precios'!H25+'Mi negocio'!$B$10)</f>
        <v>0</v>
      </c>
      <c r="H25" s="25" t="n">
        <f aca="false">G25/60</f>
        <v>0</v>
      </c>
      <c r="I25" s="14" t="n">
        <f aca="false">C25*'Recetas y precios'!Q25</f>
        <v>0</v>
      </c>
      <c r="J25" s="14" t="n">
        <f aca="false">C25*'Recetas y precios'!N25*'Recetas y precios'!P25</f>
        <v>0</v>
      </c>
      <c r="K25" s="14" t="n">
        <f aca="false">I25-F25</f>
        <v>0</v>
      </c>
    </row>
    <row r="26" customFormat="false" ht="15" hidden="false" customHeight="false" outlineLevel="0" collapsed="false">
      <c r="A26" s="9" t="n">
        <v>21</v>
      </c>
      <c r="B26" s="9" t="s">
        <v>704</v>
      </c>
      <c r="C26" s="24" t="n">
        <v>0</v>
      </c>
      <c r="D26" s="20" t="n">
        <f aca="false">IFERROR(CEILING(C26/'Mi negocio'!$B$14,1),0)</f>
        <v>0</v>
      </c>
      <c r="E26" s="14" t="n">
        <f aca="false">C26*'Recetas y precios'!E26</f>
        <v>0</v>
      </c>
      <c r="F26" s="14" t="n">
        <f aca="false">C26*'Recetas y precios'!M26</f>
        <v>0</v>
      </c>
      <c r="G26" s="20" t="n">
        <f aca="false">C26*('Recetas y precios'!H26+'Mi negocio'!$B$10)</f>
        <v>0</v>
      </c>
      <c r="H26" s="25" t="n">
        <f aca="false">G26/60</f>
        <v>0</v>
      </c>
      <c r="I26" s="14" t="n">
        <f aca="false">C26*'Recetas y precios'!Q26</f>
        <v>0</v>
      </c>
      <c r="J26" s="14" t="n">
        <f aca="false">C26*'Recetas y precios'!N26*'Recetas y precios'!P26</f>
        <v>0</v>
      </c>
      <c r="K26" s="14" t="n">
        <f aca="false">I26-F26</f>
        <v>0</v>
      </c>
    </row>
    <row r="27" customFormat="false" ht="15" hidden="false" customHeight="false" outlineLevel="0" collapsed="false">
      <c r="A27" s="9" t="n">
        <v>22</v>
      </c>
      <c r="B27" s="9" t="s">
        <v>714</v>
      </c>
      <c r="C27" s="24" t="n">
        <v>0</v>
      </c>
      <c r="D27" s="20" t="n">
        <f aca="false">IFERROR(CEILING(C27/'Mi negocio'!$B$14,1),0)</f>
        <v>0</v>
      </c>
      <c r="E27" s="14" t="n">
        <f aca="false">C27*'Recetas y precios'!E27</f>
        <v>0</v>
      </c>
      <c r="F27" s="14" t="n">
        <f aca="false">C27*'Recetas y precios'!M27</f>
        <v>0</v>
      </c>
      <c r="G27" s="20" t="n">
        <f aca="false">C27*('Recetas y precios'!H27+'Mi negocio'!$B$10)</f>
        <v>0</v>
      </c>
      <c r="H27" s="25" t="n">
        <f aca="false">G27/60</f>
        <v>0</v>
      </c>
      <c r="I27" s="14" t="n">
        <f aca="false">C27*'Recetas y precios'!Q27</f>
        <v>0</v>
      </c>
      <c r="J27" s="14" t="n">
        <f aca="false">C27*'Recetas y precios'!N27*'Recetas y precios'!P27</f>
        <v>0</v>
      </c>
      <c r="K27" s="14" t="n">
        <f aca="false">I27-F27</f>
        <v>0</v>
      </c>
    </row>
    <row r="28" customFormat="false" ht="15" hidden="false" customHeight="false" outlineLevel="0" collapsed="false">
      <c r="A28" s="9" t="n">
        <v>23</v>
      </c>
      <c r="B28" s="9" t="s">
        <v>733</v>
      </c>
      <c r="C28" s="24" t="n">
        <v>0</v>
      </c>
      <c r="D28" s="20" t="n">
        <f aca="false">IFERROR(CEILING(C28/'Mi negocio'!$B$14,1),0)</f>
        <v>0</v>
      </c>
      <c r="E28" s="14" t="n">
        <f aca="false">C28*'Recetas y precios'!E28</f>
        <v>0</v>
      </c>
      <c r="F28" s="14" t="n">
        <f aca="false">C28*'Recetas y precios'!M28</f>
        <v>0</v>
      </c>
      <c r="G28" s="20" t="n">
        <f aca="false">C28*('Recetas y precios'!H28+'Mi negocio'!$B$10)</f>
        <v>0</v>
      </c>
      <c r="H28" s="25" t="n">
        <f aca="false">G28/60</f>
        <v>0</v>
      </c>
      <c r="I28" s="14" t="n">
        <f aca="false">C28*'Recetas y precios'!Q28</f>
        <v>0</v>
      </c>
      <c r="J28" s="14" t="n">
        <f aca="false">C28*'Recetas y precios'!N28*'Recetas y precios'!P28</f>
        <v>0</v>
      </c>
      <c r="K28" s="14" t="n">
        <f aca="false">I28-F28</f>
        <v>0</v>
      </c>
    </row>
    <row r="29" customFormat="false" ht="15" hidden="false" customHeight="false" outlineLevel="0" collapsed="false">
      <c r="A29" s="9" t="n">
        <v>24</v>
      </c>
      <c r="B29" s="9" t="s">
        <v>750</v>
      </c>
      <c r="C29" s="24" t="n">
        <v>0</v>
      </c>
      <c r="D29" s="20" t="n">
        <f aca="false">IFERROR(CEILING(C29/'Mi negocio'!$B$14,1),0)</f>
        <v>0</v>
      </c>
      <c r="E29" s="14" t="n">
        <f aca="false">C29*'Recetas y precios'!E29</f>
        <v>0</v>
      </c>
      <c r="F29" s="14" t="n">
        <f aca="false">C29*'Recetas y precios'!M29</f>
        <v>0</v>
      </c>
      <c r="G29" s="20" t="n">
        <f aca="false">C29*('Recetas y precios'!H29+'Mi negocio'!$B$10)</f>
        <v>0</v>
      </c>
      <c r="H29" s="25" t="n">
        <f aca="false">G29/60</f>
        <v>0</v>
      </c>
      <c r="I29" s="14" t="n">
        <f aca="false">C29*'Recetas y precios'!Q29</f>
        <v>0</v>
      </c>
      <c r="J29" s="14" t="n">
        <f aca="false">C29*'Recetas y precios'!N29*'Recetas y precios'!P29</f>
        <v>0</v>
      </c>
      <c r="K29" s="14" t="n">
        <f aca="false">I29-F29</f>
        <v>0</v>
      </c>
    </row>
    <row r="30" customFormat="false" ht="15" hidden="false" customHeight="false" outlineLevel="0" collapsed="false">
      <c r="A30" s="9" t="n">
        <v>25</v>
      </c>
      <c r="B30" s="9" t="s">
        <v>763</v>
      </c>
      <c r="C30" s="24" t="n">
        <v>0</v>
      </c>
      <c r="D30" s="20" t="n">
        <f aca="false">IFERROR(CEILING(C30/'Mi negocio'!$B$14,1),0)</f>
        <v>0</v>
      </c>
      <c r="E30" s="14" t="n">
        <f aca="false">C30*'Recetas y precios'!E30</f>
        <v>0</v>
      </c>
      <c r="F30" s="14" t="n">
        <f aca="false">C30*'Recetas y precios'!M30</f>
        <v>0</v>
      </c>
      <c r="G30" s="20" t="n">
        <f aca="false">C30*('Recetas y precios'!H30+'Mi negocio'!$B$10)</f>
        <v>0</v>
      </c>
      <c r="H30" s="25" t="n">
        <f aca="false">G30/60</f>
        <v>0</v>
      </c>
      <c r="I30" s="14" t="n">
        <f aca="false">C30*'Recetas y precios'!Q30</f>
        <v>0</v>
      </c>
      <c r="J30" s="14" t="n">
        <f aca="false">C30*'Recetas y precios'!N30*'Recetas y precios'!P30</f>
        <v>0</v>
      </c>
      <c r="K30" s="14" t="n">
        <f aca="false">I30-F30</f>
        <v>0</v>
      </c>
    </row>
    <row r="31" customFormat="false" ht="15" hidden="false" customHeight="false" outlineLevel="0" collapsed="false">
      <c r="A31" s="9" t="n">
        <v>26</v>
      </c>
      <c r="B31" s="9" t="s">
        <v>774</v>
      </c>
      <c r="C31" s="24" t="n">
        <v>0</v>
      </c>
      <c r="D31" s="20" t="n">
        <f aca="false">IFERROR(CEILING(C31/'Mi negocio'!$B$14,1),0)</f>
        <v>0</v>
      </c>
      <c r="E31" s="14" t="n">
        <f aca="false">C31*'Recetas y precios'!E31</f>
        <v>0</v>
      </c>
      <c r="F31" s="14" t="n">
        <f aca="false">C31*'Recetas y precios'!M31</f>
        <v>0</v>
      </c>
      <c r="G31" s="20" t="n">
        <f aca="false">C31*('Recetas y precios'!H31+'Mi negocio'!$B$10)</f>
        <v>0</v>
      </c>
      <c r="H31" s="25" t="n">
        <f aca="false">G31/60</f>
        <v>0</v>
      </c>
      <c r="I31" s="14" t="n">
        <f aca="false">C31*'Recetas y precios'!Q31</f>
        <v>0</v>
      </c>
      <c r="J31" s="14" t="n">
        <f aca="false">C31*'Recetas y precios'!N31*'Recetas y precios'!P31</f>
        <v>0</v>
      </c>
      <c r="K31" s="14" t="n">
        <f aca="false">I31-F31</f>
        <v>0</v>
      </c>
    </row>
    <row r="32" customFormat="false" ht="15" hidden="false" customHeight="false" outlineLevel="0" collapsed="false">
      <c r="A32" s="9" t="n">
        <v>27</v>
      </c>
      <c r="B32" s="9" t="s">
        <v>784</v>
      </c>
      <c r="C32" s="24" t="n">
        <v>0</v>
      </c>
      <c r="D32" s="20" t="n">
        <f aca="false">IFERROR(CEILING(C32/'Mi negocio'!$B$14,1),0)</f>
        <v>0</v>
      </c>
      <c r="E32" s="14" t="n">
        <f aca="false">C32*'Recetas y precios'!E32</f>
        <v>0</v>
      </c>
      <c r="F32" s="14" t="n">
        <f aca="false">C32*'Recetas y precios'!M32</f>
        <v>0</v>
      </c>
      <c r="G32" s="20" t="n">
        <f aca="false">C32*('Recetas y precios'!H32+'Mi negocio'!$B$10)</f>
        <v>0</v>
      </c>
      <c r="H32" s="25" t="n">
        <f aca="false">G32/60</f>
        <v>0</v>
      </c>
      <c r="I32" s="14" t="n">
        <f aca="false">C32*'Recetas y precios'!Q32</f>
        <v>0</v>
      </c>
      <c r="J32" s="14" t="n">
        <f aca="false">C32*'Recetas y precios'!N32*'Recetas y precios'!P32</f>
        <v>0</v>
      </c>
      <c r="K32" s="14" t="n">
        <f aca="false">I32-F32</f>
        <v>0</v>
      </c>
    </row>
    <row r="33" customFormat="false" ht="15" hidden="false" customHeight="false" outlineLevel="0" collapsed="false">
      <c r="A33" s="9" t="n">
        <v>28</v>
      </c>
      <c r="B33" s="9" t="s">
        <v>799</v>
      </c>
      <c r="C33" s="24" t="n">
        <v>0</v>
      </c>
      <c r="D33" s="20" t="n">
        <f aca="false">IFERROR(CEILING(C33/'Mi negocio'!$B$14,1),0)</f>
        <v>0</v>
      </c>
      <c r="E33" s="14" t="n">
        <f aca="false">C33*'Recetas y precios'!E33</f>
        <v>0</v>
      </c>
      <c r="F33" s="14" t="n">
        <f aca="false">C33*'Recetas y precios'!M33</f>
        <v>0</v>
      </c>
      <c r="G33" s="20" t="n">
        <f aca="false">C33*('Recetas y precios'!H33+'Mi negocio'!$B$10)</f>
        <v>0</v>
      </c>
      <c r="H33" s="25" t="n">
        <f aca="false">G33/60</f>
        <v>0</v>
      </c>
      <c r="I33" s="14" t="n">
        <f aca="false">C33*'Recetas y precios'!Q33</f>
        <v>0</v>
      </c>
      <c r="J33" s="14" t="n">
        <f aca="false">C33*'Recetas y precios'!N33*'Recetas y precios'!P33</f>
        <v>0</v>
      </c>
      <c r="K33" s="14" t="n">
        <f aca="false">I33-F33</f>
        <v>0</v>
      </c>
    </row>
    <row r="34" customFormat="false" ht="15" hidden="false" customHeight="false" outlineLevel="0" collapsed="false">
      <c r="A34" s="9" t="n">
        <v>29</v>
      </c>
      <c r="B34" s="9" t="s">
        <v>809</v>
      </c>
      <c r="C34" s="24" t="n">
        <v>0</v>
      </c>
      <c r="D34" s="20" t="n">
        <f aca="false">IFERROR(CEILING(C34/'Mi negocio'!$B$14,1),0)</f>
        <v>0</v>
      </c>
      <c r="E34" s="14" t="n">
        <f aca="false">C34*'Recetas y precios'!E34</f>
        <v>0</v>
      </c>
      <c r="F34" s="14" t="n">
        <f aca="false">C34*'Recetas y precios'!M34</f>
        <v>0</v>
      </c>
      <c r="G34" s="20" t="n">
        <f aca="false">C34*('Recetas y precios'!H34+'Mi negocio'!$B$10)</f>
        <v>0</v>
      </c>
      <c r="H34" s="25" t="n">
        <f aca="false">G34/60</f>
        <v>0</v>
      </c>
      <c r="I34" s="14" t="n">
        <f aca="false">C34*'Recetas y precios'!Q34</f>
        <v>0</v>
      </c>
      <c r="J34" s="14" t="n">
        <f aca="false">C34*'Recetas y precios'!N34*'Recetas y precios'!P34</f>
        <v>0</v>
      </c>
      <c r="K34" s="14" t="n">
        <f aca="false">I34-F34</f>
        <v>0</v>
      </c>
    </row>
    <row r="35" customFormat="false" ht="15" hidden="false" customHeight="false" outlineLevel="0" collapsed="false">
      <c r="A35" s="9" t="n">
        <v>30</v>
      </c>
      <c r="B35" s="9" t="s">
        <v>817</v>
      </c>
      <c r="C35" s="24" t="n">
        <v>0</v>
      </c>
      <c r="D35" s="20" t="n">
        <f aca="false">IFERROR(CEILING(C35/'Mi negocio'!$B$14,1),0)</f>
        <v>0</v>
      </c>
      <c r="E35" s="14" t="n">
        <f aca="false">C35*'Recetas y precios'!E35</f>
        <v>0</v>
      </c>
      <c r="F35" s="14" t="n">
        <f aca="false">C35*'Recetas y precios'!M35</f>
        <v>0</v>
      </c>
      <c r="G35" s="20" t="n">
        <f aca="false">C35*('Recetas y precios'!H35+'Mi negocio'!$B$10)</f>
        <v>0</v>
      </c>
      <c r="H35" s="25" t="n">
        <f aca="false">G35/60</f>
        <v>0</v>
      </c>
      <c r="I35" s="14" t="n">
        <f aca="false">C35*'Recetas y precios'!Q35</f>
        <v>0</v>
      </c>
      <c r="J35" s="14" t="n">
        <f aca="false">C35*'Recetas y precios'!N35*'Recetas y precios'!P35</f>
        <v>0</v>
      </c>
      <c r="K35" s="14" t="n">
        <f aca="false">I35-F35</f>
        <v>0</v>
      </c>
    </row>
    <row r="36" customFormat="false" ht="15" hidden="false" customHeight="false" outlineLevel="0" collapsed="false">
      <c r="A36" s="9" t="n">
        <v>31</v>
      </c>
      <c r="B36" s="9" t="s">
        <v>827</v>
      </c>
      <c r="C36" s="24" t="n">
        <v>0</v>
      </c>
      <c r="D36" s="20" t="n">
        <f aca="false">IFERROR(CEILING(C36/'Mi negocio'!$B$14,1),0)</f>
        <v>0</v>
      </c>
      <c r="E36" s="14" t="n">
        <f aca="false">C36*'Recetas y precios'!E36</f>
        <v>0</v>
      </c>
      <c r="F36" s="14" t="n">
        <f aca="false">C36*'Recetas y precios'!M36</f>
        <v>0</v>
      </c>
      <c r="G36" s="20" t="n">
        <f aca="false">C36*('Recetas y precios'!H36+'Mi negocio'!$B$10)</f>
        <v>0</v>
      </c>
      <c r="H36" s="25" t="n">
        <f aca="false">G36/60</f>
        <v>0</v>
      </c>
      <c r="I36" s="14" t="n">
        <f aca="false">C36*'Recetas y precios'!Q36</f>
        <v>0</v>
      </c>
      <c r="J36" s="14" t="n">
        <f aca="false">C36*'Recetas y precios'!N36*'Recetas y precios'!P36</f>
        <v>0</v>
      </c>
      <c r="K36" s="14" t="n">
        <f aca="false">I36-F36</f>
        <v>0</v>
      </c>
    </row>
    <row r="37" customFormat="false" ht="15" hidden="false" customHeight="false" outlineLevel="0" collapsed="false">
      <c r="A37" s="9" t="n">
        <v>32</v>
      </c>
      <c r="B37" s="9" t="s">
        <v>838</v>
      </c>
      <c r="C37" s="24" t="n">
        <v>0</v>
      </c>
      <c r="D37" s="20" t="n">
        <f aca="false">IFERROR(CEILING(C37/'Mi negocio'!$B$14,1),0)</f>
        <v>0</v>
      </c>
      <c r="E37" s="14" t="n">
        <f aca="false">C37*'Recetas y precios'!E37</f>
        <v>0</v>
      </c>
      <c r="F37" s="14" t="n">
        <f aca="false">C37*'Recetas y precios'!M37</f>
        <v>0</v>
      </c>
      <c r="G37" s="20" t="n">
        <f aca="false">C37*('Recetas y precios'!H37+'Mi negocio'!$B$10)</f>
        <v>0</v>
      </c>
      <c r="H37" s="25" t="n">
        <f aca="false">G37/60</f>
        <v>0</v>
      </c>
      <c r="I37" s="14" t="n">
        <f aca="false">C37*'Recetas y precios'!Q37</f>
        <v>0</v>
      </c>
      <c r="J37" s="14" t="n">
        <f aca="false">C37*'Recetas y precios'!N37*'Recetas y precios'!P37</f>
        <v>0</v>
      </c>
      <c r="K37" s="14" t="n">
        <f aca="false">I37-F37</f>
        <v>0</v>
      </c>
    </row>
    <row r="38" customFormat="false" ht="15" hidden="false" customHeight="false" outlineLevel="0" collapsed="false">
      <c r="A38" s="9" t="n">
        <v>33</v>
      </c>
      <c r="B38" s="9" t="s">
        <v>849</v>
      </c>
      <c r="C38" s="24" t="n">
        <v>0</v>
      </c>
      <c r="D38" s="20" t="n">
        <f aca="false">IFERROR(CEILING(C38/'Mi negocio'!$B$14,1),0)</f>
        <v>0</v>
      </c>
      <c r="E38" s="14" t="n">
        <f aca="false">C38*'Recetas y precios'!E38</f>
        <v>0</v>
      </c>
      <c r="F38" s="14" t="n">
        <f aca="false">C38*'Recetas y precios'!M38</f>
        <v>0</v>
      </c>
      <c r="G38" s="20" t="n">
        <f aca="false">C38*('Recetas y precios'!H38+'Mi negocio'!$B$10)</f>
        <v>0</v>
      </c>
      <c r="H38" s="25" t="n">
        <f aca="false">G38/60</f>
        <v>0</v>
      </c>
      <c r="I38" s="14" t="n">
        <f aca="false">C38*'Recetas y precios'!Q38</f>
        <v>0</v>
      </c>
      <c r="J38" s="14" t="n">
        <f aca="false">C38*'Recetas y precios'!N38*'Recetas y precios'!P38</f>
        <v>0</v>
      </c>
      <c r="K38" s="14" t="n">
        <f aca="false">I38-F38</f>
        <v>0</v>
      </c>
    </row>
    <row r="39" customFormat="false" ht="15" hidden="false" customHeight="false" outlineLevel="0" collapsed="false">
      <c r="A39" s="9" t="n">
        <v>34</v>
      </c>
      <c r="B39" s="9" t="s">
        <v>859</v>
      </c>
      <c r="C39" s="24" t="n">
        <v>0</v>
      </c>
      <c r="D39" s="20" t="n">
        <f aca="false">IFERROR(CEILING(C39/'Mi negocio'!$B$14,1),0)</f>
        <v>0</v>
      </c>
      <c r="E39" s="14" t="n">
        <f aca="false">C39*'Recetas y precios'!E39</f>
        <v>0</v>
      </c>
      <c r="F39" s="14" t="n">
        <f aca="false">C39*'Recetas y precios'!M39</f>
        <v>0</v>
      </c>
      <c r="G39" s="20" t="n">
        <f aca="false">C39*('Recetas y precios'!H39+'Mi negocio'!$B$10)</f>
        <v>0</v>
      </c>
      <c r="H39" s="25" t="n">
        <f aca="false">G39/60</f>
        <v>0</v>
      </c>
      <c r="I39" s="14" t="n">
        <f aca="false">C39*'Recetas y precios'!Q39</f>
        <v>0</v>
      </c>
      <c r="J39" s="14" t="n">
        <f aca="false">C39*'Recetas y precios'!N39*'Recetas y precios'!P39</f>
        <v>0</v>
      </c>
      <c r="K39" s="14" t="n">
        <f aca="false">I39-F39</f>
        <v>0</v>
      </c>
    </row>
    <row r="40" customFormat="false" ht="15" hidden="false" customHeight="false" outlineLevel="0" collapsed="false">
      <c r="A40" s="9" t="n">
        <v>35</v>
      </c>
      <c r="B40" s="9" t="s">
        <v>867</v>
      </c>
      <c r="C40" s="24" t="n">
        <v>0</v>
      </c>
      <c r="D40" s="20" t="n">
        <f aca="false">IFERROR(CEILING(C40/'Mi negocio'!$B$14,1),0)</f>
        <v>0</v>
      </c>
      <c r="E40" s="14" t="n">
        <f aca="false">C40*'Recetas y precios'!E40</f>
        <v>0</v>
      </c>
      <c r="F40" s="14" t="n">
        <f aca="false">C40*'Recetas y precios'!M40</f>
        <v>0</v>
      </c>
      <c r="G40" s="20" t="n">
        <f aca="false">C40*('Recetas y precios'!H40+'Mi negocio'!$B$10)</f>
        <v>0</v>
      </c>
      <c r="H40" s="25" t="n">
        <f aca="false">G40/60</f>
        <v>0</v>
      </c>
      <c r="I40" s="14" t="n">
        <f aca="false">C40*'Recetas y precios'!Q40</f>
        <v>0</v>
      </c>
      <c r="J40" s="14" t="n">
        <f aca="false">C40*'Recetas y precios'!N40*'Recetas y precios'!P40</f>
        <v>0</v>
      </c>
      <c r="K40" s="14" t="n">
        <f aca="false">I40-F40</f>
        <v>0</v>
      </c>
    </row>
    <row r="41" customFormat="false" ht="15" hidden="false" customHeight="false" outlineLevel="0" collapsed="false">
      <c r="A41" s="9" t="n">
        <v>36</v>
      </c>
      <c r="B41" s="9" t="s">
        <v>880</v>
      </c>
      <c r="C41" s="24" t="n">
        <v>0</v>
      </c>
      <c r="D41" s="20" t="n">
        <f aca="false">IFERROR(CEILING(C41/'Mi negocio'!$B$14,1),0)</f>
        <v>0</v>
      </c>
      <c r="E41" s="14" t="n">
        <f aca="false">C41*'Recetas y precios'!E41</f>
        <v>0</v>
      </c>
      <c r="F41" s="14" t="n">
        <f aca="false">C41*'Recetas y precios'!M41</f>
        <v>0</v>
      </c>
      <c r="G41" s="20" t="n">
        <f aca="false">C41*('Recetas y precios'!H41+'Mi negocio'!$B$10)</f>
        <v>0</v>
      </c>
      <c r="H41" s="25" t="n">
        <f aca="false">G41/60</f>
        <v>0</v>
      </c>
      <c r="I41" s="14" t="n">
        <f aca="false">C41*'Recetas y precios'!Q41</f>
        <v>0</v>
      </c>
      <c r="J41" s="14" t="n">
        <f aca="false">C41*'Recetas y precios'!N41*'Recetas y precios'!P41</f>
        <v>0</v>
      </c>
      <c r="K41" s="14" t="n">
        <f aca="false">I41-F41</f>
        <v>0</v>
      </c>
    </row>
    <row r="42" customFormat="false" ht="15" hidden="false" customHeight="false" outlineLevel="0" collapsed="false">
      <c r="A42" s="9" t="n">
        <v>37</v>
      </c>
      <c r="B42" s="9" t="s">
        <v>897</v>
      </c>
      <c r="C42" s="24" t="n">
        <v>0</v>
      </c>
      <c r="D42" s="20" t="n">
        <f aca="false">IFERROR(CEILING(C42/'Mi negocio'!$B$14,1),0)</f>
        <v>0</v>
      </c>
      <c r="E42" s="14" t="n">
        <f aca="false">C42*'Recetas y precios'!E42</f>
        <v>0</v>
      </c>
      <c r="F42" s="14" t="n">
        <f aca="false">C42*'Recetas y precios'!M42</f>
        <v>0</v>
      </c>
      <c r="G42" s="20" t="n">
        <f aca="false">C42*('Recetas y precios'!H42+'Mi negocio'!$B$10)</f>
        <v>0</v>
      </c>
      <c r="H42" s="25" t="n">
        <f aca="false">G42/60</f>
        <v>0</v>
      </c>
      <c r="I42" s="14" t="n">
        <f aca="false">C42*'Recetas y precios'!Q42</f>
        <v>0</v>
      </c>
      <c r="J42" s="14" t="n">
        <f aca="false">C42*'Recetas y precios'!N42*'Recetas y precios'!P42</f>
        <v>0</v>
      </c>
      <c r="K42" s="14" t="n">
        <f aca="false">I42-F42</f>
        <v>0</v>
      </c>
    </row>
    <row r="43" customFormat="false" ht="15" hidden="false" customHeight="false" outlineLevel="0" collapsed="false">
      <c r="A43" s="9" t="n">
        <v>38</v>
      </c>
      <c r="B43" s="9" t="s">
        <v>909</v>
      </c>
      <c r="C43" s="24" t="n">
        <v>0</v>
      </c>
      <c r="D43" s="20" t="n">
        <f aca="false">IFERROR(CEILING(C43/'Mi negocio'!$B$14,1),0)</f>
        <v>0</v>
      </c>
      <c r="E43" s="14" t="n">
        <f aca="false">C43*'Recetas y precios'!E43</f>
        <v>0</v>
      </c>
      <c r="F43" s="14" t="n">
        <f aca="false">C43*'Recetas y precios'!M43</f>
        <v>0</v>
      </c>
      <c r="G43" s="20" t="n">
        <f aca="false">C43*('Recetas y precios'!H43+'Mi negocio'!$B$10)</f>
        <v>0</v>
      </c>
      <c r="H43" s="25" t="n">
        <f aca="false">G43/60</f>
        <v>0</v>
      </c>
      <c r="I43" s="14" t="n">
        <f aca="false">C43*'Recetas y precios'!Q43</f>
        <v>0</v>
      </c>
      <c r="J43" s="14" t="n">
        <f aca="false">C43*'Recetas y precios'!N43*'Recetas y precios'!P43</f>
        <v>0</v>
      </c>
      <c r="K43" s="14" t="n">
        <f aca="false">I43-F43</f>
        <v>0</v>
      </c>
    </row>
    <row r="44" customFormat="false" ht="15" hidden="false" customHeight="false" outlineLevel="0" collapsed="false">
      <c r="A44" s="9" t="n">
        <v>39</v>
      </c>
      <c r="B44" s="9" t="s">
        <v>922</v>
      </c>
      <c r="C44" s="24" t="n">
        <v>0</v>
      </c>
      <c r="D44" s="20" t="n">
        <f aca="false">IFERROR(CEILING(C44/'Mi negocio'!$B$14,1),0)</f>
        <v>0</v>
      </c>
      <c r="E44" s="14" t="n">
        <f aca="false">C44*'Recetas y precios'!E44</f>
        <v>0</v>
      </c>
      <c r="F44" s="14" t="n">
        <f aca="false">C44*'Recetas y precios'!M44</f>
        <v>0</v>
      </c>
      <c r="G44" s="20" t="n">
        <f aca="false">C44*('Recetas y precios'!H44+'Mi negocio'!$B$10)</f>
        <v>0</v>
      </c>
      <c r="H44" s="25" t="n">
        <f aca="false">G44/60</f>
        <v>0</v>
      </c>
      <c r="I44" s="14" t="n">
        <f aca="false">C44*'Recetas y precios'!Q44</f>
        <v>0</v>
      </c>
      <c r="J44" s="14" t="n">
        <f aca="false">C44*'Recetas y precios'!N44*'Recetas y precios'!P44</f>
        <v>0</v>
      </c>
      <c r="K44" s="14" t="n">
        <f aca="false">I44-F44</f>
        <v>0</v>
      </c>
    </row>
    <row r="45" customFormat="false" ht="15" hidden="false" customHeight="false" outlineLevel="0" collapsed="false">
      <c r="A45" s="9" t="n">
        <v>40</v>
      </c>
      <c r="B45" s="9" t="s">
        <v>939</v>
      </c>
      <c r="C45" s="24" t="n">
        <v>0</v>
      </c>
      <c r="D45" s="20" t="n">
        <f aca="false">IFERROR(CEILING(C45/'Mi negocio'!$B$14,1),0)</f>
        <v>0</v>
      </c>
      <c r="E45" s="14" t="n">
        <f aca="false">C45*'Recetas y precios'!E45</f>
        <v>0</v>
      </c>
      <c r="F45" s="14" t="n">
        <f aca="false">C45*'Recetas y precios'!M45</f>
        <v>0</v>
      </c>
      <c r="G45" s="20" t="n">
        <f aca="false">C45*('Recetas y precios'!H45+'Mi negocio'!$B$10)</f>
        <v>0</v>
      </c>
      <c r="H45" s="25" t="n">
        <f aca="false">G45/60</f>
        <v>0</v>
      </c>
      <c r="I45" s="14" t="n">
        <f aca="false">C45*'Recetas y precios'!Q45</f>
        <v>0</v>
      </c>
      <c r="J45" s="14" t="n">
        <f aca="false">C45*'Recetas y precios'!N45*'Recetas y precios'!P45</f>
        <v>0</v>
      </c>
      <c r="K45" s="14" t="n">
        <f aca="false">I45-F45</f>
        <v>0</v>
      </c>
    </row>
    <row r="46" customFormat="false" ht="15" hidden="false" customHeight="false" outlineLevel="0" collapsed="false">
      <c r="A46" s="9" t="n">
        <v>41</v>
      </c>
      <c r="B46" s="9" t="s">
        <v>950</v>
      </c>
      <c r="C46" s="24" t="n">
        <v>0</v>
      </c>
      <c r="D46" s="20" t="n">
        <f aca="false">IFERROR(CEILING(C46/'Mi negocio'!$B$14,1),0)</f>
        <v>0</v>
      </c>
      <c r="E46" s="14" t="n">
        <f aca="false">C46*'Recetas y precios'!E46</f>
        <v>0</v>
      </c>
      <c r="F46" s="14" t="n">
        <f aca="false">C46*'Recetas y precios'!M46</f>
        <v>0</v>
      </c>
      <c r="G46" s="20" t="n">
        <f aca="false">C46*('Recetas y precios'!H46+'Mi negocio'!$B$10)</f>
        <v>0</v>
      </c>
      <c r="H46" s="25" t="n">
        <f aca="false">G46/60</f>
        <v>0</v>
      </c>
      <c r="I46" s="14" t="n">
        <f aca="false">C46*'Recetas y precios'!Q46</f>
        <v>0</v>
      </c>
      <c r="J46" s="14" t="n">
        <f aca="false">C46*'Recetas y precios'!N46*'Recetas y precios'!P46</f>
        <v>0</v>
      </c>
      <c r="K46" s="14" t="n">
        <f aca="false">I46-F46</f>
        <v>0</v>
      </c>
    </row>
    <row r="47" customFormat="false" ht="15" hidden="false" customHeight="false" outlineLevel="0" collapsed="false">
      <c r="A47" s="9" t="n">
        <v>42</v>
      </c>
      <c r="B47" s="9" t="s">
        <v>957</v>
      </c>
      <c r="C47" s="24" t="n">
        <v>0</v>
      </c>
      <c r="D47" s="20" t="n">
        <f aca="false">IFERROR(CEILING(C47/'Mi negocio'!$B$14,1),0)</f>
        <v>0</v>
      </c>
      <c r="E47" s="14" t="n">
        <f aca="false">C47*'Recetas y precios'!E47</f>
        <v>0</v>
      </c>
      <c r="F47" s="14" t="n">
        <f aca="false">C47*'Recetas y precios'!M47</f>
        <v>0</v>
      </c>
      <c r="G47" s="20" t="n">
        <f aca="false">C47*('Recetas y precios'!H47+'Mi negocio'!$B$10)</f>
        <v>0</v>
      </c>
      <c r="H47" s="25" t="n">
        <f aca="false">G47/60</f>
        <v>0</v>
      </c>
      <c r="I47" s="14" t="n">
        <f aca="false">C47*'Recetas y precios'!Q47</f>
        <v>0</v>
      </c>
      <c r="J47" s="14" t="n">
        <f aca="false">C47*'Recetas y precios'!N47*'Recetas y precios'!P47</f>
        <v>0</v>
      </c>
      <c r="K47" s="14" t="n">
        <f aca="false">I47-F47</f>
        <v>0</v>
      </c>
    </row>
    <row r="48" customFormat="false" ht="15" hidden="false" customHeight="false" outlineLevel="0" collapsed="false">
      <c r="A48" s="9" t="n">
        <v>43</v>
      </c>
      <c r="B48" s="9" t="s">
        <v>971</v>
      </c>
      <c r="C48" s="24" t="n">
        <v>0</v>
      </c>
      <c r="D48" s="20" t="n">
        <f aca="false">IFERROR(CEILING(C48/'Mi negocio'!$B$14,1),0)</f>
        <v>0</v>
      </c>
      <c r="E48" s="14" t="n">
        <f aca="false">C48*'Recetas y precios'!E48</f>
        <v>0</v>
      </c>
      <c r="F48" s="14" t="n">
        <f aca="false">C48*'Recetas y precios'!M48</f>
        <v>0</v>
      </c>
      <c r="G48" s="20" t="n">
        <f aca="false">C48*('Recetas y precios'!H48+'Mi negocio'!$B$10)</f>
        <v>0</v>
      </c>
      <c r="H48" s="25" t="n">
        <f aca="false">G48/60</f>
        <v>0</v>
      </c>
      <c r="I48" s="14" t="n">
        <f aca="false">C48*'Recetas y precios'!Q48</f>
        <v>0</v>
      </c>
      <c r="J48" s="14" t="n">
        <f aca="false">C48*'Recetas y precios'!N48*'Recetas y precios'!P48</f>
        <v>0</v>
      </c>
      <c r="K48" s="14" t="n">
        <f aca="false">I48-F48</f>
        <v>0</v>
      </c>
    </row>
    <row r="49" customFormat="false" ht="15" hidden="false" customHeight="false" outlineLevel="0" collapsed="false">
      <c r="A49" s="9" t="n">
        <v>44</v>
      </c>
      <c r="B49" s="9" t="s">
        <v>981</v>
      </c>
      <c r="C49" s="24" t="n">
        <v>0</v>
      </c>
      <c r="D49" s="20" t="n">
        <f aca="false">IFERROR(CEILING(C49/'Mi negocio'!$B$14,1),0)</f>
        <v>0</v>
      </c>
      <c r="E49" s="14" t="n">
        <f aca="false">C49*'Recetas y precios'!E49</f>
        <v>0</v>
      </c>
      <c r="F49" s="14" t="n">
        <f aca="false">C49*'Recetas y precios'!M49</f>
        <v>0</v>
      </c>
      <c r="G49" s="20" t="n">
        <f aca="false">C49*('Recetas y precios'!H49+'Mi negocio'!$B$10)</f>
        <v>0</v>
      </c>
      <c r="H49" s="25" t="n">
        <f aca="false">G49/60</f>
        <v>0</v>
      </c>
      <c r="I49" s="14" t="n">
        <f aca="false">C49*'Recetas y precios'!Q49</f>
        <v>0</v>
      </c>
      <c r="J49" s="14" t="n">
        <f aca="false">C49*'Recetas y precios'!N49*'Recetas y precios'!P49</f>
        <v>0</v>
      </c>
      <c r="K49" s="14" t="n">
        <f aca="false">I49-F49</f>
        <v>0</v>
      </c>
    </row>
    <row r="50" customFormat="false" ht="15" hidden="false" customHeight="false" outlineLevel="0" collapsed="false">
      <c r="A50" s="9" t="n">
        <v>45</v>
      </c>
      <c r="B50" s="9" t="s">
        <v>989</v>
      </c>
      <c r="C50" s="24" t="n">
        <v>0</v>
      </c>
      <c r="D50" s="20" t="n">
        <f aca="false">IFERROR(CEILING(C50/'Mi negocio'!$B$14,1),0)</f>
        <v>0</v>
      </c>
      <c r="E50" s="14" t="n">
        <f aca="false">C50*'Recetas y precios'!E50</f>
        <v>0</v>
      </c>
      <c r="F50" s="14" t="n">
        <f aca="false">C50*'Recetas y precios'!M50</f>
        <v>0</v>
      </c>
      <c r="G50" s="20" t="n">
        <f aca="false">C50*('Recetas y precios'!H50+'Mi negocio'!$B$10)</f>
        <v>0</v>
      </c>
      <c r="H50" s="25" t="n">
        <f aca="false">G50/60</f>
        <v>0</v>
      </c>
      <c r="I50" s="14" t="n">
        <f aca="false">C50*'Recetas y precios'!Q50</f>
        <v>0</v>
      </c>
      <c r="J50" s="14" t="n">
        <f aca="false">C50*'Recetas y precios'!N50*'Recetas y precios'!P50</f>
        <v>0</v>
      </c>
      <c r="K50" s="14" t="n">
        <f aca="false">I50-F50</f>
        <v>0</v>
      </c>
    </row>
    <row r="51" customFormat="false" ht="15" hidden="false" customHeight="false" outlineLevel="0" collapsed="false">
      <c r="A51" s="9" t="n">
        <v>46</v>
      </c>
      <c r="B51" s="9" t="s">
        <v>997</v>
      </c>
      <c r="C51" s="24" t="n">
        <v>0</v>
      </c>
      <c r="D51" s="20" t="n">
        <f aca="false">IFERROR(CEILING(C51/'Mi negocio'!$B$14,1),0)</f>
        <v>0</v>
      </c>
      <c r="E51" s="14" t="n">
        <f aca="false">C51*'Recetas y precios'!E51</f>
        <v>0</v>
      </c>
      <c r="F51" s="14" t="n">
        <f aca="false">C51*'Recetas y precios'!M51</f>
        <v>0</v>
      </c>
      <c r="G51" s="20" t="n">
        <f aca="false">C51*('Recetas y precios'!H51+'Mi negocio'!$B$10)</f>
        <v>0</v>
      </c>
      <c r="H51" s="25" t="n">
        <f aca="false">G51/60</f>
        <v>0</v>
      </c>
      <c r="I51" s="14" t="n">
        <f aca="false">C51*'Recetas y precios'!Q51</f>
        <v>0</v>
      </c>
      <c r="J51" s="14" t="n">
        <f aca="false">C51*'Recetas y precios'!N51*'Recetas y precios'!P51</f>
        <v>0</v>
      </c>
      <c r="K51" s="14" t="n">
        <f aca="false">I51-F51</f>
        <v>0</v>
      </c>
    </row>
    <row r="52" customFormat="false" ht="15" hidden="false" customHeight="false" outlineLevel="0" collapsed="false">
      <c r="A52" s="9" t="n">
        <v>47</v>
      </c>
      <c r="B52" s="9" t="s">
        <v>1015</v>
      </c>
      <c r="C52" s="24" t="n">
        <v>0</v>
      </c>
      <c r="D52" s="20" t="n">
        <f aca="false">IFERROR(CEILING(C52/'Mi negocio'!$B$14,1),0)</f>
        <v>0</v>
      </c>
      <c r="E52" s="14" t="n">
        <f aca="false">C52*'Recetas y precios'!E52</f>
        <v>0</v>
      </c>
      <c r="F52" s="14" t="n">
        <f aca="false">C52*'Recetas y precios'!M52</f>
        <v>0</v>
      </c>
      <c r="G52" s="20" t="n">
        <f aca="false">C52*('Recetas y precios'!H52+'Mi negocio'!$B$10)</f>
        <v>0</v>
      </c>
      <c r="H52" s="25" t="n">
        <f aca="false">G52/60</f>
        <v>0</v>
      </c>
      <c r="I52" s="14" t="n">
        <f aca="false">C52*'Recetas y precios'!Q52</f>
        <v>0</v>
      </c>
      <c r="J52" s="14" t="n">
        <f aca="false">C52*'Recetas y precios'!N52*'Recetas y precios'!P52</f>
        <v>0</v>
      </c>
      <c r="K52" s="14" t="n">
        <f aca="false">I52-F52</f>
        <v>0</v>
      </c>
    </row>
    <row r="53" customFormat="false" ht="15" hidden="false" customHeight="false" outlineLevel="0" collapsed="false">
      <c r="A53" s="9" t="n">
        <v>48</v>
      </c>
      <c r="B53" s="9" t="s">
        <v>1026</v>
      </c>
      <c r="C53" s="24" t="n">
        <v>0</v>
      </c>
      <c r="D53" s="20" t="n">
        <f aca="false">IFERROR(CEILING(C53/'Mi negocio'!$B$14,1),0)</f>
        <v>0</v>
      </c>
      <c r="E53" s="14" t="n">
        <f aca="false">C53*'Recetas y precios'!E53</f>
        <v>0</v>
      </c>
      <c r="F53" s="14" t="n">
        <f aca="false">C53*'Recetas y precios'!M53</f>
        <v>0</v>
      </c>
      <c r="G53" s="20" t="n">
        <f aca="false">C53*('Recetas y precios'!H53+'Mi negocio'!$B$10)</f>
        <v>0</v>
      </c>
      <c r="H53" s="25" t="n">
        <f aca="false">G53/60</f>
        <v>0</v>
      </c>
      <c r="I53" s="14" t="n">
        <f aca="false">C53*'Recetas y precios'!Q53</f>
        <v>0</v>
      </c>
      <c r="J53" s="14" t="n">
        <f aca="false">C53*'Recetas y precios'!N53*'Recetas y precios'!P53</f>
        <v>0</v>
      </c>
      <c r="K53" s="14" t="n">
        <f aca="false">I53-F53</f>
        <v>0</v>
      </c>
    </row>
    <row r="54" customFormat="false" ht="15" hidden="false" customHeight="false" outlineLevel="0" collapsed="false">
      <c r="A54" s="9" t="n">
        <v>49</v>
      </c>
      <c r="B54" s="9" t="s">
        <v>1035</v>
      </c>
      <c r="C54" s="24" t="n">
        <v>0</v>
      </c>
      <c r="D54" s="20" t="n">
        <f aca="false">IFERROR(CEILING(C54/'Mi negocio'!$B$14,1),0)</f>
        <v>0</v>
      </c>
      <c r="E54" s="14" t="n">
        <f aca="false">C54*'Recetas y precios'!E54</f>
        <v>0</v>
      </c>
      <c r="F54" s="14" t="n">
        <f aca="false">C54*'Recetas y precios'!M54</f>
        <v>0</v>
      </c>
      <c r="G54" s="20" t="n">
        <f aca="false">C54*('Recetas y precios'!H54+'Mi negocio'!$B$10)</f>
        <v>0</v>
      </c>
      <c r="H54" s="25" t="n">
        <f aca="false">G54/60</f>
        <v>0</v>
      </c>
      <c r="I54" s="14" t="n">
        <f aca="false">C54*'Recetas y precios'!Q54</f>
        <v>0</v>
      </c>
      <c r="J54" s="14" t="n">
        <f aca="false">C54*'Recetas y precios'!N54*'Recetas y precios'!P54</f>
        <v>0</v>
      </c>
      <c r="K54" s="14" t="n">
        <f aca="false">I54-F54</f>
        <v>0</v>
      </c>
    </row>
    <row r="55" customFormat="false" ht="15" hidden="false" customHeight="false" outlineLevel="0" collapsed="false">
      <c r="A55" s="9" t="n">
        <v>50</v>
      </c>
      <c r="B55" s="9" t="s">
        <v>1049</v>
      </c>
      <c r="C55" s="24" t="n">
        <v>0</v>
      </c>
      <c r="D55" s="20" t="n">
        <f aca="false">IFERROR(CEILING(C55/'Mi negocio'!$B$14,1),0)</f>
        <v>0</v>
      </c>
      <c r="E55" s="14" t="n">
        <f aca="false">C55*'Recetas y precios'!E55</f>
        <v>0</v>
      </c>
      <c r="F55" s="14" t="n">
        <f aca="false">C55*'Recetas y precios'!M55</f>
        <v>0</v>
      </c>
      <c r="G55" s="20" t="n">
        <f aca="false">C55*('Recetas y precios'!H55+'Mi negocio'!$B$10)</f>
        <v>0</v>
      </c>
      <c r="H55" s="25" t="n">
        <f aca="false">G55/60</f>
        <v>0</v>
      </c>
      <c r="I55" s="14" t="n">
        <f aca="false">C55*'Recetas y precios'!Q55</f>
        <v>0</v>
      </c>
      <c r="J55" s="14" t="n">
        <f aca="false">C55*'Recetas y precios'!N55*'Recetas y precios'!P55</f>
        <v>0</v>
      </c>
      <c r="K55" s="14" t="n">
        <f aca="false">I55-F55</f>
        <v>0</v>
      </c>
    </row>
    <row r="56" customFormat="false" ht="15" hidden="false" customHeight="false" outlineLevel="0" collapsed="false">
      <c r="A56" s="9" t="n">
        <v>51</v>
      </c>
      <c r="B56" s="9" t="s">
        <v>1060</v>
      </c>
      <c r="C56" s="24" t="n">
        <v>0</v>
      </c>
      <c r="D56" s="20" t="n">
        <f aca="false">IFERROR(CEILING(C56/'Mi negocio'!$B$14,1),0)</f>
        <v>0</v>
      </c>
      <c r="E56" s="14" t="n">
        <f aca="false">C56*'Recetas y precios'!E56</f>
        <v>0</v>
      </c>
      <c r="F56" s="14" t="n">
        <f aca="false">C56*'Recetas y precios'!M56</f>
        <v>0</v>
      </c>
      <c r="G56" s="20" t="n">
        <f aca="false">C56*('Recetas y precios'!H56+'Mi negocio'!$B$10)</f>
        <v>0</v>
      </c>
      <c r="H56" s="25" t="n">
        <f aca="false">G56/60</f>
        <v>0</v>
      </c>
      <c r="I56" s="14" t="n">
        <f aca="false">C56*'Recetas y precios'!Q56</f>
        <v>0</v>
      </c>
      <c r="J56" s="14" t="n">
        <f aca="false">C56*'Recetas y precios'!N56*'Recetas y precios'!P56</f>
        <v>0</v>
      </c>
      <c r="K56" s="14" t="n">
        <f aca="false">I56-F56</f>
        <v>0</v>
      </c>
    </row>
    <row r="57" customFormat="false" ht="15" hidden="false" customHeight="false" outlineLevel="0" collapsed="false">
      <c r="B57" s="4" t="s">
        <v>1158</v>
      </c>
      <c r="C57" s="26" t="n">
        <f aca="false">SUM(C6:C56)</f>
        <v>0</v>
      </c>
      <c r="D57" s="26" t="n">
        <f aca="false">SUM(D6:D56)</f>
        <v>0</v>
      </c>
      <c r="E57" s="23" t="n">
        <f aca="false">SUM(E6:E56)</f>
        <v>0</v>
      </c>
      <c r="F57" s="23" t="n">
        <f aca="false">SUM(F6:F56)</f>
        <v>0</v>
      </c>
      <c r="G57" s="26" t="n">
        <f aca="false">SUM(G6:G56)</f>
        <v>0</v>
      </c>
      <c r="H57" s="26" t="n">
        <f aca="false">SUM(H6:H56)</f>
        <v>0</v>
      </c>
      <c r="I57" s="23" t="n">
        <f aca="false">SUM(I6:I56)</f>
        <v>0</v>
      </c>
      <c r="J57" s="23" t="n">
        <f aca="false">SUM(J6:J56)</f>
        <v>0</v>
      </c>
      <c r="K57" s="23" t="n">
        <f aca="false">SUM(K6:K56)</f>
        <v>0</v>
      </c>
    </row>
    <row r="59" customFormat="false" ht="15" hidden="false" customHeight="false" outlineLevel="0" collapsed="false">
      <c r="B59" s="2" t="s">
        <v>1159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38"/>
    <col collapsed="false" customWidth="true" hidden="false" outlineLevel="0" max="4" min="4" style="0" width="24"/>
    <col collapsed="false" customWidth="true" hidden="false" outlineLevel="0" max="5" min="5" style="0" width="10"/>
    <col collapsed="false" customWidth="true" hidden="false" outlineLevel="0" max="10" min="6" style="0" width="13"/>
    <col collapsed="false" customWidth="true" hidden="false" outlineLevel="0" max="11" min="11" style="0" width="9"/>
    <col collapsed="false" customWidth="true" hidden="false" outlineLevel="0" max="12" min="12" style="0" width="30"/>
  </cols>
  <sheetData>
    <row r="1" customFormat="false" ht="19.7" hidden="false" customHeight="false" outlineLevel="0" collapsed="false">
      <c r="A1" s="1" t="s">
        <v>1160</v>
      </c>
    </row>
    <row r="2" customFormat="false" ht="15" hidden="false" customHeight="false" outlineLevel="0" collapsed="false">
      <c r="A2" s="2" t="s">
        <v>1161</v>
      </c>
    </row>
    <row r="3" customFormat="false" ht="15" hidden="false" customHeight="false" outlineLevel="0" collapsed="false">
      <c r="A3" s="3" t="s">
        <v>2</v>
      </c>
      <c r="H3" s="6" t="s">
        <v>1162</v>
      </c>
    </row>
    <row r="4" customFormat="false" ht="15" hidden="false" customHeight="false" outlineLevel="0" collapsed="false">
      <c r="G4" s="23" t="n">
        <f aca="false">SUM(G6:G305)</f>
        <v>0</v>
      </c>
      <c r="I4" s="23" t="n">
        <f aca="false">SUM(I6:I305)</f>
        <v>0</v>
      </c>
      <c r="J4" s="23" t="n">
        <f aca="false">SUM(J6:J305)</f>
        <v>0</v>
      </c>
    </row>
    <row r="5" customFormat="false" ht="25.5" hidden="false" customHeight="true" outlineLevel="0" collapsed="false">
      <c r="A5" s="8" t="s">
        <v>1163</v>
      </c>
      <c r="B5" s="8" t="s">
        <v>1164</v>
      </c>
      <c r="C5" s="8" t="s">
        <v>388</v>
      </c>
      <c r="D5" s="8" t="s">
        <v>1116</v>
      </c>
      <c r="E5" s="8" t="s">
        <v>1165</v>
      </c>
      <c r="F5" s="8" t="s">
        <v>1166</v>
      </c>
      <c r="G5" s="8" t="s">
        <v>1167</v>
      </c>
      <c r="H5" s="8" t="s">
        <v>1168</v>
      </c>
      <c r="I5" s="8" t="s">
        <v>1152</v>
      </c>
      <c r="J5" s="8" t="s">
        <v>1169</v>
      </c>
      <c r="K5" s="8" t="s">
        <v>1117</v>
      </c>
      <c r="L5" s="8" t="s">
        <v>1170</v>
      </c>
    </row>
    <row r="6" customFormat="false" ht="15" hidden="false" customHeight="false" outlineLevel="0" collapsed="false">
      <c r="A6" s="27"/>
      <c r="B6" s="28"/>
      <c r="C6" s="9" t="str">
        <f aca="false">IF($B6="","",IFERROR(VLOOKUP($B6,'Recetas y precios'!$A:$B,2,FALSE()),""))</f>
        <v/>
      </c>
      <c r="D6" s="28"/>
      <c r="E6" s="28"/>
      <c r="F6" s="14" t="str">
        <f aca="false">IF(OR($B6="",$D6=""),"",IFERROR(INDEX('Recetas y precios'!$P:$S,MATCH($B6,'Recetas y precios'!$A:$A,0),MATCH($D6,'Recetas y precios'!$P$5:$S$5,0)),""))</f>
        <v/>
      </c>
      <c r="G6" s="14" t="str">
        <f aca="false">IFERROR($E6*$F6,"")</f>
        <v/>
      </c>
      <c r="H6" s="14" t="str">
        <f aca="false">IF($B6="","",IF($D6="Rebanada en mostrador",IFERROR(VLOOKUP($B6,'Recetas y precios'!$A:$O,15,FALSE()),""),IFERROR(VLOOKUP($B6,'Recetas y precios'!$A:$M,13,FALSE()),"")))</f>
        <v/>
      </c>
      <c r="I6" s="14" t="str">
        <f aca="false">IFERROR($E6*$H6,"")</f>
        <v/>
      </c>
      <c r="J6" s="14" t="str">
        <f aca="false">IFERROR($G6-$I6,"")</f>
        <v/>
      </c>
      <c r="K6" s="21" t="str">
        <f aca="false">IFERROR($J6/$G6,"")</f>
        <v/>
      </c>
      <c r="L6" s="28"/>
    </row>
    <row r="7" customFormat="false" ht="15" hidden="false" customHeight="false" outlineLevel="0" collapsed="false">
      <c r="A7" s="27"/>
      <c r="B7" s="28"/>
      <c r="C7" s="9" t="str">
        <f aca="false">IF($B7="","",IFERROR(VLOOKUP($B7,'Recetas y precios'!$A:$B,2,FALSE()),""))</f>
        <v/>
      </c>
      <c r="D7" s="28"/>
      <c r="E7" s="28"/>
      <c r="F7" s="14" t="str">
        <f aca="false">IF(OR($B7="",$D7=""),"",IFERROR(INDEX('Recetas y precios'!$P:$S,MATCH($B7,'Recetas y precios'!$A:$A,0),MATCH($D7,'Recetas y precios'!$P$5:$S$5,0)),""))</f>
        <v/>
      </c>
      <c r="G7" s="14" t="str">
        <f aca="false">IFERROR($E7*$F7,"")</f>
        <v/>
      </c>
      <c r="H7" s="14" t="str">
        <f aca="false">IF($B7="","",IF($D7="Rebanada en mostrador",IFERROR(VLOOKUP($B7,'Recetas y precios'!$A:$O,15,FALSE()),""),IFERROR(VLOOKUP($B7,'Recetas y precios'!$A:$M,13,FALSE()),"")))</f>
        <v/>
      </c>
      <c r="I7" s="14" t="str">
        <f aca="false">IFERROR($E7*$H7,"")</f>
        <v/>
      </c>
      <c r="J7" s="14" t="str">
        <f aca="false">IFERROR($G7-$I7,"")</f>
        <v/>
      </c>
      <c r="K7" s="21" t="str">
        <f aca="false">IFERROR($J7/$G7,"")</f>
        <v/>
      </c>
      <c r="L7" s="28"/>
    </row>
    <row r="8" customFormat="false" ht="15" hidden="false" customHeight="false" outlineLevel="0" collapsed="false">
      <c r="A8" s="27"/>
      <c r="B8" s="28"/>
      <c r="C8" s="9" t="str">
        <f aca="false">IF($B8="","",IFERROR(VLOOKUP($B8,'Recetas y precios'!$A:$B,2,FALSE()),""))</f>
        <v/>
      </c>
      <c r="D8" s="28"/>
      <c r="E8" s="28"/>
      <c r="F8" s="14" t="str">
        <f aca="false">IF(OR($B8="",$D8=""),"",IFERROR(INDEX('Recetas y precios'!$P:$S,MATCH($B8,'Recetas y precios'!$A:$A,0),MATCH($D8,'Recetas y precios'!$P$5:$S$5,0)),""))</f>
        <v/>
      </c>
      <c r="G8" s="14" t="str">
        <f aca="false">IFERROR($E8*$F8,"")</f>
        <v/>
      </c>
      <c r="H8" s="14" t="str">
        <f aca="false">IF($B8="","",IF($D8="Rebanada en mostrador",IFERROR(VLOOKUP($B8,'Recetas y precios'!$A:$O,15,FALSE()),""),IFERROR(VLOOKUP($B8,'Recetas y precios'!$A:$M,13,FALSE()),"")))</f>
        <v/>
      </c>
      <c r="I8" s="14" t="str">
        <f aca="false">IFERROR($E8*$H8,"")</f>
        <v/>
      </c>
      <c r="J8" s="14" t="str">
        <f aca="false">IFERROR($G8-$I8,"")</f>
        <v/>
      </c>
      <c r="K8" s="21" t="str">
        <f aca="false">IFERROR($J8/$G8,"")</f>
        <v/>
      </c>
      <c r="L8" s="28"/>
    </row>
    <row r="9" customFormat="false" ht="15" hidden="false" customHeight="false" outlineLevel="0" collapsed="false">
      <c r="A9" s="27"/>
      <c r="B9" s="28"/>
      <c r="C9" s="9" t="str">
        <f aca="false">IF($B9="","",IFERROR(VLOOKUP($B9,'Recetas y precios'!$A:$B,2,FALSE()),""))</f>
        <v/>
      </c>
      <c r="D9" s="28"/>
      <c r="E9" s="28"/>
      <c r="F9" s="14" t="str">
        <f aca="false">IF(OR($B9="",$D9=""),"",IFERROR(INDEX('Recetas y precios'!$P:$S,MATCH($B9,'Recetas y precios'!$A:$A,0),MATCH($D9,'Recetas y precios'!$P$5:$S$5,0)),""))</f>
        <v/>
      </c>
      <c r="G9" s="14" t="str">
        <f aca="false">IFERROR($E9*$F9,"")</f>
        <v/>
      </c>
      <c r="H9" s="14" t="str">
        <f aca="false">IF($B9="","",IF($D9="Rebanada en mostrador",IFERROR(VLOOKUP($B9,'Recetas y precios'!$A:$O,15,FALSE()),""),IFERROR(VLOOKUP($B9,'Recetas y precios'!$A:$M,13,FALSE()),"")))</f>
        <v/>
      </c>
      <c r="I9" s="14" t="str">
        <f aca="false">IFERROR($E9*$H9,"")</f>
        <v/>
      </c>
      <c r="J9" s="14" t="str">
        <f aca="false">IFERROR($G9-$I9,"")</f>
        <v/>
      </c>
      <c r="K9" s="21" t="str">
        <f aca="false">IFERROR($J9/$G9,"")</f>
        <v/>
      </c>
      <c r="L9" s="28"/>
    </row>
    <row r="10" customFormat="false" ht="15" hidden="false" customHeight="false" outlineLevel="0" collapsed="false">
      <c r="A10" s="27"/>
      <c r="B10" s="28"/>
      <c r="C10" s="9" t="str">
        <f aca="false">IF($B10="","",IFERROR(VLOOKUP($B10,'Recetas y precios'!$A:$B,2,FALSE()),""))</f>
        <v/>
      </c>
      <c r="D10" s="28"/>
      <c r="E10" s="28"/>
      <c r="F10" s="14" t="str">
        <f aca="false">IF(OR($B10="",$D10=""),"",IFERROR(INDEX('Recetas y precios'!$P:$S,MATCH($B10,'Recetas y precios'!$A:$A,0),MATCH($D10,'Recetas y precios'!$P$5:$S$5,0)),""))</f>
        <v/>
      </c>
      <c r="G10" s="14" t="str">
        <f aca="false">IFERROR($E10*$F10,"")</f>
        <v/>
      </c>
      <c r="H10" s="14" t="str">
        <f aca="false">IF($B10="","",IF($D10="Rebanada en mostrador",IFERROR(VLOOKUP($B10,'Recetas y precios'!$A:$O,15,FALSE()),""),IFERROR(VLOOKUP($B10,'Recetas y precios'!$A:$M,13,FALSE()),"")))</f>
        <v/>
      </c>
      <c r="I10" s="14" t="str">
        <f aca="false">IFERROR($E10*$H10,"")</f>
        <v/>
      </c>
      <c r="J10" s="14" t="str">
        <f aca="false">IFERROR($G10-$I10,"")</f>
        <v/>
      </c>
      <c r="K10" s="21" t="str">
        <f aca="false">IFERROR($J10/$G10,"")</f>
        <v/>
      </c>
      <c r="L10" s="28"/>
    </row>
    <row r="11" customFormat="false" ht="15" hidden="false" customHeight="false" outlineLevel="0" collapsed="false">
      <c r="A11" s="27"/>
      <c r="B11" s="28"/>
      <c r="C11" s="9" t="str">
        <f aca="false">IF($B11="","",IFERROR(VLOOKUP($B11,'Recetas y precios'!$A:$B,2,FALSE()),""))</f>
        <v/>
      </c>
      <c r="D11" s="28"/>
      <c r="E11" s="28"/>
      <c r="F11" s="14" t="str">
        <f aca="false">IF(OR($B11="",$D11=""),"",IFERROR(INDEX('Recetas y precios'!$P:$S,MATCH($B11,'Recetas y precios'!$A:$A,0),MATCH($D11,'Recetas y precios'!$P$5:$S$5,0)),""))</f>
        <v/>
      </c>
      <c r="G11" s="14" t="str">
        <f aca="false">IFERROR($E11*$F11,"")</f>
        <v/>
      </c>
      <c r="H11" s="14" t="str">
        <f aca="false">IF($B11="","",IF($D11="Rebanada en mostrador",IFERROR(VLOOKUP($B11,'Recetas y precios'!$A:$O,15,FALSE()),""),IFERROR(VLOOKUP($B11,'Recetas y precios'!$A:$M,13,FALSE()),"")))</f>
        <v/>
      </c>
      <c r="I11" s="14" t="str">
        <f aca="false">IFERROR($E11*$H11,"")</f>
        <v/>
      </c>
      <c r="J11" s="14" t="str">
        <f aca="false">IFERROR($G11-$I11,"")</f>
        <v/>
      </c>
      <c r="K11" s="21" t="str">
        <f aca="false">IFERROR($J11/$G11,"")</f>
        <v/>
      </c>
      <c r="L11" s="28"/>
    </row>
    <row r="12" customFormat="false" ht="15" hidden="false" customHeight="false" outlineLevel="0" collapsed="false">
      <c r="A12" s="27"/>
      <c r="B12" s="28"/>
      <c r="C12" s="9" t="str">
        <f aca="false">IF($B12="","",IFERROR(VLOOKUP($B12,'Recetas y precios'!$A:$B,2,FALSE()),""))</f>
        <v/>
      </c>
      <c r="D12" s="28"/>
      <c r="E12" s="28"/>
      <c r="F12" s="14" t="str">
        <f aca="false">IF(OR($B12="",$D12=""),"",IFERROR(INDEX('Recetas y precios'!$P:$S,MATCH($B12,'Recetas y precios'!$A:$A,0),MATCH($D12,'Recetas y precios'!$P$5:$S$5,0)),""))</f>
        <v/>
      </c>
      <c r="G12" s="14" t="str">
        <f aca="false">IFERROR($E12*$F12,"")</f>
        <v/>
      </c>
      <c r="H12" s="14" t="str">
        <f aca="false">IF($B12="","",IF($D12="Rebanada en mostrador",IFERROR(VLOOKUP($B12,'Recetas y precios'!$A:$O,15,FALSE()),""),IFERROR(VLOOKUP($B12,'Recetas y precios'!$A:$M,13,FALSE()),"")))</f>
        <v/>
      </c>
      <c r="I12" s="14" t="str">
        <f aca="false">IFERROR($E12*$H12,"")</f>
        <v/>
      </c>
      <c r="J12" s="14" t="str">
        <f aca="false">IFERROR($G12-$I12,"")</f>
        <v/>
      </c>
      <c r="K12" s="21" t="str">
        <f aca="false">IFERROR($J12/$G12,"")</f>
        <v/>
      </c>
      <c r="L12" s="28"/>
    </row>
    <row r="13" customFormat="false" ht="15" hidden="false" customHeight="false" outlineLevel="0" collapsed="false">
      <c r="A13" s="27"/>
      <c r="B13" s="28"/>
      <c r="C13" s="9" t="str">
        <f aca="false">IF($B13="","",IFERROR(VLOOKUP($B13,'Recetas y precios'!$A:$B,2,FALSE()),""))</f>
        <v/>
      </c>
      <c r="D13" s="28"/>
      <c r="E13" s="28"/>
      <c r="F13" s="14" t="str">
        <f aca="false">IF(OR($B13="",$D13=""),"",IFERROR(INDEX('Recetas y precios'!$P:$S,MATCH($B13,'Recetas y precios'!$A:$A,0),MATCH($D13,'Recetas y precios'!$P$5:$S$5,0)),""))</f>
        <v/>
      </c>
      <c r="G13" s="14" t="str">
        <f aca="false">IFERROR($E13*$F13,"")</f>
        <v/>
      </c>
      <c r="H13" s="14" t="str">
        <f aca="false">IF($B13="","",IF($D13="Rebanada en mostrador",IFERROR(VLOOKUP($B13,'Recetas y precios'!$A:$O,15,FALSE()),""),IFERROR(VLOOKUP($B13,'Recetas y precios'!$A:$M,13,FALSE()),"")))</f>
        <v/>
      </c>
      <c r="I13" s="14" t="str">
        <f aca="false">IFERROR($E13*$H13,"")</f>
        <v/>
      </c>
      <c r="J13" s="14" t="str">
        <f aca="false">IFERROR($G13-$I13,"")</f>
        <v/>
      </c>
      <c r="K13" s="21" t="str">
        <f aca="false">IFERROR($J13/$G13,"")</f>
        <v/>
      </c>
      <c r="L13" s="28"/>
    </row>
    <row r="14" customFormat="false" ht="15" hidden="false" customHeight="false" outlineLevel="0" collapsed="false">
      <c r="A14" s="27"/>
      <c r="B14" s="28"/>
      <c r="C14" s="9" t="str">
        <f aca="false">IF($B14="","",IFERROR(VLOOKUP($B14,'Recetas y precios'!$A:$B,2,FALSE()),""))</f>
        <v/>
      </c>
      <c r="D14" s="28"/>
      <c r="E14" s="28"/>
      <c r="F14" s="14" t="str">
        <f aca="false">IF(OR($B14="",$D14=""),"",IFERROR(INDEX('Recetas y precios'!$P:$S,MATCH($B14,'Recetas y precios'!$A:$A,0),MATCH($D14,'Recetas y precios'!$P$5:$S$5,0)),""))</f>
        <v/>
      </c>
      <c r="G14" s="14" t="str">
        <f aca="false">IFERROR($E14*$F14,"")</f>
        <v/>
      </c>
      <c r="H14" s="14" t="str">
        <f aca="false">IF($B14="","",IF($D14="Rebanada en mostrador",IFERROR(VLOOKUP($B14,'Recetas y precios'!$A:$O,15,FALSE()),""),IFERROR(VLOOKUP($B14,'Recetas y precios'!$A:$M,13,FALSE()),"")))</f>
        <v/>
      </c>
      <c r="I14" s="14" t="str">
        <f aca="false">IFERROR($E14*$H14,"")</f>
        <v/>
      </c>
      <c r="J14" s="14" t="str">
        <f aca="false">IFERROR($G14-$I14,"")</f>
        <v/>
      </c>
      <c r="K14" s="21" t="str">
        <f aca="false">IFERROR($J14/$G14,"")</f>
        <v/>
      </c>
      <c r="L14" s="28"/>
    </row>
    <row r="15" customFormat="false" ht="15" hidden="false" customHeight="false" outlineLevel="0" collapsed="false">
      <c r="A15" s="27"/>
      <c r="B15" s="28"/>
      <c r="C15" s="9" t="str">
        <f aca="false">IF($B15="","",IFERROR(VLOOKUP($B15,'Recetas y precios'!$A:$B,2,FALSE()),""))</f>
        <v/>
      </c>
      <c r="D15" s="28"/>
      <c r="E15" s="28"/>
      <c r="F15" s="14" t="str">
        <f aca="false">IF(OR($B15="",$D15=""),"",IFERROR(INDEX('Recetas y precios'!$P:$S,MATCH($B15,'Recetas y precios'!$A:$A,0),MATCH($D15,'Recetas y precios'!$P$5:$S$5,0)),""))</f>
        <v/>
      </c>
      <c r="G15" s="14" t="str">
        <f aca="false">IFERROR($E15*$F15,"")</f>
        <v/>
      </c>
      <c r="H15" s="14" t="str">
        <f aca="false">IF($B15="","",IF($D15="Rebanada en mostrador",IFERROR(VLOOKUP($B15,'Recetas y precios'!$A:$O,15,FALSE()),""),IFERROR(VLOOKUP($B15,'Recetas y precios'!$A:$M,13,FALSE()),"")))</f>
        <v/>
      </c>
      <c r="I15" s="14" t="str">
        <f aca="false">IFERROR($E15*$H15,"")</f>
        <v/>
      </c>
      <c r="J15" s="14" t="str">
        <f aca="false">IFERROR($G15-$I15,"")</f>
        <v/>
      </c>
      <c r="K15" s="21" t="str">
        <f aca="false">IFERROR($J15/$G15,"")</f>
        <v/>
      </c>
      <c r="L15" s="28"/>
    </row>
    <row r="16" customFormat="false" ht="15" hidden="false" customHeight="false" outlineLevel="0" collapsed="false">
      <c r="A16" s="27"/>
      <c r="B16" s="28"/>
      <c r="C16" s="9" t="str">
        <f aca="false">IF($B16="","",IFERROR(VLOOKUP($B16,'Recetas y precios'!$A:$B,2,FALSE()),""))</f>
        <v/>
      </c>
      <c r="D16" s="28"/>
      <c r="E16" s="28"/>
      <c r="F16" s="14" t="str">
        <f aca="false">IF(OR($B16="",$D16=""),"",IFERROR(INDEX('Recetas y precios'!$P:$S,MATCH($B16,'Recetas y precios'!$A:$A,0),MATCH($D16,'Recetas y precios'!$P$5:$S$5,0)),""))</f>
        <v/>
      </c>
      <c r="G16" s="14" t="str">
        <f aca="false">IFERROR($E16*$F16,"")</f>
        <v/>
      </c>
      <c r="H16" s="14" t="str">
        <f aca="false">IF($B16="","",IF($D16="Rebanada en mostrador",IFERROR(VLOOKUP($B16,'Recetas y precios'!$A:$O,15,FALSE()),""),IFERROR(VLOOKUP($B16,'Recetas y precios'!$A:$M,13,FALSE()),"")))</f>
        <v/>
      </c>
      <c r="I16" s="14" t="str">
        <f aca="false">IFERROR($E16*$H16,"")</f>
        <v/>
      </c>
      <c r="J16" s="14" t="str">
        <f aca="false">IFERROR($G16-$I16,"")</f>
        <v/>
      </c>
      <c r="K16" s="21" t="str">
        <f aca="false">IFERROR($J16/$G16,"")</f>
        <v/>
      </c>
      <c r="L16" s="28"/>
    </row>
    <row r="17" customFormat="false" ht="15" hidden="false" customHeight="false" outlineLevel="0" collapsed="false">
      <c r="A17" s="27"/>
      <c r="B17" s="28"/>
      <c r="C17" s="9" t="str">
        <f aca="false">IF($B17="","",IFERROR(VLOOKUP($B17,'Recetas y precios'!$A:$B,2,FALSE()),""))</f>
        <v/>
      </c>
      <c r="D17" s="28"/>
      <c r="E17" s="28"/>
      <c r="F17" s="14" t="str">
        <f aca="false">IF(OR($B17="",$D17=""),"",IFERROR(INDEX('Recetas y precios'!$P:$S,MATCH($B17,'Recetas y precios'!$A:$A,0),MATCH($D17,'Recetas y precios'!$P$5:$S$5,0)),""))</f>
        <v/>
      </c>
      <c r="G17" s="14" t="str">
        <f aca="false">IFERROR($E17*$F17,"")</f>
        <v/>
      </c>
      <c r="H17" s="14" t="str">
        <f aca="false">IF($B17="","",IF($D17="Rebanada en mostrador",IFERROR(VLOOKUP($B17,'Recetas y precios'!$A:$O,15,FALSE()),""),IFERROR(VLOOKUP($B17,'Recetas y precios'!$A:$M,13,FALSE()),"")))</f>
        <v/>
      </c>
      <c r="I17" s="14" t="str">
        <f aca="false">IFERROR($E17*$H17,"")</f>
        <v/>
      </c>
      <c r="J17" s="14" t="str">
        <f aca="false">IFERROR($G17-$I17,"")</f>
        <v/>
      </c>
      <c r="K17" s="21" t="str">
        <f aca="false">IFERROR($J17/$G17,"")</f>
        <v/>
      </c>
      <c r="L17" s="28"/>
    </row>
    <row r="18" customFormat="false" ht="15" hidden="false" customHeight="false" outlineLevel="0" collapsed="false">
      <c r="A18" s="27"/>
      <c r="B18" s="28"/>
      <c r="C18" s="9" t="str">
        <f aca="false">IF($B18="","",IFERROR(VLOOKUP($B18,'Recetas y precios'!$A:$B,2,FALSE()),""))</f>
        <v/>
      </c>
      <c r="D18" s="28"/>
      <c r="E18" s="28"/>
      <c r="F18" s="14" t="str">
        <f aca="false">IF(OR($B18="",$D18=""),"",IFERROR(INDEX('Recetas y precios'!$P:$S,MATCH($B18,'Recetas y precios'!$A:$A,0),MATCH($D18,'Recetas y precios'!$P$5:$S$5,0)),""))</f>
        <v/>
      </c>
      <c r="G18" s="14" t="str">
        <f aca="false">IFERROR($E18*$F18,"")</f>
        <v/>
      </c>
      <c r="H18" s="14" t="str">
        <f aca="false">IF($B18="","",IF($D18="Rebanada en mostrador",IFERROR(VLOOKUP($B18,'Recetas y precios'!$A:$O,15,FALSE()),""),IFERROR(VLOOKUP($B18,'Recetas y precios'!$A:$M,13,FALSE()),"")))</f>
        <v/>
      </c>
      <c r="I18" s="14" t="str">
        <f aca="false">IFERROR($E18*$H18,"")</f>
        <v/>
      </c>
      <c r="J18" s="14" t="str">
        <f aca="false">IFERROR($G18-$I18,"")</f>
        <v/>
      </c>
      <c r="K18" s="21" t="str">
        <f aca="false">IFERROR($J18/$G18,"")</f>
        <v/>
      </c>
      <c r="L18" s="28"/>
    </row>
    <row r="19" customFormat="false" ht="15" hidden="false" customHeight="false" outlineLevel="0" collapsed="false">
      <c r="A19" s="27"/>
      <c r="B19" s="28"/>
      <c r="C19" s="9" t="str">
        <f aca="false">IF($B19="","",IFERROR(VLOOKUP($B19,'Recetas y precios'!$A:$B,2,FALSE()),""))</f>
        <v/>
      </c>
      <c r="D19" s="28"/>
      <c r="E19" s="28"/>
      <c r="F19" s="14" t="str">
        <f aca="false">IF(OR($B19="",$D19=""),"",IFERROR(INDEX('Recetas y precios'!$P:$S,MATCH($B19,'Recetas y precios'!$A:$A,0),MATCH($D19,'Recetas y precios'!$P$5:$S$5,0)),""))</f>
        <v/>
      </c>
      <c r="G19" s="14" t="str">
        <f aca="false">IFERROR($E19*$F19,"")</f>
        <v/>
      </c>
      <c r="H19" s="14" t="str">
        <f aca="false">IF($B19="","",IF($D19="Rebanada en mostrador",IFERROR(VLOOKUP($B19,'Recetas y precios'!$A:$O,15,FALSE()),""),IFERROR(VLOOKUP($B19,'Recetas y precios'!$A:$M,13,FALSE()),"")))</f>
        <v/>
      </c>
      <c r="I19" s="14" t="str">
        <f aca="false">IFERROR($E19*$H19,"")</f>
        <v/>
      </c>
      <c r="J19" s="14" t="str">
        <f aca="false">IFERROR($G19-$I19,"")</f>
        <v/>
      </c>
      <c r="K19" s="21" t="str">
        <f aca="false">IFERROR($J19/$G19,"")</f>
        <v/>
      </c>
      <c r="L19" s="28"/>
    </row>
    <row r="20" customFormat="false" ht="15" hidden="false" customHeight="false" outlineLevel="0" collapsed="false">
      <c r="A20" s="27"/>
      <c r="B20" s="28"/>
      <c r="C20" s="9" t="str">
        <f aca="false">IF($B20="","",IFERROR(VLOOKUP($B20,'Recetas y precios'!$A:$B,2,FALSE()),""))</f>
        <v/>
      </c>
      <c r="D20" s="28"/>
      <c r="E20" s="28"/>
      <c r="F20" s="14" t="str">
        <f aca="false">IF(OR($B20="",$D20=""),"",IFERROR(INDEX('Recetas y precios'!$P:$S,MATCH($B20,'Recetas y precios'!$A:$A,0),MATCH($D20,'Recetas y precios'!$P$5:$S$5,0)),""))</f>
        <v/>
      </c>
      <c r="G20" s="14" t="str">
        <f aca="false">IFERROR($E20*$F20,"")</f>
        <v/>
      </c>
      <c r="H20" s="14" t="str">
        <f aca="false">IF($B20="","",IF($D20="Rebanada en mostrador",IFERROR(VLOOKUP($B20,'Recetas y precios'!$A:$O,15,FALSE()),""),IFERROR(VLOOKUP($B20,'Recetas y precios'!$A:$M,13,FALSE()),"")))</f>
        <v/>
      </c>
      <c r="I20" s="14" t="str">
        <f aca="false">IFERROR($E20*$H20,"")</f>
        <v/>
      </c>
      <c r="J20" s="14" t="str">
        <f aca="false">IFERROR($G20-$I20,"")</f>
        <v/>
      </c>
      <c r="K20" s="21" t="str">
        <f aca="false">IFERROR($J20/$G20,"")</f>
        <v/>
      </c>
      <c r="L20" s="28"/>
    </row>
    <row r="21" customFormat="false" ht="15" hidden="false" customHeight="false" outlineLevel="0" collapsed="false">
      <c r="A21" s="27"/>
      <c r="B21" s="28"/>
      <c r="C21" s="9" t="str">
        <f aca="false">IF($B21="","",IFERROR(VLOOKUP($B21,'Recetas y precios'!$A:$B,2,FALSE()),""))</f>
        <v/>
      </c>
      <c r="D21" s="28"/>
      <c r="E21" s="28"/>
      <c r="F21" s="14" t="str">
        <f aca="false">IF(OR($B21="",$D21=""),"",IFERROR(INDEX('Recetas y precios'!$P:$S,MATCH($B21,'Recetas y precios'!$A:$A,0),MATCH($D21,'Recetas y precios'!$P$5:$S$5,0)),""))</f>
        <v/>
      </c>
      <c r="G21" s="14" t="str">
        <f aca="false">IFERROR($E21*$F21,"")</f>
        <v/>
      </c>
      <c r="H21" s="14" t="str">
        <f aca="false">IF($B21="","",IF($D21="Rebanada en mostrador",IFERROR(VLOOKUP($B21,'Recetas y precios'!$A:$O,15,FALSE()),""),IFERROR(VLOOKUP($B21,'Recetas y precios'!$A:$M,13,FALSE()),"")))</f>
        <v/>
      </c>
      <c r="I21" s="14" t="str">
        <f aca="false">IFERROR($E21*$H21,"")</f>
        <v/>
      </c>
      <c r="J21" s="14" t="str">
        <f aca="false">IFERROR($G21-$I21,"")</f>
        <v/>
      </c>
      <c r="K21" s="21" t="str">
        <f aca="false">IFERROR($J21/$G21,"")</f>
        <v/>
      </c>
      <c r="L21" s="28"/>
    </row>
    <row r="22" customFormat="false" ht="15" hidden="false" customHeight="false" outlineLevel="0" collapsed="false">
      <c r="A22" s="27"/>
      <c r="B22" s="28"/>
      <c r="C22" s="9" t="str">
        <f aca="false">IF($B22="","",IFERROR(VLOOKUP($B22,'Recetas y precios'!$A:$B,2,FALSE()),""))</f>
        <v/>
      </c>
      <c r="D22" s="28"/>
      <c r="E22" s="28"/>
      <c r="F22" s="14" t="str">
        <f aca="false">IF(OR($B22="",$D22=""),"",IFERROR(INDEX('Recetas y precios'!$P:$S,MATCH($B22,'Recetas y precios'!$A:$A,0),MATCH($D22,'Recetas y precios'!$P$5:$S$5,0)),""))</f>
        <v/>
      </c>
      <c r="G22" s="14" t="str">
        <f aca="false">IFERROR($E22*$F22,"")</f>
        <v/>
      </c>
      <c r="H22" s="14" t="str">
        <f aca="false">IF($B22="","",IF($D22="Rebanada en mostrador",IFERROR(VLOOKUP($B22,'Recetas y precios'!$A:$O,15,FALSE()),""),IFERROR(VLOOKUP($B22,'Recetas y precios'!$A:$M,13,FALSE()),"")))</f>
        <v/>
      </c>
      <c r="I22" s="14" t="str">
        <f aca="false">IFERROR($E22*$H22,"")</f>
        <v/>
      </c>
      <c r="J22" s="14" t="str">
        <f aca="false">IFERROR($G22-$I22,"")</f>
        <v/>
      </c>
      <c r="K22" s="21" t="str">
        <f aca="false">IFERROR($J22/$G22,"")</f>
        <v/>
      </c>
      <c r="L22" s="28"/>
    </row>
    <row r="23" customFormat="false" ht="15" hidden="false" customHeight="false" outlineLevel="0" collapsed="false">
      <c r="A23" s="27"/>
      <c r="B23" s="28"/>
      <c r="C23" s="9" t="str">
        <f aca="false">IF($B23="","",IFERROR(VLOOKUP($B23,'Recetas y precios'!$A:$B,2,FALSE()),""))</f>
        <v/>
      </c>
      <c r="D23" s="28"/>
      <c r="E23" s="28"/>
      <c r="F23" s="14" t="str">
        <f aca="false">IF(OR($B23="",$D23=""),"",IFERROR(INDEX('Recetas y precios'!$P:$S,MATCH($B23,'Recetas y precios'!$A:$A,0),MATCH($D23,'Recetas y precios'!$P$5:$S$5,0)),""))</f>
        <v/>
      </c>
      <c r="G23" s="14" t="str">
        <f aca="false">IFERROR($E23*$F23,"")</f>
        <v/>
      </c>
      <c r="H23" s="14" t="str">
        <f aca="false">IF($B23="","",IF($D23="Rebanada en mostrador",IFERROR(VLOOKUP($B23,'Recetas y precios'!$A:$O,15,FALSE()),""),IFERROR(VLOOKUP($B23,'Recetas y precios'!$A:$M,13,FALSE()),"")))</f>
        <v/>
      </c>
      <c r="I23" s="14" t="str">
        <f aca="false">IFERROR($E23*$H23,"")</f>
        <v/>
      </c>
      <c r="J23" s="14" t="str">
        <f aca="false">IFERROR($G23-$I23,"")</f>
        <v/>
      </c>
      <c r="K23" s="21" t="str">
        <f aca="false">IFERROR($J23/$G23,"")</f>
        <v/>
      </c>
      <c r="L23" s="28"/>
    </row>
    <row r="24" customFormat="false" ht="15" hidden="false" customHeight="false" outlineLevel="0" collapsed="false">
      <c r="A24" s="27"/>
      <c r="B24" s="28"/>
      <c r="C24" s="9" t="str">
        <f aca="false">IF($B24="","",IFERROR(VLOOKUP($B24,'Recetas y precios'!$A:$B,2,FALSE()),""))</f>
        <v/>
      </c>
      <c r="D24" s="28"/>
      <c r="E24" s="28"/>
      <c r="F24" s="14" t="str">
        <f aca="false">IF(OR($B24="",$D24=""),"",IFERROR(INDEX('Recetas y precios'!$P:$S,MATCH($B24,'Recetas y precios'!$A:$A,0),MATCH($D24,'Recetas y precios'!$P$5:$S$5,0)),""))</f>
        <v/>
      </c>
      <c r="G24" s="14" t="str">
        <f aca="false">IFERROR($E24*$F24,"")</f>
        <v/>
      </c>
      <c r="H24" s="14" t="str">
        <f aca="false">IF($B24="","",IF($D24="Rebanada en mostrador",IFERROR(VLOOKUP($B24,'Recetas y precios'!$A:$O,15,FALSE()),""),IFERROR(VLOOKUP($B24,'Recetas y precios'!$A:$M,13,FALSE()),"")))</f>
        <v/>
      </c>
      <c r="I24" s="14" t="str">
        <f aca="false">IFERROR($E24*$H24,"")</f>
        <v/>
      </c>
      <c r="J24" s="14" t="str">
        <f aca="false">IFERROR($G24-$I24,"")</f>
        <v/>
      </c>
      <c r="K24" s="21" t="str">
        <f aca="false">IFERROR($J24/$G24,"")</f>
        <v/>
      </c>
      <c r="L24" s="28"/>
    </row>
    <row r="25" customFormat="false" ht="15" hidden="false" customHeight="false" outlineLevel="0" collapsed="false">
      <c r="A25" s="27"/>
      <c r="B25" s="28"/>
      <c r="C25" s="9" t="str">
        <f aca="false">IF($B25="","",IFERROR(VLOOKUP($B25,'Recetas y precios'!$A:$B,2,FALSE()),""))</f>
        <v/>
      </c>
      <c r="D25" s="28"/>
      <c r="E25" s="28"/>
      <c r="F25" s="14" t="str">
        <f aca="false">IF(OR($B25="",$D25=""),"",IFERROR(INDEX('Recetas y precios'!$P:$S,MATCH($B25,'Recetas y precios'!$A:$A,0),MATCH($D25,'Recetas y precios'!$P$5:$S$5,0)),""))</f>
        <v/>
      </c>
      <c r="G25" s="14" t="str">
        <f aca="false">IFERROR($E25*$F25,"")</f>
        <v/>
      </c>
      <c r="H25" s="14" t="str">
        <f aca="false">IF($B25="","",IF($D25="Rebanada en mostrador",IFERROR(VLOOKUP($B25,'Recetas y precios'!$A:$O,15,FALSE()),""),IFERROR(VLOOKUP($B25,'Recetas y precios'!$A:$M,13,FALSE()),"")))</f>
        <v/>
      </c>
      <c r="I25" s="14" t="str">
        <f aca="false">IFERROR($E25*$H25,"")</f>
        <v/>
      </c>
      <c r="J25" s="14" t="str">
        <f aca="false">IFERROR($G25-$I25,"")</f>
        <v/>
      </c>
      <c r="K25" s="21" t="str">
        <f aca="false">IFERROR($J25/$G25,"")</f>
        <v/>
      </c>
      <c r="L25" s="28"/>
    </row>
    <row r="26" customFormat="false" ht="15" hidden="false" customHeight="false" outlineLevel="0" collapsed="false">
      <c r="A26" s="27"/>
      <c r="B26" s="28"/>
      <c r="C26" s="9" t="str">
        <f aca="false">IF($B26="","",IFERROR(VLOOKUP($B26,'Recetas y precios'!$A:$B,2,FALSE()),""))</f>
        <v/>
      </c>
      <c r="D26" s="28"/>
      <c r="E26" s="28"/>
      <c r="F26" s="14" t="str">
        <f aca="false">IF(OR($B26="",$D26=""),"",IFERROR(INDEX('Recetas y precios'!$P:$S,MATCH($B26,'Recetas y precios'!$A:$A,0),MATCH($D26,'Recetas y precios'!$P$5:$S$5,0)),""))</f>
        <v/>
      </c>
      <c r="G26" s="14" t="str">
        <f aca="false">IFERROR($E26*$F26,"")</f>
        <v/>
      </c>
      <c r="H26" s="14" t="str">
        <f aca="false">IF($B26="","",IF($D26="Rebanada en mostrador",IFERROR(VLOOKUP($B26,'Recetas y precios'!$A:$O,15,FALSE()),""),IFERROR(VLOOKUP($B26,'Recetas y precios'!$A:$M,13,FALSE()),"")))</f>
        <v/>
      </c>
      <c r="I26" s="14" t="str">
        <f aca="false">IFERROR($E26*$H26,"")</f>
        <v/>
      </c>
      <c r="J26" s="14" t="str">
        <f aca="false">IFERROR($G26-$I26,"")</f>
        <v/>
      </c>
      <c r="K26" s="21" t="str">
        <f aca="false">IFERROR($J26/$G26,"")</f>
        <v/>
      </c>
      <c r="L26" s="28"/>
    </row>
    <row r="27" customFormat="false" ht="15" hidden="false" customHeight="false" outlineLevel="0" collapsed="false">
      <c r="A27" s="27"/>
      <c r="B27" s="28"/>
      <c r="C27" s="9" t="str">
        <f aca="false">IF($B27="","",IFERROR(VLOOKUP($B27,'Recetas y precios'!$A:$B,2,FALSE()),""))</f>
        <v/>
      </c>
      <c r="D27" s="28"/>
      <c r="E27" s="28"/>
      <c r="F27" s="14" t="str">
        <f aca="false">IF(OR($B27="",$D27=""),"",IFERROR(INDEX('Recetas y precios'!$P:$S,MATCH($B27,'Recetas y precios'!$A:$A,0),MATCH($D27,'Recetas y precios'!$P$5:$S$5,0)),""))</f>
        <v/>
      </c>
      <c r="G27" s="14" t="str">
        <f aca="false">IFERROR($E27*$F27,"")</f>
        <v/>
      </c>
      <c r="H27" s="14" t="str">
        <f aca="false">IF($B27="","",IF($D27="Rebanada en mostrador",IFERROR(VLOOKUP($B27,'Recetas y precios'!$A:$O,15,FALSE()),""),IFERROR(VLOOKUP($B27,'Recetas y precios'!$A:$M,13,FALSE()),"")))</f>
        <v/>
      </c>
      <c r="I27" s="14" t="str">
        <f aca="false">IFERROR($E27*$H27,"")</f>
        <v/>
      </c>
      <c r="J27" s="14" t="str">
        <f aca="false">IFERROR($G27-$I27,"")</f>
        <v/>
      </c>
      <c r="K27" s="21" t="str">
        <f aca="false">IFERROR($J27/$G27,"")</f>
        <v/>
      </c>
      <c r="L27" s="28"/>
    </row>
    <row r="28" customFormat="false" ht="15" hidden="false" customHeight="false" outlineLevel="0" collapsed="false">
      <c r="A28" s="27"/>
      <c r="B28" s="28"/>
      <c r="C28" s="9" t="str">
        <f aca="false">IF($B28="","",IFERROR(VLOOKUP($B28,'Recetas y precios'!$A:$B,2,FALSE()),""))</f>
        <v/>
      </c>
      <c r="D28" s="28"/>
      <c r="E28" s="28"/>
      <c r="F28" s="14" t="str">
        <f aca="false">IF(OR($B28="",$D28=""),"",IFERROR(INDEX('Recetas y precios'!$P:$S,MATCH($B28,'Recetas y precios'!$A:$A,0),MATCH($D28,'Recetas y precios'!$P$5:$S$5,0)),""))</f>
        <v/>
      </c>
      <c r="G28" s="14" t="str">
        <f aca="false">IFERROR($E28*$F28,"")</f>
        <v/>
      </c>
      <c r="H28" s="14" t="str">
        <f aca="false">IF($B28="","",IF($D28="Rebanada en mostrador",IFERROR(VLOOKUP($B28,'Recetas y precios'!$A:$O,15,FALSE()),""),IFERROR(VLOOKUP($B28,'Recetas y precios'!$A:$M,13,FALSE()),"")))</f>
        <v/>
      </c>
      <c r="I28" s="14" t="str">
        <f aca="false">IFERROR($E28*$H28,"")</f>
        <v/>
      </c>
      <c r="J28" s="14" t="str">
        <f aca="false">IFERROR($G28-$I28,"")</f>
        <v/>
      </c>
      <c r="K28" s="21" t="str">
        <f aca="false">IFERROR($J28/$G28,"")</f>
        <v/>
      </c>
      <c r="L28" s="28"/>
    </row>
    <row r="29" customFormat="false" ht="15" hidden="false" customHeight="false" outlineLevel="0" collapsed="false">
      <c r="A29" s="27"/>
      <c r="B29" s="28"/>
      <c r="C29" s="9" t="str">
        <f aca="false">IF($B29="","",IFERROR(VLOOKUP($B29,'Recetas y precios'!$A:$B,2,FALSE()),""))</f>
        <v/>
      </c>
      <c r="D29" s="28"/>
      <c r="E29" s="28"/>
      <c r="F29" s="14" t="str">
        <f aca="false">IF(OR($B29="",$D29=""),"",IFERROR(INDEX('Recetas y precios'!$P:$S,MATCH($B29,'Recetas y precios'!$A:$A,0),MATCH($D29,'Recetas y precios'!$P$5:$S$5,0)),""))</f>
        <v/>
      </c>
      <c r="G29" s="14" t="str">
        <f aca="false">IFERROR($E29*$F29,"")</f>
        <v/>
      </c>
      <c r="H29" s="14" t="str">
        <f aca="false">IF($B29="","",IF($D29="Rebanada en mostrador",IFERROR(VLOOKUP($B29,'Recetas y precios'!$A:$O,15,FALSE()),""),IFERROR(VLOOKUP($B29,'Recetas y precios'!$A:$M,13,FALSE()),"")))</f>
        <v/>
      </c>
      <c r="I29" s="14" t="str">
        <f aca="false">IFERROR($E29*$H29,"")</f>
        <v/>
      </c>
      <c r="J29" s="14" t="str">
        <f aca="false">IFERROR($G29-$I29,"")</f>
        <v/>
      </c>
      <c r="K29" s="21" t="str">
        <f aca="false">IFERROR($J29/$G29,"")</f>
        <v/>
      </c>
      <c r="L29" s="28"/>
    </row>
    <row r="30" customFormat="false" ht="15" hidden="false" customHeight="false" outlineLevel="0" collapsed="false">
      <c r="A30" s="27"/>
      <c r="B30" s="28"/>
      <c r="C30" s="9" t="str">
        <f aca="false">IF($B30="","",IFERROR(VLOOKUP($B30,'Recetas y precios'!$A:$B,2,FALSE()),""))</f>
        <v/>
      </c>
      <c r="D30" s="28"/>
      <c r="E30" s="28"/>
      <c r="F30" s="14" t="str">
        <f aca="false">IF(OR($B30="",$D30=""),"",IFERROR(INDEX('Recetas y precios'!$P:$S,MATCH($B30,'Recetas y precios'!$A:$A,0),MATCH($D30,'Recetas y precios'!$P$5:$S$5,0)),""))</f>
        <v/>
      </c>
      <c r="G30" s="14" t="str">
        <f aca="false">IFERROR($E30*$F30,"")</f>
        <v/>
      </c>
      <c r="H30" s="14" t="str">
        <f aca="false">IF($B30="","",IF($D30="Rebanada en mostrador",IFERROR(VLOOKUP($B30,'Recetas y precios'!$A:$O,15,FALSE()),""),IFERROR(VLOOKUP($B30,'Recetas y precios'!$A:$M,13,FALSE()),"")))</f>
        <v/>
      </c>
      <c r="I30" s="14" t="str">
        <f aca="false">IFERROR($E30*$H30,"")</f>
        <v/>
      </c>
      <c r="J30" s="14" t="str">
        <f aca="false">IFERROR($G30-$I30,"")</f>
        <v/>
      </c>
      <c r="K30" s="21" t="str">
        <f aca="false">IFERROR($J30/$G30,"")</f>
        <v/>
      </c>
      <c r="L30" s="28"/>
    </row>
    <row r="31" customFormat="false" ht="15" hidden="false" customHeight="false" outlineLevel="0" collapsed="false">
      <c r="A31" s="27"/>
      <c r="B31" s="28"/>
      <c r="C31" s="9" t="str">
        <f aca="false">IF($B31="","",IFERROR(VLOOKUP($B31,'Recetas y precios'!$A:$B,2,FALSE()),""))</f>
        <v/>
      </c>
      <c r="D31" s="28"/>
      <c r="E31" s="28"/>
      <c r="F31" s="14" t="str">
        <f aca="false">IF(OR($B31="",$D31=""),"",IFERROR(INDEX('Recetas y precios'!$P:$S,MATCH($B31,'Recetas y precios'!$A:$A,0),MATCH($D31,'Recetas y precios'!$P$5:$S$5,0)),""))</f>
        <v/>
      </c>
      <c r="G31" s="14" t="str">
        <f aca="false">IFERROR($E31*$F31,"")</f>
        <v/>
      </c>
      <c r="H31" s="14" t="str">
        <f aca="false">IF($B31="","",IF($D31="Rebanada en mostrador",IFERROR(VLOOKUP($B31,'Recetas y precios'!$A:$O,15,FALSE()),""),IFERROR(VLOOKUP($B31,'Recetas y precios'!$A:$M,13,FALSE()),"")))</f>
        <v/>
      </c>
      <c r="I31" s="14" t="str">
        <f aca="false">IFERROR($E31*$H31,"")</f>
        <v/>
      </c>
      <c r="J31" s="14" t="str">
        <f aca="false">IFERROR($G31-$I31,"")</f>
        <v/>
      </c>
      <c r="K31" s="21" t="str">
        <f aca="false">IFERROR($J31/$G31,"")</f>
        <v/>
      </c>
      <c r="L31" s="28"/>
    </row>
    <row r="32" customFormat="false" ht="15" hidden="false" customHeight="false" outlineLevel="0" collapsed="false">
      <c r="A32" s="27"/>
      <c r="B32" s="28"/>
      <c r="C32" s="9" t="str">
        <f aca="false">IF($B32="","",IFERROR(VLOOKUP($B32,'Recetas y precios'!$A:$B,2,FALSE()),""))</f>
        <v/>
      </c>
      <c r="D32" s="28"/>
      <c r="E32" s="28"/>
      <c r="F32" s="14" t="str">
        <f aca="false">IF(OR($B32="",$D32=""),"",IFERROR(INDEX('Recetas y precios'!$P:$S,MATCH($B32,'Recetas y precios'!$A:$A,0),MATCH($D32,'Recetas y precios'!$P$5:$S$5,0)),""))</f>
        <v/>
      </c>
      <c r="G32" s="14" t="str">
        <f aca="false">IFERROR($E32*$F32,"")</f>
        <v/>
      </c>
      <c r="H32" s="14" t="str">
        <f aca="false">IF($B32="","",IF($D32="Rebanada en mostrador",IFERROR(VLOOKUP($B32,'Recetas y precios'!$A:$O,15,FALSE()),""),IFERROR(VLOOKUP($B32,'Recetas y precios'!$A:$M,13,FALSE()),"")))</f>
        <v/>
      </c>
      <c r="I32" s="14" t="str">
        <f aca="false">IFERROR($E32*$H32,"")</f>
        <v/>
      </c>
      <c r="J32" s="14" t="str">
        <f aca="false">IFERROR($G32-$I32,"")</f>
        <v/>
      </c>
      <c r="K32" s="21" t="str">
        <f aca="false">IFERROR($J32/$G32,"")</f>
        <v/>
      </c>
      <c r="L32" s="28"/>
    </row>
    <row r="33" customFormat="false" ht="15" hidden="false" customHeight="false" outlineLevel="0" collapsed="false">
      <c r="A33" s="27"/>
      <c r="B33" s="28"/>
      <c r="C33" s="9" t="str">
        <f aca="false">IF($B33="","",IFERROR(VLOOKUP($B33,'Recetas y precios'!$A:$B,2,FALSE()),""))</f>
        <v/>
      </c>
      <c r="D33" s="28"/>
      <c r="E33" s="28"/>
      <c r="F33" s="14" t="str">
        <f aca="false">IF(OR($B33="",$D33=""),"",IFERROR(INDEX('Recetas y precios'!$P:$S,MATCH($B33,'Recetas y precios'!$A:$A,0),MATCH($D33,'Recetas y precios'!$P$5:$S$5,0)),""))</f>
        <v/>
      </c>
      <c r="G33" s="14" t="str">
        <f aca="false">IFERROR($E33*$F33,"")</f>
        <v/>
      </c>
      <c r="H33" s="14" t="str">
        <f aca="false">IF($B33="","",IF($D33="Rebanada en mostrador",IFERROR(VLOOKUP($B33,'Recetas y precios'!$A:$O,15,FALSE()),""),IFERROR(VLOOKUP($B33,'Recetas y precios'!$A:$M,13,FALSE()),"")))</f>
        <v/>
      </c>
      <c r="I33" s="14" t="str">
        <f aca="false">IFERROR($E33*$H33,"")</f>
        <v/>
      </c>
      <c r="J33" s="14" t="str">
        <f aca="false">IFERROR($G33-$I33,"")</f>
        <v/>
      </c>
      <c r="K33" s="21" t="str">
        <f aca="false">IFERROR($J33/$G33,"")</f>
        <v/>
      </c>
      <c r="L33" s="28"/>
    </row>
    <row r="34" customFormat="false" ht="15" hidden="false" customHeight="false" outlineLevel="0" collapsed="false">
      <c r="A34" s="27"/>
      <c r="B34" s="28"/>
      <c r="C34" s="9" t="str">
        <f aca="false">IF($B34="","",IFERROR(VLOOKUP($B34,'Recetas y precios'!$A:$B,2,FALSE()),""))</f>
        <v/>
      </c>
      <c r="D34" s="28"/>
      <c r="E34" s="28"/>
      <c r="F34" s="14" t="str">
        <f aca="false">IF(OR($B34="",$D34=""),"",IFERROR(INDEX('Recetas y precios'!$P:$S,MATCH($B34,'Recetas y precios'!$A:$A,0),MATCH($D34,'Recetas y precios'!$P$5:$S$5,0)),""))</f>
        <v/>
      </c>
      <c r="G34" s="14" t="str">
        <f aca="false">IFERROR($E34*$F34,"")</f>
        <v/>
      </c>
      <c r="H34" s="14" t="str">
        <f aca="false">IF($B34="","",IF($D34="Rebanada en mostrador",IFERROR(VLOOKUP($B34,'Recetas y precios'!$A:$O,15,FALSE()),""),IFERROR(VLOOKUP($B34,'Recetas y precios'!$A:$M,13,FALSE()),"")))</f>
        <v/>
      </c>
      <c r="I34" s="14" t="str">
        <f aca="false">IFERROR($E34*$H34,"")</f>
        <v/>
      </c>
      <c r="J34" s="14" t="str">
        <f aca="false">IFERROR($G34-$I34,"")</f>
        <v/>
      </c>
      <c r="K34" s="21" t="str">
        <f aca="false">IFERROR($J34/$G34,"")</f>
        <v/>
      </c>
      <c r="L34" s="28"/>
    </row>
    <row r="35" customFormat="false" ht="15" hidden="false" customHeight="false" outlineLevel="0" collapsed="false">
      <c r="A35" s="27"/>
      <c r="B35" s="28"/>
      <c r="C35" s="9" t="str">
        <f aca="false">IF($B35="","",IFERROR(VLOOKUP($B35,'Recetas y precios'!$A:$B,2,FALSE()),""))</f>
        <v/>
      </c>
      <c r="D35" s="28"/>
      <c r="E35" s="28"/>
      <c r="F35" s="14" t="str">
        <f aca="false">IF(OR($B35="",$D35=""),"",IFERROR(INDEX('Recetas y precios'!$P:$S,MATCH($B35,'Recetas y precios'!$A:$A,0),MATCH($D35,'Recetas y precios'!$P$5:$S$5,0)),""))</f>
        <v/>
      </c>
      <c r="G35" s="14" t="str">
        <f aca="false">IFERROR($E35*$F35,"")</f>
        <v/>
      </c>
      <c r="H35" s="14" t="str">
        <f aca="false">IF($B35="","",IF($D35="Rebanada en mostrador",IFERROR(VLOOKUP($B35,'Recetas y precios'!$A:$O,15,FALSE()),""),IFERROR(VLOOKUP($B35,'Recetas y precios'!$A:$M,13,FALSE()),"")))</f>
        <v/>
      </c>
      <c r="I35" s="14" t="str">
        <f aca="false">IFERROR($E35*$H35,"")</f>
        <v/>
      </c>
      <c r="J35" s="14" t="str">
        <f aca="false">IFERROR($G35-$I35,"")</f>
        <v/>
      </c>
      <c r="K35" s="21" t="str">
        <f aca="false">IFERROR($J35/$G35,"")</f>
        <v/>
      </c>
      <c r="L35" s="28"/>
    </row>
    <row r="36" customFormat="false" ht="15" hidden="false" customHeight="false" outlineLevel="0" collapsed="false">
      <c r="A36" s="27"/>
      <c r="B36" s="28"/>
      <c r="C36" s="9" t="str">
        <f aca="false">IF($B36="","",IFERROR(VLOOKUP($B36,'Recetas y precios'!$A:$B,2,FALSE()),""))</f>
        <v/>
      </c>
      <c r="D36" s="28"/>
      <c r="E36" s="28"/>
      <c r="F36" s="14" t="str">
        <f aca="false">IF(OR($B36="",$D36=""),"",IFERROR(INDEX('Recetas y precios'!$P:$S,MATCH($B36,'Recetas y precios'!$A:$A,0),MATCH($D36,'Recetas y precios'!$P$5:$S$5,0)),""))</f>
        <v/>
      </c>
      <c r="G36" s="14" t="str">
        <f aca="false">IFERROR($E36*$F36,"")</f>
        <v/>
      </c>
      <c r="H36" s="14" t="str">
        <f aca="false">IF($B36="","",IF($D36="Rebanada en mostrador",IFERROR(VLOOKUP($B36,'Recetas y precios'!$A:$O,15,FALSE()),""),IFERROR(VLOOKUP($B36,'Recetas y precios'!$A:$M,13,FALSE()),"")))</f>
        <v/>
      </c>
      <c r="I36" s="14" t="str">
        <f aca="false">IFERROR($E36*$H36,"")</f>
        <v/>
      </c>
      <c r="J36" s="14" t="str">
        <f aca="false">IFERROR($G36-$I36,"")</f>
        <v/>
      </c>
      <c r="K36" s="21" t="str">
        <f aca="false">IFERROR($J36/$G36,"")</f>
        <v/>
      </c>
      <c r="L36" s="28"/>
    </row>
    <row r="37" customFormat="false" ht="15" hidden="false" customHeight="false" outlineLevel="0" collapsed="false">
      <c r="A37" s="27"/>
      <c r="B37" s="28"/>
      <c r="C37" s="9" t="str">
        <f aca="false">IF($B37="","",IFERROR(VLOOKUP($B37,'Recetas y precios'!$A:$B,2,FALSE()),""))</f>
        <v/>
      </c>
      <c r="D37" s="28"/>
      <c r="E37" s="28"/>
      <c r="F37" s="14" t="str">
        <f aca="false">IF(OR($B37="",$D37=""),"",IFERROR(INDEX('Recetas y precios'!$P:$S,MATCH($B37,'Recetas y precios'!$A:$A,0),MATCH($D37,'Recetas y precios'!$P$5:$S$5,0)),""))</f>
        <v/>
      </c>
      <c r="G37" s="14" t="str">
        <f aca="false">IFERROR($E37*$F37,"")</f>
        <v/>
      </c>
      <c r="H37" s="14" t="str">
        <f aca="false">IF($B37="","",IF($D37="Rebanada en mostrador",IFERROR(VLOOKUP($B37,'Recetas y precios'!$A:$O,15,FALSE()),""),IFERROR(VLOOKUP($B37,'Recetas y precios'!$A:$M,13,FALSE()),"")))</f>
        <v/>
      </c>
      <c r="I37" s="14" t="str">
        <f aca="false">IFERROR($E37*$H37,"")</f>
        <v/>
      </c>
      <c r="J37" s="14" t="str">
        <f aca="false">IFERROR($G37-$I37,"")</f>
        <v/>
      </c>
      <c r="K37" s="21" t="str">
        <f aca="false">IFERROR($J37/$G37,"")</f>
        <v/>
      </c>
      <c r="L37" s="28"/>
    </row>
    <row r="38" customFormat="false" ht="15" hidden="false" customHeight="false" outlineLevel="0" collapsed="false">
      <c r="A38" s="27"/>
      <c r="B38" s="28"/>
      <c r="C38" s="9" t="str">
        <f aca="false">IF($B38="","",IFERROR(VLOOKUP($B38,'Recetas y precios'!$A:$B,2,FALSE()),""))</f>
        <v/>
      </c>
      <c r="D38" s="28"/>
      <c r="E38" s="28"/>
      <c r="F38" s="14" t="str">
        <f aca="false">IF(OR($B38="",$D38=""),"",IFERROR(INDEX('Recetas y precios'!$P:$S,MATCH($B38,'Recetas y precios'!$A:$A,0),MATCH($D38,'Recetas y precios'!$P$5:$S$5,0)),""))</f>
        <v/>
      </c>
      <c r="G38" s="14" t="str">
        <f aca="false">IFERROR($E38*$F38,"")</f>
        <v/>
      </c>
      <c r="H38" s="14" t="str">
        <f aca="false">IF($B38="","",IF($D38="Rebanada en mostrador",IFERROR(VLOOKUP($B38,'Recetas y precios'!$A:$O,15,FALSE()),""),IFERROR(VLOOKUP($B38,'Recetas y precios'!$A:$M,13,FALSE()),"")))</f>
        <v/>
      </c>
      <c r="I38" s="14" t="str">
        <f aca="false">IFERROR($E38*$H38,"")</f>
        <v/>
      </c>
      <c r="J38" s="14" t="str">
        <f aca="false">IFERROR($G38-$I38,"")</f>
        <v/>
      </c>
      <c r="K38" s="21" t="str">
        <f aca="false">IFERROR($J38/$G38,"")</f>
        <v/>
      </c>
      <c r="L38" s="28"/>
    </row>
    <row r="39" customFormat="false" ht="15" hidden="false" customHeight="false" outlineLevel="0" collapsed="false">
      <c r="A39" s="27"/>
      <c r="B39" s="28"/>
      <c r="C39" s="9" t="str">
        <f aca="false">IF($B39="","",IFERROR(VLOOKUP($B39,'Recetas y precios'!$A:$B,2,FALSE()),""))</f>
        <v/>
      </c>
      <c r="D39" s="28"/>
      <c r="E39" s="28"/>
      <c r="F39" s="14" t="str">
        <f aca="false">IF(OR($B39="",$D39=""),"",IFERROR(INDEX('Recetas y precios'!$P:$S,MATCH($B39,'Recetas y precios'!$A:$A,0),MATCH($D39,'Recetas y precios'!$P$5:$S$5,0)),""))</f>
        <v/>
      </c>
      <c r="G39" s="14" t="str">
        <f aca="false">IFERROR($E39*$F39,"")</f>
        <v/>
      </c>
      <c r="H39" s="14" t="str">
        <f aca="false">IF($B39="","",IF($D39="Rebanada en mostrador",IFERROR(VLOOKUP($B39,'Recetas y precios'!$A:$O,15,FALSE()),""),IFERROR(VLOOKUP($B39,'Recetas y precios'!$A:$M,13,FALSE()),"")))</f>
        <v/>
      </c>
      <c r="I39" s="14" t="str">
        <f aca="false">IFERROR($E39*$H39,"")</f>
        <v/>
      </c>
      <c r="J39" s="14" t="str">
        <f aca="false">IFERROR($G39-$I39,"")</f>
        <v/>
      </c>
      <c r="K39" s="21" t="str">
        <f aca="false">IFERROR($J39/$G39,"")</f>
        <v/>
      </c>
      <c r="L39" s="28"/>
    </row>
    <row r="40" customFormat="false" ht="15" hidden="false" customHeight="false" outlineLevel="0" collapsed="false">
      <c r="A40" s="27"/>
      <c r="B40" s="28"/>
      <c r="C40" s="9" t="str">
        <f aca="false">IF($B40="","",IFERROR(VLOOKUP($B40,'Recetas y precios'!$A:$B,2,FALSE()),""))</f>
        <v/>
      </c>
      <c r="D40" s="28"/>
      <c r="E40" s="28"/>
      <c r="F40" s="14" t="str">
        <f aca="false">IF(OR($B40="",$D40=""),"",IFERROR(INDEX('Recetas y precios'!$P:$S,MATCH($B40,'Recetas y precios'!$A:$A,0),MATCH($D40,'Recetas y precios'!$P$5:$S$5,0)),""))</f>
        <v/>
      </c>
      <c r="G40" s="14" t="str">
        <f aca="false">IFERROR($E40*$F40,"")</f>
        <v/>
      </c>
      <c r="H40" s="14" t="str">
        <f aca="false">IF($B40="","",IF($D40="Rebanada en mostrador",IFERROR(VLOOKUP($B40,'Recetas y precios'!$A:$O,15,FALSE()),""),IFERROR(VLOOKUP($B40,'Recetas y precios'!$A:$M,13,FALSE()),"")))</f>
        <v/>
      </c>
      <c r="I40" s="14" t="str">
        <f aca="false">IFERROR($E40*$H40,"")</f>
        <v/>
      </c>
      <c r="J40" s="14" t="str">
        <f aca="false">IFERROR($G40-$I40,"")</f>
        <v/>
      </c>
      <c r="K40" s="21" t="str">
        <f aca="false">IFERROR($J40/$G40,"")</f>
        <v/>
      </c>
      <c r="L40" s="28"/>
    </row>
    <row r="41" customFormat="false" ht="15" hidden="false" customHeight="false" outlineLevel="0" collapsed="false">
      <c r="A41" s="27"/>
      <c r="B41" s="28"/>
      <c r="C41" s="9" t="str">
        <f aca="false">IF($B41="","",IFERROR(VLOOKUP($B41,'Recetas y precios'!$A:$B,2,FALSE()),""))</f>
        <v/>
      </c>
      <c r="D41" s="28"/>
      <c r="E41" s="28"/>
      <c r="F41" s="14" t="str">
        <f aca="false">IF(OR($B41="",$D41=""),"",IFERROR(INDEX('Recetas y precios'!$P:$S,MATCH($B41,'Recetas y precios'!$A:$A,0),MATCH($D41,'Recetas y precios'!$P$5:$S$5,0)),""))</f>
        <v/>
      </c>
      <c r="G41" s="14" t="str">
        <f aca="false">IFERROR($E41*$F41,"")</f>
        <v/>
      </c>
      <c r="H41" s="14" t="str">
        <f aca="false">IF($B41="","",IF($D41="Rebanada en mostrador",IFERROR(VLOOKUP($B41,'Recetas y precios'!$A:$O,15,FALSE()),""),IFERROR(VLOOKUP($B41,'Recetas y precios'!$A:$M,13,FALSE()),"")))</f>
        <v/>
      </c>
      <c r="I41" s="14" t="str">
        <f aca="false">IFERROR($E41*$H41,"")</f>
        <v/>
      </c>
      <c r="J41" s="14" t="str">
        <f aca="false">IFERROR($G41-$I41,"")</f>
        <v/>
      </c>
      <c r="K41" s="21" t="str">
        <f aca="false">IFERROR($J41/$G41,"")</f>
        <v/>
      </c>
      <c r="L41" s="28"/>
    </row>
    <row r="42" customFormat="false" ht="15" hidden="false" customHeight="false" outlineLevel="0" collapsed="false">
      <c r="A42" s="27"/>
      <c r="B42" s="28"/>
      <c r="C42" s="9" t="str">
        <f aca="false">IF($B42="","",IFERROR(VLOOKUP($B42,'Recetas y precios'!$A:$B,2,FALSE()),""))</f>
        <v/>
      </c>
      <c r="D42" s="28"/>
      <c r="E42" s="28"/>
      <c r="F42" s="14" t="str">
        <f aca="false">IF(OR($B42="",$D42=""),"",IFERROR(INDEX('Recetas y precios'!$P:$S,MATCH($B42,'Recetas y precios'!$A:$A,0),MATCH($D42,'Recetas y precios'!$P$5:$S$5,0)),""))</f>
        <v/>
      </c>
      <c r="G42" s="14" t="str">
        <f aca="false">IFERROR($E42*$F42,"")</f>
        <v/>
      </c>
      <c r="H42" s="14" t="str">
        <f aca="false">IF($B42="","",IF($D42="Rebanada en mostrador",IFERROR(VLOOKUP($B42,'Recetas y precios'!$A:$O,15,FALSE()),""),IFERROR(VLOOKUP($B42,'Recetas y precios'!$A:$M,13,FALSE()),"")))</f>
        <v/>
      </c>
      <c r="I42" s="14" t="str">
        <f aca="false">IFERROR($E42*$H42,"")</f>
        <v/>
      </c>
      <c r="J42" s="14" t="str">
        <f aca="false">IFERROR($G42-$I42,"")</f>
        <v/>
      </c>
      <c r="K42" s="21" t="str">
        <f aca="false">IFERROR($J42/$G42,"")</f>
        <v/>
      </c>
      <c r="L42" s="28"/>
    </row>
    <row r="43" customFormat="false" ht="15" hidden="false" customHeight="false" outlineLevel="0" collapsed="false">
      <c r="A43" s="27"/>
      <c r="B43" s="28"/>
      <c r="C43" s="9" t="str">
        <f aca="false">IF($B43="","",IFERROR(VLOOKUP($B43,'Recetas y precios'!$A:$B,2,FALSE()),""))</f>
        <v/>
      </c>
      <c r="D43" s="28"/>
      <c r="E43" s="28"/>
      <c r="F43" s="14" t="str">
        <f aca="false">IF(OR($B43="",$D43=""),"",IFERROR(INDEX('Recetas y precios'!$P:$S,MATCH($B43,'Recetas y precios'!$A:$A,0),MATCH($D43,'Recetas y precios'!$P$5:$S$5,0)),""))</f>
        <v/>
      </c>
      <c r="G43" s="14" t="str">
        <f aca="false">IFERROR($E43*$F43,"")</f>
        <v/>
      </c>
      <c r="H43" s="14" t="str">
        <f aca="false">IF($B43="","",IF($D43="Rebanada en mostrador",IFERROR(VLOOKUP($B43,'Recetas y precios'!$A:$O,15,FALSE()),""),IFERROR(VLOOKUP($B43,'Recetas y precios'!$A:$M,13,FALSE()),"")))</f>
        <v/>
      </c>
      <c r="I43" s="14" t="str">
        <f aca="false">IFERROR($E43*$H43,"")</f>
        <v/>
      </c>
      <c r="J43" s="14" t="str">
        <f aca="false">IFERROR($G43-$I43,"")</f>
        <v/>
      </c>
      <c r="K43" s="21" t="str">
        <f aca="false">IFERROR($J43/$G43,"")</f>
        <v/>
      </c>
      <c r="L43" s="28"/>
    </row>
    <row r="44" customFormat="false" ht="15" hidden="false" customHeight="false" outlineLevel="0" collapsed="false">
      <c r="A44" s="27"/>
      <c r="B44" s="28"/>
      <c r="C44" s="9" t="str">
        <f aca="false">IF($B44="","",IFERROR(VLOOKUP($B44,'Recetas y precios'!$A:$B,2,FALSE()),""))</f>
        <v/>
      </c>
      <c r="D44" s="28"/>
      <c r="E44" s="28"/>
      <c r="F44" s="14" t="str">
        <f aca="false">IF(OR($B44="",$D44=""),"",IFERROR(INDEX('Recetas y precios'!$P:$S,MATCH($B44,'Recetas y precios'!$A:$A,0),MATCH($D44,'Recetas y precios'!$P$5:$S$5,0)),""))</f>
        <v/>
      </c>
      <c r="G44" s="14" t="str">
        <f aca="false">IFERROR($E44*$F44,"")</f>
        <v/>
      </c>
      <c r="H44" s="14" t="str">
        <f aca="false">IF($B44="","",IF($D44="Rebanada en mostrador",IFERROR(VLOOKUP($B44,'Recetas y precios'!$A:$O,15,FALSE()),""),IFERROR(VLOOKUP($B44,'Recetas y precios'!$A:$M,13,FALSE()),"")))</f>
        <v/>
      </c>
      <c r="I44" s="14" t="str">
        <f aca="false">IFERROR($E44*$H44,"")</f>
        <v/>
      </c>
      <c r="J44" s="14" t="str">
        <f aca="false">IFERROR($G44-$I44,"")</f>
        <v/>
      </c>
      <c r="K44" s="21" t="str">
        <f aca="false">IFERROR($J44/$G44,"")</f>
        <v/>
      </c>
      <c r="L44" s="28"/>
    </row>
    <row r="45" customFormat="false" ht="15" hidden="false" customHeight="false" outlineLevel="0" collapsed="false">
      <c r="A45" s="27"/>
      <c r="B45" s="28"/>
      <c r="C45" s="9" t="str">
        <f aca="false">IF($B45="","",IFERROR(VLOOKUP($B45,'Recetas y precios'!$A:$B,2,FALSE()),""))</f>
        <v/>
      </c>
      <c r="D45" s="28"/>
      <c r="E45" s="28"/>
      <c r="F45" s="14" t="str">
        <f aca="false">IF(OR($B45="",$D45=""),"",IFERROR(INDEX('Recetas y precios'!$P:$S,MATCH($B45,'Recetas y precios'!$A:$A,0),MATCH($D45,'Recetas y precios'!$P$5:$S$5,0)),""))</f>
        <v/>
      </c>
      <c r="G45" s="14" t="str">
        <f aca="false">IFERROR($E45*$F45,"")</f>
        <v/>
      </c>
      <c r="H45" s="14" t="str">
        <f aca="false">IF($B45="","",IF($D45="Rebanada en mostrador",IFERROR(VLOOKUP($B45,'Recetas y precios'!$A:$O,15,FALSE()),""),IFERROR(VLOOKUP($B45,'Recetas y precios'!$A:$M,13,FALSE()),"")))</f>
        <v/>
      </c>
      <c r="I45" s="14" t="str">
        <f aca="false">IFERROR($E45*$H45,"")</f>
        <v/>
      </c>
      <c r="J45" s="14" t="str">
        <f aca="false">IFERROR($G45-$I45,"")</f>
        <v/>
      </c>
      <c r="K45" s="21" t="str">
        <f aca="false">IFERROR($J45/$G45,"")</f>
        <v/>
      </c>
      <c r="L45" s="28"/>
    </row>
    <row r="46" customFormat="false" ht="15" hidden="false" customHeight="false" outlineLevel="0" collapsed="false">
      <c r="A46" s="27"/>
      <c r="B46" s="28"/>
      <c r="C46" s="9" t="str">
        <f aca="false">IF($B46="","",IFERROR(VLOOKUP($B46,'Recetas y precios'!$A:$B,2,FALSE()),""))</f>
        <v/>
      </c>
      <c r="D46" s="28"/>
      <c r="E46" s="28"/>
      <c r="F46" s="14" t="str">
        <f aca="false">IF(OR($B46="",$D46=""),"",IFERROR(INDEX('Recetas y precios'!$P:$S,MATCH($B46,'Recetas y precios'!$A:$A,0),MATCH($D46,'Recetas y precios'!$P$5:$S$5,0)),""))</f>
        <v/>
      </c>
      <c r="G46" s="14" t="str">
        <f aca="false">IFERROR($E46*$F46,"")</f>
        <v/>
      </c>
      <c r="H46" s="14" t="str">
        <f aca="false">IF($B46="","",IF($D46="Rebanada en mostrador",IFERROR(VLOOKUP($B46,'Recetas y precios'!$A:$O,15,FALSE()),""),IFERROR(VLOOKUP($B46,'Recetas y precios'!$A:$M,13,FALSE()),"")))</f>
        <v/>
      </c>
      <c r="I46" s="14" t="str">
        <f aca="false">IFERROR($E46*$H46,"")</f>
        <v/>
      </c>
      <c r="J46" s="14" t="str">
        <f aca="false">IFERROR($G46-$I46,"")</f>
        <v/>
      </c>
      <c r="K46" s="21" t="str">
        <f aca="false">IFERROR($J46/$G46,"")</f>
        <v/>
      </c>
      <c r="L46" s="28"/>
    </row>
    <row r="47" customFormat="false" ht="15" hidden="false" customHeight="false" outlineLevel="0" collapsed="false">
      <c r="A47" s="27"/>
      <c r="B47" s="28"/>
      <c r="C47" s="9" t="str">
        <f aca="false">IF($B47="","",IFERROR(VLOOKUP($B47,'Recetas y precios'!$A:$B,2,FALSE()),""))</f>
        <v/>
      </c>
      <c r="D47" s="28"/>
      <c r="E47" s="28"/>
      <c r="F47" s="14" t="str">
        <f aca="false">IF(OR($B47="",$D47=""),"",IFERROR(INDEX('Recetas y precios'!$P:$S,MATCH($B47,'Recetas y precios'!$A:$A,0),MATCH($D47,'Recetas y precios'!$P$5:$S$5,0)),""))</f>
        <v/>
      </c>
      <c r="G47" s="14" t="str">
        <f aca="false">IFERROR($E47*$F47,"")</f>
        <v/>
      </c>
      <c r="H47" s="14" t="str">
        <f aca="false">IF($B47="","",IF($D47="Rebanada en mostrador",IFERROR(VLOOKUP($B47,'Recetas y precios'!$A:$O,15,FALSE()),""),IFERROR(VLOOKUP($B47,'Recetas y precios'!$A:$M,13,FALSE()),"")))</f>
        <v/>
      </c>
      <c r="I47" s="14" t="str">
        <f aca="false">IFERROR($E47*$H47,"")</f>
        <v/>
      </c>
      <c r="J47" s="14" t="str">
        <f aca="false">IFERROR($G47-$I47,"")</f>
        <v/>
      </c>
      <c r="K47" s="21" t="str">
        <f aca="false">IFERROR($J47/$G47,"")</f>
        <v/>
      </c>
      <c r="L47" s="28"/>
    </row>
    <row r="48" customFormat="false" ht="15" hidden="false" customHeight="false" outlineLevel="0" collapsed="false">
      <c r="A48" s="27"/>
      <c r="B48" s="28"/>
      <c r="C48" s="9" t="str">
        <f aca="false">IF($B48="","",IFERROR(VLOOKUP($B48,'Recetas y precios'!$A:$B,2,FALSE()),""))</f>
        <v/>
      </c>
      <c r="D48" s="28"/>
      <c r="E48" s="28"/>
      <c r="F48" s="14" t="str">
        <f aca="false">IF(OR($B48="",$D48=""),"",IFERROR(INDEX('Recetas y precios'!$P:$S,MATCH($B48,'Recetas y precios'!$A:$A,0),MATCH($D48,'Recetas y precios'!$P$5:$S$5,0)),""))</f>
        <v/>
      </c>
      <c r="G48" s="14" t="str">
        <f aca="false">IFERROR($E48*$F48,"")</f>
        <v/>
      </c>
      <c r="H48" s="14" t="str">
        <f aca="false">IF($B48="","",IF($D48="Rebanada en mostrador",IFERROR(VLOOKUP($B48,'Recetas y precios'!$A:$O,15,FALSE()),""),IFERROR(VLOOKUP($B48,'Recetas y precios'!$A:$M,13,FALSE()),"")))</f>
        <v/>
      </c>
      <c r="I48" s="14" t="str">
        <f aca="false">IFERROR($E48*$H48,"")</f>
        <v/>
      </c>
      <c r="J48" s="14" t="str">
        <f aca="false">IFERROR($G48-$I48,"")</f>
        <v/>
      </c>
      <c r="K48" s="21" t="str">
        <f aca="false">IFERROR($J48/$G48,"")</f>
        <v/>
      </c>
      <c r="L48" s="28"/>
    </row>
    <row r="49" customFormat="false" ht="15" hidden="false" customHeight="false" outlineLevel="0" collapsed="false">
      <c r="A49" s="27"/>
      <c r="B49" s="28"/>
      <c r="C49" s="9" t="str">
        <f aca="false">IF($B49="","",IFERROR(VLOOKUP($B49,'Recetas y precios'!$A:$B,2,FALSE()),""))</f>
        <v/>
      </c>
      <c r="D49" s="28"/>
      <c r="E49" s="28"/>
      <c r="F49" s="14" t="str">
        <f aca="false">IF(OR($B49="",$D49=""),"",IFERROR(INDEX('Recetas y precios'!$P:$S,MATCH($B49,'Recetas y precios'!$A:$A,0),MATCH($D49,'Recetas y precios'!$P$5:$S$5,0)),""))</f>
        <v/>
      </c>
      <c r="G49" s="14" t="str">
        <f aca="false">IFERROR($E49*$F49,"")</f>
        <v/>
      </c>
      <c r="H49" s="14" t="str">
        <f aca="false">IF($B49="","",IF($D49="Rebanada en mostrador",IFERROR(VLOOKUP($B49,'Recetas y precios'!$A:$O,15,FALSE()),""),IFERROR(VLOOKUP($B49,'Recetas y precios'!$A:$M,13,FALSE()),"")))</f>
        <v/>
      </c>
      <c r="I49" s="14" t="str">
        <f aca="false">IFERROR($E49*$H49,"")</f>
        <v/>
      </c>
      <c r="J49" s="14" t="str">
        <f aca="false">IFERROR($G49-$I49,"")</f>
        <v/>
      </c>
      <c r="K49" s="21" t="str">
        <f aca="false">IFERROR($J49/$G49,"")</f>
        <v/>
      </c>
      <c r="L49" s="28"/>
    </row>
    <row r="50" customFormat="false" ht="15" hidden="false" customHeight="false" outlineLevel="0" collapsed="false">
      <c r="A50" s="27"/>
      <c r="B50" s="28"/>
      <c r="C50" s="9" t="str">
        <f aca="false">IF($B50="","",IFERROR(VLOOKUP($B50,'Recetas y precios'!$A:$B,2,FALSE()),""))</f>
        <v/>
      </c>
      <c r="D50" s="28"/>
      <c r="E50" s="28"/>
      <c r="F50" s="14" t="str">
        <f aca="false">IF(OR($B50="",$D50=""),"",IFERROR(INDEX('Recetas y precios'!$P:$S,MATCH($B50,'Recetas y precios'!$A:$A,0),MATCH($D50,'Recetas y precios'!$P$5:$S$5,0)),""))</f>
        <v/>
      </c>
      <c r="G50" s="14" t="str">
        <f aca="false">IFERROR($E50*$F50,"")</f>
        <v/>
      </c>
      <c r="H50" s="14" t="str">
        <f aca="false">IF($B50="","",IF($D50="Rebanada en mostrador",IFERROR(VLOOKUP($B50,'Recetas y precios'!$A:$O,15,FALSE()),""),IFERROR(VLOOKUP($B50,'Recetas y precios'!$A:$M,13,FALSE()),"")))</f>
        <v/>
      </c>
      <c r="I50" s="14" t="str">
        <f aca="false">IFERROR($E50*$H50,"")</f>
        <v/>
      </c>
      <c r="J50" s="14" t="str">
        <f aca="false">IFERROR($G50-$I50,"")</f>
        <v/>
      </c>
      <c r="K50" s="21" t="str">
        <f aca="false">IFERROR($J50/$G50,"")</f>
        <v/>
      </c>
      <c r="L50" s="28"/>
    </row>
    <row r="51" customFormat="false" ht="15" hidden="false" customHeight="false" outlineLevel="0" collapsed="false">
      <c r="A51" s="27"/>
      <c r="B51" s="28"/>
      <c r="C51" s="9" t="str">
        <f aca="false">IF($B51="","",IFERROR(VLOOKUP($B51,'Recetas y precios'!$A:$B,2,FALSE()),""))</f>
        <v/>
      </c>
      <c r="D51" s="28"/>
      <c r="E51" s="28"/>
      <c r="F51" s="14" t="str">
        <f aca="false">IF(OR($B51="",$D51=""),"",IFERROR(INDEX('Recetas y precios'!$P:$S,MATCH($B51,'Recetas y precios'!$A:$A,0),MATCH($D51,'Recetas y precios'!$P$5:$S$5,0)),""))</f>
        <v/>
      </c>
      <c r="G51" s="14" t="str">
        <f aca="false">IFERROR($E51*$F51,"")</f>
        <v/>
      </c>
      <c r="H51" s="14" t="str">
        <f aca="false">IF($B51="","",IF($D51="Rebanada en mostrador",IFERROR(VLOOKUP($B51,'Recetas y precios'!$A:$O,15,FALSE()),""),IFERROR(VLOOKUP($B51,'Recetas y precios'!$A:$M,13,FALSE()),"")))</f>
        <v/>
      </c>
      <c r="I51" s="14" t="str">
        <f aca="false">IFERROR($E51*$H51,"")</f>
        <v/>
      </c>
      <c r="J51" s="14" t="str">
        <f aca="false">IFERROR($G51-$I51,"")</f>
        <v/>
      </c>
      <c r="K51" s="21" t="str">
        <f aca="false">IFERROR($J51/$G51,"")</f>
        <v/>
      </c>
      <c r="L51" s="28"/>
    </row>
    <row r="52" customFormat="false" ht="15" hidden="false" customHeight="false" outlineLevel="0" collapsed="false">
      <c r="A52" s="27"/>
      <c r="B52" s="28"/>
      <c r="C52" s="9" t="str">
        <f aca="false">IF($B52="","",IFERROR(VLOOKUP($B52,'Recetas y precios'!$A:$B,2,FALSE()),""))</f>
        <v/>
      </c>
      <c r="D52" s="28"/>
      <c r="E52" s="28"/>
      <c r="F52" s="14" t="str">
        <f aca="false">IF(OR($B52="",$D52=""),"",IFERROR(INDEX('Recetas y precios'!$P:$S,MATCH($B52,'Recetas y precios'!$A:$A,0),MATCH($D52,'Recetas y precios'!$P$5:$S$5,0)),""))</f>
        <v/>
      </c>
      <c r="G52" s="14" t="str">
        <f aca="false">IFERROR($E52*$F52,"")</f>
        <v/>
      </c>
      <c r="H52" s="14" t="str">
        <f aca="false">IF($B52="","",IF($D52="Rebanada en mostrador",IFERROR(VLOOKUP($B52,'Recetas y precios'!$A:$O,15,FALSE()),""),IFERROR(VLOOKUP($B52,'Recetas y precios'!$A:$M,13,FALSE()),"")))</f>
        <v/>
      </c>
      <c r="I52" s="14" t="str">
        <f aca="false">IFERROR($E52*$H52,"")</f>
        <v/>
      </c>
      <c r="J52" s="14" t="str">
        <f aca="false">IFERROR($G52-$I52,"")</f>
        <v/>
      </c>
      <c r="K52" s="21" t="str">
        <f aca="false">IFERROR($J52/$G52,"")</f>
        <v/>
      </c>
      <c r="L52" s="28"/>
    </row>
    <row r="53" customFormat="false" ht="15" hidden="false" customHeight="false" outlineLevel="0" collapsed="false">
      <c r="A53" s="27"/>
      <c r="B53" s="28"/>
      <c r="C53" s="9" t="str">
        <f aca="false">IF($B53="","",IFERROR(VLOOKUP($B53,'Recetas y precios'!$A:$B,2,FALSE()),""))</f>
        <v/>
      </c>
      <c r="D53" s="28"/>
      <c r="E53" s="28"/>
      <c r="F53" s="14" t="str">
        <f aca="false">IF(OR($B53="",$D53=""),"",IFERROR(INDEX('Recetas y precios'!$P:$S,MATCH($B53,'Recetas y precios'!$A:$A,0),MATCH($D53,'Recetas y precios'!$P$5:$S$5,0)),""))</f>
        <v/>
      </c>
      <c r="G53" s="14" t="str">
        <f aca="false">IFERROR($E53*$F53,"")</f>
        <v/>
      </c>
      <c r="H53" s="14" t="str">
        <f aca="false">IF($B53="","",IF($D53="Rebanada en mostrador",IFERROR(VLOOKUP($B53,'Recetas y precios'!$A:$O,15,FALSE()),""),IFERROR(VLOOKUP($B53,'Recetas y precios'!$A:$M,13,FALSE()),"")))</f>
        <v/>
      </c>
      <c r="I53" s="14" t="str">
        <f aca="false">IFERROR($E53*$H53,"")</f>
        <v/>
      </c>
      <c r="J53" s="14" t="str">
        <f aca="false">IFERROR($G53-$I53,"")</f>
        <v/>
      </c>
      <c r="K53" s="21" t="str">
        <f aca="false">IFERROR($J53/$G53,"")</f>
        <v/>
      </c>
      <c r="L53" s="28"/>
    </row>
    <row r="54" customFormat="false" ht="15" hidden="false" customHeight="false" outlineLevel="0" collapsed="false">
      <c r="A54" s="27"/>
      <c r="B54" s="28"/>
      <c r="C54" s="9" t="str">
        <f aca="false">IF($B54="","",IFERROR(VLOOKUP($B54,'Recetas y precios'!$A:$B,2,FALSE()),""))</f>
        <v/>
      </c>
      <c r="D54" s="28"/>
      <c r="E54" s="28"/>
      <c r="F54" s="14" t="str">
        <f aca="false">IF(OR($B54="",$D54=""),"",IFERROR(INDEX('Recetas y precios'!$P:$S,MATCH($B54,'Recetas y precios'!$A:$A,0),MATCH($D54,'Recetas y precios'!$P$5:$S$5,0)),""))</f>
        <v/>
      </c>
      <c r="G54" s="14" t="str">
        <f aca="false">IFERROR($E54*$F54,"")</f>
        <v/>
      </c>
      <c r="H54" s="14" t="str">
        <f aca="false">IF($B54="","",IF($D54="Rebanada en mostrador",IFERROR(VLOOKUP($B54,'Recetas y precios'!$A:$O,15,FALSE()),""),IFERROR(VLOOKUP($B54,'Recetas y precios'!$A:$M,13,FALSE()),"")))</f>
        <v/>
      </c>
      <c r="I54" s="14" t="str">
        <f aca="false">IFERROR($E54*$H54,"")</f>
        <v/>
      </c>
      <c r="J54" s="14" t="str">
        <f aca="false">IFERROR($G54-$I54,"")</f>
        <v/>
      </c>
      <c r="K54" s="21" t="str">
        <f aca="false">IFERROR($J54/$G54,"")</f>
        <v/>
      </c>
      <c r="L54" s="28"/>
    </row>
    <row r="55" customFormat="false" ht="15" hidden="false" customHeight="false" outlineLevel="0" collapsed="false">
      <c r="A55" s="27"/>
      <c r="B55" s="28"/>
      <c r="C55" s="9" t="str">
        <f aca="false">IF($B55="","",IFERROR(VLOOKUP($B55,'Recetas y precios'!$A:$B,2,FALSE()),""))</f>
        <v/>
      </c>
      <c r="D55" s="28"/>
      <c r="E55" s="28"/>
      <c r="F55" s="14" t="str">
        <f aca="false">IF(OR($B55="",$D55=""),"",IFERROR(INDEX('Recetas y precios'!$P:$S,MATCH($B55,'Recetas y precios'!$A:$A,0),MATCH($D55,'Recetas y precios'!$P$5:$S$5,0)),""))</f>
        <v/>
      </c>
      <c r="G55" s="14" t="str">
        <f aca="false">IFERROR($E55*$F55,"")</f>
        <v/>
      </c>
      <c r="H55" s="14" t="str">
        <f aca="false">IF($B55="","",IF($D55="Rebanada en mostrador",IFERROR(VLOOKUP($B55,'Recetas y precios'!$A:$O,15,FALSE()),""),IFERROR(VLOOKUP($B55,'Recetas y precios'!$A:$M,13,FALSE()),"")))</f>
        <v/>
      </c>
      <c r="I55" s="14" t="str">
        <f aca="false">IFERROR($E55*$H55,"")</f>
        <v/>
      </c>
      <c r="J55" s="14" t="str">
        <f aca="false">IFERROR($G55-$I55,"")</f>
        <v/>
      </c>
      <c r="K55" s="21" t="str">
        <f aca="false">IFERROR($J55/$G55,"")</f>
        <v/>
      </c>
      <c r="L55" s="28"/>
    </row>
    <row r="56" customFormat="false" ht="15" hidden="false" customHeight="false" outlineLevel="0" collapsed="false">
      <c r="A56" s="27"/>
      <c r="B56" s="28"/>
      <c r="C56" s="9" t="str">
        <f aca="false">IF($B56="","",IFERROR(VLOOKUP($B56,'Recetas y precios'!$A:$B,2,FALSE()),""))</f>
        <v/>
      </c>
      <c r="D56" s="28"/>
      <c r="E56" s="28"/>
      <c r="F56" s="14" t="str">
        <f aca="false">IF(OR($B56="",$D56=""),"",IFERROR(INDEX('Recetas y precios'!$P:$S,MATCH($B56,'Recetas y precios'!$A:$A,0),MATCH($D56,'Recetas y precios'!$P$5:$S$5,0)),""))</f>
        <v/>
      </c>
      <c r="G56" s="14" t="str">
        <f aca="false">IFERROR($E56*$F56,"")</f>
        <v/>
      </c>
      <c r="H56" s="14" t="str">
        <f aca="false">IF($B56="","",IF($D56="Rebanada en mostrador",IFERROR(VLOOKUP($B56,'Recetas y precios'!$A:$O,15,FALSE()),""),IFERROR(VLOOKUP($B56,'Recetas y precios'!$A:$M,13,FALSE()),"")))</f>
        <v/>
      </c>
      <c r="I56" s="14" t="str">
        <f aca="false">IFERROR($E56*$H56,"")</f>
        <v/>
      </c>
      <c r="J56" s="14" t="str">
        <f aca="false">IFERROR($G56-$I56,"")</f>
        <v/>
      </c>
      <c r="K56" s="21" t="str">
        <f aca="false">IFERROR($J56/$G56,"")</f>
        <v/>
      </c>
      <c r="L56" s="28"/>
    </row>
    <row r="57" customFormat="false" ht="15" hidden="false" customHeight="false" outlineLevel="0" collapsed="false">
      <c r="A57" s="27"/>
      <c r="B57" s="28"/>
      <c r="C57" s="9" t="str">
        <f aca="false">IF($B57="","",IFERROR(VLOOKUP($B57,'Recetas y precios'!$A:$B,2,FALSE()),""))</f>
        <v/>
      </c>
      <c r="D57" s="28"/>
      <c r="E57" s="28"/>
      <c r="F57" s="14" t="str">
        <f aca="false">IF(OR($B57="",$D57=""),"",IFERROR(INDEX('Recetas y precios'!$P:$S,MATCH($B57,'Recetas y precios'!$A:$A,0),MATCH($D57,'Recetas y precios'!$P$5:$S$5,0)),""))</f>
        <v/>
      </c>
      <c r="G57" s="14" t="str">
        <f aca="false">IFERROR($E57*$F57,"")</f>
        <v/>
      </c>
      <c r="H57" s="14" t="str">
        <f aca="false">IF($B57="","",IF($D57="Rebanada en mostrador",IFERROR(VLOOKUP($B57,'Recetas y precios'!$A:$O,15,FALSE()),""),IFERROR(VLOOKUP($B57,'Recetas y precios'!$A:$M,13,FALSE()),"")))</f>
        <v/>
      </c>
      <c r="I57" s="14" t="str">
        <f aca="false">IFERROR($E57*$H57,"")</f>
        <v/>
      </c>
      <c r="J57" s="14" t="str">
        <f aca="false">IFERROR($G57-$I57,"")</f>
        <v/>
      </c>
      <c r="K57" s="21" t="str">
        <f aca="false">IFERROR($J57/$G57,"")</f>
        <v/>
      </c>
      <c r="L57" s="28"/>
    </row>
    <row r="58" customFormat="false" ht="15" hidden="false" customHeight="false" outlineLevel="0" collapsed="false">
      <c r="A58" s="27"/>
      <c r="B58" s="28"/>
      <c r="C58" s="9" t="str">
        <f aca="false">IF($B58="","",IFERROR(VLOOKUP($B58,'Recetas y precios'!$A:$B,2,FALSE()),""))</f>
        <v/>
      </c>
      <c r="D58" s="28"/>
      <c r="E58" s="28"/>
      <c r="F58" s="14" t="str">
        <f aca="false">IF(OR($B58="",$D58=""),"",IFERROR(INDEX('Recetas y precios'!$P:$S,MATCH($B58,'Recetas y precios'!$A:$A,0),MATCH($D58,'Recetas y precios'!$P$5:$S$5,0)),""))</f>
        <v/>
      </c>
      <c r="G58" s="14" t="str">
        <f aca="false">IFERROR($E58*$F58,"")</f>
        <v/>
      </c>
      <c r="H58" s="14" t="str">
        <f aca="false">IF($B58="","",IF($D58="Rebanada en mostrador",IFERROR(VLOOKUP($B58,'Recetas y precios'!$A:$O,15,FALSE()),""),IFERROR(VLOOKUP($B58,'Recetas y precios'!$A:$M,13,FALSE()),"")))</f>
        <v/>
      </c>
      <c r="I58" s="14" t="str">
        <f aca="false">IFERROR($E58*$H58,"")</f>
        <v/>
      </c>
      <c r="J58" s="14" t="str">
        <f aca="false">IFERROR($G58-$I58,"")</f>
        <v/>
      </c>
      <c r="K58" s="21" t="str">
        <f aca="false">IFERROR($J58/$G58,"")</f>
        <v/>
      </c>
      <c r="L58" s="28"/>
    </row>
    <row r="59" customFormat="false" ht="15" hidden="false" customHeight="false" outlineLevel="0" collapsed="false">
      <c r="A59" s="27"/>
      <c r="B59" s="28"/>
      <c r="C59" s="9" t="str">
        <f aca="false">IF($B59="","",IFERROR(VLOOKUP($B59,'Recetas y precios'!$A:$B,2,FALSE()),""))</f>
        <v/>
      </c>
      <c r="D59" s="28"/>
      <c r="E59" s="28"/>
      <c r="F59" s="14" t="str">
        <f aca="false">IF(OR($B59="",$D59=""),"",IFERROR(INDEX('Recetas y precios'!$P:$S,MATCH($B59,'Recetas y precios'!$A:$A,0),MATCH($D59,'Recetas y precios'!$P$5:$S$5,0)),""))</f>
        <v/>
      </c>
      <c r="G59" s="14" t="str">
        <f aca="false">IFERROR($E59*$F59,"")</f>
        <v/>
      </c>
      <c r="H59" s="14" t="str">
        <f aca="false">IF($B59="","",IF($D59="Rebanada en mostrador",IFERROR(VLOOKUP($B59,'Recetas y precios'!$A:$O,15,FALSE()),""),IFERROR(VLOOKUP($B59,'Recetas y precios'!$A:$M,13,FALSE()),"")))</f>
        <v/>
      </c>
      <c r="I59" s="14" t="str">
        <f aca="false">IFERROR($E59*$H59,"")</f>
        <v/>
      </c>
      <c r="J59" s="14" t="str">
        <f aca="false">IFERROR($G59-$I59,"")</f>
        <v/>
      </c>
      <c r="K59" s="21" t="str">
        <f aca="false">IFERROR($J59/$G59,"")</f>
        <v/>
      </c>
      <c r="L59" s="28"/>
    </row>
    <row r="60" customFormat="false" ht="15" hidden="false" customHeight="false" outlineLevel="0" collapsed="false">
      <c r="A60" s="27"/>
      <c r="B60" s="28"/>
      <c r="C60" s="9" t="str">
        <f aca="false">IF($B60="","",IFERROR(VLOOKUP($B60,'Recetas y precios'!$A:$B,2,FALSE()),""))</f>
        <v/>
      </c>
      <c r="D60" s="28"/>
      <c r="E60" s="28"/>
      <c r="F60" s="14" t="str">
        <f aca="false">IF(OR($B60="",$D60=""),"",IFERROR(INDEX('Recetas y precios'!$P:$S,MATCH($B60,'Recetas y precios'!$A:$A,0),MATCH($D60,'Recetas y precios'!$P$5:$S$5,0)),""))</f>
        <v/>
      </c>
      <c r="G60" s="14" t="str">
        <f aca="false">IFERROR($E60*$F60,"")</f>
        <v/>
      </c>
      <c r="H60" s="14" t="str">
        <f aca="false">IF($B60="","",IF($D60="Rebanada en mostrador",IFERROR(VLOOKUP($B60,'Recetas y precios'!$A:$O,15,FALSE()),""),IFERROR(VLOOKUP($B60,'Recetas y precios'!$A:$M,13,FALSE()),"")))</f>
        <v/>
      </c>
      <c r="I60" s="14" t="str">
        <f aca="false">IFERROR($E60*$H60,"")</f>
        <v/>
      </c>
      <c r="J60" s="14" t="str">
        <f aca="false">IFERROR($G60-$I60,"")</f>
        <v/>
      </c>
      <c r="K60" s="21" t="str">
        <f aca="false">IFERROR($J60/$G60,"")</f>
        <v/>
      </c>
      <c r="L60" s="28"/>
    </row>
    <row r="61" customFormat="false" ht="15" hidden="false" customHeight="false" outlineLevel="0" collapsed="false">
      <c r="A61" s="27"/>
      <c r="B61" s="28"/>
      <c r="C61" s="9" t="str">
        <f aca="false">IF($B61="","",IFERROR(VLOOKUP($B61,'Recetas y precios'!$A:$B,2,FALSE()),""))</f>
        <v/>
      </c>
      <c r="D61" s="28"/>
      <c r="E61" s="28"/>
      <c r="F61" s="14" t="str">
        <f aca="false">IF(OR($B61="",$D61=""),"",IFERROR(INDEX('Recetas y precios'!$P:$S,MATCH($B61,'Recetas y precios'!$A:$A,0),MATCH($D61,'Recetas y precios'!$P$5:$S$5,0)),""))</f>
        <v/>
      </c>
      <c r="G61" s="14" t="str">
        <f aca="false">IFERROR($E61*$F61,"")</f>
        <v/>
      </c>
      <c r="H61" s="14" t="str">
        <f aca="false">IF($B61="","",IF($D61="Rebanada en mostrador",IFERROR(VLOOKUP($B61,'Recetas y precios'!$A:$O,15,FALSE()),""),IFERROR(VLOOKUP($B61,'Recetas y precios'!$A:$M,13,FALSE()),"")))</f>
        <v/>
      </c>
      <c r="I61" s="14" t="str">
        <f aca="false">IFERROR($E61*$H61,"")</f>
        <v/>
      </c>
      <c r="J61" s="14" t="str">
        <f aca="false">IFERROR($G61-$I61,"")</f>
        <v/>
      </c>
      <c r="K61" s="21" t="str">
        <f aca="false">IFERROR($J61/$G61,"")</f>
        <v/>
      </c>
      <c r="L61" s="28"/>
    </row>
    <row r="62" customFormat="false" ht="15" hidden="false" customHeight="false" outlineLevel="0" collapsed="false">
      <c r="A62" s="27"/>
      <c r="B62" s="28"/>
      <c r="C62" s="9" t="str">
        <f aca="false">IF($B62="","",IFERROR(VLOOKUP($B62,'Recetas y precios'!$A:$B,2,FALSE()),""))</f>
        <v/>
      </c>
      <c r="D62" s="28"/>
      <c r="E62" s="28"/>
      <c r="F62" s="14" t="str">
        <f aca="false">IF(OR($B62="",$D62=""),"",IFERROR(INDEX('Recetas y precios'!$P:$S,MATCH($B62,'Recetas y precios'!$A:$A,0),MATCH($D62,'Recetas y precios'!$P$5:$S$5,0)),""))</f>
        <v/>
      </c>
      <c r="G62" s="14" t="str">
        <f aca="false">IFERROR($E62*$F62,"")</f>
        <v/>
      </c>
      <c r="H62" s="14" t="str">
        <f aca="false">IF($B62="","",IF($D62="Rebanada en mostrador",IFERROR(VLOOKUP($B62,'Recetas y precios'!$A:$O,15,FALSE()),""),IFERROR(VLOOKUP($B62,'Recetas y precios'!$A:$M,13,FALSE()),"")))</f>
        <v/>
      </c>
      <c r="I62" s="14" t="str">
        <f aca="false">IFERROR($E62*$H62,"")</f>
        <v/>
      </c>
      <c r="J62" s="14" t="str">
        <f aca="false">IFERROR($G62-$I62,"")</f>
        <v/>
      </c>
      <c r="K62" s="21" t="str">
        <f aca="false">IFERROR($J62/$G62,"")</f>
        <v/>
      </c>
      <c r="L62" s="28"/>
    </row>
    <row r="63" customFormat="false" ht="15" hidden="false" customHeight="false" outlineLevel="0" collapsed="false">
      <c r="A63" s="27"/>
      <c r="B63" s="28"/>
      <c r="C63" s="9" t="str">
        <f aca="false">IF($B63="","",IFERROR(VLOOKUP($B63,'Recetas y precios'!$A:$B,2,FALSE()),""))</f>
        <v/>
      </c>
      <c r="D63" s="28"/>
      <c r="E63" s="28"/>
      <c r="F63" s="14" t="str">
        <f aca="false">IF(OR($B63="",$D63=""),"",IFERROR(INDEX('Recetas y precios'!$P:$S,MATCH($B63,'Recetas y precios'!$A:$A,0),MATCH($D63,'Recetas y precios'!$P$5:$S$5,0)),""))</f>
        <v/>
      </c>
      <c r="G63" s="14" t="str">
        <f aca="false">IFERROR($E63*$F63,"")</f>
        <v/>
      </c>
      <c r="H63" s="14" t="str">
        <f aca="false">IF($B63="","",IF($D63="Rebanada en mostrador",IFERROR(VLOOKUP($B63,'Recetas y precios'!$A:$O,15,FALSE()),""),IFERROR(VLOOKUP($B63,'Recetas y precios'!$A:$M,13,FALSE()),"")))</f>
        <v/>
      </c>
      <c r="I63" s="14" t="str">
        <f aca="false">IFERROR($E63*$H63,"")</f>
        <v/>
      </c>
      <c r="J63" s="14" t="str">
        <f aca="false">IFERROR($G63-$I63,"")</f>
        <v/>
      </c>
      <c r="K63" s="21" t="str">
        <f aca="false">IFERROR($J63/$G63,"")</f>
        <v/>
      </c>
      <c r="L63" s="28"/>
    </row>
    <row r="64" customFormat="false" ht="15" hidden="false" customHeight="false" outlineLevel="0" collapsed="false">
      <c r="A64" s="27"/>
      <c r="B64" s="28"/>
      <c r="C64" s="9" t="str">
        <f aca="false">IF($B64="","",IFERROR(VLOOKUP($B64,'Recetas y precios'!$A:$B,2,FALSE()),""))</f>
        <v/>
      </c>
      <c r="D64" s="28"/>
      <c r="E64" s="28"/>
      <c r="F64" s="14" t="str">
        <f aca="false">IF(OR($B64="",$D64=""),"",IFERROR(INDEX('Recetas y precios'!$P:$S,MATCH($B64,'Recetas y precios'!$A:$A,0),MATCH($D64,'Recetas y precios'!$P$5:$S$5,0)),""))</f>
        <v/>
      </c>
      <c r="G64" s="14" t="str">
        <f aca="false">IFERROR($E64*$F64,"")</f>
        <v/>
      </c>
      <c r="H64" s="14" t="str">
        <f aca="false">IF($B64="","",IF($D64="Rebanada en mostrador",IFERROR(VLOOKUP($B64,'Recetas y precios'!$A:$O,15,FALSE()),""),IFERROR(VLOOKUP($B64,'Recetas y precios'!$A:$M,13,FALSE()),"")))</f>
        <v/>
      </c>
      <c r="I64" s="14" t="str">
        <f aca="false">IFERROR($E64*$H64,"")</f>
        <v/>
      </c>
      <c r="J64" s="14" t="str">
        <f aca="false">IFERROR($G64-$I64,"")</f>
        <v/>
      </c>
      <c r="K64" s="21" t="str">
        <f aca="false">IFERROR($J64/$G64,"")</f>
        <v/>
      </c>
      <c r="L64" s="28"/>
    </row>
    <row r="65" customFormat="false" ht="15" hidden="false" customHeight="false" outlineLevel="0" collapsed="false">
      <c r="A65" s="27"/>
      <c r="B65" s="28"/>
      <c r="C65" s="9" t="str">
        <f aca="false">IF($B65="","",IFERROR(VLOOKUP($B65,'Recetas y precios'!$A:$B,2,FALSE()),""))</f>
        <v/>
      </c>
      <c r="D65" s="28"/>
      <c r="E65" s="28"/>
      <c r="F65" s="14" t="str">
        <f aca="false">IF(OR($B65="",$D65=""),"",IFERROR(INDEX('Recetas y precios'!$P:$S,MATCH($B65,'Recetas y precios'!$A:$A,0),MATCH($D65,'Recetas y precios'!$P$5:$S$5,0)),""))</f>
        <v/>
      </c>
      <c r="G65" s="14" t="str">
        <f aca="false">IFERROR($E65*$F65,"")</f>
        <v/>
      </c>
      <c r="H65" s="14" t="str">
        <f aca="false">IF($B65="","",IF($D65="Rebanada en mostrador",IFERROR(VLOOKUP($B65,'Recetas y precios'!$A:$O,15,FALSE()),""),IFERROR(VLOOKUP($B65,'Recetas y precios'!$A:$M,13,FALSE()),"")))</f>
        <v/>
      </c>
      <c r="I65" s="14" t="str">
        <f aca="false">IFERROR($E65*$H65,"")</f>
        <v/>
      </c>
      <c r="J65" s="14" t="str">
        <f aca="false">IFERROR($G65-$I65,"")</f>
        <v/>
      </c>
      <c r="K65" s="21" t="str">
        <f aca="false">IFERROR($J65/$G65,"")</f>
        <v/>
      </c>
      <c r="L65" s="28"/>
    </row>
    <row r="66" customFormat="false" ht="15" hidden="false" customHeight="false" outlineLevel="0" collapsed="false">
      <c r="A66" s="27"/>
      <c r="B66" s="28"/>
      <c r="C66" s="9" t="str">
        <f aca="false">IF($B66="","",IFERROR(VLOOKUP($B66,'Recetas y precios'!$A:$B,2,FALSE()),""))</f>
        <v/>
      </c>
      <c r="D66" s="28"/>
      <c r="E66" s="28"/>
      <c r="F66" s="14" t="str">
        <f aca="false">IF(OR($B66="",$D66=""),"",IFERROR(INDEX('Recetas y precios'!$P:$S,MATCH($B66,'Recetas y precios'!$A:$A,0),MATCH($D66,'Recetas y precios'!$P$5:$S$5,0)),""))</f>
        <v/>
      </c>
      <c r="G66" s="14" t="str">
        <f aca="false">IFERROR($E66*$F66,"")</f>
        <v/>
      </c>
      <c r="H66" s="14" t="str">
        <f aca="false">IF($B66="","",IF($D66="Rebanada en mostrador",IFERROR(VLOOKUP($B66,'Recetas y precios'!$A:$O,15,FALSE()),""),IFERROR(VLOOKUP($B66,'Recetas y precios'!$A:$M,13,FALSE()),"")))</f>
        <v/>
      </c>
      <c r="I66" s="14" t="str">
        <f aca="false">IFERROR($E66*$H66,"")</f>
        <v/>
      </c>
      <c r="J66" s="14" t="str">
        <f aca="false">IFERROR($G66-$I66,"")</f>
        <v/>
      </c>
      <c r="K66" s="21" t="str">
        <f aca="false">IFERROR($J66/$G66,"")</f>
        <v/>
      </c>
      <c r="L66" s="28"/>
    </row>
    <row r="67" customFormat="false" ht="15" hidden="false" customHeight="false" outlineLevel="0" collapsed="false">
      <c r="A67" s="27"/>
      <c r="B67" s="28"/>
      <c r="C67" s="9" t="str">
        <f aca="false">IF($B67="","",IFERROR(VLOOKUP($B67,'Recetas y precios'!$A:$B,2,FALSE()),""))</f>
        <v/>
      </c>
      <c r="D67" s="28"/>
      <c r="E67" s="28"/>
      <c r="F67" s="14" t="str">
        <f aca="false">IF(OR($B67="",$D67=""),"",IFERROR(INDEX('Recetas y precios'!$P:$S,MATCH($B67,'Recetas y precios'!$A:$A,0),MATCH($D67,'Recetas y precios'!$P$5:$S$5,0)),""))</f>
        <v/>
      </c>
      <c r="G67" s="14" t="str">
        <f aca="false">IFERROR($E67*$F67,"")</f>
        <v/>
      </c>
      <c r="H67" s="14" t="str">
        <f aca="false">IF($B67="","",IF($D67="Rebanada en mostrador",IFERROR(VLOOKUP($B67,'Recetas y precios'!$A:$O,15,FALSE()),""),IFERROR(VLOOKUP($B67,'Recetas y precios'!$A:$M,13,FALSE()),"")))</f>
        <v/>
      </c>
      <c r="I67" s="14" t="str">
        <f aca="false">IFERROR($E67*$H67,"")</f>
        <v/>
      </c>
      <c r="J67" s="14" t="str">
        <f aca="false">IFERROR($G67-$I67,"")</f>
        <v/>
      </c>
      <c r="K67" s="21" t="str">
        <f aca="false">IFERROR($J67/$G67,"")</f>
        <v/>
      </c>
      <c r="L67" s="28"/>
    </row>
    <row r="68" customFormat="false" ht="15" hidden="false" customHeight="false" outlineLevel="0" collapsed="false">
      <c r="A68" s="27"/>
      <c r="B68" s="28"/>
      <c r="C68" s="9" t="str">
        <f aca="false">IF($B68="","",IFERROR(VLOOKUP($B68,'Recetas y precios'!$A:$B,2,FALSE()),""))</f>
        <v/>
      </c>
      <c r="D68" s="28"/>
      <c r="E68" s="28"/>
      <c r="F68" s="14" t="str">
        <f aca="false">IF(OR($B68="",$D68=""),"",IFERROR(INDEX('Recetas y precios'!$P:$S,MATCH($B68,'Recetas y precios'!$A:$A,0),MATCH($D68,'Recetas y precios'!$P$5:$S$5,0)),""))</f>
        <v/>
      </c>
      <c r="G68" s="14" t="str">
        <f aca="false">IFERROR($E68*$F68,"")</f>
        <v/>
      </c>
      <c r="H68" s="14" t="str">
        <f aca="false">IF($B68="","",IF($D68="Rebanada en mostrador",IFERROR(VLOOKUP($B68,'Recetas y precios'!$A:$O,15,FALSE()),""),IFERROR(VLOOKUP($B68,'Recetas y precios'!$A:$M,13,FALSE()),"")))</f>
        <v/>
      </c>
      <c r="I68" s="14" t="str">
        <f aca="false">IFERROR($E68*$H68,"")</f>
        <v/>
      </c>
      <c r="J68" s="14" t="str">
        <f aca="false">IFERROR($G68-$I68,"")</f>
        <v/>
      </c>
      <c r="K68" s="21" t="str">
        <f aca="false">IFERROR($J68/$G68,"")</f>
        <v/>
      </c>
      <c r="L68" s="28"/>
    </row>
    <row r="69" customFormat="false" ht="15" hidden="false" customHeight="false" outlineLevel="0" collapsed="false">
      <c r="A69" s="27"/>
      <c r="B69" s="28"/>
      <c r="C69" s="9" t="str">
        <f aca="false">IF($B69="","",IFERROR(VLOOKUP($B69,'Recetas y precios'!$A:$B,2,FALSE()),""))</f>
        <v/>
      </c>
      <c r="D69" s="28"/>
      <c r="E69" s="28"/>
      <c r="F69" s="14" t="str">
        <f aca="false">IF(OR($B69="",$D69=""),"",IFERROR(INDEX('Recetas y precios'!$P:$S,MATCH($B69,'Recetas y precios'!$A:$A,0),MATCH($D69,'Recetas y precios'!$P$5:$S$5,0)),""))</f>
        <v/>
      </c>
      <c r="G69" s="14" t="str">
        <f aca="false">IFERROR($E69*$F69,"")</f>
        <v/>
      </c>
      <c r="H69" s="14" t="str">
        <f aca="false">IF($B69="","",IF($D69="Rebanada en mostrador",IFERROR(VLOOKUP($B69,'Recetas y precios'!$A:$O,15,FALSE()),""),IFERROR(VLOOKUP($B69,'Recetas y precios'!$A:$M,13,FALSE()),"")))</f>
        <v/>
      </c>
      <c r="I69" s="14" t="str">
        <f aca="false">IFERROR($E69*$H69,"")</f>
        <v/>
      </c>
      <c r="J69" s="14" t="str">
        <f aca="false">IFERROR($G69-$I69,"")</f>
        <v/>
      </c>
      <c r="K69" s="21" t="str">
        <f aca="false">IFERROR($J69/$G69,"")</f>
        <v/>
      </c>
      <c r="L69" s="28"/>
    </row>
    <row r="70" customFormat="false" ht="15" hidden="false" customHeight="false" outlineLevel="0" collapsed="false">
      <c r="A70" s="27"/>
      <c r="B70" s="28"/>
      <c r="C70" s="9" t="str">
        <f aca="false">IF($B70="","",IFERROR(VLOOKUP($B70,'Recetas y precios'!$A:$B,2,FALSE()),""))</f>
        <v/>
      </c>
      <c r="D70" s="28"/>
      <c r="E70" s="28"/>
      <c r="F70" s="14" t="str">
        <f aca="false">IF(OR($B70="",$D70=""),"",IFERROR(INDEX('Recetas y precios'!$P:$S,MATCH($B70,'Recetas y precios'!$A:$A,0),MATCH($D70,'Recetas y precios'!$P$5:$S$5,0)),""))</f>
        <v/>
      </c>
      <c r="G70" s="14" t="str">
        <f aca="false">IFERROR($E70*$F70,"")</f>
        <v/>
      </c>
      <c r="H70" s="14" t="str">
        <f aca="false">IF($B70="","",IF($D70="Rebanada en mostrador",IFERROR(VLOOKUP($B70,'Recetas y precios'!$A:$O,15,FALSE()),""),IFERROR(VLOOKUP($B70,'Recetas y precios'!$A:$M,13,FALSE()),"")))</f>
        <v/>
      </c>
      <c r="I70" s="14" t="str">
        <f aca="false">IFERROR($E70*$H70,"")</f>
        <v/>
      </c>
      <c r="J70" s="14" t="str">
        <f aca="false">IFERROR($G70-$I70,"")</f>
        <v/>
      </c>
      <c r="K70" s="21" t="str">
        <f aca="false">IFERROR($J70/$G70,"")</f>
        <v/>
      </c>
      <c r="L70" s="28"/>
    </row>
    <row r="71" customFormat="false" ht="15" hidden="false" customHeight="false" outlineLevel="0" collapsed="false">
      <c r="A71" s="27"/>
      <c r="B71" s="28"/>
      <c r="C71" s="9" t="str">
        <f aca="false">IF($B71="","",IFERROR(VLOOKUP($B71,'Recetas y precios'!$A:$B,2,FALSE()),""))</f>
        <v/>
      </c>
      <c r="D71" s="28"/>
      <c r="E71" s="28"/>
      <c r="F71" s="14" t="str">
        <f aca="false">IF(OR($B71="",$D71=""),"",IFERROR(INDEX('Recetas y precios'!$P:$S,MATCH($B71,'Recetas y precios'!$A:$A,0),MATCH($D71,'Recetas y precios'!$P$5:$S$5,0)),""))</f>
        <v/>
      </c>
      <c r="G71" s="14" t="str">
        <f aca="false">IFERROR($E71*$F71,"")</f>
        <v/>
      </c>
      <c r="H71" s="14" t="str">
        <f aca="false">IF($B71="","",IF($D71="Rebanada en mostrador",IFERROR(VLOOKUP($B71,'Recetas y precios'!$A:$O,15,FALSE()),""),IFERROR(VLOOKUP($B71,'Recetas y precios'!$A:$M,13,FALSE()),"")))</f>
        <v/>
      </c>
      <c r="I71" s="14" t="str">
        <f aca="false">IFERROR($E71*$H71,"")</f>
        <v/>
      </c>
      <c r="J71" s="14" t="str">
        <f aca="false">IFERROR($G71-$I71,"")</f>
        <v/>
      </c>
      <c r="K71" s="21" t="str">
        <f aca="false">IFERROR($J71/$G71,"")</f>
        <v/>
      </c>
      <c r="L71" s="28"/>
    </row>
    <row r="72" customFormat="false" ht="15" hidden="false" customHeight="false" outlineLevel="0" collapsed="false">
      <c r="A72" s="27"/>
      <c r="B72" s="28"/>
      <c r="C72" s="9" t="str">
        <f aca="false">IF($B72="","",IFERROR(VLOOKUP($B72,'Recetas y precios'!$A:$B,2,FALSE()),""))</f>
        <v/>
      </c>
      <c r="D72" s="28"/>
      <c r="E72" s="28"/>
      <c r="F72" s="14" t="str">
        <f aca="false">IF(OR($B72="",$D72=""),"",IFERROR(INDEX('Recetas y precios'!$P:$S,MATCH($B72,'Recetas y precios'!$A:$A,0),MATCH($D72,'Recetas y precios'!$P$5:$S$5,0)),""))</f>
        <v/>
      </c>
      <c r="G72" s="14" t="str">
        <f aca="false">IFERROR($E72*$F72,"")</f>
        <v/>
      </c>
      <c r="H72" s="14" t="str">
        <f aca="false">IF($B72="","",IF($D72="Rebanada en mostrador",IFERROR(VLOOKUP($B72,'Recetas y precios'!$A:$O,15,FALSE()),""),IFERROR(VLOOKUP($B72,'Recetas y precios'!$A:$M,13,FALSE()),"")))</f>
        <v/>
      </c>
      <c r="I72" s="14" t="str">
        <f aca="false">IFERROR($E72*$H72,"")</f>
        <v/>
      </c>
      <c r="J72" s="14" t="str">
        <f aca="false">IFERROR($G72-$I72,"")</f>
        <v/>
      </c>
      <c r="K72" s="21" t="str">
        <f aca="false">IFERROR($J72/$G72,"")</f>
        <v/>
      </c>
      <c r="L72" s="28"/>
    </row>
    <row r="73" customFormat="false" ht="15" hidden="false" customHeight="false" outlineLevel="0" collapsed="false">
      <c r="A73" s="27"/>
      <c r="B73" s="28"/>
      <c r="C73" s="9" t="str">
        <f aca="false">IF($B73="","",IFERROR(VLOOKUP($B73,'Recetas y precios'!$A:$B,2,FALSE()),""))</f>
        <v/>
      </c>
      <c r="D73" s="28"/>
      <c r="E73" s="28"/>
      <c r="F73" s="14" t="str">
        <f aca="false">IF(OR($B73="",$D73=""),"",IFERROR(INDEX('Recetas y precios'!$P:$S,MATCH($B73,'Recetas y precios'!$A:$A,0),MATCH($D73,'Recetas y precios'!$P$5:$S$5,0)),""))</f>
        <v/>
      </c>
      <c r="G73" s="14" t="str">
        <f aca="false">IFERROR($E73*$F73,"")</f>
        <v/>
      </c>
      <c r="H73" s="14" t="str">
        <f aca="false">IF($B73="","",IF($D73="Rebanada en mostrador",IFERROR(VLOOKUP($B73,'Recetas y precios'!$A:$O,15,FALSE()),""),IFERROR(VLOOKUP($B73,'Recetas y precios'!$A:$M,13,FALSE()),"")))</f>
        <v/>
      </c>
      <c r="I73" s="14" t="str">
        <f aca="false">IFERROR($E73*$H73,"")</f>
        <v/>
      </c>
      <c r="J73" s="14" t="str">
        <f aca="false">IFERROR($G73-$I73,"")</f>
        <v/>
      </c>
      <c r="K73" s="21" t="str">
        <f aca="false">IFERROR($J73/$G73,"")</f>
        <v/>
      </c>
      <c r="L73" s="28"/>
    </row>
    <row r="74" customFormat="false" ht="15" hidden="false" customHeight="false" outlineLevel="0" collapsed="false">
      <c r="A74" s="27"/>
      <c r="B74" s="28"/>
      <c r="C74" s="9" t="str">
        <f aca="false">IF($B74="","",IFERROR(VLOOKUP($B74,'Recetas y precios'!$A:$B,2,FALSE()),""))</f>
        <v/>
      </c>
      <c r="D74" s="28"/>
      <c r="E74" s="28"/>
      <c r="F74" s="14" t="str">
        <f aca="false">IF(OR($B74="",$D74=""),"",IFERROR(INDEX('Recetas y precios'!$P:$S,MATCH($B74,'Recetas y precios'!$A:$A,0),MATCH($D74,'Recetas y precios'!$P$5:$S$5,0)),""))</f>
        <v/>
      </c>
      <c r="G74" s="14" t="str">
        <f aca="false">IFERROR($E74*$F74,"")</f>
        <v/>
      </c>
      <c r="H74" s="14" t="str">
        <f aca="false">IF($B74="","",IF($D74="Rebanada en mostrador",IFERROR(VLOOKUP($B74,'Recetas y precios'!$A:$O,15,FALSE()),""),IFERROR(VLOOKUP($B74,'Recetas y precios'!$A:$M,13,FALSE()),"")))</f>
        <v/>
      </c>
      <c r="I74" s="14" t="str">
        <f aca="false">IFERROR($E74*$H74,"")</f>
        <v/>
      </c>
      <c r="J74" s="14" t="str">
        <f aca="false">IFERROR($G74-$I74,"")</f>
        <v/>
      </c>
      <c r="K74" s="21" t="str">
        <f aca="false">IFERROR($J74/$G74,"")</f>
        <v/>
      </c>
      <c r="L74" s="28"/>
    </row>
    <row r="75" customFormat="false" ht="15" hidden="false" customHeight="false" outlineLevel="0" collapsed="false">
      <c r="A75" s="27"/>
      <c r="B75" s="28"/>
      <c r="C75" s="9" t="str">
        <f aca="false">IF($B75="","",IFERROR(VLOOKUP($B75,'Recetas y precios'!$A:$B,2,FALSE()),""))</f>
        <v/>
      </c>
      <c r="D75" s="28"/>
      <c r="E75" s="28"/>
      <c r="F75" s="14" t="str">
        <f aca="false">IF(OR($B75="",$D75=""),"",IFERROR(INDEX('Recetas y precios'!$P:$S,MATCH($B75,'Recetas y precios'!$A:$A,0),MATCH($D75,'Recetas y precios'!$P$5:$S$5,0)),""))</f>
        <v/>
      </c>
      <c r="G75" s="14" t="str">
        <f aca="false">IFERROR($E75*$F75,"")</f>
        <v/>
      </c>
      <c r="H75" s="14" t="str">
        <f aca="false">IF($B75="","",IF($D75="Rebanada en mostrador",IFERROR(VLOOKUP($B75,'Recetas y precios'!$A:$O,15,FALSE()),""),IFERROR(VLOOKUP($B75,'Recetas y precios'!$A:$M,13,FALSE()),"")))</f>
        <v/>
      </c>
      <c r="I75" s="14" t="str">
        <f aca="false">IFERROR($E75*$H75,"")</f>
        <v/>
      </c>
      <c r="J75" s="14" t="str">
        <f aca="false">IFERROR($G75-$I75,"")</f>
        <v/>
      </c>
      <c r="K75" s="21" t="str">
        <f aca="false">IFERROR($J75/$G75,"")</f>
        <v/>
      </c>
      <c r="L75" s="28"/>
    </row>
    <row r="76" customFormat="false" ht="15" hidden="false" customHeight="false" outlineLevel="0" collapsed="false">
      <c r="A76" s="27"/>
      <c r="B76" s="28"/>
      <c r="C76" s="9" t="str">
        <f aca="false">IF($B76="","",IFERROR(VLOOKUP($B76,'Recetas y precios'!$A:$B,2,FALSE()),""))</f>
        <v/>
      </c>
      <c r="D76" s="28"/>
      <c r="E76" s="28"/>
      <c r="F76" s="14" t="str">
        <f aca="false">IF(OR($B76="",$D76=""),"",IFERROR(INDEX('Recetas y precios'!$P:$S,MATCH($B76,'Recetas y precios'!$A:$A,0),MATCH($D76,'Recetas y precios'!$P$5:$S$5,0)),""))</f>
        <v/>
      </c>
      <c r="G76" s="14" t="str">
        <f aca="false">IFERROR($E76*$F76,"")</f>
        <v/>
      </c>
      <c r="H76" s="14" t="str">
        <f aca="false">IF($B76="","",IF($D76="Rebanada en mostrador",IFERROR(VLOOKUP($B76,'Recetas y precios'!$A:$O,15,FALSE()),""),IFERROR(VLOOKUP($B76,'Recetas y precios'!$A:$M,13,FALSE()),"")))</f>
        <v/>
      </c>
      <c r="I76" s="14" t="str">
        <f aca="false">IFERROR($E76*$H76,"")</f>
        <v/>
      </c>
      <c r="J76" s="14" t="str">
        <f aca="false">IFERROR($G76-$I76,"")</f>
        <v/>
      </c>
      <c r="K76" s="21" t="str">
        <f aca="false">IFERROR($J76/$G76,"")</f>
        <v/>
      </c>
      <c r="L76" s="28"/>
    </row>
    <row r="77" customFormat="false" ht="15" hidden="false" customHeight="false" outlineLevel="0" collapsed="false">
      <c r="A77" s="27"/>
      <c r="B77" s="28"/>
      <c r="C77" s="9" t="str">
        <f aca="false">IF($B77="","",IFERROR(VLOOKUP($B77,'Recetas y precios'!$A:$B,2,FALSE()),""))</f>
        <v/>
      </c>
      <c r="D77" s="28"/>
      <c r="E77" s="28"/>
      <c r="F77" s="14" t="str">
        <f aca="false">IF(OR($B77="",$D77=""),"",IFERROR(INDEX('Recetas y precios'!$P:$S,MATCH($B77,'Recetas y precios'!$A:$A,0),MATCH($D77,'Recetas y precios'!$P$5:$S$5,0)),""))</f>
        <v/>
      </c>
      <c r="G77" s="14" t="str">
        <f aca="false">IFERROR($E77*$F77,"")</f>
        <v/>
      </c>
      <c r="H77" s="14" t="str">
        <f aca="false">IF($B77="","",IF($D77="Rebanada en mostrador",IFERROR(VLOOKUP($B77,'Recetas y precios'!$A:$O,15,FALSE()),""),IFERROR(VLOOKUP($B77,'Recetas y precios'!$A:$M,13,FALSE()),"")))</f>
        <v/>
      </c>
      <c r="I77" s="14" t="str">
        <f aca="false">IFERROR($E77*$H77,"")</f>
        <v/>
      </c>
      <c r="J77" s="14" t="str">
        <f aca="false">IFERROR($G77-$I77,"")</f>
        <v/>
      </c>
      <c r="K77" s="21" t="str">
        <f aca="false">IFERROR($J77/$G77,"")</f>
        <v/>
      </c>
      <c r="L77" s="28"/>
    </row>
    <row r="78" customFormat="false" ht="15" hidden="false" customHeight="false" outlineLevel="0" collapsed="false">
      <c r="A78" s="27"/>
      <c r="B78" s="28"/>
      <c r="C78" s="9" t="str">
        <f aca="false">IF($B78="","",IFERROR(VLOOKUP($B78,'Recetas y precios'!$A:$B,2,FALSE()),""))</f>
        <v/>
      </c>
      <c r="D78" s="28"/>
      <c r="E78" s="28"/>
      <c r="F78" s="14" t="str">
        <f aca="false">IF(OR($B78="",$D78=""),"",IFERROR(INDEX('Recetas y precios'!$P:$S,MATCH($B78,'Recetas y precios'!$A:$A,0),MATCH($D78,'Recetas y precios'!$P$5:$S$5,0)),""))</f>
        <v/>
      </c>
      <c r="G78" s="14" t="str">
        <f aca="false">IFERROR($E78*$F78,"")</f>
        <v/>
      </c>
      <c r="H78" s="14" t="str">
        <f aca="false">IF($B78="","",IF($D78="Rebanada en mostrador",IFERROR(VLOOKUP($B78,'Recetas y precios'!$A:$O,15,FALSE()),""),IFERROR(VLOOKUP($B78,'Recetas y precios'!$A:$M,13,FALSE()),"")))</f>
        <v/>
      </c>
      <c r="I78" s="14" t="str">
        <f aca="false">IFERROR($E78*$H78,"")</f>
        <v/>
      </c>
      <c r="J78" s="14" t="str">
        <f aca="false">IFERROR($G78-$I78,"")</f>
        <v/>
      </c>
      <c r="K78" s="21" t="str">
        <f aca="false">IFERROR($J78/$G78,"")</f>
        <v/>
      </c>
      <c r="L78" s="28"/>
    </row>
    <row r="79" customFormat="false" ht="15" hidden="false" customHeight="false" outlineLevel="0" collapsed="false">
      <c r="A79" s="27"/>
      <c r="B79" s="28"/>
      <c r="C79" s="9" t="str">
        <f aca="false">IF($B79="","",IFERROR(VLOOKUP($B79,'Recetas y precios'!$A:$B,2,FALSE()),""))</f>
        <v/>
      </c>
      <c r="D79" s="28"/>
      <c r="E79" s="28"/>
      <c r="F79" s="14" t="str">
        <f aca="false">IF(OR($B79="",$D79=""),"",IFERROR(INDEX('Recetas y precios'!$P:$S,MATCH($B79,'Recetas y precios'!$A:$A,0),MATCH($D79,'Recetas y precios'!$P$5:$S$5,0)),""))</f>
        <v/>
      </c>
      <c r="G79" s="14" t="str">
        <f aca="false">IFERROR($E79*$F79,"")</f>
        <v/>
      </c>
      <c r="H79" s="14" t="str">
        <f aca="false">IF($B79="","",IF($D79="Rebanada en mostrador",IFERROR(VLOOKUP($B79,'Recetas y precios'!$A:$O,15,FALSE()),""),IFERROR(VLOOKUP($B79,'Recetas y precios'!$A:$M,13,FALSE()),"")))</f>
        <v/>
      </c>
      <c r="I79" s="14" t="str">
        <f aca="false">IFERROR($E79*$H79,"")</f>
        <v/>
      </c>
      <c r="J79" s="14" t="str">
        <f aca="false">IFERROR($G79-$I79,"")</f>
        <v/>
      </c>
      <c r="K79" s="21" t="str">
        <f aca="false">IFERROR($J79/$G79,"")</f>
        <v/>
      </c>
      <c r="L79" s="28"/>
    </row>
    <row r="80" customFormat="false" ht="15" hidden="false" customHeight="false" outlineLevel="0" collapsed="false">
      <c r="A80" s="27"/>
      <c r="B80" s="28"/>
      <c r="C80" s="9" t="str">
        <f aca="false">IF($B80="","",IFERROR(VLOOKUP($B80,'Recetas y precios'!$A:$B,2,FALSE()),""))</f>
        <v/>
      </c>
      <c r="D80" s="28"/>
      <c r="E80" s="28"/>
      <c r="F80" s="14" t="str">
        <f aca="false">IF(OR($B80="",$D80=""),"",IFERROR(INDEX('Recetas y precios'!$P:$S,MATCH($B80,'Recetas y precios'!$A:$A,0),MATCH($D80,'Recetas y precios'!$P$5:$S$5,0)),""))</f>
        <v/>
      </c>
      <c r="G80" s="14" t="str">
        <f aca="false">IFERROR($E80*$F80,"")</f>
        <v/>
      </c>
      <c r="H80" s="14" t="str">
        <f aca="false">IF($B80="","",IF($D80="Rebanada en mostrador",IFERROR(VLOOKUP($B80,'Recetas y precios'!$A:$O,15,FALSE()),""),IFERROR(VLOOKUP($B80,'Recetas y precios'!$A:$M,13,FALSE()),"")))</f>
        <v/>
      </c>
      <c r="I80" s="14" t="str">
        <f aca="false">IFERROR($E80*$H80,"")</f>
        <v/>
      </c>
      <c r="J80" s="14" t="str">
        <f aca="false">IFERROR($G80-$I80,"")</f>
        <v/>
      </c>
      <c r="K80" s="21" t="str">
        <f aca="false">IFERROR($J80/$G80,"")</f>
        <v/>
      </c>
      <c r="L80" s="28"/>
    </row>
    <row r="81" customFormat="false" ht="15" hidden="false" customHeight="false" outlineLevel="0" collapsed="false">
      <c r="A81" s="27"/>
      <c r="B81" s="28"/>
      <c r="C81" s="9" t="str">
        <f aca="false">IF($B81="","",IFERROR(VLOOKUP($B81,'Recetas y precios'!$A:$B,2,FALSE()),""))</f>
        <v/>
      </c>
      <c r="D81" s="28"/>
      <c r="E81" s="28"/>
      <c r="F81" s="14" t="str">
        <f aca="false">IF(OR($B81="",$D81=""),"",IFERROR(INDEX('Recetas y precios'!$P:$S,MATCH($B81,'Recetas y precios'!$A:$A,0),MATCH($D81,'Recetas y precios'!$P$5:$S$5,0)),""))</f>
        <v/>
      </c>
      <c r="G81" s="14" t="str">
        <f aca="false">IFERROR($E81*$F81,"")</f>
        <v/>
      </c>
      <c r="H81" s="14" t="str">
        <f aca="false">IF($B81="","",IF($D81="Rebanada en mostrador",IFERROR(VLOOKUP($B81,'Recetas y precios'!$A:$O,15,FALSE()),""),IFERROR(VLOOKUP($B81,'Recetas y precios'!$A:$M,13,FALSE()),"")))</f>
        <v/>
      </c>
      <c r="I81" s="14" t="str">
        <f aca="false">IFERROR($E81*$H81,"")</f>
        <v/>
      </c>
      <c r="J81" s="14" t="str">
        <f aca="false">IFERROR($G81-$I81,"")</f>
        <v/>
      </c>
      <c r="K81" s="21" t="str">
        <f aca="false">IFERROR($J81/$G81,"")</f>
        <v/>
      </c>
      <c r="L81" s="28"/>
    </row>
    <row r="82" customFormat="false" ht="15" hidden="false" customHeight="false" outlineLevel="0" collapsed="false">
      <c r="A82" s="27"/>
      <c r="B82" s="28"/>
      <c r="C82" s="9" t="str">
        <f aca="false">IF($B82="","",IFERROR(VLOOKUP($B82,'Recetas y precios'!$A:$B,2,FALSE()),""))</f>
        <v/>
      </c>
      <c r="D82" s="28"/>
      <c r="E82" s="28"/>
      <c r="F82" s="14" t="str">
        <f aca="false">IF(OR($B82="",$D82=""),"",IFERROR(INDEX('Recetas y precios'!$P:$S,MATCH($B82,'Recetas y precios'!$A:$A,0),MATCH($D82,'Recetas y precios'!$P$5:$S$5,0)),""))</f>
        <v/>
      </c>
      <c r="G82" s="14" t="str">
        <f aca="false">IFERROR($E82*$F82,"")</f>
        <v/>
      </c>
      <c r="H82" s="14" t="str">
        <f aca="false">IF($B82="","",IF($D82="Rebanada en mostrador",IFERROR(VLOOKUP($B82,'Recetas y precios'!$A:$O,15,FALSE()),""),IFERROR(VLOOKUP($B82,'Recetas y precios'!$A:$M,13,FALSE()),"")))</f>
        <v/>
      </c>
      <c r="I82" s="14" t="str">
        <f aca="false">IFERROR($E82*$H82,"")</f>
        <v/>
      </c>
      <c r="J82" s="14" t="str">
        <f aca="false">IFERROR($G82-$I82,"")</f>
        <v/>
      </c>
      <c r="K82" s="21" t="str">
        <f aca="false">IFERROR($J82/$G82,"")</f>
        <v/>
      </c>
      <c r="L82" s="28"/>
    </row>
    <row r="83" customFormat="false" ht="15" hidden="false" customHeight="false" outlineLevel="0" collapsed="false">
      <c r="A83" s="27"/>
      <c r="B83" s="28"/>
      <c r="C83" s="9" t="str">
        <f aca="false">IF($B83="","",IFERROR(VLOOKUP($B83,'Recetas y precios'!$A:$B,2,FALSE()),""))</f>
        <v/>
      </c>
      <c r="D83" s="28"/>
      <c r="E83" s="28"/>
      <c r="F83" s="14" t="str">
        <f aca="false">IF(OR($B83="",$D83=""),"",IFERROR(INDEX('Recetas y precios'!$P:$S,MATCH($B83,'Recetas y precios'!$A:$A,0),MATCH($D83,'Recetas y precios'!$P$5:$S$5,0)),""))</f>
        <v/>
      </c>
      <c r="G83" s="14" t="str">
        <f aca="false">IFERROR($E83*$F83,"")</f>
        <v/>
      </c>
      <c r="H83" s="14" t="str">
        <f aca="false">IF($B83="","",IF($D83="Rebanada en mostrador",IFERROR(VLOOKUP($B83,'Recetas y precios'!$A:$O,15,FALSE()),""),IFERROR(VLOOKUP($B83,'Recetas y precios'!$A:$M,13,FALSE()),"")))</f>
        <v/>
      </c>
      <c r="I83" s="14" t="str">
        <f aca="false">IFERROR($E83*$H83,"")</f>
        <v/>
      </c>
      <c r="J83" s="14" t="str">
        <f aca="false">IFERROR($G83-$I83,"")</f>
        <v/>
      </c>
      <c r="K83" s="21" t="str">
        <f aca="false">IFERROR($J83/$G83,"")</f>
        <v/>
      </c>
      <c r="L83" s="28"/>
    </row>
    <row r="84" customFormat="false" ht="15" hidden="false" customHeight="false" outlineLevel="0" collapsed="false">
      <c r="A84" s="27"/>
      <c r="B84" s="28"/>
      <c r="C84" s="9" t="str">
        <f aca="false">IF($B84="","",IFERROR(VLOOKUP($B84,'Recetas y precios'!$A:$B,2,FALSE()),""))</f>
        <v/>
      </c>
      <c r="D84" s="28"/>
      <c r="E84" s="28"/>
      <c r="F84" s="14" t="str">
        <f aca="false">IF(OR($B84="",$D84=""),"",IFERROR(INDEX('Recetas y precios'!$P:$S,MATCH($B84,'Recetas y precios'!$A:$A,0),MATCH($D84,'Recetas y precios'!$P$5:$S$5,0)),""))</f>
        <v/>
      </c>
      <c r="G84" s="14" t="str">
        <f aca="false">IFERROR($E84*$F84,"")</f>
        <v/>
      </c>
      <c r="H84" s="14" t="str">
        <f aca="false">IF($B84="","",IF($D84="Rebanada en mostrador",IFERROR(VLOOKUP($B84,'Recetas y precios'!$A:$O,15,FALSE()),""),IFERROR(VLOOKUP($B84,'Recetas y precios'!$A:$M,13,FALSE()),"")))</f>
        <v/>
      </c>
      <c r="I84" s="14" t="str">
        <f aca="false">IFERROR($E84*$H84,"")</f>
        <v/>
      </c>
      <c r="J84" s="14" t="str">
        <f aca="false">IFERROR($G84-$I84,"")</f>
        <v/>
      </c>
      <c r="K84" s="21" t="str">
        <f aca="false">IFERROR($J84/$G84,"")</f>
        <v/>
      </c>
      <c r="L84" s="28"/>
    </row>
    <row r="85" customFormat="false" ht="15" hidden="false" customHeight="false" outlineLevel="0" collapsed="false">
      <c r="A85" s="27"/>
      <c r="B85" s="28"/>
      <c r="C85" s="9" t="str">
        <f aca="false">IF($B85="","",IFERROR(VLOOKUP($B85,'Recetas y precios'!$A:$B,2,FALSE()),""))</f>
        <v/>
      </c>
      <c r="D85" s="28"/>
      <c r="E85" s="28"/>
      <c r="F85" s="14" t="str">
        <f aca="false">IF(OR($B85="",$D85=""),"",IFERROR(INDEX('Recetas y precios'!$P:$S,MATCH($B85,'Recetas y precios'!$A:$A,0),MATCH($D85,'Recetas y precios'!$P$5:$S$5,0)),""))</f>
        <v/>
      </c>
      <c r="G85" s="14" t="str">
        <f aca="false">IFERROR($E85*$F85,"")</f>
        <v/>
      </c>
      <c r="H85" s="14" t="str">
        <f aca="false">IF($B85="","",IF($D85="Rebanada en mostrador",IFERROR(VLOOKUP($B85,'Recetas y precios'!$A:$O,15,FALSE()),""),IFERROR(VLOOKUP($B85,'Recetas y precios'!$A:$M,13,FALSE()),"")))</f>
        <v/>
      </c>
      <c r="I85" s="14" t="str">
        <f aca="false">IFERROR($E85*$H85,"")</f>
        <v/>
      </c>
      <c r="J85" s="14" t="str">
        <f aca="false">IFERROR($G85-$I85,"")</f>
        <v/>
      </c>
      <c r="K85" s="21" t="str">
        <f aca="false">IFERROR($J85/$G85,"")</f>
        <v/>
      </c>
      <c r="L85" s="28"/>
    </row>
    <row r="86" customFormat="false" ht="15" hidden="false" customHeight="false" outlineLevel="0" collapsed="false">
      <c r="A86" s="27"/>
      <c r="B86" s="28"/>
      <c r="C86" s="9" t="str">
        <f aca="false">IF($B86="","",IFERROR(VLOOKUP($B86,'Recetas y precios'!$A:$B,2,FALSE()),""))</f>
        <v/>
      </c>
      <c r="D86" s="28"/>
      <c r="E86" s="28"/>
      <c r="F86" s="14" t="str">
        <f aca="false">IF(OR($B86="",$D86=""),"",IFERROR(INDEX('Recetas y precios'!$P:$S,MATCH($B86,'Recetas y precios'!$A:$A,0),MATCH($D86,'Recetas y precios'!$P$5:$S$5,0)),""))</f>
        <v/>
      </c>
      <c r="G86" s="14" t="str">
        <f aca="false">IFERROR($E86*$F86,"")</f>
        <v/>
      </c>
      <c r="H86" s="14" t="str">
        <f aca="false">IF($B86="","",IF($D86="Rebanada en mostrador",IFERROR(VLOOKUP($B86,'Recetas y precios'!$A:$O,15,FALSE()),""),IFERROR(VLOOKUP($B86,'Recetas y precios'!$A:$M,13,FALSE()),"")))</f>
        <v/>
      </c>
      <c r="I86" s="14" t="str">
        <f aca="false">IFERROR($E86*$H86,"")</f>
        <v/>
      </c>
      <c r="J86" s="14" t="str">
        <f aca="false">IFERROR($G86-$I86,"")</f>
        <v/>
      </c>
      <c r="K86" s="21" t="str">
        <f aca="false">IFERROR($J86/$G86,"")</f>
        <v/>
      </c>
      <c r="L86" s="28"/>
    </row>
    <row r="87" customFormat="false" ht="15" hidden="false" customHeight="false" outlineLevel="0" collapsed="false">
      <c r="A87" s="27"/>
      <c r="B87" s="28"/>
      <c r="C87" s="9" t="str">
        <f aca="false">IF($B87="","",IFERROR(VLOOKUP($B87,'Recetas y precios'!$A:$B,2,FALSE()),""))</f>
        <v/>
      </c>
      <c r="D87" s="28"/>
      <c r="E87" s="28"/>
      <c r="F87" s="14" t="str">
        <f aca="false">IF(OR($B87="",$D87=""),"",IFERROR(INDEX('Recetas y precios'!$P:$S,MATCH($B87,'Recetas y precios'!$A:$A,0),MATCH($D87,'Recetas y precios'!$P$5:$S$5,0)),""))</f>
        <v/>
      </c>
      <c r="G87" s="14" t="str">
        <f aca="false">IFERROR($E87*$F87,"")</f>
        <v/>
      </c>
      <c r="H87" s="14" t="str">
        <f aca="false">IF($B87="","",IF($D87="Rebanada en mostrador",IFERROR(VLOOKUP($B87,'Recetas y precios'!$A:$O,15,FALSE()),""),IFERROR(VLOOKUP($B87,'Recetas y precios'!$A:$M,13,FALSE()),"")))</f>
        <v/>
      </c>
      <c r="I87" s="14" t="str">
        <f aca="false">IFERROR($E87*$H87,"")</f>
        <v/>
      </c>
      <c r="J87" s="14" t="str">
        <f aca="false">IFERROR($G87-$I87,"")</f>
        <v/>
      </c>
      <c r="K87" s="21" t="str">
        <f aca="false">IFERROR($J87/$G87,"")</f>
        <v/>
      </c>
      <c r="L87" s="28"/>
    </row>
    <row r="88" customFormat="false" ht="15" hidden="false" customHeight="false" outlineLevel="0" collapsed="false">
      <c r="A88" s="27"/>
      <c r="B88" s="28"/>
      <c r="C88" s="9" t="str">
        <f aca="false">IF($B88="","",IFERROR(VLOOKUP($B88,'Recetas y precios'!$A:$B,2,FALSE()),""))</f>
        <v/>
      </c>
      <c r="D88" s="28"/>
      <c r="E88" s="28"/>
      <c r="F88" s="14" t="str">
        <f aca="false">IF(OR($B88="",$D88=""),"",IFERROR(INDEX('Recetas y precios'!$P:$S,MATCH($B88,'Recetas y precios'!$A:$A,0),MATCH($D88,'Recetas y precios'!$P$5:$S$5,0)),""))</f>
        <v/>
      </c>
      <c r="G88" s="14" t="str">
        <f aca="false">IFERROR($E88*$F88,"")</f>
        <v/>
      </c>
      <c r="H88" s="14" t="str">
        <f aca="false">IF($B88="","",IF($D88="Rebanada en mostrador",IFERROR(VLOOKUP($B88,'Recetas y precios'!$A:$O,15,FALSE()),""),IFERROR(VLOOKUP($B88,'Recetas y precios'!$A:$M,13,FALSE()),"")))</f>
        <v/>
      </c>
      <c r="I88" s="14" t="str">
        <f aca="false">IFERROR($E88*$H88,"")</f>
        <v/>
      </c>
      <c r="J88" s="14" t="str">
        <f aca="false">IFERROR($G88-$I88,"")</f>
        <v/>
      </c>
      <c r="K88" s="21" t="str">
        <f aca="false">IFERROR($J88/$G88,"")</f>
        <v/>
      </c>
      <c r="L88" s="28"/>
    </row>
    <row r="89" customFormat="false" ht="15" hidden="false" customHeight="false" outlineLevel="0" collapsed="false">
      <c r="A89" s="27"/>
      <c r="B89" s="28"/>
      <c r="C89" s="9" t="str">
        <f aca="false">IF($B89="","",IFERROR(VLOOKUP($B89,'Recetas y precios'!$A:$B,2,FALSE()),""))</f>
        <v/>
      </c>
      <c r="D89" s="28"/>
      <c r="E89" s="28"/>
      <c r="F89" s="14" t="str">
        <f aca="false">IF(OR($B89="",$D89=""),"",IFERROR(INDEX('Recetas y precios'!$P:$S,MATCH($B89,'Recetas y precios'!$A:$A,0),MATCH($D89,'Recetas y precios'!$P$5:$S$5,0)),""))</f>
        <v/>
      </c>
      <c r="G89" s="14" t="str">
        <f aca="false">IFERROR($E89*$F89,"")</f>
        <v/>
      </c>
      <c r="H89" s="14" t="str">
        <f aca="false">IF($B89="","",IF($D89="Rebanada en mostrador",IFERROR(VLOOKUP($B89,'Recetas y precios'!$A:$O,15,FALSE()),""),IFERROR(VLOOKUP($B89,'Recetas y precios'!$A:$M,13,FALSE()),"")))</f>
        <v/>
      </c>
      <c r="I89" s="14" t="str">
        <f aca="false">IFERROR($E89*$H89,"")</f>
        <v/>
      </c>
      <c r="J89" s="14" t="str">
        <f aca="false">IFERROR($G89-$I89,"")</f>
        <v/>
      </c>
      <c r="K89" s="21" t="str">
        <f aca="false">IFERROR($J89/$G89,"")</f>
        <v/>
      </c>
      <c r="L89" s="28"/>
    </row>
    <row r="90" customFormat="false" ht="15" hidden="false" customHeight="false" outlineLevel="0" collapsed="false">
      <c r="A90" s="27"/>
      <c r="B90" s="28"/>
      <c r="C90" s="9" t="str">
        <f aca="false">IF($B90="","",IFERROR(VLOOKUP($B90,'Recetas y precios'!$A:$B,2,FALSE()),""))</f>
        <v/>
      </c>
      <c r="D90" s="28"/>
      <c r="E90" s="28"/>
      <c r="F90" s="14" t="str">
        <f aca="false">IF(OR($B90="",$D90=""),"",IFERROR(INDEX('Recetas y precios'!$P:$S,MATCH($B90,'Recetas y precios'!$A:$A,0),MATCH($D90,'Recetas y precios'!$P$5:$S$5,0)),""))</f>
        <v/>
      </c>
      <c r="G90" s="14" t="str">
        <f aca="false">IFERROR($E90*$F90,"")</f>
        <v/>
      </c>
      <c r="H90" s="14" t="str">
        <f aca="false">IF($B90="","",IF($D90="Rebanada en mostrador",IFERROR(VLOOKUP($B90,'Recetas y precios'!$A:$O,15,FALSE()),""),IFERROR(VLOOKUP($B90,'Recetas y precios'!$A:$M,13,FALSE()),"")))</f>
        <v/>
      </c>
      <c r="I90" s="14" t="str">
        <f aca="false">IFERROR($E90*$H90,"")</f>
        <v/>
      </c>
      <c r="J90" s="14" t="str">
        <f aca="false">IFERROR($G90-$I90,"")</f>
        <v/>
      </c>
      <c r="K90" s="21" t="str">
        <f aca="false">IFERROR($J90/$G90,"")</f>
        <v/>
      </c>
      <c r="L90" s="28"/>
    </row>
    <row r="91" customFormat="false" ht="15" hidden="false" customHeight="false" outlineLevel="0" collapsed="false">
      <c r="A91" s="27"/>
      <c r="B91" s="28"/>
      <c r="C91" s="9" t="str">
        <f aca="false">IF($B91="","",IFERROR(VLOOKUP($B91,'Recetas y precios'!$A:$B,2,FALSE()),""))</f>
        <v/>
      </c>
      <c r="D91" s="28"/>
      <c r="E91" s="28"/>
      <c r="F91" s="14" t="str">
        <f aca="false">IF(OR($B91="",$D91=""),"",IFERROR(INDEX('Recetas y precios'!$P:$S,MATCH($B91,'Recetas y precios'!$A:$A,0),MATCH($D91,'Recetas y precios'!$P$5:$S$5,0)),""))</f>
        <v/>
      </c>
      <c r="G91" s="14" t="str">
        <f aca="false">IFERROR($E91*$F91,"")</f>
        <v/>
      </c>
      <c r="H91" s="14" t="str">
        <f aca="false">IF($B91="","",IF($D91="Rebanada en mostrador",IFERROR(VLOOKUP($B91,'Recetas y precios'!$A:$O,15,FALSE()),""),IFERROR(VLOOKUP($B91,'Recetas y precios'!$A:$M,13,FALSE()),"")))</f>
        <v/>
      </c>
      <c r="I91" s="14" t="str">
        <f aca="false">IFERROR($E91*$H91,"")</f>
        <v/>
      </c>
      <c r="J91" s="14" t="str">
        <f aca="false">IFERROR($G91-$I91,"")</f>
        <v/>
      </c>
      <c r="K91" s="21" t="str">
        <f aca="false">IFERROR($J91/$G91,"")</f>
        <v/>
      </c>
      <c r="L91" s="28"/>
    </row>
    <row r="92" customFormat="false" ht="15" hidden="false" customHeight="false" outlineLevel="0" collapsed="false">
      <c r="A92" s="27"/>
      <c r="B92" s="28"/>
      <c r="C92" s="9" t="str">
        <f aca="false">IF($B92="","",IFERROR(VLOOKUP($B92,'Recetas y precios'!$A:$B,2,FALSE()),""))</f>
        <v/>
      </c>
      <c r="D92" s="28"/>
      <c r="E92" s="28"/>
      <c r="F92" s="14" t="str">
        <f aca="false">IF(OR($B92="",$D92=""),"",IFERROR(INDEX('Recetas y precios'!$P:$S,MATCH($B92,'Recetas y precios'!$A:$A,0),MATCH($D92,'Recetas y precios'!$P$5:$S$5,0)),""))</f>
        <v/>
      </c>
      <c r="G92" s="14" t="str">
        <f aca="false">IFERROR($E92*$F92,"")</f>
        <v/>
      </c>
      <c r="H92" s="14" t="str">
        <f aca="false">IF($B92="","",IF($D92="Rebanada en mostrador",IFERROR(VLOOKUP($B92,'Recetas y precios'!$A:$O,15,FALSE()),""),IFERROR(VLOOKUP($B92,'Recetas y precios'!$A:$M,13,FALSE()),"")))</f>
        <v/>
      </c>
      <c r="I92" s="14" t="str">
        <f aca="false">IFERROR($E92*$H92,"")</f>
        <v/>
      </c>
      <c r="J92" s="14" t="str">
        <f aca="false">IFERROR($G92-$I92,"")</f>
        <v/>
      </c>
      <c r="K92" s="21" t="str">
        <f aca="false">IFERROR($J92/$G92,"")</f>
        <v/>
      </c>
      <c r="L92" s="28"/>
    </row>
    <row r="93" customFormat="false" ht="15" hidden="false" customHeight="false" outlineLevel="0" collapsed="false">
      <c r="A93" s="27"/>
      <c r="B93" s="28"/>
      <c r="C93" s="9" t="str">
        <f aca="false">IF($B93="","",IFERROR(VLOOKUP($B93,'Recetas y precios'!$A:$B,2,FALSE()),""))</f>
        <v/>
      </c>
      <c r="D93" s="28"/>
      <c r="E93" s="28"/>
      <c r="F93" s="14" t="str">
        <f aca="false">IF(OR($B93="",$D93=""),"",IFERROR(INDEX('Recetas y precios'!$P:$S,MATCH($B93,'Recetas y precios'!$A:$A,0),MATCH($D93,'Recetas y precios'!$P$5:$S$5,0)),""))</f>
        <v/>
      </c>
      <c r="G93" s="14" t="str">
        <f aca="false">IFERROR($E93*$F93,"")</f>
        <v/>
      </c>
      <c r="H93" s="14" t="str">
        <f aca="false">IF($B93="","",IF($D93="Rebanada en mostrador",IFERROR(VLOOKUP($B93,'Recetas y precios'!$A:$O,15,FALSE()),""),IFERROR(VLOOKUP($B93,'Recetas y precios'!$A:$M,13,FALSE()),"")))</f>
        <v/>
      </c>
      <c r="I93" s="14" t="str">
        <f aca="false">IFERROR($E93*$H93,"")</f>
        <v/>
      </c>
      <c r="J93" s="14" t="str">
        <f aca="false">IFERROR($G93-$I93,"")</f>
        <v/>
      </c>
      <c r="K93" s="21" t="str">
        <f aca="false">IFERROR($J93/$G93,"")</f>
        <v/>
      </c>
      <c r="L93" s="28"/>
    </row>
    <row r="94" customFormat="false" ht="15" hidden="false" customHeight="false" outlineLevel="0" collapsed="false">
      <c r="A94" s="27"/>
      <c r="B94" s="28"/>
      <c r="C94" s="9" t="str">
        <f aca="false">IF($B94="","",IFERROR(VLOOKUP($B94,'Recetas y precios'!$A:$B,2,FALSE()),""))</f>
        <v/>
      </c>
      <c r="D94" s="28"/>
      <c r="E94" s="28"/>
      <c r="F94" s="14" t="str">
        <f aca="false">IF(OR($B94="",$D94=""),"",IFERROR(INDEX('Recetas y precios'!$P:$S,MATCH($B94,'Recetas y precios'!$A:$A,0),MATCH($D94,'Recetas y precios'!$P$5:$S$5,0)),""))</f>
        <v/>
      </c>
      <c r="G94" s="14" t="str">
        <f aca="false">IFERROR($E94*$F94,"")</f>
        <v/>
      </c>
      <c r="H94" s="14" t="str">
        <f aca="false">IF($B94="","",IF($D94="Rebanada en mostrador",IFERROR(VLOOKUP($B94,'Recetas y precios'!$A:$O,15,FALSE()),""),IFERROR(VLOOKUP($B94,'Recetas y precios'!$A:$M,13,FALSE()),"")))</f>
        <v/>
      </c>
      <c r="I94" s="14" t="str">
        <f aca="false">IFERROR($E94*$H94,"")</f>
        <v/>
      </c>
      <c r="J94" s="14" t="str">
        <f aca="false">IFERROR($G94-$I94,"")</f>
        <v/>
      </c>
      <c r="K94" s="21" t="str">
        <f aca="false">IFERROR($J94/$G94,"")</f>
        <v/>
      </c>
      <c r="L94" s="28"/>
    </row>
    <row r="95" customFormat="false" ht="15" hidden="false" customHeight="false" outlineLevel="0" collapsed="false">
      <c r="A95" s="27"/>
      <c r="B95" s="28"/>
      <c r="C95" s="9" t="str">
        <f aca="false">IF($B95="","",IFERROR(VLOOKUP($B95,'Recetas y precios'!$A:$B,2,FALSE()),""))</f>
        <v/>
      </c>
      <c r="D95" s="28"/>
      <c r="E95" s="28"/>
      <c r="F95" s="14" t="str">
        <f aca="false">IF(OR($B95="",$D95=""),"",IFERROR(INDEX('Recetas y precios'!$P:$S,MATCH($B95,'Recetas y precios'!$A:$A,0),MATCH($D95,'Recetas y precios'!$P$5:$S$5,0)),""))</f>
        <v/>
      </c>
      <c r="G95" s="14" t="str">
        <f aca="false">IFERROR($E95*$F95,"")</f>
        <v/>
      </c>
      <c r="H95" s="14" t="str">
        <f aca="false">IF($B95="","",IF($D95="Rebanada en mostrador",IFERROR(VLOOKUP($B95,'Recetas y precios'!$A:$O,15,FALSE()),""),IFERROR(VLOOKUP($B95,'Recetas y precios'!$A:$M,13,FALSE()),"")))</f>
        <v/>
      </c>
      <c r="I95" s="14" t="str">
        <f aca="false">IFERROR($E95*$H95,"")</f>
        <v/>
      </c>
      <c r="J95" s="14" t="str">
        <f aca="false">IFERROR($G95-$I95,"")</f>
        <v/>
      </c>
      <c r="K95" s="21" t="str">
        <f aca="false">IFERROR($J95/$G95,"")</f>
        <v/>
      </c>
      <c r="L95" s="28"/>
    </row>
    <row r="96" customFormat="false" ht="15" hidden="false" customHeight="false" outlineLevel="0" collapsed="false">
      <c r="A96" s="27"/>
      <c r="B96" s="28"/>
      <c r="C96" s="9" t="str">
        <f aca="false">IF($B96="","",IFERROR(VLOOKUP($B96,'Recetas y precios'!$A:$B,2,FALSE()),""))</f>
        <v/>
      </c>
      <c r="D96" s="28"/>
      <c r="E96" s="28"/>
      <c r="F96" s="14" t="str">
        <f aca="false">IF(OR($B96="",$D96=""),"",IFERROR(INDEX('Recetas y precios'!$P:$S,MATCH($B96,'Recetas y precios'!$A:$A,0),MATCH($D96,'Recetas y precios'!$P$5:$S$5,0)),""))</f>
        <v/>
      </c>
      <c r="G96" s="14" t="str">
        <f aca="false">IFERROR($E96*$F96,"")</f>
        <v/>
      </c>
      <c r="H96" s="14" t="str">
        <f aca="false">IF($B96="","",IF($D96="Rebanada en mostrador",IFERROR(VLOOKUP($B96,'Recetas y precios'!$A:$O,15,FALSE()),""),IFERROR(VLOOKUP($B96,'Recetas y precios'!$A:$M,13,FALSE()),"")))</f>
        <v/>
      </c>
      <c r="I96" s="14" t="str">
        <f aca="false">IFERROR($E96*$H96,"")</f>
        <v/>
      </c>
      <c r="J96" s="14" t="str">
        <f aca="false">IFERROR($G96-$I96,"")</f>
        <v/>
      </c>
      <c r="K96" s="21" t="str">
        <f aca="false">IFERROR($J96/$G96,"")</f>
        <v/>
      </c>
      <c r="L96" s="28"/>
    </row>
    <row r="97" customFormat="false" ht="15" hidden="false" customHeight="false" outlineLevel="0" collapsed="false">
      <c r="A97" s="27"/>
      <c r="B97" s="28"/>
      <c r="C97" s="9" t="str">
        <f aca="false">IF($B97="","",IFERROR(VLOOKUP($B97,'Recetas y precios'!$A:$B,2,FALSE()),""))</f>
        <v/>
      </c>
      <c r="D97" s="28"/>
      <c r="E97" s="28"/>
      <c r="F97" s="14" t="str">
        <f aca="false">IF(OR($B97="",$D97=""),"",IFERROR(INDEX('Recetas y precios'!$P:$S,MATCH($B97,'Recetas y precios'!$A:$A,0),MATCH($D97,'Recetas y precios'!$P$5:$S$5,0)),""))</f>
        <v/>
      </c>
      <c r="G97" s="14" t="str">
        <f aca="false">IFERROR($E97*$F97,"")</f>
        <v/>
      </c>
      <c r="H97" s="14" t="str">
        <f aca="false">IF($B97="","",IF($D97="Rebanada en mostrador",IFERROR(VLOOKUP($B97,'Recetas y precios'!$A:$O,15,FALSE()),""),IFERROR(VLOOKUP($B97,'Recetas y precios'!$A:$M,13,FALSE()),"")))</f>
        <v/>
      </c>
      <c r="I97" s="14" t="str">
        <f aca="false">IFERROR($E97*$H97,"")</f>
        <v/>
      </c>
      <c r="J97" s="14" t="str">
        <f aca="false">IFERROR($G97-$I97,"")</f>
        <v/>
      </c>
      <c r="K97" s="21" t="str">
        <f aca="false">IFERROR($J97/$G97,"")</f>
        <v/>
      </c>
      <c r="L97" s="28"/>
    </row>
    <row r="98" customFormat="false" ht="15" hidden="false" customHeight="false" outlineLevel="0" collapsed="false">
      <c r="A98" s="27"/>
      <c r="B98" s="28"/>
      <c r="C98" s="9" t="str">
        <f aca="false">IF($B98="","",IFERROR(VLOOKUP($B98,'Recetas y precios'!$A:$B,2,FALSE()),""))</f>
        <v/>
      </c>
      <c r="D98" s="28"/>
      <c r="E98" s="28"/>
      <c r="F98" s="14" t="str">
        <f aca="false">IF(OR($B98="",$D98=""),"",IFERROR(INDEX('Recetas y precios'!$P:$S,MATCH($B98,'Recetas y precios'!$A:$A,0),MATCH($D98,'Recetas y precios'!$P$5:$S$5,0)),""))</f>
        <v/>
      </c>
      <c r="G98" s="14" t="str">
        <f aca="false">IFERROR($E98*$F98,"")</f>
        <v/>
      </c>
      <c r="H98" s="14" t="str">
        <f aca="false">IF($B98="","",IF($D98="Rebanada en mostrador",IFERROR(VLOOKUP($B98,'Recetas y precios'!$A:$O,15,FALSE()),""),IFERROR(VLOOKUP($B98,'Recetas y precios'!$A:$M,13,FALSE()),"")))</f>
        <v/>
      </c>
      <c r="I98" s="14" t="str">
        <f aca="false">IFERROR($E98*$H98,"")</f>
        <v/>
      </c>
      <c r="J98" s="14" t="str">
        <f aca="false">IFERROR($G98-$I98,"")</f>
        <v/>
      </c>
      <c r="K98" s="21" t="str">
        <f aca="false">IFERROR($J98/$G98,"")</f>
        <v/>
      </c>
      <c r="L98" s="28"/>
    </row>
    <row r="99" customFormat="false" ht="15" hidden="false" customHeight="false" outlineLevel="0" collapsed="false">
      <c r="A99" s="27"/>
      <c r="B99" s="28"/>
      <c r="C99" s="9" t="str">
        <f aca="false">IF($B99="","",IFERROR(VLOOKUP($B99,'Recetas y precios'!$A:$B,2,FALSE()),""))</f>
        <v/>
      </c>
      <c r="D99" s="28"/>
      <c r="E99" s="28"/>
      <c r="F99" s="14" t="str">
        <f aca="false">IF(OR($B99="",$D99=""),"",IFERROR(INDEX('Recetas y precios'!$P:$S,MATCH($B99,'Recetas y precios'!$A:$A,0),MATCH($D99,'Recetas y precios'!$P$5:$S$5,0)),""))</f>
        <v/>
      </c>
      <c r="G99" s="14" t="str">
        <f aca="false">IFERROR($E99*$F99,"")</f>
        <v/>
      </c>
      <c r="H99" s="14" t="str">
        <f aca="false">IF($B99="","",IF($D99="Rebanada en mostrador",IFERROR(VLOOKUP($B99,'Recetas y precios'!$A:$O,15,FALSE()),""),IFERROR(VLOOKUP($B99,'Recetas y precios'!$A:$M,13,FALSE()),"")))</f>
        <v/>
      </c>
      <c r="I99" s="14" t="str">
        <f aca="false">IFERROR($E99*$H99,"")</f>
        <v/>
      </c>
      <c r="J99" s="14" t="str">
        <f aca="false">IFERROR($G99-$I99,"")</f>
        <v/>
      </c>
      <c r="K99" s="21" t="str">
        <f aca="false">IFERROR($J99/$G99,"")</f>
        <v/>
      </c>
      <c r="L99" s="28"/>
    </row>
    <row r="100" customFormat="false" ht="15" hidden="false" customHeight="false" outlineLevel="0" collapsed="false">
      <c r="A100" s="27"/>
      <c r="B100" s="28"/>
      <c r="C100" s="9" t="str">
        <f aca="false">IF($B100="","",IFERROR(VLOOKUP($B100,'Recetas y precios'!$A:$B,2,FALSE()),""))</f>
        <v/>
      </c>
      <c r="D100" s="28"/>
      <c r="E100" s="28"/>
      <c r="F100" s="14" t="str">
        <f aca="false">IF(OR($B100="",$D100=""),"",IFERROR(INDEX('Recetas y precios'!$P:$S,MATCH($B100,'Recetas y precios'!$A:$A,0),MATCH($D100,'Recetas y precios'!$P$5:$S$5,0)),""))</f>
        <v/>
      </c>
      <c r="G100" s="14" t="str">
        <f aca="false">IFERROR($E100*$F100,"")</f>
        <v/>
      </c>
      <c r="H100" s="14" t="str">
        <f aca="false">IF($B100="","",IF($D100="Rebanada en mostrador",IFERROR(VLOOKUP($B100,'Recetas y precios'!$A:$O,15,FALSE()),""),IFERROR(VLOOKUP($B100,'Recetas y precios'!$A:$M,13,FALSE()),"")))</f>
        <v/>
      </c>
      <c r="I100" s="14" t="str">
        <f aca="false">IFERROR($E100*$H100,"")</f>
        <v/>
      </c>
      <c r="J100" s="14" t="str">
        <f aca="false">IFERROR($G100-$I100,"")</f>
        <v/>
      </c>
      <c r="K100" s="21" t="str">
        <f aca="false">IFERROR($J100/$G100,"")</f>
        <v/>
      </c>
      <c r="L100" s="28"/>
    </row>
    <row r="101" customFormat="false" ht="15" hidden="false" customHeight="false" outlineLevel="0" collapsed="false">
      <c r="A101" s="27"/>
      <c r="B101" s="28"/>
      <c r="C101" s="9" t="str">
        <f aca="false">IF($B101="","",IFERROR(VLOOKUP($B101,'Recetas y precios'!$A:$B,2,FALSE()),""))</f>
        <v/>
      </c>
      <c r="D101" s="28"/>
      <c r="E101" s="28"/>
      <c r="F101" s="14" t="str">
        <f aca="false">IF(OR($B101="",$D101=""),"",IFERROR(INDEX('Recetas y precios'!$P:$S,MATCH($B101,'Recetas y precios'!$A:$A,0),MATCH($D101,'Recetas y precios'!$P$5:$S$5,0)),""))</f>
        <v/>
      </c>
      <c r="G101" s="14" t="str">
        <f aca="false">IFERROR($E101*$F101,"")</f>
        <v/>
      </c>
      <c r="H101" s="14" t="str">
        <f aca="false">IF($B101="","",IF($D101="Rebanada en mostrador",IFERROR(VLOOKUP($B101,'Recetas y precios'!$A:$O,15,FALSE()),""),IFERROR(VLOOKUP($B101,'Recetas y precios'!$A:$M,13,FALSE()),"")))</f>
        <v/>
      </c>
      <c r="I101" s="14" t="str">
        <f aca="false">IFERROR($E101*$H101,"")</f>
        <v/>
      </c>
      <c r="J101" s="14" t="str">
        <f aca="false">IFERROR($G101-$I101,"")</f>
        <v/>
      </c>
      <c r="K101" s="21" t="str">
        <f aca="false">IFERROR($J101/$G101,"")</f>
        <v/>
      </c>
      <c r="L101" s="28"/>
    </row>
    <row r="102" customFormat="false" ht="15" hidden="false" customHeight="false" outlineLevel="0" collapsed="false">
      <c r="A102" s="27"/>
      <c r="B102" s="28"/>
      <c r="C102" s="9" t="str">
        <f aca="false">IF($B102="","",IFERROR(VLOOKUP($B102,'Recetas y precios'!$A:$B,2,FALSE()),""))</f>
        <v/>
      </c>
      <c r="D102" s="28"/>
      <c r="E102" s="28"/>
      <c r="F102" s="14" t="str">
        <f aca="false">IF(OR($B102="",$D102=""),"",IFERROR(INDEX('Recetas y precios'!$P:$S,MATCH($B102,'Recetas y precios'!$A:$A,0),MATCH($D102,'Recetas y precios'!$P$5:$S$5,0)),""))</f>
        <v/>
      </c>
      <c r="G102" s="14" t="str">
        <f aca="false">IFERROR($E102*$F102,"")</f>
        <v/>
      </c>
      <c r="H102" s="14" t="str">
        <f aca="false">IF($B102="","",IF($D102="Rebanada en mostrador",IFERROR(VLOOKUP($B102,'Recetas y precios'!$A:$O,15,FALSE()),""),IFERROR(VLOOKUP($B102,'Recetas y precios'!$A:$M,13,FALSE()),"")))</f>
        <v/>
      </c>
      <c r="I102" s="14" t="str">
        <f aca="false">IFERROR($E102*$H102,"")</f>
        <v/>
      </c>
      <c r="J102" s="14" t="str">
        <f aca="false">IFERROR($G102-$I102,"")</f>
        <v/>
      </c>
      <c r="K102" s="21" t="str">
        <f aca="false">IFERROR($J102/$G102,"")</f>
        <v/>
      </c>
      <c r="L102" s="28"/>
    </row>
    <row r="103" customFormat="false" ht="15" hidden="false" customHeight="false" outlineLevel="0" collapsed="false">
      <c r="A103" s="27"/>
      <c r="B103" s="28"/>
      <c r="C103" s="9" t="str">
        <f aca="false">IF($B103="","",IFERROR(VLOOKUP($B103,'Recetas y precios'!$A:$B,2,FALSE()),""))</f>
        <v/>
      </c>
      <c r="D103" s="28"/>
      <c r="E103" s="28"/>
      <c r="F103" s="14" t="str">
        <f aca="false">IF(OR($B103="",$D103=""),"",IFERROR(INDEX('Recetas y precios'!$P:$S,MATCH($B103,'Recetas y precios'!$A:$A,0),MATCH($D103,'Recetas y precios'!$P$5:$S$5,0)),""))</f>
        <v/>
      </c>
      <c r="G103" s="14" t="str">
        <f aca="false">IFERROR($E103*$F103,"")</f>
        <v/>
      </c>
      <c r="H103" s="14" t="str">
        <f aca="false">IF($B103="","",IF($D103="Rebanada en mostrador",IFERROR(VLOOKUP($B103,'Recetas y precios'!$A:$O,15,FALSE()),""),IFERROR(VLOOKUP($B103,'Recetas y precios'!$A:$M,13,FALSE()),"")))</f>
        <v/>
      </c>
      <c r="I103" s="14" t="str">
        <f aca="false">IFERROR($E103*$H103,"")</f>
        <v/>
      </c>
      <c r="J103" s="14" t="str">
        <f aca="false">IFERROR($G103-$I103,"")</f>
        <v/>
      </c>
      <c r="K103" s="21" t="str">
        <f aca="false">IFERROR($J103/$G103,"")</f>
        <v/>
      </c>
      <c r="L103" s="28"/>
    </row>
    <row r="104" customFormat="false" ht="15" hidden="false" customHeight="false" outlineLevel="0" collapsed="false">
      <c r="A104" s="27"/>
      <c r="B104" s="28"/>
      <c r="C104" s="9" t="str">
        <f aca="false">IF($B104="","",IFERROR(VLOOKUP($B104,'Recetas y precios'!$A:$B,2,FALSE()),""))</f>
        <v/>
      </c>
      <c r="D104" s="28"/>
      <c r="E104" s="28"/>
      <c r="F104" s="14" t="str">
        <f aca="false">IF(OR($B104="",$D104=""),"",IFERROR(INDEX('Recetas y precios'!$P:$S,MATCH($B104,'Recetas y precios'!$A:$A,0),MATCH($D104,'Recetas y precios'!$P$5:$S$5,0)),""))</f>
        <v/>
      </c>
      <c r="G104" s="14" t="str">
        <f aca="false">IFERROR($E104*$F104,"")</f>
        <v/>
      </c>
      <c r="H104" s="14" t="str">
        <f aca="false">IF($B104="","",IF($D104="Rebanada en mostrador",IFERROR(VLOOKUP($B104,'Recetas y precios'!$A:$O,15,FALSE()),""),IFERROR(VLOOKUP($B104,'Recetas y precios'!$A:$M,13,FALSE()),"")))</f>
        <v/>
      </c>
      <c r="I104" s="14" t="str">
        <f aca="false">IFERROR($E104*$H104,"")</f>
        <v/>
      </c>
      <c r="J104" s="14" t="str">
        <f aca="false">IFERROR($G104-$I104,"")</f>
        <v/>
      </c>
      <c r="K104" s="21" t="str">
        <f aca="false">IFERROR($J104/$G104,"")</f>
        <v/>
      </c>
      <c r="L104" s="28"/>
    </row>
    <row r="105" customFormat="false" ht="15" hidden="false" customHeight="false" outlineLevel="0" collapsed="false">
      <c r="A105" s="27"/>
      <c r="B105" s="28"/>
      <c r="C105" s="9" t="str">
        <f aca="false">IF($B105="","",IFERROR(VLOOKUP($B105,'Recetas y precios'!$A:$B,2,FALSE()),""))</f>
        <v/>
      </c>
      <c r="D105" s="28"/>
      <c r="E105" s="28"/>
      <c r="F105" s="14" t="str">
        <f aca="false">IF(OR($B105="",$D105=""),"",IFERROR(INDEX('Recetas y precios'!$P:$S,MATCH($B105,'Recetas y precios'!$A:$A,0),MATCH($D105,'Recetas y precios'!$P$5:$S$5,0)),""))</f>
        <v/>
      </c>
      <c r="G105" s="14" t="str">
        <f aca="false">IFERROR($E105*$F105,"")</f>
        <v/>
      </c>
      <c r="H105" s="14" t="str">
        <f aca="false">IF($B105="","",IF($D105="Rebanada en mostrador",IFERROR(VLOOKUP($B105,'Recetas y precios'!$A:$O,15,FALSE()),""),IFERROR(VLOOKUP($B105,'Recetas y precios'!$A:$M,13,FALSE()),"")))</f>
        <v/>
      </c>
      <c r="I105" s="14" t="str">
        <f aca="false">IFERROR($E105*$H105,"")</f>
        <v/>
      </c>
      <c r="J105" s="14" t="str">
        <f aca="false">IFERROR($G105-$I105,"")</f>
        <v/>
      </c>
      <c r="K105" s="21" t="str">
        <f aca="false">IFERROR($J105/$G105,"")</f>
        <v/>
      </c>
      <c r="L105" s="28"/>
    </row>
    <row r="106" customFormat="false" ht="15" hidden="false" customHeight="false" outlineLevel="0" collapsed="false">
      <c r="A106" s="27"/>
      <c r="B106" s="28"/>
      <c r="C106" s="9" t="str">
        <f aca="false">IF($B106="","",IFERROR(VLOOKUP($B106,'Recetas y precios'!$A:$B,2,FALSE()),""))</f>
        <v/>
      </c>
      <c r="D106" s="28"/>
      <c r="E106" s="28"/>
      <c r="F106" s="14" t="str">
        <f aca="false">IF(OR($B106="",$D106=""),"",IFERROR(INDEX('Recetas y precios'!$P:$S,MATCH($B106,'Recetas y precios'!$A:$A,0),MATCH($D106,'Recetas y precios'!$P$5:$S$5,0)),""))</f>
        <v/>
      </c>
      <c r="G106" s="14" t="str">
        <f aca="false">IFERROR($E106*$F106,"")</f>
        <v/>
      </c>
      <c r="H106" s="14" t="str">
        <f aca="false">IF($B106="","",IF($D106="Rebanada en mostrador",IFERROR(VLOOKUP($B106,'Recetas y precios'!$A:$O,15,FALSE()),""),IFERROR(VLOOKUP($B106,'Recetas y precios'!$A:$M,13,FALSE()),"")))</f>
        <v/>
      </c>
      <c r="I106" s="14" t="str">
        <f aca="false">IFERROR($E106*$H106,"")</f>
        <v/>
      </c>
      <c r="J106" s="14" t="str">
        <f aca="false">IFERROR($G106-$I106,"")</f>
        <v/>
      </c>
      <c r="K106" s="21" t="str">
        <f aca="false">IFERROR($J106/$G106,"")</f>
        <v/>
      </c>
      <c r="L106" s="28"/>
    </row>
    <row r="107" customFormat="false" ht="15" hidden="false" customHeight="false" outlineLevel="0" collapsed="false">
      <c r="A107" s="27"/>
      <c r="B107" s="28"/>
      <c r="C107" s="9" t="str">
        <f aca="false">IF($B107="","",IFERROR(VLOOKUP($B107,'Recetas y precios'!$A:$B,2,FALSE()),""))</f>
        <v/>
      </c>
      <c r="D107" s="28"/>
      <c r="E107" s="28"/>
      <c r="F107" s="14" t="str">
        <f aca="false">IF(OR($B107="",$D107=""),"",IFERROR(INDEX('Recetas y precios'!$P:$S,MATCH($B107,'Recetas y precios'!$A:$A,0),MATCH($D107,'Recetas y precios'!$P$5:$S$5,0)),""))</f>
        <v/>
      </c>
      <c r="G107" s="14" t="str">
        <f aca="false">IFERROR($E107*$F107,"")</f>
        <v/>
      </c>
      <c r="H107" s="14" t="str">
        <f aca="false">IF($B107="","",IF($D107="Rebanada en mostrador",IFERROR(VLOOKUP($B107,'Recetas y precios'!$A:$O,15,FALSE()),""),IFERROR(VLOOKUP($B107,'Recetas y precios'!$A:$M,13,FALSE()),"")))</f>
        <v/>
      </c>
      <c r="I107" s="14" t="str">
        <f aca="false">IFERROR($E107*$H107,"")</f>
        <v/>
      </c>
      <c r="J107" s="14" t="str">
        <f aca="false">IFERROR($G107-$I107,"")</f>
        <v/>
      </c>
      <c r="K107" s="21" t="str">
        <f aca="false">IFERROR($J107/$G107,"")</f>
        <v/>
      </c>
      <c r="L107" s="28"/>
    </row>
    <row r="108" customFormat="false" ht="15" hidden="false" customHeight="false" outlineLevel="0" collapsed="false">
      <c r="A108" s="27"/>
      <c r="B108" s="28"/>
      <c r="C108" s="9" t="str">
        <f aca="false">IF($B108="","",IFERROR(VLOOKUP($B108,'Recetas y precios'!$A:$B,2,FALSE()),""))</f>
        <v/>
      </c>
      <c r="D108" s="28"/>
      <c r="E108" s="28"/>
      <c r="F108" s="14" t="str">
        <f aca="false">IF(OR($B108="",$D108=""),"",IFERROR(INDEX('Recetas y precios'!$P:$S,MATCH($B108,'Recetas y precios'!$A:$A,0),MATCH($D108,'Recetas y precios'!$P$5:$S$5,0)),""))</f>
        <v/>
      </c>
      <c r="G108" s="14" t="str">
        <f aca="false">IFERROR($E108*$F108,"")</f>
        <v/>
      </c>
      <c r="H108" s="14" t="str">
        <f aca="false">IF($B108="","",IF($D108="Rebanada en mostrador",IFERROR(VLOOKUP($B108,'Recetas y precios'!$A:$O,15,FALSE()),""),IFERROR(VLOOKUP($B108,'Recetas y precios'!$A:$M,13,FALSE()),"")))</f>
        <v/>
      </c>
      <c r="I108" s="14" t="str">
        <f aca="false">IFERROR($E108*$H108,"")</f>
        <v/>
      </c>
      <c r="J108" s="14" t="str">
        <f aca="false">IFERROR($G108-$I108,"")</f>
        <v/>
      </c>
      <c r="K108" s="21" t="str">
        <f aca="false">IFERROR($J108/$G108,"")</f>
        <v/>
      </c>
      <c r="L108" s="28"/>
    </row>
    <row r="109" customFormat="false" ht="15" hidden="false" customHeight="false" outlineLevel="0" collapsed="false">
      <c r="A109" s="27"/>
      <c r="B109" s="28"/>
      <c r="C109" s="9" t="str">
        <f aca="false">IF($B109="","",IFERROR(VLOOKUP($B109,'Recetas y precios'!$A:$B,2,FALSE()),""))</f>
        <v/>
      </c>
      <c r="D109" s="28"/>
      <c r="E109" s="28"/>
      <c r="F109" s="14" t="str">
        <f aca="false">IF(OR($B109="",$D109=""),"",IFERROR(INDEX('Recetas y precios'!$P:$S,MATCH($B109,'Recetas y precios'!$A:$A,0),MATCH($D109,'Recetas y precios'!$P$5:$S$5,0)),""))</f>
        <v/>
      </c>
      <c r="G109" s="14" t="str">
        <f aca="false">IFERROR($E109*$F109,"")</f>
        <v/>
      </c>
      <c r="H109" s="14" t="str">
        <f aca="false">IF($B109="","",IF($D109="Rebanada en mostrador",IFERROR(VLOOKUP($B109,'Recetas y precios'!$A:$O,15,FALSE()),""),IFERROR(VLOOKUP($B109,'Recetas y precios'!$A:$M,13,FALSE()),"")))</f>
        <v/>
      </c>
      <c r="I109" s="14" t="str">
        <f aca="false">IFERROR($E109*$H109,"")</f>
        <v/>
      </c>
      <c r="J109" s="14" t="str">
        <f aca="false">IFERROR($G109-$I109,"")</f>
        <v/>
      </c>
      <c r="K109" s="21" t="str">
        <f aca="false">IFERROR($J109/$G109,"")</f>
        <v/>
      </c>
      <c r="L109" s="28"/>
    </row>
    <row r="110" customFormat="false" ht="15" hidden="false" customHeight="false" outlineLevel="0" collapsed="false">
      <c r="A110" s="27"/>
      <c r="B110" s="28"/>
      <c r="C110" s="9" t="str">
        <f aca="false">IF($B110="","",IFERROR(VLOOKUP($B110,'Recetas y precios'!$A:$B,2,FALSE()),""))</f>
        <v/>
      </c>
      <c r="D110" s="28"/>
      <c r="E110" s="28"/>
      <c r="F110" s="14" t="str">
        <f aca="false">IF(OR($B110="",$D110=""),"",IFERROR(INDEX('Recetas y precios'!$P:$S,MATCH($B110,'Recetas y precios'!$A:$A,0),MATCH($D110,'Recetas y precios'!$P$5:$S$5,0)),""))</f>
        <v/>
      </c>
      <c r="G110" s="14" t="str">
        <f aca="false">IFERROR($E110*$F110,"")</f>
        <v/>
      </c>
      <c r="H110" s="14" t="str">
        <f aca="false">IF($B110="","",IF($D110="Rebanada en mostrador",IFERROR(VLOOKUP($B110,'Recetas y precios'!$A:$O,15,FALSE()),""),IFERROR(VLOOKUP($B110,'Recetas y precios'!$A:$M,13,FALSE()),"")))</f>
        <v/>
      </c>
      <c r="I110" s="14" t="str">
        <f aca="false">IFERROR($E110*$H110,"")</f>
        <v/>
      </c>
      <c r="J110" s="14" t="str">
        <f aca="false">IFERROR($G110-$I110,"")</f>
        <v/>
      </c>
      <c r="K110" s="21" t="str">
        <f aca="false">IFERROR($J110/$G110,"")</f>
        <v/>
      </c>
      <c r="L110" s="28"/>
    </row>
    <row r="111" customFormat="false" ht="15" hidden="false" customHeight="false" outlineLevel="0" collapsed="false">
      <c r="A111" s="27"/>
      <c r="B111" s="28"/>
      <c r="C111" s="9" t="str">
        <f aca="false">IF($B111="","",IFERROR(VLOOKUP($B111,'Recetas y precios'!$A:$B,2,FALSE()),""))</f>
        <v/>
      </c>
      <c r="D111" s="28"/>
      <c r="E111" s="28"/>
      <c r="F111" s="14" t="str">
        <f aca="false">IF(OR($B111="",$D111=""),"",IFERROR(INDEX('Recetas y precios'!$P:$S,MATCH($B111,'Recetas y precios'!$A:$A,0),MATCH($D111,'Recetas y precios'!$P$5:$S$5,0)),""))</f>
        <v/>
      </c>
      <c r="G111" s="14" t="str">
        <f aca="false">IFERROR($E111*$F111,"")</f>
        <v/>
      </c>
      <c r="H111" s="14" t="str">
        <f aca="false">IF($B111="","",IF($D111="Rebanada en mostrador",IFERROR(VLOOKUP($B111,'Recetas y precios'!$A:$O,15,FALSE()),""),IFERROR(VLOOKUP($B111,'Recetas y precios'!$A:$M,13,FALSE()),"")))</f>
        <v/>
      </c>
      <c r="I111" s="14" t="str">
        <f aca="false">IFERROR($E111*$H111,"")</f>
        <v/>
      </c>
      <c r="J111" s="14" t="str">
        <f aca="false">IFERROR($G111-$I111,"")</f>
        <v/>
      </c>
      <c r="K111" s="21" t="str">
        <f aca="false">IFERROR($J111/$G111,"")</f>
        <v/>
      </c>
      <c r="L111" s="28"/>
    </row>
    <row r="112" customFormat="false" ht="15" hidden="false" customHeight="false" outlineLevel="0" collapsed="false">
      <c r="A112" s="27"/>
      <c r="B112" s="28"/>
      <c r="C112" s="9" t="str">
        <f aca="false">IF($B112="","",IFERROR(VLOOKUP($B112,'Recetas y precios'!$A:$B,2,FALSE()),""))</f>
        <v/>
      </c>
      <c r="D112" s="28"/>
      <c r="E112" s="28"/>
      <c r="F112" s="14" t="str">
        <f aca="false">IF(OR($B112="",$D112=""),"",IFERROR(INDEX('Recetas y precios'!$P:$S,MATCH($B112,'Recetas y precios'!$A:$A,0),MATCH($D112,'Recetas y precios'!$P$5:$S$5,0)),""))</f>
        <v/>
      </c>
      <c r="G112" s="14" t="str">
        <f aca="false">IFERROR($E112*$F112,"")</f>
        <v/>
      </c>
      <c r="H112" s="14" t="str">
        <f aca="false">IF($B112="","",IF($D112="Rebanada en mostrador",IFERROR(VLOOKUP($B112,'Recetas y precios'!$A:$O,15,FALSE()),""),IFERROR(VLOOKUP($B112,'Recetas y precios'!$A:$M,13,FALSE()),"")))</f>
        <v/>
      </c>
      <c r="I112" s="14" t="str">
        <f aca="false">IFERROR($E112*$H112,"")</f>
        <v/>
      </c>
      <c r="J112" s="14" t="str">
        <f aca="false">IFERROR($G112-$I112,"")</f>
        <v/>
      </c>
      <c r="K112" s="21" t="str">
        <f aca="false">IFERROR($J112/$G112,"")</f>
        <v/>
      </c>
      <c r="L112" s="28"/>
    </row>
    <row r="113" customFormat="false" ht="15" hidden="false" customHeight="false" outlineLevel="0" collapsed="false">
      <c r="A113" s="27"/>
      <c r="B113" s="28"/>
      <c r="C113" s="9" t="str">
        <f aca="false">IF($B113="","",IFERROR(VLOOKUP($B113,'Recetas y precios'!$A:$B,2,FALSE()),""))</f>
        <v/>
      </c>
      <c r="D113" s="28"/>
      <c r="E113" s="28"/>
      <c r="F113" s="14" t="str">
        <f aca="false">IF(OR($B113="",$D113=""),"",IFERROR(INDEX('Recetas y precios'!$P:$S,MATCH($B113,'Recetas y precios'!$A:$A,0),MATCH($D113,'Recetas y precios'!$P$5:$S$5,0)),""))</f>
        <v/>
      </c>
      <c r="G113" s="14" t="str">
        <f aca="false">IFERROR($E113*$F113,"")</f>
        <v/>
      </c>
      <c r="H113" s="14" t="str">
        <f aca="false">IF($B113="","",IF($D113="Rebanada en mostrador",IFERROR(VLOOKUP($B113,'Recetas y precios'!$A:$O,15,FALSE()),""),IFERROR(VLOOKUP($B113,'Recetas y precios'!$A:$M,13,FALSE()),"")))</f>
        <v/>
      </c>
      <c r="I113" s="14" t="str">
        <f aca="false">IFERROR($E113*$H113,"")</f>
        <v/>
      </c>
      <c r="J113" s="14" t="str">
        <f aca="false">IFERROR($G113-$I113,"")</f>
        <v/>
      </c>
      <c r="K113" s="21" t="str">
        <f aca="false">IFERROR($J113/$G113,"")</f>
        <v/>
      </c>
      <c r="L113" s="28"/>
    </row>
    <row r="114" customFormat="false" ht="15" hidden="false" customHeight="false" outlineLevel="0" collapsed="false">
      <c r="A114" s="27"/>
      <c r="B114" s="28"/>
      <c r="C114" s="9" t="str">
        <f aca="false">IF($B114="","",IFERROR(VLOOKUP($B114,'Recetas y precios'!$A:$B,2,FALSE()),""))</f>
        <v/>
      </c>
      <c r="D114" s="28"/>
      <c r="E114" s="28"/>
      <c r="F114" s="14" t="str">
        <f aca="false">IF(OR($B114="",$D114=""),"",IFERROR(INDEX('Recetas y precios'!$P:$S,MATCH($B114,'Recetas y precios'!$A:$A,0),MATCH($D114,'Recetas y precios'!$P$5:$S$5,0)),""))</f>
        <v/>
      </c>
      <c r="G114" s="14" t="str">
        <f aca="false">IFERROR($E114*$F114,"")</f>
        <v/>
      </c>
      <c r="H114" s="14" t="str">
        <f aca="false">IF($B114="","",IF($D114="Rebanada en mostrador",IFERROR(VLOOKUP($B114,'Recetas y precios'!$A:$O,15,FALSE()),""),IFERROR(VLOOKUP($B114,'Recetas y precios'!$A:$M,13,FALSE()),"")))</f>
        <v/>
      </c>
      <c r="I114" s="14" t="str">
        <f aca="false">IFERROR($E114*$H114,"")</f>
        <v/>
      </c>
      <c r="J114" s="14" t="str">
        <f aca="false">IFERROR($G114-$I114,"")</f>
        <v/>
      </c>
      <c r="K114" s="21" t="str">
        <f aca="false">IFERROR($J114/$G114,"")</f>
        <v/>
      </c>
      <c r="L114" s="28"/>
    </row>
    <row r="115" customFormat="false" ht="15" hidden="false" customHeight="false" outlineLevel="0" collapsed="false">
      <c r="A115" s="27"/>
      <c r="B115" s="28"/>
      <c r="C115" s="9" t="str">
        <f aca="false">IF($B115="","",IFERROR(VLOOKUP($B115,'Recetas y precios'!$A:$B,2,FALSE()),""))</f>
        <v/>
      </c>
      <c r="D115" s="28"/>
      <c r="E115" s="28"/>
      <c r="F115" s="14" t="str">
        <f aca="false">IF(OR($B115="",$D115=""),"",IFERROR(INDEX('Recetas y precios'!$P:$S,MATCH($B115,'Recetas y precios'!$A:$A,0),MATCH($D115,'Recetas y precios'!$P$5:$S$5,0)),""))</f>
        <v/>
      </c>
      <c r="G115" s="14" t="str">
        <f aca="false">IFERROR($E115*$F115,"")</f>
        <v/>
      </c>
      <c r="H115" s="14" t="str">
        <f aca="false">IF($B115="","",IF($D115="Rebanada en mostrador",IFERROR(VLOOKUP($B115,'Recetas y precios'!$A:$O,15,FALSE()),""),IFERROR(VLOOKUP($B115,'Recetas y precios'!$A:$M,13,FALSE()),"")))</f>
        <v/>
      </c>
      <c r="I115" s="14" t="str">
        <f aca="false">IFERROR($E115*$H115,"")</f>
        <v/>
      </c>
      <c r="J115" s="14" t="str">
        <f aca="false">IFERROR($G115-$I115,"")</f>
        <v/>
      </c>
      <c r="K115" s="21" t="str">
        <f aca="false">IFERROR($J115/$G115,"")</f>
        <v/>
      </c>
      <c r="L115" s="28"/>
    </row>
    <row r="116" customFormat="false" ht="15" hidden="false" customHeight="false" outlineLevel="0" collapsed="false">
      <c r="A116" s="27"/>
      <c r="B116" s="28"/>
      <c r="C116" s="9" t="str">
        <f aca="false">IF($B116="","",IFERROR(VLOOKUP($B116,'Recetas y precios'!$A:$B,2,FALSE()),""))</f>
        <v/>
      </c>
      <c r="D116" s="28"/>
      <c r="E116" s="28"/>
      <c r="F116" s="14" t="str">
        <f aca="false">IF(OR($B116="",$D116=""),"",IFERROR(INDEX('Recetas y precios'!$P:$S,MATCH($B116,'Recetas y precios'!$A:$A,0),MATCH($D116,'Recetas y precios'!$P$5:$S$5,0)),""))</f>
        <v/>
      </c>
      <c r="G116" s="14" t="str">
        <f aca="false">IFERROR($E116*$F116,"")</f>
        <v/>
      </c>
      <c r="H116" s="14" t="str">
        <f aca="false">IF($B116="","",IF($D116="Rebanada en mostrador",IFERROR(VLOOKUP($B116,'Recetas y precios'!$A:$O,15,FALSE()),""),IFERROR(VLOOKUP($B116,'Recetas y precios'!$A:$M,13,FALSE()),"")))</f>
        <v/>
      </c>
      <c r="I116" s="14" t="str">
        <f aca="false">IFERROR($E116*$H116,"")</f>
        <v/>
      </c>
      <c r="J116" s="14" t="str">
        <f aca="false">IFERROR($G116-$I116,"")</f>
        <v/>
      </c>
      <c r="K116" s="21" t="str">
        <f aca="false">IFERROR($J116/$G116,"")</f>
        <v/>
      </c>
      <c r="L116" s="28"/>
    </row>
    <row r="117" customFormat="false" ht="15" hidden="false" customHeight="false" outlineLevel="0" collapsed="false">
      <c r="A117" s="27"/>
      <c r="B117" s="28"/>
      <c r="C117" s="9" t="str">
        <f aca="false">IF($B117="","",IFERROR(VLOOKUP($B117,'Recetas y precios'!$A:$B,2,FALSE()),""))</f>
        <v/>
      </c>
      <c r="D117" s="28"/>
      <c r="E117" s="28"/>
      <c r="F117" s="14" t="str">
        <f aca="false">IF(OR($B117="",$D117=""),"",IFERROR(INDEX('Recetas y precios'!$P:$S,MATCH($B117,'Recetas y precios'!$A:$A,0),MATCH($D117,'Recetas y precios'!$P$5:$S$5,0)),""))</f>
        <v/>
      </c>
      <c r="G117" s="14" t="str">
        <f aca="false">IFERROR($E117*$F117,"")</f>
        <v/>
      </c>
      <c r="H117" s="14" t="str">
        <f aca="false">IF($B117="","",IF($D117="Rebanada en mostrador",IFERROR(VLOOKUP($B117,'Recetas y precios'!$A:$O,15,FALSE()),""),IFERROR(VLOOKUP($B117,'Recetas y precios'!$A:$M,13,FALSE()),"")))</f>
        <v/>
      </c>
      <c r="I117" s="14" t="str">
        <f aca="false">IFERROR($E117*$H117,"")</f>
        <v/>
      </c>
      <c r="J117" s="14" t="str">
        <f aca="false">IFERROR($G117-$I117,"")</f>
        <v/>
      </c>
      <c r="K117" s="21" t="str">
        <f aca="false">IFERROR($J117/$G117,"")</f>
        <v/>
      </c>
      <c r="L117" s="28"/>
    </row>
    <row r="118" customFormat="false" ht="15" hidden="false" customHeight="false" outlineLevel="0" collapsed="false">
      <c r="A118" s="27"/>
      <c r="B118" s="28"/>
      <c r="C118" s="9" t="str">
        <f aca="false">IF($B118="","",IFERROR(VLOOKUP($B118,'Recetas y precios'!$A:$B,2,FALSE()),""))</f>
        <v/>
      </c>
      <c r="D118" s="28"/>
      <c r="E118" s="28"/>
      <c r="F118" s="14" t="str">
        <f aca="false">IF(OR($B118="",$D118=""),"",IFERROR(INDEX('Recetas y precios'!$P:$S,MATCH($B118,'Recetas y precios'!$A:$A,0),MATCH($D118,'Recetas y precios'!$P$5:$S$5,0)),""))</f>
        <v/>
      </c>
      <c r="G118" s="14" t="str">
        <f aca="false">IFERROR($E118*$F118,"")</f>
        <v/>
      </c>
      <c r="H118" s="14" t="str">
        <f aca="false">IF($B118="","",IF($D118="Rebanada en mostrador",IFERROR(VLOOKUP($B118,'Recetas y precios'!$A:$O,15,FALSE()),""),IFERROR(VLOOKUP($B118,'Recetas y precios'!$A:$M,13,FALSE()),"")))</f>
        <v/>
      </c>
      <c r="I118" s="14" t="str">
        <f aca="false">IFERROR($E118*$H118,"")</f>
        <v/>
      </c>
      <c r="J118" s="14" t="str">
        <f aca="false">IFERROR($G118-$I118,"")</f>
        <v/>
      </c>
      <c r="K118" s="21" t="str">
        <f aca="false">IFERROR($J118/$G118,"")</f>
        <v/>
      </c>
      <c r="L118" s="28"/>
    </row>
    <row r="119" customFormat="false" ht="15" hidden="false" customHeight="false" outlineLevel="0" collapsed="false">
      <c r="A119" s="27"/>
      <c r="B119" s="28"/>
      <c r="C119" s="9" t="str">
        <f aca="false">IF($B119="","",IFERROR(VLOOKUP($B119,'Recetas y precios'!$A:$B,2,FALSE()),""))</f>
        <v/>
      </c>
      <c r="D119" s="28"/>
      <c r="E119" s="28"/>
      <c r="F119" s="14" t="str">
        <f aca="false">IF(OR($B119="",$D119=""),"",IFERROR(INDEX('Recetas y precios'!$P:$S,MATCH($B119,'Recetas y precios'!$A:$A,0),MATCH($D119,'Recetas y precios'!$P$5:$S$5,0)),""))</f>
        <v/>
      </c>
      <c r="G119" s="14" t="str">
        <f aca="false">IFERROR($E119*$F119,"")</f>
        <v/>
      </c>
      <c r="H119" s="14" t="str">
        <f aca="false">IF($B119="","",IF($D119="Rebanada en mostrador",IFERROR(VLOOKUP($B119,'Recetas y precios'!$A:$O,15,FALSE()),""),IFERROR(VLOOKUP($B119,'Recetas y precios'!$A:$M,13,FALSE()),"")))</f>
        <v/>
      </c>
      <c r="I119" s="14" t="str">
        <f aca="false">IFERROR($E119*$H119,"")</f>
        <v/>
      </c>
      <c r="J119" s="14" t="str">
        <f aca="false">IFERROR($G119-$I119,"")</f>
        <v/>
      </c>
      <c r="K119" s="21" t="str">
        <f aca="false">IFERROR($J119/$G119,"")</f>
        <v/>
      </c>
      <c r="L119" s="28"/>
    </row>
    <row r="120" customFormat="false" ht="15" hidden="false" customHeight="false" outlineLevel="0" collapsed="false">
      <c r="A120" s="27"/>
      <c r="B120" s="28"/>
      <c r="C120" s="9" t="str">
        <f aca="false">IF($B120="","",IFERROR(VLOOKUP($B120,'Recetas y precios'!$A:$B,2,FALSE()),""))</f>
        <v/>
      </c>
      <c r="D120" s="28"/>
      <c r="E120" s="28"/>
      <c r="F120" s="14" t="str">
        <f aca="false">IF(OR($B120="",$D120=""),"",IFERROR(INDEX('Recetas y precios'!$P:$S,MATCH($B120,'Recetas y precios'!$A:$A,0),MATCH($D120,'Recetas y precios'!$P$5:$S$5,0)),""))</f>
        <v/>
      </c>
      <c r="G120" s="14" t="str">
        <f aca="false">IFERROR($E120*$F120,"")</f>
        <v/>
      </c>
      <c r="H120" s="14" t="str">
        <f aca="false">IF($B120="","",IF($D120="Rebanada en mostrador",IFERROR(VLOOKUP($B120,'Recetas y precios'!$A:$O,15,FALSE()),""),IFERROR(VLOOKUP($B120,'Recetas y precios'!$A:$M,13,FALSE()),"")))</f>
        <v/>
      </c>
      <c r="I120" s="14" t="str">
        <f aca="false">IFERROR($E120*$H120,"")</f>
        <v/>
      </c>
      <c r="J120" s="14" t="str">
        <f aca="false">IFERROR($G120-$I120,"")</f>
        <v/>
      </c>
      <c r="K120" s="21" t="str">
        <f aca="false">IFERROR($J120/$G120,"")</f>
        <v/>
      </c>
      <c r="L120" s="28"/>
    </row>
    <row r="121" customFormat="false" ht="15" hidden="false" customHeight="false" outlineLevel="0" collapsed="false">
      <c r="A121" s="27"/>
      <c r="B121" s="28"/>
      <c r="C121" s="9" t="str">
        <f aca="false">IF($B121="","",IFERROR(VLOOKUP($B121,'Recetas y precios'!$A:$B,2,FALSE()),""))</f>
        <v/>
      </c>
      <c r="D121" s="28"/>
      <c r="E121" s="28"/>
      <c r="F121" s="14" t="str">
        <f aca="false">IF(OR($B121="",$D121=""),"",IFERROR(INDEX('Recetas y precios'!$P:$S,MATCH($B121,'Recetas y precios'!$A:$A,0),MATCH($D121,'Recetas y precios'!$P$5:$S$5,0)),""))</f>
        <v/>
      </c>
      <c r="G121" s="14" t="str">
        <f aca="false">IFERROR($E121*$F121,"")</f>
        <v/>
      </c>
      <c r="H121" s="14" t="str">
        <f aca="false">IF($B121="","",IF($D121="Rebanada en mostrador",IFERROR(VLOOKUP($B121,'Recetas y precios'!$A:$O,15,FALSE()),""),IFERROR(VLOOKUP($B121,'Recetas y precios'!$A:$M,13,FALSE()),"")))</f>
        <v/>
      </c>
      <c r="I121" s="14" t="str">
        <f aca="false">IFERROR($E121*$H121,"")</f>
        <v/>
      </c>
      <c r="J121" s="14" t="str">
        <f aca="false">IFERROR($G121-$I121,"")</f>
        <v/>
      </c>
      <c r="K121" s="21" t="str">
        <f aca="false">IFERROR($J121/$G121,"")</f>
        <v/>
      </c>
      <c r="L121" s="28"/>
    </row>
    <row r="122" customFormat="false" ht="15" hidden="false" customHeight="false" outlineLevel="0" collapsed="false">
      <c r="A122" s="27"/>
      <c r="B122" s="28"/>
      <c r="C122" s="9" t="str">
        <f aca="false">IF($B122="","",IFERROR(VLOOKUP($B122,'Recetas y precios'!$A:$B,2,FALSE()),""))</f>
        <v/>
      </c>
      <c r="D122" s="28"/>
      <c r="E122" s="28"/>
      <c r="F122" s="14" t="str">
        <f aca="false">IF(OR($B122="",$D122=""),"",IFERROR(INDEX('Recetas y precios'!$P:$S,MATCH($B122,'Recetas y precios'!$A:$A,0),MATCH($D122,'Recetas y precios'!$P$5:$S$5,0)),""))</f>
        <v/>
      </c>
      <c r="G122" s="14" t="str">
        <f aca="false">IFERROR($E122*$F122,"")</f>
        <v/>
      </c>
      <c r="H122" s="14" t="str">
        <f aca="false">IF($B122="","",IF($D122="Rebanada en mostrador",IFERROR(VLOOKUP($B122,'Recetas y precios'!$A:$O,15,FALSE()),""),IFERROR(VLOOKUP($B122,'Recetas y precios'!$A:$M,13,FALSE()),"")))</f>
        <v/>
      </c>
      <c r="I122" s="14" t="str">
        <f aca="false">IFERROR($E122*$H122,"")</f>
        <v/>
      </c>
      <c r="J122" s="14" t="str">
        <f aca="false">IFERROR($G122-$I122,"")</f>
        <v/>
      </c>
      <c r="K122" s="21" t="str">
        <f aca="false">IFERROR($J122/$G122,"")</f>
        <v/>
      </c>
      <c r="L122" s="28"/>
    </row>
    <row r="123" customFormat="false" ht="15" hidden="false" customHeight="false" outlineLevel="0" collapsed="false">
      <c r="A123" s="27"/>
      <c r="B123" s="28"/>
      <c r="C123" s="9" t="str">
        <f aca="false">IF($B123="","",IFERROR(VLOOKUP($B123,'Recetas y precios'!$A:$B,2,FALSE()),""))</f>
        <v/>
      </c>
      <c r="D123" s="28"/>
      <c r="E123" s="28"/>
      <c r="F123" s="14" t="str">
        <f aca="false">IF(OR($B123="",$D123=""),"",IFERROR(INDEX('Recetas y precios'!$P:$S,MATCH($B123,'Recetas y precios'!$A:$A,0),MATCH($D123,'Recetas y precios'!$P$5:$S$5,0)),""))</f>
        <v/>
      </c>
      <c r="G123" s="14" t="str">
        <f aca="false">IFERROR($E123*$F123,"")</f>
        <v/>
      </c>
      <c r="H123" s="14" t="str">
        <f aca="false">IF($B123="","",IF($D123="Rebanada en mostrador",IFERROR(VLOOKUP($B123,'Recetas y precios'!$A:$O,15,FALSE()),""),IFERROR(VLOOKUP($B123,'Recetas y precios'!$A:$M,13,FALSE()),"")))</f>
        <v/>
      </c>
      <c r="I123" s="14" t="str">
        <f aca="false">IFERROR($E123*$H123,"")</f>
        <v/>
      </c>
      <c r="J123" s="14" t="str">
        <f aca="false">IFERROR($G123-$I123,"")</f>
        <v/>
      </c>
      <c r="K123" s="21" t="str">
        <f aca="false">IFERROR($J123/$G123,"")</f>
        <v/>
      </c>
      <c r="L123" s="28"/>
    </row>
    <row r="124" customFormat="false" ht="15" hidden="false" customHeight="false" outlineLevel="0" collapsed="false">
      <c r="A124" s="27"/>
      <c r="B124" s="28"/>
      <c r="C124" s="9" t="str">
        <f aca="false">IF($B124="","",IFERROR(VLOOKUP($B124,'Recetas y precios'!$A:$B,2,FALSE()),""))</f>
        <v/>
      </c>
      <c r="D124" s="28"/>
      <c r="E124" s="28"/>
      <c r="F124" s="14" t="str">
        <f aca="false">IF(OR($B124="",$D124=""),"",IFERROR(INDEX('Recetas y precios'!$P:$S,MATCH($B124,'Recetas y precios'!$A:$A,0),MATCH($D124,'Recetas y precios'!$P$5:$S$5,0)),""))</f>
        <v/>
      </c>
      <c r="G124" s="14" t="str">
        <f aca="false">IFERROR($E124*$F124,"")</f>
        <v/>
      </c>
      <c r="H124" s="14" t="str">
        <f aca="false">IF($B124="","",IF($D124="Rebanada en mostrador",IFERROR(VLOOKUP($B124,'Recetas y precios'!$A:$O,15,FALSE()),""),IFERROR(VLOOKUP($B124,'Recetas y precios'!$A:$M,13,FALSE()),"")))</f>
        <v/>
      </c>
      <c r="I124" s="14" t="str">
        <f aca="false">IFERROR($E124*$H124,"")</f>
        <v/>
      </c>
      <c r="J124" s="14" t="str">
        <f aca="false">IFERROR($G124-$I124,"")</f>
        <v/>
      </c>
      <c r="K124" s="21" t="str">
        <f aca="false">IFERROR($J124/$G124,"")</f>
        <v/>
      </c>
      <c r="L124" s="28"/>
    </row>
    <row r="125" customFormat="false" ht="15" hidden="false" customHeight="false" outlineLevel="0" collapsed="false">
      <c r="A125" s="27"/>
      <c r="B125" s="28"/>
      <c r="C125" s="9" t="str">
        <f aca="false">IF($B125="","",IFERROR(VLOOKUP($B125,'Recetas y precios'!$A:$B,2,FALSE()),""))</f>
        <v/>
      </c>
      <c r="D125" s="28"/>
      <c r="E125" s="28"/>
      <c r="F125" s="14" t="str">
        <f aca="false">IF(OR($B125="",$D125=""),"",IFERROR(INDEX('Recetas y precios'!$P:$S,MATCH($B125,'Recetas y precios'!$A:$A,0),MATCH($D125,'Recetas y precios'!$P$5:$S$5,0)),""))</f>
        <v/>
      </c>
      <c r="G125" s="14" t="str">
        <f aca="false">IFERROR($E125*$F125,"")</f>
        <v/>
      </c>
      <c r="H125" s="14" t="str">
        <f aca="false">IF($B125="","",IF($D125="Rebanada en mostrador",IFERROR(VLOOKUP($B125,'Recetas y precios'!$A:$O,15,FALSE()),""),IFERROR(VLOOKUP($B125,'Recetas y precios'!$A:$M,13,FALSE()),"")))</f>
        <v/>
      </c>
      <c r="I125" s="14" t="str">
        <f aca="false">IFERROR($E125*$H125,"")</f>
        <v/>
      </c>
      <c r="J125" s="14" t="str">
        <f aca="false">IFERROR($G125-$I125,"")</f>
        <v/>
      </c>
      <c r="K125" s="21" t="str">
        <f aca="false">IFERROR($J125/$G125,"")</f>
        <v/>
      </c>
      <c r="L125" s="28"/>
    </row>
    <row r="126" customFormat="false" ht="15" hidden="false" customHeight="false" outlineLevel="0" collapsed="false">
      <c r="A126" s="27"/>
      <c r="B126" s="28"/>
      <c r="C126" s="9" t="str">
        <f aca="false">IF($B126="","",IFERROR(VLOOKUP($B126,'Recetas y precios'!$A:$B,2,FALSE()),""))</f>
        <v/>
      </c>
      <c r="D126" s="28"/>
      <c r="E126" s="28"/>
      <c r="F126" s="14" t="str">
        <f aca="false">IF(OR($B126="",$D126=""),"",IFERROR(INDEX('Recetas y precios'!$P:$S,MATCH($B126,'Recetas y precios'!$A:$A,0),MATCH($D126,'Recetas y precios'!$P$5:$S$5,0)),""))</f>
        <v/>
      </c>
      <c r="G126" s="14" t="str">
        <f aca="false">IFERROR($E126*$F126,"")</f>
        <v/>
      </c>
      <c r="H126" s="14" t="str">
        <f aca="false">IF($B126="","",IF($D126="Rebanada en mostrador",IFERROR(VLOOKUP($B126,'Recetas y precios'!$A:$O,15,FALSE()),""),IFERROR(VLOOKUP($B126,'Recetas y precios'!$A:$M,13,FALSE()),"")))</f>
        <v/>
      </c>
      <c r="I126" s="14" t="str">
        <f aca="false">IFERROR($E126*$H126,"")</f>
        <v/>
      </c>
      <c r="J126" s="14" t="str">
        <f aca="false">IFERROR($G126-$I126,"")</f>
        <v/>
      </c>
      <c r="K126" s="21" t="str">
        <f aca="false">IFERROR($J126/$G126,"")</f>
        <v/>
      </c>
      <c r="L126" s="28"/>
    </row>
    <row r="127" customFormat="false" ht="15" hidden="false" customHeight="false" outlineLevel="0" collapsed="false">
      <c r="A127" s="27"/>
      <c r="B127" s="28"/>
      <c r="C127" s="9" t="str">
        <f aca="false">IF($B127="","",IFERROR(VLOOKUP($B127,'Recetas y precios'!$A:$B,2,FALSE()),""))</f>
        <v/>
      </c>
      <c r="D127" s="28"/>
      <c r="E127" s="28"/>
      <c r="F127" s="14" t="str">
        <f aca="false">IF(OR($B127="",$D127=""),"",IFERROR(INDEX('Recetas y precios'!$P:$S,MATCH($B127,'Recetas y precios'!$A:$A,0),MATCH($D127,'Recetas y precios'!$P$5:$S$5,0)),""))</f>
        <v/>
      </c>
      <c r="G127" s="14" t="str">
        <f aca="false">IFERROR($E127*$F127,"")</f>
        <v/>
      </c>
      <c r="H127" s="14" t="str">
        <f aca="false">IF($B127="","",IF($D127="Rebanada en mostrador",IFERROR(VLOOKUP($B127,'Recetas y precios'!$A:$O,15,FALSE()),""),IFERROR(VLOOKUP($B127,'Recetas y precios'!$A:$M,13,FALSE()),"")))</f>
        <v/>
      </c>
      <c r="I127" s="14" t="str">
        <f aca="false">IFERROR($E127*$H127,"")</f>
        <v/>
      </c>
      <c r="J127" s="14" t="str">
        <f aca="false">IFERROR($G127-$I127,"")</f>
        <v/>
      </c>
      <c r="K127" s="21" t="str">
        <f aca="false">IFERROR($J127/$G127,"")</f>
        <v/>
      </c>
      <c r="L127" s="28"/>
    </row>
    <row r="128" customFormat="false" ht="15" hidden="false" customHeight="false" outlineLevel="0" collapsed="false">
      <c r="A128" s="27"/>
      <c r="B128" s="28"/>
      <c r="C128" s="9" t="str">
        <f aca="false">IF($B128="","",IFERROR(VLOOKUP($B128,'Recetas y precios'!$A:$B,2,FALSE()),""))</f>
        <v/>
      </c>
      <c r="D128" s="28"/>
      <c r="E128" s="28"/>
      <c r="F128" s="14" t="str">
        <f aca="false">IF(OR($B128="",$D128=""),"",IFERROR(INDEX('Recetas y precios'!$P:$S,MATCH($B128,'Recetas y precios'!$A:$A,0),MATCH($D128,'Recetas y precios'!$P$5:$S$5,0)),""))</f>
        <v/>
      </c>
      <c r="G128" s="14" t="str">
        <f aca="false">IFERROR($E128*$F128,"")</f>
        <v/>
      </c>
      <c r="H128" s="14" t="str">
        <f aca="false">IF($B128="","",IF($D128="Rebanada en mostrador",IFERROR(VLOOKUP($B128,'Recetas y precios'!$A:$O,15,FALSE()),""),IFERROR(VLOOKUP($B128,'Recetas y precios'!$A:$M,13,FALSE()),"")))</f>
        <v/>
      </c>
      <c r="I128" s="14" t="str">
        <f aca="false">IFERROR($E128*$H128,"")</f>
        <v/>
      </c>
      <c r="J128" s="14" t="str">
        <f aca="false">IFERROR($G128-$I128,"")</f>
        <v/>
      </c>
      <c r="K128" s="21" t="str">
        <f aca="false">IFERROR($J128/$G128,"")</f>
        <v/>
      </c>
      <c r="L128" s="28"/>
    </row>
    <row r="129" customFormat="false" ht="15" hidden="false" customHeight="false" outlineLevel="0" collapsed="false">
      <c r="A129" s="27"/>
      <c r="B129" s="28"/>
      <c r="C129" s="9" t="str">
        <f aca="false">IF($B129="","",IFERROR(VLOOKUP($B129,'Recetas y precios'!$A:$B,2,FALSE()),""))</f>
        <v/>
      </c>
      <c r="D129" s="28"/>
      <c r="E129" s="28"/>
      <c r="F129" s="14" t="str">
        <f aca="false">IF(OR($B129="",$D129=""),"",IFERROR(INDEX('Recetas y precios'!$P:$S,MATCH($B129,'Recetas y precios'!$A:$A,0),MATCH($D129,'Recetas y precios'!$P$5:$S$5,0)),""))</f>
        <v/>
      </c>
      <c r="G129" s="14" t="str">
        <f aca="false">IFERROR($E129*$F129,"")</f>
        <v/>
      </c>
      <c r="H129" s="14" t="str">
        <f aca="false">IF($B129="","",IF($D129="Rebanada en mostrador",IFERROR(VLOOKUP($B129,'Recetas y precios'!$A:$O,15,FALSE()),""),IFERROR(VLOOKUP($B129,'Recetas y precios'!$A:$M,13,FALSE()),"")))</f>
        <v/>
      </c>
      <c r="I129" s="14" t="str">
        <f aca="false">IFERROR($E129*$H129,"")</f>
        <v/>
      </c>
      <c r="J129" s="14" t="str">
        <f aca="false">IFERROR($G129-$I129,"")</f>
        <v/>
      </c>
      <c r="K129" s="21" t="str">
        <f aca="false">IFERROR($J129/$G129,"")</f>
        <v/>
      </c>
      <c r="L129" s="28"/>
    </row>
    <row r="130" customFormat="false" ht="15" hidden="false" customHeight="false" outlineLevel="0" collapsed="false">
      <c r="A130" s="27"/>
      <c r="B130" s="28"/>
      <c r="C130" s="9" t="str">
        <f aca="false">IF($B130="","",IFERROR(VLOOKUP($B130,'Recetas y precios'!$A:$B,2,FALSE()),""))</f>
        <v/>
      </c>
      <c r="D130" s="28"/>
      <c r="E130" s="28"/>
      <c r="F130" s="14" t="str">
        <f aca="false">IF(OR($B130="",$D130=""),"",IFERROR(INDEX('Recetas y precios'!$P:$S,MATCH($B130,'Recetas y precios'!$A:$A,0),MATCH($D130,'Recetas y precios'!$P$5:$S$5,0)),""))</f>
        <v/>
      </c>
      <c r="G130" s="14" t="str">
        <f aca="false">IFERROR($E130*$F130,"")</f>
        <v/>
      </c>
      <c r="H130" s="14" t="str">
        <f aca="false">IF($B130="","",IF($D130="Rebanada en mostrador",IFERROR(VLOOKUP($B130,'Recetas y precios'!$A:$O,15,FALSE()),""),IFERROR(VLOOKUP($B130,'Recetas y precios'!$A:$M,13,FALSE()),"")))</f>
        <v/>
      </c>
      <c r="I130" s="14" t="str">
        <f aca="false">IFERROR($E130*$H130,"")</f>
        <v/>
      </c>
      <c r="J130" s="14" t="str">
        <f aca="false">IFERROR($G130-$I130,"")</f>
        <v/>
      </c>
      <c r="K130" s="21" t="str">
        <f aca="false">IFERROR($J130/$G130,"")</f>
        <v/>
      </c>
      <c r="L130" s="28"/>
    </row>
    <row r="131" customFormat="false" ht="15" hidden="false" customHeight="false" outlineLevel="0" collapsed="false">
      <c r="A131" s="27"/>
      <c r="B131" s="28"/>
      <c r="C131" s="9" t="str">
        <f aca="false">IF($B131="","",IFERROR(VLOOKUP($B131,'Recetas y precios'!$A:$B,2,FALSE()),""))</f>
        <v/>
      </c>
      <c r="D131" s="28"/>
      <c r="E131" s="28"/>
      <c r="F131" s="14" t="str">
        <f aca="false">IF(OR($B131="",$D131=""),"",IFERROR(INDEX('Recetas y precios'!$P:$S,MATCH($B131,'Recetas y precios'!$A:$A,0),MATCH($D131,'Recetas y precios'!$P$5:$S$5,0)),""))</f>
        <v/>
      </c>
      <c r="G131" s="14" t="str">
        <f aca="false">IFERROR($E131*$F131,"")</f>
        <v/>
      </c>
      <c r="H131" s="14" t="str">
        <f aca="false">IF($B131="","",IF($D131="Rebanada en mostrador",IFERROR(VLOOKUP($B131,'Recetas y precios'!$A:$O,15,FALSE()),""),IFERROR(VLOOKUP($B131,'Recetas y precios'!$A:$M,13,FALSE()),"")))</f>
        <v/>
      </c>
      <c r="I131" s="14" t="str">
        <f aca="false">IFERROR($E131*$H131,"")</f>
        <v/>
      </c>
      <c r="J131" s="14" t="str">
        <f aca="false">IFERROR($G131-$I131,"")</f>
        <v/>
      </c>
      <c r="K131" s="21" t="str">
        <f aca="false">IFERROR($J131/$G131,"")</f>
        <v/>
      </c>
      <c r="L131" s="28"/>
    </row>
    <row r="132" customFormat="false" ht="15" hidden="false" customHeight="false" outlineLevel="0" collapsed="false">
      <c r="A132" s="27"/>
      <c r="B132" s="28"/>
      <c r="C132" s="9" t="str">
        <f aca="false">IF($B132="","",IFERROR(VLOOKUP($B132,'Recetas y precios'!$A:$B,2,FALSE()),""))</f>
        <v/>
      </c>
      <c r="D132" s="28"/>
      <c r="E132" s="28"/>
      <c r="F132" s="14" t="str">
        <f aca="false">IF(OR($B132="",$D132=""),"",IFERROR(INDEX('Recetas y precios'!$P:$S,MATCH($B132,'Recetas y precios'!$A:$A,0),MATCH($D132,'Recetas y precios'!$P$5:$S$5,0)),""))</f>
        <v/>
      </c>
      <c r="G132" s="14" t="str">
        <f aca="false">IFERROR($E132*$F132,"")</f>
        <v/>
      </c>
      <c r="H132" s="14" t="str">
        <f aca="false">IF($B132="","",IF($D132="Rebanada en mostrador",IFERROR(VLOOKUP($B132,'Recetas y precios'!$A:$O,15,FALSE()),""),IFERROR(VLOOKUP($B132,'Recetas y precios'!$A:$M,13,FALSE()),"")))</f>
        <v/>
      </c>
      <c r="I132" s="14" t="str">
        <f aca="false">IFERROR($E132*$H132,"")</f>
        <v/>
      </c>
      <c r="J132" s="14" t="str">
        <f aca="false">IFERROR($G132-$I132,"")</f>
        <v/>
      </c>
      <c r="K132" s="21" t="str">
        <f aca="false">IFERROR($J132/$G132,"")</f>
        <v/>
      </c>
      <c r="L132" s="28"/>
    </row>
    <row r="133" customFormat="false" ht="15" hidden="false" customHeight="false" outlineLevel="0" collapsed="false">
      <c r="A133" s="27"/>
      <c r="B133" s="28"/>
      <c r="C133" s="9" t="str">
        <f aca="false">IF($B133="","",IFERROR(VLOOKUP($B133,'Recetas y precios'!$A:$B,2,FALSE()),""))</f>
        <v/>
      </c>
      <c r="D133" s="28"/>
      <c r="E133" s="28"/>
      <c r="F133" s="14" t="str">
        <f aca="false">IF(OR($B133="",$D133=""),"",IFERROR(INDEX('Recetas y precios'!$P:$S,MATCH($B133,'Recetas y precios'!$A:$A,0),MATCH($D133,'Recetas y precios'!$P$5:$S$5,0)),""))</f>
        <v/>
      </c>
      <c r="G133" s="14" t="str">
        <f aca="false">IFERROR($E133*$F133,"")</f>
        <v/>
      </c>
      <c r="H133" s="14" t="str">
        <f aca="false">IF($B133="","",IF($D133="Rebanada en mostrador",IFERROR(VLOOKUP($B133,'Recetas y precios'!$A:$O,15,FALSE()),""),IFERROR(VLOOKUP($B133,'Recetas y precios'!$A:$M,13,FALSE()),"")))</f>
        <v/>
      </c>
      <c r="I133" s="14" t="str">
        <f aca="false">IFERROR($E133*$H133,"")</f>
        <v/>
      </c>
      <c r="J133" s="14" t="str">
        <f aca="false">IFERROR($G133-$I133,"")</f>
        <v/>
      </c>
      <c r="K133" s="21" t="str">
        <f aca="false">IFERROR($J133/$G133,"")</f>
        <v/>
      </c>
      <c r="L133" s="28"/>
    </row>
    <row r="134" customFormat="false" ht="15" hidden="false" customHeight="false" outlineLevel="0" collapsed="false">
      <c r="A134" s="27"/>
      <c r="B134" s="28"/>
      <c r="C134" s="9" t="str">
        <f aca="false">IF($B134="","",IFERROR(VLOOKUP($B134,'Recetas y precios'!$A:$B,2,FALSE()),""))</f>
        <v/>
      </c>
      <c r="D134" s="28"/>
      <c r="E134" s="28"/>
      <c r="F134" s="14" t="str">
        <f aca="false">IF(OR($B134="",$D134=""),"",IFERROR(INDEX('Recetas y precios'!$P:$S,MATCH($B134,'Recetas y precios'!$A:$A,0),MATCH($D134,'Recetas y precios'!$P$5:$S$5,0)),""))</f>
        <v/>
      </c>
      <c r="G134" s="14" t="str">
        <f aca="false">IFERROR($E134*$F134,"")</f>
        <v/>
      </c>
      <c r="H134" s="14" t="str">
        <f aca="false">IF($B134="","",IF($D134="Rebanada en mostrador",IFERROR(VLOOKUP($B134,'Recetas y precios'!$A:$O,15,FALSE()),""),IFERROR(VLOOKUP($B134,'Recetas y precios'!$A:$M,13,FALSE()),"")))</f>
        <v/>
      </c>
      <c r="I134" s="14" t="str">
        <f aca="false">IFERROR($E134*$H134,"")</f>
        <v/>
      </c>
      <c r="J134" s="14" t="str">
        <f aca="false">IFERROR($G134-$I134,"")</f>
        <v/>
      </c>
      <c r="K134" s="21" t="str">
        <f aca="false">IFERROR($J134/$G134,"")</f>
        <v/>
      </c>
      <c r="L134" s="28"/>
    </row>
    <row r="135" customFormat="false" ht="15" hidden="false" customHeight="false" outlineLevel="0" collapsed="false">
      <c r="A135" s="27"/>
      <c r="B135" s="28"/>
      <c r="C135" s="9" t="str">
        <f aca="false">IF($B135="","",IFERROR(VLOOKUP($B135,'Recetas y precios'!$A:$B,2,FALSE()),""))</f>
        <v/>
      </c>
      <c r="D135" s="28"/>
      <c r="E135" s="28"/>
      <c r="F135" s="14" t="str">
        <f aca="false">IF(OR($B135="",$D135=""),"",IFERROR(INDEX('Recetas y precios'!$P:$S,MATCH($B135,'Recetas y precios'!$A:$A,0),MATCH($D135,'Recetas y precios'!$P$5:$S$5,0)),""))</f>
        <v/>
      </c>
      <c r="G135" s="14" t="str">
        <f aca="false">IFERROR($E135*$F135,"")</f>
        <v/>
      </c>
      <c r="H135" s="14" t="str">
        <f aca="false">IF($B135="","",IF($D135="Rebanada en mostrador",IFERROR(VLOOKUP($B135,'Recetas y precios'!$A:$O,15,FALSE()),""),IFERROR(VLOOKUP($B135,'Recetas y precios'!$A:$M,13,FALSE()),"")))</f>
        <v/>
      </c>
      <c r="I135" s="14" t="str">
        <f aca="false">IFERROR($E135*$H135,"")</f>
        <v/>
      </c>
      <c r="J135" s="14" t="str">
        <f aca="false">IFERROR($G135-$I135,"")</f>
        <v/>
      </c>
      <c r="K135" s="21" t="str">
        <f aca="false">IFERROR($J135/$G135,"")</f>
        <v/>
      </c>
      <c r="L135" s="28"/>
    </row>
    <row r="136" customFormat="false" ht="15" hidden="false" customHeight="false" outlineLevel="0" collapsed="false">
      <c r="A136" s="27"/>
      <c r="B136" s="28"/>
      <c r="C136" s="9" t="str">
        <f aca="false">IF($B136="","",IFERROR(VLOOKUP($B136,'Recetas y precios'!$A:$B,2,FALSE()),""))</f>
        <v/>
      </c>
      <c r="D136" s="28"/>
      <c r="E136" s="28"/>
      <c r="F136" s="14" t="str">
        <f aca="false">IF(OR($B136="",$D136=""),"",IFERROR(INDEX('Recetas y precios'!$P:$S,MATCH($B136,'Recetas y precios'!$A:$A,0),MATCH($D136,'Recetas y precios'!$P$5:$S$5,0)),""))</f>
        <v/>
      </c>
      <c r="G136" s="14" t="str">
        <f aca="false">IFERROR($E136*$F136,"")</f>
        <v/>
      </c>
      <c r="H136" s="14" t="str">
        <f aca="false">IF($B136="","",IF($D136="Rebanada en mostrador",IFERROR(VLOOKUP($B136,'Recetas y precios'!$A:$O,15,FALSE()),""),IFERROR(VLOOKUP($B136,'Recetas y precios'!$A:$M,13,FALSE()),"")))</f>
        <v/>
      </c>
      <c r="I136" s="14" t="str">
        <f aca="false">IFERROR($E136*$H136,"")</f>
        <v/>
      </c>
      <c r="J136" s="14" t="str">
        <f aca="false">IFERROR($G136-$I136,"")</f>
        <v/>
      </c>
      <c r="K136" s="21" t="str">
        <f aca="false">IFERROR($J136/$G136,"")</f>
        <v/>
      </c>
      <c r="L136" s="28"/>
    </row>
    <row r="137" customFormat="false" ht="15" hidden="false" customHeight="false" outlineLevel="0" collapsed="false">
      <c r="A137" s="27"/>
      <c r="B137" s="28"/>
      <c r="C137" s="9" t="str">
        <f aca="false">IF($B137="","",IFERROR(VLOOKUP($B137,'Recetas y precios'!$A:$B,2,FALSE()),""))</f>
        <v/>
      </c>
      <c r="D137" s="28"/>
      <c r="E137" s="28"/>
      <c r="F137" s="14" t="str">
        <f aca="false">IF(OR($B137="",$D137=""),"",IFERROR(INDEX('Recetas y precios'!$P:$S,MATCH($B137,'Recetas y precios'!$A:$A,0),MATCH($D137,'Recetas y precios'!$P$5:$S$5,0)),""))</f>
        <v/>
      </c>
      <c r="G137" s="14" t="str">
        <f aca="false">IFERROR($E137*$F137,"")</f>
        <v/>
      </c>
      <c r="H137" s="14" t="str">
        <f aca="false">IF($B137="","",IF($D137="Rebanada en mostrador",IFERROR(VLOOKUP($B137,'Recetas y precios'!$A:$O,15,FALSE()),""),IFERROR(VLOOKUP($B137,'Recetas y precios'!$A:$M,13,FALSE()),"")))</f>
        <v/>
      </c>
      <c r="I137" s="14" t="str">
        <f aca="false">IFERROR($E137*$H137,"")</f>
        <v/>
      </c>
      <c r="J137" s="14" t="str">
        <f aca="false">IFERROR($G137-$I137,"")</f>
        <v/>
      </c>
      <c r="K137" s="21" t="str">
        <f aca="false">IFERROR($J137/$G137,"")</f>
        <v/>
      </c>
      <c r="L137" s="28"/>
    </row>
    <row r="138" customFormat="false" ht="15" hidden="false" customHeight="false" outlineLevel="0" collapsed="false">
      <c r="A138" s="27"/>
      <c r="B138" s="28"/>
      <c r="C138" s="9" t="str">
        <f aca="false">IF($B138="","",IFERROR(VLOOKUP($B138,'Recetas y precios'!$A:$B,2,FALSE()),""))</f>
        <v/>
      </c>
      <c r="D138" s="28"/>
      <c r="E138" s="28"/>
      <c r="F138" s="14" t="str">
        <f aca="false">IF(OR($B138="",$D138=""),"",IFERROR(INDEX('Recetas y precios'!$P:$S,MATCH($B138,'Recetas y precios'!$A:$A,0),MATCH($D138,'Recetas y precios'!$P$5:$S$5,0)),""))</f>
        <v/>
      </c>
      <c r="G138" s="14" t="str">
        <f aca="false">IFERROR($E138*$F138,"")</f>
        <v/>
      </c>
      <c r="H138" s="14" t="str">
        <f aca="false">IF($B138="","",IF($D138="Rebanada en mostrador",IFERROR(VLOOKUP($B138,'Recetas y precios'!$A:$O,15,FALSE()),""),IFERROR(VLOOKUP($B138,'Recetas y precios'!$A:$M,13,FALSE()),"")))</f>
        <v/>
      </c>
      <c r="I138" s="14" t="str">
        <f aca="false">IFERROR($E138*$H138,"")</f>
        <v/>
      </c>
      <c r="J138" s="14" t="str">
        <f aca="false">IFERROR($G138-$I138,"")</f>
        <v/>
      </c>
      <c r="K138" s="21" t="str">
        <f aca="false">IFERROR($J138/$G138,"")</f>
        <v/>
      </c>
      <c r="L138" s="28"/>
    </row>
    <row r="139" customFormat="false" ht="15" hidden="false" customHeight="false" outlineLevel="0" collapsed="false">
      <c r="A139" s="27"/>
      <c r="B139" s="28"/>
      <c r="C139" s="9" t="str">
        <f aca="false">IF($B139="","",IFERROR(VLOOKUP($B139,'Recetas y precios'!$A:$B,2,FALSE()),""))</f>
        <v/>
      </c>
      <c r="D139" s="28"/>
      <c r="E139" s="28"/>
      <c r="F139" s="14" t="str">
        <f aca="false">IF(OR($B139="",$D139=""),"",IFERROR(INDEX('Recetas y precios'!$P:$S,MATCH($B139,'Recetas y precios'!$A:$A,0),MATCH($D139,'Recetas y precios'!$P$5:$S$5,0)),""))</f>
        <v/>
      </c>
      <c r="G139" s="14" t="str">
        <f aca="false">IFERROR($E139*$F139,"")</f>
        <v/>
      </c>
      <c r="H139" s="14" t="str">
        <f aca="false">IF($B139="","",IF($D139="Rebanada en mostrador",IFERROR(VLOOKUP($B139,'Recetas y precios'!$A:$O,15,FALSE()),""),IFERROR(VLOOKUP($B139,'Recetas y precios'!$A:$M,13,FALSE()),"")))</f>
        <v/>
      </c>
      <c r="I139" s="14" t="str">
        <f aca="false">IFERROR($E139*$H139,"")</f>
        <v/>
      </c>
      <c r="J139" s="14" t="str">
        <f aca="false">IFERROR($G139-$I139,"")</f>
        <v/>
      </c>
      <c r="K139" s="21" t="str">
        <f aca="false">IFERROR($J139/$G139,"")</f>
        <v/>
      </c>
      <c r="L139" s="28"/>
    </row>
    <row r="140" customFormat="false" ht="15" hidden="false" customHeight="false" outlineLevel="0" collapsed="false">
      <c r="A140" s="27"/>
      <c r="B140" s="28"/>
      <c r="C140" s="9" t="str">
        <f aca="false">IF($B140="","",IFERROR(VLOOKUP($B140,'Recetas y precios'!$A:$B,2,FALSE()),""))</f>
        <v/>
      </c>
      <c r="D140" s="28"/>
      <c r="E140" s="28"/>
      <c r="F140" s="14" t="str">
        <f aca="false">IF(OR($B140="",$D140=""),"",IFERROR(INDEX('Recetas y precios'!$P:$S,MATCH($B140,'Recetas y precios'!$A:$A,0),MATCH($D140,'Recetas y precios'!$P$5:$S$5,0)),""))</f>
        <v/>
      </c>
      <c r="G140" s="14" t="str">
        <f aca="false">IFERROR($E140*$F140,"")</f>
        <v/>
      </c>
      <c r="H140" s="14" t="str">
        <f aca="false">IF($B140="","",IF($D140="Rebanada en mostrador",IFERROR(VLOOKUP($B140,'Recetas y precios'!$A:$O,15,FALSE()),""),IFERROR(VLOOKUP($B140,'Recetas y precios'!$A:$M,13,FALSE()),"")))</f>
        <v/>
      </c>
      <c r="I140" s="14" t="str">
        <f aca="false">IFERROR($E140*$H140,"")</f>
        <v/>
      </c>
      <c r="J140" s="14" t="str">
        <f aca="false">IFERROR($G140-$I140,"")</f>
        <v/>
      </c>
      <c r="K140" s="21" t="str">
        <f aca="false">IFERROR($J140/$G140,"")</f>
        <v/>
      </c>
      <c r="L140" s="28"/>
    </row>
    <row r="141" customFormat="false" ht="15" hidden="false" customHeight="false" outlineLevel="0" collapsed="false">
      <c r="A141" s="27"/>
      <c r="B141" s="28"/>
      <c r="C141" s="9" t="str">
        <f aca="false">IF($B141="","",IFERROR(VLOOKUP($B141,'Recetas y precios'!$A:$B,2,FALSE()),""))</f>
        <v/>
      </c>
      <c r="D141" s="28"/>
      <c r="E141" s="28"/>
      <c r="F141" s="14" t="str">
        <f aca="false">IF(OR($B141="",$D141=""),"",IFERROR(INDEX('Recetas y precios'!$P:$S,MATCH($B141,'Recetas y precios'!$A:$A,0),MATCH($D141,'Recetas y precios'!$P$5:$S$5,0)),""))</f>
        <v/>
      </c>
      <c r="G141" s="14" t="str">
        <f aca="false">IFERROR($E141*$F141,"")</f>
        <v/>
      </c>
      <c r="H141" s="14" t="str">
        <f aca="false">IF($B141="","",IF($D141="Rebanada en mostrador",IFERROR(VLOOKUP($B141,'Recetas y precios'!$A:$O,15,FALSE()),""),IFERROR(VLOOKUP($B141,'Recetas y precios'!$A:$M,13,FALSE()),"")))</f>
        <v/>
      </c>
      <c r="I141" s="14" t="str">
        <f aca="false">IFERROR($E141*$H141,"")</f>
        <v/>
      </c>
      <c r="J141" s="14" t="str">
        <f aca="false">IFERROR($G141-$I141,"")</f>
        <v/>
      </c>
      <c r="K141" s="21" t="str">
        <f aca="false">IFERROR($J141/$G141,"")</f>
        <v/>
      </c>
      <c r="L141" s="28"/>
    </row>
    <row r="142" customFormat="false" ht="15" hidden="false" customHeight="false" outlineLevel="0" collapsed="false">
      <c r="A142" s="27"/>
      <c r="B142" s="28"/>
      <c r="C142" s="9" t="str">
        <f aca="false">IF($B142="","",IFERROR(VLOOKUP($B142,'Recetas y precios'!$A:$B,2,FALSE()),""))</f>
        <v/>
      </c>
      <c r="D142" s="28"/>
      <c r="E142" s="28"/>
      <c r="F142" s="14" t="str">
        <f aca="false">IF(OR($B142="",$D142=""),"",IFERROR(INDEX('Recetas y precios'!$P:$S,MATCH($B142,'Recetas y precios'!$A:$A,0),MATCH($D142,'Recetas y precios'!$P$5:$S$5,0)),""))</f>
        <v/>
      </c>
      <c r="G142" s="14" t="str">
        <f aca="false">IFERROR($E142*$F142,"")</f>
        <v/>
      </c>
      <c r="H142" s="14" t="str">
        <f aca="false">IF($B142="","",IF($D142="Rebanada en mostrador",IFERROR(VLOOKUP($B142,'Recetas y precios'!$A:$O,15,FALSE()),""),IFERROR(VLOOKUP($B142,'Recetas y precios'!$A:$M,13,FALSE()),"")))</f>
        <v/>
      </c>
      <c r="I142" s="14" t="str">
        <f aca="false">IFERROR($E142*$H142,"")</f>
        <v/>
      </c>
      <c r="J142" s="14" t="str">
        <f aca="false">IFERROR($G142-$I142,"")</f>
        <v/>
      </c>
      <c r="K142" s="21" t="str">
        <f aca="false">IFERROR($J142/$G142,"")</f>
        <v/>
      </c>
      <c r="L142" s="28"/>
    </row>
    <row r="143" customFormat="false" ht="15" hidden="false" customHeight="false" outlineLevel="0" collapsed="false">
      <c r="A143" s="27"/>
      <c r="B143" s="28"/>
      <c r="C143" s="9" t="str">
        <f aca="false">IF($B143="","",IFERROR(VLOOKUP($B143,'Recetas y precios'!$A:$B,2,FALSE()),""))</f>
        <v/>
      </c>
      <c r="D143" s="28"/>
      <c r="E143" s="28"/>
      <c r="F143" s="14" t="str">
        <f aca="false">IF(OR($B143="",$D143=""),"",IFERROR(INDEX('Recetas y precios'!$P:$S,MATCH($B143,'Recetas y precios'!$A:$A,0),MATCH($D143,'Recetas y precios'!$P$5:$S$5,0)),""))</f>
        <v/>
      </c>
      <c r="G143" s="14" t="str">
        <f aca="false">IFERROR($E143*$F143,"")</f>
        <v/>
      </c>
      <c r="H143" s="14" t="str">
        <f aca="false">IF($B143="","",IF($D143="Rebanada en mostrador",IFERROR(VLOOKUP($B143,'Recetas y precios'!$A:$O,15,FALSE()),""),IFERROR(VLOOKUP($B143,'Recetas y precios'!$A:$M,13,FALSE()),"")))</f>
        <v/>
      </c>
      <c r="I143" s="14" t="str">
        <f aca="false">IFERROR($E143*$H143,"")</f>
        <v/>
      </c>
      <c r="J143" s="14" t="str">
        <f aca="false">IFERROR($G143-$I143,"")</f>
        <v/>
      </c>
      <c r="K143" s="21" t="str">
        <f aca="false">IFERROR($J143/$G143,"")</f>
        <v/>
      </c>
      <c r="L143" s="28"/>
    </row>
    <row r="144" customFormat="false" ht="15" hidden="false" customHeight="false" outlineLevel="0" collapsed="false">
      <c r="A144" s="27"/>
      <c r="B144" s="28"/>
      <c r="C144" s="9" t="str">
        <f aca="false">IF($B144="","",IFERROR(VLOOKUP($B144,'Recetas y precios'!$A:$B,2,FALSE()),""))</f>
        <v/>
      </c>
      <c r="D144" s="28"/>
      <c r="E144" s="28"/>
      <c r="F144" s="14" t="str">
        <f aca="false">IF(OR($B144="",$D144=""),"",IFERROR(INDEX('Recetas y precios'!$P:$S,MATCH($B144,'Recetas y precios'!$A:$A,0),MATCH($D144,'Recetas y precios'!$P$5:$S$5,0)),""))</f>
        <v/>
      </c>
      <c r="G144" s="14" t="str">
        <f aca="false">IFERROR($E144*$F144,"")</f>
        <v/>
      </c>
      <c r="H144" s="14" t="str">
        <f aca="false">IF($B144="","",IF($D144="Rebanada en mostrador",IFERROR(VLOOKUP($B144,'Recetas y precios'!$A:$O,15,FALSE()),""),IFERROR(VLOOKUP($B144,'Recetas y precios'!$A:$M,13,FALSE()),"")))</f>
        <v/>
      </c>
      <c r="I144" s="14" t="str">
        <f aca="false">IFERROR($E144*$H144,"")</f>
        <v/>
      </c>
      <c r="J144" s="14" t="str">
        <f aca="false">IFERROR($G144-$I144,"")</f>
        <v/>
      </c>
      <c r="K144" s="21" t="str">
        <f aca="false">IFERROR($J144/$G144,"")</f>
        <v/>
      </c>
      <c r="L144" s="28"/>
    </row>
    <row r="145" customFormat="false" ht="15" hidden="false" customHeight="false" outlineLevel="0" collapsed="false">
      <c r="A145" s="27"/>
      <c r="B145" s="28"/>
      <c r="C145" s="9" t="str">
        <f aca="false">IF($B145="","",IFERROR(VLOOKUP($B145,'Recetas y precios'!$A:$B,2,FALSE()),""))</f>
        <v/>
      </c>
      <c r="D145" s="28"/>
      <c r="E145" s="28"/>
      <c r="F145" s="14" t="str">
        <f aca="false">IF(OR($B145="",$D145=""),"",IFERROR(INDEX('Recetas y precios'!$P:$S,MATCH($B145,'Recetas y precios'!$A:$A,0),MATCH($D145,'Recetas y precios'!$P$5:$S$5,0)),""))</f>
        <v/>
      </c>
      <c r="G145" s="14" t="str">
        <f aca="false">IFERROR($E145*$F145,"")</f>
        <v/>
      </c>
      <c r="H145" s="14" t="str">
        <f aca="false">IF($B145="","",IF($D145="Rebanada en mostrador",IFERROR(VLOOKUP($B145,'Recetas y precios'!$A:$O,15,FALSE()),""),IFERROR(VLOOKUP($B145,'Recetas y precios'!$A:$M,13,FALSE()),"")))</f>
        <v/>
      </c>
      <c r="I145" s="14" t="str">
        <f aca="false">IFERROR($E145*$H145,"")</f>
        <v/>
      </c>
      <c r="J145" s="14" t="str">
        <f aca="false">IFERROR($G145-$I145,"")</f>
        <v/>
      </c>
      <c r="K145" s="21" t="str">
        <f aca="false">IFERROR($J145/$G145,"")</f>
        <v/>
      </c>
      <c r="L145" s="28"/>
    </row>
    <row r="146" customFormat="false" ht="15" hidden="false" customHeight="false" outlineLevel="0" collapsed="false">
      <c r="A146" s="27"/>
      <c r="B146" s="28"/>
      <c r="C146" s="9" t="str">
        <f aca="false">IF($B146="","",IFERROR(VLOOKUP($B146,'Recetas y precios'!$A:$B,2,FALSE()),""))</f>
        <v/>
      </c>
      <c r="D146" s="28"/>
      <c r="E146" s="28"/>
      <c r="F146" s="14" t="str">
        <f aca="false">IF(OR($B146="",$D146=""),"",IFERROR(INDEX('Recetas y precios'!$P:$S,MATCH($B146,'Recetas y precios'!$A:$A,0),MATCH($D146,'Recetas y precios'!$P$5:$S$5,0)),""))</f>
        <v/>
      </c>
      <c r="G146" s="14" t="str">
        <f aca="false">IFERROR($E146*$F146,"")</f>
        <v/>
      </c>
      <c r="H146" s="14" t="str">
        <f aca="false">IF($B146="","",IF($D146="Rebanada en mostrador",IFERROR(VLOOKUP($B146,'Recetas y precios'!$A:$O,15,FALSE()),""),IFERROR(VLOOKUP($B146,'Recetas y precios'!$A:$M,13,FALSE()),"")))</f>
        <v/>
      </c>
      <c r="I146" s="14" t="str">
        <f aca="false">IFERROR($E146*$H146,"")</f>
        <v/>
      </c>
      <c r="J146" s="14" t="str">
        <f aca="false">IFERROR($G146-$I146,"")</f>
        <v/>
      </c>
      <c r="K146" s="21" t="str">
        <f aca="false">IFERROR($J146/$G146,"")</f>
        <v/>
      </c>
      <c r="L146" s="28"/>
    </row>
    <row r="147" customFormat="false" ht="15" hidden="false" customHeight="false" outlineLevel="0" collapsed="false">
      <c r="A147" s="27"/>
      <c r="B147" s="28"/>
      <c r="C147" s="9" t="str">
        <f aca="false">IF($B147="","",IFERROR(VLOOKUP($B147,'Recetas y precios'!$A:$B,2,FALSE()),""))</f>
        <v/>
      </c>
      <c r="D147" s="28"/>
      <c r="E147" s="28"/>
      <c r="F147" s="14" t="str">
        <f aca="false">IF(OR($B147="",$D147=""),"",IFERROR(INDEX('Recetas y precios'!$P:$S,MATCH($B147,'Recetas y precios'!$A:$A,0),MATCH($D147,'Recetas y precios'!$P$5:$S$5,0)),""))</f>
        <v/>
      </c>
      <c r="G147" s="14" t="str">
        <f aca="false">IFERROR($E147*$F147,"")</f>
        <v/>
      </c>
      <c r="H147" s="14" t="str">
        <f aca="false">IF($B147="","",IF($D147="Rebanada en mostrador",IFERROR(VLOOKUP($B147,'Recetas y precios'!$A:$O,15,FALSE()),""),IFERROR(VLOOKUP($B147,'Recetas y precios'!$A:$M,13,FALSE()),"")))</f>
        <v/>
      </c>
      <c r="I147" s="14" t="str">
        <f aca="false">IFERROR($E147*$H147,"")</f>
        <v/>
      </c>
      <c r="J147" s="14" t="str">
        <f aca="false">IFERROR($G147-$I147,"")</f>
        <v/>
      </c>
      <c r="K147" s="21" t="str">
        <f aca="false">IFERROR($J147/$G147,"")</f>
        <v/>
      </c>
      <c r="L147" s="28"/>
    </row>
    <row r="148" customFormat="false" ht="15" hidden="false" customHeight="false" outlineLevel="0" collapsed="false">
      <c r="A148" s="27"/>
      <c r="B148" s="28"/>
      <c r="C148" s="9" t="str">
        <f aca="false">IF($B148="","",IFERROR(VLOOKUP($B148,'Recetas y precios'!$A:$B,2,FALSE()),""))</f>
        <v/>
      </c>
      <c r="D148" s="28"/>
      <c r="E148" s="28"/>
      <c r="F148" s="14" t="str">
        <f aca="false">IF(OR($B148="",$D148=""),"",IFERROR(INDEX('Recetas y precios'!$P:$S,MATCH($B148,'Recetas y precios'!$A:$A,0),MATCH($D148,'Recetas y precios'!$P$5:$S$5,0)),""))</f>
        <v/>
      </c>
      <c r="G148" s="14" t="str">
        <f aca="false">IFERROR($E148*$F148,"")</f>
        <v/>
      </c>
      <c r="H148" s="14" t="str">
        <f aca="false">IF($B148="","",IF($D148="Rebanada en mostrador",IFERROR(VLOOKUP($B148,'Recetas y precios'!$A:$O,15,FALSE()),""),IFERROR(VLOOKUP($B148,'Recetas y precios'!$A:$M,13,FALSE()),"")))</f>
        <v/>
      </c>
      <c r="I148" s="14" t="str">
        <f aca="false">IFERROR($E148*$H148,"")</f>
        <v/>
      </c>
      <c r="J148" s="14" t="str">
        <f aca="false">IFERROR($G148-$I148,"")</f>
        <v/>
      </c>
      <c r="K148" s="21" t="str">
        <f aca="false">IFERROR($J148/$G148,"")</f>
        <v/>
      </c>
      <c r="L148" s="28"/>
    </row>
    <row r="149" customFormat="false" ht="15" hidden="false" customHeight="false" outlineLevel="0" collapsed="false">
      <c r="A149" s="27"/>
      <c r="B149" s="28"/>
      <c r="C149" s="9" t="str">
        <f aca="false">IF($B149="","",IFERROR(VLOOKUP($B149,'Recetas y precios'!$A:$B,2,FALSE()),""))</f>
        <v/>
      </c>
      <c r="D149" s="28"/>
      <c r="E149" s="28"/>
      <c r="F149" s="14" t="str">
        <f aca="false">IF(OR($B149="",$D149=""),"",IFERROR(INDEX('Recetas y precios'!$P:$S,MATCH($B149,'Recetas y precios'!$A:$A,0),MATCH($D149,'Recetas y precios'!$P$5:$S$5,0)),""))</f>
        <v/>
      </c>
      <c r="G149" s="14" t="str">
        <f aca="false">IFERROR($E149*$F149,"")</f>
        <v/>
      </c>
      <c r="H149" s="14" t="str">
        <f aca="false">IF($B149="","",IF($D149="Rebanada en mostrador",IFERROR(VLOOKUP($B149,'Recetas y precios'!$A:$O,15,FALSE()),""),IFERROR(VLOOKUP($B149,'Recetas y precios'!$A:$M,13,FALSE()),"")))</f>
        <v/>
      </c>
      <c r="I149" s="14" t="str">
        <f aca="false">IFERROR($E149*$H149,"")</f>
        <v/>
      </c>
      <c r="J149" s="14" t="str">
        <f aca="false">IFERROR($G149-$I149,"")</f>
        <v/>
      </c>
      <c r="K149" s="21" t="str">
        <f aca="false">IFERROR($J149/$G149,"")</f>
        <v/>
      </c>
      <c r="L149" s="28"/>
    </row>
    <row r="150" customFormat="false" ht="15" hidden="false" customHeight="false" outlineLevel="0" collapsed="false">
      <c r="A150" s="27"/>
      <c r="B150" s="28"/>
      <c r="C150" s="9" t="str">
        <f aca="false">IF($B150="","",IFERROR(VLOOKUP($B150,'Recetas y precios'!$A:$B,2,FALSE()),""))</f>
        <v/>
      </c>
      <c r="D150" s="28"/>
      <c r="E150" s="28"/>
      <c r="F150" s="14" t="str">
        <f aca="false">IF(OR($B150="",$D150=""),"",IFERROR(INDEX('Recetas y precios'!$P:$S,MATCH($B150,'Recetas y precios'!$A:$A,0),MATCH($D150,'Recetas y precios'!$P$5:$S$5,0)),""))</f>
        <v/>
      </c>
      <c r="G150" s="14" t="str">
        <f aca="false">IFERROR($E150*$F150,"")</f>
        <v/>
      </c>
      <c r="H150" s="14" t="str">
        <f aca="false">IF($B150="","",IF($D150="Rebanada en mostrador",IFERROR(VLOOKUP($B150,'Recetas y precios'!$A:$O,15,FALSE()),""),IFERROR(VLOOKUP($B150,'Recetas y precios'!$A:$M,13,FALSE()),"")))</f>
        <v/>
      </c>
      <c r="I150" s="14" t="str">
        <f aca="false">IFERROR($E150*$H150,"")</f>
        <v/>
      </c>
      <c r="J150" s="14" t="str">
        <f aca="false">IFERROR($G150-$I150,"")</f>
        <v/>
      </c>
      <c r="K150" s="21" t="str">
        <f aca="false">IFERROR($J150/$G150,"")</f>
        <v/>
      </c>
      <c r="L150" s="28"/>
    </row>
    <row r="151" customFormat="false" ht="15" hidden="false" customHeight="false" outlineLevel="0" collapsed="false">
      <c r="A151" s="27"/>
      <c r="B151" s="28"/>
      <c r="C151" s="9" t="str">
        <f aca="false">IF($B151="","",IFERROR(VLOOKUP($B151,'Recetas y precios'!$A:$B,2,FALSE()),""))</f>
        <v/>
      </c>
      <c r="D151" s="28"/>
      <c r="E151" s="28"/>
      <c r="F151" s="14" t="str">
        <f aca="false">IF(OR($B151="",$D151=""),"",IFERROR(INDEX('Recetas y precios'!$P:$S,MATCH($B151,'Recetas y precios'!$A:$A,0),MATCH($D151,'Recetas y precios'!$P$5:$S$5,0)),""))</f>
        <v/>
      </c>
      <c r="G151" s="14" t="str">
        <f aca="false">IFERROR($E151*$F151,"")</f>
        <v/>
      </c>
      <c r="H151" s="14" t="str">
        <f aca="false">IF($B151="","",IF($D151="Rebanada en mostrador",IFERROR(VLOOKUP($B151,'Recetas y precios'!$A:$O,15,FALSE()),""),IFERROR(VLOOKUP($B151,'Recetas y precios'!$A:$M,13,FALSE()),"")))</f>
        <v/>
      </c>
      <c r="I151" s="14" t="str">
        <f aca="false">IFERROR($E151*$H151,"")</f>
        <v/>
      </c>
      <c r="J151" s="14" t="str">
        <f aca="false">IFERROR($G151-$I151,"")</f>
        <v/>
      </c>
      <c r="K151" s="21" t="str">
        <f aca="false">IFERROR($J151/$G151,"")</f>
        <v/>
      </c>
      <c r="L151" s="28"/>
    </row>
    <row r="152" customFormat="false" ht="15" hidden="false" customHeight="false" outlineLevel="0" collapsed="false">
      <c r="A152" s="27"/>
      <c r="B152" s="28"/>
      <c r="C152" s="9" t="str">
        <f aca="false">IF($B152="","",IFERROR(VLOOKUP($B152,'Recetas y precios'!$A:$B,2,FALSE()),""))</f>
        <v/>
      </c>
      <c r="D152" s="28"/>
      <c r="E152" s="28"/>
      <c r="F152" s="14" t="str">
        <f aca="false">IF(OR($B152="",$D152=""),"",IFERROR(INDEX('Recetas y precios'!$P:$S,MATCH($B152,'Recetas y precios'!$A:$A,0),MATCH($D152,'Recetas y precios'!$P$5:$S$5,0)),""))</f>
        <v/>
      </c>
      <c r="G152" s="14" t="str">
        <f aca="false">IFERROR($E152*$F152,"")</f>
        <v/>
      </c>
      <c r="H152" s="14" t="str">
        <f aca="false">IF($B152="","",IF($D152="Rebanada en mostrador",IFERROR(VLOOKUP($B152,'Recetas y precios'!$A:$O,15,FALSE()),""),IFERROR(VLOOKUP($B152,'Recetas y precios'!$A:$M,13,FALSE()),"")))</f>
        <v/>
      </c>
      <c r="I152" s="14" t="str">
        <f aca="false">IFERROR($E152*$H152,"")</f>
        <v/>
      </c>
      <c r="J152" s="14" t="str">
        <f aca="false">IFERROR($G152-$I152,"")</f>
        <v/>
      </c>
      <c r="K152" s="21" t="str">
        <f aca="false">IFERROR($J152/$G152,"")</f>
        <v/>
      </c>
      <c r="L152" s="28"/>
    </row>
    <row r="153" customFormat="false" ht="15" hidden="false" customHeight="false" outlineLevel="0" collapsed="false">
      <c r="A153" s="27"/>
      <c r="B153" s="28"/>
      <c r="C153" s="9" t="str">
        <f aca="false">IF($B153="","",IFERROR(VLOOKUP($B153,'Recetas y precios'!$A:$B,2,FALSE()),""))</f>
        <v/>
      </c>
      <c r="D153" s="28"/>
      <c r="E153" s="28"/>
      <c r="F153" s="14" t="str">
        <f aca="false">IF(OR($B153="",$D153=""),"",IFERROR(INDEX('Recetas y precios'!$P:$S,MATCH($B153,'Recetas y precios'!$A:$A,0),MATCH($D153,'Recetas y precios'!$P$5:$S$5,0)),""))</f>
        <v/>
      </c>
      <c r="G153" s="14" t="str">
        <f aca="false">IFERROR($E153*$F153,"")</f>
        <v/>
      </c>
      <c r="H153" s="14" t="str">
        <f aca="false">IF($B153="","",IF($D153="Rebanada en mostrador",IFERROR(VLOOKUP($B153,'Recetas y precios'!$A:$O,15,FALSE()),""),IFERROR(VLOOKUP($B153,'Recetas y precios'!$A:$M,13,FALSE()),"")))</f>
        <v/>
      </c>
      <c r="I153" s="14" t="str">
        <f aca="false">IFERROR($E153*$H153,"")</f>
        <v/>
      </c>
      <c r="J153" s="14" t="str">
        <f aca="false">IFERROR($G153-$I153,"")</f>
        <v/>
      </c>
      <c r="K153" s="21" t="str">
        <f aca="false">IFERROR($J153/$G153,"")</f>
        <v/>
      </c>
      <c r="L153" s="28"/>
    </row>
    <row r="154" customFormat="false" ht="15" hidden="false" customHeight="false" outlineLevel="0" collapsed="false">
      <c r="A154" s="27"/>
      <c r="B154" s="28"/>
      <c r="C154" s="9" t="str">
        <f aca="false">IF($B154="","",IFERROR(VLOOKUP($B154,'Recetas y precios'!$A:$B,2,FALSE()),""))</f>
        <v/>
      </c>
      <c r="D154" s="28"/>
      <c r="E154" s="28"/>
      <c r="F154" s="14" t="str">
        <f aca="false">IF(OR($B154="",$D154=""),"",IFERROR(INDEX('Recetas y precios'!$P:$S,MATCH($B154,'Recetas y precios'!$A:$A,0),MATCH($D154,'Recetas y precios'!$P$5:$S$5,0)),""))</f>
        <v/>
      </c>
      <c r="G154" s="14" t="str">
        <f aca="false">IFERROR($E154*$F154,"")</f>
        <v/>
      </c>
      <c r="H154" s="14" t="str">
        <f aca="false">IF($B154="","",IF($D154="Rebanada en mostrador",IFERROR(VLOOKUP($B154,'Recetas y precios'!$A:$O,15,FALSE()),""),IFERROR(VLOOKUP($B154,'Recetas y precios'!$A:$M,13,FALSE()),"")))</f>
        <v/>
      </c>
      <c r="I154" s="14" t="str">
        <f aca="false">IFERROR($E154*$H154,"")</f>
        <v/>
      </c>
      <c r="J154" s="14" t="str">
        <f aca="false">IFERROR($G154-$I154,"")</f>
        <v/>
      </c>
      <c r="K154" s="21" t="str">
        <f aca="false">IFERROR($J154/$G154,"")</f>
        <v/>
      </c>
      <c r="L154" s="28"/>
    </row>
    <row r="155" customFormat="false" ht="15" hidden="false" customHeight="false" outlineLevel="0" collapsed="false">
      <c r="A155" s="27"/>
      <c r="B155" s="28"/>
      <c r="C155" s="9" t="str">
        <f aca="false">IF($B155="","",IFERROR(VLOOKUP($B155,'Recetas y precios'!$A:$B,2,FALSE()),""))</f>
        <v/>
      </c>
      <c r="D155" s="28"/>
      <c r="E155" s="28"/>
      <c r="F155" s="14" t="str">
        <f aca="false">IF(OR($B155="",$D155=""),"",IFERROR(INDEX('Recetas y precios'!$P:$S,MATCH($B155,'Recetas y precios'!$A:$A,0),MATCH($D155,'Recetas y precios'!$P$5:$S$5,0)),""))</f>
        <v/>
      </c>
      <c r="G155" s="14" t="str">
        <f aca="false">IFERROR($E155*$F155,"")</f>
        <v/>
      </c>
      <c r="H155" s="14" t="str">
        <f aca="false">IF($B155="","",IF($D155="Rebanada en mostrador",IFERROR(VLOOKUP($B155,'Recetas y precios'!$A:$O,15,FALSE()),""),IFERROR(VLOOKUP($B155,'Recetas y precios'!$A:$M,13,FALSE()),"")))</f>
        <v/>
      </c>
      <c r="I155" s="14" t="str">
        <f aca="false">IFERROR($E155*$H155,"")</f>
        <v/>
      </c>
      <c r="J155" s="14" t="str">
        <f aca="false">IFERROR($G155-$I155,"")</f>
        <v/>
      </c>
      <c r="K155" s="21" t="str">
        <f aca="false">IFERROR($J155/$G155,"")</f>
        <v/>
      </c>
      <c r="L155" s="28"/>
    </row>
    <row r="156" customFormat="false" ht="15" hidden="false" customHeight="false" outlineLevel="0" collapsed="false">
      <c r="A156" s="27"/>
      <c r="B156" s="28"/>
      <c r="C156" s="9" t="str">
        <f aca="false">IF($B156="","",IFERROR(VLOOKUP($B156,'Recetas y precios'!$A:$B,2,FALSE()),""))</f>
        <v/>
      </c>
      <c r="D156" s="28"/>
      <c r="E156" s="28"/>
      <c r="F156" s="14" t="str">
        <f aca="false">IF(OR($B156="",$D156=""),"",IFERROR(INDEX('Recetas y precios'!$P:$S,MATCH($B156,'Recetas y precios'!$A:$A,0),MATCH($D156,'Recetas y precios'!$P$5:$S$5,0)),""))</f>
        <v/>
      </c>
      <c r="G156" s="14" t="str">
        <f aca="false">IFERROR($E156*$F156,"")</f>
        <v/>
      </c>
      <c r="H156" s="14" t="str">
        <f aca="false">IF($B156="","",IF($D156="Rebanada en mostrador",IFERROR(VLOOKUP($B156,'Recetas y precios'!$A:$O,15,FALSE()),""),IFERROR(VLOOKUP($B156,'Recetas y precios'!$A:$M,13,FALSE()),"")))</f>
        <v/>
      </c>
      <c r="I156" s="14" t="str">
        <f aca="false">IFERROR($E156*$H156,"")</f>
        <v/>
      </c>
      <c r="J156" s="14" t="str">
        <f aca="false">IFERROR($G156-$I156,"")</f>
        <v/>
      </c>
      <c r="K156" s="21" t="str">
        <f aca="false">IFERROR($J156/$G156,"")</f>
        <v/>
      </c>
      <c r="L156" s="28"/>
    </row>
    <row r="157" customFormat="false" ht="15" hidden="false" customHeight="false" outlineLevel="0" collapsed="false">
      <c r="A157" s="27"/>
      <c r="B157" s="28"/>
      <c r="C157" s="9" t="str">
        <f aca="false">IF($B157="","",IFERROR(VLOOKUP($B157,'Recetas y precios'!$A:$B,2,FALSE()),""))</f>
        <v/>
      </c>
      <c r="D157" s="28"/>
      <c r="E157" s="28"/>
      <c r="F157" s="14" t="str">
        <f aca="false">IF(OR($B157="",$D157=""),"",IFERROR(INDEX('Recetas y precios'!$P:$S,MATCH($B157,'Recetas y precios'!$A:$A,0),MATCH($D157,'Recetas y precios'!$P$5:$S$5,0)),""))</f>
        <v/>
      </c>
      <c r="G157" s="14" t="str">
        <f aca="false">IFERROR($E157*$F157,"")</f>
        <v/>
      </c>
      <c r="H157" s="14" t="str">
        <f aca="false">IF($B157="","",IF($D157="Rebanada en mostrador",IFERROR(VLOOKUP($B157,'Recetas y precios'!$A:$O,15,FALSE()),""),IFERROR(VLOOKUP($B157,'Recetas y precios'!$A:$M,13,FALSE()),"")))</f>
        <v/>
      </c>
      <c r="I157" s="14" t="str">
        <f aca="false">IFERROR($E157*$H157,"")</f>
        <v/>
      </c>
      <c r="J157" s="14" t="str">
        <f aca="false">IFERROR($G157-$I157,"")</f>
        <v/>
      </c>
      <c r="K157" s="21" t="str">
        <f aca="false">IFERROR($J157/$G157,"")</f>
        <v/>
      </c>
      <c r="L157" s="28"/>
    </row>
    <row r="158" customFormat="false" ht="15" hidden="false" customHeight="false" outlineLevel="0" collapsed="false">
      <c r="A158" s="27"/>
      <c r="B158" s="28"/>
      <c r="C158" s="9" t="str">
        <f aca="false">IF($B158="","",IFERROR(VLOOKUP($B158,'Recetas y precios'!$A:$B,2,FALSE()),""))</f>
        <v/>
      </c>
      <c r="D158" s="28"/>
      <c r="E158" s="28"/>
      <c r="F158" s="14" t="str">
        <f aca="false">IF(OR($B158="",$D158=""),"",IFERROR(INDEX('Recetas y precios'!$P:$S,MATCH($B158,'Recetas y precios'!$A:$A,0),MATCH($D158,'Recetas y precios'!$P$5:$S$5,0)),""))</f>
        <v/>
      </c>
      <c r="G158" s="14" t="str">
        <f aca="false">IFERROR($E158*$F158,"")</f>
        <v/>
      </c>
      <c r="H158" s="14" t="str">
        <f aca="false">IF($B158="","",IF($D158="Rebanada en mostrador",IFERROR(VLOOKUP($B158,'Recetas y precios'!$A:$O,15,FALSE()),""),IFERROR(VLOOKUP($B158,'Recetas y precios'!$A:$M,13,FALSE()),"")))</f>
        <v/>
      </c>
      <c r="I158" s="14" t="str">
        <f aca="false">IFERROR($E158*$H158,"")</f>
        <v/>
      </c>
      <c r="J158" s="14" t="str">
        <f aca="false">IFERROR($G158-$I158,"")</f>
        <v/>
      </c>
      <c r="K158" s="21" t="str">
        <f aca="false">IFERROR($J158/$G158,"")</f>
        <v/>
      </c>
      <c r="L158" s="28"/>
    </row>
    <row r="159" customFormat="false" ht="15" hidden="false" customHeight="false" outlineLevel="0" collapsed="false">
      <c r="A159" s="27"/>
      <c r="B159" s="28"/>
      <c r="C159" s="9" t="str">
        <f aca="false">IF($B159="","",IFERROR(VLOOKUP($B159,'Recetas y precios'!$A:$B,2,FALSE()),""))</f>
        <v/>
      </c>
      <c r="D159" s="28"/>
      <c r="E159" s="28"/>
      <c r="F159" s="14" t="str">
        <f aca="false">IF(OR($B159="",$D159=""),"",IFERROR(INDEX('Recetas y precios'!$P:$S,MATCH($B159,'Recetas y precios'!$A:$A,0),MATCH($D159,'Recetas y precios'!$P$5:$S$5,0)),""))</f>
        <v/>
      </c>
      <c r="G159" s="14" t="str">
        <f aca="false">IFERROR($E159*$F159,"")</f>
        <v/>
      </c>
      <c r="H159" s="14" t="str">
        <f aca="false">IF($B159="","",IF($D159="Rebanada en mostrador",IFERROR(VLOOKUP($B159,'Recetas y precios'!$A:$O,15,FALSE()),""),IFERROR(VLOOKUP($B159,'Recetas y precios'!$A:$M,13,FALSE()),"")))</f>
        <v/>
      </c>
      <c r="I159" s="14" t="str">
        <f aca="false">IFERROR($E159*$H159,"")</f>
        <v/>
      </c>
      <c r="J159" s="14" t="str">
        <f aca="false">IFERROR($G159-$I159,"")</f>
        <v/>
      </c>
      <c r="K159" s="21" t="str">
        <f aca="false">IFERROR($J159/$G159,"")</f>
        <v/>
      </c>
      <c r="L159" s="28"/>
    </row>
    <row r="160" customFormat="false" ht="15" hidden="false" customHeight="false" outlineLevel="0" collapsed="false">
      <c r="A160" s="27"/>
      <c r="B160" s="28"/>
      <c r="C160" s="9" t="str">
        <f aca="false">IF($B160="","",IFERROR(VLOOKUP($B160,'Recetas y precios'!$A:$B,2,FALSE()),""))</f>
        <v/>
      </c>
      <c r="D160" s="28"/>
      <c r="E160" s="28"/>
      <c r="F160" s="14" t="str">
        <f aca="false">IF(OR($B160="",$D160=""),"",IFERROR(INDEX('Recetas y precios'!$P:$S,MATCH($B160,'Recetas y precios'!$A:$A,0),MATCH($D160,'Recetas y precios'!$P$5:$S$5,0)),""))</f>
        <v/>
      </c>
      <c r="G160" s="14" t="str">
        <f aca="false">IFERROR($E160*$F160,"")</f>
        <v/>
      </c>
      <c r="H160" s="14" t="str">
        <f aca="false">IF($B160="","",IF($D160="Rebanada en mostrador",IFERROR(VLOOKUP($B160,'Recetas y precios'!$A:$O,15,FALSE()),""),IFERROR(VLOOKUP($B160,'Recetas y precios'!$A:$M,13,FALSE()),"")))</f>
        <v/>
      </c>
      <c r="I160" s="14" t="str">
        <f aca="false">IFERROR($E160*$H160,"")</f>
        <v/>
      </c>
      <c r="J160" s="14" t="str">
        <f aca="false">IFERROR($G160-$I160,"")</f>
        <v/>
      </c>
      <c r="K160" s="21" t="str">
        <f aca="false">IFERROR($J160/$G160,"")</f>
        <v/>
      </c>
      <c r="L160" s="28"/>
    </row>
    <row r="161" customFormat="false" ht="15" hidden="false" customHeight="false" outlineLevel="0" collapsed="false">
      <c r="A161" s="27"/>
      <c r="B161" s="28"/>
      <c r="C161" s="9" t="str">
        <f aca="false">IF($B161="","",IFERROR(VLOOKUP($B161,'Recetas y precios'!$A:$B,2,FALSE()),""))</f>
        <v/>
      </c>
      <c r="D161" s="28"/>
      <c r="E161" s="28"/>
      <c r="F161" s="14" t="str">
        <f aca="false">IF(OR($B161="",$D161=""),"",IFERROR(INDEX('Recetas y precios'!$P:$S,MATCH($B161,'Recetas y precios'!$A:$A,0),MATCH($D161,'Recetas y precios'!$P$5:$S$5,0)),""))</f>
        <v/>
      </c>
      <c r="G161" s="14" t="str">
        <f aca="false">IFERROR($E161*$F161,"")</f>
        <v/>
      </c>
      <c r="H161" s="14" t="str">
        <f aca="false">IF($B161="","",IF($D161="Rebanada en mostrador",IFERROR(VLOOKUP($B161,'Recetas y precios'!$A:$O,15,FALSE()),""),IFERROR(VLOOKUP($B161,'Recetas y precios'!$A:$M,13,FALSE()),"")))</f>
        <v/>
      </c>
      <c r="I161" s="14" t="str">
        <f aca="false">IFERROR($E161*$H161,"")</f>
        <v/>
      </c>
      <c r="J161" s="14" t="str">
        <f aca="false">IFERROR($G161-$I161,"")</f>
        <v/>
      </c>
      <c r="K161" s="21" t="str">
        <f aca="false">IFERROR($J161/$G161,"")</f>
        <v/>
      </c>
      <c r="L161" s="28"/>
    </row>
    <row r="162" customFormat="false" ht="15" hidden="false" customHeight="false" outlineLevel="0" collapsed="false">
      <c r="A162" s="27"/>
      <c r="B162" s="28"/>
      <c r="C162" s="9" t="str">
        <f aca="false">IF($B162="","",IFERROR(VLOOKUP($B162,'Recetas y precios'!$A:$B,2,FALSE()),""))</f>
        <v/>
      </c>
      <c r="D162" s="28"/>
      <c r="E162" s="28"/>
      <c r="F162" s="14" t="str">
        <f aca="false">IF(OR($B162="",$D162=""),"",IFERROR(INDEX('Recetas y precios'!$P:$S,MATCH($B162,'Recetas y precios'!$A:$A,0),MATCH($D162,'Recetas y precios'!$P$5:$S$5,0)),""))</f>
        <v/>
      </c>
      <c r="G162" s="14" t="str">
        <f aca="false">IFERROR($E162*$F162,"")</f>
        <v/>
      </c>
      <c r="H162" s="14" t="str">
        <f aca="false">IF($B162="","",IF($D162="Rebanada en mostrador",IFERROR(VLOOKUP($B162,'Recetas y precios'!$A:$O,15,FALSE()),""),IFERROR(VLOOKUP($B162,'Recetas y precios'!$A:$M,13,FALSE()),"")))</f>
        <v/>
      </c>
      <c r="I162" s="14" t="str">
        <f aca="false">IFERROR($E162*$H162,"")</f>
        <v/>
      </c>
      <c r="J162" s="14" t="str">
        <f aca="false">IFERROR($G162-$I162,"")</f>
        <v/>
      </c>
      <c r="K162" s="21" t="str">
        <f aca="false">IFERROR($J162/$G162,"")</f>
        <v/>
      </c>
      <c r="L162" s="28"/>
    </row>
    <row r="163" customFormat="false" ht="15" hidden="false" customHeight="false" outlineLevel="0" collapsed="false">
      <c r="A163" s="27"/>
      <c r="B163" s="28"/>
      <c r="C163" s="9" t="str">
        <f aca="false">IF($B163="","",IFERROR(VLOOKUP($B163,'Recetas y precios'!$A:$B,2,FALSE()),""))</f>
        <v/>
      </c>
      <c r="D163" s="28"/>
      <c r="E163" s="28"/>
      <c r="F163" s="14" t="str">
        <f aca="false">IF(OR($B163="",$D163=""),"",IFERROR(INDEX('Recetas y precios'!$P:$S,MATCH($B163,'Recetas y precios'!$A:$A,0),MATCH($D163,'Recetas y precios'!$P$5:$S$5,0)),""))</f>
        <v/>
      </c>
      <c r="G163" s="14" t="str">
        <f aca="false">IFERROR($E163*$F163,"")</f>
        <v/>
      </c>
      <c r="H163" s="14" t="str">
        <f aca="false">IF($B163="","",IF($D163="Rebanada en mostrador",IFERROR(VLOOKUP($B163,'Recetas y precios'!$A:$O,15,FALSE()),""),IFERROR(VLOOKUP($B163,'Recetas y precios'!$A:$M,13,FALSE()),"")))</f>
        <v/>
      </c>
      <c r="I163" s="14" t="str">
        <f aca="false">IFERROR($E163*$H163,"")</f>
        <v/>
      </c>
      <c r="J163" s="14" t="str">
        <f aca="false">IFERROR($G163-$I163,"")</f>
        <v/>
      </c>
      <c r="K163" s="21" t="str">
        <f aca="false">IFERROR($J163/$G163,"")</f>
        <v/>
      </c>
      <c r="L163" s="28"/>
    </row>
    <row r="164" customFormat="false" ht="15" hidden="false" customHeight="false" outlineLevel="0" collapsed="false">
      <c r="A164" s="27"/>
      <c r="B164" s="28"/>
      <c r="C164" s="9" t="str">
        <f aca="false">IF($B164="","",IFERROR(VLOOKUP($B164,'Recetas y precios'!$A:$B,2,FALSE()),""))</f>
        <v/>
      </c>
      <c r="D164" s="28"/>
      <c r="E164" s="28"/>
      <c r="F164" s="14" t="str">
        <f aca="false">IF(OR($B164="",$D164=""),"",IFERROR(INDEX('Recetas y precios'!$P:$S,MATCH($B164,'Recetas y precios'!$A:$A,0),MATCH($D164,'Recetas y precios'!$P$5:$S$5,0)),""))</f>
        <v/>
      </c>
      <c r="G164" s="14" t="str">
        <f aca="false">IFERROR($E164*$F164,"")</f>
        <v/>
      </c>
      <c r="H164" s="14" t="str">
        <f aca="false">IF($B164="","",IF($D164="Rebanada en mostrador",IFERROR(VLOOKUP($B164,'Recetas y precios'!$A:$O,15,FALSE()),""),IFERROR(VLOOKUP($B164,'Recetas y precios'!$A:$M,13,FALSE()),"")))</f>
        <v/>
      </c>
      <c r="I164" s="14" t="str">
        <f aca="false">IFERROR($E164*$H164,"")</f>
        <v/>
      </c>
      <c r="J164" s="14" t="str">
        <f aca="false">IFERROR($G164-$I164,"")</f>
        <v/>
      </c>
      <c r="K164" s="21" t="str">
        <f aca="false">IFERROR($J164/$G164,"")</f>
        <v/>
      </c>
      <c r="L164" s="28"/>
    </row>
    <row r="165" customFormat="false" ht="15" hidden="false" customHeight="false" outlineLevel="0" collapsed="false">
      <c r="A165" s="27"/>
      <c r="B165" s="28"/>
      <c r="C165" s="9" t="str">
        <f aca="false">IF($B165="","",IFERROR(VLOOKUP($B165,'Recetas y precios'!$A:$B,2,FALSE()),""))</f>
        <v/>
      </c>
      <c r="D165" s="28"/>
      <c r="E165" s="28"/>
      <c r="F165" s="14" t="str">
        <f aca="false">IF(OR($B165="",$D165=""),"",IFERROR(INDEX('Recetas y precios'!$P:$S,MATCH($B165,'Recetas y precios'!$A:$A,0),MATCH($D165,'Recetas y precios'!$P$5:$S$5,0)),""))</f>
        <v/>
      </c>
      <c r="G165" s="14" t="str">
        <f aca="false">IFERROR($E165*$F165,"")</f>
        <v/>
      </c>
      <c r="H165" s="14" t="str">
        <f aca="false">IF($B165="","",IF($D165="Rebanada en mostrador",IFERROR(VLOOKUP($B165,'Recetas y precios'!$A:$O,15,FALSE()),""),IFERROR(VLOOKUP($B165,'Recetas y precios'!$A:$M,13,FALSE()),"")))</f>
        <v/>
      </c>
      <c r="I165" s="14" t="str">
        <f aca="false">IFERROR($E165*$H165,"")</f>
        <v/>
      </c>
      <c r="J165" s="14" t="str">
        <f aca="false">IFERROR($G165-$I165,"")</f>
        <v/>
      </c>
      <c r="K165" s="21" t="str">
        <f aca="false">IFERROR($J165/$G165,"")</f>
        <v/>
      </c>
      <c r="L165" s="28"/>
    </row>
    <row r="166" customFormat="false" ht="15" hidden="false" customHeight="false" outlineLevel="0" collapsed="false">
      <c r="A166" s="27"/>
      <c r="B166" s="28"/>
      <c r="C166" s="9" t="str">
        <f aca="false">IF($B166="","",IFERROR(VLOOKUP($B166,'Recetas y precios'!$A:$B,2,FALSE()),""))</f>
        <v/>
      </c>
      <c r="D166" s="28"/>
      <c r="E166" s="28"/>
      <c r="F166" s="14" t="str">
        <f aca="false">IF(OR($B166="",$D166=""),"",IFERROR(INDEX('Recetas y precios'!$P:$S,MATCH($B166,'Recetas y precios'!$A:$A,0),MATCH($D166,'Recetas y precios'!$P$5:$S$5,0)),""))</f>
        <v/>
      </c>
      <c r="G166" s="14" t="str">
        <f aca="false">IFERROR($E166*$F166,"")</f>
        <v/>
      </c>
      <c r="H166" s="14" t="str">
        <f aca="false">IF($B166="","",IF($D166="Rebanada en mostrador",IFERROR(VLOOKUP($B166,'Recetas y precios'!$A:$O,15,FALSE()),""),IFERROR(VLOOKUP($B166,'Recetas y precios'!$A:$M,13,FALSE()),"")))</f>
        <v/>
      </c>
      <c r="I166" s="14" t="str">
        <f aca="false">IFERROR($E166*$H166,"")</f>
        <v/>
      </c>
      <c r="J166" s="14" t="str">
        <f aca="false">IFERROR($G166-$I166,"")</f>
        <v/>
      </c>
      <c r="K166" s="21" t="str">
        <f aca="false">IFERROR($J166/$G166,"")</f>
        <v/>
      </c>
      <c r="L166" s="28"/>
    </row>
    <row r="167" customFormat="false" ht="15" hidden="false" customHeight="false" outlineLevel="0" collapsed="false">
      <c r="A167" s="27"/>
      <c r="B167" s="28"/>
      <c r="C167" s="9" t="str">
        <f aca="false">IF($B167="","",IFERROR(VLOOKUP($B167,'Recetas y precios'!$A:$B,2,FALSE()),""))</f>
        <v/>
      </c>
      <c r="D167" s="28"/>
      <c r="E167" s="28"/>
      <c r="F167" s="14" t="str">
        <f aca="false">IF(OR($B167="",$D167=""),"",IFERROR(INDEX('Recetas y precios'!$P:$S,MATCH($B167,'Recetas y precios'!$A:$A,0),MATCH($D167,'Recetas y precios'!$P$5:$S$5,0)),""))</f>
        <v/>
      </c>
      <c r="G167" s="14" t="str">
        <f aca="false">IFERROR($E167*$F167,"")</f>
        <v/>
      </c>
      <c r="H167" s="14" t="str">
        <f aca="false">IF($B167="","",IF($D167="Rebanada en mostrador",IFERROR(VLOOKUP($B167,'Recetas y precios'!$A:$O,15,FALSE()),""),IFERROR(VLOOKUP($B167,'Recetas y precios'!$A:$M,13,FALSE()),"")))</f>
        <v/>
      </c>
      <c r="I167" s="14" t="str">
        <f aca="false">IFERROR($E167*$H167,"")</f>
        <v/>
      </c>
      <c r="J167" s="14" t="str">
        <f aca="false">IFERROR($G167-$I167,"")</f>
        <v/>
      </c>
      <c r="K167" s="21" t="str">
        <f aca="false">IFERROR($J167/$G167,"")</f>
        <v/>
      </c>
      <c r="L167" s="28"/>
    </row>
    <row r="168" customFormat="false" ht="15" hidden="false" customHeight="false" outlineLevel="0" collapsed="false">
      <c r="A168" s="27"/>
      <c r="B168" s="28"/>
      <c r="C168" s="9" t="str">
        <f aca="false">IF($B168="","",IFERROR(VLOOKUP($B168,'Recetas y precios'!$A:$B,2,FALSE()),""))</f>
        <v/>
      </c>
      <c r="D168" s="28"/>
      <c r="E168" s="28"/>
      <c r="F168" s="14" t="str">
        <f aca="false">IF(OR($B168="",$D168=""),"",IFERROR(INDEX('Recetas y precios'!$P:$S,MATCH($B168,'Recetas y precios'!$A:$A,0),MATCH($D168,'Recetas y precios'!$P$5:$S$5,0)),""))</f>
        <v/>
      </c>
      <c r="G168" s="14" t="str">
        <f aca="false">IFERROR($E168*$F168,"")</f>
        <v/>
      </c>
      <c r="H168" s="14" t="str">
        <f aca="false">IF($B168="","",IF($D168="Rebanada en mostrador",IFERROR(VLOOKUP($B168,'Recetas y precios'!$A:$O,15,FALSE()),""),IFERROR(VLOOKUP($B168,'Recetas y precios'!$A:$M,13,FALSE()),"")))</f>
        <v/>
      </c>
      <c r="I168" s="14" t="str">
        <f aca="false">IFERROR($E168*$H168,"")</f>
        <v/>
      </c>
      <c r="J168" s="14" t="str">
        <f aca="false">IFERROR($G168-$I168,"")</f>
        <v/>
      </c>
      <c r="K168" s="21" t="str">
        <f aca="false">IFERROR($J168/$G168,"")</f>
        <v/>
      </c>
      <c r="L168" s="28"/>
    </row>
    <row r="169" customFormat="false" ht="15" hidden="false" customHeight="false" outlineLevel="0" collapsed="false">
      <c r="A169" s="27"/>
      <c r="B169" s="28"/>
      <c r="C169" s="9" t="str">
        <f aca="false">IF($B169="","",IFERROR(VLOOKUP($B169,'Recetas y precios'!$A:$B,2,FALSE()),""))</f>
        <v/>
      </c>
      <c r="D169" s="28"/>
      <c r="E169" s="28"/>
      <c r="F169" s="14" t="str">
        <f aca="false">IF(OR($B169="",$D169=""),"",IFERROR(INDEX('Recetas y precios'!$P:$S,MATCH($B169,'Recetas y precios'!$A:$A,0),MATCH($D169,'Recetas y precios'!$P$5:$S$5,0)),""))</f>
        <v/>
      </c>
      <c r="G169" s="14" t="str">
        <f aca="false">IFERROR($E169*$F169,"")</f>
        <v/>
      </c>
      <c r="H169" s="14" t="str">
        <f aca="false">IF($B169="","",IF($D169="Rebanada en mostrador",IFERROR(VLOOKUP($B169,'Recetas y precios'!$A:$O,15,FALSE()),""),IFERROR(VLOOKUP($B169,'Recetas y precios'!$A:$M,13,FALSE()),"")))</f>
        <v/>
      </c>
      <c r="I169" s="14" t="str">
        <f aca="false">IFERROR($E169*$H169,"")</f>
        <v/>
      </c>
      <c r="J169" s="14" t="str">
        <f aca="false">IFERROR($G169-$I169,"")</f>
        <v/>
      </c>
      <c r="K169" s="21" t="str">
        <f aca="false">IFERROR($J169/$G169,"")</f>
        <v/>
      </c>
      <c r="L169" s="28"/>
    </row>
    <row r="170" customFormat="false" ht="15" hidden="false" customHeight="false" outlineLevel="0" collapsed="false">
      <c r="A170" s="27"/>
      <c r="B170" s="28"/>
      <c r="C170" s="9" t="str">
        <f aca="false">IF($B170="","",IFERROR(VLOOKUP($B170,'Recetas y precios'!$A:$B,2,FALSE()),""))</f>
        <v/>
      </c>
      <c r="D170" s="28"/>
      <c r="E170" s="28"/>
      <c r="F170" s="14" t="str">
        <f aca="false">IF(OR($B170="",$D170=""),"",IFERROR(INDEX('Recetas y precios'!$P:$S,MATCH($B170,'Recetas y precios'!$A:$A,0),MATCH($D170,'Recetas y precios'!$P$5:$S$5,0)),""))</f>
        <v/>
      </c>
      <c r="G170" s="14" t="str">
        <f aca="false">IFERROR($E170*$F170,"")</f>
        <v/>
      </c>
      <c r="H170" s="14" t="str">
        <f aca="false">IF($B170="","",IF($D170="Rebanada en mostrador",IFERROR(VLOOKUP($B170,'Recetas y precios'!$A:$O,15,FALSE()),""),IFERROR(VLOOKUP($B170,'Recetas y precios'!$A:$M,13,FALSE()),"")))</f>
        <v/>
      </c>
      <c r="I170" s="14" t="str">
        <f aca="false">IFERROR($E170*$H170,"")</f>
        <v/>
      </c>
      <c r="J170" s="14" t="str">
        <f aca="false">IFERROR($G170-$I170,"")</f>
        <v/>
      </c>
      <c r="K170" s="21" t="str">
        <f aca="false">IFERROR($J170/$G170,"")</f>
        <v/>
      </c>
      <c r="L170" s="28"/>
    </row>
    <row r="171" customFormat="false" ht="15" hidden="false" customHeight="false" outlineLevel="0" collapsed="false">
      <c r="A171" s="27"/>
      <c r="B171" s="28"/>
      <c r="C171" s="9" t="str">
        <f aca="false">IF($B171="","",IFERROR(VLOOKUP($B171,'Recetas y precios'!$A:$B,2,FALSE()),""))</f>
        <v/>
      </c>
      <c r="D171" s="28"/>
      <c r="E171" s="28"/>
      <c r="F171" s="14" t="str">
        <f aca="false">IF(OR($B171="",$D171=""),"",IFERROR(INDEX('Recetas y precios'!$P:$S,MATCH($B171,'Recetas y precios'!$A:$A,0),MATCH($D171,'Recetas y precios'!$P$5:$S$5,0)),""))</f>
        <v/>
      </c>
      <c r="G171" s="14" t="str">
        <f aca="false">IFERROR($E171*$F171,"")</f>
        <v/>
      </c>
      <c r="H171" s="14" t="str">
        <f aca="false">IF($B171="","",IF($D171="Rebanada en mostrador",IFERROR(VLOOKUP($B171,'Recetas y precios'!$A:$O,15,FALSE()),""),IFERROR(VLOOKUP($B171,'Recetas y precios'!$A:$M,13,FALSE()),"")))</f>
        <v/>
      </c>
      <c r="I171" s="14" t="str">
        <f aca="false">IFERROR($E171*$H171,"")</f>
        <v/>
      </c>
      <c r="J171" s="14" t="str">
        <f aca="false">IFERROR($G171-$I171,"")</f>
        <v/>
      </c>
      <c r="K171" s="21" t="str">
        <f aca="false">IFERROR($J171/$G171,"")</f>
        <v/>
      </c>
      <c r="L171" s="28"/>
    </row>
    <row r="172" customFormat="false" ht="15" hidden="false" customHeight="false" outlineLevel="0" collapsed="false">
      <c r="A172" s="27"/>
      <c r="B172" s="28"/>
      <c r="C172" s="9" t="str">
        <f aca="false">IF($B172="","",IFERROR(VLOOKUP($B172,'Recetas y precios'!$A:$B,2,FALSE()),""))</f>
        <v/>
      </c>
      <c r="D172" s="28"/>
      <c r="E172" s="28"/>
      <c r="F172" s="14" t="str">
        <f aca="false">IF(OR($B172="",$D172=""),"",IFERROR(INDEX('Recetas y precios'!$P:$S,MATCH($B172,'Recetas y precios'!$A:$A,0),MATCH($D172,'Recetas y precios'!$P$5:$S$5,0)),""))</f>
        <v/>
      </c>
      <c r="G172" s="14" t="str">
        <f aca="false">IFERROR($E172*$F172,"")</f>
        <v/>
      </c>
      <c r="H172" s="14" t="str">
        <f aca="false">IF($B172="","",IF($D172="Rebanada en mostrador",IFERROR(VLOOKUP($B172,'Recetas y precios'!$A:$O,15,FALSE()),""),IFERROR(VLOOKUP($B172,'Recetas y precios'!$A:$M,13,FALSE()),"")))</f>
        <v/>
      </c>
      <c r="I172" s="14" t="str">
        <f aca="false">IFERROR($E172*$H172,"")</f>
        <v/>
      </c>
      <c r="J172" s="14" t="str">
        <f aca="false">IFERROR($G172-$I172,"")</f>
        <v/>
      </c>
      <c r="K172" s="21" t="str">
        <f aca="false">IFERROR($J172/$G172,"")</f>
        <v/>
      </c>
      <c r="L172" s="28"/>
    </row>
    <row r="173" customFormat="false" ht="15" hidden="false" customHeight="false" outlineLevel="0" collapsed="false">
      <c r="A173" s="27"/>
      <c r="B173" s="28"/>
      <c r="C173" s="9" t="str">
        <f aca="false">IF($B173="","",IFERROR(VLOOKUP($B173,'Recetas y precios'!$A:$B,2,FALSE()),""))</f>
        <v/>
      </c>
      <c r="D173" s="28"/>
      <c r="E173" s="28"/>
      <c r="F173" s="14" t="str">
        <f aca="false">IF(OR($B173="",$D173=""),"",IFERROR(INDEX('Recetas y precios'!$P:$S,MATCH($B173,'Recetas y precios'!$A:$A,0),MATCH($D173,'Recetas y precios'!$P$5:$S$5,0)),""))</f>
        <v/>
      </c>
      <c r="G173" s="14" t="str">
        <f aca="false">IFERROR($E173*$F173,"")</f>
        <v/>
      </c>
      <c r="H173" s="14" t="str">
        <f aca="false">IF($B173="","",IF($D173="Rebanada en mostrador",IFERROR(VLOOKUP($B173,'Recetas y precios'!$A:$O,15,FALSE()),""),IFERROR(VLOOKUP($B173,'Recetas y precios'!$A:$M,13,FALSE()),"")))</f>
        <v/>
      </c>
      <c r="I173" s="14" t="str">
        <f aca="false">IFERROR($E173*$H173,"")</f>
        <v/>
      </c>
      <c r="J173" s="14" t="str">
        <f aca="false">IFERROR($G173-$I173,"")</f>
        <v/>
      </c>
      <c r="K173" s="21" t="str">
        <f aca="false">IFERROR($J173/$G173,"")</f>
        <v/>
      </c>
      <c r="L173" s="28"/>
    </row>
    <row r="174" customFormat="false" ht="15" hidden="false" customHeight="false" outlineLevel="0" collapsed="false">
      <c r="A174" s="27"/>
      <c r="B174" s="28"/>
      <c r="C174" s="9" t="str">
        <f aca="false">IF($B174="","",IFERROR(VLOOKUP($B174,'Recetas y precios'!$A:$B,2,FALSE()),""))</f>
        <v/>
      </c>
      <c r="D174" s="28"/>
      <c r="E174" s="28"/>
      <c r="F174" s="14" t="str">
        <f aca="false">IF(OR($B174="",$D174=""),"",IFERROR(INDEX('Recetas y precios'!$P:$S,MATCH($B174,'Recetas y precios'!$A:$A,0),MATCH($D174,'Recetas y precios'!$P$5:$S$5,0)),""))</f>
        <v/>
      </c>
      <c r="G174" s="14" t="str">
        <f aca="false">IFERROR($E174*$F174,"")</f>
        <v/>
      </c>
      <c r="H174" s="14" t="str">
        <f aca="false">IF($B174="","",IF($D174="Rebanada en mostrador",IFERROR(VLOOKUP($B174,'Recetas y precios'!$A:$O,15,FALSE()),""),IFERROR(VLOOKUP($B174,'Recetas y precios'!$A:$M,13,FALSE()),"")))</f>
        <v/>
      </c>
      <c r="I174" s="14" t="str">
        <f aca="false">IFERROR($E174*$H174,"")</f>
        <v/>
      </c>
      <c r="J174" s="14" t="str">
        <f aca="false">IFERROR($G174-$I174,"")</f>
        <v/>
      </c>
      <c r="K174" s="21" t="str">
        <f aca="false">IFERROR($J174/$G174,"")</f>
        <v/>
      </c>
      <c r="L174" s="28"/>
    </row>
    <row r="175" customFormat="false" ht="15" hidden="false" customHeight="false" outlineLevel="0" collapsed="false">
      <c r="A175" s="27"/>
      <c r="B175" s="28"/>
      <c r="C175" s="9" t="str">
        <f aca="false">IF($B175="","",IFERROR(VLOOKUP($B175,'Recetas y precios'!$A:$B,2,FALSE()),""))</f>
        <v/>
      </c>
      <c r="D175" s="28"/>
      <c r="E175" s="28"/>
      <c r="F175" s="14" t="str">
        <f aca="false">IF(OR($B175="",$D175=""),"",IFERROR(INDEX('Recetas y precios'!$P:$S,MATCH($B175,'Recetas y precios'!$A:$A,0),MATCH($D175,'Recetas y precios'!$P$5:$S$5,0)),""))</f>
        <v/>
      </c>
      <c r="G175" s="14" t="str">
        <f aca="false">IFERROR($E175*$F175,"")</f>
        <v/>
      </c>
      <c r="H175" s="14" t="str">
        <f aca="false">IF($B175="","",IF($D175="Rebanada en mostrador",IFERROR(VLOOKUP($B175,'Recetas y precios'!$A:$O,15,FALSE()),""),IFERROR(VLOOKUP($B175,'Recetas y precios'!$A:$M,13,FALSE()),"")))</f>
        <v/>
      </c>
      <c r="I175" s="14" t="str">
        <f aca="false">IFERROR($E175*$H175,"")</f>
        <v/>
      </c>
      <c r="J175" s="14" t="str">
        <f aca="false">IFERROR($G175-$I175,"")</f>
        <v/>
      </c>
      <c r="K175" s="21" t="str">
        <f aca="false">IFERROR($J175/$G175,"")</f>
        <v/>
      </c>
      <c r="L175" s="28"/>
    </row>
    <row r="176" customFormat="false" ht="15" hidden="false" customHeight="false" outlineLevel="0" collapsed="false">
      <c r="A176" s="27"/>
      <c r="B176" s="28"/>
      <c r="C176" s="9" t="str">
        <f aca="false">IF($B176="","",IFERROR(VLOOKUP($B176,'Recetas y precios'!$A:$B,2,FALSE()),""))</f>
        <v/>
      </c>
      <c r="D176" s="28"/>
      <c r="E176" s="28"/>
      <c r="F176" s="14" t="str">
        <f aca="false">IF(OR($B176="",$D176=""),"",IFERROR(INDEX('Recetas y precios'!$P:$S,MATCH($B176,'Recetas y precios'!$A:$A,0),MATCH($D176,'Recetas y precios'!$P$5:$S$5,0)),""))</f>
        <v/>
      </c>
      <c r="G176" s="14" t="str">
        <f aca="false">IFERROR($E176*$F176,"")</f>
        <v/>
      </c>
      <c r="H176" s="14" t="str">
        <f aca="false">IF($B176="","",IF($D176="Rebanada en mostrador",IFERROR(VLOOKUP($B176,'Recetas y precios'!$A:$O,15,FALSE()),""),IFERROR(VLOOKUP($B176,'Recetas y precios'!$A:$M,13,FALSE()),"")))</f>
        <v/>
      </c>
      <c r="I176" s="14" t="str">
        <f aca="false">IFERROR($E176*$H176,"")</f>
        <v/>
      </c>
      <c r="J176" s="14" t="str">
        <f aca="false">IFERROR($G176-$I176,"")</f>
        <v/>
      </c>
      <c r="K176" s="21" t="str">
        <f aca="false">IFERROR($J176/$G176,"")</f>
        <v/>
      </c>
      <c r="L176" s="28"/>
    </row>
    <row r="177" customFormat="false" ht="15" hidden="false" customHeight="false" outlineLevel="0" collapsed="false">
      <c r="A177" s="27"/>
      <c r="B177" s="28"/>
      <c r="C177" s="9" t="str">
        <f aca="false">IF($B177="","",IFERROR(VLOOKUP($B177,'Recetas y precios'!$A:$B,2,FALSE()),""))</f>
        <v/>
      </c>
      <c r="D177" s="28"/>
      <c r="E177" s="28"/>
      <c r="F177" s="14" t="str">
        <f aca="false">IF(OR($B177="",$D177=""),"",IFERROR(INDEX('Recetas y precios'!$P:$S,MATCH($B177,'Recetas y precios'!$A:$A,0),MATCH($D177,'Recetas y precios'!$P$5:$S$5,0)),""))</f>
        <v/>
      </c>
      <c r="G177" s="14" t="str">
        <f aca="false">IFERROR($E177*$F177,"")</f>
        <v/>
      </c>
      <c r="H177" s="14" t="str">
        <f aca="false">IF($B177="","",IF($D177="Rebanada en mostrador",IFERROR(VLOOKUP($B177,'Recetas y precios'!$A:$O,15,FALSE()),""),IFERROR(VLOOKUP($B177,'Recetas y precios'!$A:$M,13,FALSE()),"")))</f>
        <v/>
      </c>
      <c r="I177" s="14" t="str">
        <f aca="false">IFERROR($E177*$H177,"")</f>
        <v/>
      </c>
      <c r="J177" s="14" t="str">
        <f aca="false">IFERROR($G177-$I177,"")</f>
        <v/>
      </c>
      <c r="K177" s="21" t="str">
        <f aca="false">IFERROR($J177/$G177,"")</f>
        <v/>
      </c>
      <c r="L177" s="28"/>
    </row>
    <row r="178" customFormat="false" ht="15" hidden="false" customHeight="false" outlineLevel="0" collapsed="false">
      <c r="A178" s="27"/>
      <c r="B178" s="28"/>
      <c r="C178" s="9" t="str">
        <f aca="false">IF($B178="","",IFERROR(VLOOKUP($B178,'Recetas y precios'!$A:$B,2,FALSE()),""))</f>
        <v/>
      </c>
      <c r="D178" s="28"/>
      <c r="E178" s="28"/>
      <c r="F178" s="14" t="str">
        <f aca="false">IF(OR($B178="",$D178=""),"",IFERROR(INDEX('Recetas y precios'!$P:$S,MATCH($B178,'Recetas y precios'!$A:$A,0),MATCH($D178,'Recetas y precios'!$P$5:$S$5,0)),""))</f>
        <v/>
      </c>
      <c r="G178" s="14" t="str">
        <f aca="false">IFERROR($E178*$F178,"")</f>
        <v/>
      </c>
      <c r="H178" s="14" t="str">
        <f aca="false">IF($B178="","",IF($D178="Rebanada en mostrador",IFERROR(VLOOKUP($B178,'Recetas y precios'!$A:$O,15,FALSE()),""),IFERROR(VLOOKUP($B178,'Recetas y precios'!$A:$M,13,FALSE()),"")))</f>
        <v/>
      </c>
      <c r="I178" s="14" t="str">
        <f aca="false">IFERROR($E178*$H178,"")</f>
        <v/>
      </c>
      <c r="J178" s="14" t="str">
        <f aca="false">IFERROR($G178-$I178,"")</f>
        <v/>
      </c>
      <c r="K178" s="21" t="str">
        <f aca="false">IFERROR($J178/$G178,"")</f>
        <v/>
      </c>
      <c r="L178" s="28"/>
    </row>
    <row r="179" customFormat="false" ht="15" hidden="false" customHeight="false" outlineLevel="0" collapsed="false">
      <c r="A179" s="27"/>
      <c r="B179" s="28"/>
      <c r="C179" s="9" t="str">
        <f aca="false">IF($B179="","",IFERROR(VLOOKUP($B179,'Recetas y precios'!$A:$B,2,FALSE()),""))</f>
        <v/>
      </c>
      <c r="D179" s="28"/>
      <c r="E179" s="28"/>
      <c r="F179" s="14" t="str">
        <f aca="false">IF(OR($B179="",$D179=""),"",IFERROR(INDEX('Recetas y precios'!$P:$S,MATCH($B179,'Recetas y precios'!$A:$A,0),MATCH($D179,'Recetas y precios'!$P$5:$S$5,0)),""))</f>
        <v/>
      </c>
      <c r="G179" s="14" t="str">
        <f aca="false">IFERROR($E179*$F179,"")</f>
        <v/>
      </c>
      <c r="H179" s="14" t="str">
        <f aca="false">IF($B179="","",IF($D179="Rebanada en mostrador",IFERROR(VLOOKUP($B179,'Recetas y precios'!$A:$O,15,FALSE()),""),IFERROR(VLOOKUP($B179,'Recetas y precios'!$A:$M,13,FALSE()),"")))</f>
        <v/>
      </c>
      <c r="I179" s="14" t="str">
        <f aca="false">IFERROR($E179*$H179,"")</f>
        <v/>
      </c>
      <c r="J179" s="14" t="str">
        <f aca="false">IFERROR($G179-$I179,"")</f>
        <v/>
      </c>
      <c r="K179" s="21" t="str">
        <f aca="false">IFERROR($J179/$G179,"")</f>
        <v/>
      </c>
      <c r="L179" s="28"/>
    </row>
    <row r="180" customFormat="false" ht="15" hidden="false" customHeight="false" outlineLevel="0" collapsed="false">
      <c r="A180" s="27"/>
      <c r="B180" s="28"/>
      <c r="C180" s="9" t="str">
        <f aca="false">IF($B180="","",IFERROR(VLOOKUP($B180,'Recetas y precios'!$A:$B,2,FALSE()),""))</f>
        <v/>
      </c>
      <c r="D180" s="28"/>
      <c r="E180" s="28"/>
      <c r="F180" s="14" t="str">
        <f aca="false">IF(OR($B180="",$D180=""),"",IFERROR(INDEX('Recetas y precios'!$P:$S,MATCH($B180,'Recetas y precios'!$A:$A,0),MATCH($D180,'Recetas y precios'!$P$5:$S$5,0)),""))</f>
        <v/>
      </c>
      <c r="G180" s="14" t="str">
        <f aca="false">IFERROR($E180*$F180,"")</f>
        <v/>
      </c>
      <c r="H180" s="14" t="str">
        <f aca="false">IF($B180="","",IF($D180="Rebanada en mostrador",IFERROR(VLOOKUP($B180,'Recetas y precios'!$A:$O,15,FALSE()),""),IFERROR(VLOOKUP($B180,'Recetas y precios'!$A:$M,13,FALSE()),"")))</f>
        <v/>
      </c>
      <c r="I180" s="14" t="str">
        <f aca="false">IFERROR($E180*$H180,"")</f>
        <v/>
      </c>
      <c r="J180" s="14" t="str">
        <f aca="false">IFERROR($G180-$I180,"")</f>
        <v/>
      </c>
      <c r="K180" s="21" t="str">
        <f aca="false">IFERROR($J180/$G180,"")</f>
        <v/>
      </c>
      <c r="L180" s="28"/>
    </row>
    <row r="181" customFormat="false" ht="15" hidden="false" customHeight="false" outlineLevel="0" collapsed="false">
      <c r="A181" s="27"/>
      <c r="B181" s="28"/>
      <c r="C181" s="9" t="str">
        <f aca="false">IF($B181="","",IFERROR(VLOOKUP($B181,'Recetas y precios'!$A:$B,2,FALSE()),""))</f>
        <v/>
      </c>
      <c r="D181" s="28"/>
      <c r="E181" s="28"/>
      <c r="F181" s="14" t="str">
        <f aca="false">IF(OR($B181="",$D181=""),"",IFERROR(INDEX('Recetas y precios'!$P:$S,MATCH($B181,'Recetas y precios'!$A:$A,0),MATCH($D181,'Recetas y precios'!$P$5:$S$5,0)),""))</f>
        <v/>
      </c>
      <c r="G181" s="14" t="str">
        <f aca="false">IFERROR($E181*$F181,"")</f>
        <v/>
      </c>
      <c r="H181" s="14" t="str">
        <f aca="false">IF($B181="","",IF($D181="Rebanada en mostrador",IFERROR(VLOOKUP($B181,'Recetas y precios'!$A:$O,15,FALSE()),""),IFERROR(VLOOKUP($B181,'Recetas y precios'!$A:$M,13,FALSE()),"")))</f>
        <v/>
      </c>
      <c r="I181" s="14" t="str">
        <f aca="false">IFERROR($E181*$H181,"")</f>
        <v/>
      </c>
      <c r="J181" s="14" t="str">
        <f aca="false">IFERROR($G181-$I181,"")</f>
        <v/>
      </c>
      <c r="K181" s="21" t="str">
        <f aca="false">IFERROR($J181/$G181,"")</f>
        <v/>
      </c>
      <c r="L181" s="28"/>
    </row>
    <row r="182" customFormat="false" ht="15" hidden="false" customHeight="false" outlineLevel="0" collapsed="false">
      <c r="A182" s="27"/>
      <c r="B182" s="28"/>
      <c r="C182" s="9" t="str">
        <f aca="false">IF($B182="","",IFERROR(VLOOKUP($B182,'Recetas y precios'!$A:$B,2,FALSE()),""))</f>
        <v/>
      </c>
      <c r="D182" s="28"/>
      <c r="E182" s="28"/>
      <c r="F182" s="14" t="str">
        <f aca="false">IF(OR($B182="",$D182=""),"",IFERROR(INDEX('Recetas y precios'!$P:$S,MATCH($B182,'Recetas y precios'!$A:$A,0),MATCH($D182,'Recetas y precios'!$P$5:$S$5,0)),""))</f>
        <v/>
      </c>
      <c r="G182" s="14" t="str">
        <f aca="false">IFERROR($E182*$F182,"")</f>
        <v/>
      </c>
      <c r="H182" s="14" t="str">
        <f aca="false">IF($B182="","",IF($D182="Rebanada en mostrador",IFERROR(VLOOKUP($B182,'Recetas y precios'!$A:$O,15,FALSE()),""),IFERROR(VLOOKUP($B182,'Recetas y precios'!$A:$M,13,FALSE()),"")))</f>
        <v/>
      </c>
      <c r="I182" s="14" t="str">
        <f aca="false">IFERROR($E182*$H182,"")</f>
        <v/>
      </c>
      <c r="J182" s="14" t="str">
        <f aca="false">IFERROR($G182-$I182,"")</f>
        <v/>
      </c>
      <c r="K182" s="21" t="str">
        <f aca="false">IFERROR($J182/$G182,"")</f>
        <v/>
      </c>
      <c r="L182" s="28"/>
    </row>
    <row r="183" customFormat="false" ht="15" hidden="false" customHeight="false" outlineLevel="0" collapsed="false">
      <c r="A183" s="27"/>
      <c r="B183" s="28"/>
      <c r="C183" s="9" t="str">
        <f aca="false">IF($B183="","",IFERROR(VLOOKUP($B183,'Recetas y precios'!$A:$B,2,FALSE()),""))</f>
        <v/>
      </c>
      <c r="D183" s="28"/>
      <c r="E183" s="28"/>
      <c r="F183" s="14" t="str">
        <f aca="false">IF(OR($B183="",$D183=""),"",IFERROR(INDEX('Recetas y precios'!$P:$S,MATCH($B183,'Recetas y precios'!$A:$A,0),MATCH($D183,'Recetas y precios'!$P$5:$S$5,0)),""))</f>
        <v/>
      </c>
      <c r="G183" s="14" t="str">
        <f aca="false">IFERROR($E183*$F183,"")</f>
        <v/>
      </c>
      <c r="H183" s="14" t="str">
        <f aca="false">IF($B183="","",IF($D183="Rebanada en mostrador",IFERROR(VLOOKUP($B183,'Recetas y precios'!$A:$O,15,FALSE()),""),IFERROR(VLOOKUP($B183,'Recetas y precios'!$A:$M,13,FALSE()),"")))</f>
        <v/>
      </c>
      <c r="I183" s="14" t="str">
        <f aca="false">IFERROR($E183*$H183,"")</f>
        <v/>
      </c>
      <c r="J183" s="14" t="str">
        <f aca="false">IFERROR($G183-$I183,"")</f>
        <v/>
      </c>
      <c r="K183" s="21" t="str">
        <f aca="false">IFERROR($J183/$G183,"")</f>
        <v/>
      </c>
      <c r="L183" s="28"/>
    </row>
    <row r="184" customFormat="false" ht="15" hidden="false" customHeight="false" outlineLevel="0" collapsed="false">
      <c r="A184" s="27"/>
      <c r="B184" s="28"/>
      <c r="C184" s="9" t="str">
        <f aca="false">IF($B184="","",IFERROR(VLOOKUP($B184,'Recetas y precios'!$A:$B,2,FALSE()),""))</f>
        <v/>
      </c>
      <c r="D184" s="28"/>
      <c r="E184" s="28"/>
      <c r="F184" s="14" t="str">
        <f aca="false">IF(OR($B184="",$D184=""),"",IFERROR(INDEX('Recetas y precios'!$P:$S,MATCH($B184,'Recetas y precios'!$A:$A,0),MATCH($D184,'Recetas y precios'!$P$5:$S$5,0)),""))</f>
        <v/>
      </c>
      <c r="G184" s="14" t="str">
        <f aca="false">IFERROR($E184*$F184,"")</f>
        <v/>
      </c>
      <c r="H184" s="14" t="str">
        <f aca="false">IF($B184="","",IF($D184="Rebanada en mostrador",IFERROR(VLOOKUP($B184,'Recetas y precios'!$A:$O,15,FALSE()),""),IFERROR(VLOOKUP($B184,'Recetas y precios'!$A:$M,13,FALSE()),"")))</f>
        <v/>
      </c>
      <c r="I184" s="14" t="str">
        <f aca="false">IFERROR($E184*$H184,"")</f>
        <v/>
      </c>
      <c r="J184" s="14" t="str">
        <f aca="false">IFERROR($G184-$I184,"")</f>
        <v/>
      </c>
      <c r="K184" s="21" t="str">
        <f aca="false">IFERROR($J184/$G184,"")</f>
        <v/>
      </c>
      <c r="L184" s="28"/>
    </row>
    <row r="185" customFormat="false" ht="15" hidden="false" customHeight="false" outlineLevel="0" collapsed="false">
      <c r="A185" s="27"/>
      <c r="B185" s="28"/>
      <c r="C185" s="9" t="str">
        <f aca="false">IF($B185="","",IFERROR(VLOOKUP($B185,'Recetas y precios'!$A:$B,2,FALSE()),""))</f>
        <v/>
      </c>
      <c r="D185" s="28"/>
      <c r="E185" s="28"/>
      <c r="F185" s="14" t="str">
        <f aca="false">IF(OR($B185="",$D185=""),"",IFERROR(INDEX('Recetas y precios'!$P:$S,MATCH($B185,'Recetas y precios'!$A:$A,0),MATCH($D185,'Recetas y precios'!$P$5:$S$5,0)),""))</f>
        <v/>
      </c>
      <c r="G185" s="14" t="str">
        <f aca="false">IFERROR($E185*$F185,"")</f>
        <v/>
      </c>
      <c r="H185" s="14" t="str">
        <f aca="false">IF($B185="","",IF($D185="Rebanada en mostrador",IFERROR(VLOOKUP($B185,'Recetas y precios'!$A:$O,15,FALSE()),""),IFERROR(VLOOKUP($B185,'Recetas y precios'!$A:$M,13,FALSE()),"")))</f>
        <v/>
      </c>
      <c r="I185" s="14" t="str">
        <f aca="false">IFERROR($E185*$H185,"")</f>
        <v/>
      </c>
      <c r="J185" s="14" t="str">
        <f aca="false">IFERROR($G185-$I185,"")</f>
        <v/>
      </c>
      <c r="K185" s="21" t="str">
        <f aca="false">IFERROR($J185/$G185,"")</f>
        <v/>
      </c>
      <c r="L185" s="28"/>
    </row>
    <row r="186" customFormat="false" ht="15" hidden="false" customHeight="false" outlineLevel="0" collapsed="false">
      <c r="A186" s="27"/>
      <c r="B186" s="28"/>
      <c r="C186" s="9" t="str">
        <f aca="false">IF($B186="","",IFERROR(VLOOKUP($B186,'Recetas y precios'!$A:$B,2,FALSE()),""))</f>
        <v/>
      </c>
      <c r="D186" s="28"/>
      <c r="E186" s="28"/>
      <c r="F186" s="14" t="str">
        <f aca="false">IF(OR($B186="",$D186=""),"",IFERROR(INDEX('Recetas y precios'!$P:$S,MATCH($B186,'Recetas y precios'!$A:$A,0),MATCH($D186,'Recetas y precios'!$P$5:$S$5,0)),""))</f>
        <v/>
      </c>
      <c r="G186" s="14" t="str">
        <f aca="false">IFERROR($E186*$F186,"")</f>
        <v/>
      </c>
      <c r="H186" s="14" t="str">
        <f aca="false">IF($B186="","",IF($D186="Rebanada en mostrador",IFERROR(VLOOKUP($B186,'Recetas y precios'!$A:$O,15,FALSE()),""),IFERROR(VLOOKUP($B186,'Recetas y precios'!$A:$M,13,FALSE()),"")))</f>
        <v/>
      </c>
      <c r="I186" s="14" t="str">
        <f aca="false">IFERROR($E186*$H186,"")</f>
        <v/>
      </c>
      <c r="J186" s="14" t="str">
        <f aca="false">IFERROR($G186-$I186,"")</f>
        <v/>
      </c>
      <c r="K186" s="21" t="str">
        <f aca="false">IFERROR($J186/$G186,"")</f>
        <v/>
      </c>
      <c r="L186" s="28"/>
    </row>
    <row r="187" customFormat="false" ht="15" hidden="false" customHeight="false" outlineLevel="0" collapsed="false">
      <c r="A187" s="27"/>
      <c r="B187" s="28"/>
      <c r="C187" s="9" t="str">
        <f aca="false">IF($B187="","",IFERROR(VLOOKUP($B187,'Recetas y precios'!$A:$B,2,FALSE()),""))</f>
        <v/>
      </c>
      <c r="D187" s="28"/>
      <c r="E187" s="28"/>
      <c r="F187" s="14" t="str">
        <f aca="false">IF(OR($B187="",$D187=""),"",IFERROR(INDEX('Recetas y precios'!$P:$S,MATCH($B187,'Recetas y precios'!$A:$A,0),MATCH($D187,'Recetas y precios'!$P$5:$S$5,0)),""))</f>
        <v/>
      </c>
      <c r="G187" s="14" t="str">
        <f aca="false">IFERROR($E187*$F187,"")</f>
        <v/>
      </c>
      <c r="H187" s="14" t="str">
        <f aca="false">IF($B187="","",IF($D187="Rebanada en mostrador",IFERROR(VLOOKUP($B187,'Recetas y precios'!$A:$O,15,FALSE()),""),IFERROR(VLOOKUP($B187,'Recetas y precios'!$A:$M,13,FALSE()),"")))</f>
        <v/>
      </c>
      <c r="I187" s="14" t="str">
        <f aca="false">IFERROR($E187*$H187,"")</f>
        <v/>
      </c>
      <c r="J187" s="14" t="str">
        <f aca="false">IFERROR($G187-$I187,"")</f>
        <v/>
      </c>
      <c r="K187" s="21" t="str">
        <f aca="false">IFERROR($J187/$G187,"")</f>
        <v/>
      </c>
      <c r="L187" s="28"/>
    </row>
    <row r="188" customFormat="false" ht="15" hidden="false" customHeight="false" outlineLevel="0" collapsed="false">
      <c r="A188" s="27"/>
      <c r="B188" s="28"/>
      <c r="C188" s="9" t="str">
        <f aca="false">IF($B188="","",IFERROR(VLOOKUP($B188,'Recetas y precios'!$A:$B,2,FALSE()),""))</f>
        <v/>
      </c>
      <c r="D188" s="28"/>
      <c r="E188" s="28"/>
      <c r="F188" s="14" t="str">
        <f aca="false">IF(OR($B188="",$D188=""),"",IFERROR(INDEX('Recetas y precios'!$P:$S,MATCH($B188,'Recetas y precios'!$A:$A,0),MATCH($D188,'Recetas y precios'!$P$5:$S$5,0)),""))</f>
        <v/>
      </c>
      <c r="G188" s="14" t="str">
        <f aca="false">IFERROR($E188*$F188,"")</f>
        <v/>
      </c>
      <c r="H188" s="14" t="str">
        <f aca="false">IF($B188="","",IF($D188="Rebanada en mostrador",IFERROR(VLOOKUP($B188,'Recetas y precios'!$A:$O,15,FALSE()),""),IFERROR(VLOOKUP($B188,'Recetas y precios'!$A:$M,13,FALSE()),"")))</f>
        <v/>
      </c>
      <c r="I188" s="14" t="str">
        <f aca="false">IFERROR($E188*$H188,"")</f>
        <v/>
      </c>
      <c r="J188" s="14" t="str">
        <f aca="false">IFERROR($G188-$I188,"")</f>
        <v/>
      </c>
      <c r="K188" s="21" t="str">
        <f aca="false">IFERROR($J188/$G188,"")</f>
        <v/>
      </c>
      <c r="L188" s="28"/>
    </row>
    <row r="189" customFormat="false" ht="15" hidden="false" customHeight="false" outlineLevel="0" collapsed="false">
      <c r="A189" s="27"/>
      <c r="B189" s="28"/>
      <c r="C189" s="9" t="str">
        <f aca="false">IF($B189="","",IFERROR(VLOOKUP($B189,'Recetas y precios'!$A:$B,2,FALSE()),""))</f>
        <v/>
      </c>
      <c r="D189" s="28"/>
      <c r="E189" s="28"/>
      <c r="F189" s="14" t="str">
        <f aca="false">IF(OR($B189="",$D189=""),"",IFERROR(INDEX('Recetas y precios'!$P:$S,MATCH($B189,'Recetas y precios'!$A:$A,0),MATCH($D189,'Recetas y precios'!$P$5:$S$5,0)),""))</f>
        <v/>
      </c>
      <c r="G189" s="14" t="str">
        <f aca="false">IFERROR($E189*$F189,"")</f>
        <v/>
      </c>
      <c r="H189" s="14" t="str">
        <f aca="false">IF($B189="","",IF($D189="Rebanada en mostrador",IFERROR(VLOOKUP($B189,'Recetas y precios'!$A:$O,15,FALSE()),""),IFERROR(VLOOKUP($B189,'Recetas y precios'!$A:$M,13,FALSE()),"")))</f>
        <v/>
      </c>
      <c r="I189" s="14" t="str">
        <f aca="false">IFERROR($E189*$H189,"")</f>
        <v/>
      </c>
      <c r="J189" s="14" t="str">
        <f aca="false">IFERROR($G189-$I189,"")</f>
        <v/>
      </c>
      <c r="K189" s="21" t="str">
        <f aca="false">IFERROR($J189/$G189,"")</f>
        <v/>
      </c>
      <c r="L189" s="28"/>
    </row>
    <row r="190" customFormat="false" ht="15" hidden="false" customHeight="false" outlineLevel="0" collapsed="false">
      <c r="A190" s="27"/>
      <c r="B190" s="28"/>
      <c r="C190" s="9" t="str">
        <f aca="false">IF($B190="","",IFERROR(VLOOKUP($B190,'Recetas y precios'!$A:$B,2,FALSE()),""))</f>
        <v/>
      </c>
      <c r="D190" s="28"/>
      <c r="E190" s="28"/>
      <c r="F190" s="14" t="str">
        <f aca="false">IF(OR($B190="",$D190=""),"",IFERROR(INDEX('Recetas y precios'!$P:$S,MATCH($B190,'Recetas y precios'!$A:$A,0),MATCH($D190,'Recetas y precios'!$P$5:$S$5,0)),""))</f>
        <v/>
      </c>
      <c r="G190" s="14" t="str">
        <f aca="false">IFERROR($E190*$F190,"")</f>
        <v/>
      </c>
      <c r="H190" s="14" t="str">
        <f aca="false">IF($B190="","",IF($D190="Rebanada en mostrador",IFERROR(VLOOKUP($B190,'Recetas y precios'!$A:$O,15,FALSE()),""),IFERROR(VLOOKUP($B190,'Recetas y precios'!$A:$M,13,FALSE()),"")))</f>
        <v/>
      </c>
      <c r="I190" s="14" t="str">
        <f aca="false">IFERROR($E190*$H190,"")</f>
        <v/>
      </c>
      <c r="J190" s="14" t="str">
        <f aca="false">IFERROR($G190-$I190,"")</f>
        <v/>
      </c>
      <c r="K190" s="21" t="str">
        <f aca="false">IFERROR($J190/$G190,"")</f>
        <v/>
      </c>
      <c r="L190" s="28"/>
    </row>
    <row r="191" customFormat="false" ht="15" hidden="false" customHeight="false" outlineLevel="0" collapsed="false">
      <c r="A191" s="27"/>
      <c r="B191" s="28"/>
      <c r="C191" s="9" t="str">
        <f aca="false">IF($B191="","",IFERROR(VLOOKUP($B191,'Recetas y precios'!$A:$B,2,FALSE()),""))</f>
        <v/>
      </c>
      <c r="D191" s="28"/>
      <c r="E191" s="28"/>
      <c r="F191" s="14" t="str">
        <f aca="false">IF(OR($B191="",$D191=""),"",IFERROR(INDEX('Recetas y precios'!$P:$S,MATCH($B191,'Recetas y precios'!$A:$A,0),MATCH($D191,'Recetas y precios'!$P$5:$S$5,0)),""))</f>
        <v/>
      </c>
      <c r="G191" s="14" t="str">
        <f aca="false">IFERROR($E191*$F191,"")</f>
        <v/>
      </c>
      <c r="H191" s="14" t="str">
        <f aca="false">IF($B191="","",IF($D191="Rebanada en mostrador",IFERROR(VLOOKUP($B191,'Recetas y precios'!$A:$O,15,FALSE()),""),IFERROR(VLOOKUP($B191,'Recetas y precios'!$A:$M,13,FALSE()),"")))</f>
        <v/>
      </c>
      <c r="I191" s="14" t="str">
        <f aca="false">IFERROR($E191*$H191,"")</f>
        <v/>
      </c>
      <c r="J191" s="14" t="str">
        <f aca="false">IFERROR($G191-$I191,"")</f>
        <v/>
      </c>
      <c r="K191" s="21" t="str">
        <f aca="false">IFERROR($J191/$G191,"")</f>
        <v/>
      </c>
      <c r="L191" s="28"/>
    </row>
    <row r="192" customFormat="false" ht="15" hidden="false" customHeight="false" outlineLevel="0" collapsed="false">
      <c r="A192" s="27"/>
      <c r="B192" s="28"/>
      <c r="C192" s="9" t="str">
        <f aca="false">IF($B192="","",IFERROR(VLOOKUP($B192,'Recetas y precios'!$A:$B,2,FALSE()),""))</f>
        <v/>
      </c>
      <c r="D192" s="28"/>
      <c r="E192" s="28"/>
      <c r="F192" s="14" t="str">
        <f aca="false">IF(OR($B192="",$D192=""),"",IFERROR(INDEX('Recetas y precios'!$P:$S,MATCH($B192,'Recetas y precios'!$A:$A,0),MATCH($D192,'Recetas y precios'!$P$5:$S$5,0)),""))</f>
        <v/>
      </c>
      <c r="G192" s="14" t="str">
        <f aca="false">IFERROR($E192*$F192,"")</f>
        <v/>
      </c>
      <c r="H192" s="14" t="str">
        <f aca="false">IF($B192="","",IF($D192="Rebanada en mostrador",IFERROR(VLOOKUP($B192,'Recetas y precios'!$A:$O,15,FALSE()),""),IFERROR(VLOOKUP($B192,'Recetas y precios'!$A:$M,13,FALSE()),"")))</f>
        <v/>
      </c>
      <c r="I192" s="14" t="str">
        <f aca="false">IFERROR($E192*$H192,"")</f>
        <v/>
      </c>
      <c r="J192" s="14" t="str">
        <f aca="false">IFERROR($G192-$I192,"")</f>
        <v/>
      </c>
      <c r="K192" s="21" t="str">
        <f aca="false">IFERROR($J192/$G192,"")</f>
        <v/>
      </c>
      <c r="L192" s="28"/>
    </row>
    <row r="193" customFormat="false" ht="15" hidden="false" customHeight="false" outlineLevel="0" collapsed="false">
      <c r="A193" s="27"/>
      <c r="B193" s="28"/>
      <c r="C193" s="9" t="str">
        <f aca="false">IF($B193="","",IFERROR(VLOOKUP($B193,'Recetas y precios'!$A:$B,2,FALSE()),""))</f>
        <v/>
      </c>
      <c r="D193" s="28"/>
      <c r="E193" s="28"/>
      <c r="F193" s="14" t="str">
        <f aca="false">IF(OR($B193="",$D193=""),"",IFERROR(INDEX('Recetas y precios'!$P:$S,MATCH($B193,'Recetas y precios'!$A:$A,0),MATCH($D193,'Recetas y precios'!$P$5:$S$5,0)),""))</f>
        <v/>
      </c>
      <c r="G193" s="14" t="str">
        <f aca="false">IFERROR($E193*$F193,"")</f>
        <v/>
      </c>
      <c r="H193" s="14" t="str">
        <f aca="false">IF($B193="","",IF($D193="Rebanada en mostrador",IFERROR(VLOOKUP($B193,'Recetas y precios'!$A:$O,15,FALSE()),""),IFERROR(VLOOKUP($B193,'Recetas y precios'!$A:$M,13,FALSE()),"")))</f>
        <v/>
      </c>
      <c r="I193" s="14" t="str">
        <f aca="false">IFERROR($E193*$H193,"")</f>
        <v/>
      </c>
      <c r="J193" s="14" t="str">
        <f aca="false">IFERROR($G193-$I193,"")</f>
        <v/>
      </c>
      <c r="K193" s="21" t="str">
        <f aca="false">IFERROR($J193/$G193,"")</f>
        <v/>
      </c>
      <c r="L193" s="28"/>
    </row>
    <row r="194" customFormat="false" ht="15" hidden="false" customHeight="false" outlineLevel="0" collapsed="false">
      <c r="A194" s="27"/>
      <c r="B194" s="28"/>
      <c r="C194" s="9" t="str">
        <f aca="false">IF($B194="","",IFERROR(VLOOKUP($B194,'Recetas y precios'!$A:$B,2,FALSE()),""))</f>
        <v/>
      </c>
      <c r="D194" s="28"/>
      <c r="E194" s="28"/>
      <c r="F194" s="14" t="str">
        <f aca="false">IF(OR($B194="",$D194=""),"",IFERROR(INDEX('Recetas y precios'!$P:$S,MATCH($B194,'Recetas y precios'!$A:$A,0),MATCH($D194,'Recetas y precios'!$P$5:$S$5,0)),""))</f>
        <v/>
      </c>
      <c r="G194" s="14" t="str">
        <f aca="false">IFERROR($E194*$F194,"")</f>
        <v/>
      </c>
      <c r="H194" s="14" t="str">
        <f aca="false">IF($B194="","",IF($D194="Rebanada en mostrador",IFERROR(VLOOKUP($B194,'Recetas y precios'!$A:$O,15,FALSE()),""),IFERROR(VLOOKUP($B194,'Recetas y precios'!$A:$M,13,FALSE()),"")))</f>
        <v/>
      </c>
      <c r="I194" s="14" t="str">
        <f aca="false">IFERROR($E194*$H194,"")</f>
        <v/>
      </c>
      <c r="J194" s="14" t="str">
        <f aca="false">IFERROR($G194-$I194,"")</f>
        <v/>
      </c>
      <c r="K194" s="21" t="str">
        <f aca="false">IFERROR($J194/$G194,"")</f>
        <v/>
      </c>
      <c r="L194" s="28"/>
    </row>
    <row r="195" customFormat="false" ht="15" hidden="false" customHeight="false" outlineLevel="0" collapsed="false">
      <c r="A195" s="27"/>
      <c r="B195" s="28"/>
      <c r="C195" s="9" t="str">
        <f aca="false">IF($B195="","",IFERROR(VLOOKUP($B195,'Recetas y precios'!$A:$B,2,FALSE()),""))</f>
        <v/>
      </c>
      <c r="D195" s="28"/>
      <c r="E195" s="28"/>
      <c r="F195" s="14" t="str">
        <f aca="false">IF(OR($B195="",$D195=""),"",IFERROR(INDEX('Recetas y precios'!$P:$S,MATCH($B195,'Recetas y precios'!$A:$A,0),MATCH($D195,'Recetas y precios'!$P$5:$S$5,0)),""))</f>
        <v/>
      </c>
      <c r="G195" s="14" t="str">
        <f aca="false">IFERROR($E195*$F195,"")</f>
        <v/>
      </c>
      <c r="H195" s="14" t="str">
        <f aca="false">IF($B195="","",IF($D195="Rebanada en mostrador",IFERROR(VLOOKUP($B195,'Recetas y precios'!$A:$O,15,FALSE()),""),IFERROR(VLOOKUP($B195,'Recetas y precios'!$A:$M,13,FALSE()),"")))</f>
        <v/>
      </c>
      <c r="I195" s="14" t="str">
        <f aca="false">IFERROR($E195*$H195,"")</f>
        <v/>
      </c>
      <c r="J195" s="14" t="str">
        <f aca="false">IFERROR($G195-$I195,"")</f>
        <v/>
      </c>
      <c r="K195" s="21" t="str">
        <f aca="false">IFERROR($J195/$G195,"")</f>
        <v/>
      </c>
      <c r="L195" s="28"/>
    </row>
    <row r="196" customFormat="false" ht="15" hidden="false" customHeight="false" outlineLevel="0" collapsed="false">
      <c r="A196" s="27"/>
      <c r="B196" s="28"/>
      <c r="C196" s="9" t="str">
        <f aca="false">IF($B196="","",IFERROR(VLOOKUP($B196,'Recetas y precios'!$A:$B,2,FALSE()),""))</f>
        <v/>
      </c>
      <c r="D196" s="28"/>
      <c r="E196" s="28"/>
      <c r="F196" s="14" t="str">
        <f aca="false">IF(OR($B196="",$D196=""),"",IFERROR(INDEX('Recetas y precios'!$P:$S,MATCH($B196,'Recetas y precios'!$A:$A,0),MATCH($D196,'Recetas y precios'!$P$5:$S$5,0)),""))</f>
        <v/>
      </c>
      <c r="G196" s="14" t="str">
        <f aca="false">IFERROR($E196*$F196,"")</f>
        <v/>
      </c>
      <c r="H196" s="14" t="str">
        <f aca="false">IF($B196="","",IF($D196="Rebanada en mostrador",IFERROR(VLOOKUP($B196,'Recetas y precios'!$A:$O,15,FALSE()),""),IFERROR(VLOOKUP($B196,'Recetas y precios'!$A:$M,13,FALSE()),"")))</f>
        <v/>
      </c>
      <c r="I196" s="14" t="str">
        <f aca="false">IFERROR($E196*$H196,"")</f>
        <v/>
      </c>
      <c r="J196" s="14" t="str">
        <f aca="false">IFERROR($G196-$I196,"")</f>
        <v/>
      </c>
      <c r="K196" s="21" t="str">
        <f aca="false">IFERROR($J196/$G196,"")</f>
        <v/>
      </c>
      <c r="L196" s="28"/>
    </row>
    <row r="197" customFormat="false" ht="15" hidden="false" customHeight="false" outlineLevel="0" collapsed="false">
      <c r="A197" s="27"/>
      <c r="B197" s="28"/>
      <c r="C197" s="9" t="str">
        <f aca="false">IF($B197="","",IFERROR(VLOOKUP($B197,'Recetas y precios'!$A:$B,2,FALSE()),""))</f>
        <v/>
      </c>
      <c r="D197" s="28"/>
      <c r="E197" s="28"/>
      <c r="F197" s="14" t="str">
        <f aca="false">IF(OR($B197="",$D197=""),"",IFERROR(INDEX('Recetas y precios'!$P:$S,MATCH($B197,'Recetas y precios'!$A:$A,0),MATCH($D197,'Recetas y precios'!$P$5:$S$5,0)),""))</f>
        <v/>
      </c>
      <c r="G197" s="14" t="str">
        <f aca="false">IFERROR($E197*$F197,"")</f>
        <v/>
      </c>
      <c r="H197" s="14" t="str">
        <f aca="false">IF($B197="","",IF($D197="Rebanada en mostrador",IFERROR(VLOOKUP($B197,'Recetas y precios'!$A:$O,15,FALSE()),""),IFERROR(VLOOKUP($B197,'Recetas y precios'!$A:$M,13,FALSE()),"")))</f>
        <v/>
      </c>
      <c r="I197" s="14" t="str">
        <f aca="false">IFERROR($E197*$H197,"")</f>
        <v/>
      </c>
      <c r="J197" s="14" t="str">
        <f aca="false">IFERROR($G197-$I197,"")</f>
        <v/>
      </c>
      <c r="K197" s="21" t="str">
        <f aca="false">IFERROR($J197/$G197,"")</f>
        <v/>
      </c>
      <c r="L197" s="28"/>
    </row>
    <row r="198" customFormat="false" ht="15" hidden="false" customHeight="false" outlineLevel="0" collapsed="false">
      <c r="A198" s="27"/>
      <c r="B198" s="28"/>
      <c r="C198" s="9" t="str">
        <f aca="false">IF($B198="","",IFERROR(VLOOKUP($B198,'Recetas y precios'!$A:$B,2,FALSE()),""))</f>
        <v/>
      </c>
      <c r="D198" s="28"/>
      <c r="E198" s="28"/>
      <c r="F198" s="14" t="str">
        <f aca="false">IF(OR($B198="",$D198=""),"",IFERROR(INDEX('Recetas y precios'!$P:$S,MATCH($B198,'Recetas y precios'!$A:$A,0),MATCH($D198,'Recetas y precios'!$P$5:$S$5,0)),""))</f>
        <v/>
      </c>
      <c r="G198" s="14" t="str">
        <f aca="false">IFERROR($E198*$F198,"")</f>
        <v/>
      </c>
      <c r="H198" s="14" t="str">
        <f aca="false">IF($B198="","",IF($D198="Rebanada en mostrador",IFERROR(VLOOKUP($B198,'Recetas y precios'!$A:$O,15,FALSE()),""),IFERROR(VLOOKUP($B198,'Recetas y precios'!$A:$M,13,FALSE()),"")))</f>
        <v/>
      </c>
      <c r="I198" s="14" t="str">
        <f aca="false">IFERROR($E198*$H198,"")</f>
        <v/>
      </c>
      <c r="J198" s="14" t="str">
        <f aca="false">IFERROR($G198-$I198,"")</f>
        <v/>
      </c>
      <c r="K198" s="21" t="str">
        <f aca="false">IFERROR($J198/$G198,"")</f>
        <v/>
      </c>
      <c r="L198" s="28"/>
    </row>
    <row r="199" customFormat="false" ht="15" hidden="false" customHeight="false" outlineLevel="0" collapsed="false">
      <c r="A199" s="27"/>
      <c r="B199" s="28"/>
      <c r="C199" s="9" t="str">
        <f aca="false">IF($B199="","",IFERROR(VLOOKUP($B199,'Recetas y precios'!$A:$B,2,FALSE()),""))</f>
        <v/>
      </c>
      <c r="D199" s="28"/>
      <c r="E199" s="28"/>
      <c r="F199" s="14" t="str">
        <f aca="false">IF(OR($B199="",$D199=""),"",IFERROR(INDEX('Recetas y precios'!$P:$S,MATCH($B199,'Recetas y precios'!$A:$A,0),MATCH($D199,'Recetas y precios'!$P$5:$S$5,0)),""))</f>
        <v/>
      </c>
      <c r="G199" s="14" t="str">
        <f aca="false">IFERROR($E199*$F199,"")</f>
        <v/>
      </c>
      <c r="H199" s="14" t="str">
        <f aca="false">IF($B199="","",IF($D199="Rebanada en mostrador",IFERROR(VLOOKUP($B199,'Recetas y precios'!$A:$O,15,FALSE()),""),IFERROR(VLOOKUP($B199,'Recetas y precios'!$A:$M,13,FALSE()),"")))</f>
        <v/>
      </c>
      <c r="I199" s="14" t="str">
        <f aca="false">IFERROR($E199*$H199,"")</f>
        <v/>
      </c>
      <c r="J199" s="14" t="str">
        <f aca="false">IFERROR($G199-$I199,"")</f>
        <v/>
      </c>
      <c r="K199" s="21" t="str">
        <f aca="false">IFERROR($J199/$G199,"")</f>
        <v/>
      </c>
      <c r="L199" s="28"/>
    </row>
    <row r="200" customFormat="false" ht="15" hidden="false" customHeight="false" outlineLevel="0" collapsed="false">
      <c r="A200" s="27"/>
      <c r="B200" s="28"/>
      <c r="C200" s="9" t="str">
        <f aca="false">IF($B200="","",IFERROR(VLOOKUP($B200,'Recetas y precios'!$A:$B,2,FALSE()),""))</f>
        <v/>
      </c>
      <c r="D200" s="28"/>
      <c r="E200" s="28"/>
      <c r="F200" s="14" t="str">
        <f aca="false">IF(OR($B200="",$D200=""),"",IFERROR(INDEX('Recetas y precios'!$P:$S,MATCH($B200,'Recetas y precios'!$A:$A,0),MATCH($D200,'Recetas y precios'!$P$5:$S$5,0)),""))</f>
        <v/>
      </c>
      <c r="G200" s="14" t="str">
        <f aca="false">IFERROR($E200*$F200,"")</f>
        <v/>
      </c>
      <c r="H200" s="14" t="str">
        <f aca="false">IF($B200="","",IF($D200="Rebanada en mostrador",IFERROR(VLOOKUP($B200,'Recetas y precios'!$A:$O,15,FALSE()),""),IFERROR(VLOOKUP($B200,'Recetas y precios'!$A:$M,13,FALSE()),"")))</f>
        <v/>
      </c>
      <c r="I200" s="14" t="str">
        <f aca="false">IFERROR($E200*$H200,"")</f>
        <v/>
      </c>
      <c r="J200" s="14" t="str">
        <f aca="false">IFERROR($G200-$I200,"")</f>
        <v/>
      </c>
      <c r="K200" s="21" t="str">
        <f aca="false">IFERROR($J200/$G200,"")</f>
        <v/>
      </c>
      <c r="L200" s="28"/>
    </row>
    <row r="201" customFormat="false" ht="15" hidden="false" customHeight="false" outlineLevel="0" collapsed="false">
      <c r="A201" s="27"/>
      <c r="B201" s="28"/>
      <c r="C201" s="9" t="str">
        <f aca="false">IF($B201="","",IFERROR(VLOOKUP($B201,'Recetas y precios'!$A:$B,2,FALSE()),""))</f>
        <v/>
      </c>
      <c r="D201" s="28"/>
      <c r="E201" s="28"/>
      <c r="F201" s="14" t="str">
        <f aca="false">IF(OR($B201="",$D201=""),"",IFERROR(INDEX('Recetas y precios'!$P:$S,MATCH($B201,'Recetas y precios'!$A:$A,0),MATCH($D201,'Recetas y precios'!$P$5:$S$5,0)),""))</f>
        <v/>
      </c>
      <c r="G201" s="14" t="str">
        <f aca="false">IFERROR($E201*$F201,"")</f>
        <v/>
      </c>
      <c r="H201" s="14" t="str">
        <f aca="false">IF($B201="","",IF($D201="Rebanada en mostrador",IFERROR(VLOOKUP($B201,'Recetas y precios'!$A:$O,15,FALSE()),""),IFERROR(VLOOKUP($B201,'Recetas y precios'!$A:$M,13,FALSE()),"")))</f>
        <v/>
      </c>
      <c r="I201" s="14" t="str">
        <f aca="false">IFERROR($E201*$H201,"")</f>
        <v/>
      </c>
      <c r="J201" s="14" t="str">
        <f aca="false">IFERROR($G201-$I201,"")</f>
        <v/>
      </c>
      <c r="K201" s="21" t="str">
        <f aca="false">IFERROR($J201/$G201,"")</f>
        <v/>
      </c>
      <c r="L201" s="28"/>
    </row>
    <row r="202" customFormat="false" ht="15" hidden="false" customHeight="false" outlineLevel="0" collapsed="false">
      <c r="A202" s="27"/>
      <c r="B202" s="28"/>
      <c r="C202" s="9" t="str">
        <f aca="false">IF($B202="","",IFERROR(VLOOKUP($B202,'Recetas y precios'!$A:$B,2,FALSE()),""))</f>
        <v/>
      </c>
      <c r="D202" s="28"/>
      <c r="E202" s="28"/>
      <c r="F202" s="14" t="str">
        <f aca="false">IF(OR($B202="",$D202=""),"",IFERROR(INDEX('Recetas y precios'!$P:$S,MATCH($B202,'Recetas y precios'!$A:$A,0),MATCH($D202,'Recetas y precios'!$P$5:$S$5,0)),""))</f>
        <v/>
      </c>
      <c r="G202" s="14" t="str">
        <f aca="false">IFERROR($E202*$F202,"")</f>
        <v/>
      </c>
      <c r="H202" s="14" t="str">
        <f aca="false">IF($B202="","",IF($D202="Rebanada en mostrador",IFERROR(VLOOKUP($B202,'Recetas y precios'!$A:$O,15,FALSE()),""),IFERROR(VLOOKUP($B202,'Recetas y precios'!$A:$M,13,FALSE()),"")))</f>
        <v/>
      </c>
      <c r="I202" s="14" t="str">
        <f aca="false">IFERROR($E202*$H202,"")</f>
        <v/>
      </c>
      <c r="J202" s="14" t="str">
        <f aca="false">IFERROR($G202-$I202,"")</f>
        <v/>
      </c>
      <c r="K202" s="21" t="str">
        <f aca="false">IFERROR($J202/$G202,"")</f>
        <v/>
      </c>
      <c r="L202" s="28"/>
    </row>
    <row r="203" customFormat="false" ht="15" hidden="false" customHeight="false" outlineLevel="0" collapsed="false">
      <c r="A203" s="27"/>
      <c r="B203" s="28"/>
      <c r="C203" s="9" t="str">
        <f aca="false">IF($B203="","",IFERROR(VLOOKUP($B203,'Recetas y precios'!$A:$B,2,FALSE()),""))</f>
        <v/>
      </c>
      <c r="D203" s="28"/>
      <c r="E203" s="28"/>
      <c r="F203" s="14" t="str">
        <f aca="false">IF(OR($B203="",$D203=""),"",IFERROR(INDEX('Recetas y precios'!$P:$S,MATCH($B203,'Recetas y precios'!$A:$A,0),MATCH($D203,'Recetas y precios'!$P$5:$S$5,0)),""))</f>
        <v/>
      </c>
      <c r="G203" s="14" t="str">
        <f aca="false">IFERROR($E203*$F203,"")</f>
        <v/>
      </c>
      <c r="H203" s="14" t="str">
        <f aca="false">IF($B203="","",IF($D203="Rebanada en mostrador",IFERROR(VLOOKUP($B203,'Recetas y precios'!$A:$O,15,FALSE()),""),IFERROR(VLOOKUP($B203,'Recetas y precios'!$A:$M,13,FALSE()),"")))</f>
        <v/>
      </c>
      <c r="I203" s="14" t="str">
        <f aca="false">IFERROR($E203*$H203,"")</f>
        <v/>
      </c>
      <c r="J203" s="14" t="str">
        <f aca="false">IFERROR($G203-$I203,"")</f>
        <v/>
      </c>
      <c r="K203" s="21" t="str">
        <f aca="false">IFERROR($J203/$G203,"")</f>
        <v/>
      </c>
      <c r="L203" s="28"/>
    </row>
    <row r="204" customFormat="false" ht="15" hidden="false" customHeight="false" outlineLevel="0" collapsed="false">
      <c r="A204" s="27"/>
      <c r="B204" s="28"/>
      <c r="C204" s="9" t="str">
        <f aca="false">IF($B204="","",IFERROR(VLOOKUP($B204,'Recetas y precios'!$A:$B,2,FALSE()),""))</f>
        <v/>
      </c>
      <c r="D204" s="28"/>
      <c r="E204" s="28"/>
      <c r="F204" s="14" t="str">
        <f aca="false">IF(OR($B204="",$D204=""),"",IFERROR(INDEX('Recetas y precios'!$P:$S,MATCH($B204,'Recetas y precios'!$A:$A,0),MATCH($D204,'Recetas y precios'!$P$5:$S$5,0)),""))</f>
        <v/>
      </c>
      <c r="G204" s="14" t="str">
        <f aca="false">IFERROR($E204*$F204,"")</f>
        <v/>
      </c>
      <c r="H204" s="14" t="str">
        <f aca="false">IF($B204="","",IF($D204="Rebanada en mostrador",IFERROR(VLOOKUP($B204,'Recetas y precios'!$A:$O,15,FALSE()),""),IFERROR(VLOOKUP($B204,'Recetas y precios'!$A:$M,13,FALSE()),"")))</f>
        <v/>
      </c>
      <c r="I204" s="14" t="str">
        <f aca="false">IFERROR($E204*$H204,"")</f>
        <v/>
      </c>
      <c r="J204" s="14" t="str">
        <f aca="false">IFERROR($G204-$I204,"")</f>
        <v/>
      </c>
      <c r="K204" s="21" t="str">
        <f aca="false">IFERROR($J204/$G204,"")</f>
        <v/>
      </c>
      <c r="L204" s="28"/>
    </row>
    <row r="205" customFormat="false" ht="15" hidden="false" customHeight="false" outlineLevel="0" collapsed="false">
      <c r="A205" s="27"/>
      <c r="B205" s="28"/>
      <c r="C205" s="9" t="str">
        <f aca="false">IF($B205="","",IFERROR(VLOOKUP($B205,'Recetas y precios'!$A:$B,2,FALSE()),""))</f>
        <v/>
      </c>
      <c r="D205" s="28"/>
      <c r="E205" s="28"/>
      <c r="F205" s="14" t="str">
        <f aca="false">IF(OR($B205="",$D205=""),"",IFERROR(INDEX('Recetas y precios'!$P:$S,MATCH($B205,'Recetas y precios'!$A:$A,0),MATCH($D205,'Recetas y precios'!$P$5:$S$5,0)),""))</f>
        <v/>
      </c>
      <c r="G205" s="14" t="str">
        <f aca="false">IFERROR($E205*$F205,"")</f>
        <v/>
      </c>
      <c r="H205" s="14" t="str">
        <f aca="false">IF($B205="","",IF($D205="Rebanada en mostrador",IFERROR(VLOOKUP($B205,'Recetas y precios'!$A:$O,15,FALSE()),""),IFERROR(VLOOKUP($B205,'Recetas y precios'!$A:$M,13,FALSE()),"")))</f>
        <v/>
      </c>
      <c r="I205" s="14" t="str">
        <f aca="false">IFERROR($E205*$H205,"")</f>
        <v/>
      </c>
      <c r="J205" s="14" t="str">
        <f aca="false">IFERROR($G205-$I205,"")</f>
        <v/>
      </c>
      <c r="K205" s="21" t="str">
        <f aca="false">IFERROR($J205/$G205,"")</f>
        <v/>
      </c>
      <c r="L205" s="28"/>
    </row>
    <row r="206" customFormat="false" ht="15" hidden="false" customHeight="false" outlineLevel="0" collapsed="false">
      <c r="A206" s="27"/>
      <c r="B206" s="28"/>
      <c r="C206" s="9" t="str">
        <f aca="false">IF($B206="","",IFERROR(VLOOKUP($B206,'Recetas y precios'!$A:$B,2,FALSE()),""))</f>
        <v/>
      </c>
      <c r="D206" s="28"/>
      <c r="E206" s="28"/>
      <c r="F206" s="14" t="str">
        <f aca="false">IF(OR($B206="",$D206=""),"",IFERROR(INDEX('Recetas y precios'!$P:$S,MATCH($B206,'Recetas y precios'!$A:$A,0),MATCH($D206,'Recetas y precios'!$P$5:$S$5,0)),""))</f>
        <v/>
      </c>
      <c r="G206" s="14" t="str">
        <f aca="false">IFERROR($E206*$F206,"")</f>
        <v/>
      </c>
      <c r="H206" s="14" t="str">
        <f aca="false">IF($B206="","",IF($D206="Rebanada en mostrador",IFERROR(VLOOKUP($B206,'Recetas y precios'!$A:$O,15,FALSE()),""),IFERROR(VLOOKUP($B206,'Recetas y precios'!$A:$M,13,FALSE()),"")))</f>
        <v/>
      </c>
      <c r="I206" s="14" t="str">
        <f aca="false">IFERROR($E206*$H206,"")</f>
        <v/>
      </c>
      <c r="J206" s="14" t="str">
        <f aca="false">IFERROR($G206-$I206,"")</f>
        <v/>
      </c>
      <c r="K206" s="21" t="str">
        <f aca="false">IFERROR($J206/$G206,"")</f>
        <v/>
      </c>
      <c r="L206" s="28"/>
    </row>
    <row r="207" customFormat="false" ht="15" hidden="false" customHeight="false" outlineLevel="0" collapsed="false">
      <c r="A207" s="27"/>
      <c r="B207" s="28"/>
      <c r="C207" s="9" t="str">
        <f aca="false">IF($B207="","",IFERROR(VLOOKUP($B207,'Recetas y precios'!$A:$B,2,FALSE()),""))</f>
        <v/>
      </c>
      <c r="D207" s="28"/>
      <c r="E207" s="28"/>
      <c r="F207" s="14" t="str">
        <f aca="false">IF(OR($B207="",$D207=""),"",IFERROR(INDEX('Recetas y precios'!$P:$S,MATCH($B207,'Recetas y precios'!$A:$A,0),MATCH($D207,'Recetas y precios'!$P$5:$S$5,0)),""))</f>
        <v/>
      </c>
      <c r="G207" s="14" t="str">
        <f aca="false">IFERROR($E207*$F207,"")</f>
        <v/>
      </c>
      <c r="H207" s="14" t="str">
        <f aca="false">IF($B207="","",IF($D207="Rebanada en mostrador",IFERROR(VLOOKUP($B207,'Recetas y precios'!$A:$O,15,FALSE()),""),IFERROR(VLOOKUP($B207,'Recetas y precios'!$A:$M,13,FALSE()),"")))</f>
        <v/>
      </c>
      <c r="I207" s="14" t="str">
        <f aca="false">IFERROR($E207*$H207,"")</f>
        <v/>
      </c>
      <c r="J207" s="14" t="str">
        <f aca="false">IFERROR($G207-$I207,"")</f>
        <v/>
      </c>
      <c r="K207" s="21" t="str">
        <f aca="false">IFERROR($J207/$G207,"")</f>
        <v/>
      </c>
      <c r="L207" s="28"/>
    </row>
    <row r="208" customFormat="false" ht="15" hidden="false" customHeight="false" outlineLevel="0" collapsed="false">
      <c r="A208" s="27"/>
      <c r="B208" s="28"/>
      <c r="C208" s="9" t="str">
        <f aca="false">IF($B208="","",IFERROR(VLOOKUP($B208,'Recetas y precios'!$A:$B,2,FALSE()),""))</f>
        <v/>
      </c>
      <c r="D208" s="28"/>
      <c r="E208" s="28"/>
      <c r="F208" s="14" t="str">
        <f aca="false">IF(OR($B208="",$D208=""),"",IFERROR(INDEX('Recetas y precios'!$P:$S,MATCH($B208,'Recetas y precios'!$A:$A,0),MATCH($D208,'Recetas y precios'!$P$5:$S$5,0)),""))</f>
        <v/>
      </c>
      <c r="G208" s="14" t="str">
        <f aca="false">IFERROR($E208*$F208,"")</f>
        <v/>
      </c>
      <c r="H208" s="14" t="str">
        <f aca="false">IF($B208="","",IF($D208="Rebanada en mostrador",IFERROR(VLOOKUP($B208,'Recetas y precios'!$A:$O,15,FALSE()),""),IFERROR(VLOOKUP($B208,'Recetas y precios'!$A:$M,13,FALSE()),"")))</f>
        <v/>
      </c>
      <c r="I208" s="14" t="str">
        <f aca="false">IFERROR($E208*$H208,"")</f>
        <v/>
      </c>
      <c r="J208" s="14" t="str">
        <f aca="false">IFERROR($G208-$I208,"")</f>
        <v/>
      </c>
      <c r="K208" s="21" t="str">
        <f aca="false">IFERROR($J208/$G208,"")</f>
        <v/>
      </c>
      <c r="L208" s="28"/>
    </row>
    <row r="209" customFormat="false" ht="15" hidden="false" customHeight="false" outlineLevel="0" collapsed="false">
      <c r="A209" s="27"/>
      <c r="B209" s="28"/>
      <c r="C209" s="9" t="str">
        <f aca="false">IF($B209="","",IFERROR(VLOOKUP($B209,'Recetas y precios'!$A:$B,2,FALSE()),""))</f>
        <v/>
      </c>
      <c r="D209" s="28"/>
      <c r="E209" s="28"/>
      <c r="F209" s="14" t="str">
        <f aca="false">IF(OR($B209="",$D209=""),"",IFERROR(INDEX('Recetas y precios'!$P:$S,MATCH($B209,'Recetas y precios'!$A:$A,0),MATCH($D209,'Recetas y precios'!$P$5:$S$5,0)),""))</f>
        <v/>
      </c>
      <c r="G209" s="14" t="str">
        <f aca="false">IFERROR($E209*$F209,"")</f>
        <v/>
      </c>
      <c r="H209" s="14" t="str">
        <f aca="false">IF($B209="","",IF($D209="Rebanada en mostrador",IFERROR(VLOOKUP($B209,'Recetas y precios'!$A:$O,15,FALSE()),""),IFERROR(VLOOKUP($B209,'Recetas y precios'!$A:$M,13,FALSE()),"")))</f>
        <v/>
      </c>
      <c r="I209" s="14" t="str">
        <f aca="false">IFERROR($E209*$H209,"")</f>
        <v/>
      </c>
      <c r="J209" s="14" t="str">
        <f aca="false">IFERROR($G209-$I209,"")</f>
        <v/>
      </c>
      <c r="K209" s="21" t="str">
        <f aca="false">IFERROR($J209/$G209,"")</f>
        <v/>
      </c>
      <c r="L209" s="28"/>
    </row>
    <row r="210" customFormat="false" ht="15" hidden="false" customHeight="false" outlineLevel="0" collapsed="false">
      <c r="A210" s="27"/>
      <c r="B210" s="28"/>
      <c r="C210" s="9" t="str">
        <f aca="false">IF($B210="","",IFERROR(VLOOKUP($B210,'Recetas y precios'!$A:$B,2,FALSE()),""))</f>
        <v/>
      </c>
      <c r="D210" s="28"/>
      <c r="E210" s="28"/>
      <c r="F210" s="14" t="str">
        <f aca="false">IF(OR($B210="",$D210=""),"",IFERROR(INDEX('Recetas y precios'!$P:$S,MATCH($B210,'Recetas y precios'!$A:$A,0),MATCH($D210,'Recetas y precios'!$P$5:$S$5,0)),""))</f>
        <v/>
      </c>
      <c r="G210" s="14" t="str">
        <f aca="false">IFERROR($E210*$F210,"")</f>
        <v/>
      </c>
      <c r="H210" s="14" t="str">
        <f aca="false">IF($B210="","",IF($D210="Rebanada en mostrador",IFERROR(VLOOKUP($B210,'Recetas y precios'!$A:$O,15,FALSE()),""),IFERROR(VLOOKUP($B210,'Recetas y precios'!$A:$M,13,FALSE()),"")))</f>
        <v/>
      </c>
      <c r="I210" s="14" t="str">
        <f aca="false">IFERROR($E210*$H210,"")</f>
        <v/>
      </c>
      <c r="J210" s="14" t="str">
        <f aca="false">IFERROR($G210-$I210,"")</f>
        <v/>
      </c>
      <c r="K210" s="21" t="str">
        <f aca="false">IFERROR($J210/$G210,"")</f>
        <v/>
      </c>
      <c r="L210" s="28"/>
    </row>
    <row r="211" customFormat="false" ht="15" hidden="false" customHeight="false" outlineLevel="0" collapsed="false">
      <c r="A211" s="27"/>
      <c r="B211" s="28"/>
      <c r="C211" s="9" t="str">
        <f aca="false">IF($B211="","",IFERROR(VLOOKUP($B211,'Recetas y precios'!$A:$B,2,FALSE()),""))</f>
        <v/>
      </c>
      <c r="D211" s="28"/>
      <c r="E211" s="28"/>
      <c r="F211" s="14" t="str">
        <f aca="false">IF(OR($B211="",$D211=""),"",IFERROR(INDEX('Recetas y precios'!$P:$S,MATCH($B211,'Recetas y precios'!$A:$A,0),MATCH($D211,'Recetas y precios'!$P$5:$S$5,0)),""))</f>
        <v/>
      </c>
      <c r="G211" s="14" t="str">
        <f aca="false">IFERROR($E211*$F211,"")</f>
        <v/>
      </c>
      <c r="H211" s="14" t="str">
        <f aca="false">IF($B211="","",IF($D211="Rebanada en mostrador",IFERROR(VLOOKUP($B211,'Recetas y precios'!$A:$O,15,FALSE()),""),IFERROR(VLOOKUP($B211,'Recetas y precios'!$A:$M,13,FALSE()),"")))</f>
        <v/>
      </c>
      <c r="I211" s="14" t="str">
        <f aca="false">IFERROR($E211*$H211,"")</f>
        <v/>
      </c>
      <c r="J211" s="14" t="str">
        <f aca="false">IFERROR($G211-$I211,"")</f>
        <v/>
      </c>
      <c r="K211" s="21" t="str">
        <f aca="false">IFERROR($J211/$G211,"")</f>
        <v/>
      </c>
      <c r="L211" s="28"/>
    </row>
    <row r="212" customFormat="false" ht="15" hidden="false" customHeight="false" outlineLevel="0" collapsed="false">
      <c r="A212" s="27"/>
      <c r="B212" s="28"/>
      <c r="C212" s="9" t="str">
        <f aca="false">IF($B212="","",IFERROR(VLOOKUP($B212,'Recetas y precios'!$A:$B,2,FALSE()),""))</f>
        <v/>
      </c>
      <c r="D212" s="28"/>
      <c r="E212" s="28"/>
      <c r="F212" s="14" t="str">
        <f aca="false">IF(OR($B212="",$D212=""),"",IFERROR(INDEX('Recetas y precios'!$P:$S,MATCH($B212,'Recetas y precios'!$A:$A,0),MATCH($D212,'Recetas y precios'!$P$5:$S$5,0)),""))</f>
        <v/>
      </c>
      <c r="G212" s="14" t="str">
        <f aca="false">IFERROR($E212*$F212,"")</f>
        <v/>
      </c>
      <c r="H212" s="14" t="str">
        <f aca="false">IF($B212="","",IF($D212="Rebanada en mostrador",IFERROR(VLOOKUP($B212,'Recetas y precios'!$A:$O,15,FALSE()),""),IFERROR(VLOOKUP($B212,'Recetas y precios'!$A:$M,13,FALSE()),"")))</f>
        <v/>
      </c>
      <c r="I212" s="14" t="str">
        <f aca="false">IFERROR($E212*$H212,"")</f>
        <v/>
      </c>
      <c r="J212" s="14" t="str">
        <f aca="false">IFERROR($G212-$I212,"")</f>
        <v/>
      </c>
      <c r="K212" s="21" t="str">
        <f aca="false">IFERROR($J212/$G212,"")</f>
        <v/>
      </c>
      <c r="L212" s="28"/>
    </row>
    <row r="213" customFormat="false" ht="15" hidden="false" customHeight="false" outlineLevel="0" collapsed="false">
      <c r="A213" s="27"/>
      <c r="B213" s="28"/>
      <c r="C213" s="9" t="str">
        <f aca="false">IF($B213="","",IFERROR(VLOOKUP($B213,'Recetas y precios'!$A:$B,2,FALSE()),""))</f>
        <v/>
      </c>
      <c r="D213" s="28"/>
      <c r="E213" s="28"/>
      <c r="F213" s="14" t="str">
        <f aca="false">IF(OR($B213="",$D213=""),"",IFERROR(INDEX('Recetas y precios'!$P:$S,MATCH($B213,'Recetas y precios'!$A:$A,0),MATCH($D213,'Recetas y precios'!$P$5:$S$5,0)),""))</f>
        <v/>
      </c>
      <c r="G213" s="14" t="str">
        <f aca="false">IFERROR($E213*$F213,"")</f>
        <v/>
      </c>
      <c r="H213" s="14" t="str">
        <f aca="false">IF($B213="","",IF($D213="Rebanada en mostrador",IFERROR(VLOOKUP($B213,'Recetas y precios'!$A:$O,15,FALSE()),""),IFERROR(VLOOKUP($B213,'Recetas y precios'!$A:$M,13,FALSE()),"")))</f>
        <v/>
      </c>
      <c r="I213" s="14" t="str">
        <f aca="false">IFERROR($E213*$H213,"")</f>
        <v/>
      </c>
      <c r="J213" s="14" t="str">
        <f aca="false">IFERROR($G213-$I213,"")</f>
        <v/>
      </c>
      <c r="K213" s="21" t="str">
        <f aca="false">IFERROR($J213/$G213,"")</f>
        <v/>
      </c>
      <c r="L213" s="28"/>
    </row>
    <row r="214" customFormat="false" ht="15" hidden="false" customHeight="false" outlineLevel="0" collapsed="false">
      <c r="A214" s="27"/>
      <c r="B214" s="28"/>
      <c r="C214" s="9" t="str">
        <f aca="false">IF($B214="","",IFERROR(VLOOKUP($B214,'Recetas y precios'!$A:$B,2,FALSE()),""))</f>
        <v/>
      </c>
      <c r="D214" s="28"/>
      <c r="E214" s="28"/>
      <c r="F214" s="14" t="str">
        <f aca="false">IF(OR($B214="",$D214=""),"",IFERROR(INDEX('Recetas y precios'!$P:$S,MATCH($B214,'Recetas y precios'!$A:$A,0),MATCH($D214,'Recetas y precios'!$P$5:$S$5,0)),""))</f>
        <v/>
      </c>
      <c r="G214" s="14" t="str">
        <f aca="false">IFERROR($E214*$F214,"")</f>
        <v/>
      </c>
      <c r="H214" s="14" t="str">
        <f aca="false">IF($B214="","",IF($D214="Rebanada en mostrador",IFERROR(VLOOKUP($B214,'Recetas y precios'!$A:$O,15,FALSE()),""),IFERROR(VLOOKUP($B214,'Recetas y precios'!$A:$M,13,FALSE()),"")))</f>
        <v/>
      </c>
      <c r="I214" s="14" t="str">
        <f aca="false">IFERROR($E214*$H214,"")</f>
        <v/>
      </c>
      <c r="J214" s="14" t="str">
        <f aca="false">IFERROR($G214-$I214,"")</f>
        <v/>
      </c>
      <c r="K214" s="21" t="str">
        <f aca="false">IFERROR($J214/$G214,"")</f>
        <v/>
      </c>
      <c r="L214" s="28"/>
    </row>
    <row r="215" customFormat="false" ht="15" hidden="false" customHeight="false" outlineLevel="0" collapsed="false">
      <c r="A215" s="27"/>
      <c r="B215" s="28"/>
      <c r="C215" s="9" t="str">
        <f aca="false">IF($B215="","",IFERROR(VLOOKUP($B215,'Recetas y precios'!$A:$B,2,FALSE()),""))</f>
        <v/>
      </c>
      <c r="D215" s="28"/>
      <c r="E215" s="28"/>
      <c r="F215" s="14" t="str">
        <f aca="false">IF(OR($B215="",$D215=""),"",IFERROR(INDEX('Recetas y precios'!$P:$S,MATCH($B215,'Recetas y precios'!$A:$A,0),MATCH($D215,'Recetas y precios'!$P$5:$S$5,0)),""))</f>
        <v/>
      </c>
      <c r="G215" s="14" t="str">
        <f aca="false">IFERROR($E215*$F215,"")</f>
        <v/>
      </c>
      <c r="H215" s="14" t="str">
        <f aca="false">IF($B215="","",IF($D215="Rebanada en mostrador",IFERROR(VLOOKUP($B215,'Recetas y precios'!$A:$O,15,FALSE()),""),IFERROR(VLOOKUP($B215,'Recetas y precios'!$A:$M,13,FALSE()),"")))</f>
        <v/>
      </c>
      <c r="I215" s="14" t="str">
        <f aca="false">IFERROR($E215*$H215,"")</f>
        <v/>
      </c>
      <c r="J215" s="14" t="str">
        <f aca="false">IFERROR($G215-$I215,"")</f>
        <v/>
      </c>
      <c r="K215" s="21" t="str">
        <f aca="false">IFERROR($J215/$G215,"")</f>
        <v/>
      </c>
      <c r="L215" s="28"/>
    </row>
    <row r="216" customFormat="false" ht="15" hidden="false" customHeight="false" outlineLevel="0" collapsed="false">
      <c r="A216" s="27"/>
      <c r="B216" s="28"/>
      <c r="C216" s="9" t="str">
        <f aca="false">IF($B216="","",IFERROR(VLOOKUP($B216,'Recetas y precios'!$A:$B,2,FALSE()),""))</f>
        <v/>
      </c>
      <c r="D216" s="28"/>
      <c r="E216" s="28"/>
      <c r="F216" s="14" t="str">
        <f aca="false">IF(OR($B216="",$D216=""),"",IFERROR(INDEX('Recetas y precios'!$P:$S,MATCH($B216,'Recetas y precios'!$A:$A,0),MATCH($D216,'Recetas y precios'!$P$5:$S$5,0)),""))</f>
        <v/>
      </c>
      <c r="G216" s="14" t="str">
        <f aca="false">IFERROR($E216*$F216,"")</f>
        <v/>
      </c>
      <c r="H216" s="14" t="str">
        <f aca="false">IF($B216="","",IF($D216="Rebanada en mostrador",IFERROR(VLOOKUP($B216,'Recetas y precios'!$A:$O,15,FALSE()),""),IFERROR(VLOOKUP($B216,'Recetas y precios'!$A:$M,13,FALSE()),"")))</f>
        <v/>
      </c>
      <c r="I216" s="14" t="str">
        <f aca="false">IFERROR($E216*$H216,"")</f>
        <v/>
      </c>
      <c r="J216" s="14" t="str">
        <f aca="false">IFERROR($G216-$I216,"")</f>
        <v/>
      </c>
      <c r="K216" s="21" t="str">
        <f aca="false">IFERROR($J216/$G216,"")</f>
        <v/>
      </c>
      <c r="L216" s="28"/>
    </row>
    <row r="217" customFormat="false" ht="15" hidden="false" customHeight="false" outlineLevel="0" collapsed="false">
      <c r="A217" s="27"/>
      <c r="B217" s="28"/>
      <c r="C217" s="9" t="str">
        <f aca="false">IF($B217="","",IFERROR(VLOOKUP($B217,'Recetas y precios'!$A:$B,2,FALSE()),""))</f>
        <v/>
      </c>
      <c r="D217" s="28"/>
      <c r="E217" s="28"/>
      <c r="F217" s="14" t="str">
        <f aca="false">IF(OR($B217="",$D217=""),"",IFERROR(INDEX('Recetas y precios'!$P:$S,MATCH($B217,'Recetas y precios'!$A:$A,0),MATCH($D217,'Recetas y precios'!$P$5:$S$5,0)),""))</f>
        <v/>
      </c>
      <c r="G217" s="14" t="str">
        <f aca="false">IFERROR($E217*$F217,"")</f>
        <v/>
      </c>
      <c r="H217" s="14" t="str">
        <f aca="false">IF($B217="","",IF($D217="Rebanada en mostrador",IFERROR(VLOOKUP($B217,'Recetas y precios'!$A:$O,15,FALSE()),""),IFERROR(VLOOKUP($B217,'Recetas y precios'!$A:$M,13,FALSE()),"")))</f>
        <v/>
      </c>
      <c r="I217" s="14" t="str">
        <f aca="false">IFERROR($E217*$H217,"")</f>
        <v/>
      </c>
      <c r="J217" s="14" t="str">
        <f aca="false">IFERROR($G217-$I217,"")</f>
        <v/>
      </c>
      <c r="K217" s="21" t="str">
        <f aca="false">IFERROR($J217/$G217,"")</f>
        <v/>
      </c>
      <c r="L217" s="28"/>
    </row>
    <row r="218" customFormat="false" ht="15" hidden="false" customHeight="false" outlineLevel="0" collapsed="false">
      <c r="A218" s="27"/>
      <c r="B218" s="28"/>
      <c r="C218" s="9" t="str">
        <f aca="false">IF($B218="","",IFERROR(VLOOKUP($B218,'Recetas y precios'!$A:$B,2,FALSE()),""))</f>
        <v/>
      </c>
      <c r="D218" s="28"/>
      <c r="E218" s="28"/>
      <c r="F218" s="14" t="str">
        <f aca="false">IF(OR($B218="",$D218=""),"",IFERROR(INDEX('Recetas y precios'!$P:$S,MATCH($B218,'Recetas y precios'!$A:$A,0),MATCH($D218,'Recetas y precios'!$P$5:$S$5,0)),""))</f>
        <v/>
      </c>
      <c r="G218" s="14" t="str">
        <f aca="false">IFERROR($E218*$F218,"")</f>
        <v/>
      </c>
      <c r="H218" s="14" t="str">
        <f aca="false">IF($B218="","",IF($D218="Rebanada en mostrador",IFERROR(VLOOKUP($B218,'Recetas y precios'!$A:$O,15,FALSE()),""),IFERROR(VLOOKUP($B218,'Recetas y precios'!$A:$M,13,FALSE()),"")))</f>
        <v/>
      </c>
      <c r="I218" s="14" t="str">
        <f aca="false">IFERROR($E218*$H218,"")</f>
        <v/>
      </c>
      <c r="J218" s="14" t="str">
        <f aca="false">IFERROR($G218-$I218,"")</f>
        <v/>
      </c>
      <c r="K218" s="21" t="str">
        <f aca="false">IFERROR($J218/$G218,"")</f>
        <v/>
      </c>
      <c r="L218" s="28"/>
    </row>
    <row r="219" customFormat="false" ht="15" hidden="false" customHeight="false" outlineLevel="0" collapsed="false">
      <c r="A219" s="27"/>
      <c r="B219" s="28"/>
      <c r="C219" s="9" t="str">
        <f aca="false">IF($B219="","",IFERROR(VLOOKUP($B219,'Recetas y precios'!$A:$B,2,FALSE()),""))</f>
        <v/>
      </c>
      <c r="D219" s="28"/>
      <c r="E219" s="28"/>
      <c r="F219" s="14" t="str">
        <f aca="false">IF(OR($B219="",$D219=""),"",IFERROR(INDEX('Recetas y precios'!$P:$S,MATCH($B219,'Recetas y precios'!$A:$A,0),MATCH($D219,'Recetas y precios'!$P$5:$S$5,0)),""))</f>
        <v/>
      </c>
      <c r="G219" s="14" t="str">
        <f aca="false">IFERROR($E219*$F219,"")</f>
        <v/>
      </c>
      <c r="H219" s="14" t="str">
        <f aca="false">IF($B219="","",IF($D219="Rebanada en mostrador",IFERROR(VLOOKUP($B219,'Recetas y precios'!$A:$O,15,FALSE()),""),IFERROR(VLOOKUP($B219,'Recetas y precios'!$A:$M,13,FALSE()),"")))</f>
        <v/>
      </c>
      <c r="I219" s="14" t="str">
        <f aca="false">IFERROR($E219*$H219,"")</f>
        <v/>
      </c>
      <c r="J219" s="14" t="str">
        <f aca="false">IFERROR($G219-$I219,"")</f>
        <v/>
      </c>
      <c r="K219" s="21" t="str">
        <f aca="false">IFERROR($J219/$G219,"")</f>
        <v/>
      </c>
      <c r="L219" s="28"/>
    </row>
    <row r="220" customFormat="false" ht="15" hidden="false" customHeight="false" outlineLevel="0" collapsed="false">
      <c r="A220" s="27"/>
      <c r="B220" s="28"/>
      <c r="C220" s="9" t="str">
        <f aca="false">IF($B220="","",IFERROR(VLOOKUP($B220,'Recetas y precios'!$A:$B,2,FALSE()),""))</f>
        <v/>
      </c>
      <c r="D220" s="28"/>
      <c r="E220" s="28"/>
      <c r="F220" s="14" t="str">
        <f aca="false">IF(OR($B220="",$D220=""),"",IFERROR(INDEX('Recetas y precios'!$P:$S,MATCH($B220,'Recetas y precios'!$A:$A,0),MATCH($D220,'Recetas y precios'!$P$5:$S$5,0)),""))</f>
        <v/>
      </c>
      <c r="G220" s="14" t="str">
        <f aca="false">IFERROR($E220*$F220,"")</f>
        <v/>
      </c>
      <c r="H220" s="14" t="str">
        <f aca="false">IF($B220="","",IF($D220="Rebanada en mostrador",IFERROR(VLOOKUP($B220,'Recetas y precios'!$A:$O,15,FALSE()),""),IFERROR(VLOOKUP($B220,'Recetas y precios'!$A:$M,13,FALSE()),"")))</f>
        <v/>
      </c>
      <c r="I220" s="14" t="str">
        <f aca="false">IFERROR($E220*$H220,"")</f>
        <v/>
      </c>
      <c r="J220" s="14" t="str">
        <f aca="false">IFERROR($G220-$I220,"")</f>
        <v/>
      </c>
      <c r="K220" s="21" t="str">
        <f aca="false">IFERROR($J220/$G220,"")</f>
        <v/>
      </c>
      <c r="L220" s="28"/>
    </row>
    <row r="221" customFormat="false" ht="15" hidden="false" customHeight="false" outlineLevel="0" collapsed="false">
      <c r="A221" s="27"/>
      <c r="B221" s="28"/>
      <c r="C221" s="9" t="str">
        <f aca="false">IF($B221="","",IFERROR(VLOOKUP($B221,'Recetas y precios'!$A:$B,2,FALSE()),""))</f>
        <v/>
      </c>
      <c r="D221" s="28"/>
      <c r="E221" s="28"/>
      <c r="F221" s="14" t="str">
        <f aca="false">IF(OR($B221="",$D221=""),"",IFERROR(INDEX('Recetas y precios'!$P:$S,MATCH($B221,'Recetas y precios'!$A:$A,0),MATCH($D221,'Recetas y precios'!$P$5:$S$5,0)),""))</f>
        <v/>
      </c>
      <c r="G221" s="14" t="str">
        <f aca="false">IFERROR($E221*$F221,"")</f>
        <v/>
      </c>
      <c r="H221" s="14" t="str">
        <f aca="false">IF($B221="","",IF($D221="Rebanada en mostrador",IFERROR(VLOOKUP($B221,'Recetas y precios'!$A:$O,15,FALSE()),""),IFERROR(VLOOKUP($B221,'Recetas y precios'!$A:$M,13,FALSE()),"")))</f>
        <v/>
      </c>
      <c r="I221" s="14" t="str">
        <f aca="false">IFERROR($E221*$H221,"")</f>
        <v/>
      </c>
      <c r="J221" s="14" t="str">
        <f aca="false">IFERROR($G221-$I221,"")</f>
        <v/>
      </c>
      <c r="K221" s="21" t="str">
        <f aca="false">IFERROR($J221/$G221,"")</f>
        <v/>
      </c>
      <c r="L221" s="28"/>
    </row>
    <row r="222" customFormat="false" ht="15" hidden="false" customHeight="false" outlineLevel="0" collapsed="false">
      <c r="A222" s="27"/>
      <c r="B222" s="28"/>
      <c r="C222" s="9" t="str">
        <f aca="false">IF($B222="","",IFERROR(VLOOKUP($B222,'Recetas y precios'!$A:$B,2,FALSE()),""))</f>
        <v/>
      </c>
      <c r="D222" s="28"/>
      <c r="E222" s="28"/>
      <c r="F222" s="14" t="str">
        <f aca="false">IF(OR($B222="",$D222=""),"",IFERROR(INDEX('Recetas y precios'!$P:$S,MATCH($B222,'Recetas y precios'!$A:$A,0),MATCH($D222,'Recetas y precios'!$P$5:$S$5,0)),""))</f>
        <v/>
      </c>
      <c r="G222" s="14" t="str">
        <f aca="false">IFERROR($E222*$F222,"")</f>
        <v/>
      </c>
      <c r="H222" s="14" t="str">
        <f aca="false">IF($B222="","",IF($D222="Rebanada en mostrador",IFERROR(VLOOKUP($B222,'Recetas y precios'!$A:$O,15,FALSE()),""),IFERROR(VLOOKUP($B222,'Recetas y precios'!$A:$M,13,FALSE()),"")))</f>
        <v/>
      </c>
      <c r="I222" s="14" t="str">
        <f aca="false">IFERROR($E222*$H222,"")</f>
        <v/>
      </c>
      <c r="J222" s="14" t="str">
        <f aca="false">IFERROR($G222-$I222,"")</f>
        <v/>
      </c>
      <c r="K222" s="21" t="str">
        <f aca="false">IFERROR($J222/$G222,"")</f>
        <v/>
      </c>
      <c r="L222" s="28"/>
    </row>
    <row r="223" customFormat="false" ht="15" hidden="false" customHeight="false" outlineLevel="0" collapsed="false">
      <c r="A223" s="27"/>
      <c r="B223" s="28"/>
      <c r="C223" s="9" t="str">
        <f aca="false">IF($B223="","",IFERROR(VLOOKUP($B223,'Recetas y precios'!$A:$B,2,FALSE()),""))</f>
        <v/>
      </c>
      <c r="D223" s="28"/>
      <c r="E223" s="28"/>
      <c r="F223" s="14" t="str">
        <f aca="false">IF(OR($B223="",$D223=""),"",IFERROR(INDEX('Recetas y precios'!$P:$S,MATCH($B223,'Recetas y precios'!$A:$A,0),MATCH($D223,'Recetas y precios'!$P$5:$S$5,0)),""))</f>
        <v/>
      </c>
      <c r="G223" s="14" t="str">
        <f aca="false">IFERROR($E223*$F223,"")</f>
        <v/>
      </c>
      <c r="H223" s="14" t="str">
        <f aca="false">IF($B223="","",IF($D223="Rebanada en mostrador",IFERROR(VLOOKUP($B223,'Recetas y precios'!$A:$O,15,FALSE()),""),IFERROR(VLOOKUP($B223,'Recetas y precios'!$A:$M,13,FALSE()),"")))</f>
        <v/>
      </c>
      <c r="I223" s="14" t="str">
        <f aca="false">IFERROR($E223*$H223,"")</f>
        <v/>
      </c>
      <c r="J223" s="14" t="str">
        <f aca="false">IFERROR($G223-$I223,"")</f>
        <v/>
      </c>
      <c r="K223" s="21" t="str">
        <f aca="false">IFERROR($J223/$G223,"")</f>
        <v/>
      </c>
      <c r="L223" s="28"/>
    </row>
    <row r="224" customFormat="false" ht="15" hidden="false" customHeight="false" outlineLevel="0" collapsed="false">
      <c r="A224" s="27"/>
      <c r="B224" s="28"/>
      <c r="C224" s="9" t="str">
        <f aca="false">IF($B224="","",IFERROR(VLOOKUP($B224,'Recetas y precios'!$A:$B,2,FALSE()),""))</f>
        <v/>
      </c>
      <c r="D224" s="28"/>
      <c r="E224" s="28"/>
      <c r="F224" s="14" t="str">
        <f aca="false">IF(OR($B224="",$D224=""),"",IFERROR(INDEX('Recetas y precios'!$P:$S,MATCH($B224,'Recetas y precios'!$A:$A,0),MATCH($D224,'Recetas y precios'!$P$5:$S$5,0)),""))</f>
        <v/>
      </c>
      <c r="G224" s="14" t="str">
        <f aca="false">IFERROR($E224*$F224,"")</f>
        <v/>
      </c>
      <c r="H224" s="14" t="str">
        <f aca="false">IF($B224="","",IF($D224="Rebanada en mostrador",IFERROR(VLOOKUP($B224,'Recetas y precios'!$A:$O,15,FALSE()),""),IFERROR(VLOOKUP($B224,'Recetas y precios'!$A:$M,13,FALSE()),"")))</f>
        <v/>
      </c>
      <c r="I224" s="14" t="str">
        <f aca="false">IFERROR($E224*$H224,"")</f>
        <v/>
      </c>
      <c r="J224" s="14" t="str">
        <f aca="false">IFERROR($G224-$I224,"")</f>
        <v/>
      </c>
      <c r="K224" s="21" t="str">
        <f aca="false">IFERROR($J224/$G224,"")</f>
        <v/>
      </c>
      <c r="L224" s="28"/>
    </row>
    <row r="225" customFormat="false" ht="15" hidden="false" customHeight="false" outlineLevel="0" collapsed="false">
      <c r="A225" s="27"/>
      <c r="B225" s="28"/>
      <c r="C225" s="9" t="str">
        <f aca="false">IF($B225="","",IFERROR(VLOOKUP($B225,'Recetas y precios'!$A:$B,2,FALSE()),""))</f>
        <v/>
      </c>
      <c r="D225" s="28"/>
      <c r="E225" s="28"/>
      <c r="F225" s="14" t="str">
        <f aca="false">IF(OR($B225="",$D225=""),"",IFERROR(INDEX('Recetas y precios'!$P:$S,MATCH($B225,'Recetas y precios'!$A:$A,0),MATCH($D225,'Recetas y precios'!$P$5:$S$5,0)),""))</f>
        <v/>
      </c>
      <c r="G225" s="14" t="str">
        <f aca="false">IFERROR($E225*$F225,"")</f>
        <v/>
      </c>
      <c r="H225" s="14" t="str">
        <f aca="false">IF($B225="","",IF($D225="Rebanada en mostrador",IFERROR(VLOOKUP($B225,'Recetas y precios'!$A:$O,15,FALSE()),""),IFERROR(VLOOKUP($B225,'Recetas y precios'!$A:$M,13,FALSE()),"")))</f>
        <v/>
      </c>
      <c r="I225" s="14" t="str">
        <f aca="false">IFERROR($E225*$H225,"")</f>
        <v/>
      </c>
      <c r="J225" s="14" t="str">
        <f aca="false">IFERROR($G225-$I225,"")</f>
        <v/>
      </c>
      <c r="K225" s="21" t="str">
        <f aca="false">IFERROR($J225/$G225,"")</f>
        <v/>
      </c>
      <c r="L225" s="28"/>
    </row>
    <row r="226" customFormat="false" ht="15" hidden="false" customHeight="false" outlineLevel="0" collapsed="false">
      <c r="A226" s="27"/>
      <c r="B226" s="28"/>
      <c r="C226" s="9" t="str">
        <f aca="false">IF($B226="","",IFERROR(VLOOKUP($B226,'Recetas y precios'!$A:$B,2,FALSE()),""))</f>
        <v/>
      </c>
      <c r="D226" s="28"/>
      <c r="E226" s="28"/>
      <c r="F226" s="14" t="str">
        <f aca="false">IF(OR($B226="",$D226=""),"",IFERROR(INDEX('Recetas y precios'!$P:$S,MATCH($B226,'Recetas y precios'!$A:$A,0),MATCH($D226,'Recetas y precios'!$P$5:$S$5,0)),""))</f>
        <v/>
      </c>
      <c r="G226" s="14" t="str">
        <f aca="false">IFERROR($E226*$F226,"")</f>
        <v/>
      </c>
      <c r="H226" s="14" t="str">
        <f aca="false">IF($B226="","",IF($D226="Rebanada en mostrador",IFERROR(VLOOKUP($B226,'Recetas y precios'!$A:$O,15,FALSE()),""),IFERROR(VLOOKUP($B226,'Recetas y precios'!$A:$M,13,FALSE()),"")))</f>
        <v/>
      </c>
      <c r="I226" s="14" t="str">
        <f aca="false">IFERROR($E226*$H226,"")</f>
        <v/>
      </c>
      <c r="J226" s="14" t="str">
        <f aca="false">IFERROR($G226-$I226,"")</f>
        <v/>
      </c>
      <c r="K226" s="21" t="str">
        <f aca="false">IFERROR($J226/$G226,"")</f>
        <v/>
      </c>
      <c r="L226" s="28"/>
    </row>
    <row r="227" customFormat="false" ht="15" hidden="false" customHeight="false" outlineLevel="0" collapsed="false">
      <c r="A227" s="27"/>
      <c r="B227" s="28"/>
      <c r="C227" s="9" t="str">
        <f aca="false">IF($B227="","",IFERROR(VLOOKUP($B227,'Recetas y precios'!$A:$B,2,FALSE()),""))</f>
        <v/>
      </c>
      <c r="D227" s="28"/>
      <c r="E227" s="28"/>
      <c r="F227" s="14" t="str">
        <f aca="false">IF(OR($B227="",$D227=""),"",IFERROR(INDEX('Recetas y precios'!$P:$S,MATCH($B227,'Recetas y precios'!$A:$A,0),MATCH($D227,'Recetas y precios'!$P$5:$S$5,0)),""))</f>
        <v/>
      </c>
      <c r="G227" s="14" t="str">
        <f aca="false">IFERROR($E227*$F227,"")</f>
        <v/>
      </c>
      <c r="H227" s="14" t="str">
        <f aca="false">IF($B227="","",IF($D227="Rebanada en mostrador",IFERROR(VLOOKUP($B227,'Recetas y precios'!$A:$O,15,FALSE()),""),IFERROR(VLOOKUP($B227,'Recetas y precios'!$A:$M,13,FALSE()),"")))</f>
        <v/>
      </c>
      <c r="I227" s="14" t="str">
        <f aca="false">IFERROR($E227*$H227,"")</f>
        <v/>
      </c>
      <c r="J227" s="14" t="str">
        <f aca="false">IFERROR($G227-$I227,"")</f>
        <v/>
      </c>
      <c r="K227" s="21" t="str">
        <f aca="false">IFERROR($J227/$G227,"")</f>
        <v/>
      </c>
      <c r="L227" s="28"/>
    </row>
    <row r="228" customFormat="false" ht="15" hidden="false" customHeight="false" outlineLevel="0" collapsed="false">
      <c r="A228" s="27"/>
      <c r="B228" s="28"/>
      <c r="C228" s="9" t="str">
        <f aca="false">IF($B228="","",IFERROR(VLOOKUP($B228,'Recetas y precios'!$A:$B,2,FALSE()),""))</f>
        <v/>
      </c>
      <c r="D228" s="28"/>
      <c r="E228" s="28"/>
      <c r="F228" s="14" t="str">
        <f aca="false">IF(OR($B228="",$D228=""),"",IFERROR(INDEX('Recetas y precios'!$P:$S,MATCH($B228,'Recetas y precios'!$A:$A,0),MATCH($D228,'Recetas y precios'!$P$5:$S$5,0)),""))</f>
        <v/>
      </c>
      <c r="G228" s="14" t="str">
        <f aca="false">IFERROR($E228*$F228,"")</f>
        <v/>
      </c>
      <c r="H228" s="14" t="str">
        <f aca="false">IF($B228="","",IF($D228="Rebanada en mostrador",IFERROR(VLOOKUP($B228,'Recetas y precios'!$A:$O,15,FALSE()),""),IFERROR(VLOOKUP($B228,'Recetas y precios'!$A:$M,13,FALSE()),"")))</f>
        <v/>
      </c>
      <c r="I228" s="14" t="str">
        <f aca="false">IFERROR($E228*$H228,"")</f>
        <v/>
      </c>
      <c r="J228" s="14" t="str">
        <f aca="false">IFERROR($G228-$I228,"")</f>
        <v/>
      </c>
      <c r="K228" s="21" t="str">
        <f aca="false">IFERROR($J228/$G228,"")</f>
        <v/>
      </c>
      <c r="L228" s="28"/>
    </row>
    <row r="229" customFormat="false" ht="15" hidden="false" customHeight="false" outlineLevel="0" collapsed="false">
      <c r="A229" s="27"/>
      <c r="B229" s="28"/>
      <c r="C229" s="9" t="str">
        <f aca="false">IF($B229="","",IFERROR(VLOOKUP($B229,'Recetas y precios'!$A:$B,2,FALSE()),""))</f>
        <v/>
      </c>
      <c r="D229" s="28"/>
      <c r="E229" s="28"/>
      <c r="F229" s="14" t="str">
        <f aca="false">IF(OR($B229="",$D229=""),"",IFERROR(INDEX('Recetas y precios'!$P:$S,MATCH($B229,'Recetas y precios'!$A:$A,0),MATCH($D229,'Recetas y precios'!$P$5:$S$5,0)),""))</f>
        <v/>
      </c>
      <c r="G229" s="14" t="str">
        <f aca="false">IFERROR($E229*$F229,"")</f>
        <v/>
      </c>
      <c r="H229" s="14" t="str">
        <f aca="false">IF($B229="","",IF($D229="Rebanada en mostrador",IFERROR(VLOOKUP($B229,'Recetas y precios'!$A:$O,15,FALSE()),""),IFERROR(VLOOKUP($B229,'Recetas y precios'!$A:$M,13,FALSE()),"")))</f>
        <v/>
      </c>
      <c r="I229" s="14" t="str">
        <f aca="false">IFERROR($E229*$H229,"")</f>
        <v/>
      </c>
      <c r="J229" s="14" t="str">
        <f aca="false">IFERROR($G229-$I229,"")</f>
        <v/>
      </c>
      <c r="K229" s="21" t="str">
        <f aca="false">IFERROR($J229/$G229,"")</f>
        <v/>
      </c>
      <c r="L229" s="28"/>
    </row>
    <row r="230" customFormat="false" ht="15" hidden="false" customHeight="false" outlineLevel="0" collapsed="false">
      <c r="A230" s="27"/>
      <c r="B230" s="28"/>
      <c r="C230" s="9" t="str">
        <f aca="false">IF($B230="","",IFERROR(VLOOKUP($B230,'Recetas y precios'!$A:$B,2,FALSE()),""))</f>
        <v/>
      </c>
      <c r="D230" s="28"/>
      <c r="E230" s="28"/>
      <c r="F230" s="14" t="str">
        <f aca="false">IF(OR($B230="",$D230=""),"",IFERROR(INDEX('Recetas y precios'!$P:$S,MATCH($B230,'Recetas y precios'!$A:$A,0),MATCH($D230,'Recetas y precios'!$P$5:$S$5,0)),""))</f>
        <v/>
      </c>
      <c r="G230" s="14" t="str">
        <f aca="false">IFERROR($E230*$F230,"")</f>
        <v/>
      </c>
      <c r="H230" s="14" t="str">
        <f aca="false">IF($B230="","",IF($D230="Rebanada en mostrador",IFERROR(VLOOKUP($B230,'Recetas y precios'!$A:$O,15,FALSE()),""),IFERROR(VLOOKUP($B230,'Recetas y precios'!$A:$M,13,FALSE()),"")))</f>
        <v/>
      </c>
      <c r="I230" s="14" t="str">
        <f aca="false">IFERROR($E230*$H230,"")</f>
        <v/>
      </c>
      <c r="J230" s="14" t="str">
        <f aca="false">IFERROR($G230-$I230,"")</f>
        <v/>
      </c>
      <c r="K230" s="21" t="str">
        <f aca="false">IFERROR($J230/$G230,"")</f>
        <v/>
      </c>
      <c r="L230" s="28"/>
    </row>
    <row r="231" customFormat="false" ht="15" hidden="false" customHeight="false" outlineLevel="0" collapsed="false">
      <c r="A231" s="27"/>
      <c r="B231" s="28"/>
      <c r="C231" s="9" t="str">
        <f aca="false">IF($B231="","",IFERROR(VLOOKUP($B231,'Recetas y precios'!$A:$B,2,FALSE()),""))</f>
        <v/>
      </c>
      <c r="D231" s="28"/>
      <c r="E231" s="28"/>
      <c r="F231" s="14" t="str">
        <f aca="false">IF(OR($B231="",$D231=""),"",IFERROR(INDEX('Recetas y precios'!$P:$S,MATCH($B231,'Recetas y precios'!$A:$A,0),MATCH($D231,'Recetas y precios'!$P$5:$S$5,0)),""))</f>
        <v/>
      </c>
      <c r="G231" s="14" t="str">
        <f aca="false">IFERROR($E231*$F231,"")</f>
        <v/>
      </c>
      <c r="H231" s="14" t="str">
        <f aca="false">IF($B231="","",IF($D231="Rebanada en mostrador",IFERROR(VLOOKUP($B231,'Recetas y precios'!$A:$O,15,FALSE()),""),IFERROR(VLOOKUP($B231,'Recetas y precios'!$A:$M,13,FALSE()),"")))</f>
        <v/>
      </c>
      <c r="I231" s="14" t="str">
        <f aca="false">IFERROR($E231*$H231,"")</f>
        <v/>
      </c>
      <c r="J231" s="14" t="str">
        <f aca="false">IFERROR($G231-$I231,"")</f>
        <v/>
      </c>
      <c r="K231" s="21" t="str">
        <f aca="false">IFERROR($J231/$G231,"")</f>
        <v/>
      </c>
      <c r="L231" s="28"/>
    </row>
    <row r="232" customFormat="false" ht="15" hidden="false" customHeight="false" outlineLevel="0" collapsed="false">
      <c r="A232" s="27"/>
      <c r="B232" s="28"/>
      <c r="C232" s="9" t="str">
        <f aca="false">IF($B232="","",IFERROR(VLOOKUP($B232,'Recetas y precios'!$A:$B,2,FALSE()),""))</f>
        <v/>
      </c>
      <c r="D232" s="28"/>
      <c r="E232" s="28"/>
      <c r="F232" s="14" t="str">
        <f aca="false">IF(OR($B232="",$D232=""),"",IFERROR(INDEX('Recetas y precios'!$P:$S,MATCH($B232,'Recetas y precios'!$A:$A,0),MATCH($D232,'Recetas y precios'!$P$5:$S$5,0)),""))</f>
        <v/>
      </c>
      <c r="G232" s="14" t="str">
        <f aca="false">IFERROR($E232*$F232,"")</f>
        <v/>
      </c>
      <c r="H232" s="14" t="str">
        <f aca="false">IF($B232="","",IF($D232="Rebanada en mostrador",IFERROR(VLOOKUP($B232,'Recetas y precios'!$A:$O,15,FALSE()),""),IFERROR(VLOOKUP($B232,'Recetas y precios'!$A:$M,13,FALSE()),"")))</f>
        <v/>
      </c>
      <c r="I232" s="14" t="str">
        <f aca="false">IFERROR($E232*$H232,"")</f>
        <v/>
      </c>
      <c r="J232" s="14" t="str">
        <f aca="false">IFERROR($G232-$I232,"")</f>
        <v/>
      </c>
      <c r="K232" s="21" t="str">
        <f aca="false">IFERROR($J232/$G232,"")</f>
        <v/>
      </c>
      <c r="L232" s="28"/>
    </row>
    <row r="233" customFormat="false" ht="15" hidden="false" customHeight="false" outlineLevel="0" collapsed="false">
      <c r="A233" s="27"/>
      <c r="B233" s="28"/>
      <c r="C233" s="9" t="str">
        <f aca="false">IF($B233="","",IFERROR(VLOOKUP($B233,'Recetas y precios'!$A:$B,2,FALSE()),""))</f>
        <v/>
      </c>
      <c r="D233" s="28"/>
      <c r="E233" s="28"/>
      <c r="F233" s="14" t="str">
        <f aca="false">IF(OR($B233="",$D233=""),"",IFERROR(INDEX('Recetas y precios'!$P:$S,MATCH($B233,'Recetas y precios'!$A:$A,0),MATCH($D233,'Recetas y precios'!$P$5:$S$5,0)),""))</f>
        <v/>
      </c>
      <c r="G233" s="14" t="str">
        <f aca="false">IFERROR($E233*$F233,"")</f>
        <v/>
      </c>
      <c r="H233" s="14" t="str">
        <f aca="false">IF($B233="","",IF($D233="Rebanada en mostrador",IFERROR(VLOOKUP($B233,'Recetas y precios'!$A:$O,15,FALSE()),""),IFERROR(VLOOKUP($B233,'Recetas y precios'!$A:$M,13,FALSE()),"")))</f>
        <v/>
      </c>
      <c r="I233" s="14" t="str">
        <f aca="false">IFERROR($E233*$H233,"")</f>
        <v/>
      </c>
      <c r="J233" s="14" t="str">
        <f aca="false">IFERROR($G233-$I233,"")</f>
        <v/>
      </c>
      <c r="K233" s="21" t="str">
        <f aca="false">IFERROR($J233/$G233,"")</f>
        <v/>
      </c>
      <c r="L233" s="28"/>
    </row>
    <row r="234" customFormat="false" ht="15" hidden="false" customHeight="false" outlineLevel="0" collapsed="false">
      <c r="A234" s="27"/>
      <c r="B234" s="28"/>
      <c r="C234" s="9" t="str">
        <f aca="false">IF($B234="","",IFERROR(VLOOKUP($B234,'Recetas y precios'!$A:$B,2,FALSE()),""))</f>
        <v/>
      </c>
      <c r="D234" s="28"/>
      <c r="E234" s="28"/>
      <c r="F234" s="14" t="str">
        <f aca="false">IF(OR($B234="",$D234=""),"",IFERROR(INDEX('Recetas y precios'!$P:$S,MATCH($B234,'Recetas y precios'!$A:$A,0),MATCH($D234,'Recetas y precios'!$P$5:$S$5,0)),""))</f>
        <v/>
      </c>
      <c r="G234" s="14" t="str">
        <f aca="false">IFERROR($E234*$F234,"")</f>
        <v/>
      </c>
      <c r="H234" s="14" t="str">
        <f aca="false">IF($B234="","",IF($D234="Rebanada en mostrador",IFERROR(VLOOKUP($B234,'Recetas y precios'!$A:$O,15,FALSE()),""),IFERROR(VLOOKUP($B234,'Recetas y precios'!$A:$M,13,FALSE()),"")))</f>
        <v/>
      </c>
      <c r="I234" s="14" t="str">
        <f aca="false">IFERROR($E234*$H234,"")</f>
        <v/>
      </c>
      <c r="J234" s="14" t="str">
        <f aca="false">IFERROR($G234-$I234,"")</f>
        <v/>
      </c>
      <c r="K234" s="21" t="str">
        <f aca="false">IFERROR($J234/$G234,"")</f>
        <v/>
      </c>
      <c r="L234" s="28"/>
    </row>
    <row r="235" customFormat="false" ht="15" hidden="false" customHeight="false" outlineLevel="0" collapsed="false">
      <c r="A235" s="27"/>
      <c r="B235" s="28"/>
      <c r="C235" s="9" t="str">
        <f aca="false">IF($B235="","",IFERROR(VLOOKUP($B235,'Recetas y precios'!$A:$B,2,FALSE()),""))</f>
        <v/>
      </c>
      <c r="D235" s="28"/>
      <c r="E235" s="28"/>
      <c r="F235" s="14" t="str">
        <f aca="false">IF(OR($B235="",$D235=""),"",IFERROR(INDEX('Recetas y precios'!$P:$S,MATCH($B235,'Recetas y precios'!$A:$A,0),MATCH($D235,'Recetas y precios'!$P$5:$S$5,0)),""))</f>
        <v/>
      </c>
      <c r="G235" s="14" t="str">
        <f aca="false">IFERROR($E235*$F235,"")</f>
        <v/>
      </c>
      <c r="H235" s="14" t="str">
        <f aca="false">IF($B235="","",IF($D235="Rebanada en mostrador",IFERROR(VLOOKUP($B235,'Recetas y precios'!$A:$O,15,FALSE()),""),IFERROR(VLOOKUP($B235,'Recetas y precios'!$A:$M,13,FALSE()),"")))</f>
        <v/>
      </c>
      <c r="I235" s="14" t="str">
        <f aca="false">IFERROR($E235*$H235,"")</f>
        <v/>
      </c>
      <c r="J235" s="14" t="str">
        <f aca="false">IFERROR($G235-$I235,"")</f>
        <v/>
      </c>
      <c r="K235" s="21" t="str">
        <f aca="false">IFERROR($J235/$G235,"")</f>
        <v/>
      </c>
      <c r="L235" s="28"/>
    </row>
    <row r="236" customFormat="false" ht="15" hidden="false" customHeight="false" outlineLevel="0" collapsed="false">
      <c r="A236" s="27"/>
      <c r="B236" s="28"/>
      <c r="C236" s="9" t="str">
        <f aca="false">IF($B236="","",IFERROR(VLOOKUP($B236,'Recetas y precios'!$A:$B,2,FALSE()),""))</f>
        <v/>
      </c>
      <c r="D236" s="28"/>
      <c r="E236" s="28"/>
      <c r="F236" s="14" t="str">
        <f aca="false">IF(OR($B236="",$D236=""),"",IFERROR(INDEX('Recetas y precios'!$P:$S,MATCH($B236,'Recetas y precios'!$A:$A,0),MATCH($D236,'Recetas y precios'!$P$5:$S$5,0)),""))</f>
        <v/>
      </c>
      <c r="G236" s="14" t="str">
        <f aca="false">IFERROR($E236*$F236,"")</f>
        <v/>
      </c>
      <c r="H236" s="14" t="str">
        <f aca="false">IF($B236="","",IF($D236="Rebanada en mostrador",IFERROR(VLOOKUP($B236,'Recetas y precios'!$A:$O,15,FALSE()),""),IFERROR(VLOOKUP($B236,'Recetas y precios'!$A:$M,13,FALSE()),"")))</f>
        <v/>
      </c>
      <c r="I236" s="14" t="str">
        <f aca="false">IFERROR($E236*$H236,"")</f>
        <v/>
      </c>
      <c r="J236" s="14" t="str">
        <f aca="false">IFERROR($G236-$I236,"")</f>
        <v/>
      </c>
      <c r="K236" s="21" t="str">
        <f aca="false">IFERROR($J236/$G236,"")</f>
        <v/>
      </c>
      <c r="L236" s="28"/>
    </row>
    <row r="237" customFormat="false" ht="15" hidden="false" customHeight="false" outlineLevel="0" collapsed="false">
      <c r="A237" s="27"/>
      <c r="B237" s="28"/>
      <c r="C237" s="9" t="str">
        <f aca="false">IF($B237="","",IFERROR(VLOOKUP($B237,'Recetas y precios'!$A:$B,2,FALSE()),""))</f>
        <v/>
      </c>
      <c r="D237" s="28"/>
      <c r="E237" s="28"/>
      <c r="F237" s="14" t="str">
        <f aca="false">IF(OR($B237="",$D237=""),"",IFERROR(INDEX('Recetas y precios'!$P:$S,MATCH($B237,'Recetas y precios'!$A:$A,0),MATCH($D237,'Recetas y precios'!$P$5:$S$5,0)),""))</f>
        <v/>
      </c>
      <c r="G237" s="14" t="str">
        <f aca="false">IFERROR($E237*$F237,"")</f>
        <v/>
      </c>
      <c r="H237" s="14" t="str">
        <f aca="false">IF($B237="","",IF($D237="Rebanada en mostrador",IFERROR(VLOOKUP($B237,'Recetas y precios'!$A:$O,15,FALSE()),""),IFERROR(VLOOKUP($B237,'Recetas y precios'!$A:$M,13,FALSE()),"")))</f>
        <v/>
      </c>
      <c r="I237" s="14" t="str">
        <f aca="false">IFERROR($E237*$H237,"")</f>
        <v/>
      </c>
      <c r="J237" s="14" t="str">
        <f aca="false">IFERROR($G237-$I237,"")</f>
        <v/>
      </c>
      <c r="K237" s="21" t="str">
        <f aca="false">IFERROR($J237/$G237,"")</f>
        <v/>
      </c>
      <c r="L237" s="28"/>
    </row>
    <row r="238" customFormat="false" ht="15" hidden="false" customHeight="false" outlineLevel="0" collapsed="false">
      <c r="A238" s="27"/>
      <c r="B238" s="28"/>
      <c r="C238" s="9" t="str">
        <f aca="false">IF($B238="","",IFERROR(VLOOKUP($B238,'Recetas y precios'!$A:$B,2,FALSE()),""))</f>
        <v/>
      </c>
      <c r="D238" s="28"/>
      <c r="E238" s="28"/>
      <c r="F238" s="14" t="str">
        <f aca="false">IF(OR($B238="",$D238=""),"",IFERROR(INDEX('Recetas y precios'!$P:$S,MATCH($B238,'Recetas y precios'!$A:$A,0),MATCH($D238,'Recetas y precios'!$P$5:$S$5,0)),""))</f>
        <v/>
      </c>
      <c r="G238" s="14" t="str">
        <f aca="false">IFERROR($E238*$F238,"")</f>
        <v/>
      </c>
      <c r="H238" s="14" t="str">
        <f aca="false">IF($B238="","",IF($D238="Rebanada en mostrador",IFERROR(VLOOKUP($B238,'Recetas y precios'!$A:$O,15,FALSE()),""),IFERROR(VLOOKUP($B238,'Recetas y precios'!$A:$M,13,FALSE()),"")))</f>
        <v/>
      </c>
      <c r="I238" s="14" t="str">
        <f aca="false">IFERROR($E238*$H238,"")</f>
        <v/>
      </c>
      <c r="J238" s="14" t="str">
        <f aca="false">IFERROR($G238-$I238,"")</f>
        <v/>
      </c>
      <c r="K238" s="21" t="str">
        <f aca="false">IFERROR($J238/$G238,"")</f>
        <v/>
      </c>
      <c r="L238" s="28"/>
    </row>
    <row r="239" customFormat="false" ht="15" hidden="false" customHeight="false" outlineLevel="0" collapsed="false">
      <c r="A239" s="27"/>
      <c r="B239" s="28"/>
      <c r="C239" s="9" t="str">
        <f aca="false">IF($B239="","",IFERROR(VLOOKUP($B239,'Recetas y precios'!$A:$B,2,FALSE()),""))</f>
        <v/>
      </c>
      <c r="D239" s="28"/>
      <c r="E239" s="28"/>
      <c r="F239" s="14" t="str">
        <f aca="false">IF(OR($B239="",$D239=""),"",IFERROR(INDEX('Recetas y precios'!$P:$S,MATCH($B239,'Recetas y precios'!$A:$A,0),MATCH($D239,'Recetas y precios'!$P$5:$S$5,0)),""))</f>
        <v/>
      </c>
      <c r="G239" s="14" t="str">
        <f aca="false">IFERROR($E239*$F239,"")</f>
        <v/>
      </c>
      <c r="H239" s="14" t="str">
        <f aca="false">IF($B239="","",IF($D239="Rebanada en mostrador",IFERROR(VLOOKUP($B239,'Recetas y precios'!$A:$O,15,FALSE()),""),IFERROR(VLOOKUP($B239,'Recetas y precios'!$A:$M,13,FALSE()),"")))</f>
        <v/>
      </c>
      <c r="I239" s="14" t="str">
        <f aca="false">IFERROR($E239*$H239,"")</f>
        <v/>
      </c>
      <c r="J239" s="14" t="str">
        <f aca="false">IFERROR($G239-$I239,"")</f>
        <v/>
      </c>
      <c r="K239" s="21" t="str">
        <f aca="false">IFERROR($J239/$G239,"")</f>
        <v/>
      </c>
      <c r="L239" s="28"/>
    </row>
    <row r="240" customFormat="false" ht="15" hidden="false" customHeight="false" outlineLevel="0" collapsed="false">
      <c r="A240" s="27"/>
      <c r="B240" s="28"/>
      <c r="C240" s="9" t="str">
        <f aca="false">IF($B240="","",IFERROR(VLOOKUP($B240,'Recetas y precios'!$A:$B,2,FALSE()),""))</f>
        <v/>
      </c>
      <c r="D240" s="28"/>
      <c r="E240" s="28"/>
      <c r="F240" s="14" t="str">
        <f aca="false">IF(OR($B240="",$D240=""),"",IFERROR(INDEX('Recetas y precios'!$P:$S,MATCH($B240,'Recetas y precios'!$A:$A,0),MATCH($D240,'Recetas y precios'!$P$5:$S$5,0)),""))</f>
        <v/>
      </c>
      <c r="G240" s="14" t="str">
        <f aca="false">IFERROR($E240*$F240,"")</f>
        <v/>
      </c>
      <c r="H240" s="14" t="str">
        <f aca="false">IF($B240="","",IF($D240="Rebanada en mostrador",IFERROR(VLOOKUP($B240,'Recetas y precios'!$A:$O,15,FALSE()),""),IFERROR(VLOOKUP($B240,'Recetas y precios'!$A:$M,13,FALSE()),"")))</f>
        <v/>
      </c>
      <c r="I240" s="14" t="str">
        <f aca="false">IFERROR($E240*$H240,"")</f>
        <v/>
      </c>
      <c r="J240" s="14" t="str">
        <f aca="false">IFERROR($G240-$I240,"")</f>
        <v/>
      </c>
      <c r="K240" s="21" t="str">
        <f aca="false">IFERROR($J240/$G240,"")</f>
        <v/>
      </c>
      <c r="L240" s="28"/>
    </row>
    <row r="241" customFormat="false" ht="15" hidden="false" customHeight="false" outlineLevel="0" collapsed="false">
      <c r="A241" s="27"/>
      <c r="B241" s="28"/>
      <c r="C241" s="9" t="str">
        <f aca="false">IF($B241="","",IFERROR(VLOOKUP($B241,'Recetas y precios'!$A:$B,2,FALSE()),""))</f>
        <v/>
      </c>
      <c r="D241" s="28"/>
      <c r="E241" s="28"/>
      <c r="F241" s="14" t="str">
        <f aca="false">IF(OR($B241="",$D241=""),"",IFERROR(INDEX('Recetas y precios'!$P:$S,MATCH($B241,'Recetas y precios'!$A:$A,0),MATCH($D241,'Recetas y precios'!$P$5:$S$5,0)),""))</f>
        <v/>
      </c>
      <c r="G241" s="14" t="str">
        <f aca="false">IFERROR($E241*$F241,"")</f>
        <v/>
      </c>
      <c r="H241" s="14" t="str">
        <f aca="false">IF($B241="","",IF($D241="Rebanada en mostrador",IFERROR(VLOOKUP($B241,'Recetas y precios'!$A:$O,15,FALSE()),""),IFERROR(VLOOKUP($B241,'Recetas y precios'!$A:$M,13,FALSE()),"")))</f>
        <v/>
      </c>
      <c r="I241" s="14" t="str">
        <f aca="false">IFERROR($E241*$H241,"")</f>
        <v/>
      </c>
      <c r="J241" s="14" t="str">
        <f aca="false">IFERROR($G241-$I241,"")</f>
        <v/>
      </c>
      <c r="K241" s="21" t="str">
        <f aca="false">IFERROR($J241/$G241,"")</f>
        <v/>
      </c>
      <c r="L241" s="28"/>
    </row>
    <row r="242" customFormat="false" ht="15" hidden="false" customHeight="false" outlineLevel="0" collapsed="false">
      <c r="A242" s="27"/>
      <c r="B242" s="28"/>
      <c r="C242" s="9" t="str">
        <f aca="false">IF($B242="","",IFERROR(VLOOKUP($B242,'Recetas y precios'!$A:$B,2,FALSE()),""))</f>
        <v/>
      </c>
      <c r="D242" s="28"/>
      <c r="E242" s="28"/>
      <c r="F242" s="14" t="str">
        <f aca="false">IF(OR($B242="",$D242=""),"",IFERROR(INDEX('Recetas y precios'!$P:$S,MATCH($B242,'Recetas y precios'!$A:$A,0),MATCH($D242,'Recetas y precios'!$P$5:$S$5,0)),""))</f>
        <v/>
      </c>
      <c r="G242" s="14" t="str">
        <f aca="false">IFERROR($E242*$F242,"")</f>
        <v/>
      </c>
      <c r="H242" s="14" t="str">
        <f aca="false">IF($B242="","",IF($D242="Rebanada en mostrador",IFERROR(VLOOKUP($B242,'Recetas y precios'!$A:$O,15,FALSE()),""),IFERROR(VLOOKUP($B242,'Recetas y precios'!$A:$M,13,FALSE()),"")))</f>
        <v/>
      </c>
      <c r="I242" s="14" t="str">
        <f aca="false">IFERROR($E242*$H242,"")</f>
        <v/>
      </c>
      <c r="J242" s="14" t="str">
        <f aca="false">IFERROR($G242-$I242,"")</f>
        <v/>
      </c>
      <c r="K242" s="21" t="str">
        <f aca="false">IFERROR($J242/$G242,"")</f>
        <v/>
      </c>
      <c r="L242" s="28"/>
    </row>
    <row r="243" customFormat="false" ht="15" hidden="false" customHeight="false" outlineLevel="0" collapsed="false">
      <c r="A243" s="27"/>
      <c r="B243" s="28"/>
      <c r="C243" s="9" t="str">
        <f aca="false">IF($B243="","",IFERROR(VLOOKUP($B243,'Recetas y precios'!$A:$B,2,FALSE()),""))</f>
        <v/>
      </c>
      <c r="D243" s="28"/>
      <c r="E243" s="28"/>
      <c r="F243" s="14" t="str">
        <f aca="false">IF(OR($B243="",$D243=""),"",IFERROR(INDEX('Recetas y precios'!$P:$S,MATCH($B243,'Recetas y precios'!$A:$A,0),MATCH($D243,'Recetas y precios'!$P$5:$S$5,0)),""))</f>
        <v/>
      </c>
      <c r="G243" s="14" t="str">
        <f aca="false">IFERROR($E243*$F243,"")</f>
        <v/>
      </c>
      <c r="H243" s="14" t="str">
        <f aca="false">IF($B243="","",IF($D243="Rebanada en mostrador",IFERROR(VLOOKUP($B243,'Recetas y precios'!$A:$O,15,FALSE()),""),IFERROR(VLOOKUP($B243,'Recetas y precios'!$A:$M,13,FALSE()),"")))</f>
        <v/>
      </c>
      <c r="I243" s="14" t="str">
        <f aca="false">IFERROR($E243*$H243,"")</f>
        <v/>
      </c>
      <c r="J243" s="14" t="str">
        <f aca="false">IFERROR($G243-$I243,"")</f>
        <v/>
      </c>
      <c r="K243" s="21" t="str">
        <f aca="false">IFERROR($J243/$G243,"")</f>
        <v/>
      </c>
      <c r="L243" s="28"/>
    </row>
    <row r="244" customFormat="false" ht="15" hidden="false" customHeight="false" outlineLevel="0" collapsed="false">
      <c r="A244" s="27"/>
      <c r="B244" s="28"/>
      <c r="C244" s="9" t="str">
        <f aca="false">IF($B244="","",IFERROR(VLOOKUP($B244,'Recetas y precios'!$A:$B,2,FALSE()),""))</f>
        <v/>
      </c>
      <c r="D244" s="28"/>
      <c r="E244" s="28"/>
      <c r="F244" s="14" t="str">
        <f aca="false">IF(OR($B244="",$D244=""),"",IFERROR(INDEX('Recetas y precios'!$P:$S,MATCH($B244,'Recetas y precios'!$A:$A,0),MATCH($D244,'Recetas y precios'!$P$5:$S$5,0)),""))</f>
        <v/>
      </c>
      <c r="G244" s="14" t="str">
        <f aca="false">IFERROR($E244*$F244,"")</f>
        <v/>
      </c>
      <c r="H244" s="14" t="str">
        <f aca="false">IF($B244="","",IF($D244="Rebanada en mostrador",IFERROR(VLOOKUP($B244,'Recetas y precios'!$A:$O,15,FALSE()),""),IFERROR(VLOOKUP($B244,'Recetas y precios'!$A:$M,13,FALSE()),"")))</f>
        <v/>
      </c>
      <c r="I244" s="14" t="str">
        <f aca="false">IFERROR($E244*$H244,"")</f>
        <v/>
      </c>
      <c r="J244" s="14" t="str">
        <f aca="false">IFERROR($G244-$I244,"")</f>
        <v/>
      </c>
      <c r="K244" s="21" t="str">
        <f aca="false">IFERROR($J244/$G244,"")</f>
        <v/>
      </c>
      <c r="L244" s="28"/>
    </row>
    <row r="245" customFormat="false" ht="15" hidden="false" customHeight="false" outlineLevel="0" collapsed="false">
      <c r="A245" s="27"/>
      <c r="B245" s="28"/>
      <c r="C245" s="9" t="str">
        <f aca="false">IF($B245="","",IFERROR(VLOOKUP($B245,'Recetas y precios'!$A:$B,2,FALSE()),""))</f>
        <v/>
      </c>
      <c r="D245" s="28"/>
      <c r="E245" s="28"/>
      <c r="F245" s="14" t="str">
        <f aca="false">IF(OR($B245="",$D245=""),"",IFERROR(INDEX('Recetas y precios'!$P:$S,MATCH($B245,'Recetas y precios'!$A:$A,0),MATCH($D245,'Recetas y precios'!$P$5:$S$5,0)),""))</f>
        <v/>
      </c>
      <c r="G245" s="14" t="str">
        <f aca="false">IFERROR($E245*$F245,"")</f>
        <v/>
      </c>
      <c r="H245" s="14" t="str">
        <f aca="false">IF($B245="","",IF($D245="Rebanada en mostrador",IFERROR(VLOOKUP($B245,'Recetas y precios'!$A:$O,15,FALSE()),""),IFERROR(VLOOKUP($B245,'Recetas y precios'!$A:$M,13,FALSE()),"")))</f>
        <v/>
      </c>
      <c r="I245" s="14" t="str">
        <f aca="false">IFERROR($E245*$H245,"")</f>
        <v/>
      </c>
      <c r="J245" s="14" t="str">
        <f aca="false">IFERROR($G245-$I245,"")</f>
        <v/>
      </c>
      <c r="K245" s="21" t="str">
        <f aca="false">IFERROR($J245/$G245,"")</f>
        <v/>
      </c>
      <c r="L245" s="28"/>
    </row>
    <row r="246" customFormat="false" ht="15" hidden="false" customHeight="false" outlineLevel="0" collapsed="false">
      <c r="A246" s="27"/>
      <c r="B246" s="28"/>
      <c r="C246" s="9" t="str">
        <f aca="false">IF($B246="","",IFERROR(VLOOKUP($B246,'Recetas y precios'!$A:$B,2,FALSE()),""))</f>
        <v/>
      </c>
      <c r="D246" s="28"/>
      <c r="E246" s="28"/>
      <c r="F246" s="14" t="str">
        <f aca="false">IF(OR($B246="",$D246=""),"",IFERROR(INDEX('Recetas y precios'!$P:$S,MATCH($B246,'Recetas y precios'!$A:$A,0),MATCH($D246,'Recetas y precios'!$P$5:$S$5,0)),""))</f>
        <v/>
      </c>
      <c r="G246" s="14" t="str">
        <f aca="false">IFERROR($E246*$F246,"")</f>
        <v/>
      </c>
      <c r="H246" s="14" t="str">
        <f aca="false">IF($B246="","",IF($D246="Rebanada en mostrador",IFERROR(VLOOKUP($B246,'Recetas y precios'!$A:$O,15,FALSE()),""),IFERROR(VLOOKUP($B246,'Recetas y precios'!$A:$M,13,FALSE()),"")))</f>
        <v/>
      </c>
      <c r="I246" s="14" t="str">
        <f aca="false">IFERROR($E246*$H246,"")</f>
        <v/>
      </c>
      <c r="J246" s="14" t="str">
        <f aca="false">IFERROR($G246-$I246,"")</f>
        <v/>
      </c>
      <c r="K246" s="21" t="str">
        <f aca="false">IFERROR($J246/$G246,"")</f>
        <v/>
      </c>
      <c r="L246" s="28"/>
    </row>
    <row r="247" customFormat="false" ht="15" hidden="false" customHeight="false" outlineLevel="0" collapsed="false">
      <c r="A247" s="27"/>
      <c r="B247" s="28"/>
      <c r="C247" s="9" t="str">
        <f aca="false">IF($B247="","",IFERROR(VLOOKUP($B247,'Recetas y precios'!$A:$B,2,FALSE()),""))</f>
        <v/>
      </c>
      <c r="D247" s="28"/>
      <c r="E247" s="28"/>
      <c r="F247" s="14" t="str">
        <f aca="false">IF(OR($B247="",$D247=""),"",IFERROR(INDEX('Recetas y precios'!$P:$S,MATCH($B247,'Recetas y precios'!$A:$A,0),MATCH($D247,'Recetas y precios'!$P$5:$S$5,0)),""))</f>
        <v/>
      </c>
      <c r="G247" s="14" t="str">
        <f aca="false">IFERROR($E247*$F247,"")</f>
        <v/>
      </c>
      <c r="H247" s="14" t="str">
        <f aca="false">IF($B247="","",IF($D247="Rebanada en mostrador",IFERROR(VLOOKUP($B247,'Recetas y precios'!$A:$O,15,FALSE()),""),IFERROR(VLOOKUP($B247,'Recetas y precios'!$A:$M,13,FALSE()),"")))</f>
        <v/>
      </c>
      <c r="I247" s="14" t="str">
        <f aca="false">IFERROR($E247*$H247,"")</f>
        <v/>
      </c>
      <c r="J247" s="14" t="str">
        <f aca="false">IFERROR($G247-$I247,"")</f>
        <v/>
      </c>
      <c r="K247" s="21" t="str">
        <f aca="false">IFERROR($J247/$G247,"")</f>
        <v/>
      </c>
      <c r="L247" s="28"/>
    </row>
    <row r="248" customFormat="false" ht="15" hidden="false" customHeight="false" outlineLevel="0" collapsed="false">
      <c r="A248" s="27"/>
      <c r="B248" s="28"/>
      <c r="C248" s="9" t="str">
        <f aca="false">IF($B248="","",IFERROR(VLOOKUP($B248,'Recetas y precios'!$A:$B,2,FALSE()),""))</f>
        <v/>
      </c>
      <c r="D248" s="28"/>
      <c r="E248" s="28"/>
      <c r="F248" s="14" t="str">
        <f aca="false">IF(OR($B248="",$D248=""),"",IFERROR(INDEX('Recetas y precios'!$P:$S,MATCH($B248,'Recetas y precios'!$A:$A,0),MATCH($D248,'Recetas y precios'!$P$5:$S$5,0)),""))</f>
        <v/>
      </c>
      <c r="G248" s="14" t="str">
        <f aca="false">IFERROR($E248*$F248,"")</f>
        <v/>
      </c>
      <c r="H248" s="14" t="str">
        <f aca="false">IF($B248="","",IF($D248="Rebanada en mostrador",IFERROR(VLOOKUP($B248,'Recetas y precios'!$A:$O,15,FALSE()),""),IFERROR(VLOOKUP($B248,'Recetas y precios'!$A:$M,13,FALSE()),"")))</f>
        <v/>
      </c>
      <c r="I248" s="14" t="str">
        <f aca="false">IFERROR($E248*$H248,"")</f>
        <v/>
      </c>
      <c r="J248" s="14" t="str">
        <f aca="false">IFERROR($G248-$I248,"")</f>
        <v/>
      </c>
      <c r="K248" s="21" t="str">
        <f aca="false">IFERROR($J248/$G248,"")</f>
        <v/>
      </c>
      <c r="L248" s="28"/>
    </row>
    <row r="249" customFormat="false" ht="15" hidden="false" customHeight="false" outlineLevel="0" collapsed="false">
      <c r="A249" s="27"/>
      <c r="B249" s="28"/>
      <c r="C249" s="9" t="str">
        <f aca="false">IF($B249="","",IFERROR(VLOOKUP($B249,'Recetas y precios'!$A:$B,2,FALSE()),""))</f>
        <v/>
      </c>
      <c r="D249" s="28"/>
      <c r="E249" s="28"/>
      <c r="F249" s="14" t="str">
        <f aca="false">IF(OR($B249="",$D249=""),"",IFERROR(INDEX('Recetas y precios'!$P:$S,MATCH($B249,'Recetas y precios'!$A:$A,0),MATCH($D249,'Recetas y precios'!$P$5:$S$5,0)),""))</f>
        <v/>
      </c>
      <c r="G249" s="14" t="str">
        <f aca="false">IFERROR($E249*$F249,"")</f>
        <v/>
      </c>
      <c r="H249" s="14" t="str">
        <f aca="false">IF($B249="","",IF($D249="Rebanada en mostrador",IFERROR(VLOOKUP($B249,'Recetas y precios'!$A:$O,15,FALSE()),""),IFERROR(VLOOKUP($B249,'Recetas y precios'!$A:$M,13,FALSE()),"")))</f>
        <v/>
      </c>
      <c r="I249" s="14" t="str">
        <f aca="false">IFERROR($E249*$H249,"")</f>
        <v/>
      </c>
      <c r="J249" s="14" t="str">
        <f aca="false">IFERROR($G249-$I249,"")</f>
        <v/>
      </c>
      <c r="K249" s="21" t="str">
        <f aca="false">IFERROR($J249/$G249,"")</f>
        <v/>
      </c>
      <c r="L249" s="28"/>
    </row>
    <row r="250" customFormat="false" ht="15" hidden="false" customHeight="false" outlineLevel="0" collapsed="false">
      <c r="A250" s="27"/>
      <c r="B250" s="28"/>
      <c r="C250" s="9" t="str">
        <f aca="false">IF($B250="","",IFERROR(VLOOKUP($B250,'Recetas y precios'!$A:$B,2,FALSE()),""))</f>
        <v/>
      </c>
      <c r="D250" s="28"/>
      <c r="E250" s="28"/>
      <c r="F250" s="14" t="str">
        <f aca="false">IF(OR($B250="",$D250=""),"",IFERROR(INDEX('Recetas y precios'!$P:$S,MATCH($B250,'Recetas y precios'!$A:$A,0),MATCH($D250,'Recetas y precios'!$P$5:$S$5,0)),""))</f>
        <v/>
      </c>
      <c r="G250" s="14" t="str">
        <f aca="false">IFERROR($E250*$F250,"")</f>
        <v/>
      </c>
      <c r="H250" s="14" t="str">
        <f aca="false">IF($B250="","",IF($D250="Rebanada en mostrador",IFERROR(VLOOKUP($B250,'Recetas y precios'!$A:$O,15,FALSE()),""),IFERROR(VLOOKUP($B250,'Recetas y precios'!$A:$M,13,FALSE()),"")))</f>
        <v/>
      </c>
      <c r="I250" s="14" t="str">
        <f aca="false">IFERROR($E250*$H250,"")</f>
        <v/>
      </c>
      <c r="J250" s="14" t="str">
        <f aca="false">IFERROR($G250-$I250,"")</f>
        <v/>
      </c>
      <c r="K250" s="21" t="str">
        <f aca="false">IFERROR($J250/$G250,"")</f>
        <v/>
      </c>
      <c r="L250" s="28"/>
    </row>
    <row r="251" customFormat="false" ht="15" hidden="false" customHeight="false" outlineLevel="0" collapsed="false">
      <c r="A251" s="27"/>
      <c r="B251" s="28"/>
      <c r="C251" s="9" t="str">
        <f aca="false">IF($B251="","",IFERROR(VLOOKUP($B251,'Recetas y precios'!$A:$B,2,FALSE()),""))</f>
        <v/>
      </c>
      <c r="D251" s="28"/>
      <c r="E251" s="28"/>
      <c r="F251" s="14" t="str">
        <f aca="false">IF(OR($B251="",$D251=""),"",IFERROR(INDEX('Recetas y precios'!$P:$S,MATCH($B251,'Recetas y precios'!$A:$A,0),MATCH($D251,'Recetas y precios'!$P$5:$S$5,0)),""))</f>
        <v/>
      </c>
      <c r="G251" s="14" t="str">
        <f aca="false">IFERROR($E251*$F251,"")</f>
        <v/>
      </c>
      <c r="H251" s="14" t="str">
        <f aca="false">IF($B251="","",IF($D251="Rebanada en mostrador",IFERROR(VLOOKUP($B251,'Recetas y precios'!$A:$O,15,FALSE()),""),IFERROR(VLOOKUP($B251,'Recetas y precios'!$A:$M,13,FALSE()),"")))</f>
        <v/>
      </c>
      <c r="I251" s="14" t="str">
        <f aca="false">IFERROR($E251*$H251,"")</f>
        <v/>
      </c>
      <c r="J251" s="14" t="str">
        <f aca="false">IFERROR($G251-$I251,"")</f>
        <v/>
      </c>
      <c r="K251" s="21" t="str">
        <f aca="false">IFERROR($J251/$G251,"")</f>
        <v/>
      </c>
      <c r="L251" s="28"/>
    </row>
    <row r="252" customFormat="false" ht="15" hidden="false" customHeight="false" outlineLevel="0" collapsed="false">
      <c r="A252" s="27"/>
      <c r="B252" s="28"/>
      <c r="C252" s="9" t="str">
        <f aca="false">IF($B252="","",IFERROR(VLOOKUP($B252,'Recetas y precios'!$A:$B,2,FALSE()),""))</f>
        <v/>
      </c>
      <c r="D252" s="28"/>
      <c r="E252" s="28"/>
      <c r="F252" s="14" t="str">
        <f aca="false">IF(OR($B252="",$D252=""),"",IFERROR(INDEX('Recetas y precios'!$P:$S,MATCH($B252,'Recetas y precios'!$A:$A,0),MATCH($D252,'Recetas y precios'!$P$5:$S$5,0)),""))</f>
        <v/>
      </c>
      <c r="G252" s="14" t="str">
        <f aca="false">IFERROR($E252*$F252,"")</f>
        <v/>
      </c>
      <c r="H252" s="14" t="str">
        <f aca="false">IF($B252="","",IF($D252="Rebanada en mostrador",IFERROR(VLOOKUP($B252,'Recetas y precios'!$A:$O,15,FALSE()),""),IFERROR(VLOOKUP($B252,'Recetas y precios'!$A:$M,13,FALSE()),"")))</f>
        <v/>
      </c>
      <c r="I252" s="14" t="str">
        <f aca="false">IFERROR($E252*$H252,"")</f>
        <v/>
      </c>
      <c r="J252" s="14" t="str">
        <f aca="false">IFERROR($G252-$I252,"")</f>
        <v/>
      </c>
      <c r="K252" s="21" t="str">
        <f aca="false">IFERROR($J252/$G252,"")</f>
        <v/>
      </c>
      <c r="L252" s="28"/>
    </row>
    <row r="253" customFormat="false" ht="15" hidden="false" customHeight="false" outlineLevel="0" collapsed="false">
      <c r="A253" s="27"/>
      <c r="B253" s="28"/>
      <c r="C253" s="9" t="str">
        <f aca="false">IF($B253="","",IFERROR(VLOOKUP($B253,'Recetas y precios'!$A:$B,2,FALSE()),""))</f>
        <v/>
      </c>
      <c r="D253" s="28"/>
      <c r="E253" s="28"/>
      <c r="F253" s="14" t="str">
        <f aca="false">IF(OR($B253="",$D253=""),"",IFERROR(INDEX('Recetas y precios'!$P:$S,MATCH($B253,'Recetas y precios'!$A:$A,0),MATCH($D253,'Recetas y precios'!$P$5:$S$5,0)),""))</f>
        <v/>
      </c>
      <c r="G253" s="14" t="str">
        <f aca="false">IFERROR($E253*$F253,"")</f>
        <v/>
      </c>
      <c r="H253" s="14" t="str">
        <f aca="false">IF($B253="","",IF($D253="Rebanada en mostrador",IFERROR(VLOOKUP($B253,'Recetas y precios'!$A:$O,15,FALSE()),""),IFERROR(VLOOKUP($B253,'Recetas y precios'!$A:$M,13,FALSE()),"")))</f>
        <v/>
      </c>
      <c r="I253" s="14" t="str">
        <f aca="false">IFERROR($E253*$H253,"")</f>
        <v/>
      </c>
      <c r="J253" s="14" t="str">
        <f aca="false">IFERROR($G253-$I253,"")</f>
        <v/>
      </c>
      <c r="K253" s="21" t="str">
        <f aca="false">IFERROR($J253/$G253,"")</f>
        <v/>
      </c>
      <c r="L253" s="28"/>
    </row>
    <row r="254" customFormat="false" ht="15" hidden="false" customHeight="false" outlineLevel="0" collapsed="false">
      <c r="A254" s="27"/>
      <c r="B254" s="28"/>
      <c r="C254" s="9" t="str">
        <f aca="false">IF($B254="","",IFERROR(VLOOKUP($B254,'Recetas y precios'!$A:$B,2,FALSE()),""))</f>
        <v/>
      </c>
      <c r="D254" s="28"/>
      <c r="E254" s="28"/>
      <c r="F254" s="14" t="str">
        <f aca="false">IF(OR($B254="",$D254=""),"",IFERROR(INDEX('Recetas y precios'!$P:$S,MATCH($B254,'Recetas y precios'!$A:$A,0),MATCH($D254,'Recetas y precios'!$P$5:$S$5,0)),""))</f>
        <v/>
      </c>
      <c r="G254" s="14" t="str">
        <f aca="false">IFERROR($E254*$F254,"")</f>
        <v/>
      </c>
      <c r="H254" s="14" t="str">
        <f aca="false">IF($B254="","",IF($D254="Rebanada en mostrador",IFERROR(VLOOKUP($B254,'Recetas y precios'!$A:$O,15,FALSE()),""),IFERROR(VLOOKUP($B254,'Recetas y precios'!$A:$M,13,FALSE()),"")))</f>
        <v/>
      </c>
      <c r="I254" s="14" t="str">
        <f aca="false">IFERROR($E254*$H254,"")</f>
        <v/>
      </c>
      <c r="J254" s="14" t="str">
        <f aca="false">IFERROR($G254-$I254,"")</f>
        <v/>
      </c>
      <c r="K254" s="21" t="str">
        <f aca="false">IFERROR($J254/$G254,"")</f>
        <v/>
      </c>
      <c r="L254" s="28"/>
    </row>
    <row r="255" customFormat="false" ht="15" hidden="false" customHeight="false" outlineLevel="0" collapsed="false">
      <c r="A255" s="27"/>
      <c r="B255" s="28"/>
      <c r="C255" s="9" t="str">
        <f aca="false">IF($B255="","",IFERROR(VLOOKUP($B255,'Recetas y precios'!$A:$B,2,FALSE()),""))</f>
        <v/>
      </c>
      <c r="D255" s="28"/>
      <c r="E255" s="28"/>
      <c r="F255" s="14" t="str">
        <f aca="false">IF(OR($B255="",$D255=""),"",IFERROR(INDEX('Recetas y precios'!$P:$S,MATCH($B255,'Recetas y precios'!$A:$A,0),MATCH($D255,'Recetas y precios'!$P$5:$S$5,0)),""))</f>
        <v/>
      </c>
      <c r="G255" s="14" t="str">
        <f aca="false">IFERROR($E255*$F255,"")</f>
        <v/>
      </c>
      <c r="H255" s="14" t="str">
        <f aca="false">IF($B255="","",IF($D255="Rebanada en mostrador",IFERROR(VLOOKUP($B255,'Recetas y precios'!$A:$O,15,FALSE()),""),IFERROR(VLOOKUP($B255,'Recetas y precios'!$A:$M,13,FALSE()),"")))</f>
        <v/>
      </c>
      <c r="I255" s="14" t="str">
        <f aca="false">IFERROR($E255*$H255,"")</f>
        <v/>
      </c>
      <c r="J255" s="14" t="str">
        <f aca="false">IFERROR($G255-$I255,"")</f>
        <v/>
      </c>
      <c r="K255" s="21" t="str">
        <f aca="false">IFERROR($J255/$G255,"")</f>
        <v/>
      </c>
      <c r="L255" s="28"/>
    </row>
    <row r="256" customFormat="false" ht="15" hidden="false" customHeight="false" outlineLevel="0" collapsed="false">
      <c r="A256" s="27"/>
      <c r="B256" s="28"/>
      <c r="C256" s="9" t="str">
        <f aca="false">IF($B256="","",IFERROR(VLOOKUP($B256,'Recetas y precios'!$A:$B,2,FALSE()),""))</f>
        <v/>
      </c>
      <c r="D256" s="28"/>
      <c r="E256" s="28"/>
      <c r="F256" s="14" t="str">
        <f aca="false">IF(OR($B256="",$D256=""),"",IFERROR(INDEX('Recetas y precios'!$P:$S,MATCH($B256,'Recetas y precios'!$A:$A,0),MATCH($D256,'Recetas y precios'!$P$5:$S$5,0)),""))</f>
        <v/>
      </c>
      <c r="G256" s="14" t="str">
        <f aca="false">IFERROR($E256*$F256,"")</f>
        <v/>
      </c>
      <c r="H256" s="14" t="str">
        <f aca="false">IF($B256="","",IF($D256="Rebanada en mostrador",IFERROR(VLOOKUP($B256,'Recetas y precios'!$A:$O,15,FALSE()),""),IFERROR(VLOOKUP($B256,'Recetas y precios'!$A:$M,13,FALSE()),"")))</f>
        <v/>
      </c>
      <c r="I256" s="14" t="str">
        <f aca="false">IFERROR($E256*$H256,"")</f>
        <v/>
      </c>
      <c r="J256" s="14" t="str">
        <f aca="false">IFERROR($G256-$I256,"")</f>
        <v/>
      </c>
      <c r="K256" s="21" t="str">
        <f aca="false">IFERROR($J256/$G256,"")</f>
        <v/>
      </c>
      <c r="L256" s="28"/>
    </row>
    <row r="257" customFormat="false" ht="15" hidden="false" customHeight="false" outlineLevel="0" collapsed="false">
      <c r="A257" s="27"/>
      <c r="B257" s="28"/>
      <c r="C257" s="9" t="str">
        <f aca="false">IF($B257="","",IFERROR(VLOOKUP($B257,'Recetas y precios'!$A:$B,2,FALSE()),""))</f>
        <v/>
      </c>
      <c r="D257" s="28"/>
      <c r="E257" s="28"/>
      <c r="F257" s="14" t="str">
        <f aca="false">IF(OR($B257="",$D257=""),"",IFERROR(INDEX('Recetas y precios'!$P:$S,MATCH($B257,'Recetas y precios'!$A:$A,0),MATCH($D257,'Recetas y precios'!$P$5:$S$5,0)),""))</f>
        <v/>
      </c>
      <c r="G257" s="14" t="str">
        <f aca="false">IFERROR($E257*$F257,"")</f>
        <v/>
      </c>
      <c r="H257" s="14" t="str">
        <f aca="false">IF($B257="","",IF($D257="Rebanada en mostrador",IFERROR(VLOOKUP($B257,'Recetas y precios'!$A:$O,15,FALSE()),""),IFERROR(VLOOKUP($B257,'Recetas y precios'!$A:$M,13,FALSE()),"")))</f>
        <v/>
      </c>
      <c r="I257" s="14" t="str">
        <f aca="false">IFERROR($E257*$H257,"")</f>
        <v/>
      </c>
      <c r="J257" s="14" t="str">
        <f aca="false">IFERROR($G257-$I257,"")</f>
        <v/>
      </c>
      <c r="K257" s="21" t="str">
        <f aca="false">IFERROR($J257/$G257,"")</f>
        <v/>
      </c>
      <c r="L257" s="28"/>
    </row>
    <row r="258" customFormat="false" ht="15" hidden="false" customHeight="false" outlineLevel="0" collapsed="false">
      <c r="A258" s="27"/>
      <c r="B258" s="28"/>
      <c r="C258" s="9" t="str">
        <f aca="false">IF($B258="","",IFERROR(VLOOKUP($B258,'Recetas y precios'!$A:$B,2,FALSE()),""))</f>
        <v/>
      </c>
      <c r="D258" s="28"/>
      <c r="E258" s="28"/>
      <c r="F258" s="14" t="str">
        <f aca="false">IF(OR($B258="",$D258=""),"",IFERROR(INDEX('Recetas y precios'!$P:$S,MATCH($B258,'Recetas y precios'!$A:$A,0),MATCH($D258,'Recetas y precios'!$P$5:$S$5,0)),""))</f>
        <v/>
      </c>
      <c r="G258" s="14" t="str">
        <f aca="false">IFERROR($E258*$F258,"")</f>
        <v/>
      </c>
      <c r="H258" s="14" t="str">
        <f aca="false">IF($B258="","",IF($D258="Rebanada en mostrador",IFERROR(VLOOKUP($B258,'Recetas y precios'!$A:$O,15,FALSE()),""),IFERROR(VLOOKUP($B258,'Recetas y precios'!$A:$M,13,FALSE()),"")))</f>
        <v/>
      </c>
      <c r="I258" s="14" t="str">
        <f aca="false">IFERROR($E258*$H258,"")</f>
        <v/>
      </c>
      <c r="J258" s="14" t="str">
        <f aca="false">IFERROR($G258-$I258,"")</f>
        <v/>
      </c>
      <c r="K258" s="21" t="str">
        <f aca="false">IFERROR($J258/$G258,"")</f>
        <v/>
      </c>
      <c r="L258" s="28"/>
    </row>
    <row r="259" customFormat="false" ht="15" hidden="false" customHeight="false" outlineLevel="0" collapsed="false">
      <c r="A259" s="27"/>
      <c r="B259" s="28"/>
      <c r="C259" s="9" t="str">
        <f aca="false">IF($B259="","",IFERROR(VLOOKUP($B259,'Recetas y precios'!$A:$B,2,FALSE()),""))</f>
        <v/>
      </c>
      <c r="D259" s="28"/>
      <c r="E259" s="28"/>
      <c r="F259" s="14" t="str">
        <f aca="false">IF(OR($B259="",$D259=""),"",IFERROR(INDEX('Recetas y precios'!$P:$S,MATCH($B259,'Recetas y precios'!$A:$A,0),MATCH($D259,'Recetas y precios'!$P$5:$S$5,0)),""))</f>
        <v/>
      </c>
      <c r="G259" s="14" t="str">
        <f aca="false">IFERROR($E259*$F259,"")</f>
        <v/>
      </c>
      <c r="H259" s="14" t="str">
        <f aca="false">IF($B259="","",IF($D259="Rebanada en mostrador",IFERROR(VLOOKUP($B259,'Recetas y precios'!$A:$O,15,FALSE()),""),IFERROR(VLOOKUP($B259,'Recetas y precios'!$A:$M,13,FALSE()),"")))</f>
        <v/>
      </c>
      <c r="I259" s="14" t="str">
        <f aca="false">IFERROR($E259*$H259,"")</f>
        <v/>
      </c>
      <c r="J259" s="14" t="str">
        <f aca="false">IFERROR($G259-$I259,"")</f>
        <v/>
      </c>
      <c r="K259" s="21" t="str">
        <f aca="false">IFERROR($J259/$G259,"")</f>
        <v/>
      </c>
      <c r="L259" s="28"/>
    </row>
    <row r="260" customFormat="false" ht="15" hidden="false" customHeight="false" outlineLevel="0" collapsed="false">
      <c r="A260" s="27"/>
      <c r="B260" s="28"/>
      <c r="C260" s="9" t="str">
        <f aca="false">IF($B260="","",IFERROR(VLOOKUP($B260,'Recetas y precios'!$A:$B,2,FALSE()),""))</f>
        <v/>
      </c>
      <c r="D260" s="28"/>
      <c r="E260" s="28"/>
      <c r="F260" s="14" t="str">
        <f aca="false">IF(OR($B260="",$D260=""),"",IFERROR(INDEX('Recetas y precios'!$P:$S,MATCH($B260,'Recetas y precios'!$A:$A,0),MATCH($D260,'Recetas y precios'!$P$5:$S$5,0)),""))</f>
        <v/>
      </c>
      <c r="G260" s="14" t="str">
        <f aca="false">IFERROR($E260*$F260,"")</f>
        <v/>
      </c>
      <c r="H260" s="14" t="str">
        <f aca="false">IF($B260="","",IF($D260="Rebanada en mostrador",IFERROR(VLOOKUP($B260,'Recetas y precios'!$A:$O,15,FALSE()),""),IFERROR(VLOOKUP($B260,'Recetas y precios'!$A:$M,13,FALSE()),"")))</f>
        <v/>
      </c>
      <c r="I260" s="14" t="str">
        <f aca="false">IFERROR($E260*$H260,"")</f>
        <v/>
      </c>
      <c r="J260" s="14" t="str">
        <f aca="false">IFERROR($G260-$I260,"")</f>
        <v/>
      </c>
      <c r="K260" s="21" t="str">
        <f aca="false">IFERROR($J260/$G260,"")</f>
        <v/>
      </c>
      <c r="L260" s="28"/>
    </row>
    <row r="261" customFormat="false" ht="15" hidden="false" customHeight="false" outlineLevel="0" collapsed="false">
      <c r="A261" s="27"/>
      <c r="B261" s="28"/>
      <c r="C261" s="9" t="str">
        <f aca="false">IF($B261="","",IFERROR(VLOOKUP($B261,'Recetas y precios'!$A:$B,2,FALSE()),""))</f>
        <v/>
      </c>
      <c r="D261" s="28"/>
      <c r="E261" s="28"/>
      <c r="F261" s="14" t="str">
        <f aca="false">IF(OR($B261="",$D261=""),"",IFERROR(INDEX('Recetas y precios'!$P:$S,MATCH($B261,'Recetas y precios'!$A:$A,0),MATCH($D261,'Recetas y precios'!$P$5:$S$5,0)),""))</f>
        <v/>
      </c>
      <c r="G261" s="14" t="str">
        <f aca="false">IFERROR($E261*$F261,"")</f>
        <v/>
      </c>
      <c r="H261" s="14" t="str">
        <f aca="false">IF($B261="","",IF($D261="Rebanada en mostrador",IFERROR(VLOOKUP($B261,'Recetas y precios'!$A:$O,15,FALSE()),""),IFERROR(VLOOKUP($B261,'Recetas y precios'!$A:$M,13,FALSE()),"")))</f>
        <v/>
      </c>
      <c r="I261" s="14" t="str">
        <f aca="false">IFERROR($E261*$H261,"")</f>
        <v/>
      </c>
      <c r="J261" s="14" t="str">
        <f aca="false">IFERROR($G261-$I261,"")</f>
        <v/>
      </c>
      <c r="K261" s="21" t="str">
        <f aca="false">IFERROR($J261/$G261,"")</f>
        <v/>
      </c>
      <c r="L261" s="28"/>
    </row>
    <row r="262" customFormat="false" ht="15" hidden="false" customHeight="false" outlineLevel="0" collapsed="false">
      <c r="A262" s="27"/>
      <c r="B262" s="28"/>
      <c r="C262" s="9" t="str">
        <f aca="false">IF($B262="","",IFERROR(VLOOKUP($B262,'Recetas y precios'!$A:$B,2,FALSE()),""))</f>
        <v/>
      </c>
      <c r="D262" s="28"/>
      <c r="E262" s="28"/>
      <c r="F262" s="14" t="str">
        <f aca="false">IF(OR($B262="",$D262=""),"",IFERROR(INDEX('Recetas y precios'!$P:$S,MATCH($B262,'Recetas y precios'!$A:$A,0),MATCH($D262,'Recetas y precios'!$P$5:$S$5,0)),""))</f>
        <v/>
      </c>
      <c r="G262" s="14" t="str">
        <f aca="false">IFERROR($E262*$F262,"")</f>
        <v/>
      </c>
      <c r="H262" s="14" t="str">
        <f aca="false">IF($B262="","",IF($D262="Rebanada en mostrador",IFERROR(VLOOKUP($B262,'Recetas y precios'!$A:$O,15,FALSE()),""),IFERROR(VLOOKUP($B262,'Recetas y precios'!$A:$M,13,FALSE()),"")))</f>
        <v/>
      </c>
      <c r="I262" s="14" t="str">
        <f aca="false">IFERROR($E262*$H262,"")</f>
        <v/>
      </c>
      <c r="J262" s="14" t="str">
        <f aca="false">IFERROR($G262-$I262,"")</f>
        <v/>
      </c>
      <c r="K262" s="21" t="str">
        <f aca="false">IFERROR($J262/$G262,"")</f>
        <v/>
      </c>
      <c r="L262" s="28"/>
    </row>
    <row r="263" customFormat="false" ht="15" hidden="false" customHeight="false" outlineLevel="0" collapsed="false">
      <c r="A263" s="27"/>
      <c r="B263" s="28"/>
      <c r="C263" s="9" t="str">
        <f aca="false">IF($B263="","",IFERROR(VLOOKUP($B263,'Recetas y precios'!$A:$B,2,FALSE()),""))</f>
        <v/>
      </c>
      <c r="D263" s="28"/>
      <c r="E263" s="28"/>
      <c r="F263" s="14" t="str">
        <f aca="false">IF(OR($B263="",$D263=""),"",IFERROR(INDEX('Recetas y precios'!$P:$S,MATCH($B263,'Recetas y precios'!$A:$A,0),MATCH($D263,'Recetas y precios'!$P$5:$S$5,0)),""))</f>
        <v/>
      </c>
      <c r="G263" s="14" t="str">
        <f aca="false">IFERROR($E263*$F263,"")</f>
        <v/>
      </c>
      <c r="H263" s="14" t="str">
        <f aca="false">IF($B263="","",IF($D263="Rebanada en mostrador",IFERROR(VLOOKUP($B263,'Recetas y precios'!$A:$O,15,FALSE()),""),IFERROR(VLOOKUP($B263,'Recetas y precios'!$A:$M,13,FALSE()),"")))</f>
        <v/>
      </c>
      <c r="I263" s="14" t="str">
        <f aca="false">IFERROR($E263*$H263,"")</f>
        <v/>
      </c>
      <c r="J263" s="14" t="str">
        <f aca="false">IFERROR($G263-$I263,"")</f>
        <v/>
      </c>
      <c r="K263" s="21" t="str">
        <f aca="false">IFERROR($J263/$G263,"")</f>
        <v/>
      </c>
      <c r="L263" s="28"/>
    </row>
    <row r="264" customFormat="false" ht="15" hidden="false" customHeight="false" outlineLevel="0" collapsed="false">
      <c r="A264" s="27"/>
      <c r="B264" s="28"/>
      <c r="C264" s="9" t="str">
        <f aca="false">IF($B264="","",IFERROR(VLOOKUP($B264,'Recetas y precios'!$A:$B,2,FALSE()),""))</f>
        <v/>
      </c>
      <c r="D264" s="28"/>
      <c r="E264" s="28"/>
      <c r="F264" s="14" t="str">
        <f aca="false">IF(OR($B264="",$D264=""),"",IFERROR(INDEX('Recetas y precios'!$P:$S,MATCH($B264,'Recetas y precios'!$A:$A,0),MATCH($D264,'Recetas y precios'!$P$5:$S$5,0)),""))</f>
        <v/>
      </c>
      <c r="G264" s="14" t="str">
        <f aca="false">IFERROR($E264*$F264,"")</f>
        <v/>
      </c>
      <c r="H264" s="14" t="str">
        <f aca="false">IF($B264="","",IF($D264="Rebanada en mostrador",IFERROR(VLOOKUP($B264,'Recetas y precios'!$A:$O,15,FALSE()),""),IFERROR(VLOOKUP($B264,'Recetas y precios'!$A:$M,13,FALSE()),"")))</f>
        <v/>
      </c>
      <c r="I264" s="14" t="str">
        <f aca="false">IFERROR($E264*$H264,"")</f>
        <v/>
      </c>
      <c r="J264" s="14" t="str">
        <f aca="false">IFERROR($G264-$I264,"")</f>
        <v/>
      </c>
      <c r="K264" s="21" t="str">
        <f aca="false">IFERROR($J264/$G264,"")</f>
        <v/>
      </c>
      <c r="L264" s="28"/>
    </row>
    <row r="265" customFormat="false" ht="15" hidden="false" customHeight="false" outlineLevel="0" collapsed="false">
      <c r="A265" s="27"/>
      <c r="B265" s="28"/>
      <c r="C265" s="9" t="str">
        <f aca="false">IF($B265="","",IFERROR(VLOOKUP($B265,'Recetas y precios'!$A:$B,2,FALSE()),""))</f>
        <v/>
      </c>
      <c r="D265" s="28"/>
      <c r="E265" s="28"/>
      <c r="F265" s="14" t="str">
        <f aca="false">IF(OR($B265="",$D265=""),"",IFERROR(INDEX('Recetas y precios'!$P:$S,MATCH($B265,'Recetas y precios'!$A:$A,0),MATCH($D265,'Recetas y precios'!$P$5:$S$5,0)),""))</f>
        <v/>
      </c>
      <c r="G265" s="14" t="str">
        <f aca="false">IFERROR($E265*$F265,"")</f>
        <v/>
      </c>
      <c r="H265" s="14" t="str">
        <f aca="false">IF($B265="","",IF($D265="Rebanada en mostrador",IFERROR(VLOOKUP($B265,'Recetas y precios'!$A:$O,15,FALSE()),""),IFERROR(VLOOKUP($B265,'Recetas y precios'!$A:$M,13,FALSE()),"")))</f>
        <v/>
      </c>
      <c r="I265" s="14" t="str">
        <f aca="false">IFERROR($E265*$H265,"")</f>
        <v/>
      </c>
      <c r="J265" s="14" t="str">
        <f aca="false">IFERROR($G265-$I265,"")</f>
        <v/>
      </c>
      <c r="K265" s="21" t="str">
        <f aca="false">IFERROR($J265/$G265,"")</f>
        <v/>
      </c>
      <c r="L265" s="28"/>
    </row>
    <row r="266" customFormat="false" ht="15" hidden="false" customHeight="false" outlineLevel="0" collapsed="false">
      <c r="A266" s="27"/>
      <c r="B266" s="28"/>
      <c r="C266" s="9" t="str">
        <f aca="false">IF($B266="","",IFERROR(VLOOKUP($B266,'Recetas y precios'!$A:$B,2,FALSE()),""))</f>
        <v/>
      </c>
      <c r="D266" s="28"/>
      <c r="E266" s="28"/>
      <c r="F266" s="14" t="str">
        <f aca="false">IF(OR($B266="",$D266=""),"",IFERROR(INDEX('Recetas y precios'!$P:$S,MATCH($B266,'Recetas y precios'!$A:$A,0),MATCH($D266,'Recetas y precios'!$P$5:$S$5,0)),""))</f>
        <v/>
      </c>
      <c r="G266" s="14" t="str">
        <f aca="false">IFERROR($E266*$F266,"")</f>
        <v/>
      </c>
      <c r="H266" s="14" t="str">
        <f aca="false">IF($B266="","",IF($D266="Rebanada en mostrador",IFERROR(VLOOKUP($B266,'Recetas y precios'!$A:$O,15,FALSE()),""),IFERROR(VLOOKUP($B266,'Recetas y precios'!$A:$M,13,FALSE()),"")))</f>
        <v/>
      </c>
      <c r="I266" s="14" t="str">
        <f aca="false">IFERROR($E266*$H266,"")</f>
        <v/>
      </c>
      <c r="J266" s="14" t="str">
        <f aca="false">IFERROR($G266-$I266,"")</f>
        <v/>
      </c>
      <c r="K266" s="21" t="str">
        <f aca="false">IFERROR($J266/$G266,"")</f>
        <v/>
      </c>
      <c r="L266" s="28"/>
    </row>
    <row r="267" customFormat="false" ht="15" hidden="false" customHeight="false" outlineLevel="0" collapsed="false">
      <c r="A267" s="27"/>
      <c r="B267" s="28"/>
      <c r="C267" s="9" t="str">
        <f aca="false">IF($B267="","",IFERROR(VLOOKUP($B267,'Recetas y precios'!$A:$B,2,FALSE()),""))</f>
        <v/>
      </c>
      <c r="D267" s="28"/>
      <c r="E267" s="28"/>
      <c r="F267" s="14" t="str">
        <f aca="false">IF(OR($B267="",$D267=""),"",IFERROR(INDEX('Recetas y precios'!$P:$S,MATCH($B267,'Recetas y precios'!$A:$A,0),MATCH($D267,'Recetas y precios'!$P$5:$S$5,0)),""))</f>
        <v/>
      </c>
      <c r="G267" s="14" t="str">
        <f aca="false">IFERROR($E267*$F267,"")</f>
        <v/>
      </c>
      <c r="H267" s="14" t="str">
        <f aca="false">IF($B267="","",IF($D267="Rebanada en mostrador",IFERROR(VLOOKUP($B267,'Recetas y precios'!$A:$O,15,FALSE()),""),IFERROR(VLOOKUP($B267,'Recetas y precios'!$A:$M,13,FALSE()),"")))</f>
        <v/>
      </c>
      <c r="I267" s="14" t="str">
        <f aca="false">IFERROR($E267*$H267,"")</f>
        <v/>
      </c>
      <c r="J267" s="14" t="str">
        <f aca="false">IFERROR($G267-$I267,"")</f>
        <v/>
      </c>
      <c r="K267" s="21" t="str">
        <f aca="false">IFERROR($J267/$G267,"")</f>
        <v/>
      </c>
      <c r="L267" s="28"/>
    </row>
    <row r="268" customFormat="false" ht="15" hidden="false" customHeight="false" outlineLevel="0" collapsed="false">
      <c r="A268" s="27"/>
      <c r="B268" s="28"/>
      <c r="C268" s="9" t="str">
        <f aca="false">IF($B268="","",IFERROR(VLOOKUP($B268,'Recetas y precios'!$A:$B,2,FALSE()),""))</f>
        <v/>
      </c>
      <c r="D268" s="28"/>
      <c r="E268" s="28"/>
      <c r="F268" s="14" t="str">
        <f aca="false">IF(OR($B268="",$D268=""),"",IFERROR(INDEX('Recetas y precios'!$P:$S,MATCH($B268,'Recetas y precios'!$A:$A,0),MATCH($D268,'Recetas y precios'!$P$5:$S$5,0)),""))</f>
        <v/>
      </c>
      <c r="G268" s="14" t="str">
        <f aca="false">IFERROR($E268*$F268,"")</f>
        <v/>
      </c>
      <c r="H268" s="14" t="str">
        <f aca="false">IF($B268="","",IF($D268="Rebanada en mostrador",IFERROR(VLOOKUP($B268,'Recetas y precios'!$A:$O,15,FALSE()),""),IFERROR(VLOOKUP($B268,'Recetas y precios'!$A:$M,13,FALSE()),"")))</f>
        <v/>
      </c>
      <c r="I268" s="14" t="str">
        <f aca="false">IFERROR($E268*$H268,"")</f>
        <v/>
      </c>
      <c r="J268" s="14" t="str">
        <f aca="false">IFERROR($G268-$I268,"")</f>
        <v/>
      </c>
      <c r="K268" s="21" t="str">
        <f aca="false">IFERROR($J268/$G268,"")</f>
        <v/>
      </c>
      <c r="L268" s="28"/>
    </row>
    <row r="269" customFormat="false" ht="15" hidden="false" customHeight="false" outlineLevel="0" collapsed="false">
      <c r="A269" s="27"/>
      <c r="B269" s="28"/>
      <c r="C269" s="9" t="str">
        <f aca="false">IF($B269="","",IFERROR(VLOOKUP($B269,'Recetas y precios'!$A:$B,2,FALSE()),""))</f>
        <v/>
      </c>
      <c r="D269" s="28"/>
      <c r="E269" s="28"/>
      <c r="F269" s="14" t="str">
        <f aca="false">IF(OR($B269="",$D269=""),"",IFERROR(INDEX('Recetas y precios'!$P:$S,MATCH($B269,'Recetas y precios'!$A:$A,0),MATCH($D269,'Recetas y precios'!$P$5:$S$5,0)),""))</f>
        <v/>
      </c>
      <c r="G269" s="14" t="str">
        <f aca="false">IFERROR($E269*$F269,"")</f>
        <v/>
      </c>
      <c r="H269" s="14" t="str">
        <f aca="false">IF($B269="","",IF($D269="Rebanada en mostrador",IFERROR(VLOOKUP($B269,'Recetas y precios'!$A:$O,15,FALSE()),""),IFERROR(VLOOKUP($B269,'Recetas y precios'!$A:$M,13,FALSE()),"")))</f>
        <v/>
      </c>
      <c r="I269" s="14" t="str">
        <f aca="false">IFERROR($E269*$H269,"")</f>
        <v/>
      </c>
      <c r="J269" s="14" t="str">
        <f aca="false">IFERROR($G269-$I269,"")</f>
        <v/>
      </c>
      <c r="K269" s="21" t="str">
        <f aca="false">IFERROR($J269/$G269,"")</f>
        <v/>
      </c>
      <c r="L269" s="28"/>
    </row>
    <row r="270" customFormat="false" ht="15" hidden="false" customHeight="false" outlineLevel="0" collapsed="false">
      <c r="A270" s="27"/>
      <c r="B270" s="28"/>
      <c r="C270" s="9" t="str">
        <f aca="false">IF($B270="","",IFERROR(VLOOKUP($B270,'Recetas y precios'!$A:$B,2,FALSE()),""))</f>
        <v/>
      </c>
      <c r="D270" s="28"/>
      <c r="E270" s="28"/>
      <c r="F270" s="14" t="str">
        <f aca="false">IF(OR($B270="",$D270=""),"",IFERROR(INDEX('Recetas y precios'!$P:$S,MATCH($B270,'Recetas y precios'!$A:$A,0),MATCH($D270,'Recetas y precios'!$P$5:$S$5,0)),""))</f>
        <v/>
      </c>
      <c r="G270" s="14" t="str">
        <f aca="false">IFERROR($E270*$F270,"")</f>
        <v/>
      </c>
      <c r="H270" s="14" t="str">
        <f aca="false">IF($B270="","",IF($D270="Rebanada en mostrador",IFERROR(VLOOKUP($B270,'Recetas y precios'!$A:$O,15,FALSE()),""),IFERROR(VLOOKUP($B270,'Recetas y precios'!$A:$M,13,FALSE()),"")))</f>
        <v/>
      </c>
      <c r="I270" s="14" t="str">
        <f aca="false">IFERROR($E270*$H270,"")</f>
        <v/>
      </c>
      <c r="J270" s="14" t="str">
        <f aca="false">IFERROR($G270-$I270,"")</f>
        <v/>
      </c>
      <c r="K270" s="21" t="str">
        <f aca="false">IFERROR($J270/$G270,"")</f>
        <v/>
      </c>
      <c r="L270" s="28"/>
    </row>
    <row r="271" customFormat="false" ht="15" hidden="false" customHeight="false" outlineLevel="0" collapsed="false">
      <c r="A271" s="27"/>
      <c r="B271" s="28"/>
      <c r="C271" s="9" t="str">
        <f aca="false">IF($B271="","",IFERROR(VLOOKUP($B271,'Recetas y precios'!$A:$B,2,FALSE()),""))</f>
        <v/>
      </c>
      <c r="D271" s="28"/>
      <c r="E271" s="28"/>
      <c r="F271" s="14" t="str">
        <f aca="false">IF(OR($B271="",$D271=""),"",IFERROR(INDEX('Recetas y precios'!$P:$S,MATCH($B271,'Recetas y precios'!$A:$A,0),MATCH($D271,'Recetas y precios'!$P$5:$S$5,0)),""))</f>
        <v/>
      </c>
      <c r="G271" s="14" t="str">
        <f aca="false">IFERROR($E271*$F271,"")</f>
        <v/>
      </c>
      <c r="H271" s="14" t="str">
        <f aca="false">IF($B271="","",IF($D271="Rebanada en mostrador",IFERROR(VLOOKUP($B271,'Recetas y precios'!$A:$O,15,FALSE()),""),IFERROR(VLOOKUP($B271,'Recetas y precios'!$A:$M,13,FALSE()),"")))</f>
        <v/>
      </c>
      <c r="I271" s="14" t="str">
        <f aca="false">IFERROR($E271*$H271,"")</f>
        <v/>
      </c>
      <c r="J271" s="14" t="str">
        <f aca="false">IFERROR($G271-$I271,"")</f>
        <v/>
      </c>
      <c r="K271" s="21" t="str">
        <f aca="false">IFERROR($J271/$G271,"")</f>
        <v/>
      </c>
      <c r="L271" s="28"/>
    </row>
    <row r="272" customFormat="false" ht="15" hidden="false" customHeight="false" outlineLevel="0" collapsed="false">
      <c r="A272" s="27"/>
      <c r="B272" s="28"/>
      <c r="C272" s="9" t="str">
        <f aca="false">IF($B272="","",IFERROR(VLOOKUP($B272,'Recetas y precios'!$A:$B,2,FALSE()),""))</f>
        <v/>
      </c>
      <c r="D272" s="28"/>
      <c r="E272" s="28"/>
      <c r="F272" s="14" t="str">
        <f aca="false">IF(OR($B272="",$D272=""),"",IFERROR(INDEX('Recetas y precios'!$P:$S,MATCH($B272,'Recetas y precios'!$A:$A,0),MATCH($D272,'Recetas y precios'!$P$5:$S$5,0)),""))</f>
        <v/>
      </c>
      <c r="G272" s="14" t="str">
        <f aca="false">IFERROR($E272*$F272,"")</f>
        <v/>
      </c>
      <c r="H272" s="14" t="str">
        <f aca="false">IF($B272="","",IF($D272="Rebanada en mostrador",IFERROR(VLOOKUP($B272,'Recetas y precios'!$A:$O,15,FALSE()),""),IFERROR(VLOOKUP($B272,'Recetas y precios'!$A:$M,13,FALSE()),"")))</f>
        <v/>
      </c>
      <c r="I272" s="14" t="str">
        <f aca="false">IFERROR($E272*$H272,"")</f>
        <v/>
      </c>
      <c r="J272" s="14" t="str">
        <f aca="false">IFERROR($G272-$I272,"")</f>
        <v/>
      </c>
      <c r="K272" s="21" t="str">
        <f aca="false">IFERROR($J272/$G272,"")</f>
        <v/>
      </c>
      <c r="L272" s="28"/>
    </row>
    <row r="273" customFormat="false" ht="15" hidden="false" customHeight="false" outlineLevel="0" collapsed="false">
      <c r="A273" s="27"/>
      <c r="B273" s="28"/>
      <c r="C273" s="9" t="str">
        <f aca="false">IF($B273="","",IFERROR(VLOOKUP($B273,'Recetas y precios'!$A:$B,2,FALSE()),""))</f>
        <v/>
      </c>
      <c r="D273" s="28"/>
      <c r="E273" s="28"/>
      <c r="F273" s="14" t="str">
        <f aca="false">IF(OR($B273="",$D273=""),"",IFERROR(INDEX('Recetas y precios'!$P:$S,MATCH($B273,'Recetas y precios'!$A:$A,0),MATCH($D273,'Recetas y precios'!$P$5:$S$5,0)),""))</f>
        <v/>
      </c>
      <c r="G273" s="14" t="str">
        <f aca="false">IFERROR($E273*$F273,"")</f>
        <v/>
      </c>
      <c r="H273" s="14" t="str">
        <f aca="false">IF($B273="","",IF($D273="Rebanada en mostrador",IFERROR(VLOOKUP($B273,'Recetas y precios'!$A:$O,15,FALSE()),""),IFERROR(VLOOKUP($B273,'Recetas y precios'!$A:$M,13,FALSE()),"")))</f>
        <v/>
      </c>
      <c r="I273" s="14" t="str">
        <f aca="false">IFERROR($E273*$H273,"")</f>
        <v/>
      </c>
      <c r="J273" s="14" t="str">
        <f aca="false">IFERROR($G273-$I273,"")</f>
        <v/>
      </c>
      <c r="K273" s="21" t="str">
        <f aca="false">IFERROR($J273/$G273,"")</f>
        <v/>
      </c>
      <c r="L273" s="28"/>
    </row>
    <row r="274" customFormat="false" ht="15" hidden="false" customHeight="false" outlineLevel="0" collapsed="false">
      <c r="A274" s="27"/>
      <c r="B274" s="28"/>
      <c r="C274" s="9" t="str">
        <f aca="false">IF($B274="","",IFERROR(VLOOKUP($B274,'Recetas y precios'!$A:$B,2,FALSE()),""))</f>
        <v/>
      </c>
      <c r="D274" s="28"/>
      <c r="E274" s="28"/>
      <c r="F274" s="14" t="str">
        <f aca="false">IF(OR($B274="",$D274=""),"",IFERROR(INDEX('Recetas y precios'!$P:$S,MATCH($B274,'Recetas y precios'!$A:$A,0),MATCH($D274,'Recetas y precios'!$P$5:$S$5,0)),""))</f>
        <v/>
      </c>
      <c r="G274" s="14" t="str">
        <f aca="false">IFERROR($E274*$F274,"")</f>
        <v/>
      </c>
      <c r="H274" s="14" t="str">
        <f aca="false">IF($B274="","",IF($D274="Rebanada en mostrador",IFERROR(VLOOKUP($B274,'Recetas y precios'!$A:$O,15,FALSE()),""),IFERROR(VLOOKUP($B274,'Recetas y precios'!$A:$M,13,FALSE()),"")))</f>
        <v/>
      </c>
      <c r="I274" s="14" t="str">
        <f aca="false">IFERROR($E274*$H274,"")</f>
        <v/>
      </c>
      <c r="J274" s="14" t="str">
        <f aca="false">IFERROR($G274-$I274,"")</f>
        <v/>
      </c>
      <c r="K274" s="21" t="str">
        <f aca="false">IFERROR($J274/$G274,"")</f>
        <v/>
      </c>
      <c r="L274" s="28"/>
    </row>
    <row r="275" customFormat="false" ht="15" hidden="false" customHeight="false" outlineLevel="0" collapsed="false">
      <c r="A275" s="27"/>
      <c r="B275" s="28"/>
      <c r="C275" s="9" t="str">
        <f aca="false">IF($B275="","",IFERROR(VLOOKUP($B275,'Recetas y precios'!$A:$B,2,FALSE()),""))</f>
        <v/>
      </c>
      <c r="D275" s="28"/>
      <c r="E275" s="28"/>
      <c r="F275" s="14" t="str">
        <f aca="false">IF(OR($B275="",$D275=""),"",IFERROR(INDEX('Recetas y precios'!$P:$S,MATCH($B275,'Recetas y precios'!$A:$A,0),MATCH($D275,'Recetas y precios'!$P$5:$S$5,0)),""))</f>
        <v/>
      </c>
      <c r="G275" s="14" t="str">
        <f aca="false">IFERROR($E275*$F275,"")</f>
        <v/>
      </c>
      <c r="H275" s="14" t="str">
        <f aca="false">IF($B275="","",IF($D275="Rebanada en mostrador",IFERROR(VLOOKUP($B275,'Recetas y precios'!$A:$O,15,FALSE()),""),IFERROR(VLOOKUP($B275,'Recetas y precios'!$A:$M,13,FALSE()),"")))</f>
        <v/>
      </c>
      <c r="I275" s="14" t="str">
        <f aca="false">IFERROR($E275*$H275,"")</f>
        <v/>
      </c>
      <c r="J275" s="14" t="str">
        <f aca="false">IFERROR($G275-$I275,"")</f>
        <v/>
      </c>
      <c r="K275" s="21" t="str">
        <f aca="false">IFERROR($J275/$G275,"")</f>
        <v/>
      </c>
      <c r="L275" s="28"/>
    </row>
    <row r="276" customFormat="false" ht="15" hidden="false" customHeight="false" outlineLevel="0" collapsed="false">
      <c r="A276" s="27"/>
      <c r="B276" s="28"/>
      <c r="C276" s="9" t="str">
        <f aca="false">IF($B276="","",IFERROR(VLOOKUP($B276,'Recetas y precios'!$A:$B,2,FALSE()),""))</f>
        <v/>
      </c>
      <c r="D276" s="28"/>
      <c r="E276" s="28"/>
      <c r="F276" s="14" t="str">
        <f aca="false">IF(OR($B276="",$D276=""),"",IFERROR(INDEX('Recetas y precios'!$P:$S,MATCH($B276,'Recetas y precios'!$A:$A,0),MATCH($D276,'Recetas y precios'!$P$5:$S$5,0)),""))</f>
        <v/>
      </c>
      <c r="G276" s="14" t="str">
        <f aca="false">IFERROR($E276*$F276,"")</f>
        <v/>
      </c>
      <c r="H276" s="14" t="str">
        <f aca="false">IF($B276="","",IF($D276="Rebanada en mostrador",IFERROR(VLOOKUP($B276,'Recetas y precios'!$A:$O,15,FALSE()),""),IFERROR(VLOOKUP($B276,'Recetas y precios'!$A:$M,13,FALSE()),"")))</f>
        <v/>
      </c>
      <c r="I276" s="14" t="str">
        <f aca="false">IFERROR($E276*$H276,"")</f>
        <v/>
      </c>
      <c r="J276" s="14" t="str">
        <f aca="false">IFERROR($G276-$I276,"")</f>
        <v/>
      </c>
      <c r="K276" s="21" t="str">
        <f aca="false">IFERROR($J276/$G276,"")</f>
        <v/>
      </c>
      <c r="L276" s="28"/>
    </row>
    <row r="277" customFormat="false" ht="15" hidden="false" customHeight="false" outlineLevel="0" collapsed="false">
      <c r="A277" s="27"/>
      <c r="B277" s="28"/>
      <c r="C277" s="9" t="str">
        <f aca="false">IF($B277="","",IFERROR(VLOOKUP($B277,'Recetas y precios'!$A:$B,2,FALSE()),""))</f>
        <v/>
      </c>
      <c r="D277" s="28"/>
      <c r="E277" s="28"/>
      <c r="F277" s="14" t="str">
        <f aca="false">IF(OR($B277="",$D277=""),"",IFERROR(INDEX('Recetas y precios'!$P:$S,MATCH($B277,'Recetas y precios'!$A:$A,0),MATCH($D277,'Recetas y precios'!$P$5:$S$5,0)),""))</f>
        <v/>
      </c>
      <c r="G277" s="14" t="str">
        <f aca="false">IFERROR($E277*$F277,"")</f>
        <v/>
      </c>
      <c r="H277" s="14" t="str">
        <f aca="false">IF($B277="","",IF($D277="Rebanada en mostrador",IFERROR(VLOOKUP($B277,'Recetas y precios'!$A:$O,15,FALSE()),""),IFERROR(VLOOKUP($B277,'Recetas y precios'!$A:$M,13,FALSE()),"")))</f>
        <v/>
      </c>
      <c r="I277" s="14" t="str">
        <f aca="false">IFERROR($E277*$H277,"")</f>
        <v/>
      </c>
      <c r="J277" s="14" t="str">
        <f aca="false">IFERROR($G277-$I277,"")</f>
        <v/>
      </c>
      <c r="K277" s="21" t="str">
        <f aca="false">IFERROR($J277/$G277,"")</f>
        <v/>
      </c>
      <c r="L277" s="28"/>
    </row>
    <row r="278" customFormat="false" ht="15" hidden="false" customHeight="false" outlineLevel="0" collapsed="false">
      <c r="A278" s="27"/>
      <c r="B278" s="28"/>
      <c r="C278" s="9" t="str">
        <f aca="false">IF($B278="","",IFERROR(VLOOKUP($B278,'Recetas y precios'!$A:$B,2,FALSE()),""))</f>
        <v/>
      </c>
      <c r="D278" s="28"/>
      <c r="E278" s="28"/>
      <c r="F278" s="14" t="str">
        <f aca="false">IF(OR($B278="",$D278=""),"",IFERROR(INDEX('Recetas y precios'!$P:$S,MATCH($B278,'Recetas y precios'!$A:$A,0),MATCH($D278,'Recetas y precios'!$P$5:$S$5,0)),""))</f>
        <v/>
      </c>
      <c r="G278" s="14" t="str">
        <f aca="false">IFERROR($E278*$F278,"")</f>
        <v/>
      </c>
      <c r="H278" s="14" t="str">
        <f aca="false">IF($B278="","",IF($D278="Rebanada en mostrador",IFERROR(VLOOKUP($B278,'Recetas y precios'!$A:$O,15,FALSE()),""),IFERROR(VLOOKUP($B278,'Recetas y precios'!$A:$M,13,FALSE()),"")))</f>
        <v/>
      </c>
      <c r="I278" s="14" t="str">
        <f aca="false">IFERROR($E278*$H278,"")</f>
        <v/>
      </c>
      <c r="J278" s="14" t="str">
        <f aca="false">IFERROR($G278-$I278,"")</f>
        <v/>
      </c>
      <c r="K278" s="21" t="str">
        <f aca="false">IFERROR($J278/$G278,"")</f>
        <v/>
      </c>
      <c r="L278" s="28"/>
    </row>
    <row r="279" customFormat="false" ht="15" hidden="false" customHeight="false" outlineLevel="0" collapsed="false">
      <c r="A279" s="27"/>
      <c r="B279" s="28"/>
      <c r="C279" s="9" t="str">
        <f aca="false">IF($B279="","",IFERROR(VLOOKUP($B279,'Recetas y precios'!$A:$B,2,FALSE()),""))</f>
        <v/>
      </c>
      <c r="D279" s="28"/>
      <c r="E279" s="28"/>
      <c r="F279" s="14" t="str">
        <f aca="false">IF(OR($B279="",$D279=""),"",IFERROR(INDEX('Recetas y precios'!$P:$S,MATCH($B279,'Recetas y precios'!$A:$A,0),MATCH($D279,'Recetas y precios'!$P$5:$S$5,0)),""))</f>
        <v/>
      </c>
      <c r="G279" s="14" t="str">
        <f aca="false">IFERROR($E279*$F279,"")</f>
        <v/>
      </c>
      <c r="H279" s="14" t="str">
        <f aca="false">IF($B279="","",IF($D279="Rebanada en mostrador",IFERROR(VLOOKUP($B279,'Recetas y precios'!$A:$O,15,FALSE()),""),IFERROR(VLOOKUP($B279,'Recetas y precios'!$A:$M,13,FALSE()),"")))</f>
        <v/>
      </c>
      <c r="I279" s="14" t="str">
        <f aca="false">IFERROR($E279*$H279,"")</f>
        <v/>
      </c>
      <c r="J279" s="14" t="str">
        <f aca="false">IFERROR($G279-$I279,"")</f>
        <v/>
      </c>
      <c r="K279" s="21" t="str">
        <f aca="false">IFERROR($J279/$G279,"")</f>
        <v/>
      </c>
      <c r="L279" s="28"/>
    </row>
    <row r="280" customFormat="false" ht="15" hidden="false" customHeight="false" outlineLevel="0" collapsed="false">
      <c r="A280" s="27"/>
      <c r="B280" s="28"/>
      <c r="C280" s="9" t="str">
        <f aca="false">IF($B280="","",IFERROR(VLOOKUP($B280,'Recetas y precios'!$A:$B,2,FALSE()),""))</f>
        <v/>
      </c>
      <c r="D280" s="28"/>
      <c r="E280" s="28"/>
      <c r="F280" s="14" t="str">
        <f aca="false">IF(OR($B280="",$D280=""),"",IFERROR(INDEX('Recetas y precios'!$P:$S,MATCH($B280,'Recetas y precios'!$A:$A,0),MATCH($D280,'Recetas y precios'!$P$5:$S$5,0)),""))</f>
        <v/>
      </c>
      <c r="G280" s="14" t="str">
        <f aca="false">IFERROR($E280*$F280,"")</f>
        <v/>
      </c>
      <c r="H280" s="14" t="str">
        <f aca="false">IF($B280="","",IF($D280="Rebanada en mostrador",IFERROR(VLOOKUP($B280,'Recetas y precios'!$A:$O,15,FALSE()),""),IFERROR(VLOOKUP($B280,'Recetas y precios'!$A:$M,13,FALSE()),"")))</f>
        <v/>
      </c>
      <c r="I280" s="14" t="str">
        <f aca="false">IFERROR($E280*$H280,"")</f>
        <v/>
      </c>
      <c r="J280" s="14" t="str">
        <f aca="false">IFERROR($G280-$I280,"")</f>
        <v/>
      </c>
      <c r="K280" s="21" t="str">
        <f aca="false">IFERROR($J280/$G280,"")</f>
        <v/>
      </c>
      <c r="L280" s="28"/>
    </row>
    <row r="281" customFormat="false" ht="15" hidden="false" customHeight="false" outlineLevel="0" collapsed="false">
      <c r="A281" s="27"/>
      <c r="B281" s="28"/>
      <c r="C281" s="9" t="str">
        <f aca="false">IF($B281="","",IFERROR(VLOOKUP($B281,'Recetas y precios'!$A:$B,2,FALSE()),""))</f>
        <v/>
      </c>
      <c r="D281" s="28"/>
      <c r="E281" s="28"/>
      <c r="F281" s="14" t="str">
        <f aca="false">IF(OR($B281="",$D281=""),"",IFERROR(INDEX('Recetas y precios'!$P:$S,MATCH($B281,'Recetas y precios'!$A:$A,0),MATCH($D281,'Recetas y precios'!$P$5:$S$5,0)),""))</f>
        <v/>
      </c>
      <c r="G281" s="14" t="str">
        <f aca="false">IFERROR($E281*$F281,"")</f>
        <v/>
      </c>
      <c r="H281" s="14" t="str">
        <f aca="false">IF($B281="","",IF($D281="Rebanada en mostrador",IFERROR(VLOOKUP($B281,'Recetas y precios'!$A:$O,15,FALSE()),""),IFERROR(VLOOKUP($B281,'Recetas y precios'!$A:$M,13,FALSE()),"")))</f>
        <v/>
      </c>
      <c r="I281" s="14" t="str">
        <f aca="false">IFERROR($E281*$H281,"")</f>
        <v/>
      </c>
      <c r="J281" s="14" t="str">
        <f aca="false">IFERROR($G281-$I281,"")</f>
        <v/>
      </c>
      <c r="K281" s="21" t="str">
        <f aca="false">IFERROR($J281/$G281,"")</f>
        <v/>
      </c>
      <c r="L281" s="28"/>
    </row>
    <row r="282" customFormat="false" ht="15" hidden="false" customHeight="false" outlineLevel="0" collapsed="false">
      <c r="A282" s="27"/>
      <c r="B282" s="28"/>
      <c r="C282" s="9" t="str">
        <f aca="false">IF($B282="","",IFERROR(VLOOKUP($B282,'Recetas y precios'!$A:$B,2,FALSE()),""))</f>
        <v/>
      </c>
      <c r="D282" s="28"/>
      <c r="E282" s="28"/>
      <c r="F282" s="14" t="str">
        <f aca="false">IF(OR($B282="",$D282=""),"",IFERROR(INDEX('Recetas y precios'!$P:$S,MATCH($B282,'Recetas y precios'!$A:$A,0),MATCH($D282,'Recetas y precios'!$P$5:$S$5,0)),""))</f>
        <v/>
      </c>
      <c r="G282" s="14" t="str">
        <f aca="false">IFERROR($E282*$F282,"")</f>
        <v/>
      </c>
      <c r="H282" s="14" t="str">
        <f aca="false">IF($B282="","",IF($D282="Rebanada en mostrador",IFERROR(VLOOKUP($B282,'Recetas y precios'!$A:$O,15,FALSE()),""),IFERROR(VLOOKUP($B282,'Recetas y precios'!$A:$M,13,FALSE()),"")))</f>
        <v/>
      </c>
      <c r="I282" s="14" t="str">
        <f aca="false">IFERROR($E282*$H282,"")</f>
        <v/>
      </c>
      <c r="J282" s="14" t="str">
        <f aca="false">IFERROR($G282-$I282,"")</f>
        <v/>
      </c>
      <c r="K282" s="21" t="str">
        <f aca="false">IFERROR($J282/$G282,"")</f>
        <v/>
      </c>
      <c r="L282" s="28"/>
    </row>
    <row r="283" customFormat="false" ht="15" hidden="false" customHeight="false" outlineLevel="0" collapsed="false">
      <c r="A283" s="27"/>
      <c r="B283" s="28"/>
      <c r="C283" s="9" t="str">
        <f aca="false">IF($B283="","",IFERROR(VLOOKUP($B283,'Recetas y precios'!$A:$B,2,FALSE()),""))</f>
        <v/>
      </c>
      <c r="D283" s="28"/>
      <c r="E283" s="28"/>
      <c r="F283" s="14" t="str">
        <f aca="false">IF(OR($B283="",$D283=""),"",IFERROR(INDEX('Recetas y precios'!$P:$S,MATCH($B283,'Recetas y precios'!$A:$A,0),MATCH($D283,'Recetas y precios'!$P$5:$S$5,0)),""))</f>
        <v/>
      </c>
      <c r="G283" s="14" t="str">
        <f aca="false">IFERROR($E283*$F283,"")</f>
        <v/>
      </c>
      <c r="H283" s="14" t="str">
        <f aca="false">IF($B283="","",IF($D283="Rebanada en mostrador",IFERROR(VLOOKUP($B283,'Recetas y precios'!$A:$O,15,FALSE()),""),IFERROR(VLOOKUP($B283,'Recetas y precios'!$A:$M,13,FALSE()),"")))</f>
        <v/>
      </c>
      <c r="I283" s="14" t="str">
        <f aca="false">IFERROR($E283*$H283,"")</f>
        <v/>
      </c>
      <c r="J283" s="14" t="str">
        <f aca="false">IFERROR($G283-$I283,"")</f>
        <v/>
      </c>
      <c r="K283" s="21" t="str">
        <f aca="false">IFERROR($J283/$G283,"")</f>
        <v/>
      </c>
      <c r="L283" s="28"/>
    </row>
    <row r="284" customFormat="false" ht="15" hidden="false" customHeight="false" outlineLevel="0" collapsed="false">
      <c r="A284" s="27"/>
      <c r="B284" s="28"/>
      <c r="C284" s="9" t="str">
        <f aca="false">IF($B284="","",IFERROR(VLOOKUP($B284,'Recetas y precios'!$A:$B,2,FALSE()),""))</f>
        <v/>
      </c>
      <c r="D284" s="28"/>
      <c r="E284" s="28"/>
      <c r="F284" s="14" t="str">
        <f aca="false">IF(OR($B284="",$D284=""),"",IFERROR(INDEX('Recetas y precios'!$P:$S,MATCH($B284,'Recetas y precios'!$A:$A,0),MATCH($D284,'Recetas y precios'!$P$5:$S$5,0)),""))</f>
        <v/>
      </c>
      <c r="G284" s="14" t="str">
        <f aca="false">IFERROR($E284*$F284,"")</f>
        <v/>
      </c>
      <c r="H284" s="14" t="str">
        <f aca="false">IF($B284="","",IF($D284="Rebanada en mostrador",IFERROR(VLOOKUP($B284,'Recetas y precios'!$A:$O,15,FALSE()),""),IFERROR(VLOOKUP($B284,'Recetas y precios'!$A:$M,13,FALSE()),"")))</f>
        <v/>
      </c>
      <c r="I284" s="14" t="str">
        <f aca="false">IFERROR($E284*$H284,"")</f>
        <v/>
      </c>
      <c r="J284" s="14" t="str">
        <f aca="false">IFERROR($G284-$I284,"")</f>
        <v/>
      </c>
      <c r="K284" s="21" t="str">
        <f aca="false">IFERROR($J284/$G284,"")</f>
        <v/>
      </c>
      <c r="L284" s="28"/>
    </row>
    <row r="285" customFormat="false" ht="15" hidden="false" customHeight="false" outlineLevel="0" collapsed="false">
      <c r="A285" s="27"/>
      <c r="B285" s="28"/>
      <c r="C285" s="9" t="str">
        <f aca="false">IF($B285="","",IFERROR(VLOOKUP($B285,'Recetas y precios'!$A:$B,2,FALSE()),""))</f>
        <v/>
      </c>
      <c r="D285" s="28"/>
      <c r="E285" s="28"/>
      <c r="F285" s="14" t="str">
        <f aca="false">IF(OR($B285="",$D285=""),"",IFERROR(INDEX('Recetas y precios'!$P:$S,MATCH($B285,'Recetas y precios'!$A:$A,0),MATCH($D285,'Recetas y precios'!$P$5:$S$5,0)),""))</f>
        <v/>
      </c>
      <c r="G285" s="14" t="str">
        <f aca="false">IFERROR($E285*$F285,"")</f>
        <v/>
      </c>
      <c r="H285" s="14" t="str">
        <f aca="false">IF($B285="","",IF($D285="Rebanada en mostrador",IFERROR(VLOOKUP($B285,'Recetas y precios'!$A:$O,15,FALSE()),""),IFERROR(VLOOKUP($B285,'Recetas y precios'!$A:$M,13,FALSE()),"")))</f>
        <v/>
      </c>
      <c r="I285" s="14" t="str">
        <f aca="false">IFERROR($E285*$H285,"")</f>
        <v/>
      </c>
      <c r="J285" s="14" t="str">
        <f aca="false">IFERROR($G285-$I285,"")</f>
        <v/>
      </c>
      <c r="K285" s="21" t="str">
        <f aca="false">IFERROR($J285/$G285,"")</f>
        <v/>
      </c>
      <c r="L285" s="28"/>
    </row>
    <row r="286" customFormat="false" ht="15" hidden="false" customHeight="false" outlineLevel="0" collapsed="false">
      <c r="A286" s="27"/>
      <c r="B286" s="28"/>
      <c r="C286" s="9" t="str">
        <f aca="false">IF($B286="","",IFERROR(VLOOKUP($B286,'Recetas y precios'!$A:$B,2,FALSE()),""))</f>
        <v/>
      </c>
      <c r="D286" s="28"/>
      <c r="E286" s="28"/>
      <c r="F286" s="14" t="str">
        <f aca="false">IF(OR($B286="",$D286=""),"",IFERROR(INDEX('Recetas y precios'!$P:$S,MATCH($B286,'Recetas y precios'!$A:$A,0),MATCH($D286,'Recetas y precios'!$P$5:$S$5,0)),""))</f>
        <v/>
      </c>
      <c r="G286" s="14" t="str">
        <f aca="false">IFERROR($E286*$F286,"")</f>
        <v/>
      </c>
      <c r="H286" s="14" t="str">
        <f aca="false">IF($B286="","",IF($D286="Rebanada en mostrador",IFERROR(VLOOKUP($B286,'Recetas y precios'!$A:$O,15,FALSE()),""),IFERROR(VLOOKUP($B286,'Recetas y precios'!$A:$M,13,FALSE()),"")))</f>
        <v/>
      </c>
      <c r="I286" s="14" t="str">
        <f aca="false">IFERROR($E286*$H286,"")</f>
        <v/>
      </c>
      <c r="J286" s="14" t="str">
        <f aca="false">IFERROR($G286-$I286,"")</f>
        <v/>
      </c>
      <c r="K286" s="21" t="str">
        <f aca="false">IFERROR($J286/$G286,"")</f>
        <v/>
      </c>
      <c r="L286" s="28"/>
    </row>
    <row r="287" customFormat="false" ht="15" hidden="false" customHeight="false" outlineLevel="0" collapsed="false">
      <c r="A287" s="27"/>
      <c r="B287" s="28"/>
      <c r="C287" s="9" t="str">
        <f aca="false">IF($B287="","",IFERROR(VLOOKUP($B287,'Recetas y precios'!$A:$B,2,FALSE()),""))</f>
        <v/>
      </c>
      <c r="D287" s="28"/>
      <c r="E287" s="28"/>
      <c r="F287" s="14" t="str">
        <f aca="false">IF(OR($B287="",$D287=""),"",IFERROR(INDEX('Recetas y precios'!$P:$S,MATCH($B287,'Recetas y precios'!$A:$A,0),MATCH($D287,'Recetas y precios'!$P$5:$S$5,0)),""))</f>
        <v/>
      </c>
      <c r="G287" s="14" t="str">
        <f aca="false">IFERROR($E287*$F287,"")</f>
        <v/>
      </c>
      <c r="H287" s="14" t="str">
        <f aca="false">IF($B287="","",IF($D287="Rebanada en mostrador",IFERROR(VLOOKUP($B287,'Recetas y precios'!$A:$O,15,FALSE()),""),IFERROR(VLOOKUP($B287,'Recetas y precios'!$A:$M,13,FALSE()),"")))</f>
        <v/>
      </c>
      <c r="I287" s="14" t="str">
        <f aca="false">IFERROR($E287*$H287,"")</f>
        <v/>
      </c>
      <c r="J287" s="14" t="str">
        <f aca="false">IFERROR($G287-$I287,"")</f>
        <v/>
      </c>
      <c r="K287" s="21" t="str">
        <f aca="false">IFERROR($J287/$G287,"")</f>
        <v/>
      </c>
      <c r="L287" s="28"/>
    </row>
    <row r="288" customFormat="false" ht="15" hidden="false" customHeight="false" outlineLevel="0" collapsed="false">
      <c r="A288" s="27"/>
      <c r="B288" s="28"/>
      <c r="C288" s="9" t="str">
        <f aca="false">IF($B288="","",IFERROR(VLOOKUP($B288,'Recetas y precios'!$A:$B,2,FALSE()),""))</f>
        <v/>
      </c>
      <c r="D288" s="28"/>
      <c r="E288" s="28"/>
      <c r="F288" s="14" t="str">
        <f aca="false">IF(OR($B288="",$D288=""),"",IFERROR(INDEX('Recetas y precios'!$P:$S,MATCH($B288,'Recetas y precios'!$A:$A,0),MATCH($D288,'Recetas y precios'!$P$5:$S$5,0)),""))</f>
        <v/>
      </c>
      <c r="G288" s="14" t="str">
        <f aca="false">IFERROR($E288*$F288,"")</f>
        <v/>
      </c>
      <c r="H288" s="14" t="str">
        <f aca="false">IF($B288="","",IF($D288="Rebanada en mostrador",IFERROR(VLOOKUP($B288,'Recetas y precios'!$A:$O,15,FALSE()),""),IFERROR(VLOOKUP($B288,'Recetas y precios'!$A:$M,13,FALSE()),"")))</f>
        <v/>
      </c>
      <c r="I288" s="14" t="str">
        <f aca="false">IFERROR($E288*$H288,"")</f>
        <v/>
      </c>
      <c r="J288" s="14" t="str">
        <f aca="false">IFERROR($G288-$I288,"")</f>
        <v/>
      </c>
      <c r="K288" s="21" t="str">
        <f aca="false">IFERROR($J288/$G288,"")</f>
        <v/>
      </c>
      <c r="L288" s="28"/>
    </row>
    <row r="289" customFormat="false" ht="15" hidden="false" customHeight="false" outlineLevel="0" collapsed="false">
      <c r="A289" s="27"/>
      <c r="B289" s="28"/>
      <c r="C289" s="9" t="str">
        <f aca="false">IF($B289="","",IFERROR(VLOOKUP($B289,'Recetas y precios'!$A:$B,2,FALSE()),""))</f>
        <v/>
      </c>
      <c r="D289" s="28"/>
      <c r="E289" s="28"/>
      <c r="F289" s="14" t="str">
        <f aca="false">IF(OR($B289="",$D289=""),"",IFERROR(INDEX('Recetas y precios'!$P:$S,MATCH($B289,'Recetas y precios'!$A:$A,0),MATCH($D289,'Recetas y precios'!$P$5:$S$5,0)),""))</f>
        <v/>
      </c>
      <c r="G289" s="14" t="str">
        <f aca="false">IFERROR($E289*$F289,"")</f>
        <v/>
      </c>
      <c r="H289" s="14" t="str">
        <f aca="false">IF($B289="","",IF($D289="Rebanada en mostrador",IFERROR(VLOOKUP($B289,'Recetas y precios'!$A:$O,15,FALSE()),""),IFERROR(VLOOKUP($B289,'Recetas y precios'!$A:$M,13,FALSE()),"")))</f>
        <v/>
      </c>
      <c r="I289" s="14" t="str">
        <f aca="false">IFERROR($E289*$H289,"")</f>
        <v/>
      </c>
      <c r="J289" s="14" t="str">
        <f aca="false">IFERROR($G289-$I289,"")</f>
        <v/>
      </c>
      <c r="K289" s="21" t="str">
        <f aca="false">IFERROR($J289/$G289,"")</f>
        <v/>
      </c>
      <c r="L289" s="28"/>
    </row>
    <row r="290" customFormat="false" ht="15" hidden="false" customHeight="false" outlineLevel="0" collapsed="false">
      <c r="A290" s="27"/>
      <c r="B290" s="28"/>
      <c r="C290" s="9" t="str">
        <f aca="false">IF($B290="","",IFERROR(VLOOKUP($B290,'Recetas y precios'!$A:$B,2,FALSE()),""))</f>
        <v/>
      </c>
      <c r="D290" s="28"/>
      <c r="E290" s="28"/>
      <c r="F290" s="14" t="str">
        <f aca="false">IF(OR($B290="",$D290=""),"",IFERROR(INDEX('Recetas y precios'!$P:$S,MATCH($B290,'Recetas y precios'!$A:$A,0),MATCH($D290,'Recetas y precios'!$P$5:$S$5,0)),""))</f>
        <v/>
      </c>
      <c r="G290" s="14" t="str">
        <f aca="false">IFERROR($E290*$F290,"")</f>
        <v/>
      </c>
      <c r="H290" s="14" t="str">
        <f aca="false">IF($B290="","",IF($D290="Rebanada en mostrador",IFERROR(VLOOKUP($B290,'Recetas y precios'!$A:$O,15,FALSE()),""),IFERROR(VLOOKUP($B290,'Recetas y precios'!$A:$M,13,FALSE()),"")))</f>
        <v/>
      </c>
      <c r="I290" s="14" t="str">
        <f aca="false">IFERROR($E290*$H290,"")</f>
        <v/>
      </c>
      <c r="J290" s="14" t="str">
        <f aca="false">IFERROR($G290-$I290,"")</f>
        <v/>
      </c>
      <c r="K290" s="21" t="str">
        <f aca="false">IFERROR($J290/$G290,"")</f>
        <v/>
      </c>
      <c r="L290" s="28"/>
    </row>
    <row r="291" customFormat="false" ht="15" hidden="false" customHeight="false" outlineLevel="0" collapsed="false">
      <c r="A291" s="27"/>
      <c r="B291" s="28"/>
      <c r="C291" s="9" t="str">
        <f aca="false">IF($B291="","",IFERROR(VLOOKUP($B291,'Recetas y precios'!$A:$B,2,FALSE()),""))</f>
        <v/>
      </c>
      <c r="D291" s="28"/>
      <c r="E291" s="28"/>
      <c r="F291" s="14" t="str">
        <f aca="false">IF(OR($B291="",$D291=""),"",IFERROR(INDEX('Recetas y precios'!$P:$S,MATCH($B291,'Recetas y precios'!$A:$A,0),MATCH($D291,'Recetas y precios'!$P$5:$S$5,0)),""))</f>
        <v/>
      </c>
      <c r="G291" s="14" t="str">
        <f aca="false">IFERROR($E291*$F291,"")</f>
        <v/>
      </c>
      <c r="H291" s="14" t="str">
        <f aca="false">IF($B291="","",IF($D291="Rebanada en mostrador",IFERROR(VLOOKUP($B291,'Recetas y precios'!$A:$O,15,FALSE()),""),IFERROR(VLOOKUP($B291,'Recetas y precios'!$A:$M,13,FALSE()),"")))</f>
        <v/>
      </c>
      <c r="I291" s="14" t="str">
        <f aca="false">IFERROR($E291*$H291,"")</f>
        <v/>
      </c>
      <c r="J291" s="14" t="str">
        <f aca="false">IFERROR($G291-$I291,"")</f>
        <v/>
      </c>
      <c r="K291" s="21" t="str">
        <f aca="false">IFERROR($J291/$G291,"")</f>
        <v/>
      </c>
      <c r="L291" s="28"/>
    </row>
    <row r="292" customFormat="false" ht="15" hidden="false" customHeight="false" outlineLevel="0" collapsed="false">
      <c r="A292" s="27"/>
      <c r="B292" s="28"/>
      <c r="C292" s="9" t="str">
        <f aca="false">IF($B292="","",IFERROR(VLOOKUP($B292,'Recetas y precios'!$A:$B,2,FALSE()),""))</f>
        <v/>
      </c>
      <c r="D292" s="28"/>
      <c r="E292" s="28"/>
      <c r="F292" s="14" t="str">
        <f aca="false">IF(OR($B292="",$D292=""),"",IFERROR(INDEX('Recetas y precios'!$P:$S,MATCH($B292,'Recetas y precios'!$A:$A,0),MATCH($D292,'Recetas y precios'!$P$5:$S$5,0)),""))</f>
        <v/>
      </c>
      <c r="G292" s="14" t="str">
        <f aca="false">IFERROR($E292*$F292,"")</f>
        <v/>
      </c>
      <c r="H292" s="14" t="str">
        <f aca="false">IF($B292="","",IF($D292="Rebanada en mostrador",IFERROR(VLOOKUP($B292,'Recetas y precios'!$A:$O,15,FALSE()),""),IFERROR(VLOOKUP($B292,'Recetas y precios'!$A:$M,13,FALSE()),"")))</f>
        <v/>
      </c>
      <c r="I292" s="14" t="str">
        <f aca="false">IFERROR($E292*$H292,"")</f>
        <v/>
      </c>
      <c r="J292" s="14" t="str">
        <f aca="false">IFERROR($G292-$I292,"")</f>
        <v/>
      </c>
      <c r="K292" s="21" t="str">
        <f aca="false">IFERROR($J292/$G292,"")</f>
        <v/>
      </c>
      <c r="L292" s="28"/>
    </row>
    <row r="293" customFormat="false" ht="15" hidden="false" customHeight="false" outlineLevel="0" collapsed="false">
      <c r="A293" s="27"/>
      <c r="B293" s="28"/>
      <c r="C293" s="9" t="str">
        <f aca="false">IF($B293="","",IFERROR(VLOOKUP($B293,'Recetas y precios'!$A:$B,2,FALSE()),""))</f>
        <v/>
      </c>
      <c r="D293" s="28"/>
      <c r="E293" s="28"/>
      <c r="F293" s="14" t="str">
        <f aca="false">IF(OR($B293="",$D293=""),"",IFERROR(INDEX('Recetas y precios'!$P:$S,MATCH($B293,'Recetas y precios'!$A:$A,0),MATCH($D293,'Recetas y precios'!$P$5:$S$5,0)),""))</f>
        <v/>
      </c>
      <c r="G293" s="14" t="str">
        <f aca="false">IFERROR($E293*$F293,"")</f>
        <v/>
      </c>
      <c r="H293" s="14" t="str">
        <f aca="false">IF($B293="","",IF($D293="Rebanada en mostrador",IFERROR(VLOOKUP($B293,'Recetas y precios'!$A:$O,15,FALSE()),""),IFERROR(VLOOKUP($B293,'Recetas y precios'!$A:$M,13,FALSE()),"")))</f>
        <v/>
      </c>
      <c r="I293" s="14" t="str">
        <f aca="false">IFERROR($E293*$H293,"")</f>
        <v/>
      </c>
      <c r="J293" s="14" t="str">
        <f aca="false">IFERROR($G293-$I293,"")</f>
        <v/>
      </c>
      <c r="K293" s="21" t="str">
        <f aca="false">IFERROR($J293/$G293,"")</f>
        <v/>
      </c>
      <c r="L293" s="28"/>
    </row>
    <row r="294" customFormat="false" ht="15" hidden="false" customHeight="false" outlineLevel="0" collapsed="false">
      <c r="A294" s="27"/>
      <c r="B294" s="28"/>
      <c r="C294" s="9" t="str">
        <f aca="false">IF($B294="","",IFERROR(VLOOKUP($B294,'Recetas y precios'!$A:$B,2,FALSE()),""))</f>
        <v/>
      </c>
      <c r="D294" s="28"/>
      <c r="E294" s="28"/>
      <c r="F294" s="14" t="str">
        <f aca="false">IF(OR($B294="",$D294=""),"",IFERROR(INDEX('Recetas y precios'!$P:$S,MATCH($B294,'Recetas y precios'!$A:$A,0),MATCH($D294,'Recetas y precios'!$P$5:$S$5,0)),""))</f>
        <v/>
      </c>
      <c r="G294" s="14" t="str">
        <f aca="false">IFERROR($E294*$F294,"")</f>
        <v/>
      </c>
      <c r="H294" s="14" t="str">
        <f aca="false">IF($B294="","",IF($D294="Rebanada en mostrador",IFERROR(VLOOKUP($B294,'Recetas y precios'!$A:$O,15,FALSE()),""),IFERROR(VLOOKUP($B294,'Recetas y precios'!$A:$M,13,FALSE()),"")))</f>
        <v/>
      </c>
      <c r="I294" s="14" t="str">
        <f aca="false">IFERROR($E294*$H294,"")</f>
        <v/>
      </c>
      <c r="J294" s="14" t="str">
        <f aca="false">IFERROR($G294-$I294,"")</f>
        <v/>
      </c>
      <c r="K294" s="21" t="str">
        <f aca="false">IFERROR($J294/$G294,"")</f>
        <v/>
      </c>
      <c r="L294" s="28"/>
    </row>
    <row r="295" customFormat="false" ht="15" hidden="false" customHeight="false" outlineLevel="0" collapsed="false">
      <c r="A295" s="27"/>
      <c r="B295" s="28"/>
      <c r="C295" s="9" t="str">
        <f aca="false">IF($B295="","",IFERROR(VLOOKUP($B295,'Recetas y precios'!$A:$B,2,FALSE()),""))</f>
        <v/>
      </c>
      <c r="D295" s="28"/>
      <c r="E295" s="28"/>
      <c r="F295" s="14" t="str">
        <f aca="false">IF(OR($B295="",$D295=""),"",IFERROR(INDEX('Recetas y precios'!$P:$S,MATCH($B295,'Recetas y precios'!$A:$A,0),MATCH($D295,'Recetas y precios'!$P$5:$S$5,0)),""))</f>
        <v/>
      </c>
      <c r="G295" s="14" t="str">
        <f aca="false">IFERROR($E295*$F295,"")</f>
        <v/>
      </c>
      <c r="H295" s="14" t="str">
        <f aca="false">IF($B295="","",IF($D295="Rebanada en mostrador",IFERROR(VLOOKUP($B295,'Recetas y precios'!$A:$O,15,FALSE()),""),IFERROR(VLOOKUP($B295,'Recetas y precios'!$A:$M,13,FALSE()),"")))</f>
        <v/>
      </c>
      <c r="I295" s="14" t="str">
        <f aca="false">IFERROR($E295*$H295,"")</f>
        <v/>
      </c>
      <c r="J295" s="14" t="str">
        <f aca="false">IFERROR($G295-$I295,"")</f>
        <v/>
      </c>
      <c r="K295" s="21" t="str">
        <f aca="false">IFERROR($J295/$G295,"")</f>
        <v/>
      </c>
      <c r="L295" s="28"/>
    </row>
    <row r="296" customFormat="false" ht="15" hidden="false" customHeight="false" outlineLevel="0" collapsed="false">
      <c r="A296" s="27"/>
      <c r="B296" s="28"/>
      <c r="C296" s="9" t="str">
        <f aca="false">IF($B296="","",IFERROR(VLOOKUP($B296,'Recetas y precios'!$A:$B,2,FALSE()),""))</f>
        <v/>
      </c>
      <c r="D296" s="28"/>
      <c r="E296" s="28"/>
      <c r="F296" s="14" t="str">
        <f aca="false">IF(OR($B296="",$D296=""),"",IFERROR(INDEX('Recetas y precios'!$P:$S,MATCH($B296,'Recetas y precios'!$A:$A,0),MATCH($D296,'Recetas y precios'!$P$5:$S$5,0)),""))</f>
        <v/>
      </c>
      <c r="G296" s="14" t="str">
        <f aca="false">IFERROR($E296*$F296,"")</f>
        <v/>
      </c>
      <c r="H296" s="14" t="str">
        <f aca="false">IF($B296="","",IF($D296="Rebanada en mostrador",IFERROR(VLOOKUP($B296,'Recetas y precios'!$A:$O,15,FALSE()),""),IFERROR(VLOOKUP($B296,'Recetas y precios'!$A:$M,13,FALSE()),"")))</f>
        <v/>
      </c>
      <c r="I296" s="14" t="str">
        <f aca="false">IFERROR($E296*$H296,"")</f>
        <v/>
      </c>
      <c r="J296" s="14" t="str">
        <f aca="false">IFERROR($G296-$I296,"")</f>
        <v/>
      </c>
      <c r="K296" s="21" t="str">
        <f aca="false">IFERROR($J296/$G296,"")</f>
        <v/>
      </c>
      <c r="L296" s="28"/>
    </row>
    <row r="297" customFormat="false" ht="15" hidden="false" customHeight="false" outlineLevel="0" collapsed="false">
      <c r="A297" s="27"/>
      <c r="B297" s="28"/>
      <c r="C297" s="9" t="str">
        <f aca="false">IF($B297="","",IFERROR(VLOOKUP($B297,'Recetas y precios'!$A:$B,2,FALSE()),""))</f>
        <v/>
      </c>
      <c r="D297" s="28"/>
      <c r="E297" s="28"/>
      <c r="F297" s="14" t="str">
        <f aca="false">IF(OR($B297="",$D297=""),"",IFERROR(INDEX('Recetas y precios'!$P:$S,MATCH($B297,'Recetas y precios'!$A:$A,0),MATCH($D297,'Recetas y precios'!$P$5:$S$5,0)),""))</f>
        <v/>
      </c>
      <c r="G297" s="14" t="str">
        <f aca="false">IFERROR($E297*$F297,"")</f>
        <v/>
      </c>
      <c r="H297" s="14" t="str">
        <f aca="false">IF($B297="","",IF($D297="Rebanada en mostrador",IFERROR(VLOOKUP($B297,'Recetas y precios'!$A:$O,15,FALSE()),""),IFERROR(VLOOKUP($B297,'Recetas y precios'!$A:$M,13,FALSE()),"")))</f>
        <v/>
      </c>
      <c r="I297" s="14" t="str">
        <f aca="false">IFERROR($E297*$H297,"")</f>
        <v/>
      </c>
      <c r="J297" s="14" t="str">
        <f aca="false">IFERROR($G297-$I297,"")</f>
        <v/>
      </c>
      <c r="K297" s="21" t="str">
        <f aca="false">IFERROR($J297/$G297,"")</f>
        <v/>
      </c>
      <c r="L297" s="28"/>
    </row>
    <row r="298" customFormat="false" ht="15" hidden="false" customHeight="false" outlineLevel="0" collapsed="false">
      <c r="A298" s="27"/>
      <c r="B298" s="28"/>
      <c r="C298" s="9" t="str">
        <f aca="false">IF($B298="","",IFERROR(VLOOKUP($B298,'Recetas y precios'!$A:$B,2,FALSE()),""))</f>
        <v/>
      </c>
      <c r="D298" s="28"/>
      <c r="E298" s="28"/>
      <c r="F298" s="14" t="str">
        <f aca="false">IF(OR($B298="",$D298=""),"",IFERROR(INDEX('Recetas y precios'!$P:$S,MATCH($B298,'Recetas y precios'!$A:$A,0),MATCH($D298,'Recetas y precios'!$P$5:$S$5,0)),""))</f>
        <v/>
      </c>
      <c r="G298" s="14" t="str">
        <f aca="false">IFERROR($E298*$F298,"")</f>
        <v/>
      </c>
      <c r="H298" s="14" t="str">
        <f aca="false">IF($B298="","",IF($D298="Rebanada en mostrador",IFERROR(VLOOKUP($B298,'Recetas y precios'!$A:$O,15,FALSE()),""),IFERROR(VLOOKUP($B298,'Recetas y precios'!$A:$M,13,FALSE()),"")))</f>
        <v/>
      </c>
      <c r="I298" s="14" t="str">
        <f aca="false">IFERROR($E298*$H298,"")</f>
        <v/>
      </c>
      <c r="J298" s="14" t="str">
        <f aca="false">IFERROR($G298-$I298,"")</f>
        <v/>
      </c>
      <c r="K298" s="21" t="str">
        <f aca="false">IFERROR($J298/$G298,"")</f>
        <v/>
      </c>
      <c r="L298" s="28"/>
    </row>
    <row r="299" customFormat="false" ht="15" hidden="false" customHeight="false" outlineLevel="0" collapsed="false">
      <c r="A299" s="27"/>
      <c r="B299" s="28"/>
      <c r="C299" s="9" t="str">
        <f aca="false">IF($B299="","",IFERROR(VLOOKUP($B299,'Recetas y precios'!$A:$B,2,FALSE()),""))</f>
        <v/>
      </c>
      <c r="D299" s="28"/>
      <c r="E299" s="28"/>
      <c r="F299" s="14" t="str">
        <f aca="false">IF(OR($B299="",$D299=""),"",IFERROR(INDEX('Recetas y precios'!$P:$S,MATCH($B299,'Recetas y precios'!$A:$A,0),MATCH($D299,'Recetas y precios'!$P$5:$S$5,0)),""))</f>
        <v/>
      </c>
      <c r="G299" s="14" t="str">
        <f aca="false">IFERROR($E299*$F299,"")</f>
        <v/>
      </c>
      <c r="H299" s="14" t="str">
        <f aca="false">IF($B299="","",IF($D299="Rebanada en mostrador",IFERROR(VLOOKUP($B299,'Recetas y precios'!$A:$O,15,FALSE()),""),IFERROR(VLOOKUP($B299,'Recetas y precios'!$A:$M,13,FALSE()),"")))</f>
        <v/>
      </c>
      <c r="I299" s="14" t="str">
        <f aca="false">IFERROR($E299*$H299,"")</f>
        <v/>
      </c>
      <c r="J299" s="14" t="str">
        <f aca="false">IFERROR($G299-$I299,"")</f>
        <v/>
      </c>
      <c r="K299" s="21" t="str">
        <f aca="false">IFERROR($J299/$G299,"")</f>
        <v/>
      </c>
      <c r="L299" s="28"/>
    </row>
    <row r="300" customFormat="false" ht="15" hidden="false" customHeight="false" outlineLevel="0" collapsed="false">
      <c r="A300" s="27"/>
      <c r="B300" s="28"/>
      <c r="C300" s="9" t="str">
        <f aca="false">IF($B300="","",IFERROR(VLOOKUP($B300,'Recetas y precios'!$A:$B,2,FALSE()),""))</f>
        <v/>
      </c>
      <c r="D300" s="28"/>
      <c r="E300" s="28"/>
      <c r="F300" s="14" t="str">
        <f aca="false">IF(OR($B300="",$D300=""),"",IFERROR(INDEX('Recetas y precios'!$P:$S,MATCH($B300,'Recetas y precios'!$A:$A,0),MATCH($D300,'Recetas y precios'!$P$5:$S$5,0)),""))</f>
        <v/>
      </c>
      <c r="G300" s="14" t="str">
        <f aca="false">IFERROR($E300*$F300,"")</f>
        <v/>
      </c>
      <c r="H300" s="14" t="str">
        <f aca="false">IF($B300="","",IF($D300="Rebanada en mostrador",IFERROR(VLOOKUP($B300,'Recetas y precios'!$A:$O,15,FALSE()),""),IFERROR(VLOOKUP($B300,'Recetas y precios'!$A:$M,13,FALSE()),"")))</f>
        <v/>
      </c>
      <c r="I300" s="14" t="str">
        <f aca="false">IFERROR($E300*$H300,"")</f>
        <v/>
      </c>
      <c r="J300" s="14" t="str">
        <f aca="false">IFERROR($G300-$I300,"")</f>
        <v/>
      </c>
      <c r="K300" s="21" t="str">
        <f aca="false">IFERROR($J300/$G300,"")</f>
        <v/>
      </c>
      <c r="L300" s="28"/>
    </row>
    <row r="301" customFormat="false" ht="15" hidden="false" customHeight="false" outlineLevel="0" collapsed="false">
      <c r="A301" s="27"/>
      <c r="B301" s="28"/>
      <c r="C301" s="9" t="str">
        <f aca="false">IF($B301="","",IFERROR(VLOOKUP($B301,'Recetas y precios'!$A:$B,2,FALSE()),""))</f>
        <v/>
      </c>
      <c r="D301" s="28"/>
      <c r="E301" s="28"/>
      <c r="F301" s="14" t="str">
        <f aca="false">IF(OR($B301="",$D301=""),"",IFERROR(INDEX('Recetas y precios'!$P:$S,MATCH($B301,'Recetas y precios'!$A:$A,0),MATCH($D301,'Recetas y precios'!$P$5:$S$5,0)),""))</f>
        <v/>
      </c>
      <c r="G301" s="14" t="str">
        <f aca="false">IFERROR($E301*$F301,"")</f>
        <v/>
      </c>
      <c r="H301" s="14" t="str">
        <f aca="false">IF($B301="","",IF($D301="Rebanada en mostrador",IFERROR(VLOOKUP($B301,'Recetas y precios'!$A:$O,15,FALSE()),""),IFERROR(VLOOKUP($B301,'Recetas y precios'!$A:$M,13,FALSE()),"")))</f>
        <v/>
      </c>
      <c r="I301" s="14" t="str">
        <f aca="false">IFERROR($E301*$H301,"")</f>
        <v/>
      </c>
      <c r="J301" s="14" t="str">
        <f aca="false">IFERROR($G301-$I301,"")</f>
        <v/>
      </c>
      <c r="K301" s="21" t="str">
        <f aca="false">IFERROR($J301/$G301,"")</f>
        <v/>
      </c>
      <c r="L301" s="28"/>
    </row>
    <row r="302" customFormat="false" ht="15" hidden="false" customHeight="false" outlineLevel="0" collapsed="false">
      <c r="A302" s="27"/>
      <c r="B302" s="28"/>
      <c r="C302" s="9" t="str">
        <f aca="false">IF($B302="","",IFERROR(VLOOKUP($B302,'Recetas y precios'!$A:$B,2,FALSE()),""))</f>
        <v/>
      </c>
      <c r="D302" s="28"/>
      <c r="E302" s="28"/>
      <c r="F302" s="14" t="str">
        <f aca="false">IF(OR($B302="",$D302=""),"",IFERROR(INDEX('Recetas y precios'!$P:$S,MATCH($B302,'Recetas y precios'!$A:$A,0),MATCH($D302,'Recetas y precios'!$P$5:$S$5,0)),""))</f>
        <v/>
      </c>
      <c r="G302" s="14" t="str">
        <f aca="false">IFERROR($E302*$F302,"")</f>
        <v/>
      </c>
      <c r="H302" s="14" t="str">
        <f aca="false">IF($B302="","",IF($D302="Rebanada en mostrador",IFERROR(VLOOKUP($B302,'Recetas y precios'!$A:$O,15,FALSE()),""),IFERROR(VLOOKUP($B302,'Recetas y precios'!$A:$M,13,FALSE()),"")))</f>
        <v/>
      </c>
      <c r="I302" s="14" t="str">
        <f aca="false">IFERROR($E302*$H302,"")</f>
        <v/>
      </c>
      <c r="J302" s="14" t="str">
        <f aca="false">IFERROR($G302-$I302,"")</f>
        <v/>
      </c>
      <c r="K302" s="21" t="str">
        <f aca="false">IFERROR($J302/$G302,"")</f>
        <v/>
      </c>
      <c r="L302" s="28"/>
    </row>
    <row r="303" customFormat="false" ht="15" hidden="false" customHeight="false" outlineLevel="0" collapsed="false">
      <c r="A303" s="27"/>
      <c r="B303" s="28"/>
      <c r="C303" s="9" t="str">
        <f aca="false">IF($B303="","",IFERROR(VLOOKUP($B303,'Recetas y precios'!$A:$B,2,FALSE()),""))</f>
        <v/>
      </c>
      <c r="D303" s="28"/>
      <c r="E303" s="28"/>
      <c r="F303" s="14" t="str">
        <f aca="false">IF(OR($B303="",$D303=""),"",IFERROR(INDEX('Recetas y precios'!$P:$S,MATCH($B303,'Recetas y precios'!$A:$A,0),MATCH($D303,'Recetas y precios'!$P$5:$S$5,0)),""))</f>
        <v/>
      </c>
      <c r="G303" s="14" t="str">
        <f aca="false">IFERROR($E303*$F303,"")</f>
        <v/>
      </c>
      <c r="H303" s="14" t="str">
        <f aca="false">IF($B303="","",IF($D303="Rebanada en mostrador",IFERROR(VLOOKUP($B303,'Recetas y precios'!$A:$O,15,FALSE()),""),IFERROR(VLOOKUP($B303,'Recetas y precios'!$A:$M,13,FALSE()),"")))</f>
        <v/>
      </c>
      <c r="I303" s="14" t="str">
        <f aca="false">IFERROR($E303*$H303,"")</f>
        <v/>
      </c>
      <c r="J303" s="14" t="str">
        <f aca="false">IFERROR($G303-$I303,"")</f>
        <v/>
      </c>
      <c r="K303" s="21" t="str">
        <f aca="false">IFERROR($J303/$G303,"")</f>
        <v/>
      </c>
      <c r="L303" s="28"/>
    </row>
    <row r="304" customFormat="false" ht="15" hidden="false" customHeight="false" outlineLevel="0" collapsed="false">
      <c r="A304" s="27"/>
      <c r="B304" s="28"/>
      <c r="C304" s="9" t="str">
        <f aca="false">IF($B304="","",IFERROR(VLOOKUP($B304,'Recetas y precios'!$A:$B,2,FALSE()),""))</f>
        <v/>
      </c>
      <c r="D304" s="28"/>
      <c r="E304" s="28"/>
      <c r="F304" s="14" t="str">
        <f aca="false">IF(OR($B304="",$D304=""),"",IFERROR(INDEX('Recetas y precios'!$P:$S,MATCH($B304,'Recetas y precios'!$A:$A,0),MATCH($D304,'Recetas y precios'!$P$5:$S$5,0)),""))</f>
        <v/>
      </c>
      <c r="G304" s="14" t="str">
        <f aca="false">IFERROR($E304*$F304,"")</f>
        <v/>
      </c>
      <c r="H304" s="14" t="str">
        <f aca="false">IF($B304="","",IF($D304="Rebanada en mostrador",IFERROR(VLOOKUP($B304,'Recetas y precios'!$A:$O,15,FALSE()),""),IFERROR(VLOOKUP($B304,'Recetas y precios'!$A:$M,13,FALSE()),"")))</f>
        <v/>
      </c>
      <c r="I304" s="14" t="str">
        <f aca="false">IFERROR($E304*$H304,"")</f>
        <v/>
      </c>
      <c r="J304" s="14" t="str">
        <f aca="false">IFERROR($G304-$I304,"")</f>
        <v/>
      </c>
      <c r="K304" s="21" t="str">
        <f aca="false">IFERROR($J304/$G304,"")</f>
        <v/>
      </c>
      <c r="L304" s="28"/>
    </row>
    <row r="305" customFormat="false" ht="15" hidden="false" customHeight="false" outlineLevel="0" collapsed="false">
      <c r="A305" s="27"/>
      <c r="B305" s="28"/>
      <c r="C305" s="9" t="str">
        <f aca="false">IF($B305="","",IFERROR(VLOOKUP($B305,'Recetas y precios'!$A:$B,2,FALSE()),""))</f>
        <v/>
      </c>
      <c r="D305" s="28"/>
      <c r="E305" s="28"/>
      <c r="F305" s="14" t="str">
        <f aca="false">IF(OR($B305="",$D305=""),"",IFERROR(INDEX('Recetas y precios'!$P:$S,MATCH($B305,'Recetas y precios'!$A:$A,0),MATCH($D305,'Recetas y precios'!$P$5:$S$5,0)),""))</f>
        <v/>
      </c>
      <c r="G305" s="14" t="str">
        <f aca="false">IFERROR($E305*$F305,"")</f>
        <v/>
      </c>
      <c r="H305" s="14" t="str">
        <f aca="false">IF($B305="","",IF($D305="Rebanada en mostrador",IFERROR(VLOOKUP($B305,'Recetas y precios'!$A:$O,15,FALSE()),""),IFERROR(VLOOKUP($B305,'Recetas y precios'!$A:$M,13,FALSE()),"")))</f>
        <v/>
      </c>
      <c r="I305" s="14" t="str">
        <f aca="false">IFERROR($E305*$H305,"")</f>
        <v/>
      </c>
      <c r="J305" s="14" t="str">
        <f aca="false">IFERROR($G305-$I305,"")</f>
        <v/>
      </c>
      <c r="K305" s="21" t="str">
        <f aca="false">IFERROR($J305/$G305,"")</f>
        <v/>
      </c>
      <c r="L305" s="28"/>
    </row>
  </sheetData>
  <dataValidations count="2">
    <dataValidation allowBlank="true" errorStyle="stop" operator="between" showDropDown="false" showErrorMessage="false" showInputMessage="false" sqref="D6:D305" type="list">
      <formula1>"Rebanada en mostrador,Panqué entero,Caja de regalo / temporada,Cafetería y mayoreo"</formula1>
      <formula2>0</formula2>
    </dataValidation>
    <dataValidation allowBlank="true" errorStyle="stop" operator="between" showDropDown="false" showErrorMessage="false" showInputMessage="false" sqref="B6:B305" type="whole">
      <formula1>1</formula1>
      <formula2>51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4" min="4" style="0" width="6"/>
    <col collapsed="false" customWidth="true" hidden="false" outlineLevel="0" max="5" min="5" style="0" width="44"/>
    <col collapsed="false" customWidth="true" hidden="false" outlineLevel="0" max="8" min="6" style="0" width="14"/>
  </cols>
  <sheetData>
    <row r="1" customFormat="false" ht="19.7" hidden="false" customHeight="false" outlineLevel="0" collapsed="false">
      <c r="A1" s="1" t="s">
        <v>1171</v>
      </c>
    </row>
    <row r="2" customFormat="false" ht="15" hidden="false" customHeight="false" outlineLevel="0" collapsed="false">
      <c r="A2" s="2" t="s">
        <v>1172</v>
      </c>
    </row>
    <row r="3" customFormat="false" ht="15" hidden="false" customHeight="false" outlineLevel="0" collapsed="false">
      <c r="A3" s="3" t="s">
        <v>2</v>
      </c>
      <c r="D3" s="6" t="s">
        <v>1173</v>
      </c>
    </row>
    <row r="5" customFormat="false" ht="15" hidden="false" customHeight="false" outlineLevel="0" collapsed="false">
      <c r="A5" s="4" t="s">
        <v>1174</v>
      </c>
      <c r="B5" s="29" t="n">
        <f aca="false">COUNT('Recetas y precios'!$A$6:$A$56)</f>
        <v>51</v>
      </c>
    </row>
    <row r="6" customFormat="false" ht="25.5" hidden="false" customHeight="true" outlineLevel="0" collapsed="false">
      <c r="A6" s="4" t="s">
        <v>1175</v>
      </c>
      <c r="B6" s="29" t="n">
        <f aca="false">COUNTA(Insumos!$A$6:$A$140)</f>
        <v>135</v>
      </c>
      <c r="D6" s="8" t="s">
        <v>387</v>
      </c>
      <c r="E6" s="8" t="s">
        <v>388</v>
      </c>
      <c r="F6" s="8" t="s">
        <v>1130</v>
      </c>
      <c r="G6" s="8" t="s">
        <v>1152</v>
      </c>
      <c r="H6" s="8" t="s">
        <v>1176</v>
      </c>
    </row>
    <row r="7" customFormat="false" ht="15" hidden="false" customHeight="false" outlineLevel="0" collapsed="false">
      <c r="A7" s="4" t="s">
        <v>1177</v>
      </c>
      <c r="B7" s="29" t="n">
        <f aca="false">COUNTA(Ingredientes!$A$6:$A$778)</f>
        <v>773</v>
      </c>
      <c r="D7" s="9" t="n">
        <v>28</v>
      </c>
      <c r="E7" s="9" t="s">
        <v>799</v>
      </c>
      <c r="F7" s="14" t="n">
        <f aca="false">'Recetas y precios'!E33</f>
        <v>445.239</v>
      </c>
      <c r="G7" s="14" t="n">
        <f aca="false">'Recetas y precios'!M33</f>
        <v>623.658510638298</v>
      </c>
      <c r="H7" s="14" t="n">
        <f aca="false">'Recetas y precios'!Q33</f>
        <v>1390</v>
      </c>
    </row>
    <row r="8" customFormat="false" ht="15" hidden="false" customHeight="false" outlineLevel="0" collapsed="false">
      <c r="D8" s="9" t="n">
        <v>30</v>
      </c>
      <c r="E8" s="9" t="s">
        <v>817</v>
      </c>
      <c r="F8" s="14" t="n">
        <f aca="false">'Recetas y precios'!E35</f>
        <v>390.478833333333</v>
      </c>
      <c r="G8" s="14" t="n">
        <f aca="false">'Recetas y precios'!M35</f>
        <v>565.403014184397</v>
      </c>
      <c r="H8" s="14" t="n">
        <f aca="false">'Recetas y precios'!Q35</f>
        <v>1260</v>
      </c>
    </row>
    <row r="9" customFormat="false" ht="15" hidden="false" customHeight="false" outlineLevel="0" collapsed="false">
      <c r="A9" s="4" t="s">
        <v>1178</v>
      </c>
      <c r="B9" s="30" t="n">
        <f aca="false">AVERAGE('Recetas y precios'!$E$6:$E$56)</f>
        <v>163.321179344052</v>
      </c>
      <c r="D9" s="9" t="n">
        <v>23</v>
      </c>
      <c r="E9" s="9" t="s">
        <v>733</v>
      </c>
      <c r="F9" s="14" t="n">
        <f aca="false">'Recetas y precios'!E28</f>
        <v>288.282</v>
      </c>
      <c r="G9" s="14" t="n">
        <f aca="false">'Recetas y precios'!M28</f>
        <v>464.66170212766</v>
      </c>
      <c r="H9" s="14" t="n">
        <f aca="false">'Recetas y precios'!Q28</f>
        <v>1035</v>
      </c>
    </row>
    <row r="10" customFormat="false" ht="15" hidden="false" customHeight="false" outlineLevel="0" collapsed="false">
      <c r="A10" s="4" t="s">
        <v>1179</v>
      </c>
      <c r="B10" s="30" t="n">
        <f aca="false">AVERAGE('Recetas y precios'!$M$6:$M$56)</f>
        <v>321.242806561257</v>
      </c>
      <c r="D10" s="9" t="n">
        <v>17</v>
      </c>
      <c r="E10" s="9" t="s">
        <v>655</v>
      </c>
      <c r="F10" s="14" t="n">
        <f aca="false">'Recetas y precios'!E22</f>
        <v>278.122</v>
      </c>
      <c r="G10" s="14" t="n">
        <f aca="false">'Recetas y precios'!M22</f>
        <v>445.874468085106</v>
      </c>
      <c r="H10" s="14" t="n">
        <f aca="false">'Recetas y precios'!Q22</f>
        <v>995</v>
      </c>
    </row>
    <row r="11" customFormat="false" ht="15" hidden="false" customHeight="false" outlineLevel="0" collapsed="false">
      <c r="A11" s="4" t="s">
        <v>1180</v>
      </c>
      <c r="B11" s="30" t="n">
        <f aca="false">AVERAGE('Recetas y precios'!$O$6:$O$56)</f>
        <v>31.6855834971991</v>
      </c>
      <c r="D11" s="9" t="n">
        <v>6</v>
      </c>
      <c r="E11" s="9" t="s">
        <v>485</v>
      </c>
      <c r="F11" s="14" t="n">
        <f aca="false">'Recetas y precios'!E11</f>
        <v>261.452</v>
      </c>
      <c r="G11" s="14" t="n">
        <f aca="false">'Recetas y precios'!M11</f>
        <v>420.16170212766</v>
      </c>
      <c r="H11" s="14" t="n">
        <f aca="false">'Recetas y precios'!Q11</f>
        <v>935</v>
      </c>
    </row>
    <row r="12" customFormat="false" ht="15" hidden="false" customHeight="false" outlineLevel="0" collapsed="false">
      <c r="A12" s="4" t="s">
        <v>1181</v>
      </c>
      <c r="B12" s="30" t="n">
        <f aca="false">AVERAGE('Recetas y precios'!$Q$6:$Q$56)</f>
        <v>716.274509803922</v>
      </c>
      <c r="D12" s="9" t="n">
        <v>22</v>
      </c>
      <c r="E12" s="9" t="s">
        <v>714</v>
      </c>
      <c r="F12" s="14" t="n">
        <f aca="false">'Recetas y precios'!E27</f>
        <v>260.436503968254</v>
      </c>
      <c r="G12" s="14" t="n">
        <f aca="false">'Recetas y precios'!M27</f>
        <v>427.060110604526</v>
      </c>
      <c r="H12" s="14" t="n">
        <f aca="false">'Recetas y precios'!Q27</f>
        <v>950</v>
      </c>
    </row>
    <row r="13" customFormat="false" ht="15" hidden="false" customHeight="false" outlineLevel="0" collapsed="false">
      <c r="A13" s="4" t="s">
        <v>1182</v>
      </c>
      <c r="B13" s="30" t="n">
        <f aca="false">AVERAGE('Recetas y precios'!$P$6:$P$56)</f>
        <v>85.9607843137255</v>
      </c>
      <c r="D13" s="9" t="n">
        <v>32</v>
      </c>
      <c r="E13" s="9" t="s">
        <v>838</v>
      </c>
      <c r="F13" s="14" t="n">
        <f aca="false">'Recetas y precios'!E37</f>
        <v>256.992</v>
      </c>
      <c r="G13" s="14" t="n">
        <f aca="false">'Recetas y precios'!M37</f>
        <v>431.374468085106</v>
      </c>
      <c r="H13" s="14" t="n">
        <f aca="false">'Recetas y precios'!Q37</f>
        <v>960</v>
      </c>
    </row>
    <row r="14" customFormat="false" ht="15" hidden="false" customHeight="false" outlineLevel="0" collapsed="false">
      <c r="A14" s="4" t="s">
        <v>1183</v>
      </c>
      <c r="B14" s="30" t="n">
        <f aca="false">AVERAGE('Recetas y precios'!$T$6:$T$56)</f>
        <v>395.031703242665</v>
      </c>
      <c r="D14" s="9" t="n">
        <v>19</v>
      </c>
      <c r="E14" s="9" t="s">
        <v>679</v>
      </c>
      <c r="F14" s="14" t="n">
        <f aca="false">'Recetas y precios'!E24</f>
        <v>228.606</v>
      </c>
      <c r="G14" s="14" t="n">
        <f aca="false">'Recetas y precios'!M24</f>
        <v>393.197872340426</v>
      </c>
      <c r="H14" s="14" t="n">
        <f aca="false">'Recetas y precios'!Q24</f>
        <v>875</v>
      </c>
    </row>
    <row r="15" customFormat="false" ht="15" hidden="false" customHeight="false" outlineLevel="0" collapsed="false">
      <c r="D15" s="9" t="n">
        <v>21</v>
      </c>
      <c r="E15" s="9" t="s">
        <v>704</v>
      </c>
      <c r="F15" s="14" t="n">
        <f aca="false">'Recetas y precios'!E26</f>
        <v>215.208</v>
      </c>
      <c r="G15" s="14" t="n">
        <f aca="false">'Recetas y precios'!M26</f>
        <v>378.944680851064</v>
      </c>
      <c r="H15" s="14" t="n">
        <f aca="false">'Recetas y precios'!Q26</f>
        <v>845</v>
      </c>
    </row>
    <row r="16" customFormat="false" ht="15" hidden="false" customHeight="false" outlineLevel="0" collapsed="false">
      <c r="A16" s="4" t="s">
        <v>1184</v>
      </c>
      <c r="B16" s="30" t="n">
        <f aca="false">AVERAGE('Recetas y precios'!$E$6:$E$56)+'Mi negocio'!$B$11+'Mi negocio'!$B$20</f>
        <v>193.321179344052</v>
      </c>
      <c r="D16" s="9" t="n">
        <v>20</v>
      </c>
      <c r="E16" s="9" t="s">
        <v>693</v>
      </c>
      <c r="F16" s="14" t="n">
        <f aca="false">'Recetas y precios'!E25</f>
        <v>199.328</v>
      </c>
      <c r="G16" s="14" t="n">
        <f aca="false">'Recetas y precios'!M25</f>
        <v>362.051063829787</v>
      </c>
      <c r="H16" s="14" t="n">
        <f aca="false">'Recetas y precios'!Q25</f>
        <v>805</v>
      </c>
    </row>
    <row r="17" customFormat="false" ht="15" hidden="false" customHeight="false" outlineLevel="0" collapsed="false">
      <c r="A17" s="4" t="s">
        <v>1185</v>
      </c>
      <c r="B17" s="30" t="n">
        <f aca="false">B12-B16</f>
        <v>522.95333045987</v>
      </c>
      <c r="D17" s="9" t="n">
        <v>51</v>
      </c>
      <c r="E17" s="9" t="s">
        <v>1060</v>
      </c>
      <c r="F17" s="14" t="n">
        <f aca="false">'Recetas y precios'!E56</f>
        <v>194.781174603175</v>
      </c>
      <c r="G17" s="14" t="n">
        <f aca="false">'Recetas y precios'!M56</f>
        <v>373.171462343803</v>
      </c>
      <c r="H17" s="14" t="n">
        <f aca="false">'Recetas y precios'!Q56</f>
        <v>830</v>
      </c>
    </row>
    <row r="18" customFormat="false" ht="15" hidden="false" customHeight="false" outlineLevel="0" collapsed="false">
      <c r="A18" s="31" t="s">
        <v>1186</v>
      </c>
      <c r="B18" s="32" t="n">
        <f aca="false">IFERROR(CEILING('Mi negocio'!$B$6/B17,1),0)</f>
        <v>35</v>
      </c>
      <c r="D18" s="9" t="n">
        <v>33</v>
      </c>
      <c r="E18" s="9" t="s">
        <v>849</v>
      </c>
      <c r="F18" s="14" t="n">
        <f aca="false">'Recetas y precios'!E38</f>
        <v>193.033</v>
      </c>
      <c r="G18" s="14" t="n">
        <f aca="false">'Recetas y precios'!M38</f>
        <v>355.354255319149</v>
      </c>
      <c r="H18" s="14" t="n">
        <f aca="false">'Recetas y precios'!Q38</f>
        <v>790</v>
      </c>
    </row>
    <row r="19" customFormat="false" ht="15" hidden="false" customHeight="false" outlineLevel="0" collapsed="false">
      <c r="A19" s="4" t="s">
        <v>1187</v>
      </c>
      <c r="B19" s="29" t="n">
        <f aca="false">IFERROR(CEILING(B18/26,1),0)</f>
        <v>2</v>
      </c>
      <c r="D19" s="9" t="n">
        <v>35</v>
      </c>
      <c r="E19" s="9" t="s">
        <v>867</v>
      </c>
      <c r="F19" s="14" t="n">
        <f aca="false">'Recetas y precios'!E40</f>
        <v>189.7275</v>
      </c>
      <c r="G19" s="14" t="n">
        <f aca="false">'Recetas y precios'!M40</f>
        <v>351.837765957447</v>
      </c>
      <c r="H19" s="14" t="n">
        <f aca="false">'Recetas y precios'!Q40</f>
        <v>785</v>
      </c>
    </row>
    <row r="20" customFormat="false" ht="15" hidden="false" customHeight="false" outlineLevel="0" collapsed="false">
      <c r="D20" s="9" t="n">
        <v>45</v>
      </c>
      <c r="E20" s="9" t="s">
        <v>989</v>
      </c>
      <c r="F20" s="14" t="n">
        <f aca="false">'Recetas y precios'!E50</f>
        <v>169.048</v>
      </c>
      <c r="G20" s="14" t="n">
        <f aca="false">'Recetas y precios'!M50</f>
        <v>321.859574468085</v>
      </c>
      <c r="H20" s="14" t="n">
        <f aca="false">'Recetas y precios'!Q50</f>
        <v>720</v>
      </c>
    </row>
    <row r="21" customFormat="false" ht="15" hidden="false" customHeight="false" outlineLevel="0" collapsed="false">
      <c r="A21" s="4" t="s">
        <v>1188</v>
      </c>
      <c r="B21" s="29" t="n">
        <f aca="false">Producción!C57</f>
        <v>0</v>
      </c>
      <c r="D21" s="9" t="n">
        <v>50</v>
      </c>
      <c r="E21" s="9" t="s">
        <v>1049</v>
      </c>
      <c r="F21" s="14" t="n">
        <f aca="false">'Recetas y precios'!E55</f>
        <v>167.245571428571</v>
      </c>
      <c r="G21" s="14" t="n">
        <f aca="false">'Recetas y precios'!M55</f>
        <v>327.920820668693</v>
      </c>
      <c r="H21" s="14" t="n">
        <f aca="false">'Recetas y precios'!Q55</f>
        <v>730</v>
      </c>
    </row>
    <row r="22" customFormat="false" ht="15" hidden="false" customHeight="false" outlineLevel="0" collapsed="false">
      <c r="A22" s="4" t="s">
        <v>1189</v>
      </c>
      <c r="B22" s="30" t="n">
        <f aca="false">Producción!F57</f>
        <v>0</v>
      </c>
      <c r="D22" s="9" t="n">
        <v>38</v>
      </c>
      <c r="E22" s="9" t="s">
        <v>909</v>
      </c>
      <c r="F22" s="14" t="n">
        <f aca="false">'Recetas y precios'!E43</f>
        <v>154.784</v>
      </c>
      <c r="G22" s="14" t="n">
        <f aca="false">'Recetas y precios'!M43</f>
        <v>322.642553191489</v>
      </c>
      <c r="H22" s="14" t="n">
        <f aca="false">'Recetas y precios'!Q43</f>
        <v>720</v>
      </c>
    </row>
    <row r="23" customFormat="false" ht="15" hidden="false" customHeight="false" outlineLevel="0" collapsed="false">
      <c r="A23" s="4" t="s">
        <v>1190</v>
      </c>
      <c r="B23" s="30" t="n">
        <f aca="false">Producción!I57</f>
        <v>0</v>
      </c>
      <c r="D23" s="9" t="n">
        <v>9</v>
      </c>
      <c r="E23" s="9" t="s">
        <v>531</v>
      </c>
      <c r="F23" s="14" t="n">
        <f aca="false">'Recetas y precios'!E14</f>
        <v>152.6925</v>
      </c>
      <c r="G23" s="14" t="n">
        <f aca="false">'Recetas y precios'!M14</f>
        <v>304.460106382979</v>
      </c>
      <c r="H23" s="14" t="n">
        <f aca="false">'Recetas y precios'!Q14</f>
        <v>680</v>
      </c>
    </row>
    <row r="24" customFormat="false" ht="15" hidden="false" customHeight="false" outlineLevel="0" collapsed="false">
      <c r="A24" s="4" t="s">
        <v>1157</v>
      </c>
      <c r="B24" s="30" t="n">
        <f aca="false">Producción!K57</f>
        <v>0</v>
      </c>
      <c r="D24" s="9" t="n">
        <v>41</v>
      </c>
      <c r="E24" s="9" t="s">
        <v>950</v>
      </c>
      <c r="F24" s="14" t="n">
        <f aca="false">'Recetas y precios'!E46</f>
        <v>150.911607843137</v>
      </c>
      <c r="G24" s="14" t="n">
        <f aca="false">'Recetas y precios'!M46</f>
        <v>302.565540258657</v>
      </c>
      <c r="H24" s="14" t="n">
        <f aca="false">'Recetas y precios'!Q46</f>
        <v>675</v>
      </c>
    </row>
    <row r="25" customFormat="false" ht="15" hidden="false" customHeight="false" outlineLevel="0" collapsed="false">
      <c r="A25" s="4" t="s">
        <v>1191</v>
      </c>
      <c r="B25" s="33" t="n">
        <f aca="false">Producción!H57</f>
        <v>0</v>
      </c>
      <c r="D25" s="9" t="n">
        <v>24</v>
      </c>
      <c r="E25" s="9" t="s">
        <v>750</v>
      </c>
      <c r="F25" s="14" t="n">
        <f aca="false">'Recetas y precios'!E29</f>
        <v>150.465</v>
      </c>
      <c r="G25" s="14" t="n">
        <f aca="false">'Recetas y precios'!M29</f>
        <v>302.090425531915</v>
      </c>
      <c r="H25" s="14" t="n">
        <f aca="false">'Recetas y precios'!Q29</f>
        <v>675</v>
      </c>
    </row>
    <row r="26" customFormat="false" ht="15" hidden="false" customHeight="false" outlineLevel="0" collapsed="false">
      <c r="D26" s="9" t="n">
        <v>48</v>
      </c>
      <c r="E26" s="9" t="s">
        <v>1026</v>
      </c>
      <c r="F26" s="14" t="n">
        <f aca="false">'Recetas y precios'!E53</f>
        <v>148.357</v>
      </c>
      <c r="G26" s="14" t="n">
        <f aca="false">'Recetas y precios'!M53</f>
        <v>307.826595744681</v>
      </c>
      <c r="H26" s="14" t="n">
        <f aca="false">'Recetas y precios'!Q53</f>
        <v>685</v>
      </c>
    </row>
    <row r="27" customFormat="false" ht="15" hidden="false" customHeight="false" outlineLevel="0" collapsed="false">
      <c r="A27" s="4" t="s">
        <v>1192</v>
      </c>
      <c r="B27" s="30" t="n">
        <f aca="false">Ventas!G4</f>
        <v>0</v>
      </c>
      <c r="D27" s="9" t="n">
        <v>27</v>
      </c>
      <c r="E27" s="9" t="s">
        <v>784</v>
      </c>
      <c r="F27" s="14" t="n">
        <f aca="false">'Recetas y precios'!E32</f>
        <v>145.5875</v>
      </c>
      <c r="G27" s="14" t="n">
        <f aca="false">'Recetas y precios'!M32</f>
        <v>304.880319148936</v>
      </c>
      <c r="H27" s="14" t="n">
        <f aca="false">'Recetas y precios'!Q32</f>
        <v>680</v>
      </c>
    </row>
    <row r="28" customFormat="false" ht="15" hidden="false" customHeight="false" outlineLevel="0" collapsed="false">
      <c r="A28" s="4" t="s">
        <v>1193</v>
      </c>
      <c r="B28" s="30" t="n">
        <f aca="false">Ventas!J4</f>
        <v>0</v>
      </c>
      <c r="D28" s="9" t="n">
        <v>46</v>
      </c>
      <c r="E28" s="9" t="s">
        <v>997</v>
      </c>
      <c r="F28" s="14" t="n">
        <f aca="false">'Recetas y precios'!E51</f>
        <v>144.368</v>
      </c>
      <c r="G28" s="14" t="n">
        <f aca="false">'Recetas y precios'!M51</f>
        <v>303.582978723404</v>
      </c>
      <c r="H28" s="14" t="n">
        <f aca="false">'Recetas y precios'!Q51</f>
        <v>675</v>
      </c>
    </row>
    <row r="29" customFormat="false" ht="15" hidden="false" customHeight="false" outlineLevel="0" collapsed="false">
      <c r="D29" s="9" t="n">
        <v>4</v>
      </c>
      <c r="E29" s="9" t="s">
        <v>447</v>
      </c>
      <c r="F29" s="14" t="n">
        <f aca="false">'Recetas y precios'!E9</f>
        <v>143.91</v>
      </c>
      <c r="G29" s="14" t="n">
        <f aca="false">'Recetas y precios'!M9</f>
        <v>311.074468085106</v>
      </c>
      <c r="H29" s="14" t="n">
        <f aca="false">'Recetas y precios'!Q9</f>
        <v>695</v>
      </c>
    </row>
    <row r="30" customFormat="false" ht="15" hidden="false" customHeight="false" outlineLevel="0" collapsed="false">
      <c r="D30" s="9" t="n">
        <v>2</v>
      </c>
      <c r="E30" s="9" t="s">
        <v>413</v>
      </c>
      <c r="F30" s="14" t="n">
        <f aca="false">'Recetas y precios'!E7</f>
        <v>143.725</v>
      </c>
      <c r="G30" s="14" t="n">
        <f aca="false">'Recetas y precios'!M7</f>
        <v>302.898936170213</v>
      </c>
      <c r="H30" s="14" t="n">
        <f aca="false">'Recetas y precios'!Q7</f>
        <v>675</v>
      </c>
    </row>
    <row r="31" customFormat="false" ht="15" hidden="false" customHeight="false" outlineLevel="0" collapsed="false">
      <c r="D31" s="9" t="n">
        <v>5</v>
      </c>
      <c r="E31" s="9" t="s">
        <v>467</v>
      </c>
      <c r="F31" s="14" t="n">
        <f aca="false">'Recetas y precios'!E10</f>
        <v>143.720333333333</v>
      </c>
      <c r="G31" s="14" t="n">
        <f aca="false">'Recetas y precios'!M10</f>
        <v>302.893971631206</v>
      </c>
      <c r="H31" s="14" t="n">
        <f aca="false">'Recetas y precios'!Q10</f>
        <v>675</v>
      </c>
    </row>
    <row r="32" customFormat="false" ht="15" hidden="false" customHeight="false" outlineLevel="0" collapsed="false">
      <c r="D32" s="9" t="n">
        <v>25</v>
      </c>
      <c r="E32" s="9" t="s">
        <v>763</v>
      </c>
      <c r="F32" s="14" t="n">
        <f aca="false">'Recetas y precios'!E30</f>
        <v>141.233</v>
      </c>
      <c r="G32" s="14" t="n">
        <f aca="false">'Recetas y precios'!M30</f>
        <v>300.247872340426</v>
      </c>
      <c r="H32" s="14" t="n">
        <f aca="false">'Recetas y precios'!Q30</f>
        <v>670</v>
      </c>
    </row>
    <row r="33" customFormat="false" ht="15" hidden="false" customHeight="false" outlineLevel="0" collapsed="false">
      <c r="D33" s="9" t="n">
        <v>3</v>
      </c>
      <c r="E33" s="9" t="s">
        <v>431</v>
      </c>
      <c r="F33" s="14" t="n">
        <f aca="false">'Recetas y precios'!E8</f>
        <v>140.711333333333</v>
      </c>
      <c r="G33" s="14" t="n">
        <f aca="false">'Recetas y precios'!M8</f>
        <v>291.714184397163</v>
      </c>
      <c r="H33" s="14" t="n">
        <f aca="false">'Recetas y precios'!Q8</f>
        <v>650</v>
      </c>
    </row>
    <row r="34" customFormat="false" ht="15" hidden="false" customHeight="false" outlineLevel="0" collapsed="false">
      <c r="D34" s="9" t="n">
        <v>42</v>
      </c>
      <c r="E34" s="9" t="s">
        <v>957</v>
      </c>
      <c r="F34" s="14" t="n">
        <f aca="false">'Recetas y precios'!E47</f>
        <v>139.802</v>
      </c>
      <c r="G34" s="14" t="n">
        <f aca="false">'Recetas y precios'!M47</f>
        <v>298.725531914894</v>
      </c>
      <c r="H34" s="14" t="n">
        <f aca="false">'Recetas y precios'!Q47</f>
        <v>665</v>
      </c>
    </row>
    <row r="35" customFormat="false" ht="15" hidden="false" customHeight="false" outlineLevel="0" collapsed="false">
      <c r="D35" s="9" t="n">
        <v>29</v>
      </c>
      <c r="E35" s="9" t="s">
        <v>809</v>
      </c>
      <c r="F35" s="14" t="n">
        <f aca="false">'Recetas y precios'!E34</f>
        <v>139.543</v>
      </c>
      <c r="G35" s="14" t="n">
        <f aca="false">'Recetas y precios'!M34</f>
        <v>290.471276595745</v>
      </c>
      <c r="H35" s="14" t="n">
        <f aca="false">'Recetas y precios'!Q34</f>
        <v>650</v>
      </c>
    </row>
    <row r="36" customFormat="false" ht="15" hidden="false" customHeight="false" outlineLevel="0" collapsed="false">
      <c r="D36" s="9" t="n">
        <v>14</v>
      </c>
      <c r="E36" s="9" t="s">
        <v>604</v>
      </c>
      <c r="F36" s="14" t="n">
        <f aca="false">'Recetas y precios'!E19</f>
        <v>137.811130434783</v>
      </c>
      <c r="G36" s="14" t="n">
        <f aca="false">'Recetas y precios'!M19</f>
        <v>296.607585568918</v>
      </c>
      <c r="H36" s="14" t="n">
        <f aca="false">'Recetas y precios'!Q19</f>
        <v>660</v>
      </c>
    </row>
    <row r="37" customFormat="false" ht="15" hidden="false" customHeight="false" outlineLevel="0" collapsed="false">
      <c r="D37" s="9" t="n">
        <v>36</v>
      </c>
      <c r="E37" s="9" t="s">
        <v>880</v>
      </c>
      <c r="F37" s="14" t="n">
        <f aca="false">'Recetas y precios'!E41</f>
        <v>135.273888888889</v>
      </c>
      <c r="G37" s="14" t="n">
        <f aca="false">'Recetas y precios'!M41</f>
        <v>293.908392434988</v>
      </c>
      <c r="H37" s="14" t="n">
        <f aca="false">'Recetas y precios'!Q41</f>
        <v>655</v>
      </c>
    </row>
    <row r="38" customFormat="false" ht="15" hidden="false" customHeight="false" outlineLevel="0" collapsed="false">
      <c r="D38" s="9" t="n">
        <v>18</v>
      </c>
      <c r="E38" s="9" t="s">
        <v>669</v>
      </c>
      <c r="F38" s="14" t="n">
        <f aca="false">'Recetas y precios'!E23</f>
        <v>132.593888888889</v>
      </c>
      <c r="G38" s="14" t="n">
        <f aca="false">'Recetas y precios'!M23</f>
        <v>275.09988179669</v>
      </c>
      <c r="H38" s="14" t="n">
        <f aca="false">'Recetas y precios'!Q23</f>
        <v>615</v>
      </c>
    </row>
    <row r="39" customFormat="false" ht="15" hidden="false" customHeight="false" outlineLevel="0" collapsed="false">
      <c r="D39" s="9" t="n">
        <v>37</v>
      </c>
      <c r="E39" s="9" t="s">
        <v>897</v>
      </c>
      <c r="F39" s="14" t="n">
        <f aca="false">'Recetas y precios'!E42</f>
        <v>131.332</v>
      </c>
      <c r="G39" s="14" t="n">
        <f aca="false">'Recetas y precios'!M42</f>
        <v>289.714893617021</v>
      </c>
      <c r="H39" s="14" t="n">
        <f aca="false">'Recetas y precios'!Q42</f>
        <v>645</v>
      </c>
    </row>
    <row r="40" customFormat="false" ht="15" hidden="false" customHeight="false" outlineLevel="0" collapsed="false">
      <c r="D40" s="9" t="n">
        <v>43</v>
      </c>
      <c r="E40" s="9" t="s">
        <v>971</v>
      </c>
      <c r="F40" s="14" t="n">
        <f aca="false">'Recetas y precios'!E48</f>
        <v>130.080888888889</v>
      </c>
      <c r="G40" s="14" t="n">
        <f aca="false">'Recetas y precios'!M48</f>
        <v>288.383924349882</v>
      </c>
      <c r="H40" s="14" t="n">
        <f aca="false">'Recetas y precios'!Q48</f>
        <v>645</v>
      </c>
    </row>
    <row r="41" customFormat="false" ht="15" hidden="false" customHeight="false" outlineLevel="0" collapsed="false">
      <c r="D41" s="9" t="n">
        <v>1</v>
      </c>
      <c r="E41" s="9" t="s">
        <v>395</v>
      </c>
      <c r="F41" s="14" t="n">
        <f aca="false">'Recetas y precios'!E6</f>
        <v>125.7555</v>
      </c>
      <c r="G41" s="14" t="n">
        <f aca="false">'Recetas y precios'!M6</f>
        <v>267.825</v>
      </c>
      <c r="H41" s="14" t="n">
        <f aca="false">'Recetas y precios'!Q6</f>
        <v>600</v>
      </c>
    </row>
    <row r="42" customFormat="false" ht="15" hidden="false" customHeight="false" outlineLevel="0" collapsed="false">
      <c r="D42" s="9" t="n">
        <v>31</v>
      </c>
      <c r="E42" s="9" t="s">
        <v>827</v>
      </c>
      <c r="F42" s="14" t="n">
        <f aca="false">'Recetas y precios'!E36</f>
        <v>123.59175</v>
      </c>
      <c r="G42" s="14" t="n">
        <f aca="false">'Recetas y precios'!M36</f>
        <v>273.501861702128</v>
      </c>
      <c r="H42" s="14" t="n">
        <f aca="false">'Recetas y precios'!Q36</f>
        <v>610</v>
      </c>
    </row>
    <row r="43" customFormat="false" ht="15" hidden="false" customHeight="false" outlineLevel="0" collapsed="false">
      <c r="D43" s="9" t="n">
        <v>40</v>
      </c>
      <c r="E43" s="9" t="s">
        <v>939</v>
      </c>
      <c r="F43" s="14" t="n">
        <f aca="false">'Recetas y precios'!E45</f>
        <v>122.993666666667</v>
      </c>
      <c r="G43" s="14" t="n">
        <f aca="false">'Recetas y precios'!M45</f>
        <v>280.844326241135</v>
      </c>
      <c r="H43" s="14" t="n">
        <f aca="false">'Recetas y precios'!Q45</f>
        <v>625</v>
      </c>
    </row>
    <row r="44" customFormat="false" ht="15" hidden="false" customHeight="false" outlineLevel="0" collapsed="false">
      <c r="D44" s="9" t="n">
        <v>47</v>
      </c>
      <c r="E44" s="9" t="s">
        <v>1015</v>
      </c>
      <c r="F44" s="14" t="n">
        <f aca="false">'Recetas y precios'!E52</f>
        <v>122.882</v>
      </c>
      <c r="G44" s="14" t="n">
        <f aca="false">'Recetas y precios'!M52</f>
        <v>280.725531914894</v>
      </c>
      <c r="H44" s="14" t="n">
        <f aca="false">'Recetas y precios'!Q52</f>
        <v>625</v>
      </c>
    </row>
    <row r="45" customFormat="false" ht="15" hidden="false" customHeight="false" outlineLevel="0" collapsed="false">
      <c r="D45" s="9" t="n">
        <v>49</v>
      </c>
      <c r="E45" s="9" t="s">
        <v>1035</v>
      </c>
      <c r="F45" s="14" t="n">
        <f aca="false">'Recetas y precios'!E54</f>
        <v>120.231074935401</v>
      </c>
      <c r="G45" s="14" t="n">
        <f aca="false">'Recetas y precios'!M54</f>
        <v>285.884122271703</v>
      </c>
      <c r="H45" s="14" t="n">
        <f aca="false">'Recetas y precios'!Q54</f>
        <v>640</v>
      </c>
    </row>
    <row r="46" customFormat="false" ht="15" hidden="false" customHeight="false" outlineLevel="0" collapsed="false">
      <c r="D46" s="9" t="n">
        <v>44</v>
      </c>
      <c r="E46" s="9" t="s">
        <v>981</v>
      </c>
      <c r="F46" s="14" t="n">
        <f aca="false">'Recetas y precios'!E49</f>
        <v>119.517</v>
      </c>
      <c r="G46" s="14" t="n">
        <f aca="false">'Recetas y precios'!M49</f>
        <v>269.167021276596</v>
      </c>
      <c r="H46" s="14" t="n">
        <f aca="false">'Recetas y precios'!Q49</f>
        <v>600</v>
      </c>
    </row>
    <row r="47" customFormat="false" ht="15" hidden="false" customHeight="false" outlineLevel="0" collapsed="false">
      <c r="D47" s="9" t="n">
        <v>8</v>
      </c>
      <c r="E47" s="9" t="s">
        <v>514</v>
      </c>
      <c r="F47" s="14" t="n">
        <f aca="false">'Recetas y precios'!E13</f>
        <v>118.77</v>
      </c>
      <c r="G47" s="14" t="n">
        <f aca="false">'Recetas y precios'!M13</f>
        <v>284.329787234043</v>
      </c>
      <c r="H47" s="14" t="n">
        <f aca="false">'Recetas y precios'!Q13</f>
        <v>635</v>
      </c>
    </row>
    <row r="48" customFormat="false" ht="15" hidden="false" customHeight="false" outlineLevel="0" collapsed="false">
      <c r="D48" s="9" t="n">
        <v>34</v>
      </c>
      <c r="E48" s="9" t="s">
        <v>859</v>
      </c>
      <c r="F48" s="14" t="n">
        <f aca="false">'Recetas y precios'!E39</f>
        <v>117.14675</v>
      </c>
      <c r="G48" s="14" t="n">
        <f aca="false">'Recetas y precios'!M39</f>
        <v>266.645478723404</v>
      </c>
      <c r="H48" s="14" t="n">
        <f aca="false">'Recetas y precios'!Q39</f>
        <v>595</v>
      </c>
    </row>
    <row r="49" customFormat="false" ht="15" hidden="false" customHeight="false" outlineLevel="0" collapsed="false">
      <c r="D49" s="9" t="n">
        <v>26</v>
      </c>
      <c r="E49" s="9" t="s">
        <v>774</v>
      </c>
      <c r="F49" s="14" t="n">
        <f aca="false">'Recetas y precios'!E31</f>
        <v>113.40075</v>
      </c>
      <c r="G49" s="14" t="n">
        <f aca="false">'Recetas y precios'!M31</f>
        <v>262.660372340426</v>
      </c>
      <c r="H49" s="14" t="n">
        <f aca="false">'Recetas y precios'!Q31</f>
        <v>585</v>
      </c>
    </row>
    <row r="50" customFormat="false" ht="15" hidden="false" customHeight="false" outlineLevel="0" collapsed="false">
      <c r="D50" s="9" t="n">
        <v>11</v>
      </c>
      <c r="E50" s="9" t="s">
        <v>559</v>
      </c>
      <c r="F50" s="14" t="n">
        <f aca="false">'Recetas y precios'!E16</f>
        <v>111.031555555556</v>
      </c>
      <c r="G50" s="14" t="n">
        <f aca="false">'Recetas y precios'!M16</f>
        <v>260.139952718676</v>
      </c>
      <c r="H50" s="14" t="n">
        <f aca="false">'Recetas y precios'!Q16</f>
        <v>580</v>
      </c>
    </row>
    <row r="51" customFormat="false" ht="15" hidden="false" customHeight="false" outlineLevel="0" collapsed="false">
      <c r="D51" s="9" t="n">
        <v>10</v>
      </c>
      <c r="E51" s="9" t="s">
        <v>547</v>
      </c>
      <c r="F51" s="14" t="n">
        <f aca="false">'Recetas y precios'!E15</f>
        <v>108.177111111111</v>
      </c>
      <c r="G51" s="14" t="n">
        <f aca="false">'Recetas y precios'!M15</f>
        <v>249.124586288416</v>
      </c>
      <c r="H51" s="14" t="n">
        <f aca="false">'Recetas y precios'!Q15</f>
        <v>555</v>
      </c>
    </row>
    <row r="52" customFormat="false" ht="15" hidden="false" customHeight="false" outlineLevel="0" collapsed="false">
      <c r="D52" s="9" t="n">
        <v>12</v>
      </c>
      <c r="E52" s="9" t="s">
        <v>576</v>
      </c>
      <c r="F52" s="14" t="n">
        <f aca="false">'Recetas y precios'!E17</f>
        <v>105.595333333333</v>
      </c>
      <c r="G52" s="14" t="n">
        <f aca="false">'Recetas y precios'!M17</f>
        <v>254.356737588652</v>
      </c>
      <c r="H52" s="14" t="n">
        <f aca="false">'Recetas y precios'!Q17</f>
        <v>570</v>
      </c>
    </row>
    <row r="53" customFormat="false" ht="15" hidden="false" customHeight="false" outlineLevel="0" collapsed="false">
      <c r="D53" s="9" t="n">
        <v>15</v>
      </c>
      <c r="E53" s="9" t="s">
        <v>622</v>
      </c>
      <c r="F53" s="14" t="n">
        <f aca="false">'Recetas y precios'!E20</f>
        <v>102.822</v>
      </c>
      <c r="G53" s="14" t="n">
        <f aca="false">'Recetas y precios'!M20</f>
        <v>259.385106382979</v>
      </c>
      <c r="H53" s="14" t="n">
        <f aca="false">'Recetas y precios'!Q20</f>
        <v>580</v>
      </c>
    </row>
    <row r="54" customFormat="false" ht="15" hidden="false" customHeight="false" outlineLevel="0" collapsed="false">
      <c r="D54" s="9" t="n">
        <v>39</v>
      </c>
      <c r="E54" s="9" t="s">
        <v>922</v>
      </c>
      <c r="F54" s="14" t="n">
        <f aca="false">'Recetas y precios'!E44</f>
        <v>99.152</v>
      </c>
      <c r="G54" s="14" t="n">
        <f aca="false">'Recetas y precios'!M44</f>
        <v>255.48085106383</v>
      </c>
      <c r="H54" s="14" t="n">
        <f aca="false">'Recetas y precios'!Q44</f>
        <v>570</v>
      </c>
    </row>
    <row r="55" customFormat="false" ht="15" hidden="false" customHeight="false" outlineLevel="0" collapsed="false">
      <c r="D55" s="9" t="n">
        <v>16</v>
      </c>
      <c r="E55" s="9" t="s">
        <v>639</v>
      </c>
      <c r="F55" s="14" t="n">
        <f aca="false">'Recetas y precios'!E21</f>
        <v>97.706</v>
      </c>
      <c r="G55" s="14" t="n">
        <f aca="false">'Recetas y precios'!M21</f>
        <v>245.963829787234</v>
      </c>
      <c r="H55" s="14" t="n">
        <f aca="false">'Recetas y precios'!Q21</f>
        <v>550</v>
      </c>
    </row>
    <row r="56" customFormat="false" ht="15" hidden="false" customHeight="false" outlineLevel="0" collapsed="false">
      <c r="D56" s="9" t="n">
        <v>7</v>
      </c>
      <c r="E56" s="9" t="s">
        <v>501</v>
      </c>
      <c r="F56" s="14" t="n">
        <f aca="false">'Recetas y precios'!E12</f>
        <v>92.678</v>
      </c>
      <c r="G56" s="14" t="n">
        <f aca="false">'Recetas y precios'!M12</f>
        <v>232.636170212766</v>
      </c>
      <c r="H56" s="14" t="n">
        <f aca="false">'Recetas y precios'!Q12</f>
        <v>520</v>
      </c>
    </row>
    <row r="57" customFormat="false" ht="15" hidden="false" customHeight="false" outlineLevel="0" collapsed="false">
      <c r="D57" s="9" t="n">
        <v>13</v>
      </c>
      <c r="E57" s="9" t="s">
        <v>589</v>
      </c>
      <c r="F57" s="14" t="n">
        <f aca="false">'Recetas y precios'!E18</f>
        <v>83.048</v>
      </c>
      <c r="G57" s="14" t="n">
        <f aca="false">'Recetas y precios'!M18</f>
        <v>222.391489361702</v>
      </c>
      <c r="H57" s="14" t="n">
        <f aca="false">'Recetas y precios'!Q18</f>
        <v>495</v>
      </c>
    </row>
    <row r="59" customFormat="false" ht="15" hidden="false" customHeight="false" outlineLevel="0" collapsed="false">
      <c r="D59" s="34" t="s">
        <v>2</v>
      </c>
    </row>
    <row r="60" customFormat="false" ht="15" hidden="false" customHeight="false" outlineLevel="0" collapsed="false">
      <c r="D60" s="2" t="s">
        <v>1194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2026-09-05T18:49:27Z</dcterms:created>
  <dc:creator>openpyxl</dc:creator>
  <dc:description/>
  <dc:language>en-US</dc:language>
  <cp:lastModifiedBy/>
  <dcterms:modified xsi:type="dcterms:W3CDTF">2026-09-05T18:49:27Z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